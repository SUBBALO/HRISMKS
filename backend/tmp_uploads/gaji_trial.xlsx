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\HR Department\HERLIANA\salary\2026\"/>
    </mc:Choice>
  </mc:AlternateContent>
  <xr:revisionPtr revIDLastSave="0" documentId="13_ncr:1_{4B3A0040-7CC1-4857-A6A4-91B09F7FC71D}" xr6:coauthVersionLast="43" xr6:coauthVersionMax="43" xr10:uidLastSave="{00000000-0000-0000-0000-000000000000}"/>
  <bookViews>
    <workbookView xWindow="-120" yWindow="-120" windowWidth="20730" windowHeight="11160" tabRatio="936" activeTab="1" xr2:uid="{00000000-000D-0000-FFFF-FFFF00000000}"/>
  </bookViews>
  <sheets>
    <sheet name="Daftar Gaji" sheetId="13" r:id="rId1"/>
    <sheet name="wawan" sheetId="1" r:id="rId2"/>
    <sheet name="harjono" sheetId="4" r:id="rId3"/>
    <sheet name="rahmat" sheetId="10" r:id="rId4"/>
    <sheet name="TER" sheetId="328" state="hidden" r:id="rId5"/>
    <sheet name="Inword" sheetId="21" state="hidden" r:id="rId6"/>
    <sheet name="PRD" sheetId="412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123Graph_B" hidden="1">'[1]MP. GAJI'!#REF!</definedName>
    <definedName name="__123Graph_D" hidden="1">'[1]MP. GAJI'!#REF!</definedName>
    <definedName name="__123Graph_E" hidden="1">'[1]MP. GAJI'!#REF!</definedName>
    <definedName name="__123Graph_F" hidden="1">'[1]MP. GAJI'!#REF!</definedName>
    <definedName name="_col2">'[2]Kas $'!#REF!</definedName>
    <definedName name="_xlnm._FilterDatabase" localSheetId="0" hidden="1">'Daftar Gaji'!$A$1:$AF$32</definedName>
    <definedName name="_Order1" hidden="1">255</definedName>
    <definedName name="_TGL1">#REF!</definedName>
    <definedName name="_TGL2">#REF!</definedName>
    <definedName name="ALAMAT">#REF!</definedName>
    <definedName name="Daftarkaryawan">#REF!</definedName>
    <definedName name="_xlnm.Database">#REF!</definedName>
    <definedName name="DINO">[3]data!$P$3:$R$9</definedName>
    <definedName name="Excel_BuiltIn__FilterDatabase_1">#REF!</definedName>
    <definedName name="Excel_BuiltIn__FilterDatabase_2">#REF!</definedName>
    <definedName name="Excel_BuiltIn__FilterDatabase_3_1">#REF!</definedName>
    <definedName name="Excel_BuiltIn__FilterDatabase_4">#REF!</definedName>
    <definedName name="Excel_BuiltIn__FilterDatabase_5">#REF!</definedName>
    <definedName name="Excel_BuiltIn_Print_Area">"$#REF!.$C$1:$R$37"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(#REF!,#REF!)</definedName>
    <definedName name="Excel_BuiltIn_Print_Area_1_1_1_1_1">#REF!</definedName>
    <definedName name="Excel_BuiltIn_Print_Area_10_1">#REF!</definedName>
    <definedName name="Excel_BuiltIn_Print_Area_11_1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5_1">#REF!</definedName>
    <definedName name="Excel_BuiltIn_Print_Area_16">#REF!</definedName>
    <definedName name="Excel_BuiltIn_Print_Area_16_1">#REF!</definedName>
    <definedName name="Excel_BuiltIn_Print_Area_17_1">#REF!</definedName>
    <definedName name="Excel_BuiltIn_Print_Area_18_1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0_1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'[4]1771_III'!#REF!</definedName>
    <definedName name="Excel_BuiltIn_Print_Area_5_1">#REF!</definedName>
    <definedName name="Excel_BuiltIn_Print_Area_6_1">#REF!</definedName>
    <definedName name="Excel_BuiltIn_Print_Area_7_1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Titles_1_1">#REF!</definedName>
    <definedName name="Excel_BuiltIn_Print_Titles_1_1_1">#REF!</definedName>
    <definedName name="Excel_BuiltIn_Print_Titles_2">#REF!</definedName>
    <definedName name="Excel_BuiltIn_Print_Titles_2_1">#REF!</definedName>
    <definedName name="Excel_BuiltIn_Print_Titles_3">#REF!</definedName>
    <definedName name="Excel_BuiltIn_Print_Titles_3_1">#REF!</definedName>
    <definedName name="Excel_BuiltIn_Print_Titles_4">#REF!</definedName>
    <definedName name="Excel_BuiltIn_Print_Titles_4_1">#REF!</definedName>
    <definedName name="JUMLAH">#REF!</definedName>
    <definedName name="kd">'[2]Kas $'!#REF!</definedName>
    <definedName name="kode_akun">'[5]Saldo Awal'!$B$9:$B$48</definedName>
    <definedName name="KODE_KPP">[6]KODE!$A$1:$B$196</definedName>
    <definedName name="kodewp">#REF!</definedName>
    <definedName name="KOTA">#REF!</definedName>
    <definedName name="KPP">#REF!</definedName>
    <definedName name="Master">[7]Neraca!$B$6:$I$34</definedName>
    <definedName name="money">'[8]data (2)'!$T$1:$W$1008</definedName>
    <definedName name="NAMA">#REF!</definedName>
    <definedName name="NAMA1">#REF!</definedName>
    <definedName name="NAMA2">#REF!</definedName>
    <definedName name="NPWP">#REF!</definedName>
    <definedName name="PPH">#REF!</definedName>
    <definedName name="_xlnm.Print_Area" localSheetId="0">'Daftar Gaji'!$A$9:$AF$14</definedName>
    <definedName name="_xlnm.Print_Area" localSheetId="1">wawan!$A$1:$L$34</definedName>
    <definedName name="PRINT_AREA_MI">"$#REF!.$C$1:$R$37"</definedName>
    <definedName name="Print_Area_MI_1">#REF!</definedName>
    <definedName name="Print_Area_MI_2">#REF!</definedName>
    <definedName name="Print_Area_MI_3">#REF!</definedName>
    <definedName name="Print_Area_MI_4">#REF!</definedName>
    <definedName name="Print_Area_MI_5">#REF!</definedName>
    <definedName name="Range">#REF!</definedName>
    <definedName name="so">'[8]data (2)'!$T$2:$V$1025</definedName>
    <definedName name="SPASI">#REF!</definedName>
    <definedName name="TERBILANG">#REF!</definedName>
    <definedName name="URAI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9" i="1" l="1"/>
  <c r="K16" i="1"/>
  <c r="L22319" i="21" l="1"/>
  <c r="L22318" i="21"/>
  <c r="L22317" i="21"/>
  <c r="L22316" i="21"/>
  <c r="L22315" i="21"/>
  <c r="L22314" i="21"/>
  <c r="L22313" i="21"/>
  <c r="L22312" i="21"/>
  <c r="L22311" i="21"/>
  <c r="L22309" i="21"/>
  <c r="L22308" i="21"/>
  <c r="L22307" i="21"/>
  <c r="L22306" i="21"/>
  <c r="L22305" i="21"/>
  <c r="L22304" i="21"/>
  <c r="L22303" i="21"/>
  <c r="L22302" i="21"/>
  <c r="L22301" i="21"/>
  <c r="L22299" i="21"/>
  <c r="L22298" i="21"/>
  <c r="L22297" i="21"/>
  <c r="L22296" i="21"/>
  <c r="L22295" i="21"/>
  <c r="L22294" i="21"/>
  <c r="L22293" i="21"/>
  <c r="L22292" i="21"/>
  <c r="L22291" i="21"/>
  <c r="L22289" i="21"/>
  <c r="L22288" i="21"/>
  <c r="L22287" i="21"/>
  <c r="L22286" i="21"/>
  <c r="L22285" i="21"/>
  <c r="L22284" i="21"/>
  <c r="L22283" i="21"/>
  <c r="L22282" i="21"/>
  <c r="L22281" i="21"/>
  <c r="L22279" i="21"/>
  <c r="L22278" i="21"/>
  <c r="L22277" i="21"/>
  <c r="L22276" i="21"/>
  <c r="L22275" i="21"/>
  <c r="L22274" i="21"/>
  <c r="L22273" i="21"/>
  <c r="L22272" i="21"/>
  <c r="L22271" i="21"/>
  <c r="L22269" i="21"/>
  <c r="L22268" i="21"/>
  <c r="L22267" i="21"/>
  <c r="L22266" i="21"/>
  <c r="L22265" i="21"/>
  <c r="L22264" i="21"/>
  <c r="L22263" i="21"/>
  <c r="L22262" i="21"/>
  <c r="L22261" i="21"/>
  <c r="L22259" i="21"/>
  <c r="L22258" i="21"/>
  <c r="L22257" i="21"/>
  <c r="L22256" i="21"/>
  <c r="L22255" i="21"/>
  <c r="L22254" i="21"/>
  <c r="L22253" i="21"/>
  <c r="L22252" i="21"/>
  <c r="L22251" i="21"/>
  <c r="L22249" i="21"/>
  <c r="L22248" i="21"/>
  <c r="L22247" i="21"/>
  <c r="L22246" i="21"/>
  <c r="L22245" i="21"/>
  <c r="L22244" i="21"/>
  <c r="L22243" i="21"/>
  <c r="L22242" i="21"/>
  <c r="L22241" i="21"/>
  <c r="L22239" i="21"/>
  <c r="L22238" i="21"/>
  <c r="L22237" i="21"/>
  <c r="L22236" i="21"/>
  <c r="L22235" i="21"/>
  <c r="L22234" i="21"/>
  <c r="L22233" i="21"/>
  <c r="L22232" i="21"/>
  <c r="L22216" i="21" l="1"/>
  <c r="L22215" i="21"/>
  <c r="L22214" i="21"/>
  <c r="L22213" i="21"/>
  <c r="L22212" i="21"/>
  <c r="L22211" i="21"/>
  <c r="L22210" i="21"/>
  <c r="L22209" i="21"/>
  <c r="L22208" i="21"/>
  <c r="L22206" i="21"/>
  <c r="L22205" i="21"/>
  <c r="L22204" i="21"/>
  <c r="L22203" i="21"/>
  <c r="L22202" i="21"/>
  <c r="L22201" i="21"/>
  <c r="L22200" i="21"/>
  <c r="L22199" i="21"/>
  <c r="L22198" i="21"/>
  <c r="L22196" i="21"/>
  <c r="L22195" i="21"/>
  <c r="L22194" i="21"/>
  <c r="L22193" i="21"/>
  <c r="L22192" i="21"/>
  <c r="L22191" i="21"/>
  <c r="L22190" i="21"/>
  <c r="L22189" i="21"/>
  <c r="L22188" i="21"/>
  <c r="L22186" i="21"/>
  <c r="L22185" i="21"/>
  <c r="L22184" i="21"/>
  <c r="L22183" i="21"/>
  <c r="L22182" i="21"/>
  <c r="L22181" i="21"/>
  <c r="L22180" i="21"/>
  <c r="L22179" i="21"/>
  <c r="L22178" i="21"/>
  <c r="L22176" i="21"/>
  <c r="L22175" i="21"/>
  <c r="L22174" i="21"/>
  <c r="L22173" i="21"/>
  <c r="L22172" i="21"/>
  <c r="L22171" i="21"/>
  <c r="L22170" i="21"/>
  <c r="L22169" i="21"/>
  <c r="L22168" i="21"/>
  <c r="L22166" i="21"/>
  <c r="L22165" i="21"/>
  <c r="L22164" i="21"/>
  <c r="L22163" i="21"/>
  <c r="L22162" i="21"/>
  <c r="L22161" i="21"/>
  <c r="L22160" i="21"/>
  <c r="L22159" i="21"/>
  <c r="L22158" i="21"/>
  <c r="L22156" i="21"/>
  <c r="L22155" i="21"/>
  <c r="L22154" i="21"/>
  <c r="L22153" i="21"/>
  <c r="L22152" i="21"/>
  <c r="L22151" i="21"/>
  <c r="L22150" i="21"/>
  <c r="L22149" i="21"/>
  <c r="L22148" i="21"/>
  <c r="L22146" i="21"/>
  <c r="L22145" i="21"/>
  <c r="L22144" i="21"/>
  <c r="L22143" i="21"/>
  <c r="L22142" i="21"/>
  <c r="L22141" i="21"/>
  <c r="L22140" i="21"/>
  <c r="L22139" i="21"/>
  <c r="L22138" i="21"/>
  <c r="L22136" i="21"/>
  <c r="L22135" i="21"/>
  <c r="L22134" i="21"/>
  <c r="L22133" i="21"/>
  <c r="L22132" i="21"/>
  <c r="L22131" i="21"/>
  <c r="L22130" i="21"/>
  <c r="L22129" i="21"/>
  <c r="L22113" i="21" l="1"/>
  <c r="L22112" i="21"/>
  <c r="L22111" i="21"/>
  <c r="L22110" i="21"/>
  <c r="L22109" i="21"/>
  <c r="L22108" i="21"/>
  <c r="L22107" i="21"/>
  <c r="L22106" i="21"/>
  <c r="L22105" i="21"/>
  <c r="L22103" i="21"/>
  <c r="L22102" i="21"/>
  <c r="L22101" i="21"/>
  <c r="L22100" i="21"/>
  <c r="L22099" i="21"/>
  <c r="L22098" i="21"/>
  <c r="L22097" i="21"/>
  <c r="L22096" i="21"/>
  <c r="L22095" i="21"/>
  <c r="L22093" i="21"/>
  <c r="L22092" i="21"/>
  <c r="L22091" i="21"/>
  <c r="L22090" i="21"/>
  <c r="L22089" i="21"/>
  <c r="L22088" i="21"/>
  <c r="L22087" i="21"/>
  <c r="L22086" i="21"/>
  <c r="L22085" i="21"/>
  <c r="L22083" i="21"/>
  <c r="L22082" i="21"/>
  <c r="L22081" i="21"/>
  <c r="L22080" i="21"/>
  <c r="L22079" i="21"/>
  <c r="L22078" i="21"/>
  <c r="L22077" i="21"/>
  <c r="L22076" i="21"/>
  <c r="L22075" i="21"/>
  <c r="L22073" i="21"/>
  <c r="L22072" i="21"/>
  <c r="L22071" i="21"/>
  <c r="L22070" i="21"/>
  <c r="L22069" i="21"/>
  <c r="L22068" i="21"/>
  <c r="L22067" i="21"/>
  <c r="L22066" i="21"/>
  <c r="L22065" i="21"/>
  <c r="L22063" i="21"/>
  <c r="L22062" i="21"/>
  <c r="L22061" i="21"/>
  <c r="L22060" i="21"/>
  <c r="L22059" i="21"/>
  <c r="L22058" i="21"/>
  <c r="L22057" i="21"/>
  <c r="L22056" i="21"/>
  <c r="L22055" i="21"/>
  <c r="L22053" i="21"/>
  <c r="L22052" i="21"/>
  <c r="L22051" i="21"/>
  <c r="L22050" i="21"/>
  <c r="L22049" i="21"/>
  <c r="L22048" i="21"/>
  <c r="L22047" i="21"/>
  <c r="L22046" i="21"/>
  <c r="L22045" i="21"/>
  <c r="L22043" i="21"/>
  <c r="L22042" i="21"/>
  <c r="L22041" i="21"/>
  <c r="L22040" i="21"/>
  <c r="L22039" i="21"/>
  <c r="L22038" i="21"/>
  <c r="L22037" i="21"/>
  <c r="L22036" i="21"/>
  <c r="L22035" i="21"/>
  <c r="L22033" i="21"/>
  <c r="L22032" i="21"/>
  <c r="L22031" i="21"/>
  <c r="L22030" i="21"/>
  <c r="L22029" i="21"/>
  <c r="L22028" i="21"/>
  <c r="L22027" i="21"/>
  <c r="L22026" i="21"/>
  <c r="L22010" i="21"/>
  <c r="L22009" i="21"/>
  <c r="L22008" i="21"/>
  <c r="L22007" i="21"/>
  <c r="L22006" i="21"/>
  <c r="L22005" i="21"/>
  <c r="L22004" i="21"/>
  <c r="L22003" i="21"/>
  <c r="L22002" i="21"/>
  <c r="L22000" i="21"/>
  <c r="L21999" i="21"/>
  <c r="L21998" i="21"/>
  <c r="L21997" i="21"/>
  <c r="L21996" i="21"/>
  <c r="L21995" i="21"/>
  <c r="L21994" i="21"/>
  <c r="L21993" i="21"/>
  <c r="L21992" i="21"/>
  <c r="L21990" i="21"/>
  <c r="L21989" i="21"/>
  <c r="L21988" i="21"/>
  <c r="L21987" i="21"/>
  <c r="L21986" i="21"/>
  <c r="L21985" i="21"/>
  <c r="L21984" i="21"/>
  <c r="L21983" i="21"/>
  <c r="L21982" i="21"/>
  <c r="L21980" i="21"/>
  <c r="L21979" i="21"/>
  <c r="L21978" i="21"/>
  <c r="L21977" i="21"/>
  <c r="L21976" i="21"/>
  <c r="L21975" i="21"/>
  <c r="L21974" i="21"/>
  <c r="L21973" i="21"/>
  <c r="L21972" i="21"/>
  <c r="L21970" i="21"/>
  <c r="L21969" i="21"/>
  <c r="L21968" i="21"/>
  <c r="L21967" i="21"/>
  <c r="L21966" i="21"/>
  <c r="L21965" i="21"/>
  <c r="L21964" i="21"/>
  <c r="L21963" i="21"/>
  <c r="L21962" i="21"/>
  <c r="L21960" i="21"/>
  <c r="L21959" i="21"/>
  <c r="L21958" i="21"/>
  <c r="L21957" i="21"/>
  <c r="L21956" i="21"/>
  <c r="L21955" i="21"/>
  <c r="L21954" i="21"/>
  <c r="L21953" i="21"/>
  <c r="L21952" i="21"/>
  <c r="L21950" i="21"/>
  <c r="L21949" i="21"/>
  <c r="L21948" i="21"/>
  <c r="L21947" i="21"/>
  <c r="L21946" i="21"/>
  <c r="L21945" i="21"/>
  <c r="L21944" i="21"/>
  <c r="L21943" i="21"/>
  <c r="L21942" i="21"/>
  <c r="L21940" i="21"/>
  <c r="L21939" i="21"/>
  <c r="L21938" i="21"/>
  <c r="L21937" i="21"/>
  <c r="L21936" i="21"/>
  <c r="L21935" i="21"/>
  <c r="L21934" i="21"/>
  <c r="L21933" i="21"/>
  <c r="L21932" i="21"/>
  <c r="L21930" i="21"/>
  <c r="L21929" i="21"/>
  <c r="L21928" i="21"/>
  <c r="L21927" i="21"/>
  <c r="L21926" i="21"/>
  <c r="L21925" i="21"/>
  <c r="L21924" i="21"/>
  <c r="L21923" i="21"/>
  <c r="A22012" i="21" l="1"/>
  <c r="B22024" i="21" l="1"/>
  <c r="B22034" i="21"/>
  <c r="A22115" i="21"/>
  <c r="B22127" i="21" l="1"/>
  <c r="B22137" i="21"/>
  <c r="D22034" i="21"/>
  <c r="C22034" i="21"/>
  <c r="B22035" i="21" s="1"/>
  <c r="E22034" i="21"/>
  <c r="C22024" i="21"/>
  <c r="D22024" i="21"/>
  <c r="E22024" i="21"/>
  <c r="A22218" i="21" l="1"/>
  <c r="B22025" i="21"/>
  <c r="C22035" i="21"/>
  <c r="B22036" i="21" s="1"/>
  <c r="E22036" i="21" s="1"/>
  <c r="D22035" i="21"/>
  <c r="E22035" i="21"/>
  <c r="D22127" i="21"/>
  <c r="E22127" i="21"/>
  <c r="C22127" i="21"/>
  <c r="D22137" i="21"/>
  <c r="C22137" i="21"/>
  <c r="E22137" i="21"/>
  <c r="C22036" i="21"/>
  <c r="D22036" i="21" l="1"/>
  <c r="B22230" i="21"/>
  <c r="B22240" i="21"/>
  <c r="C22025" i="21"/>
  <c r="D22025" i="21"/>
  <c r="E22025" i="21"/>
  <c r="B22128" i="21"/>
  <c r="B22138" i="21"/>
  <c r="B22037" i="21"/>
  <c r="D22240" i="21" l="1"/>
  <c r="C22240" i="21"/>
  <c r="E22240" i="21"/>
  <c r="E22230" i="21"/>
  <c r="D22230" i="21"/>
  <c r="C22230" i="21"/>
  <c r="D22138" i="21"/>
  <c r="C22138" i="21"/>
  <c r="E22138" i="21"/>
  <c r="C22128" i="21"/>
  <c r="D22128" i="21"/>
  <c r="E22128" i="21"/>
  <c r="B22026" i="21"/>
  <c r="D22037" i="21"/>
  <c r="C22037" i="21"/>
  <c r="E22037" i="21"/>
  <c r="B22241" i="21" l="1"/>
  <c r="B22231" i="21"/>
  <c r="B22129" i="21"/>
  <c r="B22139" i="21"/>
  <c r="C22026" i="21"/>
  <c r="E22026" i="21"/>
  <c r="D22026" i="21"/>
  <c r="B22038" i="21"/>
  <c r="D22231" i="21" l="1"/>
  <c r="C22231" i="21"/>
  <c r="E22231" i="21"/>
  <c r="D22241" i="21"/>
  <c r="C22241" i="21"/>
  <c r="E22241" i="21"/>
  <c r="E22129" i="21"/>
  <c r="D22129" i="21"/>
  <c r="C22129" i="21"/>
  <c r="B22027" i="21"/>
  <c r="C22139" i="21"/>
  <c r="E22139" i="21"/>
  <c r="D22139" i="21"/>
  <c r="E22038" i="21"/>
  <c r="C22038" i="21"/>
  <c r="D22038" i="21"/>
  <c r="B22242" i="21" l="1"/>
  <c r="B22232" i="21"/>
  <c r="B22140" i="21"/>
  <c r="C22027" i="21"/>
  <c r="D22027" i="21"/>
  <c r="E22027" i="21"/>
  <c r="B22130" i="21"/>
  <c r="B22039" i="21"/>
  <c r="E22232" i="21" l="1"/>
  <c r="D22232" i="21"/>
  <c r="C22232" i="21"/>
  <c r="D22242" i="21"/>
  <c r="C22242" i="21"/>
  <c r="E22242" i="21"/>
  <c r="C22130" i="21"/>
  <c r="D22130" i="21"/>
  <c r="E22130" i="21"/>
  <c r="D22140" i="21"/>
  <c r="C22140" i="21"/>
  <c r="E22140" i="21"/>
  <c r="B22028" i="21"/>
  <c r="D22039" i="21"/>
  <c r="C22039" i="21"/>
  <c r="L21907" i="21"/>
  <c r="L21906" i="21"/>
  <c r="L21905" i="21"/>
  <c r="L21904" i="21"/>
  <c r="L21903" i="21"/>
  <c r="L21902" i="21"/>
  <c r="L21901" i="21"/>
  <c r="L21900" i="21"/>
  <c r="L21899" i="21"/>
  <c r="L21897" i="21"/>
  <c r="L21896" i="21"/>
  <c r="L21895" i="21"/>
  <c r="L21894" i="21"/>
  <c r="L21893" i="21"/>
  <c r="L21892" i="21"/>
  <c r="L21891" i="21"/>
  <c r="L21890" i="21"/>
  <c r="L21889" i="21"/>
  <c r="L21887" i="21"/>
  <c r="L21886" i="21"/>
  <c r="L21885" i="21"/>
  <c r="L21884" i="21"/>
  <c r="L21883" i="21"/>
  <c r="L21882" i="21"/>
  <c r="L21881" i="21"/>
  <c r="L21880" i="21"/>
  <c r="L21879" i="21"/>
  <c r="L21877" i="21"/>
  <c r="L21876" i="21"/>
  <c r="L21875" i="21"/>
  <c r="L21874" i="21"/>
  <c r="L21873" i="21"/>
  <c r="L21872" i="21"/>
  <c r="L21871" i="21"/>
  <c r="L21870" i="21"/>
  <c r="L21869" i="21"/>
  <c r="L21867" i="21"/>
  <c r="L21866" i="21"/>
  <c r="L21865" i="21"/>
  <c r="L21864" i="21"/>
  <c r="L21863" i="21"/>
  <c r="L21862" i="21"/>
  <c r="L21861" i="21"/>
  <c r="L21860" i="21"/>
  <c r="L21859" i="21"/>
  <c r="L21857" i="21"/>
  <c r="L21856" i="21"/>
  <c r="L21855" i="21"/>
  <c r="L21854" i="21"/>
  <c r="L21853" i="21"/>
  <c r="L21852" i="21"/>
  <c r="L21851" i="21"/>
  <c r="L21850" i="21"/>
  <c r="L21849" i="21"/>
  <c r="L21847" i="21"/>
  <c r="L21846" i="21"/>
  <c r="L21845" i="21"/>
  <c r="L21844" i="21"/>
  <c r="L21843" i="21"/>
  <c r="L21842" i="21"/>
  <c r="L21841" i="21"/>
  <c r="L21840" i="21"/>
  <c r="L21839" i="21"/>
  <c r="L21837" i="21"/>
  <c r="L21836" i="21"/>
  <c r="L21835" i="21"/>
  <c r="L21834" i="21"/>
  <c r="L21833" i="21"/>
  <c r="L21832" i="21"/>
  <c r="L21831" i="21"/>
  <c r="L21830" i="21"/>
  <c r="L21829" i="21"/>
  <c r="L21827" i="21"/>
  <c r="L21826" i="21"/>
  <c r="L21825" i="21"/>
  <c r="L21824" i="21"/>
  <c r="L21823" i="21"/>
  <c r="L21822" i="21"/>
  <c r="L21821" i="21"/>
  <c r="L21820" i="21"/>
  <c r="B22243" i="21" l="1"/>
  <c r="B22233" i="21"/>
  <c r="E22028" i="21"/>
  <c r="D22028" i="21"/>
  <c r="C22028" i="21"/>
  <c r="B22141" i="21"/>
  <c r="B22131" i="21"/>
  <c r="B22040" i="21"/>
  <c r="E22039" i="21" s="1"/>
  <c r="D22233" i="21" l="1"/>
  <c r="C22233" i="21"/>
  <c r="E22233" i="21"/>
  <c r="C22243" i="21"/>
  <c r="D22243" i="21"/>
  <c r="E22243" i="21"/>
  <c r="E22131" i="21"/>
  <c r="D22131" i="21"/>
  <c r="C22131" i="21"/>
  <c r="C22141" i="21"/>
  <c r="E22141" i="21"/>
  <c r="D22141" i="21"/>
  <c r="B22029" i="21"/>
  <c r="D22040" i="21"/>
  <c r="E22040" i="21"/>
  <c r="B22244" i="21" l="1"/>
  <c r="B22234" i="21"/>
  <c r="D22029" i="21"/>
  <c r="C22029" i="21"/>
  <c r="B22030" i="21" s="1"/>
  <c r="B22142" i="21"/>
  <c r="A22019" i="21"/>
  <c r="B22132" i="21"/>
  <c r="D22234" i="21" l="1"/>
  <c r="E22234" i="21"/>
  <c r="C22234" i="21"/>
  <c r="E22244" i="21"/>
  <c r="D22244" i="21"/>
  <c r="C22244" i="21"/>
  <c r="D22132" i="21"/>
  <c r="C22132" i="21"/>
  <c r="E22029" i="21"/>
  <c r="D22030" i="21"/>
  <c r="E22030" i="21"/>
  <c r="D22142" i="21"/>
  <c r="C22142" i="21"/>
  <c r="B22143" i="21" s="1"/>
  <c r="L21804" i="21"/>
  <c r="L21803" i="21"/>
  <c r="L21802" i="21"/>
  <c r="L21801" i="21"/>
  <c r="L21800" i="21"/>
  <c r="L21799" i="21"/>
  <c r="L21798" i="21"/>
  <c r="L21797" i="21"/>
  <c r="L21796" i="21"/>
  <c r="L21794" i="21"/>
  <c r="L21793" i="21"/>
  <c r="L21792" i="21"/>
  <c r="L21791" i="21"/>
  <c r="L21790" i="21"/>
  <c r="L21789" i="21"/>
  <c r="L21788" i="21"/>
  <c r="L21787" i="21"/>
  <c r="L21786" i="21"/>
  <c r="L21784" i="21"/>
  <c r="L21783" i="21"/>
  <c r="L21782" i="21"/>
  <c r="L21781" i="21"/>
  <c r="L21780" i="21"/>
  <c r="L21779" i="21"/>
  <c r="L21778" i="21"/>
  <c r="L21777" i="21"/>
  <c r="L21776" i="21"/>
  <c r="L21774" i="21"/>
  <c r="L21773" i="21"/>
  <c r="L21772" i="21"/>
  <c r="L21771" i="21"/>
  <c r="L21770" i="21"/>
  <c r="L21769" i="21"/>
  <c r="L21768" i="21"/>
  <c r="L21767" i="21"/>
  <c r="L21766" i="21"/>
  <c r="L21764" i="21"/>
  <c r="L21763" i="21"/>
  <c r="L21762" i="21"/>
  <c r="L21761" i="21"/>
  <c r="L21760" i="21"/>
  <c r="L21759" i="21"/>
  <c r="L21758" i="21"/>
  <c r="L21757" i="21"/>
  <c r="L21756" i="21"/>
  <c r="L21754" i="21"/>
  <c r="L21753" i="21"/>
  <c r="L21752" i="21"/>
  <c r="L21751" i="21"/>
  <c r="L21750" i="21"/>
  <c r="L21749" i="21"/>
  <c r="L21748" i="21"/>
  <c r="L21747" i="21"/>
  <c r="L21746" i="21"/>
  <c r="L21744" i="21"/>
  <c r="L21743" i="21"/>
  <c r="L21742" i="21"/>
  <c r="L21741" i="21"/>
  <c r="L21740" i="21"/>
  <c r="L21739" i="21"/>
  <c r="L21738" i="21"/>
  <c r="L21737" i="21"/>
  <c r="L21736" i="21"/>
  <c r="L21734" i="21"/>
  <c r="L21733" i="21"/>
  <c r="L21732" i="21"/>
  <c r="L21731" i="21"/>
  <c r="L21730" i="21"/>
  <c r="L21729" i="21"/>
  <c r="L21728" i="21"/>
  <c r="L21727" i="21"/>
  <c r="L21726" i="21"/>
  <c r="L21724" i="21"/>
  <c r="L21723" i="21"/>
  <c r="L21722" i="21"/>
  <c r="L21721" i="21"/>
  <c r="L21720" i="21"/>
  <c r="L21719" i="21"/>
  <c r="L21718" i="21"/>
  <c r="L21717" i="21"/>
  <c r="A22016" i="21" l="1"/>
  <c r="B22245" i="21"/>
  <c r="B22235" i="21"/>
  <c r="B22133" i="21"/>
  <c r="E22132" i="21" s="1"/>
  <c r="E22142" i="21"/>
  <c r="E22143" i="21"/>
  <c r="D22143" i="21"/>
  <c r="A22122" i="21" l="1"/>
  <c r="D22235" i="21"/>
  <c r="C22235" i="21"/>
  <c r="B22236" i="21" s="1"/>
  <c r="C22245" i="21"/>
  <c r="B22246" i="21" s="1"/>
  <c r="D22245" i="21"/>
  <c r="E22133" i="21"/>
  <c r="D22133" i="21"/>
  <c r="A22119" i="21" l="1"/>
  <c r="E22245" i="21"/>
  <c r="E22246" i="21"/>
  <c r="D22246" i="21"/>
  <c r="E22235" i="21"/>
  <c r="D22236" i="21"/>
  <c r="E22236" i="21"/>
  <c r="A22222" i="21" l="1"/>
  <c r="A22225" i="21"/>
  <c r="L21701" i="21"/>
  <c r="L21700" i="21"/>
  <c r="L21699" i="21"/>
  <c r="L21698" i="21"/>
  <c r="L21697" i="21"/>
  <c r="L21696" i="21"/>
  <c r="L21695" i="21"/>
  <c r="L21694" i="21"/>
  <c r="L21693" i="21"/>
  <c r="L21691" i="21"/>
  <c r="L21690" i="21"/>
  <c r="L21689" i="21"/>
  <c r="L21688" i="21"/>
  <c r="L21687" i="21"/>
  <c r="L21686" i="21"/>
  <c r="L21685" i="21"/>
  <c r="L21684" i="21"/>
  <c r="L21683" i="21"/>
  <c r="L21681" i="21"/>
  <c r="L21680" i="21"/>
  <c r="L21679" i="21"/>
  <c r="L21678" i="21"/>
  <c r="L21677" i="21"/>
  <c r="L21676" i="21"/>
  <c r="L21675" i="21"/>
  <c r="L21674" i="21"/>
  <c r="L21673" i="21"/>
  <c r="L21671" i="21"/>
  <c r="L21670" i="21"/>
  <c r="L21669" i="21"/>
  <c r="L21668" i="21"/>
  <c r="L21667" i="21"/>
  <c r="L21666" i="21"/>
  <c r="L21665" i="21"/>
  <c r="L21664" i="21"/>
  <c r="L21663" i="21"/>
  <c r="L21661" i="21"/>
  <c r="L21660" i="21"/>
  <c r="L21659" i="21"/>
  <c r="L21658" i="21"/>
  <c r="L21657" i="21"/>
  <c r="L21656" i="21"/>
  <c r="L21655" i="21"/>
  <c r="L21654" i="21"/>
  <c r="L21653" i="21"/>
  <c r="L21651" i="21"/>
  <c r="L21650" i="21"/>
  <c r="L21649" i="21"/>
  <c r="L21648" i="21"/>
  <c r="L21647" i="21"/>
  <c r="L21646" i="21"/>
  <c r="L21645" i="21"/>
  <c r="L21644" i="21"/>
  <c r="L21643" i="21"/>
  <c r="L21641" i="21"/>
  <c r="L21640" i="21"/>
  <c r="L21639" i="21"/>
  <c r="L21638" i="21"/>
  <c r="L21637" i="21"/>
  <c r="L21636" i="21"/>
  <c r="L21635" i="21"/>
  <c r="L21634" i="21"/>
  <c r="L21633" i="21"/>
  <c r="L21631" i="21"/>
  <c r="L21630" i="21"/>
  <c r="L21629" i="21"/>
  <c r="L21628" i="21"/>
  <c r="L21627" i="21"/>
  <c r="L21626" i="21"/>
  <c r="L21625" i="21"/>
  <c r="L21624" i="21"/>
  <c r="L21623" i="21"/>
  <c r="L21621" i="21"/>
  <c r="L21620" i="21"/>
  <c r="L21619" i="21"/>
  <c r="L21618" i="21"/>
  <c r="L21617" i="21"/>
  <c r="L21616" i="21"/>
  <c r="L21615" i="21"/>
  <c r="L21614" i="21"/>
  <c r="L21598" i="21" l="1"/>
  <c r="L21597" i="21"/>
  <c r="L21596" i="21"/>
  <c r="L21595" i="21"/>
  <c r="L21594" i="21"/>
  <c r="L21593" i="21"/>
  <c r="L21592" i="21"/>
  <c r="L21591" i="21"/>
  <c r="L21590" i="21"/>
  <c r="L21588" i="21"/>
  <c r="L21587" i="21"/>
  <c r="L21586" i="21"/>
  <c r="L21585" i="21"/>
  <c r="L21584" i="21"/>
  <c r="L21583" i="21"/>
  <c r="L21582" i="21"/>
  <c r="L21581" i="21"/>
  <c r="L21580" i="21"/>
  <c r="L21578" i="21"/>
  <c r="L21577" i="21"/>
  <c r="L21576" i="21"/>
  <c r="L21575" i="21"/>
  <c r="L21574" i="21"/>
  <c r="L21573" i="21"/>
  <c r="L21572" i="21"/>
  <c r="L21571" i="21"/>
  <c r="L21570" i="21"/>
  <c r="L21568" i="21"/>
  <c r="L21567" i="21"/>
  <c r="L21566" i="21"/>
  <c r="L21565" i="21"/>
  <c r="L21564" i="21"/>
  <c r="L21563" i="21"/>
  <c r="L21562" i="21"/>
  <c r="L21561" i="21"/>
  <c r="L21560" i="21"/>
  <c r="L21558" i="21"/>
  <c r="L21557" i="21"/>
  <c r="L21556" i="21"/>
  <c r="L21555" i="21"/>
  <c r="L21554" i="21"/>
  <c r="L21553" i="21"/>
  <c r="L21552" i="21"/>
  <c r="L21551" i="21"/>
  <c r="L21550" i="21"/>
  <c r="L21548" i="21"/>
  <c r="L21547" i="21"/>
  <c r="L21546" i="21"/>
  <c r="L21545" i="21"/>
  <c r="L21544" i="21"/>
  <c r="L21543" i="21"/>
  <c r="L21542" i="21"/>
  <c r="L21541" i="21"/>
  <c r="L21540" i="21"/>
  <c r="L21538" i="21"/>
  <c r="L21537" i="21"/>
  <c r="L21536" i="21"/>
  <c r="L21535" i="21"/>
  <c r="L21534" i="21"/>
  <c r="L21533" i="21"/>
  <c r="L21532" i="21"/>
  <c r="L21531" i="21"/>
  <c r="L21530" i="21"/>
  <c r="L21528" i="21"/>
  <c r="L21527" i="21"/>
  <c r="L21526" i="21"/>
  <c r="L21525" i="21"/>
  <c r="L21524" i="21"/>
  <c r="L21523" i="21"/>
  <c r="L21522" i="21"/>
  <c r="L21521" i="21"/>
  <c r="L21520" i="21"/>
  <c r="L21518" i="21"/>
  <c r="L21517" i="21"/>
  <c r="L21516" i="21"/>
  <c r="L21515" i="21"/>
  <c r="L21514" i="21"/>
  <c r="L21513" i="21"/>
  <c r="L21512" i="21"/>
  <c r="L21511" i="21"/>
  <c r="L21495" i="21" l="1"/>
  <c r="L21494" i="21"/>
  <c r="L21493" i="21"/>
  <c r="L21492" i="21"/>
  <c r="L21491" i="21"/>
  <c r="L21490" i="21"/>
  <c r="L21489" i="21"/>
  <c r="L21488" i="21"/>
  <c r="L21487" i="21"/>
  <c r="L21485" i="21"/>
  <c r="L21484" i="21"/>
  <c r="L21483" i="21"/>
  <c r="L21482" i="21"/>
  <c r="L21481" i="21"/>
  <c r="L21480" i="21"/>
  <c r="L21479" i="21"/>
  <c r="L21478" i="21"/>
  <c r="L21477" i="21"/>
  <c r="L21475" i="21"/>
  <c r="L21474" i="21"/>
  <c r="L21473" i="21"/>
  <c r="L21472" i="21"/>
  <c r="L21471" i="21"/>
  <c r="L21470" i="21"/>
  <c r="L21469" i="21"/>
  <c r="L21468" i="21"/>
  <c r="L21467" i="21"/>
  <c r="L21465" i="21"/>
  <c r="L21464" i="21"/>
  <c r="L21463" i="21"/>
  <c r="L21462" i="21"/>
  <c r="L21461" i="21"/>
  <c r="L21460" i="21"/>
  <c r="L21459" i="21"/>
  <c r="L21458" i="21"/>
  <c r="L21457" i="21"/>
  <c r="L21455" i="21"/>
  <c r="L21454" i="21"/>
  <c r="L21453" i="21"/>
  <c r="L21452" i="21"/>
  <c r="L21451" i="21"/>
  <c r="L21450" i="21"/>
  <c r="L21449" i="21"/>
  <c r="L21448" i="21"/>
  <c r="L21447" i="21"/>
  <c r="L21445" i="21"/>
  <c r="L21444" i="21"/>
  <c r="L21443" i="21"/>
  <c r="L21442" i="21"/>
  <c r="L21441" i="21"/>
  <c r="L21440" i="21"/>
  <c r="L21439" i="21"/>
  <c r="L21438" i="21"/>
  <c r="L21437" i="21"/>
  <c r="L21435" i="21"/>
  <c r="L21434" i="21"/>
  <c r="L21433" i="21"/>
  <c r="L21432" i="21"/>
  <c r="L21431" i="21"/>
  <c r="L21430" i="21"/>
  <c r="L21429" i="21"/>
  <c r="L21428" i="21"/>
  <c r="L21427" i="21"/>
  <c r="L21425" i="21"/>
  <c r="L21424" i="21"/>
  <c r="L21423" i="21"/>
  <c r="L21422" i="21"/>
  <c r="L21421" i="21"/>
  <c r="L21420" i="21"/>
  <c r="L21419" i="21"/>
  <c r="L21418" i="21"/>
  <c r="L21417" i="21"/>
  <c r="L21415" i="21"/>
  <c r="L21414" i="21"/>
  <c r="L21413" i="21"/>
  <c r="L21412" i="21"/>
  <c r="L21411" i="21"/>
  <c r="L21410" i="21"/>
  <c r="L21409" i="21"/>
  <c r="L21408" i="21"/>
  <c r="AJ229" i="412" l="1"/>
  <c r="AJ185" i="412"/>
  <c r="AJ140" i="412"/>
  <c r="I14" i="1" s="1"/>
  <c r="AJ94" i="412"/>
  <c r="AJ47" i="412" l="1"/>
  <c r="I14" i="4" s="1"/>
  <c r="L21392" i="21" l="1"/>
  <c r="L21391" i="21"/>
  <c r="L21390" i="21"/>
  <c r="L21389" i="21"/>
  <c r="L21388" i="21"/>
  <c r="L21387" i="21"/>
  <c r="L21386" i="21"/>
  <c r="L21385" i="21"/>
  <c r="L21384" i="21"/>
  <c r="L21382" i="21"/>
  <c r="L21381" i="21"/>
  <c r="L21380" i="21"/>
  <c r="L21379" i="21"/>
  <c r="L21378" i="21"/>
  <c r="L21377" i="21"/>
  <c r="L21376" i="21"/>
  <c r="L21375" i="21"/>
  <c r="L21374" i="21"/>
  <c r="L21372" i="21"/>
  <c r="L21371" i="21"/>
  <c r="L21370" i="21"/>
  <c r="L21369" i="21"/>
  <c r="L21368" i="21"/>
  <c r="L21367" i="21"/>
  <c r="L21366" i="21"/>
  <c r="L21365" i="21"/>
  <c r="L21364" i="21"/>
  <c r="L21362" i="21"/>
  <c r="L21361" i="21"/>
  <c r="L21360" i="21"/>
  <c r="L21359" i="21"/>
  <c r="L21358" i="21"/>
  <c r="L21357" i="21"/>
  <c r="L21356" i="21"/>
  <c r="L21355" i="21"/>
  <c r="L21354" i="21"/>
  <c r="L21352" i="21"/>
  <c r="L21351" i="21"/>
  <c r="L21350" i="21"/>
  <c r="L21349" i="21"/>
  <c r="L21348" i="21"/>
  <c r="L21347" i="21"/>
  <c r="L21346" i="21"/>
  <c r="L21345" i="21"/>
  <c r="L21344" i="21"/>
  <c r="L21342" i="21"/>
  <c r="L21341" i="21"/>
  <c r="L21340" i="21"/>
  <c r="L21339" i="21"/>
  <c r="L21338" i="21"/>
  <c r="L21337" i="21"/>
  <c r="L21336" i="21"/>
  <c r="L21335" i="21"/>
  <c r="L21334" i="21"/>
  <c r="L21332" i="21"/>
  <c r="L21331" i="21"/>
  <c r="L21330" i="21"/>
  <c r="L21329" i="21"/>
  <c r="L21328" i="21"/>
  <c r="L21327" i="21"/>
  <c r="L21326" i="21"/>
  <c r="L21325" i="21"/>
  <c r="L21324" i="21"/>
  <c r="L21322" i="21"/>
  <c r="L21321" i="21"/>
  <c r="L21320" i="21"/>
  <c r="L21319" i="21"/>
  <c r="L21318" i="21"/>
  <c r="L21317" i="21"/>
  <c r="L21316" i="21"/>
  <c r="L21315" i="21"/>
  <c r="L21314" i="21"/>
  <c r="L21312" i="21"/>
  <c r="L21311" i="21"/>
  <c r="L21310" i="21"/>
  <c r="L21309" i="21"/>
  <c r="L21308" i="21"/>
  <c r="L21307" i="21"/>
  <c r="L21306" i="21"/>
  <c r="L21305" i="21"/>
  <c r="L21289" i="21" l="1"/>
  <c r="L21288" i="21"/>
  <c r="L21287" i="21"/>
  <c r="L21286" i="21"/>
  <c r="L21285" i="21"/>
  <c r="L21284" i="21"/>
  <c r="L21283" i="21"/>
  <c r="L21282" i="21"/>
  <c r="L21281" i="21"/>
  <c r="L21279" i="21"/>
  <c r="L21278" i="21"/>
  <c r="L21277" i="21"/>
  <c r="L21276" i="21"/>
  <c r="L21275" i="21"/>
  <c r="L21274" i="21"/>
  <c r="L21273" i="21"/>
  <c r="L21272" i="21"/>
  <c r="L21271" i="21"/>
  <c r="L21269" i="21"/>
  <c r="L21268" i="21"/>
  <c r="L21267" i="21"/>
  <c r="L21266" i="21"/>
  <c r="L21265" i="21"/>
  <c r="L21264" i="21"/>
  <c r="L21263" i="21"/>
  <c r="L21262" i="21"/>
  <c r="L21261" i="21"/>
  <c r="L21259" i="21"/>
  <c r="L21258" i="21"/>
  <c r="L21257" i="21"/>
  <c r="L21256" i="21"/>
  <c r="L21255" i="21"/>
  <c r="L21254" i="21"/>
  <c r="L21253" i="21"/>
  <c r="L21252" i="21"/>
  <c r="L21251" i="21"/>
  <c r="L21249" i="21"/>
  <c r="L21248" i="21"/>
  <c r="L21247" i="21"/>
  <c r="L21246" i="21"/>
  <c r="L21245" i="21"/>
  <c r="L21244" i="21"/>
  <c r="L21243" i="21"/>
  <c r="L21242" i="21"/>
  <c r="L21241" i="21"/>
  <c r="L21239" i="21"/>
  <c r="L21238" i="21"/>
  <c r="L21237" i="21"/>
  <c r="L21236" i="21"/>
  <c r="L21235" i="21"/>
  <c r="L21234" i="21"/>
  <c r="L21233" i="21"/>
  <c r="L21232" i="21"/>
  <c r="L21231" i="21"/>
  <c r="L21229" i="21"/>
  <c r="L21228" i="21"/>
  <c r="L21227" i="21"/>
  <c r="L21226" i="21"/>
  <c r="L21225" i="21"/>
  <c r="L21224" i="21"/>
  <c r="L21223" i="21"/>
  <c r="L21222" i="21"/>
  <c r="L21221" i="21"/>
  <c r="L21219" i="21"/>
  <c r="L21218" i="21"/>
  <c r="L21217" i="21"/>
  <c r="L21216" i="21"/>
  <c r="L21215" i="21"/>
  <c r="L21214" i="21"/>
  <c r="L21213" i="21"/>
  <c r="L21212" i="21"/>
  <c r="L21211" i="21"/>
  <c r="L21209" i="21"/>
  <c r="L21208" i="21"/>
  <c r="L21207" i="21"/>
  <c r="L21206" i="21"/>
  <c r="L21205" i="21"/>
  <c r="L21204" i="21"/>
  <c r="L21203" i="21"/>
  <c r="L21202" i="21"/>
  <c r="L21186" i="21" l="1"/>
  <c r="L21185" i="21"/>
  <c r="L21184" i="21"/>
  <c r="L21183" i="21"/>
  <c r="L21182" i="21"/>
  <c r="L21181" i="21"/>
  <c r="L21180" i="21"/>
  <c r="L21179" i="21"/>
  <c r="L21178" i="21"/>
  <c r="L21176" i="21"/>
  <c r="L21175" i="21"/>
  <c r="L21174" i="21"/>
  <c r="L21173" i="21"/>
  <c r="L21172" i="21"/>
  <c r="L21171" i="21"/>
  <c r="L21170" i="21"/>
  <c r="L21169" i="21"/>
  <c r="L21168" i="21"/>
  <c r="L21166" i="21"/>
  <c r="L21165" i="21"/>
  <c r="L21164" i="21"/>
  <c r="L21163" i="21"/>
  <c r="L21162" i="21"/>
  <c r="L21161" i="21"/>
  <c r="L21160" i="21"/>
  <c r="L21159" i="21"/>
  <c r="L21158" i="21"/>
  <c r="L21156" i="21"/>
  <c r="L21155" i="21"/>
  <c r="L21154" i="21"/>
  <c r="L21153" i="21"/>
  <c r="L21152" i="21"/>
  <c r="L21151" i="21"/>
  <c r="L21150" i="21"/>
  <c r="L21149" i="21"/>
  <c r="L21148" i="21"/>
  <c r="L21146" i="21"/>
  <c r="L21145" i="21"/>
  <c r="L21144" i="21"/>
  <c r="L21143" i="21"/>
  <c r="L21142" i="21"/>
  <c r="L21141" i="21"/>
  <c r="L21140" i="21"/>
  <c r="L21139" i="21"/>
  <c r="L21138" i="21"/>
  <c r="L21136" i="21"/>
  <c r="L21135" i="21"/>
  <c r="L21134" i="21"/>
  <c r="L21133" i="21"/>
  <c r="L21132" i="21"/>
  <c r="L21131" i="21"/>
  <c r="L21130" i="21"/>
  <c r="L21129" i="21"/>
  <c r="L21128" i="21"/>
  <c r="L21126" i="21"/>
  <c r="L21125" i="21"/>
  <c r="L21124" i="21"/>
  <c r="L21123" i="21"/>
  <c r="L21122" i="21"/>
  <c r="L21121" i="21"/>
  <c r="L21120" i="21"/>
  <c r="L21119" i="21"/>
  <c r="L21118" i="21"/>
  <c r="L21116" i="21"/>
  <c r="L21115" i="21"/>
  <c r="L21114" i="21"/>
  <c r="L21113" i="21"/>
  <c r="L21112" i="21"/>
  <c r="L21111" i="21"/>
  <c r="L21110" i="21"/>
  <c r="L21109" i="21"/>
  <c r="L21108" i="21"/>
  <c r="L21106" i="21"/>
  <c r="L21105" i="21"/>
  <c r="L21104" i="21"/>
  <c r="L21103" i="21"/>
  <c r="L21102" i="21"/>
  <c r="L21101" i="21"/>
  <c r="L21100" i="21"/>
  <c r="L21099" i="21"/>
  <c r="L21083" i="21"/>
  <c r="L21082" i="21"/>
  <c r="L21081" i="21"/>
  <c r="L21080" i="21"/>
  <c r="L21079" i="21"/>
  <c r="L21078" i="21"/>
  <c r="L21077" i="21"/>
  <c r="L21076" i="21"/>
  <c r="L21075" i="21"/>
  <c r="L21073" i="21"/>
  <c r="L21072" i="21"/>
  <c r="L21071" i="21"/>
  <c r="L21070" i="21"/>
  <c r="L21069" i="21"/>
  <c r="L21068" i="21"/>
  <c r="L21067" i="21"/>
  <c r="L21066" i="21"/>
  <c r="L21065" i="21"/>
  <c r="L21063" i="21"/>
  <c r="L21062" i="21"/>
  <c r="L21061" i="21"/>
  <c r="L21060" i="21"/>
  <c r="L21059" i="21"/>
  <c r="L21058" i="21"/>
  <c r="L21057" i="21"/>
  <c r="L21056" i="21"/>
  <c r="L21055" i="21"/>
  <c r="L21053" i="21"/>
  <c r="L21052" i="21"/>
  <c r="L21051" i="21"/>
  <c r="L21050" i="21"/>
  <c r="L21049" i="21"/>
  <c r="L21048" i="21"/>
  <c r="L21047" i="21"/>
  <c r="L21046" i="21"/>
  <c r="L21045" i="21"/>
  <c r="L21043" i="21"/>
  <c r="L21042" i="21"/>
  <c r="L21041" i="21"/>
  <c r="L21040" i="21"/>
  <c r="L21039" i="21"/>
  <c r="L21038" i="21"/>
  <c r="L21037" i="21"/>
  <c r="L21036" i="21"/>
  <c r="L21035" i="21"/>
  <c r="L21033" i="21"/>
  <c r="L21032" i="21"/>
  <c r="L21031" i="21"/>
  <c r="L21030" i="21"/>
  <c r="L21029" i="21"/>
  <c r="L21028" i="21"/>
  <c r="L21027" i="21"/>
  <c r="L21026" i="21"/>
  <c r="L21025" i="21"/>
  <c r="L21023" i="21"/>
  <c r="L21022" i="21"/>
  <c r="L21021" i="21"/>
  <c r="L21020" i="21"/>
  <c r="L21019" i="21"/>
  <c r="L21018" i="21"/>
  <c r="L21017" i="21"/>
  <c r="L21016" i="21"/>
  <c r="L21015" i="21"/>
  <c r="L21013" i="21"/>
  <c r="L21012" i="21"/>
  <c r="L21011" i="21"/>
  <c r="L21010" i="21"/>
  <c r="L21009" i="21"/>
  <c r="L21008" i="21"/>
  <c r="L21007" i="21"/>
  <c r="L21006" i="21"/>
  <c r="L21005" i="21"/>
  <c r="L21003" i="21"/>
  <c r="L21002" i="21"/>
  <c r="L21001" i="21"/>
  <c r="L21000" i="21"/>
  <c r="L20999" i="21"/>
  <c r="L20998" i="21"/>
  <c r="L20997" i="21"/>
  <c r="L20996" i="21"/>
  <c r="L20980" i="21" l="1"/>
  <c r="L20979" i="21"/>
  <c r="L20978" i="21"/>
  <c r="L20977" i="21"/>
  <c r="L20976" i="21"/>
  <c r="L20975" i="21"/>
  <c r="L20974" i="21"/>
  <c r="L20973" i="21"/>
  <c r="L20972" i="21"/>
  <c r="L20970" i="21"/>
  <c r="L20969" i="21"/>
  <c r="L20968" i="21"/>
  <c r="L20967" i="21"/>
  <c r="L20966" i="21"/>
  <c r="L20965" i="21"/>
  <c r="L20964" i="21"/>
  <c r="L20963" i="21"/>
  <c r="L20962" i="21"/>
  <c r="L20960" i="21"/>
  <c r="L20959" i="21"/>
  <c r="L20958" i="21"/>
  <c r="L20957" i="21"/>
  <c r="L20956" i="21"/>
  <c r="L20955" i="21"/>
  <c r="L20954" i="21"/>
  <c r="L20953" i="21"/>
  <c r="L20952" i="21"/>
  <c r="L20950" i="21"/>
  <c r="L20949" i="21"/>
  <c r="L20948" i="21"/>
  <c r="L20947" i="21"/>
  <c r="L20946" i="21"/>
  <c r="L20945" i="21"/>
  <c r="L20944" i="21"/>
  <c r="L20943" i="21"/>
  <c r="L20942" i="21"/>
  <c r="L20940" i="21"/>
  <c r="L20939" i="21"/>
  <c r="L20938" i="21"/>
  <c r="L20937" i="21"/>
  <c r="L20936" i="21"/>
  <c r="L20935" i="21"/>
  <c r="L20934" i="21"/>
  <c r="L20933" i="21"/>
  <c r="L20932" i="21"/>
  <c r="L20930" i="21"/>
  <c r="L20929" i="21"/>
  <c r="L20928" i="21"/>
  <c r="L20927" i="21"/>
  <c r="L20926" i="21"/>
  <c r="L20925" i="21"/>
  <c r="L20924" i="21"/>
  <c r="L20923" i="21"/>
  <c r="L20922" i="21"/>
  <c r="L20920" i="21"/>
  <c r="L20919" i="21"/>
  <c r="L20918" i="21"/>
  <c r="L20917" i="21"/>
  <c r="L20916" i="21"/>
  <c r="L20915" i="21"/>
  <c r="L20914" i="21"/>
  <c r="L20913" i="21"/>
  <c r="L20912" i="21"/>
  <c r="L20910" i="21"/>
  <c r="L20909" i="21"/>
  <c r="L20908" i="21"/>
  <c r="L20907" i="21"/>
  <c r="L20906" i="21"/>
  <c r="L20905" i="21"/>
  <c r="L20904" i="21"/>
  <c r="L20903" i="21"/>
  <c r="L20902" i="21"/>
  <c r="L20900" i="21"/>
  <c r="L20899" i="21"/>
  <c r="L20898" i="21"/>
  <c r="L20897" i="21"/>
  <c r="L20896" i="21"/>
  <c r="L20895" i="21"/>
  <c r="L20894" i="21"/>
  <c r="L20893" i="21"/>
  <c r="L20877" i="21" l="1"/>
  <c r="L20876" i="21"/>
  <c r="L20875" i="21"/>
  <c r="L20874" i="21"/>
  <c r="L20873" i="21"/>
  <c r="L20872" i="21"/>
  <c r="L20871" i="21"/>
  <c r="L20870" i="21"/>
  <c r="L20869" i="21"/>
  <c r="L20867" i="21"/>
  <c r="L20866" i="21"/>
  <c r="L20865" i="21"/>
  <c r="L20864" i="21"/>
  <c r="L20863" i="21"/>
  <c r="L20862" i="21"/>
  <c r="L20861" i="21"/>
  <c r="L20860" i="21"/>
  <c r="L20859" i="21"/>
  <c r="L20857" i="21"/>
  <c r="L20856" i="21"/>
  <c r="L20855" i="21"/>
  <c r="L20854" i="21"/>
  <c r="L20853" i="21"/>
  <c r="L20852" i="21"/>
  <c r="L20851" i="21"/>
  <c r="L20850" i="21"/>
  <c r="L20849" i="21"/>
  <c r="L20847" i="21"/>
  <c r="L20846" i="21"/>
  <c r="L20845" i="21"/>
  <c r="L20844" i="21"/>
  <c r="L20843" i="21"/>
  <c r="L20842" i="21"/>
  <c r="L20841" i="21"/>
  <c r="L20840" i="21"/>
  <c r="L20839" i="21"/>
  <c r="L20837" i="21"/>
  <c r="L20836" i="21"/>
  <c r="L20835" i="21"/>
  <c r="L20834" i="21"/>
  <c r="L20833" i="21"/>
  <c r="L20832" i="21"/>
  <c r="L20831" i="21"/>
  <c r="L20830" i="21"/>
  <c r="L20829" i="21"/>
  <c r="L20827" i="21"/>
  <c r="L20826" i="21"/>
  <c r="L20825" i="21"/>
  <c r="L20824" i="21"/>
  <c r="L20823" i="21"/>
  <c r="L20822" i="21"/>
  <c r="L20821" i="21"/>
  <c r="L20820" i="21"/>
  <c r="L20819" i="21"/>
  <c r="L20817" i="21"/>
  <c r="L20816" i="21"/>
  <c r="L20815" i="21"/>
  <c r="L20814" i="21"/>
  <c r="L20813" i="21"/>
  <c r="L20812" i="21"/>
  <c r="L20811" i="21"/>
  <c r="L20810" i="21"/>
  <c r="L20809" i="21"/>
  <c r="L20807" i="21"/>
  <c r="L20806" i="21"/>
  <c r="L20805" i="21"/>
  <c r="L20804" i="21"/>
  <c r="L20803" i="21"/>
  <c r="L20802" i="21"/>
  <c r="L20801" i="21"/>
  <c r="L20800" i="21"/>
  <c r="L20799" i="21"/>
  <c r="L20797" i="21"/>
  <c r="L20796" i="21"/>
  <c r="L20795" i="21"/>
  <c r="L20794" i="21"/>
  <c r="L20793" i="21"/>
  <c r="L20792" i="21"/>
  <c r="L20791" i="21"/>
  <c r="L20790" i="21"/>
  <c r="A20982" i="21" l="1"/>
  <c r="B20994" i="21" l="1"/>
  <c r="B21004" i="21"/>
  <c r="A20879" i="21"/>
  <c r="D21004" i="21" l="1"/>
  <c r="E21004" i="21"/>
  <c r="C21004" i="21"/>
  <c r="B21005" i="21" s="1"/>
  <c r="D21005" i="21" s="1"/>
  <c r="E20994" i="21"/>
  <c r="D20994" i="21"/>
  <c r="C20994" i="21"/>
  <c r="B20995" i="21" s="1"/>
  <c r="C20995" i="21" s="1"/>
  <c r="B20901" i="21"/>
  <c r="E20901" i="21" s="1"/>
  <c r="B20891" i="21"/>
  <c r="C20891" i="21" s="1"/>
  <c r="D20995" i="21" l="1"/>
  <c r="D20891" i="21"/>
  <c r="C21005" i="21"/>
  <c r="D20901" i="21"/>
  <c r="E21005" i="21"/>
  <c r="E20995" i="21"/>
  <c r="B20996" i="21"/>
  <c r="B21006" i="21"/>
  <c r="C20901" i="21"/>
  <c r="B20902" i="21" s="1"/>
  <c r="E20891" i="21"/>
  <c r="B20892" i="21"/>
  <c r="C20996" i="21" l="1"/>
  <c r="E20996" i="21"/>
  <c r="D20996" i="21"/>
  <c r="C21006" i="21"/>
  <c r="E21006" i="21"/>
  <c r="D21006" i="21"/>
  <c r="C20902" i="21"/>
  <c r="D20902" i="21"/>
  <c r="E20902" i="21"/>
  <c r="C20892" i="21"/>
  <c r="D20892" i="21"/>
  <c r="E20892" i="21"/>
  <c r="B21007" i="21" l="1"/>
  <c r="B20997" i="21"/>
  <c r="B20893" i="21"/>
  <c r="B20903" i="21"/>
  <c r="C21007" i="21" l="1"/>
  <c r="D21007" i="21"/>
  <c r="E21007" i="21"/>
  <c r="C20997" i="21"/>
  <c r="D20997" i="21"/>
  <c r="E20997" i="21"/>
  <c r="E20903" i="21"/>
  <c r="D20903" i="21"/>
  <c r="C20903" i="21"/>
  <c r="E20893" i="21"/>
  <c r="D20893" i="21"/>
  <c r="C20893" i="21"/>
  <c r="B20998" i="21" l="1"/>
  <c r="B21008" i="21"/>
  <c r="B20894" i="21"/>
  <c r="B20904" i="21"/>
  <c r="E21008" i="21" l="1"/>
  <c r="D21008" i="21"/>
  <c r="C21008" i="21"/>
  <c r="C20998" i="21"/>
  <c r="E20998" i="21"/>
  <c r="D20998" i="21"/>
  <c r="C20904" i="21"/>
  <c r="D20904" i="21"/>
  <c r="E20904" i="21"/>
  <c r="D20894" i="21"/>
  <c r="C20894" i="21"/>
  <c r="E20894" i="21"/>
  <c r="B20999" i="21" l="1"/>
  <c r="B21009" i="21"/>
  <c r="B20895" i="21"/>
  <c r="B20905" i="21"/>
  <c r="C21009" i="21" l="1"/>
  <c r="B21010" i="21" s="1"/>
  <c r="D21009" i="21"/>
  <c r="D20999" i="21"/>
  <c r="C20999" i="21"/>
  <c r="E20905" i="21"/>
  <c r="D20905" i="21"/>
  <c r="C20905" i="21"/>
  <c r="E20895" i="21"/>
  <c r="D20895" i="21"/>
  <c r="C20895" i="21"/>
  <c r="B21000" i="21" l="1"/>
  <c r="E20999" i="21" s="1"/>
  <c r="E21009" i="21"/>
  <c r="D21010" i="21"/>
  <c r="E21010" i="21"/>
  <c r="B20896" i="21"/>
  <c r="B20906" i="21"/>
  <c r="A20989" i="21" l="1"/>
  <c r="D21000" i="21"/>
  <c r="E21000" i="21"/>
  <c r="D20896" i="21"/>
  <c r="C20896" i="21"/>
  <c r="B20897" i="21" s="1"/>
  <c r="C20906" i="21"/>
  <c r="D20906" i="21"/>
  <c r="A20986" i="21" l="1"/>
  <c r="E20896" i="21"/>
  <c r="D20897" i="21"/>
  <c r="E20897" i="21"/>
  <c r="B20907" i="21"/>
  <c r="E20906" i="21" s="1"/>
  <c r="D20907" i="21" l="1"/>
  <c r="E20907" i="21"/>
  <c r="A20883" i="21"/>
  <c r="A20886" i="21" l="1"/>
  <c r="K20" i="10"/>
  <c r="K19" i="4"/>
  <c r="L20774" i="21"/>
  <c r="L20773" i="21"/>
  <c r="L20772" i="21"/>
  <c r="L20771" i="21"/>
  <c r="L20770" i="21"/>
  <c r="L20769" i="21"/>
  <c r="L20768" i="21"/>
  <c r="L20767" i="21"/>
  <c r="L20766" i="21"/>
  <c r="L20764" i="21"/>
  <c r="L20763" i="21"/>
  <c r="L20762" i="21"/>
  <c r="L20761" i="21"/>
  <c r="L20760" i="21"/>
  <c r="L20759" i="21"/>
  <c r="L20758" i="21"/>
  <c r="L20757" i="21"/>
  <c r="L20756" i="21"/>
  <c r="L20754" i="21"/>
  <c r="L20753" i="21"/>
  <c r="L20752" i="21"/>
  <c r="L20751" i="21"/>
  <c r="L20750" i="21"/>
  <c r="L20749" i="21"/>
  <c r="L20748" i="21"/>
  <c r="L20747" i="21"/>
  <c r="L20746" i="21"/>
  <c r="L20744" i="21"/>
  <c r="L20743" i="21"/>
  <c r="L20742" i="21"/>
  <c r="L20741" i="21"/>
  <c r="L20740" i="21"/>
  <c r="L20739" i="21"/>
  <c r="L20738" i="21"/>
  <c r="L20737" i="21"/>
  <c r="L20736" i="21"/>
  <c r="L20734" i="21"/>
  <c r="L20733" i="21"/>
  <c r="L20732" i="21"/>
  <c r="L20731" i="21"/>
  <c r="L20730" i="21"/>
  <c r="L20729" i="21"/>
  <c r="L20728" i="21"/>
  <c r="L20727" i="21"/>
  <c r="L20726" i="21"/>
  <c r="L20724" i="21"/>
  <c r="L20723" i="21"/>
  <c r="L20722" i="21"/>
  <c r="L20721" i="21"/>
  <c r="L20720" i="21"/>
  <c r="L20719" i="21"/>
  <c r="L20718" i="21"/>
  <c r="L20717" i="21"/>
  <c r="L20716" i="21"/>
  <c r="L20714" i="21"/>
  <c r="L20713" i="21"/>
  <c r="L20712" i="21"/>
  <c r="L20711" i="21"/>
  <c r="L20710" i="21"/>
  <c r="L20709" i="21"/>
  <c r="L20708" i="21"/>
  <c r="L20707" i="21"/>
  <c r="L20706" i="21"/>
  <c r="L20704" i="21"/>
  <c r="L20703" i="21"/>
  <c r="L20702" i="21"/>
  <c r="L20701" i="21"/>
  <c r="L20700" i="21"/>
  <c r="L20699" i="21"/>
  <c r="L20698" i="21"/>
  <c r="L20697" i="21"/>
  <c r="L20696" i="21"/>
  <c r="L20694" i="21"/>
  <c r="L20693" i="21"/>
  <c r="L20692" i="21"/>
  <c r="L20691" i="21"/>
  <c r="L20690" i="21"/>
  <c r="L20689" i="21"/>
  <c r="L20688" i="21"/>
  <c r="L20687" i="21"/>
  <c r="L20671" i="21" l="1"/>
  <c r="L20670" i="21"/>
  <c r="L20669" i="21"/>
  <c r="L20668" i="21"/>
  <c r="L20667" i="21"/>
  <c r="L20666" i="21"/>
  <c r="L20665" i="21"/>
  <c r="L20664" i="21"/>
  <c r="L20663" i="21"/>
  <c r="L20661" i="21"/>
  <c r="L20660" i="21"/>
  <c r="L20659" i="21"/>
  <c r="L20658" i="21"/>
  <c r="L20657" i="21"/>
  <c r="L20656" i="21"/>
  <c r="L20655" i="21"/>
  <c r="L20654" i="21"/>
  <c r="L20653" i="21"/>
  <c r="L20651" i="21"/>
  <c r="L20650" i="21"/>
  <c r="L20649" i="21"/>
  <c r="L20648" i="21"/>
  <c r="L20647" i="21"/>
  <c r="L20646" i="21"/>
  <c r="L20645" i="21"/>
  <c r="L20644" i="21"/>
  <c r="L20643" i="21"/>
  <c r="L20641" i="21"/>
  <c r="L20640" i="21"/>
  <c r="L20639" i="21"/>
  <c r="L20638" i="21"/>
  <c r="L20637" i="21"/>
  <c r="L20636" i="21"/>
  <c r="L20635" i="21"/>
  <c r="L20634" i="21"/>
  <c r="L20633" i="21"/>
  <c r="L20631" i="21"/>
  <c r="L20630" i="21"/>
  <c r="L20629" i="21"/>
  <c r="L20628" i="21"/>
  <c r="L20627" i="21"/>
  <c r="L20626" i="21"/>
  <c r="L20625" i="21"/>
  <c r="L20624" i="21"/>
  <c r="L20623" i="21"/>
  <c r="L20621" i="21"/>
  <c r="L20620" i="21"/>
  <c r="L20619" i="21"/>
  <c r="L20618" i="21"/>
  <c r="L20617" i="21"/>
  <c r="L20616" i="21"/>
  <c r="L20615" i="21"/>
  <c r="L20614" i="21"/>
  <c r="L20613" i="21"/>
  <c r="L20611" i="21"/>
  <c r="L20610" i="21"/>
  <c r="L20609" i="21"/>
  <c r="L20608" i="21"/>
  <c r="L20607" i="21"/>
  <c r="L20606" i="21"/>
  <c r="L20605" i="21"/>
  <c r="L20604" i="21"/>
  <c r="L20603" i="21"/>
  <c r="L20601" i="21"/>
  <c r="L20600" i="21"/>
  <c r="L20599" i="21"/>
  <c r="L20598" i="21"/>
  <c r="L20597" i="21"/>
  <c r="L20596" i="21"/>
  <c r="L20595" i="21"/>
  <c r="L20594" i="21"/>
  <c r="L20593" i="21"/>
  <c r="L20591" i="21"/>
  <c r="L20590" i="21"/>
  <c r="L20589" i="21"/>
  <c r="L20588" i="21"/>
  <c r="L20587" i="21"/>
  <c r="L20586" i="21"/>
  <c r="L20585" i="21"/>
  <c r="L20584" i="21"/>
  <c r="L20568" i="21"/>
  <c r="L20567" i="21"/>
  <c r="L20566" i="21"/>
  <c r="L20565" i="21"/>
  <c r="L20564" i="21"/>
  <c r="L20563" i="21"/>
  <c r="L20562" i="21"/>
  <c r="L20561" i="21"/>
  <c r="L20560" i="21"/>
  <c r="L20558" i="21"/>
  <c r="L20557" i="21"/>
  <c r="L20556" i="21"/>
  <c r="L20555" i="21"/>
  <c r="L20554" i="21"/>
  <c r="L20553" i="21"/>
  <c r="L20552" i="21"/>
  <c r="L20551" i="21"/>
  <c r="L20550" i="21"/>
  <c r="L20548" i="21"/>
  <c r="L20547" i="21"/>
  <c r="L20546" i="21"/>
  <c r="L20545" i="21"/>
  <c r="L20544" i="21"/>
  <c r="L20543" i="21"/>
  <c r="L20542" i="21"/>
  <c r="L20541" i="21"/>
  <c r="L20540" i="21"/>
  <c r="L20538" i="21"/>
  <c r="L20537" i="21"/>
  <c r="L20536" i="21"/>
  <c r="L20535" i="21"/>
  <c r="L20534" i="21"/>
  <c r="L20533" i="21"/>
  <c r="L20532" i="21"/>
  <c r="L20531" i="21"/>
  <c r="L20530" i="21"/>
  <c r="L20528" i="21"/>
  <c r="L20527" i="21"/>
  <c r="L20526" i="21"/>
  <c r="L20525" i="21"/>
  <c r="L20524" i="21"/>
  <c r="L20523" i="21"/>
  <c r="L20522" i="21"/>
  <c r="L20521" i="21"/>
  <c r="L20520" i="21"/>
  <c r="L20518" i="21"/>
  <c r="L20517" i="21"/>
  <c r="L20516" i="21"/>
  <c r="L20515" i="21"/>
  <c r="L20514" i="21"/>
  <c r="L20513" i="21"/>
  <c r="L20512" i="21"/>
  <c r="L20511" i="21"/>
  <c r="L20510" i="21"/>
  <c r="L20508" i="21"/>
  <c r="L20507" i="21"/>
  <c r="L20506" i="21"/>
  <c r="L20505" i="21"/>
  <c r="L20504" i="21"/>
  <c r="L20503" i="21"/>
  <c r="L20502" i="21"/>
  <c r="L20501" i="21"/>
  <c r="L20500" i="21"/>
  <c r="L20498" i="21"/>
  <c r="L20497" i="21"/>
  <c r="L20496" i="21"/>
  <c r="L20495" i="21"/>
  <c r="L20494" i="21"/>
  <c r="L20493" i="21"/>
  <c r="L20492" i="21"/>
  <c r="L20491" i="21"/>
  <c r="L20490" i="21"/>
  <c r="L20488" i="21"/>
  <c r="L20487" i="21"/>
  <c r="L20486" i="21"/>
  <c r="L20485" i="21"/>
  <c r="L20484" i="21"/>
  <c r="L20483" i="21"/>
  <c r="L20482" i="21"/>
  <c r="L20481" i="21"/>
  <c r="L20465" i="21"/>
  <c r="L20464" i="21"/>
  <c r="L20463" i="21"/>
  <c r="L20462" i="21"/>
  <c r="L20461" i="21"/>
  <c r="L20460" i="21"/>
  <c r="L20459" i="21"/>
  <c r="L20458" i="21"/>
  <c r="L20457" i="21"/>
  <c r="L20455" i="21"/>
  <c r="L20454" i="21"/>
  <c r="L20453" i="21"/>
  <c r="L20452" i="21"/>
  <c r="L20451" i="21"/>
  <c r="L20450" i="21"/>
  <c r="L20449" i="21"/>
  <c r="L20448" i="21"/>
  <c r="L20447" i="21"/>
  <c r="L20445" i="21"/>
  <c r="L20444" i="21"/>
  <c r="L20443" i="21"/>
  <c r="L20442" i="21"/>
  <c r="L20441" i="21"/>
  <c r="L20440" i="21"/>
  <c r="L20439" i="21"/>
  <c r="L20438" i="21"/>
  <c r="L20437" i="21"/>
  <c r="L20435" i="21"/>
  <c r="L20434" i="21"/>
  <c r="L20433" i="21"/>
  <c r="L20432" i="21"/>
  <c r="L20431" i="21"/>
  <c r="L20430" i="21"/>
  <c r="L20429" i="21"/>
  <c r="L20428" i="21"/>
  <c r="L20427" i="21"/>
  <c r="L20425" i="21"/>
  <c r="L20424" i="21"/>
  <c r="L20423" i="21"/>
  <c r="L20422" i="21"/>
  <c r="L20421" i="21"/>
  <c r="L20420" i="21"/>
  <c r="L20419" i="21"/>
  <c r="L20418" i="21"/>
  <c r="L20417" i="21"/>
  <c r="L20415" i="21"/>
  <c r="L20414" i="21"/>
  <c r="L20413" i="21"/>
  <c r="L20412" i="21"/>
  <c r="L20411" i="21"/>
  <c r="L20410" i="21"/>
  <c r="L20409" i="21"/>
  <c r="L20408" i="21"/>
  <c r="L20407" i="21"/>
  <c r="L20405" i="21"/>
  <c r="L20404" i="21"/>
  <c r="L20403" i="21"/>
  <c r="L20402" i="21"/>
  <c r="L20401" i="21"/>
  <c r="L20400" i="21"/>
  <c r="L20399" i="21"/>
  <c r="L20398" i="21"/>
  <c r="L20397" i="21"/>
  <c r="L20395" i="21"/>
  <c r="L20394" i="21"/>
  <c r="L20393" i="21"/>
  <c r="L20392" i="21"/>
  <c r="L20391" i="21"/>
  <c r="L20390" i="21"/>
  <c r="L20389" i="21"/>
  <c r="L20388" i="21"/>
  <c r="L20387" i="21"/>
  <c r="L20385" i="21"/>
  <c r="L20384" i="21"/>
  <c r="L20383" i="21"/>
  <c r="L20382" i="21"/>
  <c r="L20381" i="21"/>
  <c r="L20380" i="21"/>
  <c r="L20379" i="21"/>
  <c r="L20378" i="21"/>
  <c r="L20362" i="21"/>
  <c r="L20361" i="21"/>
  <c r="L20360" i="21"/>
  <c r="L20359" i="21"/>
  <c r="L20358" i="21"/>
  <c r="L20357" i="21"/>
  <c r="L20356" i="21"/>
  <c r="L20355" i="21"/>
  <c r="L20354" i="21"/>
  <c r="L20352" i="21"/>
  <c r="L20351" i="21"/>
  <c r="L20350" i="21"/>
  <c r="L20349" i="21"/>
  <c r="L20348" i="21"/>
  <c r="L20347" i="21"/>
  <c r="L20346" i="21"/>
  <c r="L20345" i="21"/>
  <c r="L20344" i="21"/>
  <c r="L20342" i="21"/>
  <c r="L20341" i="21"/>
  <c r="L20340" i="21"/>
  <c r="L20339" i="21"/>
  <c r="L20338" i="21"/>
  <c r="L20337" i="21"/>
  <c r="L20336" i="21"/>
  <c r="L20335" i="21"/>
  <c r="L20334" i="21"/>
  <c r="L20332" i="21"/>
  <c r="L20331" i="21"/>
  <c r="L20330" i="21"/>
  <c r="L20329" i="21"/>
  <c r="L20328" i="21"/>
  <c r="L20327" i="21"/>
  <c r="L20326" i="21"/>
  <c r="L20325" i="21"/>
  <c r="L20324" i="21"/>
  <c r="L20322" i="21"/>
  <c r="L20321" i="21"/>
  <c r="L20320" i="21"/>
  <c r="L20319" i="21"/>
  <c r="L20318" i="21"/>
  <c r="L20317" i="21"/>
  <c r="L20316" i="21"/>
  <c r="L20315" i="21"/>
  <c r="L20314" i="21"/>
  <c r="L20312" i="21"/>
  <c r="L20311" i="21"/>
  <c r="L20310" i="21"/>
  <c r="L20309" i="21"/>
  <c r="L20308" i="21"/>
  <c r="L20307" i="21"/>
  <c r="L20306" i="21"/>
  <c r="L20305" i="21"/>
  <c r="L20304" i="21"/>
  <c r="L20302" i="21"/>
  <c r="L20301" i="21"/>
  <c r="L20300" i="21"/>
  <c r="L20299" i="21"/>
  <c r="L20298" i="21"/>
  <c r="L20297" i="21"/>
  <c r="L20296" i="21"/>
  <c r="L20295" i="21"/>
  <c r="L20294" i="21"/>
  <c r="L20292" i="21"/>
  <c r="L20291" i="21"/>
  <c r="L20290" i="21"/>
  <c r="L20289" i="21"/>
  <c r="L20288" i="21"/>
  <c r="L20287" i="21"/>
  <c r="L20286" i="21"/>
  <c r="L20285" i="21"/>
  <c r="L20284" i="21"/>
  <c r="L20282" i="21"/>
  <c r="L20281" i="21"/>
  <c r="L20280" i="21"/>
  <c r="L20279" i="21"/>
  <c r="L20278" i="21"/>
  <c r="L20277" i="21"/>
  <c r="L20276" i="21"/>
  <c r="L20275" i="21"/>
  <c r="A20570" i="21" l="1"/>
  <c r="A20467" i="21"/>
  <c r="A20364" i="21"/>
  <c r="A20261" i="21" l="1"/>
  <c r="B20283" i="21" s="1"/>
  <c r="B20582" i="21"/>
  <c r="B20592" i="21"/>
  <c r="B20479" i="21"/>
  <c r="B20489" i="21"/>
  <c r="B20376" i="21"/>
  <c r="B20386" i="21"/>
  <c r="B20273" i="21" l="1"/>
  <c r="D20273" i="21" s="1"/>
  <c r="D20592" i="21"/>
  <c r="C20592" i="21"/>
  <c r="B20593" i="21" s="1"/>
  <c r="E20592" i="21"/>
  <c r="D20582" i="21"/>
  <c r="E20582" i="21"/>
  <c r="C20582" i="21"/>
  <c r="D20489" i="21"/>
  <c r="C20489" i="21"/>
  <c r="B20490" i="21" s="1"/>
  <c r="E20489" i="21"/>
  <c r="C20479" i="21"/>
  <c r="D20479" i="21"/>
  <c r="E20479" i="21"/>
  <c r="D20283" i="21"/>
  <c r="C20283" i="21"/>
  <c r="B20284" i="21" s="1"/>
  <c r="E20284" i="21" s="1"/>
  <c r="E20283" i="21"/>
  <c r="C20376" i="21"/>
  <c r="D20376" i="21"/>
  <c r="E20376" i="21"/>
  <c r="E20386" i="21"/>
  <c r="D20386" i="21"/>
  <c r="C20386" i="21"/>
  <c r="B20387" i="21" s="1"/>
  <c r="E20273" i="21" l="1"/>
  <c r="C20273" i="21"/>
  <c r="B20274" i="21" s="1"/>
  <c r="B20583" i="21"/>
  <c r="C20593" i="21"/>
  <c r="B20594" i="21" s="1"/>
  <c r="D20593" i="21"/>
  <c r="E20593" i="21"/>
  <c r="B20480" i="21"/>
  <c r="C20490" i="21"/>
  <c r="B20491" i="21" s="1"/>
  <c r="D20490" i="21"/>
  <c r="E20490" i="21"/>
  <c r="D20284" i="21"/>
  <c r="C20284" i="21"/>
  <c r="B20285" i="21" s="1"/>
  <c r="C20387" i="21"/>
  <c r="B20388" i="21" s="1"/>
  <c r="D20387" i="21"/>
  <c r="E20387" i="21"/>
  <c r="B20377" i="21"/>
  <c r="E20594" i="21" l="1"/>
  <c r="C20594" i="21"/>
  <c r="C20491" i="21"/>
  <c r="D20491" i="21"/>
  <c r="E20491" i="21"/>
  <c r="E20388" i="21"/>
  <c r="C20388" i="21"/>
  <c r="D20594" i="21"/>
  <c r="D20583" i="21"/>
  <c r="C20583" i="21"/>
  <c r="E20583" i="21"/>
  <c r="D20480" i="21"/>
  <c r="C20480" i="21"/>
  <c r="E20480" i="21"/>
  <c r="D20388" i="21"/>
  <c r="E20285" i="21"/>
  <c r="D20285" i="21"/>
  <c r="C20285" i="21"/>
  <c r="C20274" i="21"/>
  <c r="D20274" i="21"/>
  <c r="E20274" i="21"/>
  <c r="B20595" i="21"/>
  <c r="B20492" i="21"/>
  <c r="C20377" i="21"/>
  <c r="D20377" i="21"/>
  <c r="E20377" i="21"/>
  <c r="B20389" i="21"/>
  <c r="B20286" i="21"/>
  <c r="A21085" i="21" l="1"/>
  <c r="B20584" i="21"/>
  <c r="B20481" i="21"/>
  <c r="B20275" i="21"/>
  <c r="D20595" i="21"/>
  <c r="C20595" i="21"/>
  <c r="E20595" i="21"/>
  <c r="D20492" i="21"/>
  <c r="C20492" i="21"/>
  <c r="E20492" i="21"/>
  <c r="B20378" i="21"/>
  <c r="D20389" i="21"/>
  <c r="C20389" i="21"/>
  <c r="E20389" i="21"/>
  <c r="D20286" i="21"/>
  <c r="C20286" i="21"/>
  <c r="E20286" i="21"/>
  <c r="A21188" i="21" l="1"/>
  <c r="B21200" i="21" s="1"/>
  <c r="B21097" i="21"/>
  <c r="B21107" i="21"/>
  <c r="A20673" i="21"/>
  <c r="C20584" i="21"/>
  <c r="E20584" i="21"/>
  <c r="D20584" i="21"/>
  <c r="C20481" i="21"/>
  <c r="E20481" i="21"/>
  <c r="D20481" i="21"/>
  <c r="C20275" i="21"/>
  <c r="E20275" i="21"/>
  <c r="D20275" i="21"/>
  <c r="B20596" i="21"/>
  <c r="B20493" i="21"/>
  <c r="C20378" i="21"/>
  <c r="E20378" i="21"/>
  <c r="D20378" i="21"/>
  <c r="B20390" i="21"/>
  <c r="B20287" i="21"/>
  <c r="B21210" i="21" l="1"/>
  <c r="C21210" i="21" s="1"/>
  <c r="D21200" i="21"/>
  <c r="C21200" i="21"/>
  <c r="E21200" i="21"/>
  <c r="E21107" i="21"/>
  <c r="C21107" i="21"/>
  <c r="D21107" i="21"/>
  <c r="D21097" i="21"/>
  <c r="C21097" i="21"/>
  <c r="E21097" i="21"/>
  <c r="B20685" i="21"/>
  <c r="B20695" i="21"/>
  <c r="B20585" i="21"/>
  <c r="B20482" i="21"/>
  <c r="B20276" i="21"/>
  <c r="E20596" i="21"/>
  <c r="C20596" i="21"/>
  <c r="D20596" i="21"/>
  <c r="E20493" i="21"/>
  <c r="C20493" i="21"/>
  <c r="D20493" i="21"/>
  <c r="B20379" i="21"/>
  <c r="E20390" i="21"/>
  <c r="C20390" i="21"/>
  <c r="D20390" i="21"/>
  <c r="E20287" i="21"/>
  <c r="C20287" i="21"/>
  <c r="D20287" i="21"/>
  <c r="E21210" i="21" l="1"/>
  <c r="D21210" i="21"/>
  <c r="B21211" i="21"/>
  <c r="B21201" i="21"/>
  <c r="B21098" i="21"/>
  <c r="B21108" i="21"/>
  <c r="D20685" i="21"/>
  <c r="E20685" i="21"/>
  <c r="C20685" i="21"/>
  <c r="D20695" i="21"/>
  <c r="C20695" i="21"/>
  <c r="E20695" i="21"/>
  <c r="D20585" i="21"/>
  <c r="C20585" i="21"/>
  <c r="E20585" i="21"/>
  <c r="D20482" i="21"/>
  <c r="C20482" i="21"/>
  <c r="E20482" i="21"/>
  <c r="C20276" i="21"/>
  <c r="D20276" i="21"/>
  <c r="E20276" i="21"/>
  <c r="B20597" i="21"/>
  <c r="B20494" i="21"/>
  <c r="C20379" i="21"/>
  <c r="D20379" i="21"/>
  <c r="E20379" i="21"/>
  <c r="B20391" i="21"/>
  <c r="B20288" i="21"/>
  <c r="C21211" i="21" l="1"/>
  <c r="D21211" i="21"/>
  <c r="E21211" i="21"/>
  <c r="C21201" i="21"/>
  <c r="D21201" i="21"/>
  <c r="E21201" i="21"/>
  <c r="C21108" i="21"/>
  <c r="D21108" i="21"/>
  <c r="E21108" i="21"/>
  <c r="C21098" i="21"/>
  <c r="D21098" i="21"/>
  <c r="E21098" i="21"/>
  <c r="B20686" i="21"/>
  <c r="B20696" i="21"/>
  <c r="B20586" i="21"/>
  <c r="B20483" i="21"/>
  <c r="B20277" i="21"/>
  <c r="D20597" i="21"/>
  <c r="C20597" i="21"/>
  <c r="D20494" i="21"/>
  <c r="C20494" i="21"/>
  <c r="B20380" i="21"/>
  <c r="D20391" i="21"/>
  <c r="C20391" i="21"/>
  <c r="D20288" i="21"/>
  <c r="C20288" i="21"/>
  <c r="B21202" i="21" l="1"/>
  <c r="B21212" i="21"/>
  <c r="B21099" i="21"/>
  <c r="B21109" i="21"/>
  <c r="D20696" i="21"/>
  <c r="C20696" i="21"/>
  <c r="E20696" i="21"/>
  <c r="C20686" i="21"/>
  <c r="D20686" i="21"/>
  <c r="E20686" i="21"/>
  <c r="C20586" i="21"/>
  <c r="E20586" i="21"/>
  <c r="D20586" i="21"/>
  <c r="E20483" i="21"/>
  <c r="D20483" i="21"/>
  <c r="C20483" i="21"/>
  <c r="C20277" i="21"/>
  <c r="E20277" i="21"/>
  <c r="D20277" i="21"/>
  <c r="B20598" i="21"/>
  <c r="E20597" i="21" s="1"/>
  <c r="B20495" i="21"/>
  <c r="E20494" i="21" s="1"/>
  <c r="C20380" i="21"/>
  <c r="E20380" i="21"/>
  <c r="D20380" i="21"/>
  <c r="B20392" i="21"/>
  <c r="E20391" i="21" s="1"/>
  <c r="B20289" i="21"/>
  <c r="E20288" i="21" s="1"/>
  <c r="L20259" i="21"/>
  <c r="L20258" i="21"/>
  <c r="L20257" i="21"/>
  <c r="L20256" i="21"/>
  <c r="L20255" i="21"/>
  <c r="L20254" i="21"/>
  <c r="L20253" i="21"/>
  <c r="L20252" i="21"/>
  <c r="L20251" i="21"/>
  <c r="L20249" i="21"/>
  <c r="L20248" i="21"/>
  <c r="L20247" i="21"/>
  <c r="L20246" i="21"/>
  <c r="L20245" i="21"/>
  <c r="L20244" i="21"/>
  <c r="L20243" i="21"/>
  <c r="L20242" i="21"/>
  <c r="L20241" i="21"/>
  <c r="L20239" i="21"/>
  <c r="L20238" i="21"/>
  <c r="L20237" i="21"/>
  <c r="L20236" i="21"/>
  <c r="L20235" i="21"/>
  <c r="L20234" i="21"/>
  <c r="L20233" i="21"/>
  <c r="L20232" i="21"/>
  <c r="L20231" i="21"/>
  <c r="L20229" i="21"/>
  <c r="L20228" i="21"/>
  <c r="L20227" i="21"/>
  <c r="L20226" i="21"/>
  <c r="L20225" i="21"/>
  <c r="L20224" i="21"/>
  <c r="L20223" i="21"/>
  <c r="L20222" i="21"/>
  <c r="L20221" i="21"/>
  <c r="L20219" i="21"/>
  <c r="L20218" i="21"/>
  <c r="L20217" i="21"/>
  <c r="L20216" i="21"/>
  <c r="L20215" i="21"/>
  <c r="L20214" i="21"/>
  <c r="L20213" i="21"/>
  <c r="L20212" i="21"/>
  <c r="L20211" i="21"/>
  <c r="L20209" i="21"/>
  <c r="L20208" i="21"/>
  <c r="L20207" i="21"/>
  <c r="L20206" i="21"/>
  <c r="L20205" i="21"/>
  <c r="L20204" i="21"/>
  <c r="L20203" i="21"/>
  <c r="L20202" i="21"/>
  <c r="L20201" i="21"/>
  <c r="L20199" i="21"/>
  <c r="L20198" i="21"/>
  <c r="L20197" i="21"/>
  <c r="L20196" i="21"/>
  <c r="L20195" i="21"/>
  <c r="L20194" i="21"/>
  <c r="L20193" i="21"/>
  <c r="L20192" i="21"/>
  <c r="L20191" i="21"/>
  <c r="L20189" i="21"/>
  <c r="L20188" i="21"/>
  <c r="L20187" i="21"/>
  <c r="L20186" i="21"/>
  <c r="L20185" i="21"/>
  <c r="L20184" i="21"/>
  <c r="L20183" i="21"/>
  <c r="L20182" i="21"/>
  <c r="L20181" i="21"/>
  <c r="L20179" i="21"/>
  <c r="L20178" i="21"/>
  <c r="L20177" i="21"/>
  <c r="L20176" i="21"/>
  <c r="L20175" i="21"/>
  <c r="L20174" i="21"/>
  <c r="L20173" i="21"/>
  <c r="L20172" i="21"/>
  <c r="A21291" i="21" l="1"/>
  <c r="D21212" i="21"/>
  <c r="C21212" i="21"/>
  <c r="E21212" i="21"/>
  <c r="E21202" i="21"/>
  <c r="D21202" i="21"/>
  <c r="C21202" i="21"/>
  <c r="E21109" i="21"/>
  <c r="D21109" i="21"/>
  <c r="C21109" i="21"/>
  <c r="D21099" i="21"/>
  <c r="C21099" i="21"/>
  <c r="E21099" i="21"/>
  <c r="B20687" i="21"/>
  <c r="B20697" i="21"/>
  <c r="B20587" i="21"/>
  <c r="B20484" i="21"/>
  <c r="B20278" i="21"/>
  <c r="D20598" i="21"/>
  <c r="E20598" i="21"/>
  <c r="D20495" i="21"/>
  <c r="E20495" i="21"/>
  <c r="B20381" i="21"/>
  <c r="D20392" i="21"/>
  <c r="E20392" i="21"/>
  <c r="D20289" i="21"/>
  <c r="E20289" i="21"/>
  <c r="L20156" i="21"/>
  <c r="L20155" i="21"/>
  <c r="L20154" i="21"/>
  <c r="L20153" i="21"/>
  <c r="L20152" i="21"/>
  <c r="L20151" i="21"/>
  <c r="L20150" i="21"/>
  <c r="L20149" i="21"/>
  <c r="L20148" i="21"/>
  <c r="L20146" i="21"/>
  <c r="L20145" i="21"/>
  <c r="L20144" i="21"/>
  <c r="L20143" i="21"/>
  <c r="L20142" i="21"/>
  <c r="L20141" i="21"/>
  <c r="L20140" i="21"/>
  <c r="L20139" i="21"/>
  <c r="L20138" i="21"/>
  <c r="L20136" i="21"/>
  <c r="L20135" i="21"/>
  <c r="L20134" i="21"/>
  <c r="L20133" i="21"/>
  <c r="L20132" i="21"/>
  <c r="L20131" i="21"/>
  <c r="L20130" i="21"/>
  <c r="L20129" i="21"/>
  <c r="L20128" i="21"/>
  <c r="L20126" i="21"/>
  <c r="L20125" i="21"/>
  <c r="L20124" i="21"/>
  <c r="L20123" i="21"/>
  <c r="L20122" i="21"/>
  <c r="L20121" i="21"/>
  <c r="L20120" i="21"/>
  <c r="L20119" i="21"/>
  <c r="L20118" i="21"/>
  <c r="L20116" i="21"/>
  <c r="L20115" i="21"/>
  <c r="L20114" i="21"/>
  <c r="L20113" i="21"/>
  <c r="L20112" i="21"/>
  <c r="L20111" i="21"/>
  <c r="L20110" i="21"/>
  <c r="L20109" i="21"/>
  <c r="L20108" i="21"/>
  <c r="L20106" i="21"/>
  <c r="L20105" i="21"/>
  <c r="L20104" i="21"/>
  <c r="L20103" i="21"/>
  <c r="L20102" i="21"/>
  <c r="L20101" i="21"/>
  <c r="L20100" i="21"/>
  <c r="L20099" i="21"/>
  <c r="L20098" i="21"/>
  <c r="L20096" i="21"/>
  <c r="L20095" i="21"/>
  <c r="L20094" i="21"/>
  <c r="L20093" i="21"/>
  <c r="L20092" i="21"/>
  <c r="L20091" i="21"/>
  <c r="L20090" i="21"/>
  <c r="L20089" i="21"/>
  <c r="L20088" i="21"/>
  <c r="L20086" i="21"/>
  <c r="L20085" i="21"/>
  <c r="L20084" i="21"/>
  <c r="L20083" i="21"/>
  <c r="L20082" i="21"/>
  <c r="L20081" i="21"/>
  <c r="L20080" i="21"/>
  <c r="L20079" i="21"/>
  <c r="L20078" i="21"/>
  <c r="L20076" i="21"/>
  <c r="L20075" i="21"/>
  <c r="L20074" i="21"/>
  <c r="L20073" i="21"/>
  <c r="L20072" i="21"/>
  <c r="L20071" i="21"/>
  <c r="L20070" i="21"/>
  <c r="L20069" i="21"/>
  <c r="A21806" i="21" l="1"/>
  <c r="B21303" i="21"/>
  <c r="B21313" i="21"/>
  <c r="B21213" i="21"/>
  <c r="B21203" i="21"/>
  <c r="B21100" i="21"/>
  <c r="B21110" i="21"/>
  <c r="C20697" i="21"/>
  <c r="D20697" i="21"/>
  <c r="E20697" i="21"/>
  <c r="D20687" i="21"/>
  <c r="E20687" i="21"/>
  <c r="C20687" i="21"/>
  <c r="D20587" i="21"/>
  <c r="C20587" i="21"/>
  <c r="D20484" i="21"/>
  <c r="C20484" i="21"/>
  <c r="B20485" i="21" s="1"/>
  <c r="A20371" i="21"/>
  <c r="D20278" i="21"/>
  <c r="C20278" i="21"/>
  <c r="B20279" i="21" s="1"/>
  <c r="A20577" i="21"/>
  <c r="A20474" i="21"/>
  <c r="C20381" i="21"/>
  <c r="B20382" i="21" s="1"/>
  <c r="D20381" i="21"/>
  <c r="A20268" i="21"/>
  <c r="B21818" i="21" l="1"/>
  <c r="B21828" i="21"/>
  <c r="D21313" i="21"/>
  <c r="E21313" i="21"/>
  <c r="C21313" i="21"/>
  <c r="B21314" i="21" s="1"/>
  <c r="E21303" i="21"/>
  <c r="C21303" i="21"/>
  <c r="B21304" i="21" s="1"/>
  <c r="D21303" i="21"/>
  <c r="D21213" i="21"/>
  <c r="C21213" i="21"/>
  <c r="E21213" i="21"/>
  <c r="D21203" i="21"/>
  <c r="C21203" i="21"/>
  <c r="E21203" i="21"/>
  <c r="C21110" i="21"/>
  <c r="D21110" i="21"/>
  <c r="E21110" i="21"/>
  <c r="C21100" i="21"/>
  <c r="D21100" i="21"/>
  <c r="E21100" i="21"/>
  <c r="B20688" i="21"/>
  <c r="B20698" i="21"/>
  <c r="B20588" i="21"/>
  <c r="E20587" i="21" s="1"/>
  <c r="E20484" i="21"/>
  <c r="E20485" i="21"/>
  <c r="D20485" i="21"/>
  <c r="E20278" i="21"/>
  <c r="D20279" i="21"/>
  <c r="E20279" i="21"/>
  <c r="E20381" i="21"/>
  <c r="E20382" i="21"/>
  <c r="D20382" i="21"/>
  <c r="E21818" i="21" l="1"/>
  <c r="D21818" i="21"/>
  <c r="C21818" i="21"/>
  <c r="E21828" i="21"/>
  <c r="D21828" i="21"/>
  <c r="C21828" i="21"/>
  <c r="D21304" i="21"/>
  <c r="E21304" i="21"/>
  <c r="C21304" i="21"/>
  <c r="B21305" i="21" s="1"/>
  <c r="C21314" i="21"/>
  <c r="B21315" i="21" s="1"/>
  <c r="C21315" i="21" s="1"/>
  <c r="D21314" i="21"/>
  <c r="E21314" i="21"/>
  <c r="E21315" i="21"/>
  <c r="B21214" i="21"/>
  <c r="B21204" i="21"/>
  <c r="B21101" i="21"/>
  <c r="B21111" i="21"/>
  <c r="C20698" i="21"/>
  <c r="B20699" i="21" s="1"/>
  <c r="D20698" i="21"/>
  <c r="E20698" i="21"/>
  <c r="C20688" i="21"/>
  <c r="B20689" i="21" s="1"/>
  <c r="D20688" i="21"/>
  <c r="E20688" i="21"/>
  <c r="A20471" i="21"/>
  <c r="A20265" i="21"/>
  <c r="A20368" i="21"/>
  <c r="D20588" i="21"/>
  <c r="E20588" i="21"/>
  <c r="L20053" i="21"/>
  <c r="L20052" i="21"/>
  <c r="L20051" i="21"/>
  <c r="L20050" i="21"/>
  <c r="L20049" i="21"/>
  <c r="L20048" i="21"/>
  <c r="L20047" i="21"/>
  <c r="L20046" i="21"/>
  <c r="L20045" i="21"/>
  <c r="L20043" i="21"/>
  <c r="L20042" i="21"/>
  <c r="L20041" i="21"/>
  <c r="L20040" i="21"/>
  <c r="L20039" i="21"/>
  <c r="L20038" i="21"/>
  <c r="L20037" i="21"/>
  <c r="L20036" i="21"/>
  <c r="L20035" i="21"/>
  <c r="L20033" i="21"/>
  <c r="L20032" i="21"/>
  <c r="L20031" i="21"/>
  <c r="L20030" i="21"/>
  <c r="L20029" i="21"/>
  <c r="L20028" i="21"/>
  <c r="L20027" i="21"/>
  <c r="L20026" i="21"/>
  <c r="L20025" i="21"/>
  <c r="L20023" i="21"/>
  <c r="L20022" i="21"/>
  <c r="L20021" i="21"/>
  <c r="L20020" i="21"/>
  <c r="L20019" i="21"/>
  <c r="L20018" i="21"/>
  <c r="L20017" i="21"/>
  <c r="L20016" i="21"/>
  <c r="L20015" i="21"/>
  <c r="L20013" i="21"/>
  <c r="L20012" i="21"/>
  <c r="L20011" i="21"/>
  <c r="L20010" i="21"/>
  <c r="L20009" i="21"/>
  <c r="L20008" i="21"/>
  <c r="L20007" i="21"/>
  <c r="L20006" i="21"/>
  <c r="L20005" i="21"/>
  <c r="L20003" i="21"/>
  <c r="L20002" i="21"/>
  <c r="L20001" i="21"/>
  <c r="L20000" i="21"/>
  <c r="L19999" i="21"/>
  <c r="L19998" i="21"/>
  <c r="L19997" i="21"/>
  <c r="L19996" i="21"/>
  <c r="L19995" i="21"/>
  <c r="L19993" i="21"/>
  <c r="L19992" i="21"/>
  <c r="L19991" i="21"/>
  <c r="L19990" i="21"/>
  <c r="L19989" i="21"/>
  <c r="L19988" i="21"/>
  <c r="L19987" i="21"/>
  <c r="L19986" i="21"/>
  <c r="L19985" i="21"/>
  <c r="L19983" i="21"/>
  <c r="L19982" i="21"/>
  <c r="L19981" i="21"/>
  <c r="L19980" i="21"/>
  <c r="L19979" i="21"/>
  <c r="L19978" i="21"/>
  <c r="L19977" i="21"/>
  <c r="L19976" i="21"/>
  <c r="L19975" i="21"/>
  <c r="L19973" i="21"/>
  <c r="L19972" i="21"/>
  <c r="L19971" i="21"/>
  <c r="L19970" i="21"/>
  <c r="L19969" i="21"/>
  <c r="L19968" i="21"/>
  <c r="L19967" i="21"/>
  <c r="L19966" i="21"/>
  <c r="L19950" i="21"/>
  <c r="L19949" i="21"/>
  <c r="L19948" i="21"/>
  <c r="L19947" i="21"/>
  <c r="L19946" i="21"/>
  <c r="L19945" i="21"/>
  <c r="L19944" i="21"/>
  <c r="L19943" i="21"/>
  <c r="L19942" i="21"/>
  <c r="L19940" i="21"/>
  <c r="L19939" i="21"/>
  <c r="L19938" i="21"/>
  <c r="L19937" i="21"/>
  <c r="L19936" i="21"/>
  <c r="L19935" i="21"/>
  <c r="L19934" i="21"/>
  <c r="L19933" i="21"/>
  <c r="L19932" i="21"/>
  <c r="L19930" i="21"/>
  <c r="L19929" i="21"/>
  <c r="L19928" i="21"/>
  <c r="L19927" i="21"/>
  <c r="L19926" i="21"/>
  <c r="L19925" i="21"/>
  <c r="L19924" i="21"/>
  <c r="L19923" i="21"/>
  <c r="L19922" i="21"/>
  <c r="L19920" i="21"/>
  <c r="L19919" i="21"/>
  <c r="L19918" i="21"/>
  <c r="L19917" i="21"/>
  <c r="L19916" i="21"/>
  <c r="L19915" i="21"/>
  <c r="L19914" i="21"/>
  <c r="L19913" i="21"/>
  <c r="L19912" i="21"/>
  <c r="L19910" i="21"/>
  <c r="L19909" i="21"/>
  <c r="L19908" i="21"/>
  <c r="L19907" i="21"/>
  <c r="L19906" i="21"/>
  <c r="L19905" i="21"/>
  <c r="L19904" i="21"/>
  <c r="L19903" i="21"/>
  <c r="L19902" i="21"/>
  <c r="L19900" i="21"/>
  <c r="L19899" i="21"/>
  <c r="L19898" i="21"/>
  <c r="L19897" i="21"/>
  <c r="L19896" i="21"/>
  <c r="L19895" i="21"/>
  <c r="L19894" i="21"/>
  <c r="L19893" i="21"/>
  <c r="L19892" i="21"/>
  <c r="L19890" i="21"/>
  <c r="L19889" i="21"/>
  <c r="L19888" i="21"/>
  <c r="L19887" i="21"/>
  <c r="L19886" i="21"/>
  <c r="L19885" i="21"/>
  <c r="L19884" i="21"/>
  <c r="L19883" i="21"/>
  <c r="L19882" i="21"/>
  <c r="L19880" i="21"/>
  <c r="L19879" i="21"/>
  <c r="L19878" i="21"/>
  <c r="L19877" i="21"/>
  <c r="L19876" i="21"/>
  <c r="L19875" i="21"/>
  <c r="L19874" i="21"/>
  <c r="L19873" i="21"/>
  <c r="L19872" i="21"/>
  <c r="L19870" i="21"/>
  <c r="L19869" i="21"/>
  <c r="L19868" i="21"/>
  <c r="L19867" i="21"/>
  <c r="L19866" i="21"/>
  <c r="L19865" i="21"/>
  <c r="L19864" i="21"/>
  <c r="L19863" i="21"/>
  <c r="D21315" i="21" l="1"/>
  <c r="B21829" i="21"/>
  <c r="B21819" i="21"/>
  <c r="C21305" i="21"/>
  <c r="B21306" i="21" s="1"/>
  <c r="E21305" i="21"/>
  <c r="D21305" i="21"/>
  <c r="B21316" i="21"/>
  <c r="E21204" i="21"/>
  <c r="D21204" i="21"/>
  <c r="C21204" i="21"/>
  <c r="D21214" i="21"/>
  <c r="C21214" i="21"/>
  <c r="E21214" i="21"/>
  <c r="D21111" i="21"/>
  <c r="C21111" i="21"/>
  <c r="B21112" i="21" s="1"/>
  <c r="E21111" i="21"/>
  <c r="D21101" i="21"/>
  <c r="E21101" i="21"/>
  <c r="C21101" i="21"/>
  <c r="B21102" i="21" s="1"/>
  <c r="E20689" i="21"/>
  <c r="C20689" i="21"/>
  <c r="D20689" i="21"/>
  <c r="D20699" i="21"/>
  <c r="E20699" i="21"/>
  <c r="C20699" i="21"/>
  <c r="A20574" i="21"/>
  <c r="C21829" i="21" l="1"/>
  <c r="D21829" i="21"/>
  <c r="E21829" i="21"/>
  <c r="C21819" i="21"/>
  <c r="D21819" i="21"/>
  <c r="E21819" i="21"/>
  <c r="C21316" i="21"/>
  <c r="D21316" i="21"/>
  <c r="E21316" i="21"/>
  <c r="D21306" i="21"/>
  <c r="C21306" i="21"/>
  <c r="E21306" i="21"/>
  <c r="B21215" i="21"/>
  <c r="B21205" i="21"/>
  <c r="C21112" i="21"/>
  <c r="B21113" i="21" s="1"/>
  <c r="D21112" i="21"/>
  <c r="D21102" i="21"/>
  <c r="C21102" i="21"/>
  <c r="B21103" i="21" s="1"/>
  <c r="B20700" i="21"/>
  <c r="B20690" i="21"/>
  <c r="L19847" i="21"/>
  <c r="L19846" i="21"/>
  <c r="L19845" i="21"/>
  <c r="L19844" i="21"/>
  <c r="L19843" i="21"/>
  <c r="L19842" i="21"/>
  <c r="L19841" i="21"/>
  <c r="L19840" i="21"/>
  <c r="L19839" i="21"/>
  <c r="L19837" i="21"/>
  <c r="L19836" i="21"/>
  <c r="L19835" i="21"/>
  <c r="L19834" i="21"/>
  <c r="L19833" i="21"/>
  <c r="L19832" i="21"/>
  <c r="L19831" i="21"/>
  <c r="L19830" i="21"/>
  <c r="L19829" i="21"/>
  <c r="L19827" i="21"/>
  <c r="L19826" i="21"/>
  <c r="L19825" i="21"/>
  <c r="L19824" i="21"/>
  <c r="L19823" i="21"/>
  <c r="L19822" i="21"/>
  <c r="L19821" i="21"/>
  <c r="L19820" i="21"/>
  <c r="L19819" i="21"/>
  <c r="L19817" i="21"/>
  <c r="L19816" i="21"/>
  <c r="L19815" i="21"/>
  <c r="L19814" i="21"/>
  <c r="L19813" i="21"/>
  <c r="L19812" i="21"/>
  <c r="L19811" i="21"/>
  <c r="L19810" i="21"/>
  <c r="L19809" i="21"/>
  <c r="L19807" i="21"/>
  <c r="L19806" i="21"/>
  <c r="L19805" i="21"/>
  <c r="L19804" i="21"/>
  <c r="L19803" i="21"/>
  <c r="L19802" i="21"/>
  <c r="L19801" i="21"/>
  <c r="L19800" i="21"/>
  <c r="L19799" i="21"/>
  <c r="L19797" i="21"/>
  <c r="L19796" i="21"/>
  <c r="L19795" i="21"/>
  <c r="L19794" i="21"/>
  <c r="L19793" i="21"/>
  <c r="L19792" i="21"/>
  <c r="L19791" i="21"/>
  <c r="L19790" i="21"/>
  <c r="L19789" i="21"/>
  <c r="L19787" i="21"/>
  <c r="L19786" i="21"/>
  <c r="L19785" i="21"/>
  <c r="L19784" i="21"/>
  <c r="L19783" i="21"/>
  <c r="L19782" i="21"/>
  <c r="L19781" i="21"/>
  <c r="L19780" i="21"/>
  <c r="L19779" i="21"/>
  <c r="L19777" i="21"/>
  <c r="L19776" i="21"/>
  <c r="L19775" i="21"/>
  <c r="L19774" i="21"/>
  <c r="L19773" i="21"/>
  <c r="L19772" i="21"/>
  <c r="L19771" i="21"/>
  <c r="L19770" i="21"/>
  <c r="L19769" i="21"/>
  <c r="L19767" i="21"/>
  <c r="L19766" i="21"/>
  <c r="L19765" i="21"/>
  <c r="L19764" i="21"/>
  <c r="L19763" i="21"/>
  <c r="L19762" i="21"/>
  <c r="L19761" i="21"/>
  <c r="L19760" i="21"/>
  <c r="B21830" i="21" l="1"/>
  <c r="B21820" i="21"/>
  <c r="B21307" i="21"/>
  <c r="B21317" i="21"/>
  <c r="D21215" i="21"/>
  <c r="C21215" i="21"/>
  <c r="D21205" i="21"/>
  <c r="C21205" i="21"/>
  <c r="E21102" i="21"/>
  <c r="D21103" i="21"/>
  <c r="E21103" i="21"/>
  <c r="E21112" i="21"/>
  <c r="E21113" i="21"/>
  <c r="D21113" i="21"/>
  <c r="D20690" i="21"/>
  <c r="C20690" i="21"/>
  <c r="D20700" i="21"/>
  <c r="C20700" i="21"/>
  <c r="C21820" i="21" l="1"/>
  <c r="E21820" i="21"/>
  <c r="D21820" i="21"/>
  <c r="E21830" i="21"/>
  <c r="C21830" i="21"/>
  <c r="D21830" i="21"/>
  <c r="A21092" i="21"/>
  <c r="A21089" i="21"/>
  <c r="A21703" i="21"/>
  <c r="C21317" i="21"/>
  <c r="B21318" i="21" s="1"/>
  <c r="E21317" i="21"/>
  <c r="D21317" i="21"/>
  <c r="C21307" i="21"/>
  <c r="B21308" i="21" s="1"/>
  <c r="E21307" i="21"/>
  <c r="D21307" i="21"/>
  <c r="B21206" i="21"/>
  <c r="E21205" i="21" s="1"/>
  <c r="B21216" i="21"/>
  <c r="E21215" i="21" s="1"/>
  <c r="B20701" i="21"/>
  <c r="E20700" i="21" s="1"/>
  <c r="B20691" i="21"/>
  <c r="E20690" i="21" s="1"/>
  <c r="B21821" i="21" l="1"/>
  <c r="B21831" i="21"/>
  <c r="B21725" i="21"/>
  <c r="B21715" i="21"/>
  <c r="C21308" i="21"/>
  <c r="B21309" i="21" s="1"/>
  <c r="D21308" i="21"/>
  <c r="C21318" i="21"/>
  <c r="B21319" i="21" s="1"/>
  <c r="D21318" i="21"/>
  <c r="E21216" i="21"/>
  <c r="D21216" i="21"/>
  <c r="D21206" i="21"/>
  <c r="E21206" i="21"/>
  <c r="E20691" i="21"/>
  <c r="D20691" i="21"/>
  <c r="E20701" i="21"/>
  <c r="D20701" i="21"/>
  <c r="D21831" i="21" l="1"/>
  <c r="C21831" i="21"/>
  <c r="E21831" i="21"/>
  <c r="D21821" i="21"/>
  <c r="C21821" i="21"/>
  <c r="E21821" i="21"/>
  <c r="D21715" i="21"/>
  <c r="C21715" i="21"/>
  <c r="E21715" i="21"/>
  <c r="D21725" i="21"/>
  <c r="C21725" i="21"/>
  <c r="E21725" i="21"/>
  <c r="E21308" i="21"/>
  <c r="E21309" i="21"/>
  <c r="D21309" i="21"/>
  <c r="E21318" i="21"/>
  <c r="E21319" i="21"/>
  <c r="D21319" i="21"/>
  <c r="A20677" i="21"/>
  <c r="A20680" i="21"/>
  <c r="A21195" i="21"/>
  <c r="A21192" i="21"/>
  <c r="B21822" i="21" l="1"/>
  <c r="B21832" i="21"/>
  <c r="B21726" i="21"/>
  <c r="B21716" i="21"/>
  <c r="A21298" i="21"/>
  <c r="A21295" i="21"/>
  <c r="E21832" i="21" l="1"/>
  <c r="D21832" i="21"/>
  <c r="C21832" i="21"/>
  <c r="B21833" i="21" s="1"/>
  <c r="C21822" i="21"/>
  <c r="B21823" i="21" s="1"/>
  <c r="E21822" i="21"/>
  <c r="D21822" i="21"/>
  <c r="D21716" i="21"/>
  <c r="C21716" i="21"/>
  <c r="E21716" i="21"/>
  <c r="D21726" i="21"/>
  <c r="C21726" i="21"/>
  <c r="E21726" i="21"/>
  <c r="D21823" i="21" l="1"/>
  <c r="C21823" i="21"/>
  <c r="B21824" i="21" s="1"/>
  <c r="D21833" i="21"/>
  <c r="C21833" i="21"/>
  <c r="B21834" i="21" s="1"/>
  <c r="B21727" i="21"/>
  <c r="B21717" i="21"/>
  <c r="E16" i="10"/>
  <c r="E21833" i="21" l="1"/>
  <c r="E21834" i="21"/>
  <c r="D21834" i="21"/>
  <c r="E21823" i="21"/>
  <c r="E21824" i="21"/>
  <c r="D21824" i="21"/>
  <c r="E21717" i="21"/>
  <c r="C21717" i="21"/>
  <c r="D21717" i="21"/>
  <c r="E21727" i="21"/>
  <c r="D21727" i="21"/>
  <c r="C21727" i="21"/>
  <c r="AH229" i="412"/>
  <c r="AI229" i="412" s="1"/>
  <c r="AG229" i="412"/>
  <c r="AF229" i="412"/>
  <c r="AE229" i="412"/>
  <c r="AD229" i="412"/>
  <c r="A228" i="412"/>
  <c r="A227" i="412"/>
  <c r="A226" i="412"/>
  <c r="A225" i="412"/>
  <c r="A224" i="412"/>
  <c r="A223" i="412"/>
  <c r="A222" i="412"/>
  <c r="A221" i="412"/>
  <c r="A220" i="412"/>
  <c r="A219" i="412"/>
  <c r="A218" i="412"/>
  <c r="A217" i="412"/>
  <c r="A216" i="412"/>
  <c r="A215" i="412"/>
  <c r="A214" i="412"/>
  <c r="A213" i="412"/>
  <c r="A212" i="412"/>
  <c r="A211" i="412"/>
  <c r="A210" i="412"/>
  <c r="A209" i="412"/>
  <c r="A208" i="412"/>
  <c r="A207" i="412"/>
  <c r="A206" i="412"/>
  <c r="A205" i="412"/>
  <c r="A204" i="412"/>
  <c r="A203" i="412"/>
  <c r="A202" i="412"/>
  <c r="A201" i="412"/>
  <c r="A200" i="412"/>
  <c r="A199" i="412"/>
  <c r="A198" i="412"/>
  <c r="AH185" i="412"/>
  <c r="AI185" i="412" s="1"/>
  <c r="AG185" i="412"/>
  <c r="AF185" i="412"/>
  <c r="AE185" i="412"/>
  <c r="AD185" i="412"/>
  <c r="A184" i="412"/>
  <c r="A183" i="412"/>
  <c r="A182" i="412"/>
  <c r="A181" i="412"/>
  <c r="A180" i="412"/>
  <c r="A179" i="412"/>
  <c r="A178" i="412"/>
  <c r="A177" i="412"/>
  <c r="A176" i="412"/>
  <c r="A175" i="412"/>
  <c r="A174" i="412"/>
  <c r="A173" i="412"/>
  <c r="A172" i="412"/>
  <c r="A171" i="412"/>
  <c r="A170" i="412"/>
  <c r="A169" i="412"/>
  <c r="A168" i="412"/>
  <c r="A167" i="412"/>
  <c r="A166" i="412"/>
  <c r="A165" i="412"/>
  <c r="A164" i="412"/>
  <c r="A163" i="412"/>
  <c r="A162" i="412"/>
  <c r="A161" i="412"/>
  <c r="A160" i="412"/>
  <c r="A159" i="412"/>
  <c r="A158" i="412"/>
  <c r="A157" i="412"/>
  <c r="A156" i="412"/>
  <c r="A155" i="412"/>
  <c r="A154" i="412"/>
  <c r="AH140" i="412"/>
  <c r="AG140" i="412"/>
  <c r="AF140" i="412"/>
  <c r="AE140" i="412"/>
  <c r="AD140" i="412"/>
  <c r="A139" i="412"/>
  <c r="A138" i="412"/>
  <c r="A137" i="412"/>
  <c r="A136" i="412"/>
  <c r="A135" i="412"/>
  <c r="A134" i="412"/>
  <c r="A133" i="412"/>
  <c r="A132" i="412"/>
  <c r="A131" i="412"/>
  <c r="A130" i="412"/>
  <c r="A129" i="412"/>
  <c r="A128" i="412"/>
  <c r="A127" i="412"/>
  <c r="A126" i="412"/>
  <c r="A125" i="412"/>
  <c r="A124" i="412"/>
  <c r="A123" i="412"/>
  <c r="A122" i="412"/>
  <c r="A121" i="412"/>
  <c r="A120" i="412"/>
  <c r="A119" i="412"/>
  <c r="A118" i="412"/>
  <c r="A117" i="412"/>
  <c r="A116" i="412"/>
  <c r="A115" i="412"/>
  <c r="A114" i="412"/>
  <c r="A113" i="412"/>
  <c r="A112" i="412"/>
  <c r="A111" i="412"/>
  <c r="A110" i="412"/>
  <c r="A109" i="412"/>
  <c r="AH94" i="412"/>
  <c r="AI94" i="412" s="1"/>
  <c r="I19" i="10" s="1"/>
  <c r="AG94" i="412"/>
  <c r="AF94" i="412"/>
  <c r="AE94" i="412"/>
  <c r="AD94" i="412"/>
  <c r="A93" i="412"/>
  <c r="A92" i="412"/>
  <c r="A91" i="412"/>
  <c r="A90" i="412"/>
  <c r="A89" i="412"/>
  <c r="A88" i="412"/>
  <c r="A87" i="412"/>
  <c r="A86" i="412"/>
  <c r="A85" i="412"/>
  <c r="A84" i="412"/>
  <c r="A83" i="412"/>
  <c r="A82" i="412"/>
  <c r="A81" i="412"/>
  <c r="A80" i="412"/>
  <c r="A79" i="412"/>
  <c r="A78" i="412"/>
  <c r="A77" i="412"/>
  <c r="A76" i="412"/>
  <c r="A75" i="412"/>
  <c r="A74" i="412"/>
  <c r="A73" i="412"/>
  <c r="A72" i="412"/>
  <c r="A71" i="412"/>
  <c r="A70" i="412"/>
  <c r="A69" i="412"/>
  <c r="A68" i="412"/>
  <c r="A67" i="412"/>
  <c r="A66" i="412"/>
  <c r="A65" i="412"/>
  <c r="A64" i="412"/>
  <c r="A63" i="412"/>
  <c r="AH47" i="412"/>
  <c r="AI47" i="412" s="1"/>
  <c r="AG47" i="412"/>
  <c r="AF47" i="412"/>
  <c r="AE47" i="412"/>
  <c r="AD47" i="412"/>
  <c r="A21810" i="21" l="1"/>
  <c r="A21813" i="21"/>
  <c r="B21718" i="21"/>
  <c r="B21728" i="21"/>
  <c r="C21728" i="21" l="1"/>
  <c r="D21728" i="21"/>
  <c r="E21728" i="21"/>
  <c r="D21718" i="21"/>
  <c r="C21718" i="21"/>
  <c r="E21718" i="21"/>
  <c r="L19744" i="21"/>
  <c r="L19743" i="21"/>
  <c r="L19742" i="21"/>
  <c r="L19741" i="21"/>
  <c r="L19740" i="21"/>
  <c r="L19739" i="21"/>
  <c r="L19738" i="21"/>
  <c r="L19737" i="21"/>
  <c r="L19736" i="21"/>
  <c r="L19734" i="21"/>
  <c r="L19733" i="21"/>
  <c r="L19732" i="21"/>
  <c r="L19731" i="21"/>
  <c r="L19730" i="21"/>
  <c r="L19729" i="21"/>
  <c r="L19728" i="21"/>
  <c r="L19727" i="21"/>
  <c r="L19726" i="21"/>
  <c r="L19724" i="21"/>
  <c r="L19723" i="21"/>
  <c r="L19722" i="21"/>
  <c r="L19721" i="21"/>
  <c r="L19720" i="21"/>
  <c r="L19719" i="21"/>
  <c r="L19718" i="21"/>
  <c r="L19717" i="21"/>
  <c r="L19716" i="21"/>
  <c r="L19714" i="21"/>
  <c r="L19713" i="21"/>
  <c r="L19712" i="21"/>
  <c r="L19711" i="21"/>
  <c r="L19710" i="21"/>
  <c r="L19709" i="21"/>
  <c r="L19708" i="21"/>
  <c r="L19707" i="21"/>
  <c r="L19706" i="21"/>
  <c r="L19704" i="21"/>
  <c r="L19703" i="21"/>
  <c r="L19702" i="21"/>
  <c r="L19701" i="21"/>
  <c r="L19700" i="21"/>
  <c r="L19699" i="21"/>
  <c r="L19698" i="21"/>
  <c r="L19697" i="21"/>
  <c r="L19696" i="21"/>
  <c r="L19694" i="21"/>
  <c r="L19693" i="21"/>
  <c r="L19692" i="21"/>
  <c r="L19691" i="21"/>
  <c r="L19690" i="21"/>
  <c r="L19689" i="21"/>
  <c r="L19688" i="21"/>
  <c r="L19687" i="21"/>
  <c r="L19686" i="21"/>
  <c r="L19684" i="21"/>
  <c r="L19683" i="21"/>
  <c r="L19682" i="21"/>
  <c r="L19681" i="21"/>
  <c r="L19680" i="21"/>
  <c r="L19679" i="21"/>
  <c r="L19678" i="21"/>
  <c r="L19677" i="21"/>
  <c r="L19676" i="21"/>
  <c r="L19674" i="21"/>
  <c r="L19673" i="21"/>
  <c r="L19672" i="21"/>
  <c r="L19671" i="21"/>
  <c r="L19670" i="21"/>
  <c r="L19669" i="21"/>
  <c r="L19668" i="21"/>
  <c r="L19667" i="21"/>
  <c r="L19666" i="21"/>
  <c r="L19664" i="21"/>
  <c r="L19663" i="21"/>
  <c r="L19662" i="21"/>
  <c r="L19661" i="21"/>
  <c r="L19660" i="21"/>
  <c r="L19659" i="21"/>
  <c r="L19658" i="21"/>
  <c r="L19657" i="21"/>
  <c r="L19641" i="21"/>
  <c r="L19640" i="21"/>
  <c r="L19639" i="21"/>
  <c r="L19638" i="21"/>
  <c r="L19637" i="21"/>
  <c r="L19636" i="21"/>
  <c r="L19635" i="21"/>
  <c r="L19634" i="21"/>
  <c r="L19633" i="21"/>
  <c r="L19631" i="21"/>
  <c r="L19630" i="21"/>
  <c r="L19629" i="21"/>
  <c r="L19628" i="21"/>
  <c r="L19627" i="21"/>
  <c r="L19626" i="21"/>
  <c r="L19625" i="21"/>
  <c r="L19624" i="21"/>
  <c r="L19623" i="21"/>
  <c r="L19621" i="21"/>
  <c r="L19620" i="21"/>
  <c r="L19619" i="21"/>
  <c r="L19618" i="21"/>
  <c r="L19617" i="21"/>
  <c r="L19616" i="21"/>
  <c r="L19615" i="21"/>
  <c r="L19614" i="21"/>
  <c r="L19613" i="21"/>
  <c r="L19611" i="21"/>
  <c r="L19610" i="21"/>
  <c r="L19609" i="21"/>
  <c r="L19608" i="21"/>
  <c r="L19607" i="21"/>
  <c r="L19606" i="21"/>
  <c r="L19605" i="21"/>
  <c r="L19604" i="21"/>
  <c r="L19603" i="21"/>
  <c r="L19601" i="21"/>
  <c r="L19600" i="21"/>
  <c r="L19599" i="21"/>
  <c r="L19598" i="21"/>
  <c r="L19597" i="21"/>
  <c r="L19596" i="21"/>
  <c r="L19595" i="21"/>
  <c r="L19594" i="21"/>
  <c r="L19593" i="21"/>
  <c r="L19591" i="21"/>
  <c r="L19590" i="21"/>
  <c r="L19589" i="21"/>
  <c r="L19588" i="21"/>
  <c r="L19587" i="21"/>
  <c r="L19586" i="21"/>
  <c r="L19585" i="21"/>
  <c r="L19584" i="21"/>
  <c r="L19583" i="21"/>
  <c r="L19581" i="21"/>
  <c r="L19580" i="21"/>
  <c r="L19579" i="21"/>
  <c r="L19578" i="21"/>
  <c r="L19577" i="21"/>
  <c r="L19576" i="21"/>
  <c r="L19575" i="21"/>
  <c r="L19574" i="21"/>
  <c r="L19573" i="21"/>
  <c r="L19571" i="21"/>
  <c r="L19570" i="21"/>
  <c r="L19569" i="21"/>
  <c r="L19568" i="21"/>
  <c r="L19567" i="21"/>
  <c r="L19566" i="21"/>
  <c r="L19565" i="21"/>
  <c r="L19564" i="21"/>
  <c r="L19563" i="21"/>
  <c r="L19561" i="21"/>
  <c r="L19560" i="21"/>
  <c r="L19559" i="21"/>
  <c r="L19558" i="21"/>
  <c r="L19557" i="21"/>
  <c r="L19556" i="21"/>
  <c r="L19555" i="21"/>
  <c r="L19554" i="21"/>
  <c r="L19538" i="21"/>
  <c r="L19537" i="21"/>
  <c r="L19536" i="21"/>
  <c r="L19535" i="21"/>
  <c r="L19534" i="21"/>
  <c r="L19533" i="21"/>
  <c r="L19532" i="21"/>
  <c r="L19531" i="21"/>
  <c r="L19530" i="21"/>
  <c r="L19528" i="21"/>
  <c r="L19527" i="21"/>
  <c r="L19526" i="21"/>
  <c r="L19525" i="21"/>
  <c r="L19524" i="21"/>
  <c r="L19523" i="21"/>
  <c r="L19522" i="21"/>
  <c r="L19521" i="21"/>
  <c r="L19520" i="21"/>
  <c r="L19518" i="21"/>
  <c r="L19517" i="21"/>
  <c r="L19516" i="21"/>
  <c r="L19515" i="21"/>
  <c r="L19514" i="21"/>
  <c r="L19513" i="21"/>
  <c r="L19512" i="21"/>
  <c r="L19511" i="21"/>
  <c r="L19510" i="21"/>
  <c r="L19508" i="21"/>
  <c r="L19507" i="21"/>
  <c r="L19506" i="21"/>
  <c r="L19505" i="21"/>
  <c r="L19504" i="21"/>
  <c r="L19503" i="21"/>
  <c r="L19502" i="21"/>
  <c r="L19501" i="21"/>
  <c r="L19500" i="21"/>
  <c r="L19498" i="21"/>
  <c r="L19497" i="21"/>
  <c r="L19496" i="21"/>
  <c r="L19495" i="21"/>
  <c r="L19494" i="21"/>
  <c r="L19493" i="21"/>
  <c r="L19492" i="21"/>
  <c r="L19491" i="21"/>
  <c r="L19490" i="21"/>
  <c r="L19488" i="21"/>
  <c r="L19487" i="21"/>
  <c r="L19486" i="21"/>
  <c r="L19485" i="21"/>
  <c r="L19484" i="21"/>
  <c r="L19483" i="21"/>
  <c r="L19482" i="21"/>
  <c r="L19481" i="21"/>
  <c r="L19480" i="21"/>
  <c r="L19478" i="21"/>
  <c r="L19477" i="21"/>
  <c r="L19476" i="21"/>
  <c r="L19475" i="21"/>
  <c r="L19474" i="21"/>
  <c r="L19473" i="21"/>
  <c r="L19472" i="21"/>
  <c r="L19471" i="21"/>
  <c r="L19470" i="21"/>
  <c r="L19468" i="21"/>
  <c r="L19467" i="21"/>
  <c r="L19466" i="21"/>
  <c r="L19465" i="21"/>
  <c r="L19464" i="21"/>
  <c r="L19463" i="21"/>
  <c r="L19462" i="21"/>
  <c r="L19461" i="21"/>
  <c r="L19460" i="21"/>
  <c r="L19458" i="21"/>
  <c r="L19457" i="21"/>
  <c r="L19456" i="21"/>
  <c r="L19455" i="21"/>
  <c r="L19454" i="21"/>
  <c r="L19453" i="21"/>
  <c r="L19452" i="21"/>
  <c r="L19451" i="21"/>
  <c r="L19435" i="21"/>
  <c r="L19434" i="21"/>
  <c r="L19433" i="21"/>
  <c r="L19432" i="21"/>
  <c r="L19431" i="21"/>
  <c r="L19430" i="21"/>
  <c r="L19429" i="21"/>
  <c r="L19428" i="21"/>
  <c r="L19427" i="21"/>
  <c r="L19425" i="21"/>
  <c r="L19424" i="21"/>
  <c r="L19423" i="21"/>
  <c r="L19422" i="21"/>
  <c r="L19421" i="21"/>
  <c r="L19420" i="21"/>
  <c r="L19419" i="21"/>
  <c r="L19418" i="21"/>
  <c r="L19417" i="21"/>
  <c r="L19415" i="21"/>
  <c r="L19414" i="21"/>
  <c r="L19413" i="21"/>
  <c r="L19412" i="21"/>
  <c r="L19411" i="21"/>
  <c r="L19410" i="21"/>
  <c r="L19409" i="21"/>
  <c r="L19408" i="21"/>
  <c r="L19407" i="21"/>
  <c r="L19405" i="21"/>
  <c r="L19404" i="21"/>
  <c r="L19403" i="21"/>
  <c r="L19402" i="21"/>
  <c r="L19401" i="21"/>
  <c r="L19400" i="21"/>
  <c r="L19399" i="21"/>
  <c r="L19398" i="21"/>
  <c r="L19397" i="21"/>
  <c r="L19395" i="21"/>
  <c r="L19394" i="21"/>
  <c r="L19393" i="21"/>
  <c r="L19392" i="21"/>
  <c r="L19391" i="21"/>
  <c r="L19390" i="21"/>
  <c r="L19389" i="21"/>
  <c r="L19388" i="21"/>
  <c r="L19387" i="21"/>
  <c r="L19385" i="21"/>
  <c r="L19384" i="21"/>
  <c r="L19383" i="21"/>
  <c r="L19382" i="21"/>
  <c r="L19381" i="21"/>
  <c r="L19380" i="21"/>
  <c r="L19379" i="21"/>
  <c r="L19378" i="21"/>
  <c r="L19377" i="21"/>
  <c r="L19375" i="21"/>
  <c r="L19374" i="21"/>
  <c r="L19373" i="21"/>
  <c r="L19372" i="21"/>
  <c r="L19371" i="21"/>
  <c r="L19370" i="21"/>
  <c r="L19369" i="21"/>
  <c r="L19368" i="21"/>
  <c r="L19367" i="21"/>
  <c r="L19365" i="21"/>
  <c r="L19364" i="21"/>
  <c r="L19363" i="21"/>
  <c r="L19362" i="21"/>
  <c r="L19361" i="21"/>
  <c r="L19360" i="21"/>
  <c r="L19359" i="21"/>
  <c r="L19358" i="21"/>
  <c r="L19357" i="21"/>
  <c r="L19355" i="21"/>
  <c r="L19354" i="21"/>
  <c r="L19353" i="21"/>
  <c r="L19352" i="21"/>
  <c r="L19351" i="21"/>
  <c r="L19350" i="21"/>
  <c r="L19349" i="21"/>
  <c r="L19348" i="21"/>
  <c r="L19332" i="21"/>
  <c r="L19331" i="21"/>
  <c r="L19330" i="21"/>
  <c r="L19329" i="21"/>
  <c r="L19328" i="21"/>
  <c r="L19327" i="21"/>
  <c r="L19326" i="21"/>
  <c r="L19325" i="21"/>
  <c r="L19324" i="21"/>
  <c r="L19322" i="21"/>
  <c r="L19321" i="21"/>
  <c r="L19320" i="21"/>
  <c r="L19319" i="21"/>
  <c r="L19318" i="21"/>
  <c r="L19317" i="21"/>
  <c r="L19316" i="21"/>
  <c r="L19315" i="21"/>
  <c r="L19314" i="21"/>
  <c r="L19312" i="21"/>
  <c r="L19311" i="21"/>
  <c r="L19310" i="21"/>
  <c r="L19309" i="21"/>
  <c r="L19308" i="21"/>
  <c r="L19307" i="21"/>
  <c r="L19306" i="21"/>
  <c r="L19305" i="21"/>
  <c r="L19304" i="21"/>
  <c r="L19302" i="21"/>
  <c r="L19301" i="21"/>
  <c r="L19300" i="21"/>
  <c r="L19299" i="21"/>
  <c r="L19298" i="21"/>
  <c r="L19297" i="21"/>
  <c r="L19296" i="21"/>
  <c r="L19295" i="21"/>
  <c r="L19294" i="21"/>
  <c r="L19292" i="21"/>
  <c r="L19291" i="21"/>
  <c r="L19290" i="21"/>
  <c r="L19289" i="21"/>
  <c r="L19288" i="21"/>
  <c r="L19287" i="21"/>
  <c r="L19286" i="21"/>
  <c r="L19285" i="21"/>
  <c r="L19284" i="21"/>
  <c r="L19282" i="21"/>
  <c r="L19281" i="21"/>
  <c r="L19280" i="21"/>
  <c r="L19279" i="21"/>
  <c r="L19278" i="21"/>
  <c r="L19277" i="21"/>
  <c r="L19276" i="21"/>
  <c r="L19275" i="21"/>
  <c r="L19274" i="21"/>
  <c r="L19272" i="21"/>
  <c r="L19271" i="21"/>
  <c r="L19270" i="21"/>
  <c r="L19269" i="21"/>
  <c r="L19268" i="21"/>
  <c r="L19267" i="21"/>
  <c r="L19266" i="21"/>
  <c r="L19265" i="21"/>
  <c r="L19264" i="21"/>
  <c r="L19262" i="21"/>
  <c r="L19261" i="21"/>
  <c r="L19260" i="21"/>
  <c r="L19259" i="21"/>
  <c r="L19258" i="21"/>
  <c r="L19257" i="21"/>
  <c r="L19256" i="21"/>
  <c r="L19255" i="21"/>
  <c r="L19254" i="21"/>
  <c r="L19252" i="21"/>
  <c r="L19251" i="21"/>
  <c r="L19250" i="21"/>
  <c r="L19249" i="21"/>
  <c r="L19248" i="21"/>
  <c r="L19247" i="21"/>
  <c r="L19246" i="21"/>
  <c r="L19245" i="21"/>
  <c r="L19229" i="21"/>
  <c r="L19228" i="21"/>
  <c r="L19227" i="21"/>
  <c r="L19226" i="21"/>
  <c r="L19225" i="21"/>
  <c r="L19224" i="21"/>
  <c r="L19223" i="21"/>
  <c r="L19222" i="21"/>
  <c r="L19221" i="21"/>
  <c r="L19219" i="21"/>
  <c r="L19218" i="21"/>
  <c r="L19217" i="21"/>
  <c r="L19216" i="21"/>
  <c r="L19215" i="21"/>
  <c r="L19214" i="21"/>
  <c r="L19213" i="21"/>
  <c r="L19212" i="21"/>
  <c r="L19211" i="21"/>
  <c r="L19209" i="21"/>
  <c r="L19208" i="21"/>
  <c r="L19207" i="21"/>
  <c r="L19206" i="21"/>
  <c r="L19205" i="21"/>
  <c r="L19204" i="21"/>
  <c r="L19203" i="21"/>
  <c r="L19202" i="21"/>
  <c r="L19201" i="21"/>
  <c r="L19199" i="21"/>
  <c r="L19198" i="21"/>
  <c r="L19197" i="21"/>
  <c r="L19196" i="21"/>
  <c r="L19195" i="21"/>
  <c r="L19194" i="21"/>
  <c r="L19193" i="21"/>
  <c r="L19192" i="21"/>
  <c r="L19191" i="21"/>
  <c r="L19189" i="21"/>
  <c r="L19188" i="21"/>
  <c r="L19187" i="21"/>
  <c r="L19186" i="21"/>
  <c r="L19185" i="21"/>
  <c r="L19184" i="21"/>
  <c r="L19183" i="21"/>
  <c r="L19182" i="21"/>
  <c r="L19181" i="21"/>
  <c r="L19179" i="21"/>
  <c r="L19178" i="21"/>
  <c r="L19177" i="21"/>
  <c r="L19176" i="21"/>
  <c r="L19175" i="21"/>
  <c r="L19174" i="21"/>
  <c r="L19173" i="21"/>
  <c r="L19172" i="21"/>
  <c r="L19171" i="21"/>
  <c r="L19169" i="21"/>
  <c r="L19168" i="21"/>
  <c r="L19167" i="21"/>
  <c r="L19166" i="21"/>
  <c r="L19165" i="21"/>
  <c r="L19164" i="21"/>
  <c r="L19163" i="21"/>
  <c r="L19162" i="21"/>
  <c r="L19161" i="21"/>
  <c r="L19159" i="21"/>
  <c r="L19158" i="21"/>
  <c r="L19157" i="21"/>
  <c r="L19156" i="21"/>
  <c r="L19155" i="21"/>
  <c r="L19154" i="21"/>
  <c r="L19153" i="21"/>
  <c r="L19152" i="21"/>
  <c r="L19151" i="21"/>
  <c r="L19149" i="21"/>
  <c r="L19148" i="21"/>
  <c r="L19147" i="21"/>
  <c r="L19146" i="21"/>
  <c r="L19145" i="21"/>
  <c r="L19144" i="21"/>
  <c r="L19143" i="21"/>
  <c r="L19142" i="21"/>
  <c r="L19126" i="21"/>
  <c r="L19125" i="21"/>
  <c r="L19124" i="21"/>
  <c r="L19123" i="21"/>
  <c r="L19122" i="21"/>
  <c r="L19121" i="21"/>
  <c r="L19120" i="21"/>
  <c r="L19119" i="21"/>
  <c r="L19118" i="21"/>
  <c r="L19116" i="21"/>
  <c r="L19115" i="21"/>
  <c r="L19114" i="21"/>
  <c r="L19113" i="21"/>
  <c r="L19112" i="21"/>
  <c r="L19111" i="21"/>
  <c r="L19110" i="21"/>
  <c r="L19109" i="21"/>
  <c r="L19108" i="21"/>
  <c r="L19106" i="21"/>
  <c r="L19105" i="21"/>
  <c r="L19104" i="21"/>
  <c r="L19103" i="21"/>
  <c r="L19102" i="21"/>
  <c r="L19101" i="21"/>
  <c r="L19100" i="21"/>
  <c r="L19099" i="21"/>
  <c r="L19098" i="21"/>
  <c r="L19096" i="21"/>
  <c r="L19095" i="21"/>
  <c r="L19094" i="21"/>
  <c r="L19093" i="21"/>
  <c r="L19092" i="21"/>
  <c r="L19091" i="21"/>
  <c r="L19090" i="21"/>
  <c r="L19089" i="21"/>
  <c r="L19088" i="21"/>
  <c r="L19086" i="21"/>
  <c r="L19085" i="21"/>
  <c r="L19084" i="21"/>
  <c r="L19083" i="21"/>
  <c r="L19082" i="21"/>
  <c r="L19081" i="21"/>
  <c r="L19080" i="21"/>
  <c r="L19079" i="21"/>
  <c r="L19078" i="21"/>
  <c r="L19076" i="21"/>
  <c r="L19075" i="21"/>
  <c r="L19074" i="21"/>
  <c r="L19073" i="21"/>
  <c r="L19072" i="21"/>
  <c r="L19071" i="21"/>
  <c r="L19070" i="21"/>
  <c r="L19069" i="21"/>
  <c r="L19068" i="21"/>
  <c r="L19066" i="21"/>
  <c r="L19065" i="21"/>
  <c r="L19064" i="21"/>
  <c r="L19063" i="21"/>
  <c r="L19062" i="21"/>
  <c r="L19061" i="21"/>
  <c r="L19060" i="21"/>
  <c r="L19059" i="21"/>
  <c r="L19058" i="21"/>
  <c r="L19056" i="21"/>
  <c r="L19055" i="21"/>
  <c r="L19054" i="21"/>
  <c r="L19053" i="21"/>
  <c r="L19052" i="21"/>
  <c r="L19051" i="21"/>
  <c r="L19050" i="21"/>
  <c r="L19049" i="21"/>
  <c r="L19048" i="21"/>
  <c r="L19046" i="21"/>
  <c r="L19045" i="21"/>
  <c r="L19044" i="21"/>
  <c r="L19043" i="21"/>
  <c r="L19042" i="21"/>
  <c r="L19041" i="21"/>
  <c r="L19040" i="21"/>
  <c r="L19039" i="21"/>
  <c r="L19023" i="21"/>
  <c r="L19022" i="21"/>
  <c r="L19021" i="21"/>
  <c r="L19020" i="21"/>
  <c r="L19019" i="21"/>
  <c r="L19018" i="21"/>
  <c r="L19017" i="21"/>
  <c r="L19016" i="21"/>
  <c r="L19015" i="21"/>
  <c r="L19013" i="21"/>
  <c r="L19012" i="21"/>
  <c r="L19011" i="21"/>
  <c r="L19010" i="21"/>
  <c r="L19009" i="21"/>
  <c r="L19008" i="21"/>
  <c r="L19007" i="21"/>
  <c r="L19006" i="21"/>
  <c r="L19005" i="21"/>
  <c r="L19003" i="21"/>
  <c r="L19002" i="21"/>
  <c r="L19001" i="21"/>
  <c r="L19000" i="21"/>
  <c r="L18999" i="21"/>
  <c r="L18998" i="21"/>
  <c r="L18997" i="21"/>
  <c r="L18996" i="21"/>
  <c r="L18995" i="21"/>
  <c r="L18993" i="21"/>
  <c r="L18992" i="21"/>
  <c r="L18991" i="21"/>
  <c r="L18990" i="21"/>
  <c r="L18989" i="21"/>
  <c r="L18988" i="21"/>
  <c r="L18987" i="21"/>
  <c r="L18986" i="21"/>
  <c r="L18985" i="21"/>
  <c r="L18983" i="21"/>
  <c r="L18982" i="21"/>
  <c r="L18981" i="21"/>
  <c r="L18980" i="21"/>
  <c r="L18979" i="21"/>
  <c r="L18978" i="21"/>
  <c r="L18977" i="21"/>
  <c r="L18976" i="21"/>
  <c r="L18975" i="21"/>
  <c r="L18973" i="21"/>
  <c r="L18972" i="21"/>
  <c r="L18971" i="21"/>
  <c r="L18970" i="21"/>
  <c r="L18969" i="21"/>
  <c r="L18968" i="21"/>
  <c r="L18967" i="21"/>
  <c r="L18966" i="21"/>
  <c r="L18965" i="21"/>
  <c r="L18963" i="21"/>
  <c r="L18962" i="21"/>
  <c r="L18961" i="21"/>
  <c r="L18960" i="21"/>
  <c r="L18959" i="21"/>
  <c r="L18958" i="21"/>
  <c r="L18957" i="21"/>
  <c r="L18956" i="21"/>
  <c r="L18955" i="21"/>
  <c r="L18953" i="21"/>
  <c r="L18952" i="21"/>
  <c r="L18951" i="21"/>
  <c r="L18950" i="21"/>
  <c r="L18949" i="21"/>
  <c r="L18948" i="21"/>
  <c r="L18947" i="21"/>
  <c r="L18946" i="21"/>
  <c r="L18945" i="21"/>
  <c r="L18943" i="21"/>
  <c r="L18942" i="21"/>
  <c r="L18941" i="21"/>
  <c r="L18940" i="21"/>
  <c r="L18939" i="21"/>
  <c r="L18938" i="21"/>
  <c r="L18937" i="21"/>
  <c r="L18936" i="21"/>
  <c r="A21909" i="21" l="1"/>
  <c r="B21719" i="21"/>
  <c r="B21729" i="21"/>
  <c r="B21921" i="21" l="1"/>
  <c r="B21931" i="21"/>
  <c r="C21729" i="21"/>
  <c r="B21730" i="21" s="1"/>
  <c r="E21729" i="21"/>
  <c r="D21729" i="21"/>
  <c r="C21719" i="21"/>
  <c r="B21720" i="21" s="1"/>
  <c r="E21719" i="21"/>
  <c r="D21719" i="21"/>
  <c r="D21931" i="21" l="1"/>
  <c r="C21931" i="21"/>
  <c r="E21931" i="21"/>
  <c r="D21921" i="21"/>
  <c r="E21921" i="21"/>
  <c r="C21921" i="21"/>
  <c r="C21720" i="21"/>
  <c r="B21721" i="21" s="1"/>
  <c r="D21720" i="21"/>
  <c r="C21730" i="21"/>
  <c r="B21731" i="21" s="1"/>
  <c r="D21730" i="21"/>
  <c r="A19643" i="21"/>
  <c r="B19665" i="21" s="1"/>
  <c r="A19437" i="21"/>
  <c r="B19449" i="21" s="1"/>
  <c r="A19540" i="21"/>
  <c r="A19334" i="21"/>
  <c r="A19231" i="21"/>
  <c r="A19128" i="21"/>
  <c r="B19150" i="21" s="1"/>
  <c r="B21922" i="21" l="1"/>
  <c r="B21932" i="21"/>
  <c r="E21720" i="21"/>
  <c r="E21721" i="21"/>
  <c r="D21721" i="21"/>
  <c r="E21730" i="21"/>
  <c r="E21731" i="21"/>
  <c r="D21731" i="21"/>
  <c r="B19459" i="21"/>
  <c r="D19459" i="21" s="1"/>
  <c r="B19655" i="21"/>
  <c r="D19655" i="21" s="1"/>
  <c r="D19449" i="21"/>
  <c r="E19449" i="21"/>
  <c r="C19449" i="21"/>
  <c r="B19450" i="21" s="1"/>
  <c r="E19665" i="21"/>
  <c r="D19665" i="21"/>
  <c r="C19665" i="21"/>
  <c r="B19666" i="21" s="1"/>
  <c r="C19666" i="21" s="1"/>
  <c r="B19552" i="21"/>
  <c r="B19562" i="21"/>
  <c r="B19346" i="21"/>
  <c r="B19356" i="21"/>
  <c r="B19243" i="21"/>
  <c r="B19253" i="21"/>
  <c r="B19140" i="21"/>
  <c r="D19140" i="21" s="1"/>
  <c r="E19150" i="21"/>
  <c r="D19150" i="21"/>
  <c r="C19150" i="21"/>
  <c r="B19151" i="21" s="1"/>
  <c r="C19151" i="21" s="1"/>
  <c r="C21932" i="21" l="1"/>
  <c r="D21932" i="21"/>
  <c r="E21932" i="21"/>
  <c r="D21922" i="21"/>
  <c r="C21922" i="21"/>
  <c r="E21922" i="21"/>
  <c r="A21710" i="21"/>
  <c r="A21707" i="21"/>
  <c r="E19140" i="21"/>
  <c r="D19666" i="21"/>
  <c r="C19655" i="21"/>
  <c r="B19656" i="21" s="1"/>
  <c r="D19656" i="21" s="1"/>
  <c r="C19459" i="21"/>
  <c r="B19460" i="21" s="1"/>
  <c r="D19460" i="21" s="1"/>
  <c r="E19459" i="21"/>
  <c r="C19140" i="21"/>
  <c r="B19141" i="21" s="1"/>
  <c r="D19141" i="21" s="1"/>
  <c r="E19655" i="21"/>
  <c r="C19450" i="21"/>
  <c r="B19451" i="21" s="1"/>
  <c r="E19451" i="21" s="1"/>
  <c r="E19450" i="21"/>
  <c r="D19450" i="21"/>
  <c r="E19666" i="21"/>
  <c r="B19667" i="21"/>
  <c r="D19562" i="21"/>
  <c r="C19562" i="21"/>
  <c r="B19563" i="21" s="1"/>
  <c r="E19562" i="21"/>
  <c r="C19552" i="21"/>
  <c r="D19552" i="21"/>
  <c r="E19552" i="21"/>
  <c r="D19346" i="21"/>
  <c r="E19346" i="21"/>
  <c r="C19346" i="21"/>
  <c r="D19356" i="21"/>
  <c r="C19356" i="21"/>
  <c r="B19357" i="21" s="1"/>
  <c r="E19356" i="21"/>
  <c r="C19243" i="21"/>
  <c r="D19243" i="21"/>
  <c r="E19243" i="21"/>
  <c r="D19253" i="21"/>
  <c r="C19253" i="21"/>
  <c r="B19254" i="21" s="1"/>
  <c r="E19253" i="21"/>
  <c r="D19151" i="21"/>
  <c r="E19151" i="21"/>
  <c r="B19152" i="21"/>
  <c r="B21923" i="21" l="1"/>
  <c r="B21933" i="21"/>
  <c r="E19141" i="21"/>
  <c r="C19656" i="21"/>
  <c r="B19657" i="21" s="1"/>
  <c r="E19657" i="21" s="1"/>
  <c r="E19656" i="21"/>
  <c r="C19460" i="21"/>
  <c r="B19461" i="21" s="1"/>
  <c r="E19461" i="21" s="1"/>
  <c r="E19460" i="21"/>
  <c r="C19141" i="21"/>
  <c r="B19142" i="21" s="1"/>
  <c r="D19142" i="21" s="1"/>
  <c r="C19451" i="21"/>
  <c r="B19452" i="21" s="1"/>
  <c r="D19451" i="21"/>
  <c r="E19667" i="21"/>
  <c r="C19667" i="21"/>
  <c r="D19667" i="21"/>
  <c r="B19553" i="21"/>
  <c r="C19563" i="21"/>
  <c r="B19564" i="21" s="1"/>
  <c r="E19564" i="21" s="1"/>
  <c r="D19563" i="21"/>
  <c r="E19563" i="21"/>
  <c r="C19357" i="21"/>
  <c r="B19358" i="21" s="1"/>
  <c r="C19358" i="21" s="1"/>
  <c r="D19357" i="21"/>
  <c r="E19357" i="21"/>
  <c r="B19347" i="21"/>
  <c r="C19254" i="21"/>
  <c r="B19255" i="21" s="1"/>
  <c r="C19255" i="21" s="1"/>
  <c r="D19254" i="21"/>
  <c r="E19254" i="21"/>
  <c r="B19244" i="21"/>
  <c r="D19152" i="21"/>
  <c r="E19152" i="21"/>
  <c r="C19152" i="21"/>
  <c r="E21933" i="21" l="1"/>
  <c r="D21933" i="21"/>
  <c r="C21933" i="21"/>
  <c r="C21923" i="21"/>
  <c r="E21923" i="21"/>
  <c r="D21923" i="21"/>
  <c r="D19657" i="21"/>
  <c r="C19657" i="21"/>
  <c r="B19658" i="21" s="1"/>
  <c r="C19658" i="21" s="1"/>
  <c r="C19461" i="21"/>
  <c r="B19462" i="21" s="1"/>
  <c r="D19461" i="21"/>
  <c r="E19142" i="21"/>
  <c r="C19142" i="21"/>
  <c r="B19143" i="21" s="1"/>
  <c r="E19255" i="21"/>
  <c r="C19564" i="21"/>
  <c r="B19565" i="21" s="1"/>
  <c r="B19668" i="21"/>
  <c r="D19564" i="21"/>
  <c r="D19553" i="21"/>
  <c r="C19553" i="21"/>
  <c r="E19553" i="21"/>
  <c r="D19452" i="21"/>
  <c r="C19452" i="21"/>
  <c r="E19452" i="21"/>
  <c r="E19358" i="21"/>
  <c r="D19358" i="21"/>
  <c r="D19347" i="21"/>
  <c r="C19347" i="21"/>
  <c r="E19347" i="21"/>
  <c r="B19359" i="21"/>
  <c r="D19255" i="21"/>
  <c r="D19244" i="21"/>
  <c r="C19244" i="21"/>
  <c r="E19244" i="21"/>
  <c r="B19256" i="21"/>
  <c r="B19153" i="21"/>
  <c r="B21924" i="21" l="1"/>
  <c r="B21934" i="21"/>
  <c r="D19658" i="21"/>
  <c r="E19658" i="21"/>
  <c r="D19668" i="21"/>
  <c r="C19668" i="21"/>
  <c r="E19668" i="21"/>
  <c r="B19659" i="21"/>
  <c r="B19554" i="21"/>
  <c r="D19565" i="21"/>
  <c r="C19565" i="21"/>
  <c r="E19565" i="21"/>
  <c r="B19453" i="21"/>
  <c r="D19462" i="21"/>
  <c r="C19462" i="21"/>
  <c r="E19462" i="21"/>
  <c r="B19348" i="21"/>
  <c r="D19359" i="21"/>
  <c r="C19359" i="21"/>
  <c r="E19359" i="21"/>
  <c r="B19245" i="21"/>
  <c r="D19256" i="21"/>
  <c r="C19256" i="21"/>
  <c r="E19256" i="21"/>
  <c r="C19143" i="21"/>
  <c r="D19143" i="21"/>
  <c r="E19143" i="21"/>
  <c r="C19153" i="21"/>
  <c r="D19153" i="21"/>
  <c r="E19153" i="21"/>
  <c r="D21934" i="21" l="1"/>
  <c r="C21934" i="21"/>
  <c r="E21934" i="21"/>
  <c r="D21924" i="21"/>
  <c r="C21924" i="21"/>
  <c r="E21924" i="21"/>
  <c r="E19659" i="21"/>
  <c r="C19659" i="21"/>
  <c r="D19659" i="21"/>
  <c r="B19669" i="21"/>
  <c r="D19554" i="21"/>
  <c r="C19554" i="21"/>
  <c r="E19554" i="21"/>
  <c r="B19566" i="21"/>
  <c r="B19463" i="21"/>
  <c r="E19453" i="21"/>
  <c r="C19453" i="21"/>
  <c r="D19453" i="21"/>
  <c r="E19348" i="21"/>
  <c r="C19348" i="21"/>
  <c r="D19348" i="21"/>
  <c r="B19360" i="21"/>
  <c r="E19245" i="21"/>
  <c r="D19245" i="21"/>
  <c r="C19245" i="21"/>
  <c r="B19257" i="21"/>
  <c r="B19144" i="21"/>
  <c r="B19154" i="21"/>
  <c r="B21935" i="21" l="1"/>
  <c r="B21925" i="21"/>
  <c r="E19669" i="21"/>
  <c r="C19669" i="21"/>
  <c r="D19669" i="21"/>
  <c r="B19660" i="21"/>
  <c r="B19555" i="21"/>
  <c r="E19566" i="21"/>
  <c r="C19566" i="21"/>
  <c r="D19566" i="21"/>
  <c r="B19454" i="21"/>
  <c r="E19463" i="21"/>
  <c r="C19463" i="21"/>
  <c r="D19463" i="21"/>
  <c r="B19349" i="21"/>
  <c r="E19360" i="21"/>
  <c r="C19360" i="21"/>
  <c r="D19360" i="21"/>
  <c r="B19246" i="21"/>
  <c r="E19257" i="21"/>
  <c r="C19257" i="21"/>
  <c r="D19257" i="21"/>
  <c r="D19154" i="21"/>
  <c r="E19154" i="21"/>
  <c r="C19154" i="21"/>
  <c r="D19144" i="21"/>
  <c r="E19144" i="21"/>
  <c r="C19144" i="21"/>
  <c r="L18920" i="21"/>
  <c r="L18919" i="21"/>
  <c r="L18918" i="21"/>
  <c r="L18917" i="21"/>
  <c r="L18916" i="21"/>
  <c r="L18915" i="21"/>
  <c r="L18914" i="21"/>
  <c r="L18913" i="21"/>
  <c r="L18912" i="21"/>
  <c r="L18910" i="21"/>
  <c r="L18909" i="21"/>
  <c r="L18908" i="21"/>
  <c r="L18907" i="21"/>
  <c r="L18906" i="21"/>
  <c r="L18905" i="21"/>
  <c r="L18904" i="21"/>
  <c r="L18903" i="21"/>
  <c r="L18902" i="21"/>
  <c r="L18900" i="21"/>
  <c r="L18899" i="21"/>
  <c r="L18898" i="21"/>
  <c r="L18897" i="21"/>
  <c r="L18896" i="21"/>
  <c r="L18895" i="21"/>
  <c r="L18894" i="21"/>
  <c r="L18893" i="21"/>
  <c r="L18892" i="21"/>
  <c r="L18890" i="21"/>
  <c r="L18889" i="21"/>
  <c r="L18888" i="21"/>
  <c r="L18887" i="21"/>
  <c r="L18886" i="21"/>
  <c r="L18885" i="21"/>
  <c r="L18884" i="21"/>
  <c r="L18883" i="21"/>
  <c r="L18882" i="21"/>
  <c r="L18880" i="21"/>
  <c r="L18879" i="21"/>
  <c r="L18878" i="21"/>
  <c r="L18877" i="21"/>
  <c r="L18876" i="21"/>
  <c r="L18875" i="21"/>
  <c r="L18874" i="21"/>
  <c r="L18873" i="21"/>
  <c r="L18872" i="21"/>
  <c r="L18870" i="21"/>
  <c r="L18869" i="21"/>
  <c r="L18868" i="21"/>
  <c r="L18867" i="21"/>
  <c r="L18866" i="21"/>
  <c r="L18865" i="21"/>
  <c r="L18864" i="21"/>
  <c r="L18863" i="21"/>
  <c r="L18862" i="21"/>
  <c r="L18860" i="21"/>
  <c r="L18859" i="21"/>
  <c r="L18858" i="21"/>
  <c r="L18857" i="21"/>
  <c r="L18856" i="21"/>
  <c r="L18855" i="21"/>
  <c r="L18854" i="21"/>
  <c r="L18853" i="21"/>
  <c r="L18852" i="21"/>
  <c r="L18850" i="21"/>
  <c r="L18849" i="21"/>
  <c r="L18848" i="21"/>
  <c r="L18847" i="21"/>
  <c r="L18846" i="21"/>
  <c r="L18845" i="21"/>
  <c r="L18844" i="21"/>
  <c r="L18843" i="21"/>
  <c r="L18842" i="21"/>
  <c r="L18840" i="21"/>
  <c r="L18839" i="21"/>
  <c r="L18838" i="21"/>
  <c r="L18837" i="21"/>
  <c r="L18836" i="21"/>
  <c r="L18835" i="21"/>
  <c r="L18834" i="21"/>
  <c r="L18833" i="21"/>
  <c r="E21925" i="21" l="1"/>
  <c r="D21925" i="21"/>
  <c r="C21925" i="21"/>
  <c r="B21926" i="21" s="1"/>
  <c r="E21935" i="21"/>
  <c r="D21935" i="21"/>
  <c r="C21935" i="21"/>
  <c r="B21936" i="21" s="1"/>
  <c r="D19660" i="21"/>
  <c r="C19660" i="21"/>
  <c r="B19670" i="21"/>
  <c r="D19555" i="21"/>
  <c r="C19555" i="21"/>
  <c r="E19555" i="21"/>
  <c r="B19567" i="21"/>
  <c r="B19464" i="21"/>
  <c r="D19454" i="21"/>
  <c r="C19454" i="21"/>
  <c r="C19349" i="21"/>
  <c r="D19349" i="21"/>
  <c r="E19349" i="21"/>
  <c r="B19361" i="21"/>
  <c r="D19246" i="21"/>
  <c r="C19246" i="21"/>
  <c r="E19246" i="21"/>
  <c r="B19258" i="21"/>
  <c r="B19155" i="21"/>
  <c r="B19145" i="21"/>
  <c r="D21936" i="21" l="1"/>
  <c r="C21936" i="21"/>
  <c r="B21937" i="21" s="1"/>
  <c r="D21926" i="21"/>
  <c r="C21926" i="21"/>
  <c r="B21927" i="21" s="1"/>
  <c r="D19670" i="21"/>
  <c r="C19670" i="21"/>
  <c r="B19661" i="21"/>
  <c r="E19660" i="21" s="1"/>
  <c r="B19556" i="21"/>
  <c r="D19567" i="21"/>
  <c r="C19567" i="21"/>
  <c r="B19455" i="21"/>
  <c r="E19454" i="21" s="1"/>
  <c r="D19464" i="21"/>
  <c r="C19464" i="21"/>
  <c r="B19350" i="21"/>
  <c r="D19361" i="21"/>
  <c r="C19361" i="21"/>
  <c r="B19247" i="21"/>
  <c r="D19258" i="21"/>
  <c r="C19258" i="21"/>
  <c r="C19145" i="21"/>
  <c r="D19145" i="21"/>
  <c r="C19155" i="21"/>
  <c r="D19155" i="21"/>
  <c r="E21926" i="21" l="1"/>
  <c r="D21927" i="21"/>
  <c r="E21927" i="21"/>
  <c r="E21936" i="21"/>
  <c r="D21937" i="21"/>
  <c r="E21937" i="21"/>
  <c r="D19661" i="21"/>
  <c r="E19661" i="21"/>
  <c r="B19671" i="21"/>
  <c r="E19670" i="21" s="1"/>
  <c r="E19556" i="21"/>
  <c r="C19556" i="21"/>
  <c r="D19556" i="21"/>
  <c r="B19568" i="21"/>
  <c r="E19567" i="21" s="1"/>
  <c r="B19465" i="21"/>
  <c r="E19464" i="21" s="1"/>
  <c r="D19455" i="21"/>
  <c r="E19455" i="21"/>
  <c r="D19350" i="21"/>
  <c r="C19350" i="21"/>
  <c r="E19350" i="21"/>
  <c r="B19362" i="21"/>
  <c r="E19361" i="21" s="1"/>
  <c r="E19247" i="21"/>
  <c r="D19247" i="21"/>
  <c r="C19247" i="21"/>
  <c r="B19259" i="21"/>
  <c r="E19258" i="21" s="1"/>
  <c r="B19156" i="21"/>
  <c r="E19155" i="21" s="1"/>
  <c r="B19146" i="21"/>
  <c r="E19145" i="21" s="1"/>
  <c r="A21916" i="21" l="1"/>
  <c r="A21913" i="21"/>
  <c r="A19441" i="21"/>
  <c r="A19647" i="21"/>
  <c r="D19671" i="21"/>
  <c r="E19671" i="21"/>
  <c r="B19557" i="21"/>
  <c r="D19568" i="21"/>
  <c r="E19568" i="21"/>
  <c r="D19465" i="21"/>
  <c r="E19465" i="21"/>
  <c r="B19351" i="21"/>
  <c r="D19362" i="21"/>
  <c r="E19362" i="21"/>
  <c r="B19248" i="21"/>
  <c r="D19259" i="21"/>
  <c r="E19259" i="21"/>
  <c r="E19146" i="21"/>
  <c r="D19146" i="21"/>
  <c r="E19156" i="21"/>
  <c r="D19156" i="21"/>
  <c r="A19547" i="21" l="1"/>
  <c r="A19650" i="21"/>
  <c r="D19557" i="21"/>
  <c r="C19557" i="21"/>
  <c r="B19558" i="21" s="1"/>
  <c r="A19444" i="21"/>
  <c r="A19341" i="21"/>
  <c r="C19351" i="21"/>
  <c r="B19352" i="21" s="1"/>
  <c r="D19351" i="21"/>
  <c r="A19238" i="21"/>
  <c r="D19248" i="21"/>
  <c r="C19248" i="21"/>
  <c r="B19249" i="21" s="1"/>
  <c r="A19132" i="21"/>
  <c r="A19135" i="21"/>
  <c r="L18817" i="21"/>
  <c r="L18816" i="21"/>
  <c r="L18815" i="21"/>
  <c r="L18814" i="21"/>
  <c r="L18813" i="21"/>
  <c r="L18812" i="21"/>
  <c r="L18811" i="21"/>
  <c r="L18809" i="21"/>
  <c r="L18808" i="21"/>
  <c r="L18807" i="21"/>
  <c r="L18806" i="21"/>
  <c r="L18805" i="21"/>
  <c r="L18804" i="21"/>
  <c r="L18803" i="21"/>
  <c r="L18802" i="21"/>
  <c r="L18801" i="21"/>
  <c r="L18799" i="21"/>
  <c r="L18798" i="21"/>
  <c r="L18797" i="21"/>
  <c r="L18796" i="21"/>
  <c r="L18795" i="21"/>
  <c r="L18794" i="21"/>
  <c r="L18793" i="21"/>
  <c r="L18792" i="21"/>
  <c r="L18791" i="21"/>
  <c r="L18789" i="21"/>
  <c r="L18788" i="21"/>
  <c r="L18787" i="21"/>
  <c r="L18786" i="21"/>
  <c r="L18785" i="21"/>
  <c r="L18784" i="21"/>
  <c r="L18783" i="21"/>
  <c r="L18782" i="21"/>
  <c r="L18781" i="21"/>
  <c r="L18779" i="21"/>
  <c r="L18778" i="21"/>
  <c r="L18777" i="21"/>
  <c r="L18776" i="21"/>
  <c r="L18775" i="21"/>
  <c r="L18774" i="21"/>
  <c r="L18773" i="21"/>
  <c r="L18772" i="21"/>
  <c r="L18771" i="21"/>
  <c r="L18769" i="21"/>
  <c r="L18768" i="21"/>
  <c r="L18767" i="21"/>
  <c r="L18766" i="21"/>
  <c r="L18765" i="21"/>
  <c r="L18764" i="21"/>
  <c r="L18763" i="21"/>
  <c r="L18762" i="21"/>
  <c r="L18761" i="21"/>
  <c r="L18759" i="21"/>
  <c r="L18758" i="21"/>
  <c r="L18757" i="21"/>
  <c r="L18756" i="21"/>
  <c r="L18755" i="21"/>
  <c r="L18754" i="21"/>
  <c r="L18753" i="21"/>
  <c r="L18752" i="21"/>
  <c r="L18751" i="21"/>
  <c r="L18749" i="21"/>
  <c r="L18748" i="21"/>
  <c r="L18747" i="21"/>
  <c r="L18746" i="21"/>
  <c r="L18745" i="21"/>
  <c r="L18744" i="21"/>
  <c r="L18743" i="21"/>
  <c r="L18742" i="21"/>
  <c r="L18741" i="21"/>
  <c r="L18739" i="21"/>
  <c r="L18738" i="21"/>
  <c r="L18737" i="21"/>
  <c r="L18736" i="21"/>
  <c r="L18735" i="21"/>
  <c r="L18734" i="21"/>
  <c r="L18733" i="21"/>
  <c r="L18732" i="21"/>
  <c r="L18717" i="21"/>
  <c r="L18716" i="21"/>
  <c r="L18715" i="21"/>
  <c r="L18714" i="21"/>
  <c r="L18713" i="21"/>
  <c r="L18712" i="21"/>
  <c r="L18711" i="21"/>
  <c r="L18710" i="21"/>
  <c r="L18708" i="21"/>
  <c r="L18707" i="21"/>
  <c r="L18706" i="21"/>
  <c r="L18705" i="21"/>
  <c r="L18704" i="21"/>
  <c r="L18703" i="21"/>
  <c r="L18702" i="21"/>
  <c r="L18701" i="21"/>
  <c r="L18700" i="21"/>
  <c r="L18698" i="21"/>
  <c r="L18697" i="21"/>
  <c r="L18696" i="21"/>
  <c r="L18695" i="21"/>
  <c r="L18694" i="21"/>
  <c r="L18693" i="21"/>
  <c r="L18692" i="21"/>
  <c r="L18691" i="21"/>
  <c r="L18690" i="21"/>
  <c r="L18688" i="21"/>
  <c r="L18687" i="21"/>
  <c r="L18686" i="21"/>
  <c r="L18685" i="21"/>
  <c r="L18684" i="21"/>
  <c r="L18683" i="21"/>
  <c r="L18682" i="21"/>
  <c r="L18681" i="21"/>
  <c r="L18680" i="21"/>
  <c r="L18678" i="21"/>
  <c r="L18677" i="21"/>
  <c r="L18676" i="21"/>
  <c r="L18675" i="21"/>
  <c r="L18674" i="21"/>
  <c r="L18673" i="21"/>
  <c r="L18672" i="21"/>
  <c r="L18671" i="21"/>
  <c r="L18670" i="21"/>
  <c r="L18668" i="21"/>
  <c r="L18667" i="21"/>
  <c r="L18666" i="21"/>
  <c r="L18665" i="21"/>
  <c r="L18664" i="21"/>
  <c r="L18663" i="21"/>
  <c r="L18662" i="21"/>
  <c r="L18661" i="21"/>
  <c r="L18660" i="21"/>
  <c r="L18658" i="21"/>
  <c r="L18657" i="21"/>
  <c r="L18656" i="21"/>
  <c r="L18655" i="21"/>
  <c r="L18654" i="21"/>
  <c r="L18653" i="21"/>
  <c r="L18652" i="21"/>
  <c r="L18651" i="21"/>
  <c r="L18650" i="21"/>
  <c r="L18648" i="21"/>
  <c r="L18647" i="21"/>
  <c r="L18646" i="21"/>
  <c r="L18645" i="21"/>
  <c r="L18644" i="21"/>
  <c r="L18643" i="21"/>
  <c r="L18642" i="21"/>
  <c r="L18641" i="21"/>
  <c r="L18640" i="21"/>
  <c r="L18638" i="21"/>
  <c r="L18637" i="21"/>
  <c r="L18636" i="21"/>
  <c r="L18635" i="21"/>
  <c r="L18634" i="21"/>
  <c r="L18633" i="21"/>
  <c r="L18632" i="21"/>
  <c r="L18631" i="21"/>
  <c r="L18615" i="21"/>
  <c r="L18614" i="21"/>
  <c r="L18613" i="21"/>
  <c r="L18612" i="21"/>
  <c r="L18611" i="21"/>
  <c r="L18610" i="21"/>
  <c r="L18609" i="21"/>
  <c r="L18608" i="21"/>
  <c r="L18606" i="21"/>
  <c r="L18605" i="21"/>
  <c r="L18604" i="21"/>
  <c r="L18603" i="21"/>
  <c r="L18602" i="21"/>
  <c r="L18601" i="21"/>
  <c r="L18600" i="21"/>
  <c r="L18599" i="21"/>
  <c r="L18598" i="21"/>
  <c r="L18596" i="21"/>
  <c r="L18595" i="21"/>
  <c r="L18594" i="21"/>
  <c r="L18593" i="21"/>
  <c r="L18592" i="21"/>
  <c r="L18591" i="21"/>
  <c r="L18590" i="21"/>
  <c r="L18589" i="21"/>
  <c r="L18588" i="21"/>
  <c r="L18586" i="21"/>
  <c r="L18585" i="21"/>
  <c r="L18584" i="21"/>
  <c r="L18583" i="21"/>
  <c r="L18582" i="21"/>
  <c r="L18581" i="21"/>
  <c r="L18580" i="21"/>
  <c r="L18579" i="21"/>
  <c r="L18578" i="21"/>
  <c r="L18576" i="21"/>
  <c r="L18575" i="21"/>
  <c r="L18574" i="21"/>
  <c r="L18573" i="21"/>
  <c r="L18572" i="21"/>
  <c r="L18571" i="21"/>
  <c r="L18570" i="21"/>
  <c r="L18569" i="21"/>
  <c r="L18568" i="21"/>
  <c r="L18566" i="21"/>
  <c r="L18565" i="21"/>
  <c r="L18564" i="21"/>
  <c r="L18563" i="21"/>
  <c r="L18562" i="21"/>
  <c r="L18561" i="21"/>
  <c r="L18560" i="21"/>
  <c r="L18559" i="21"/>
  <c r="L18558" i="21"/>
  <c r="L18556" i="21"/>
  <c r="L18555" i="21"/>
  <c r="L18554" i="21"/>
  <c r="L18553" i="21"/>
  <c r="L18552" i="21"/>
  <c r="L18551" i="21"/>
  <c r="L18550" i="21"/>
  <c r="L18549" i="21"/>
  <c r="L18548" i="21"/>
  <c r="L18546" i="21"/>
  <c r="L18545" i="21"/>
  <c r="L18544" i="21"/>
  <c r="L18543" i="21"/>
  <c r="L18542" i="21"/>
  <c r="L18541" i="21"/>
  <c r="L18540" i="21"/>
  <c r="L18539" i="21"/>
  <c r="L18538" i="21"/>
  <c r="L18536" i="21"/>
  <c r="L18535" i="21"/>
  <c r="L18534" i="21"/>
  <c r="L18533" i="21"/>
  <c r="L18532" i="21"/>
  <c r="L18531" i="21"/>
  <c r="L18530" i="21"/>
  <c r="L18529" i="21"/>
  <c r="R10" i="13"/>
  <c r="L18513" i="21"/>
  <c r="L18512" i="21"/>
  <c r="L18511" i="21"/>
  <c r="L18510" i="21"/>
  <c r="L18509" i="21"/>
  <c r="L18508" i="21"/>
  <c r="L18507" i="21"/>
  <c r="L18506" i="21"/>
  <c r="L18504" i="21"/>
  <c r="L18503" i="21"/>
  <c r="L18502" i="21"/>
  <c r="L18501" i="21"/>
  <c r="L18500" i="21"/>
  <c r="L18499" i="21"/>
  <c r="L18498" i="21"/>
  <c r="L18497" i="21"/>
  <c r="L18496" i="21"/>
  <c r="L18494" i="21"/>
  <c r="L18493" i="21"/>
  <c r="L18492" i="21"/>
  <c r="L18491" i="21"/>
  <c r="L18490" i="21"/>
  <c r="L18489" i="21"/>
  <c r="L18488" i="21"/>
  <c r="L18487" i="21"/>
  <c r="L18486" i="21"/>
  <c r="L18484" i="21"/>
  <c r="L18483" i="21"/>
  <c r="L18482" i="21"/>
  <c r="L18481" i="21"/>
  <c r="L18480" i="21"/>
  <c r="L18479" i="21"/>
  <c r="L18478" i="21"/>
  <c r="L18477" i="21"/>
  <c r="L18476" i="21"/>
  <c r="L18474" i="21"/>
  <c r="L18473" i="21"/>
  <c r="L18472" i="21"/>
  <c r="L18471" i="21"/>
  <c r="L18470" i="21"/>
  <c r="L18469" i="21"/>
  <c r="L18468" i="21"/>
  <c r="L18467" i="21"/>
  <c r="L18466" i="21"/>
  <c r="L18464" i="21"/>
  <c r="L18463" i="21"/>
  <c r="L18462" i="21"/>
  <c r="L18461" i="21"/>
  <c r="L18460" i="21"/>
  <c r="L18459" i="21"/>
  <c r="L18458" i="21"/>
  <c r="L18457" i="21"/>
  <c r="L18456" i="21"/>
  <c r="L18454" i="21"/>
  <c r="L18453" i="21"/>
  <c r="L18452" i="21"/>
  <c r="L18451" i="21"/>
  <c r="L18450" i="21"/>
  <c r="L18449" i="21"/>
  <c r="L18448" i="21"/>
  <c r="L18447" i="21"/>
  <c r="L18446" i="21"/>
  <c r="L18444" i="21"/>
  <c r="L18443" i="21"/>
  <c r="L18442" i="21"/>
  <c r="L18441" i="21"/>
  <c r="L18440" i="21"/>
  <c r="L18439" i="21"/>
  <c r="L18438" i="21"/>
  <c r="L18437" i="21"/>
  <c r="L18436" i="21"/>
  <c r="L18434" i="21"/>
  <c r="L18433" i="21"/>
  <c r="L18432" i="21"/>
  <c r="L18431" i="21"/>
  <c r="L18430" i="21"/>
  <c r="L18429" i="21"/>
  <c r="L18428" i="21"/>
  <c r="L18427" i="21"/>
  <c r="L18412" i="21"/>
  <c r="L18411" i="21"/>
  <c r="L18410" i="21"/>
  <c r="L18409" i="21"/>
  <c r="L18408" i="21"/>
  <c r="L18407" i="21"/>
  <c r="L18406" i="21"/>
  <c r="L18405" i="21"/>
  <c r="L18404" i="21"/>
  <c r="L18402" i="21"/>
  <c r="L18401" i="21"/>
  <c r="L18400" i="21"/>
  <c r="L18399" i="21"/>
  <c r="L18398" i="21"/>
  <c r="L18397" i="21"/>
  <c r="L18396" i="21"/>
  <c r="L18395" i="21"/>
  <c r="L18394" i="21"/>
  <c r="L18392" i="21"/>
  <c r="L18391" i="21"/>
  <c r="L18390" i="21"/>
  <c r="L18389" i="21"/>
  <c r="L18388" i="21"/>
  <c r="L18387" i="21"/>
  <c r="L18386" i="21"/>
  <c r="L18385" i="21"/>
  <c r="L18384" i="21"/>
  <c r="L18382" i="21"/>
  <c r="L18381" i="21"/>
  <c r="L18380" i="21"/>
  <c r="L18379" i="21"/>
  <c r="L18378" i="21"/>
  <c r="L18377" i="21"/>
  <c r="L18376" i="21"/>
  <c r="L18375" i="21"/>
  <c r="L18374" i="21"/>
  <c r="L18372" i="21"/>
  <c r="L18371" i="21"/>
  <c r="L18370" i="21"/>
  <c r="L18369" i="21"/>
  <c r="L18368" i="21"/>
  <c r="L18367" i="21"/>
  <c r="L18366" i="21"/>
  <c r="L18365" i="21"/>
  <c r="L18364" i="21"/>
  <c r="L18362" i="21"/>
  <c r="L18361" i="21"/>
  <c r="L18360" i="21"/>
  <c r="L18359" i="21"/>
  <c r="L18358" i="21"/>
  <c r="L18357" i="21"/>
  <c r="L18356" i="21"/>
  <c r="L18355" i="21"/>
  <c r="L18354" i="21"/>
  <c r="L18352" i="21"/>
  <c r="L18351" i="21"/>
  <c r="L18350" i="21"/>
  <c r="L18349" i="21"/>
  <c r="L18348" i="21"/>
  <c r="L18347" i="21"/>
  <c r="L18346" i="21"/>
  <c r="L18345" i="21"/>
  <c r="L18344" i="21"/>
  <c r="L18342" i="21"/>
  <c r="L18341" i="21"/>
  <c r="L18340" i="21"/>
  <c r="L18339" i="21"/>
  <c r="L18338" i="21"/>
  <c r="L18337" i="21"/>
  <c r="L18336" i="21"/>
  <c r="L18335" i="21"/>
  <c r="L18334" i="21"/>
  <c r="L18332" i="21"/>
  <c r="L18331" i="21"/>
  <c r="L18330" i="21"/>
  <c r="L18329" i="21"/>
  <c r="L18328" i="21"/>
  <c r="L18327" i="21"/>
  <c r="L18326" i="21"/>
  <c r="L18325" i="21"/>
  <c r="E19557" i="21" l="1"/>
  <c r="E19558" i="21"/>
  <c r="D19558" i="21"/>
  <c r="E19351" i="21"/>
  <c r="E19352" i="21"/>
  <c r="D19352" i="21"/>
  <c r="E19248" i="21"/>
  <c r="D19249" i="21"/>
  <c r="E19249" i="21"/>
  <c r="A19544" i="21" l="1"/>
  <c r="A19338" i="21"/>
  <c r="A19235" i="21"/>
  <c r="C21" i="10" l="1"/>
  <c r="C20" i="10"/>
  <c r="C19" i="10"/>
  <c r="C20" i="1"/>
  <c r="C19" i="1"/>
  <c r="C18" i="1"/>
  <c r="C17" i="1"/>
  <c r="C18" i="10"/>
  <c r="I18" i="4"/>
  <c r="C20" i="4"/>
  <c r="C19" i="4"/>
  <c r="C18" i="4"/>
  <c r="C17" i="4"/>
  <c r="L17692" i="21" l="1"/>
  <c r="L17691" i="21"/>
  <c r="L17690" i="21"/>
  <c r="L17689" i="21"/>
  <c r="L17688" i="21"/>
  <c r="L17687" i="21"/>
  <c r="L17686" i="21"/>
  <c r="L17685" i="21"/>
  <c r="L17684" i="21"/>
  <c r="L17682" i="21"/>
  <c r="L17681" i="21"/>
  <c r="L17680" i="21"/>
  <c r="L17679" i="21"/>
  <c r="L17678" i="21"/>
  <c r="L17677" i="21"/>
  <c r="L17676" i="21"/>
  <c r="L17675" i="21"/>
  <c r="L17674" i="21"/>
  <c r="L17672" i="21"/>
  <c r="L17671" i="21"/>
  <c r="L17670" i="21"/>
  <c r="L17669" i="21"/>
  <c r="L17668" i="21"/>
  <c r="L17667" i="21"/>
  <c r="L17666" i="21"/>
  <c r="L17665" i="21"/>
  <c r="L17664" i="21"/>
  <c r="L17662" i="21"/>
  <c r="L17661" i="21"/>
  <c r="L17660" i="21"/>
  <c r="L17659" i="21"/>
  <c r="L17658" i="21"/>
  <c r="L17657" i="21"/>
  <c r="L17656" i="21"/>
  <c r="L17655" i="21"/>
  <c r="L17654" i="21"/>
  <c r="L17652" i="21"/>
  <c r="L17651" i="21"/>
  <c r="L17650" i="21"/>
  <c r="L17649" i="21"/>
  <c r="L17648" i="21"/>
  <c r="L17647" i="21"/>
  <c r="L17646" i="21"/>
  <c r="L17645" i="21"/>
  <c r="L17644" i="21"/>
  <c r="L17642" i="21"/>
  <c r="L17641" i="21"/>
  <c r="L17640" i="21"/>
  <c r="L17639" i="21"/>
  <c r="L17638" i="21"/>
  <c r="L17637" i="21"/>
  <c r="L17636" i="21"/>
  <c r="L17635" i="21"/>
  <c r="L17634" i="21"/>
  <c r="L17632" i="21"/>
  <c r="L17631" i="21"/>
  <c r="L17630" i="21"/>
  <c r="L17629" i="21"/>
  <c r="L17628" i="21"/>
  <c r="L17627" i="21"/>
  <c r="L17626" i="21"/>
  <c r="L17625" i="21"/>
  <c r="L17624" i="21"/>
  <c r="L17622" i="21"/>
  <c r="L17621" i="21"/>
  <c r="L17620" i="21"/>
  <c r="L17619" i="21"/>
  <c r="L17618" i="21"/>
  <c r="L17617" i="21"/>
  <c r="L17616" i="21"/>
  <c r="L17615" i="21"/>
  <c r="L17614" i="21"/>
  <c r="L17612" i="21"/>
  <c r="L17611" i="21"/>
  <c r="L17610" i="21"/>
  <c r="L17609" i="21"/>
  <c r="L17608" i="21"/>
  <c r="L17607" i="21"/>
  <c r="L17606" i="21"/>
  <c r="L17605" i="21"/>
  <c r="A19025" i="21" l="1"/>
  <c r="B19037" i="21" s="1"/>
  <c r="L18309" i="21"/>
  <c r="L18308" i="21"/>
  <c r="L18307" i="21"/>
  <c r="L18306" i="21"/>
  <c r="L18305" i="21"/>
  <c r="L18304" i="21"/>
  <c r="L18303" i="21"/>
  <c r="L18302" i="21"/>
  <c r="L18301" i="21"/>
  <c r="L18299" i="21"/>
  <c r="L18298" i="21"/>
  <c r="L18297" i="21"/>
  <c r="L18296" i="21"/>
  <c r="L18295" i="21"/>
  <c r="L18294" i="21"/>
  <c r="L18293" i="21"/>
  <c r="L18292" i="21"/>
  <c r="L18291" i="21"/>
  <c r="L18289" i="21"/>
  <c r="L18288" i="21"/>
  <c r="L18287" i="21"/>
  <c r="L18286" i="21"/>
  <c r="L18285" i="21"/>
  <c r="L18284" i="21"/>
  <c r="L18283" i="21"/>
  <c r="L18282" i="21"/>
  <c r="L18281" i="21"/>
  <c r="L18279" i="21"/>
  <c r="L18278" i="21"/>
  <c r="L18277" i="21"/>
  <c r="L18276" i="21"/>
  <c r="L18275" i="21"/>
  <c r="L18274" i="21"/>
  <c r="L18273" i="21"/>
  <c r="L18272" i="21"/>
  <c r="L18271" i="21"/>
  <c r="L18269" i="21"/>
  <c r="L18268" i="21"/>
  <c r="L18267" i="21"/>
  <c r="L18266" i="21"/>
  <c r="L18265" i="21"/>
  <c r="L18264" i="21"/>
  <c r="L18263" i="21"/>
  <c r="L18262" i="21"/>
  <c r="L18261" i="21"/>
  <c r="L18259" i="21"/>
  <c r="L18258" i="21"/>
  <c r="L18257" i="21"/>
  <c r="L18256" i="21"/>
  <c r="L18255" i="21"/>
  <c r="L18254" i="21"/>
  <c r="L18253" i="21"/>
  <c r="L18252" i="21"/>
  <c r="L18251" i="21"/>
  <c r="L18249" i="21"/>
  <c r="L18248" i="21"/>
  <c r="L18247" i="21"/>
  <c r="L18246" i="21"/>
  <c r="L18245" i="21"/>
  <c r="L18244" i="21"/>
  <c r="L18243" i="21"/>
  <c r="L18242" i="21"/>
  <c r="L18241" i="21"/>
  <c r="L18239" i="21"/>
  <c r="L18238" i="21"/>
  <c r="L18237" i="21"/>
  <c r="L18236" i="21"/>
  <c r="L18235" i="21"/>
  <c r="L18234" i="21"/>
  <c r="L18233" i="21"/>
  <c r="L18232" i="21"/>
  <c r="L18231" i="21"/>
  <c r="L18229" i="21"/>
  <c r="L18228" i="21"/>
  <c r="L18227" i="21"/>
  <c r="L18226" i="21"/>
  <c r="L18225" i="21"/>
  <c r="L18224" i="21"/>
  <c r="L18223" i="21"/>
  <c r="L18222" i="21"/>
  <c r="L18206" i="21"/>
  <c r="L18205" i="21"/>
  <c r="L18204" i="21"/>
  <c r="L18203" i="21"/>
  <c r="L18202" i="21"/>
  <c r="L18201" i="21"/>
  <c r="L18200" i="21"/>
  <c r="L18199" i="21"/>
  <c r="L18198" i="21"/>
  <c r="L18196" i="21"/>
  <c r="L18195" i="21"/>
  <c r="L18194" i="21"/>
  <c r="L18193" i="21"/>
  <c r="L18192" i="21"/>
  <c r="L18191" i="21"/>
  <c r="L18190" i="21"/>
  <c r="L18189" i="21"/>
  <c r="L18188" i="21"/>
  <c r="L18186" i="21"/>
  <c r="L18185" i="21"/>
  <c r="L18184" i="21"/>
  <c r="L18183" i="21"/>
  <c r="L18182" i="21"/>
  <c r="L18181" i="21"/>
  <c r="L18180" i="21"/>
  <c r="L18179" i="21"/>
  <c r="L18178" i="21"/>
  <c r="L18176" i="21"/>
  <c r="L18175" i="21"/>
  <c r="L18174" i="21"/>
  <c r="L18173" i="21"/>
  <c r="L18172" i="21"/>
  <c r="L18171" i="21"/>
  <c r="L18170" i="21"/>
  <c r="L18169" i="21"/>
  <c r="L18168" i="21"/>
  <c r="L18166" i="21"/>
  <c r="L18165" i="21"/>
  <c r="L18164" i="21"/>
  <c r="L18163" i="21"/>
  <c r="L18162" i="21"/>
  <c r="L18161" i="21"/>
  <c r="L18160" i="21"/>
  <c r="L18159" i="21"/>
  <c r="L18158" i="21"/>
  <c r="L18156" i="21"/>
  <c r="L18155" i="21"/>
  <c r="L18154" i="21"/>
  <c r="L18153" i="21"/>
  <c r="L18152" i="21"/>
  <c r="L18151" i="21"/>
  <c r="L18150" i="21"/>
  <c r="L18149" i="21"/>
  <c r="L18148" i="21"/>
  <c r="L18146" i="21"/>
  <c r="L18145" i="21"/>
  <c r="L18144" i="21"/>
  <c r="L18143" i="21"/>
  <c r="L18142" i="21"/>
  <c r="L18141" i="21"/>
  <c r="L18140" i="21"/>
  <c r="L18139" i="21"/>
  <c r="L18138" i="21"/>
  <c r="L18136" i="21"/>
  <c r="L18135" i="21"/>
  <c r="L18134" i="21"/>
  <c r="L18133" i="21"/>
  <c r="L18132" i="21"/>
  <c r="L18131" i="21"/>
  <c r="L18130" i="21"/>
  <c r="L18129" i="21"/>
  <c r="L18128" i="21"/>
  <c r="L18126" i="21"/>
  <c r="L18125" i="21"/>
  <c r="L18124" i="21"/>
  <c r="L18123" i="21"/>
  <c r="L18122" i="21"/>
  <c r="L18121" i="21"/>
  <c r="L18120" i="21"/>
  <c r="L18119" i="21"/>
  <c r="B19047" i="21" l="1"/>
  <c r="C19047" i="21" s="1"/>
  <c r="C19037" i="21"/>
  <c r="D19037" i="21"/>
  <c r="E19037" i="21"/>
  <c r="D19047" i="21"/>
  <c r="A18718" i="21"/>
  <c r="B18730" i="21" s="1"/>
  <c r="A18515" i="21"/>
  <c r="E19047" i="21" l="1"/>
  <c r="B19038" i="21"/>
  <c r="B19048" i="21"/>
  <c r="B18740" i="21"/>
  <c r="D18740" i="21" s="1"/>
  <c r="B18537" i="21"/>
  <c r="B18527" i="21"/>
  <c r="D18730" i="21"/>
  <c r="E18730" i="21"/>
  <c r="C18730" i="21"/>
  <c r="L18103" i="21"/>
  <c r="L18102" i="21"/>
  <c r="L18101" i="21"/>
  <c r="L18100" i="21"/>
  <c r="L18099" i="21"/>
  <c r="L18098" i="21"/>
  <c r="L18097" i="21"/>
  <c r="L18096" i="21"/>
  <c r="L18095" i="21"/>
  <c r="L18093" i="21"/>
  <c r="L18092" i="21"/>
  <c r="L18091" i="21"/>
  <c r="L18090" i="21"/>
  <c r="L18089" i="21"/>
  <c r="L18088" i="21"/>
  <c r="L18087" i="21"/>
  <c r="L18086" i="21"/>
  <c r="L18085" i="21"/>
  <c r="L18083" i="21"/>
  <c r="L18082" i="21"/>
  <c r="L18081" i="21"/>
  <c r="L18080" i="21"/>
  <c r="L18079" i="21"/>
  <c r="L18078" i="21"/>
  <c r="L18077" i="21"/>
  <c r="L18076" i="21"/>
  <c r="L18075" i="21"/>
  <c r="L18073" i="21"/>
  <c r="L18072" i="21"/>
  <c r="L18071" i="21"/>
  <c r="L18070" i="21"/>
  <c r="L18069" i="21"/>
  <c r="L18068" i="21"/>
  <c r="L18067" i="21"/>
  <c r="L18066" i="21"/>
  <c r="L18065" i="21"/>
  <c r="L18063" i="21"/>
  <c r="L18062" i="21"/>
  <c r="L18061" i="21"/>
  <c r="L18060" i="21"/>
  <c r="L18059" i="21"/>
  <c r="L18058" i="21"/>
  <c r="L18057" i="21"/>
  <c r="L18056" i="21"/>
  <c r="L18055" i="21"/>
  <c r="L18053" i="21"/>
  <c r="L18052" i="21"/>
  <c r="L18051" i="21"/>
  <c r="L18050" i="21"/>
  <c r="L18049" i="21"/>
  <c r="L18048" i="21"/>
  <c r="L18047" i="21"/>
  <c r="L18046" i="21"/>
  <c r="L18045" i="21"/>
  <c r="L18043" i="21"/>
  <c r="L18042" i="21"/>
  <c r="L18041" i="21"/>
  <c r="L18040" i="21"/>
  <c r="L18039" i="21"/>
  <c r="L18038" i="21"/>
  <c r="L18037" i="21"/>
  <c r="L18036" i="21"/>
  <c r="L18035" i="21"/>
  <c r="L18033" i="21"/>
  <c r="L18032" i="21"/>
  <c r="L18031" i="21"/>
  <c r="L18030" i="21"/>
  <c r="L18029" i="21"/>
  <c r="L18028" i="21"/>
  <c r="L18027" i="21"/>
  <c r="L18026" i="21"/>
  <c r="L18025" i="21"/>
  <c r="L18023" i="21"/>
  <c r="L18022" i="21"/>
  <c r="L18021" i="21"/>
  <c r="L18020" i="21"/>
  <c r="L18019" i="21"/>
  <c r="L18018" i="21"/>
  <c r="L18017" i="21"/>
  <c r="L18016" i="21"/>
  <c r="L18000" i="21"/>
  <c r="L17999" i="21"/>
  <c r="L17998" i="21"/>
  <c r="L17997" i="21"/>
  <c r="L17996" i="21"/>
  <c r="L17995" i="21"/>
  <c r="L17994" i="21"/>
  <c r="L17993" i="21"/>
  <c r="L17992" i="21"/>
  <c r="L17990" i="21"/>
  <c r="L17989" i="21"/>
  <c r="L17988" i="21"/>
  <c r="L17987" i="21"/>
  <c r="L17986" i="21"/>
  <c r="L17985" i="21"/>
  <c r="L17984" i="21"/>
  <c r="L17983" i="21"/>
  <c r="L17982" i="21"/>
  <c r="L17980" i="21"/>
  <c r="L17979" i="21"/>
  <c r="L17978" i="21"/>
  <c r="L17977" i="21"/>
  <c r="L17976" i="21"/>
  <c r="L17975" i="21"/>
  <c r="L17974" i="21"/>
  <c r="L17973" i="21"/>
  <c r="L17972" i="21"/>
  <c r="L17970" i="21"/>
  <c r="L17969" i="21"/>
  <c r="L17968" i="21"/>
  <c r="L17967" i="21"/>
  <c r="L17966" i="21"/>
  <c r="L17965" i="21"/>
  <c r="L17964" i="21"/>
  <c r="L17963" i="21"/>
  <c r="L17962" i="21"/>
  <c r="L17960" i="21"/>
  <c r="L17959" i="21"/>
  <c r="L17958" i="21"/>
  <c r="L17957" i="21"/>
  <c r="L17956" i="21"/>
  <c r="L17955" i="21"/>
  <c r="L17954" i="21"/>
  <c r="L17953" i="21"/>
  <c r="L17952" i="21"/>
  <c r="L17950" i="21"/>
  <c r="L17949" i="21"/>
  <c r="L17948" i="21"/>
  <c r="L17947" i="21"/>
  <c r="L17946" i="21"/>
  <c r="L17945" i="21"/>
  <c r="L17944" i="21"/>
  <c r="L17943" i="21"/>
  <c r="L17942" i="21"/>
  <c r="L17940" i="21"/>
  <c r="L17939" i="21"/>
  <c r="L17938" i="21"/>
  <c r="L17937" i="21"/>
  <c r="L17936" i="21"/>
  <c r="L17935" i="21"/>
  <c r="L17934" i="21"/>
  <c r="L17933" i="21"/>
  <c r="L17932" i="21"/>
  <c r="L17930" i="21"/>
  <c r="L17929" i="21"/>
  <c r="L17928" i="21"/>
  <c r="L17927" i="21"/>
  <c r="L17926" i="21"/>
  <c r="L17925" i="21"/>
  <c r="L17924" i="21"/>
  <c r="L17923" i="21"/>
  <c r="L17922" i="21"/>
  <c r="L17920" i="21"/>
  <c r="L17919" i="21"/>
  <c r="L17918" i="21"/>
  <c r="L17917" i="21"/>
  <c r="L17916" i="21"/>
  <c r="L17915" i="21"/>
  <c r="L17914" i="21"/>
  <c r="L17913" i="21"/>
  <c r="L17897" i="21"/>
  <c r="L17896" i="21"/>
  <c r="L17895" i="21"/>
  <c r="L17894" i="21"/>
  <c r="L17893" i="21"/>
  <c r="L17892" i="21"/>
  <c r="L17891" i="21"/>
  <c r="L17890" i="21"/>
  <c r="L17889" i="21"/>
  <c r="L17887" i="21"/>
  <c r="L17886" i="21"/>
  <c r="L17885" i="21"/>
  <c r="L17884" i="21"/>
  <c r="L17883" i="21"/>
  <c r="L17882" i="21"/>
  <c r="L17881" i="21"/>
  <c r="L17880" i="21"/>
  <c r="L17879" i="21"/>
  <c r="L17877" i="21"/>
  <c r="L17876" i="21"/>
  <c r="L17875" i="21"/>
  <c r="L17874" i="21"/>
  <c r="L17873" i="21"/>
  <c r="L17872" i="21"/>
  <c r="L17871" i="21"/>
  <c r="L17870" i="21"/>
  <c r="L17869" i="21"/>
  <c r="L17867" i="21"/>
  <c r="L17866" i="21"/>
  <c r="L17865" i="21"/>
  <c r="L17864" i="21"/>
  <c r="L17863" i="21"/>
  <c r="L17862" i="21"/>
  <c r="L17861" i="21"/>
  <c r="L17860" i="21"/>
  <c r="L17859" i="21"/>
  <c r="L17857" i="21"/>
  <c r="L17856" i="21"/>
  <c r="L17855" i="21"/>
  <c r="L17854" i="21"/>
  <c r="L17853" i="21"/>
  <c r="L17852" i="21"/>
  <c r="L17851" i="21"/>
  <c r="L17850" i="21"/>
  <c r="L17849" i="21"/>
  <c r="L17847" i="21"/>
  <c r="L17846" i="21"/>
  <c r="L17845" i="21"/>
  <c r="L17844" i="21"/>
  <c r="L17843" i="21"/>
  <c r="L17842" i="21"/>
  <c r="L17841" i="21"/>
  <c r="L17840" i="21"/>
  <c r="L17839" i="21"/>
  <c r="L17837" i="21"/>
  <c r="L17836" i="21"/>
  <c r="L17835" i="21"/>
  <c r="L17834" i="21"/>
  <c r="L17833" i="21"/>
  <c r="L17832" i="21"/>
  <c r="L17831" i="21"/>
  <c r="L17830" i="21"/>
  <c r="L17829" i="21"/>
  <c r="L17827" i="21"/>
  <c r="L17826" i="21"/>
  <c r="L17825" i="21"/>
  <c r="L17824" i="21"/>
  <c r="L17823" i="21"/>
  <c r="L17822" i="21"/>
  <c r="L17821" i="21"/>
  <c r="L17820" i="21"/>
  <c r="L17819" i="21"/>
  <c r="L17817" i="21"/>
  <c r="L17816" i="21"/>
  <c r="L17815" i="21"/>
  <c r="L17814" i="21"/>
  <c r="L17813" i="21"/>
  <c r="L17812" i="21"/>
  <c r="L17811" i="21"/>
  <c r="L17810" i="21"/>
  <c r="L17794" i="21"/>
  <c r="L17793" i="21"/>
  <c r="L17792" i="21"/>
  <c r="L17791" i="21"/>
  <c r="L17790" i="21"/>
  <c r="L17789" i="21"/>
  <c r="L17788" i="21"/>
  <c r="L17787" i="21"/>
  <c r="L17786" i="21"/>
  <c r="L17784" i="21"/>
  <c r="L17783" i="21"/>
  <c r="L17782" i="21"/>
  <c r="L17781" i="21"/>
  <c r="L17780" i="21"/>
  <c r="L17779" i="21"/>
  <c r="L17778" i="21"/>
  <c r="L17777" i="21"/>
  <c r="L17776" i="21"/>
  <c r="L17774" i="21"/>
  <c r="L17773" i="21"/>
  <c r="L17772" i="21"/>
  <c r="L17771" i="21"/>
  <c r="L17770" i="21"/>
  <c r="L17769" i="21"/>
  <c r="L17768" i="21"/>
  <c r="L17767" i="21"/>
  <c r="L17766" i="21"/>
  <c r="L17764" i="21"/>
  <c r="L17763" i="21"/>
  <c r="L17762" i="21"/>
  <c r="L17761" i="21"/>
  <c r="L17760" i="21"/>
  <c r="L17759" i="21"/>
  <c r="L17758" i="21"/>
  <c r="L17757" i="21"/>
  <c r="L17756" i="21"/>
  <c r="L17754" i="21"/>
  <c r="L17753" i="21"/>
  <c r="L17752" i="21"/>
  <c r="L17751" i="21"/>
  <c r="L17750" i="21"/>
  <c r="L17749" i="21"/>
  <c r="L17748" i="21"/>
  <c r="L17747" i="21"/>
  <c r="L17746" i="21"/>
  <c r="L17744" i="21"/>
  <c r="L17743" i="21"/>
  <c r="L17742" i="21"/>
  <c r="L17741" i="21"/>
  <c r="L17740" i="21"/>
  <c r="L17739" i="21"/>
  <c r="L17738" i="21"/>
  <c r="L17737" i="21"/>
  <c r="L17736" i="21"/>
  <c r="L17734" i="21"/>
  <c r="L17733" i="21"/>
  <c r="L17732" i="21"/>
  <c r="L17731" i="21"/>
  <c r="L17730" i="21"/>
  <c r="L17729" i="21"/>
  <c r="L17728" i="21"/>
  <c r="L17727" i="21"/>
  <c r="L17726" i="21"/>
  <c r="L17724" i="21"/>
  <c r="L17723" i="21"/>
  <c r="L17722" i="21"/>
  <c r="L17721" i="21"/>
  <c r="L17720" i="21"/>
  <c r="L17719" i="21"/>
  <c r="L17718" i="21"/>
  <c r="L17717" i="21"/>
  <c r="L17716" i="21"/>
  <c r="L17714" i="21"/>
  <c r="L17713" i="21"/>
  <c r="L17712" i="21"/>
  <c r="L17711" i="21"/>
  <c r="L17710" i="21"/>
  <c r="L17709" i="21"/>
  <c r="L17708" i="21"/>
  <c r="L17707" i="21"/>
  <c r="E18740" i="21" l="1"/>
  <c r="D19048" i="21"/>
  <c r="C19048" i="21"/>
  <c r="E19048" i="21"/>
  <c r="D19038" i="21"/>
  <c r="C19038" i="21"/>
  <c r="E19038" i="21"/>
  <c r="C18740" i="21"/>
  <c r="B18741" i="21" s="1"/>
  <c r="A18617" i="21"/>
  <c r="C18527" i="21"/>
  <c r="D18527" i="21"/>
  <c r="E18527" i="21"/>
  <c r="B18731" i="21"/>
  <c r="C18537" i="21"/>
  <c r="D18537" i="21"/>
  <c r="E18537" i="21"/>
  <c r="B19039" i="21" l="1"/>
  <c r="B19049" i="21"/>
  <c r="C18731" i="21"/>
  <c r="D18731" i="21"/>
  <c r="E18731" i="21"/>
  <c r="B18528" i="21"/>
  <c r="D18741" i="21"/>
  <c r="C18741" i="21"/>
  <c r="E18741" i="21"/>
  <c r="B18538" i="21"/>
  <c r="B18629" i="21"/>
  <c r="B18639" i="21"/>
  <c r="C19049" i="21" l="1"/>
  <c r="E19049" i="21"/>
  <c r="D19049" i="21"/>
  <c r="C19039" i="21"/>
  <c r="E19039" i="21"/>
  <c r="D19039" i="21"/>
  <c r="C18538" i="21"/>
  <c r="D18538" i="21"/>
  <c r="E18538" i="21"/>
  <c r="D18629" i="21"/>
  <c r="E18629" i="21"/>
  <c r="C18629" i="21"/>
  <c r="B18742" i="21"/>
  <c r="C18528" i="21"/>
  <c r="D18528" i="21"/>
  <c r="E18528" i="21"/>
  <c r="B18732" i="21"/>
  <c r="E18639" i="21"/>
  <c r="C18639" i="21"/>
  <c r="D18639" i="21"/>
  <c r="B19040" i="21" l="1"/>
  <c r="B19050" i="21"/>
  <c r="B18630" i="21"/>
  <c r="E18732" i="21"/>
  <c r="D18732" i="21"/>
  <c r="C18732" i="21"/>
  <c r="B18529" i="21"/>
  <c r="C18742" i="21"/>
  <c r="E18742" i="21"/>
  <c r="D18742" i="21"/>
  <c r="B18640" i="21"/>
  <c r="B18539" i="21"/>
  <c r="D19050" i="21" l="1"/>
  <c r="C19050" i="21"/>
  <c r="E19050" i="21"/>
  <c r="C19040" i="21"/>
  <c r="D19040" i="21"/>
  <c r="E19040" i="21"/>
  <c r="E18539" i="21"/>
  <c r="D18539" i="21"/>
  <c r="C18539" i="21"/>
  <c r="C18529" i="21"/>
  <c r="D18529" i="21"/>
  <c r="E18529" i="21"/>
  <c r="D18640" i="21"/>
  <c r="C18640" i="21"/>
  <c r="E18640" i="21"/>
  <c r="B18733" i="21"/>
  <c r="D18630" i="21"/>
  <c r="C18630" i="21"/>
  <c r="E18630" i="21"/>
  <c r="B18743" i="21"/>
  <c r="B19041" i="21" l="1"/>
  <c r="B19051" i="21"/>
  <c r="D18733" i="21"/>
  <c r="C18733" i="21"/>
  <c r="E18733" i="21"/>
  <c r="B18641" i="21"/>
  <c r="D18743" i="21"/>
  <c r="C18743" i="21"/>
  <c r="E18743" i="21"/>
  <c r="B18631" i="21"/>
  <c r="B18530" i="21"/>
  <c r="B18540" i="21"/>
  <c r="E19051" i="21" l="1"/>
  <c r="D19051" i="21"/>
  <c r="C19051" i="21"/>
  <c r="B19052" i="21" s="1"/>
  <c r="E19041" i="21"/>
  <c r="D19041" i="21"/>
  <c r="C19041" i="21"/>
  <c r="B19042" i="21" s="1"/>
  <c r="D18530" i="21"/>
  <c r="C18530" i="21"/>
  <c r="E18530" i="21"/>
  <c r="E18631" i="21"/>
  <c r="C18631" i="21"/>
  <c r="D18631" i="21"/>
  <c r="C18641" i="21"/>
  <c r="D18641" i="21"/>
  <c r="E18641" i="21"/>
  <c r="C18540" i="21"/>
  <c r="D18540" i="21"/>
  <c r="E18540" i="21"/>
  <c r="B18734" i="21"/>
  <c r="B18744" i="21"/>
  <c r="L17589" i="21"/>
  <c r="L17588" i="21"/>
  <c r="L17587" i="21"/>
  <c r="L17586" i="21"/>
  <c r="L17585" i="21"/>
  <c r="L17584" i="21"/>
  <c r="L17583" i="21"/>
  <c r="L17582" i="21"/>
  <c r="L17581" i="21"/>
  <c r="L17579" i="21"/>
  <c r="L17578" i="21"/>
  <c r="L17577" i="21"/>
  <c r="L17576" i="21"/>
  <c r="L17575" i="21"/>
  <c r="L17574" i="21"/>
  <c r="L17573" i="21"/>
  <c r="L17572" i="21"/>
  <c r="L17571" i="21"/>
  <c r="L17569" i="21"/>
  <c r="L17568" i="21"/>
  <c r="L17567" i="21"/>
  <c r="L17566" i="21"/>
  <c r="L17565" i="21"/>
  <c r="L17564" i="21"/>
  <c r="L17563" i="21"/>
  <c r="L17562" i="21"/>
  <c r="L17561" i="21"/>
  <c r="L17559" i="21"/>
  <c r="L17558" i="21"/>
  <c r="L17557" i="21"/>
  <c r="L17556" i="21"/>
  <c r="L17555" i="21"/>
  <c r="L17554" i="21"/>
  <c r="L17553" i="21"/>
  <c r="L17552" i="21"/>
  <c r="L17551" i="21"/>
  <c r="L17549" i="21"/>
  <c r="L17548" i="21"/>
  <c r="L17547" i="21"/>
  <c r="L17546" i="21"/>
  <c r="L17545" i="21"/>
  <c r="L17544" i="21"/>
  <c r="L17543" i="21"/>
  <c r="L17542" i="21"/>
  <c r="L17541" i="21"/>
  <c r="L17539" i="21"/>
  <c r="L17538" i="21"/>
  <c r="L17537" i="21"/>
  <c r="L17536" i="21"/>
  <c r="L17535" i="21"/>
  <c r="L17534" i="21"/>
  <c r="L17533" i="21"/>
  <c r="L17532" i="21"/>
  <c r="L17531" i="21"/>
  <c r="L17529" i="21"/>
  <c r="L17528" i="21"/>
  <c r="L17527" i="21"/>
  <c r="L17526" i="21"/>
  <c r="L17525" i="21"/>
  <c r="L17524" i="21"/>
  <c r="L17523" i="21"/>
  <c r="L17522" i="21"/>
  <c r="L17521" i="21"/>
  <c r="L17519" i="21"/>
  <c r="L17518" i="21"/>
  <c r="L17517" i="21"/>
  <c r="L17516" i="21"/>
  <c r="L17515" i="21"/>
  <c r="L17514" i="21"/>
  <c r="L17513" i="21"/>
  <c r="L17512" i="21"/>
  <c r="L17511" i="21"/>
  <c r="L17509" i="21"/>
  <c r="L17508" i="21"/>
  <c r="L17507" i="21"/>
  <c r="L17506" i="21"/>
  <c r="L17505" i="21"/>
  <c r="L17504" i="21"/>
  <c r="L17503" i="21"/>
  <c r="L17502" i="21"/>
  <c r="D19042" i="21" l="1"/>
  <c r="C19042" i="21"/>
  <c r="B19043" i="21" s="1"/>
  <c r="D19052" i="21"/>
  <c r="C19052" i="21"/>
  <c r="B19053" i="21" s="1"/>
  <c r="E18734" i="21"/>
  <c r="D18734" i="21"/>
  <c r="C18734" i="21"/>
  <c r="B18735" i="21" s="1"/>
  <c r="B18541" i="21"/>
  <c r="B18642" i="21"/>
  <c r="B18531" i="21"/>
  <c r="E18744" i="21"/>
  <c r="D18744" i="21"/>
  <c r="C18744" i="21"/>
  <c r="B18745" i="21" s="1"/>
  <c r="B18632" i="21"/>
  <c r="L17486" i="21"/>
  <c r="L17485" i="21"/>
  <c r="L17484" i="21"/>
  <c r="L17483" i="21"/>
  <c r="L17482" i="21"/>
  <c r="L17481" i="21"/>
  <c r="L17480" i="21"/>
  <c r="L17479" i="21"/>
  <c r="L17478" i="21"/>
  <c r="L17476" i="21"/>
  <c r="L17475" i="21"/>
  <c r="L17474" i="21"/>
  <c r="L17473" i="21"/>
  <c r="L17472" i="21"/>
  <c r="L17471" i="21"/>
  <c r="L17470" i="21"/>
  <c r="L17469" i="21"/>
  <c r="L17468" i="21"/>
  <c r="L17466" i="21"/>
  <c r="L17465" i="21"/>
  <c r="L17464" i="21"/>
  <c r="L17463" i="21"/>
  <c r="L17462" i="21"/>
  <c r="L17461" i="21"/>
  <c r="L17460" i="21"/>
  <c r="L17459" i="21"/>
  <c r="L17458" i="21"/>
  <c r="L17456" i="21"/>
  <c r="L17455" i="21"/>
  <c r="L17454" i="21"/>
  <c r="L17453" i="21"/>
  <c r="L17452" i="21"/>
  <c r="L17451" i="21"/>
  <c r="L17450" i="21"/>
  <c r="L17449" i="21"/>
  <c r="L17448" i="21"/>
  <c r="L17446" i="21"/>
  <c r="L17445" i="21"/>
  <c r="L17444" i="21"/>
  <c r="L17443" i="21"/>
  <c r="L17442" i="21"/>
  <c r="L17441" i="21"/>
  <c r="L17440" i="21"/>
  <c r="L17439" i="21"/>
  <c r="L17438" i="21"/>
  <c r="L17436" i="21"/>
  <c r="L17435" i="21"/>
  <c r="L17434" i="21"/>
  <c r="L17433" i="21"/>
  <c r="L17432" i="21"/>
  <c r="L17431" i="21"/>
  <c r="L17430" i="21"/>
  <c r="L17429" i="21"/>
  <c r="L17428" i="21"/>
  <c r="L17426" i="21"/>
  <c r="L17425" i="21"/>
  <c r="L17424" i="21"/>
  <c r="L17423" i="21"/>
  <c r="L17422" i="21"/>
  <c r="L17421" i="21"/>
  <c r="L17420" i="21"/>
  <c r="L17419" i="21"/>
  <c r="L17418" i="21"/>
  <c r="L17416" i="21"/>
  <c r="L17415" i="21"/>
  <c r="L17414" i="21"/>
  <c r="L17413" i="21"/>
  <c r="L17412" i="21"/>
  <c r="L17411" i="21"/>
  <c r="L17410" i="21"/>
  <c r="L17409" i="21"/>
  <c r="L17408" i="21"/>
  <c r="L17406" i="21"/>
  <c r="L17405" i="21"/>
  <c r="L17404" i="21"/>
  <c r="L17403" i="21"/>
  <c r="L17402" i="21"/>
  <c r="L17401" i="21"/>
  <c r="L17400" i="21"/>
  <c r="L17399" i="21"/>
  <c r="E19042" i="21" l="1"/>
  <c r="D19043" i="21"/>
  <c r="E19043" i="21"/>
  <c r="E19052" i="21"/>
  <c r="D19053" i="21"/>
  <c r="E19053" i="21"/>
  <c r="C18632" i="21"/>
  <c r="D18632" i="21"/>
  <c r="E18632" i="21"/>
  <c r="D18745" i="21"/>
  <c r="C18745" i="21"/>
  <c r="B18746" i="21" s="1"/>
  <c r="D18735" i="21"/>
  <c r="C18735" i="21"/>
  <c r="B18736" i="21" s="1"/>
  <c r="C18531" i="21"/>
  <c r="D18531" i="21"/>
  <c r="E18531" i="21"/>
  <c r="D18541" i="21"/>
  <c r="C18541" i="21"/>
  <c r="B18542" i="21" s="1"/>
  <c r="E18541" i="21"/>
  <c r="D18642" i="21"/>
  <c r="C18642" i="21"/>
  <c r="E18642" i="21"/>
  <c r="A19032" i="21" l="1"/>
  <c r="A19029" i="21"/>
  <c r="D18542" i="21"/>
  <c r="C18542" i="21"/>
  <c r="B18543" i="21" s="1"/>
  <c r="B18532" i="21"/>
  <c r="E18735" i="21"/>
  <c r="D18736" i="21"/>
  <c r="E18736" i="21"/>
  <c r="E18745" i="21"/>
  <c r="D18746" i="21"/>
  <c r="E18746" i="21"/>
  <c r="B18633" i="21"/>
  <c r="B18643" i="21"/>
  <c r="A18722" i="21" l="1"/>
  <c r="D18633" i="21"/>
  <c r="E18633" i="21"/>
  <c r="C18633" i="21"/>
  <c r="A18725" i="21"/>
  <c r="E18542" i="21"/>
  <c r="E18543" i="21"/>
  <c r="D18543" i="21"/>
  <c r="D18643" i="21"/>
  <c r="E18643" i="21"/>
  <c r="C18643" i="21"/>
  <c r="C18532" i="21"/>
  <c r="D18532" i="21"/>
  <c r="A18522" i="21" l="1"/>
  <c r="B18644" i="21"/>
  <c r="B18533" i="21"/>
  <c r="E18532" i="21" s="1"/>
  <c r="B18634" i="21"/>
  <c r="A17385" i="21"/>
  <c r="B17407" i="21" s="1"/>
  <c r="C18634" i="21" l="1"/>
  <c r="D18634" i="21"/>
  <c r="D18644" i="21"/>
  <c r="C18644" i="21"/>
  <c r="D18533" i="21"/>
  <c r="E18533" i="21"/>
  <c r="B17397" i="21"/>
  <c r="C17397" i="21" s="1"/>
  <c r="E17407" i="21"/>
  <c r="D17407" i="21"/>
  <c r="C17407" i="21"/>
  <c r="B17408" i="21" s="1"/>
  <c r="A18519" i="21" l="1"/>
  <c r="B18645" i="21"/>
  <c r="E18644" i="21" s="1"/>
  <c r="B18635" i="21"/>
  <c r="E18634" i="21" s="1"/>
  <c r="D17397" i="21"/>
  <c r="E17397" i="21"/>
  <c r="D17408" i="21"/>
  <c r="E17408" i="21"/>
  <c r="C17408" i="21"/>
  <c r="B17409" i="21" s="1"/>
  <c r="B17398" i="21"/>
  <c r="D18645" i="21" l="1"/>
  <c r="E18645" i="21"/>
  <c r="D18635" i="21"/>
  <c r="E18635" i="21"/>
  <c r="E17409" i="21"/>
  <c r="D17409" i="21"/>
  <c r="C17409" i="21"/>
  <c r="B17410" i="21" s="1"/>
  <c r="D17398" i="21"/>
  <c r="C17398" i="21"/>
  <c r="E17398" i="21"/>
  <c r="A18624" i="21" l="1"/>
  <c r="A18621" i="21"/>
  <c r="B17399" i="21"/>
  <c r="C17410" i="21"/>
  <c r="E17410" i="21"/>
  <c r="C17399" i="21" l="1"/>
  <c r="E17399" i="21"/>
  <c r="D17399" i="21"/>
  <c r="B17411" i="21"/>
  <c r="B17400" i="21" l="1"/>
  <c r="E17411" i="21"/>
  <c r="C17411" i="21"/>
  <c r="D17411" i="21"/>
  <c r="L17383" i="21"/>
  <c r="L17382" i="21"/>
  <c r="L17381" i="21"/>
  <c r="L17380" i="21"/>
  <c r="L17379" i="21"/>
  <c r="L17378" i="21"/>
  <c r="L17377" i="21"/>
  <c r="L17376" i="21"/>
  <c r="L17375" i="21"/>
  <c r="L17373" i="21"/>
  <c r="L17372" i="21"/>
  <c r="L17371" i="21"/>
  <c r="L17370" i="21"/>
  <c r="L17369" i="21"/>
  <c r="L17368" i="21"/>
  <c r="L17367" i="21"/>
  <c r="L17366" i="21"/>
  <c r="L17365" i="21"/>
  <c r="L17363" i="21"/>
  <c r="L17362" i="21"/>
  <c r="L17361" i="21"/>
  <c r="L17360" i="21"/>
  <c r="L17359" i="21"/>
  <c r="L17358" i="21"/>
  <c r="L17357" i="21"/>
  <c r="L17356" i="21"/>
  <c r="L17355" i="21"/>
  <c r="L17353" i="21"/>
  <c r="L17352" i="21"/>
  <c r="L17351" i="21"/>
  <c r="L17350" i="21"/>
  <c r="L17349" i="21"/>
  <c r="L17348" i="21"/>
  <c r="L17347" i="21"/>
  <c r="L17346" i="21"/>
  <c r="L17345" i="21"/>
  <c r="L17343" i="21"/>
  <c r="L17342" i="21"/>
  <c r="L17341" i="21"/>
  <c r="L17340" i="21"/>
  <c r="L17339" i="21"/>
  <c r="L17338" i="21"/>
  <c r="L17337" i="21"/>
  <c r="L17336" i="21"/>
  <c r="L17335" i="21"/>
  <c r="L17333" i="21"/>
  <c r="L17332" i="21"/>
  <c r="L17331" i="21"/>
  <c r="L17330" i="21"/>
  <c r="L17329" i="21"/>
  <c r="L17328" i="21"/>
  <c r="L17327" i="21"/>
  <c r="L17326" i="21"/>
  <c r="L17325" i="21"/>
  <c r="L17323" i="21"/>
  <c r="L17322" i="21"/>
  <c r="L17321" i="21"/>
  <c r="L17320" i="21"/>
  <c r="L17319" i="21"/>
  <c r="L17318" i="21"/>
  <c r="L17317" i="21"/>
  <c r="L17316" i="21"/>
  <c r="L17315" i="21"/>
  <c r="L17313" i="21"/>
  <c r="L17312" i="21"/>
  <c r="L17311" i="21"/>
  <c r="L17310" i="21"/>
  <c r="L17309" i="21"/>
  <c r="L17308" i="21"/>
  <c r="L17307" i="21"/>
  <c r="L17306" i="21"/>
  <c r="L17305" i="21"/>
  <c r="L17303" i="21"/>
  <c r="L17302" i="21"/>
  <c r="L17301" i="21"/>
  <c r="L17300" i="21"/>
  <c r="L17299" i="21"/>
  <c r="L17298" i="21"/>
  <c r="L17297" i="21"/>
  <c r="L17296" i="21"/>
  <c r="C17400" i="21" l="1"/>
  <c r="D17400" i="21"/>
  <c r="E17400" i="21"/>
  <c r="B17412" i="21"/>
  <c r="B17401" i="21" l="1"/>
  <c r="D17412" i="21"/>
  <c r="C17412" i="21"/>
  <c r="A17899" i="21" l="1"/>
  <c r="C17401" i="21"/>
  <c r="E17401" i="21"/>
  <c r="D17401" i="21"/>
  <c r="B17413" i="21"/>
  <c r="E17412" i="21" s="1"/>
  <c r="L17280" i="21"/>
  <c r="L17279" i="21"/>
  <c r="L17278" i="21"/>
  <c r="L17277" i="21"/>
  <c r="L17276" i="21"/>
  <c r="L17275" i="21"/>
  <c r="L17274" i="21"/>
  <c r="L17273" i="21"/>
  <c r="L17272" i="21"/>
  <c r="L17270" i="21"/>
  <c r="L17269" i="21"/>
  <c r="L17268" i="21"/>
  <c r="L17267" i="21"/>
  <c r="L17266" i="21"/>
  <c r="L17265" i="21"/>
  <c r="L17264" i="21"/>
  <c r="L17263" i="21"/>
  <c r="L17262" i="21"/>
  <c r="L17260" i="21"/>
  <c r="L17259" i="21"/>
  <c r="L17258" i="21"/>
  <c r="L17257" i="21"/>
  <c r="L17256" i="21"/>
  <c r="L17255" i="21"/>
  <c r="L17254" i="21"/>
  <c r="L17253" i="21"/>
  <c r="L17252" i="21"/>
  <c r="L17250" i="21"/>
  <c r="L17249" i="21"/>
  <c r="L17248" i="21"/>
  <c r="L17247" i="21"/>
  <c r="L17246" i="21"/>
  <c r="L17245" i="21"/>
  <c r="L17244" i="21"/>
  <c r="L17243" i="21"/>
  <c r="L17242" i="21"/>
  <c r="L17240" i="21"/>
  <c r="L17239" i="21"/>
  <c r="L17238" i="21"/>
  <c r="L17237" i="21"/>
  <c r="L17236" i="21"/>
  <c r="L17235" i="21"/>
  <c r="L17234" i="21"/>
  <c r="L17233" i="21"/>
  <c r="L17232" i="21"/>
  <c r="L17230" i="21"/>
  <c r="L17229" i="21"/>
  <c r="L17228" i="21"/>
  <c r="L17227" i="21"/>
  <c r="L17226" i="21"/>
  <c r="L17225" i="21"/>
  <c r="L17224" i="21"/>
  <c r="L17223" i="21"/>
  <c r="L17222" i="21"/>
  <c r="L17220" i="21"/>
  <c r="L17219" i="21"/>
  <c r="L17218" i="21"/>
  <c r="L17217" i="21"/>
  <c r="L17216" i="21"/>
  <c r="L17215" i="21"/>
  <c r="L17214" i="21"/>
  <c r="L17213" i="21"/>
  <c r="L17212" i="21"/>
  <c r="L17210" i="21"/>
  <c r="L17209" i="21"/>
  <c r="L17208" i="21"/>
  <c r="L17207" i="21"/>
  <c r="L17206" i="21"/>
  <c r="L17205" i="21"/>
  <c r="L17204" i="21"/>
  <c r="L17203" i="21"/>
  <c r="L17202" i="21"/>
  <c r="L17200" i="21"/>
  <c r="L17199" i="21"/>
  <c r="L17198" i="21"/>
  <c r="L17197" i="21"/>
  <c r="L17196" i="21"/>
  <c r="L17195" i="21"/>
  <c r="L17194" i="21"/>
  <c r="L17193" i="21"/>
  <c r="B17911" i="21" l="1"/>
  <c r="B17921" i="21"/>
  <c r="B17402" i="21"/>
  <c r="D17413" i="21"/>
  <c r="E17413" i="21"/>
  <c r="L17177" i="21"/>
  <c r="L17176" i="21"/>
  <c r="L17175" i="21"/>
  <c r="L17174" i="21"/>
  <c r="L17173" i="21"/>
  <c r="L17172" i="21"/>
  <c r="L17171" i="21"/>
  <c r="L17170" i="21"/>
  <c r="L17169" i="21"/>
  <c r="L17167" i="21"/>
  <c r="L17166" i="21"/>
  <c r="L17165" i="21"/>
  <c r="L17164" i="21"/>
  <c r="L17163" i="21"/>
  <c r="L17162" i="21"/>
  <c r="L17161" i="21"/>
  <c r="L17160" i="21"/>
  <c r="L17159" i="21"/>
  <c r="L17157" i="21"/>
  <c r="L17156" i="21"/>
  <c r="L17155" i="21"/>
  <c r="L17154" i="21"/>
  <c r="L17153" i="21"/>
  <c r="L17152" i="21"/>
  <c r="L17151" i="21"/>
  <c r="L17150" i="21"/>
  <c r="L17149" i="21"/>
  <c r="L17147" i="21"/>
  <c r="L17146" i="21"/>
  <c r="L17145" i="21"/>
  <c r="L17144" i="21"/>
  <c r="L17143" i="21"/>
  <c r="L17142" i="21"/>
  <c r="L17141" i="21"/>
  <c r="L17140" i="21"/>
  <c r="L17139" i="21"/>
  <c r="L17137" i="21"/>
  <c r="L17136" i="21"/>
  <c r="L17135" i="21"/>
  <c r="L17134" i="21"/>
  <c r="L17133" i="21"/>
  <c r="L17132" i="21"/>
  <c r="L17131" i="21"/>
  <c r="L17130" i="21"/>
  <c r="L17129" i="21"/>
  <c r="L17127" i="21"/>
  <c r="L17126" i="21"/>
  <c r="L17125" i="21"/>
  <c r="L17124" i="21"/>
  <c r="L17123" i="21"/>
  <c r="L17122" i="21"/>
  <c r="L17121" i="21"/>
  <c r="L17120" i="21"/>
  <c r="L17119" i="21"/>
  <c r="L17117" i="21"/>
  <c r="L17116" i="21"/>
  <c r="L17115" i="21"/>
  <c r="L17114" i="21"/>
  <c r="L17113" i="21"/>
  <c r="L17112" i="21"/>
  <c r="L17111" i="21"/>
  <c r="L17110" i="21"/>
  <c r="L17109" i="21"/>
  <c r="L17107" i="21"/>
  <c r="L17106" i="21"/>
  <c r="L17105" i="21"/>
  <c r="L17104" i="21"/>
  <c r="L17103" i="21"/>
  <c r="L17102" i="21"/>
  <c r="L17101" i="21"/>
  <c r="L17100" i="21"/>
  <c r="L17099" i="21"/>
  <c r="L17097" i="21"/>
  <c r="L17096" i="21"/>
  <c r="L17095" i="21"/>
  <c r="L17094" i="21"/>
  <c r="L17093" i="21"/>
  <c r="L17092" i="21"/>
  <c r="L17091" i="21"/>
  <c r="L17090" i="21"/>
  <c r="L17074" i="21"/>
  <c r="L17073" i="21"/>
  <c r="L17072" i="21"/>
  <c r="L17071" i="21"/>
  <c r="L17070" i="21"/>
  <c r="L17069" i="21"/>
  <c r="L17068" i="21"/>
  <c r="L17067" i="21"/>
  <c r="L17066" i="21"/>
  <c r="L17064" i="21"/>
  <c r="L17063" i="21"/>
  <c r="L17062" i="21"/>
  <c r="L17061" i="21"/>
  <c r="L17060" i="21"/>
  <c r="L17059" i="21"/>
  <c r="L17058" i="21"/>
  <c r="L17057" i="21"/>
  <c r="L17056" i="21"/>
  <c r="L17054" i="21"/>
  <c r="L17053" i="21"/>
  <c r="L17052" i="21"/>
  <c r="L17051" i="21"/>
  <c r="L17050" i="21"/>
  <c r="L17049" i="21"/>
  <c r="L17048" i="21"/>
  <c r="L17047" i="21"/>
  <c r="L17046" i="21"/>
  <c r="L17044" i="21"/>
  <c r="L17043" i="21"/>
  <c r="L17042" i="21"/>
  <c r="L17041" i="21"/>
  <c r="L17040" i="21"/>
  <c r="L17039" i="21"/>
  <c r="L17038" i="21"/>
  <c r="L17037" i="21"/>
  <c r="L17036" i="21"/>
  <c r="L17034" i="21"/>
  <c r="L17033" i="21"/>
  <c r="L17032" i="21"/>
  <c r="L17031" i="21"/>
  <c r="L17030" i="21"/>
  <c r="L17029" i="21"/>
  <c r="L17028" i="21"/>
  <c r="L17027" i="21"/>
  <c r="L17026" i="21"/>
  <c r="L17024" i="21"/>
  <c r="L17023" i="21"/>
  <c r="L17022" i="21"/>
  <c r="L17021" i="21"/>
  <c r="L17020" i="21"/>
  <c r="L17019" i="21"/>
  <c r="L17018" i="21"/>
  <c r="L17017" i="21"/>
  <c r="L17016" i="21"/>
  <c r="L17014" i="21"/>
  <c r="L17013" i="21"/>
  <c r="L17012" i="21"/>
  <c r="L17011" i="21"/>
  <c r="L17010" i="21"/>
  <c r="L17009" i="21"/>
  <c r="L17008" i="21"/>
  <c r="L17007" i="21"/>
  <c r="L17006" i="21"/>
  <c r="L17004" i="21"/>
  <c r="L17003" i="21"/>
  <c r="L17002" i="21"/>
  <c r="L17001" i="21"/>
  <c r="L17000" i="21"/>
  <c r="L16999" i="21"/>
  <c r="L16998" i="21"/>
  <c r="L16997" i="21"/>
  <c r="L16996" i="21"/>
  <c r="L16994" i="21"/>
  <c r="L16993" i="21"/>
  <c r="L16992" i="21"/>
  <c r="L16991" i="21"/>
  <c r="L16990" i="21"/>
  <c r="L16989" i="21"/>
  <c r="L16988" i="21"/>
  <c r="L16987" i="21"/>
  <c r="L16971" i="21"/>
  <c r="L16970" i="21"/>
  <c r="L16969" i="21"/>
  <c r="L16968" i="21"/>
  <c r="L16967" i="21"/>
  <c r="L16966" i="21"/>
  <c r="L16965" i="21"/>
  <c r="L16964" i="21"/>
  <c r="L16963" i="21"/>
  <c r="L16961" i="21"/>
  <c r="L16960" i="21"/>
  <c r="L16959" i="21"/>
  <c r="L16958" i="21"/>
  <c r="L16957" i="21"/>
  <c r="L16956" i="21"/>
  <c r="L16955" i="21"/>
  <c r="L16954" i="21"/>
  <c r="L16953" i="21"/>
  <c r="L16951" i="21"/>
  <c r="L16950" i="21"/>
  <c r="L16949" i="21"/>
  <c r="L16948" i="21"/>
  <c r="L16947" i="21"/>
  <c r="L16946" i="21"/>
  <c r="L16945" i="21"/>
  <c r="L16944" i="21"/>
  <c r="L16943" i="21"/>
  <c r="L16941" i="21"/>
  <c r="L16940" i="21"/>
  <c r="L16939" i="21"/>
  <c r="L16938" i="21"/>
  <c r="L16937" i="21"/>
  <c r="L16936" i="21"/>
  <c r="L16935" i="21"/>
  <c r="L16934" i="21"/>
  <c r="L16933" i="21"/>
  <c r="L16931" i="21"/>
  <c r="L16930" i="21"/>
  <c r="L16929" i="21"/>
  <c r="L16928" i="21"/>
  <c r="L16927" i="21"/>
  <c r="L16926" i="21"/>
  <c r="L16925" i="21"/>
  <c r="L16924" i="21"/>
  <c r="L16923" i="21"/>
  <c r="L16921" i="21"/>
  <c r="L16920" i="21"/>
  <c r="L16919" i="21"/>
  <c r="L16918" i="21"/>
  <c r="L16917" i="21"/>
  <c r="L16916" i="21"/>
  <c r="L16915" i="21"/>
  <c r="L16914" i="21"/>
  <c r="L16913" i="21"/>
  <c r="L16911" i="21"/>
  <c r="L16910" i="21"/>
  <c r="L16909" i="21"/>
  <c r="L16908" i="21"/>
  <c r="L16907" i="21"/>
  <c r="L16906" i="21"/>
  <c r="L16905" i="21"/>
  <c r="L16904" i="21"/>
  <c r="L16903" i="21"/>
  <c r="L16901" i="21"/>
  <c r="L16900" i="21"/>
  <c r="L16899" i="21"/>
  <c r="L16898" i="21"/>
  <c r="L16897" i="21"/>
  <c r="L16896" i="21"/>
  <c r="L16895" i="21"/>
  <c r="L16894" i="21"/>
  <c r="L16893" i="21"/>
  <c r="L16891" i="21"/>
  <c r="L16890" i="21"/>
  <c r="L16889" i="21"/>
  <c r="L16888" i="21"/>
  <c r="L16887" i="21"/>
  <c r="L16886" i="21"/>
  <c r="L16885" i="21"/>
  <c r="L16884" i="21"/>
  <c r="L16868" i="21"/>
  <c r="L16867" i="21"/>
  <c r="L16866" i="21"/>
  <c r="L16865" i="21"/>
  <c r="L16864" i="21"/>
  <c r="L16863" i="21"/>
  <c r="L16862" i="21"/>
  <c r="L16861" i="21"/>
  <c r="L16860" i="21"/>
  <c r="L16858" i="21"/>
  <c r="L16857" i="21"/>
  <c r="L16856" i="21"/>
  <c r="L16855" i="21"/>
  <c r="L16854" i="21"/>
  <c r="L16853" i="21"/>
  <c r="L16852" i="21"/>
  <c r="L16851" i="21"/>
  <c r="L16850" i="21"/>
  <c r="L16848" i="21"/>
  <c r="L16847" i="21"/>
  <c r="L16846" i="21"/>
  <c r="L16845" i="21"/>
  <c r="L16844" i="21"/>
  <c r="L16843" i="21"/>
  <c r="L16842" i="21"/>
  <c r="L16841" i="21"/>
  <c r="L16840" i="21"/>
  <c r="L16838" i="21"/>
  <c r="L16837" i="21"/>
  <c r="L16836" i="21"/>
  <c r="L16835" i="21"/>
  <c r="L16834" i="21"/>
  <c r="L16833" i="21"/>
  <c r="L16832" i="21"/>
  <c r="L16831" i="21"/>
  <c r="L16830" i="21"/>
  <c r="L16828" i="21"/>
  <c r="L16827" i="21"/>
  <c r="L16826" i="21"/>
  <c r="L16825" i="21"/>
  <c r="L16824" i="21"/>
  <c r="L16823" i="21"/>
  <c r="L16822" i="21"/>
  <c r="L16821" i="21"/>
  <c r="L16820" i="21"/>
  <c r="L16818" i="21"/>
  <c r="L16817" i="21"/>
  <c r="L16816" i="21"/>
  <c r="L16815" i="21"/>
  <c r="L16814" i="21"/>
  <c r="L16813" i="21"/>
  <c r="L16812" i="21"/>
  <c r="L16811" i="21"/>
  <c r="L16810" i="21"/>
  <c r="L16808" i="21"/>
  <c r="L16807" i="21"/>
  <c r="L16806" i="21"/>
  <c r="L16805" i="21"/>
  <c r="L16804" i="21"/>
  <c r="L16803" i="21"/>
  <c r="L16802" i="21"/>
  <c r="L16801" i="21"/>
  <c r="L16800" i="21"/>
  <c r="L16798" i="21"/>
  <c r="L16797" i="21"/>
  <c r="L16796" i="21"/>
  <c r="L16795" i="21"/>
  <c r="L16794" i="21"/>
  <c r="L16793" i="21"/>
  <c r="L16792" i="21"/>
  <c r="L16791" i="21"/>
  <c r="L16790" i="21"/>
  <c r="L16788" i="21"/>
  <c r="L16787" i="21"/>
  <c r="L16786" i="21"/>
  <c r="L16785" i="21"/>
  <c r="L16784" i="21"/>
  <c r="L16783" i="21"/>
  <c r="L16782" i="21"/>
  <c r="L16781" i="21"/>
  <c r="D17921" i="21" l="1"/>
  <c r="C17921" i="21"/>
  <c r="E17921" i="21"/>
  <c r="D17911" i="21"/>
  <c r="E17911" i="21"/>
  <c r="C17911" i="21"/>
  <c r="C17402" i="21"/>
  <c r="B17403" i="21" s="1"/>
  <c r="D17402" i="21"/>
  <c r="B17922" i="21" l="1"/>
  <c r="B17912" i="21"/>
  <c r="E17402" i="21"/>
  <c r="D17403" i="21"/>
  <c r="E17403" i="21"/>
  <c r="C17912" i="21" l="1"/>
  <c r="D17912" i="21"/>
  <c r="E17912" i="21"/>
  <c r="D17922" i="21"/>
  <c r="C17922" i="21"/>
  <c r="E17922" i="21"/>
  <c r="A17389" i="21"/>
  <c r="B17923" i="21" l="1"/>
  <c r="B17913" i="21"/>
  <c r="L16765" i="21"/>
  <c r="L16764" i="21"/>
  <c r="L16763" i="21"/>
  <c r="L16762" i="21"/>
  <c r="L16761" i="21"/>
  <c r="L16760" i="21"/>
  <c r="L16759" i="21"/>
  <c r="L16758" i="21"/>
  <c r="L16757" i="21"/>
  <c r="L16755" i="21"/>
  <c r="L16754" i="21"/>
  <c r="L16753" i="21"/>
  <c r="L16752" i="21"/>
  <c r="L16751" i="21"/>
  <c r="L16750" i="21"/>
  <c r="L16749" i="21"/>
  <c r="L16748" i="21"/>
  <c r="L16747" i="21"/>
  <c r="L16745" i="21"/>
  <c r="L16744" i="21"/>
  <c r="L16743" i="21"/>
  <c r="L16742" i="21"/>
  <c r="L16741" i="21"/>
  <c r="L16740" i="21"/>
  <c r="L16739" i="21"/>
  <c r="L16738" i="21"/>
  <c r="L16737" i="21"/>
  <c r="L16735" i="21"/>
  <c r="L16734" i="21"/>
  <c r="L16733" i="21"/>
  <c r="L16732" i="21"/>
  <c r="L16731" i="21"/>
  <c r="L16730" i="21"/>
  <c r="L16729" i="21"/>
  <c r="L16728" i="21"/>
  <c r="L16727" i="21"/>
  <c r="L16725" i="21"/>
  <c r="L16724" i="21"/>
  <c r="L16723" i="21"/>
  <c r="L16722" i="21"/>
  <c r="L16721" i="21"/>
  <c r="L16720" i="21"/>
  <c r="L16719" i="21"/>
  <c r="L16718" i="21"/>
  <c r="L16717" i="21"/>
  <c r="L16715" i="21"/>
  <c r="L16714" i="21"/>
  <c r="L16713" i="21"/>
  <c r="L16712" i="21"/>
  <c r="L16711" i="21"/>
  <c r="L16710" i="21"/>
  <c r="L16709" i="21"/>
  <c r="L16708" i="21"/>
  <c r="L16707" i="21"/>
  <c r="L16705" i="21"/>
  <c r="L16704" i="21"/>
  <c r="L16703" i="21"/>
  <c r="L16702" i="21"/>
  <c r="L16701" i="21"/>
  <c r="L16700" i="21"/>
  <c r="L16699" i="21"/>
  <c r="L16698" i="21"/>
  <c r="L16697" i="21"/>
  <c r="L16695" i="21"/>
  <c r="L16694" i="21"/>
  <c r="L16693" i="21"/>
  <c r="L16692" i="21"/>
  <c r="L16691" i="21"/>
  <c r="L16690" i="21"/>
  <c r="L16689" i="21"/>
  <c r="L16688" i="21"/>
  <c r="L16687" i="21"/>
  <c r="L16685" i="21"/>
  <c r="L16684" i="21"/>
  <c r="L16683" i="21"/>
  <c r="L16682" i="21"/>
  <c r="L16681" i="21"/>
  <c r="L16680" i="21"/>
  <c r="L16679" i="21"/>
  <c r="L16678" i="21"/>
  <c r="E17913" i="21" l="1"/>
  <c r="D17913" i="21"/>
  <c r="C17913" i="21"/>
  <c r="C17923" i="21"/>
  <c r="E17923" i="21"/>
  <c r="D17923" i="21"/>
  <c r="B17924" i="21" l="1"/>
  <c r="B17914" i="21"/>
  <c r="C17914" i="21" l="1"/>
  <c r="D17914" i="21"/>
  <c r="E17914" i="21"/>
  <c r="D17924" i="21"/>
  <c r="C17924" i="21"/>
  <c r="E17924" i="21"/>
  <c r="B17925" i="21" l="1"/>
  <c r="B17915" i="21"/>
  <c r="L16662" i="21"/>
  <c r="L16661" i="21"/>
  <c r="L16660" i="21"/>
  <c r="L16659" i="21"/>
  <c r="L16658" i="21"/>
  <c r="L16657" i="21"/>
  <c r="L16656" i="21"/>
  <c r="L16655" i="21"/>
  <c r="L16654" i="21"/>
  <c r="L16652" i="21"/>
  <c r="L16651" i="21"/>
  <c r="L16650" i="21"/>
  <c r="L16649" i="21"/>
  <c r="L16648" i="21"/>
  <c r="L16647" i="21"/>
  <c r="L16646" i="21"/>
  <c r="L16645" i="21"/>
  <c r="L16644" i="21"/>
  <c r="L16642" i="21"/>
  <c r="L16641" i="21"/>
  <c r="L16640" i="21"/>
  <c r="L16639" i="21"/>
  <c r="L16638" i="21"/>
  <c r="L16637" i="21"/>
  <c r="L16636" i="21"/>
  <c r="L16635" i="21"/>
  <c r="L16634" i="21"/>
  <c r="L16632" i="21"/>
  <c r="L16631" i="21"/>
  <c r="L16630" i="21"/>
  <c r="L16629" i="21"/>
  <c r="L16628" i="21"/>
  <c r="L16627" i="21"/>
  <c r="L16626" i="21"/>
  <c r="L16625" i="21"/>
  <c r="L16624" i="21"/>
  <c r="L16622" i="21"/>
  <c r="L16621" i="21"/>
  <c r="L16620" i="21"/>
  <c r="L16619" i="21"/>
  <c r="L16618" i="21"/>
  <c r="L16617" i="21"/>
  <c r="L16616" i="21"/>
  <c r="L16615" i="21"/>
  <c r="L16614" i="21"/>
  <c r="L16612" i="21"/>
  <c r="L16611" i="21"/>
  <c r="L16610" i="21"/>
  <c r="L16609" i="21"/>
  <c r="L16608" i="21"/>
  <c r="L16607" i="21"/>
  <c r="L16606" i="21"/>
  <c r="L16605" i="21"/>
  <c r="L16604" i="21"/>
  <c r="L16602" i="21"/>
  <c r="L16601" i="21"/>
  <c r="L16600" i="21"/>
  <c r="L16599" i="21"/>
  <c r="L16598" i="21"/>
  <c r="L16597" i="21"/>
  <c r="L16596" i="21"/>
  <c r="L16595" i="21"/>
  <c r="L16594" i="21"/>
  <c r="L16592" i="21"/>
  <c r="L16591" i="21"/>
  <c r="L16590" i="21"/>
  <c r="L16589" i="21"/>
  <c r="L16588" i="21"/>
  <c r="L16587" i="21"/>
  <c r="L16586" i="21"/>
  <c r="L16585" i="21"/>
  <c r="L16584" i="21"/>
  <c r="L16582" i="21"/>
  <c r="L16581" i="21"/>
  <c r="L16580" i="21"/>
  <c r="L16579" i="21"/>
  <c r="L16578" i="21"/>
  <c r="L16577" i="21"/>
  <c r="L16576" i="21"/>
  <c r="L16575" i="21"/>
  <c r="E17925" i="21" l="1"/>
  <c r="D17925" i="21"/>
  <c r="C17925" i="21"/>
  <c r="E17915" i="21"/>
  <c r="D17915" i="21"/>
  <c r="C17915" i="21"/>
  <c r="B17916" i="21" s="1"/>
  <c r="D17916" i="21" l="1"/>
  <c r="C17916" i="21"/>
  <c r="B17917" i="21" s="1"/>
  <c r="B17926" i="21"/>
  <c r="E17916" i="21" l="1"/>
  <c r="E17917" i="21"/>
  <c r="D17917" i="21"/>
  <c r="D17926" i="21"/>
  <c r="C17926" i="21"/>
  <c r="A17903" i="21" l="1"/>
  <c r="B17927" i="21"/>
  <c r="E17927" i="21" l="1"/>
  <c r="D17927" i="21"/>
  <c r="E17926" i="21"/>
  <c r="L16558" i="21"/>
  <c r="L16557" i="21"/>
  <c r="L16556" i="21"/>
  <c r="L16555" i="21"/>
  <c r="L16554" i="21"/>
  <c r="L16553" i="21"/>
  <c r="L16552" i="21"/>
  <c r="L16551" i="21"/>
  <c r="L16550" i="21"/>
  <c r="L16548" i="21"/>
  <c r="L16547" i="21"/>
  <c r="L16546" i="21"/>
  <c r="L16545" i="21"/>
  <c r="L16544" i="21"/>
  <c r="L16543" i="21"/>
  <c r="L16542" i="21"/>
  <c r="L16541" i="21"/>
  <c r="L16540" i="21"/>
  <c r="L16538" i="21"/>
  <c r="L16537" i="21"/>
  <c r="L16536" i="21"/>
  <c r="L16535" i="21"/>
  <c r="L16534" i="21"/>
  <c r="L16533" i="21"/>
  <c r="L16532" i="21"/>
  <c r="L16531" i="21"/>
  <c r="L16530" i="21"/>
  <c r="L16528" i="21"/>
  <c r="L16527" i="21"/>
  <c r="L16526" i="21"/>
  <c r="L16525" i="21"/>
  <c r="L16524" i="21"/>
  <c r="L16523" i="21"/>
  <c r="L16522" i="21"/>
  <c r="L16521" i="21"/>
  <c r="L16520" i="21"/>
  <c r="L16518" i="21"/>
  <c r="L16517" i="21"/>
  <c r="L16516" i="21"/>
  <c r="L16515" i="21"/>
  <c r="L16514" i="21"/>
  <c r="L16513" i="21"/>
  <c r="L16512" i="21"/>
  <c r="L16511" i="21"/>
  <c r="L16510" i="21"/>
  <c r="L16508" i="21"/>
  <c r="L16507" i="21"/>
  <c r="L16506" i="21"/>
  <c r="L16505" i="21"/>
  <c r="L16504" i="21"/>
  <c r="L16503" i="21"/>
  <c r="L16502" i="21"/>
  <c r="L16501" i="21"/>
  <c r="L16500" i="21"/>
  <c r="L16498" i="21"/>
  <c r="L16497" i="21"/>
  <c r="L16496" i="21"/>
  <c r="L16495" i="21"/>
  <c r="L16494" i="21"/>
  <c r="L16493" i="21"/>
  <c r="L16492" i="21"/>
  <c r="L16491" i="21"/>
  <c r="L16490" i="21"/>
  <c r="L16488" i="21"/>
  <c r="L16487" i="21"/>
  <c r="L16486" i="21"/>
  <c r="L16485" i="21"/>
  <c r="L16484" i="21"/>
  <c r="L16483" i="21"/>
  <c r="L16482" i="21"/>
  <c r="L16481" i="21"/>
  <c r="L16480" i="21"/>
  <c r="L16478" i="21"/>
  <c r="L16477" i="21"/>
  <c r="L16476" i="21"/>
  <c r="L16475" i="21"/>
  <c r="L16474" i="21"/>
  <c r="L16473" i="21"/>
  <c r="L16472" i="21"/>
  <c r="L16471" i="21"/>
  <c r="A17906" i="21" l="1"/>
  <c r="L16454" i="21" l="1"/>
  <c r="L16453" i="21"/>
  <c r="L16452" i="21"/>
  <c r="L16451" i="21"/>
  <c r="L16450" i="21"/>
  <c r="L16449" i="21"/>
  <c r="L16448" i="21"/>
  <c r="L16447" i="21"/>
  <c r="L16446" i="21"/>
  <c r="L16444" i="21"/>
  <c r="L16443" i="21"/>
  <c r="L16442" i="21"/>
  <c r="L16441" i="21"/>
  <c r="L16440" i="21"/>
  <c r="L16439" i="21"/>
  <c r="L16438" i="21"/>
  <c r="L16437" i="21"/>
  <c r="L16436" i="21"/>
  <c r="L16434" i="21"/>
  <c r="L16433" i="21"/>
  <c r="L16432" i="21"/>
  <c r="L16431" i="21"/>
  <c r="L16430" i="21"/>
  <c r="L16429" i="21"/>
  <c r="L16428" i="21"/>
  <c r="L16427" i="21"/>
  <c r="L16426" i="21"/>
  <c r="L16424" i="21"/>
  <c r="L16423" i="21"/>
  <c r="L16422" i="21"/>
  <c r="L16421" i="21"/>
  <c r="L16420" i="21"/>
  <c r="L16419" i="21"/>
  <c r="L16418" i="21"/>
  <c r="L16417" i="21"/>
  <c r="L16416" i="21"/>
  <c r="L16414" i="21"/>
  <c r="L16413" i="21"/>
  <c r="L16412" i="21"/>
  <c r="L16411" i="21"/>
  <c r="L16410" i="21"/>
  <c r="L16409" i="21"/>
  <c r="L16408" i="21"/>
  <c r="L16407" i="21"/>
  <c r="L16406" i="21"/>
  <c r="L16404" i="21"/>
  <c r="L16403" i="21"/>
  <c r="L16402" i="21"/>
  <c r="L16401" i="21"/>
  <c r="L16400" i="21"/>
  <c r="L16399" i="21"/>
  <c r="L16398" i="21"/>
  <c r="L16397" i="21"/>
  <c r="L16396" i="21"/>
  <c r="L16394" i="21"/>
  <c r="L16393" i="21"/>
  <c r="L16392" i="21"/>
  <c r="L16391" i="21"/>
  <c r="L16390" i="21"/>
  <c r="L16389" i="21"/>
  <c r="L16388" i="21"/>
  <c r="L16387" i="21"/>
  <c r="L16386" i="21"/>
  <c r="L16384" i="21"/>
  <c r="L16383" i="21"/>
  <c r="L16382" i="21"/>
  <c r="L16381" i="21"/>
  <c r="L16380" i="21"/>
  <c r="L16379" i="21"/>
  <c r="L16378" i="21"/>
  <c r="L16377" i="21"/>
  <c r="L16376" i="21"/>
  <c r="L16374" i="21"/>
  <c r="L16373" i="21"/>
  <c r="L16372" i="21"/>
  <c r="L16371" i="21"/>
  <c r="L16370" i="21"/>
  <c r="L16369" i="21"/>
  <c r="L16368" i="21"/>
  <c r="L16367" i="21"/>
  <c r="L16351" i="21"/>
  <c r="L16350" i="21"/>
  <c r="L16349" i="21"/>
  <c r="L16348" i="21"/>
  <c r="L16347" i="21"/>
  <c r="L16346" i="21"/>
  <c r="L16345" i="21"/>
  <c r="L16344" i="21"/>
  <c r="L16343" i="21"/>
  <c r="L16341" i="21"/>
  <c r="L16340" i="21"/>
  <c r="L16339" i="21"/>
  <c r="L16338" i="21"/>
  <c r="L16337" i="21"/>
  <c r="L16336" i="21"/>
  <c r="L16335" i="21"/>
  <c r="L16334" i="21"/>
  <c r="L16333" i="21"/>
  <c r="L16331" i="21"/>
  <c r="L16330" i="21"/>
  <c r="L16329" i="21"/>
  <c r="L16328" i="21"/>
  <c r="L16327" i="21"/>
  <c r="L16326" i="21"/>
  <c r="L16325" i="21"/>
  <c r="L16324" i="21"/>
  <c r="L16323" i="21"/>
  <c r="L16321" i="21"/>
  <c r="L16320" i="21"/>
  <c r="L16319" i="21"/>
  <c r="L16318" i="21"/>
  <c r="L16317" i="21"/>
  <c r="L16316" i="21"/>
  <c r="L16315" i="21"/>
  <c r="L16314" i="21"/>
  <c r="L16313" i="21"/>
  <c r="L16311" i="21"/>
  <c r="L16310" i="21"/>
  <c r="L16309" i="21"/>
  <c r="L16308" i="21"/>
  <c r="L16307" i="21"/>
  <c r="L16306" i="21"/>
  <c r="L16305" i="21"/>
  <c r="L16304" i="21"/>
  <c r="L16303" i="21"/>
  <c r="L16301" i="21"/>
  <c r="L16300" i="21"/>
  <c r="L16299" i="21"/>
  <c r="L16298" i="21"/>
  <c r="L16297" i="21"/>
  <c r="L16296" i="21"/>
  <c r="L16295" i="21"/>
  <c r="L16294" i="21"/>
  <c r="L16293" i="21"/>
  <c r="L16291" i="21"/>
  <c r="L16290" i="21"/>
  <c r="L16289" i="21"/>
  <c r="L16288" i="21"/>
  <c r="L16287" i="21"/>
  <c r="L16286" i="21"/>
  <c r="L16285" i="21"/>
  <c r="L16284" i="21"/>
  <c r="L16283" i="21"/>
  <c r="L16281" i="21"/>
  <c r="L16280" i="21"/>
  <c r="L16279" i="21"/>
  <c r="L16278" i="21"/>
  <c r="L16277" i="21"/>
  <c r="L16276" i="21"/>
  <c r="L16275" i="21"/>
  <c r="L16274" i="21"/>
  <c r="L16273" i="21"/>
  <c r="L16271" i="21"/>
  <c r="L16270" i="21"/>
  <c r="L16269" i="21"/>
  <c r="L16268" i="21"/>
  <c r="L16267" i="21"/>
  <c r="L16266" i="21"/>
  <c r="L16265" i="21"/>
  <c r="L16264" i="21"/>
  <c r="L16248" i="21"/>
  <c r="L16247" i="21"/>
  <c r="L16246" i="21"/>
  <c r="L16245" i="21"/>
  <c r="L16244" i="21"/>
  <c r="L16243" i="21"/>
  <c r="L16242" i="21"/>
  <c r="L16241" i="21"/>
  <c r="L16240" i="21"/>
  <c r="L16238" i="21"/>
  <c r="L16237" i="21"/>
  <c r="L16236" i="21"/>
  <c r="L16235" i="21"/>
  <c r="L16234" i="21"/>
  <c r="L16233" i="21"/>
  <c r="L16232" i="21"/>
  <c r="L16231" i="21"/>
  <c r="L16230" i="21"/>
  <c r="L16228" i="21"/>
  <c r="L16227" i="21"/>
  <c r="L16226" i="21"/>
  <c r="L16225" i="21"/>
  <c r="L16224" i="21"/>
  <c r="L16223" i="21"/>
  <c r="L16222" i="21"/>
  <c r="L16221" i="21"/>
  <c r="L16220" i="21"/>
  <c r="L16218" i="21"/>
  <c r="L16217" i="21"/>
  <c r="L16216" i="21"/>
  <c r="L16215" i="21"/>
  <c r="L16214" i="21"/>
  <c r="L16213" i="21"/>
  <c r="L16212" i="21"/>
  <c r="L16211" i="21"/>
  <c r="L16210" i="21"/>
  <c r="L16208" i="21"/>
  <c r="L16207" i="21"/>
  <c r="L16206" i="21"/>
  <c r="L16205" i="21"/>
  <c r="L16204" i="21"/>
  <c r="L16203" i="21"/>
  <c r="L16202" i="21"/>
  <c r="L16201" i="21"/>
  <c r="L16200" i="21"/>
  <c r="L16198" i="21"/>
  <c r="L16197" i="21"/>
  <c r="L16196" i="21"/>
  <c r="L16195" i="21"/>
  <c r="L16194" i="21"/>
  <c r="L16193" i="21"/>
  <c r="L16192" i="21"/>
  <c r="L16191" i="21"/>
  <c r="L16190" i="21"/>
  <c r="L16188" i="21"/>
  <c r="L16187" i="21"/>
  <c r="L16186" i="21"/>
  <c r="L16185" i="21"/>
  <c r="L16184" i="21"/>
  <c r="L16183" i="21"/>
  <c r="L16182" i="21"/>
  <c r="L16181" i="21"/>
  <c r="L16180" i="21"/>
  <c r="L16178" i="21"/>
  <c r="L16177" i="21"/>
  <c r="L16176" i="21"/>
  <c r="L16175" i="21"/>
  <c r="L16174" i="21"/>
  <c r="L16173" i="21"/>
  <c r="L16172" i="21"/>
  <c r="L16171" i="21"/>
  <c r="L16170" i="21"/>
  <c r="L16168" i="21"/>
  <c r="L16167" i="21"/>
  <c r="L16166" i="21"/>
  <c r="L16165" i="21"/>
  <c r="L16164" i="21"/>
  <c r="L16163" i="21"/>
  <c r="L16162" i="21"/>
  <c r="L16161" i="21"/>
  <c r="L16145" i="21" l="1"/>
  <c r="L16144" i="21"/>
  <c r="L16143" i="21"/>
  <c r="L16142" i="21"/>
  <c r="L16141" i="21"/>
  <c r="L16140" i="21"/>
  <c r="L16139" i="21"/>
  <c r="L16138" i="21"/>
  <c r="L16137" i="21"/>
  <c r="L16135" i="21"/>
  <c r="L16134" i="21"/>
  <c r="L16133" i="21"/>
  <c r="L16132" i="21"/>
  <c r="L16131" i="21"/>
  <c r="L16130" i="21"/>
  <c r="L16129" i="21"/>
  <c r="L16128" i="21"/>
  <c r="L16127" i="21"/>
  <c r="L16125" i="21"/>
  <c r="L16124" i="21"/>
  <c r="L16123" i="21"/>
  <c r="L16122" i="21"/>
  <c r="L16121" i="21"/>
  <c r="L16120" i="21"/>
  <c r="L16119" i="21"/>
  <c r="L16118" i="21"/>
  <c r="L16117" i="21"/>
  <c r="L16115" i="21"/>
  <c r="L16114" i="21"/>
  <c r="L16113" i="21"/>
  <c r="L16112" i="21"/>
  <c r="L16111" i="21"/>
  <c r="L16110" i="21"/>
  <c r="L16109" i="21"/>
  <c r="L16108" i="21"/>
  <c r="L16107" i="21"/>
  <c r="L16105" i="21"/>
  <c r="L16104" i="21"/>
  <c r="L16103" i="21"/>
  <c r="L16102" i="21"/>
  <c r="L16101" i="21"/>
  <c r="L16100" i="21"/>
  <c r="L16099" i="21"/>
  <c r="L16098" i="21"/>
  <c r="L16097" i="21"/>
  <c r="L16095" i="21"/>
  <c r="L16094" i="21"/>
  <c r="L16093" i="21"/>
  <c r="L16092" i="21"/>
  <c r="L16091" i="21"/>
  <c r="L16090" i="21"/>
  <c r="L16089" i="21"/>
  <c r="L16088" i="21"/>
  <c r="L16087" i="21"/>
  <c r="L16085" i="21"/>
  <c r="L16084" i="21"/>
  <c r="L16083" i="21"/>
  <c r="L16082" i="21"/>
  <c r="L16081" i="21"/>
  <c r="L16080" i="21"/>
  <c r="L16079" i="21"/>
  <c r="L16078" i="21"/>
  <c r="L16077" i="21"/>
  <c r="L16075" i="21"/>
  <c r="L16074" i="21"/>
  <c r="L16073" i="21"/>
  <c r="L16072" i="21"/>
  <c r="L16071" i="21"/>
  <c r="L16070" i="21"/>
  <c r="L16069" i="21"/>
  <c r="L16068" i="21"/>
  <c r="L16067" i="21"/>
  <c r="L16065" i="21"/>
  <c r="L16064" i="21"/>
  <c r="L16063" i="21"/>
  <c r="L16062" i="21"/>
  <c r="L16061" i="21"/>
  <c r="L16060" i="21"/>
  <c r="L16059" i="21"/>
  <c r="L16058" i="21"/>
  <c r="L16042" i="21"/>
  <c r="L16041" i="21"/>
  <c r="L16040" i="21"/>
  <c r="L16039" i="21"/>
  <c r="L16038" i="21"/>
  <c r="L16037" i="21"/>
  <c r="L16036" i="21"/>
  <c r="L16035" i="21"/>
  <c r="L16034" i="21"/>
  <c r="L16032" i="21"/>
  <c r="L16031" i="21"/>
  <c r="L16030" i="21"/>
  <c r="L16029" i="21"/>
  <c r="L16028" i="21"/>
  <c r="L16027" i="21"/>
  <c r="L16026" i="21"/>
  <c r="L16025" i="21"/>
  <c r="L16024" i="21"/>
  <c r="L16022" i="21"/>
  <c r="L16021" i="21"/>
  <c r="L16020" i="21"/>
  <c r="L16019" i="21"/>
  <c r="L16018" i="21"/>
  <c r="L16017" i="21"/>
  <c r="L16016" i="21"/>
  <c r="L16015" i="21"/>
  <c r="L16014" i="21"/>
  <c r="L16012" i="21"/>
  <c r="L16011" i="21"/>
  <c r="L16010" i="21"/>
  <c r="L16009" i="21"/>
  <c r="L16008" i="21"/>
  <c r="L16007" i="21"/>
  <c r="L16006" i="21"/>
  <c r="L16005" i="21"/>
  <c r="L16004" i="21"/>
  <c r="L16002" i="21"/>
  <c r="L16001" i="21"/>
  <c r="L16000" i="21"/>
  <c r="L15999" i="21"/>
  <c r="L15998" i="21"/>
  <c r="L15997" i="21"/>
  <c r="L15996" i="21"/>
  <c r="L15995" i="21"/>
  <c r="L15994" i="21"/>
  <c r="L15992" i="21"/>
  <c r="L15991" i="21"/>
  <c r="L15990" i="21"/>
  <c r="L15989" i="21"/>
  <c r="L15988" i="21"/>
  <c r="L15987" i="21"/>
  <c r="L15986" i="21"/>
  <c r="L15985" i="21"/>
  <c r="L15984" i="21"/>
  <c r="L15982" i="21"/>
  <c r="L15981" i="21"/>
  <c r="L15980" i="21"/>
  <c r="L15979" i="21"/>
  <c r="L15978" i="21"/>
  <c r="L15977" i="21"/>
  <c r="L15976" i="21"/>
  <c r="L15975" i="21"/>
  <c r="L15974" i="21"/>
  <c r="L15972" i="21"/>
  <c r="L15971" i="21"/>
  <c r="L15970" i="21"/>
  <c r="L15969" i="21"/>
  <c r="L15968" i="21"/>
  <c r="L15967" i="21"/>
  <c r="L15966" i="21"/>
  <c r="L15965" i="21"/>
  <c r="L15964" i="21"/>
  <c r="L15962" i="21"/>
  <c r="L15961" i="21"/>
  <c r="L15960" i="21"/>
  <c r="L15959" i="21"/>
  <c r="L15958" i="21"/>
  <c r="L15957" i="21"/>
  <c r="L15956" i="21"/>
  <c r="L15955" i="21"/>
  <c r="L15939" i="21"/>
  <c r="L15938" i="21"/>
  <c r="L15937" i="21"/>
  <c r="L15936" i="21"/>
  <c r="L15935" i="21"/>
  <c r="L15934" i="21"/>
  <c r="L15933" i="21"/>
  <c r="L15932" i="21"/>
  <c r="L15931" i="21"/>
  <c r="L15929" i="21"/>
  <c r="L15928" i="21"/>
  <c r="L15927" i="21"/>
  <c r="L15926" i="21"/>
  <c r="L15925" i="21"/>
  <c r="L15924" i="21"/>
  <c r="L15923" i="21"/>
  <c r="L15922" i="21"/>
  <c r="L15921" i="21"/>
  <c r="L15919" i="21"/>
  <c r="L15918" i="21"/>
  <c r="L15917" i="21"/>
  <c r="L15916" i="21"/>
  <c r="L15915" i="21"/>
  <c r="L15914" i="21"/>
  <c r="L15913" i="21"/>
  <c r="L15912" i="21"/>
  <c r="L15911" i="21"/>
  <c r="L15909" i="21"/>
  <c r="L15908" i="21"/>
  <c r="L15907" i="21"/>
  <c r="L15906" i="21"/>
  <c r="L15905" i="21"/>
  <c r="L15904" i="21"/>
  <c r="L15903" i="21"/>
  <c r="L15902" i="21"/>
  <c r="L15901" i="21"/>
  <c r="L15899" i="21"/>
  <c r="L15898" i="21"/>
  <c r="L15897" i="21"/>
  <c r="L15896" i="21"/>
  <c r="L15895" i="21"/>
  <c r="L15894" i="21"/>
  <c r="L15893" i="21"/>
  <c r="L15892" i="21"/>
  <c r="L15891" i="21"/>
  <c r="L15889" i="21"/>
  <c r="L15888" i="21"/>
  <c r="L15887" i="21"/>
  <c r="L15886" i="21"/>
  <c r="L15885" i="21"/>
  <c r="L15884" i="21"/>
  <c r="L15883" i="21"/>
  <c r="L15882" i="21"/>
  <c r="L15881" i="21"/>
  <c r="L15879" i="21"/>
  <c r="L15878" i="21"/>
  <c r="L15877" i="21"/>
  <c r="L15876" i="21"/>
  <c r="L15875" i="21"/>
  <c r="L15874" i="21"/>
  <c r="L15873" i="21"/>
  <c r="L15872" i="21"/>
  <c r="L15871" i="21"/>
  <c r="L15869" i="21"/>
  <c r="L15868" i="21"/>
  <c r="L15867" i="21"/>
  <c r="L15866" i="21"/>
  <c r="L15865" i="21"/>
  <c r="L15864" i="21"/>
  <c r="L15863" i="21"/>
  <c r="L15862" i="21"/>
  <c r="L15861" i="21"/>
  <c r="L15859" i="21"/>
  <c r="L15858" i="21"/>
  <c r="L15857" i="21"/>
  <c r="L15856" i="21"/>
  <c r="L15855" i="21"/>
  <c r="L15854" i="21"/>
  <c r="L15853" i="21"/>
  <c r="L15852" i="21"/>
  <c r="A15838" i="21" l="1"/>
  <c r="B15850" i="21" l="1"/>
  <c r="B15860" i="21"/>
  <c r="D15860" i="21" l="1"/>
  <c r="C15860" i="21"/>
  <c r="E15860" i="21"/>
  <c r="D15850" i="21"/>
  <c r="E15850" i="21"/>
  <c r="C15850" i="21"/>
  <c r="L15836" i="21"/>
  <c r="L15835" i="21"/>
  <c r="L15834" i="21"/>
  <c r="L15833" i="21"/>
  <c r="L15832" i="21"/>
  <c r="L15831" i="21"/>
  <c r="L15830" i="21"/>
  <c r="L15829" i="21"/>
  <c r="L15828" i="21"/>
  <c r="L15826" i="21"/>
  <c r="L15825" i="21"/>
  <c r="L15824" i="21"/>
  <c r="L15823" i="21"/>
  <c r="L15822" i="21"/>
  <c r="L15821" i="21"/>
  <c r="L15820" i="21"/>
  <c r="L15819" i="21"/>
  <c r="L15818" i="21"/>
  <c r="L15816" i="21"/>
  <c r="L15815" i="21"/>
  <c r="L15814" i="21"/>
  <c r="L15813" i="21"/>
  <c r="L15812" i="21"/>
  <c r="L15811" i="21"/>
  <c r="L15810" i="21"/>
  <c r="L15809" i="21"/>
  <c r="L15808" i="21"/>
  <c r="L15806" i="21"/>
  <c r="L15805" i="21"/>
  <c r="L15804" i="21"/>
  <c r="L15803" i="21"/>
  <c r="L15802" i="21"/>
  <c r="L15801" i="21"/>
  <c r="L15800" i="21"/>
  <c r="L15799" i="21"/>
  <c r="L15798" i="21"/>
  <c r="L15796" i="21"/>
  <c r="L15795" i="21"/>
  <c r="L15794" i="21"/>
  <c r="L15793" i="21"/>
  <c r="L15792" i="21"/>
  <c r="L15791" i="21"/>
  <c r="L15790" i="21"/>
  <c r="L15789" i="21"/>
  <c r="L15788" i="21"/>
  <c r="L15786" i="21"/>
  <c r="L15785" i="21"/>
  <c r="L15784" i="21"/>
  <c r="L15783" i="21"/>
  <c r="L15782" i="21"/>
  <c r="L15781" i="21"/>
  <c r="L15780" i="21"/>
  <c r="L15779" i="21"/>
  <c r="L15778" i="21"/>
  <c r="L15776" i="21"/>
  <c r="L15775" i="21"/>
  <c r="L15774" i="21"/>
  <c r="L15773" i="21"/>
  <c r="L15772" i="21"/>
  <c r="L15771" i="21"/>
  <c r="L15770" i="21"/>
  <c r="L15769" i="21"/>
  <c r="L15768" i="21"/>
  <c r="L15766" i="21"/>
  <c r="L15765" i="21"/>
  <c r="L15764" i="21"/>
  <c r="L15763" i="21"/>
  <c r="L15762" i="21"/>
  <c r="L15761" i="21"/>
  <c r="L15760" i="21"/>
  <c r="L15759" i="21"/>
  <c r="L15758" i="21"/>
  <c r="L15756" i="21"/>
  <c r="L15755" i="21"/>
  <c r="L15754" i="21"/>
  <c r="L15753" i="21"/>
  <c r="L15752" i="21"/>
  <c r="L15751" i="21"/>
  <c r="L15750" i="21"/>
  <c r="L15749" i="21"/>
  <c r="B15861" i="21" l="1"/>
  <c r="B15851" i="21"/>
  <c r="C15861" i="21" l="1"/>
  <c r="D15861" i="21"/>
  <c r="E15861" i="21"/>
  <c r="D15851" i="21"/>
  <c r="C15851" i="21"/>
  <c r="E15851" i="21"/>
  <c r="A16044" i="21" l="1"/>
  <c r="B15852" i="21"/>
  <c r="B15862" i="21"/>
  <c r="L15732" i="21"/>
  <c r="L15731" i="21"/>
  <c r="L15730" i="21"/>
  <c r="L15729" i="21"/>
  <c r="L15728" i="21"/>
  <c r="L15727" i="21"/>
  <c r="L15726" i="21"/>
  <c r="L15725" i="21"/>
  <c r="L15724" i="21"/>
  <c r="L15722" i="21"/>
  <c r="L15721" i="21"/>
  <c r="L15720" i="21"/>
  <c r="L15719" i="21"/>
  <c r="L15718" i="21"/>
  <c r="L15717" i="21"/>
  <c r="L15716" i="21"/>
  <c r="L15715" i="21"/>
  <c r="L15714" i="21"/>
  <c r="L15712" i="21"/>
  <c r="L15711" i="21"/>
  <c r="L15710" i="21"/>
  <c r="L15709" i="21"/>
  <c r="L15708" i="21"/>
  <c r="L15707" i="21"/>
  <c r="L15706" i="21"/>
  <c r="L15705" i="21"/>
  <c r="L15704" i="21"/>
  <c r="L15702" i="21"/>
  <c r="L15701" i="21"/>
  <c r="L15700" i="21"/>
  <c r="L15699" i="21"/>
  <c r="L15698" i="21"/>
  <c r="L15697" i="21"/>
  <c r="L15696" i="21"/>
  <c r="L15695" i="21"/>
  <c r="L15694" i="21"/>
  <c r="L15692" i="21"/>
  <c r="L15691" i="21"/>
  <c r="L15690" i="21"/>
  <c r="L15689" i="21"/>
  <c r="L15688" i="21"/>
  <c r="L15687" i="21"/>
  <c r="L15686" i="21"/>
  <c r="L15685" i="21"/>
  <c r="L15684" i="21"/>
  <c r="L15682" i="21"/>
  <c r="L15681" i="21"/>
  <c r="L15680" i="21"/>
  <c r="L15679" i="21"/>
  <c r="L15678" i="21"/>
  <c r="L15677" i="21"/>
  <c r="L15676" i="21"/>
  <c r="L15675" i="21"/>
  <c r="L15674" i="21"/>
  <c r="L15672" i="21"/>
  <c r="L15671" i="21"/>
  <c r="L15670" i="21"/>
  <c r="L15669" i="21"/>
  <c r="L15668" i="21"/>
  <c r="L15667" i="21"/>
  <c r="L15666" i="21"/>
  <c r="L15665" i="21"/>
  <c r="L15664" i="21"/>
  <c r="L15662" i="21"/>
  <c r="L15661" i="21"/>
  <c r="L15660" i="21"/>
  <c r="L15659" i="21"/>
  <c r="L15658" i="21"/>
  <c r="L15657" i="21"/>
  <c r="L15656" i="21"/>
  <c r="L15655" i="21"/>
  <c r="L15654" i="21"/>
  <c r="L15652" i="21"/>
  <c r="L15651" i="21"/>
  <c r="L15650" i="21"/>
  <c r="L15649" i="21"/>
  <c r="L15648" i="21"/>
  <c r="L15647" i="21"/>
  <c r="L15646" i="21"/>
  <c r="L15645" i="21"/>
  <c r="B16056" i="21" l="1"/>
  <c r="B16066" i="21"/>
  <c r="C15852" i="21"/>
  <c r="E15852" i="21"/>
  <c r="D15852" i="21"/>
  <c r="E15862" i="21"/>
  <c r="D15862" i="21"/>
  <c r="C15862" i="21"/>
  <c r="D16066" i="21" l="1"/>
  <c r="C16066" i="21"/>
  <c r="E16066" i="21"/>
  <c r="C16056" i="21"/>
  <c r="D16056" i="21"/>
  <c r="E16056" i="21"/>
  <c r="B15863" i="21"/>
  <c r="B15853" i="21"/>
  <c r="B16057" i="21" l="1"/>
  <c r="B16067" i="21"/>
  <c r="D15853" i="21"/>
  <c r="C15853" i="21"/>
  <c r="E15853" i="21"/>
  <c r="C15863" i="21"/>
  <c r="E15863" i="21"/>
  <c r="C16067" i="21" l="1"/>
  <c r="D16067" i="21"/>
  <c r="E16067" i="21"/>
  <c r="C16057" i="21"/>
  <c r="D16057" i="21"/>
  <c r="E16057" i="21"/>
  <c r="B15854" i="21"/>
  <c r="B15864" i="21"/>
  <c r="B16068" i="21" l="1"/>
  <c r="B16058" i="21"/>
  <c r="E15854" i="21"/>
  <c r="D15854" i="21"/>
  <c r="C15854" i="21"/>
  <c r="E15864" i="21"/>
  <c r="D15864" i="21"/>
  <c r="C15864" i="21"/>
  <c r="C16058" i="21" l="1"/>
  <c r="E16058" i="21"/>
  <c r="D16058" i="21"/>
  <c r="E16068" i="21"/>
  <c r="D16068" i="21"/>
  <c r="C16068" i="21"/>
  <c r="B15865" i="21"/>
  <c r="B15855" i="21"/>
  <c r="B16069" i="21" l="1"/>
  <c r="B16059" i="21"/>
  <c r="D15865" i="21"/>
  <c r="C15865" i="21"/>
  <c r="B15866" i="21" s="1"/>
  <c r="D15855" i="21"/>
  <c r="C15855" i="21"/>
  <c r="L15628" i="21"/>
  <c r="L15627" i="21"/>
  <c r="L15626" i="21"/>
  <c r="L15625" i="21"/>
  <c r="L15624" i="21"/>
  <c r="L15623" i="21"/>
  <c r="L15622" i="21"/>
  <c r="L15621" i="21"/>
  <c r="L15620" i="21"/>
  <c r="L15618" i="21"/>
  <c r="L15617" i="21"/>
  <c r="L15616" i="21"/>
  <c r="L15615" i="21"/>
  <c r="L15614" i="21"/>
  <c r="L15613" i="21"/>
  <c r="L15612" i="21"/>
  <c r="L15611" i="21"/>
  <c r="L15610" i="21"/>
  <c r="L15608" i="21"/>
  <c r="L15607" i="21"/>
  <c r="L15606" i="21"/>
  <c r="L15605" i="21"/>
  <c r="L15604" i="21"/>
  <c r="L15603" i="21"/>
  <c r="L15602" i="21"/>
  <c r="L15601" i="21"/>
  <c r="L15600" i="21"/>
  <c r="L15598" i="21"/>
  <c r="L15597" i="21"/>
  <c r="L15596" i="21"/>
  <c r="L15595" i="21"/>
  <c r="L15594" i="21"/>
  <c r="L15593" i="21"/>
  <c r="L15592" i="21"/>
  <c r="L15591" i="21"/>
  <c r="L15590" i="21"/>
  <c r="L15588" i="21"/>
  <c r="L15587" i="21"/>
  <c r="L15586" i="21"/>
  <c r="L15585" i="21"/>
  <c r="L15584" i="21"/>
  <c r="L15583" i="21"/>
  <c r="L15582" i="21"/>
  <c r="L15581" i="21"/>
  <c r="L15580" i="21"/>
  <c r="L15578" i="21"/>
  <c r="L15577" i="21"/>
  <c r="L15576" i="21"/>
  <c r="L15575" i="21"/>
  <c r="L15574" i="21"/>
  <c r="L15573" i="21"/>
  <c r="L15572" i="21"/>
  <c r="L15571" i="21"/>
  <c r="L15570" i="21"/>
  <c r="L15568" i="21"/>
  <c r="L15567" i="21"/>
  <c r="L15566" i="21"/>
  <c r="L15565" i="21"/>
  <c r="L15564" i="21"/>
  <c r="L15563" i="21"/>
  <c r="L15562" i="21"/>
  <c r="L15561" i="21"/>
  <c r="L15560" i="21"/>
  <c r="L15558" i="21"/>
  <c r="L15557" i="21"/>
  <c r="L15556" i="21"/>
  <c r="L15555" i="21"/>
  <c r="L15554" i="21"/>
  <c r="L15553" i="21"/>
  <c r="L15552" i="21"/>
  <c r="L15551" i="21"/>
  <c r="L15550" i="21"/>
  <c r="L15548" i="21"/>
  <c r="L15547" i="21"/>
  <c r="L15546" i="21"/>
  <c r="L15545" i="21"/>
  <c r="L15544" i="21"/>
  <c r="L15543" i="21"/>
  <c r="L15542" i="21"/>
  <c r="L15541" i="21"/>
  <c r="C16059" i="21" l="1"/>
  <c r="D16059" i="21"/>
  <c r="E16059" i="21"/>
  <c r="C16069" i="21"/>
  <c r="E16069" i="21"/>
  <c r="B15856" i="21"/>
  <c r="E15865" i="21"/>
  <c r="E15866" i="21"/>
  <c r="D15866" i="21"/>
  <c r="A16457" i="21" l="1"/>
  <c r="B16469" i="21" s="1"/>
  <c r="B16070" i="21"/>
  <c r="B16060" i="21"/>
  <c r="D15856" i="21"/>
  <c r="E15856" i="21"/>
  <c r="E15855" i="21"/>
  <c r="L15525" i="21"/>
  <c r="L15524" i="21"/>
  <c r="L15523" i="21"/>
  <c r="L15522" i="21"/>
  <c r="L15521" i="21"/>
  <c r="L15520" i="21"/>
  <c r="L15519" i="21"/>
  <c r="L15518" i="21"/>
  <c r="L15517" i="21"/>
  <c r="L15515" i="21"/>
  <c r="L15514" i="21"/>
  <c r="L15513" i="21"/>
  <c r="L15512" i="21"/>
  <c r="L15511" i="21"/>
  <c r="L15510" i="21"/>
  <c r="L15509" i="21"/>
  <c r="L15508" i="21"/>
  <c r="L15507" i="21"/>
  <c r="L15505" i="21"/>
  <c r="L15504" i="21"/>
  <c r="L15503" i="21"/>
  <c r="L15502" i="21"/>
  <c r="L15501" i="21"/>
  <c r="L15500" i="21"/>
  <c r="L15499" i="21"/>
  <c r="L15498" i="21"/>
  <c r="L15497" i="21"/>
  <c r="L15495" i="21"/>
  <c r="L15494" i="21"/>
  <c r="L15493" i="21"/>
  <c r="L15492" i="21"/>
  <c r="L15491" i="21"/>
  <c r="L15490" i="21"/>
  <c r="L15489" i="21"/>
  <c r="L15488" i="21"/>
  <c r="L15487" i="21"/>
  <c r="L15485" i="21"/>
  <c r="L15484" i="21"/>
  <c r="L15483" i="21"/>
  <c r="L15482" i="21"/>
  <c r="L15481" i="21"/>
  <c r="L15480" i="21"/>
  <c r="L15479" i="21"/>
  <c r="L15478" i="21"/>
  <c r="L15477" i="21"/>
  <c r="L15475" i="21"/>
  <c r="L15474" i="21"/>
  <c r="L15473" i="21"/>
  <c r="L15472" i="21"/>
  <c r="L15471" i="21"/>
  <c r="L15470" i="21"/>
  <c r="L15469" i="21"/>
  <c r="L15468" i="21"/>
  <c r="L15467" i="21"/>
  <c r="L15465" i="21"/>
  <c r="L15464" i="21"/>
  <c r="L15463" i="21"/>
  <c r="L15462" i="21"/>
  <c r="L15461" i="21"/>
  <c r="L15460" i="21"/>
  <c r="L15459" i="21"/>
  <c r="L15458" i="21"/>
  <c r="L15457" i="21"/>
  <c r="L15455" i="21"/>
  <c r="L15454" i="21"/>
  <c r="L15453" i="21"/>
  <c r="L15452" i="21"/>
  <c r="L15451" i="21"/>
  <c r="L15450" i="21"/>
  <c r="L15449" i="21"/>
  <c r="L15448" i="21"/>
  <c r="L15447" i="21"/>
  <c r="L15445" i="21"/>
  <c r="L15444" i="21"/>
  <c r="L15443" i="21"/>
  <c r="L15442" i="21"/>
  <c r="L15441" i="21"/>
  <c r="L15440" i="21"/>
  <c r="L15439" i="21"/>
  <c r="L15438" i="21"/>
  <c r="L15421" i="21"/>
  <c r="L15420" i="21"/>
  <c r="L15419" i="21"/>
  <c r="L15418" i="21"/>
  <c r="L15417" i="21"/>
  <c r="L15416" i="21"/>
  <c r="L15415" i="21"/>
  <c r="L15414" i="21"/>
  <c r="L15413" i="21"/>
  <c r="L15411" i="21"/>
  <c r="L15410" i="21"/>
  <c r="L15409" i="21"/>
  <c r="L15408" i="21"/>
  <c r="L15407" i="21"/>
  <c r="L15406" i="21"/>
  <c r="L15405" i="21"/>
  <c r="L15404" i="21"/>
  <c r="L15403" i="21"/>
  <c r="L15401" i="21"/>
  <c r="L15400" i="21"/>
  <c r="L15399" i="21"/>
  <c r="L15398" i="21"/>
  <c r="L15397" i="21"/>
  <c r="L15396" i="21"/>
  <c r="L15395" i="21"/>
  <c r="L15394" i="21"/>
  <c r="L15393" i="21"/>
  <c r="L15391" i="21"/>
  <c r="L15390" i="21"/>
  <c r="L15389" i="21"/>
  <c r="L15388" i="21"/>
  <c r="L15387" i="21"/>
  <c r="L15386" i="21"/>
  <c r="L15385" i="21"/>
  <c r="L15384" i="21"/>
  <c r="L15383" i="21"/>
  <c r="L15381" i="21"/>
  <c r="L15380" i="21"/>
  <c r="L15379" i="21"/>
  <c r="L15378" i="21"/>
  <c r="L15377" i="21"/>
  <c r="L15376" i="21"/>
  <c r="L15375" i="21"/>
  <c r="L15374" i="21"/>
  <c r="L15373" i="21"/>
  <c r="L15371" i="21"/>
  <c r="L15370" i="21"/>
  <c r="L15369" i="21"/>
  <c r="L15368" i="21"/>
  <c r="L15367" i="21"/>
  <c r="L15366" i="21"/>
  <c r="L15365" i="21"/>
  <c r="L15364" i="21"/>
  <c r="L15363" i="21"/>
  <c r="L15361" i="21"/>
  <c r="L15360" i="21"/>
  <c r="L15359" i="21"/>
  <c r="L15358" i="21"/>
  <c r="L15357" i="21"/>
  <c r="L15356" i="21"/>
  <c r="L15355" i="21"/>
  <c r="L15354" i="21"/>
  <c r="L15353" i="21"/>
  <c r="L15351" i="21"/>
  <c r="L15350" i="21"/>
  <c r="L15349" i="21"/>
  <c r="L15348" i="21"/>
  <c r="L15347" i="21"/>
  <c r="L15346" i="21"/>
  <c r="L15345" i="21"/>
  <c r="L15344" i="21"/>
  <c r="L15343" i="21"/>
  <c r="L15341" i="21"/>
  <c r="L15340" i="21"/>
  <c r="L15339" i="21"/>
  <c r="L15338" i="21"/>
  <c r="L15337" i="21"/>
  <c r="L15336" i="21"/>
  <c r="L15335" i="21"/>
  <c r="L15334" i="21"/>
  <c r="L15317" i="21"/>
  <c r="L15316" i="21"/>
  <c r="L15315" i="21"/>
  <c r="L15314" i="21"/>
  <c r="L15313" i="21"/>
  <c r="L15312" i="21"/>
  <c r="L15311" i="21"/>
  <c r="L15310" i="21"/>
  <c r="L15309" i="21"/>
  <c r="L15307" i="21"/>
  <c r="L15306" i="21"/>
  <c r="L15305" i="21"/>
  <c r="L15304" i="21"/>
  <c r="L15303" i="21"/>
  <c r="L15302" i="21"/>
  <c r="L15301" i="21"/>
  <c r="L15300" i="21"/>
  <c r="L15299" i="21"/>
  <c r="L15297" i="21"/>
  <c r="L15296" i="21"/>
  <c r="L15295" i="21"/>
  <c r="L15294" i="21"/>
  <c r="L15293" i="21"/>
  <c r="L15292" i="21"/>
  <c r="L15291" i="21"/>
  <c r="L15290" i="21"/>
  <c r="L15289" i="21"/>
  <c r="L15287" i="21"/>
  <c r="L15286" i="21"/>
  <c r="L15285" i="21"/>
  <c r="L15284" i="21"/>
  <c r="L15283" i="21"/>
  <c r="L15282" i="21"/>
  <c r="L15281" i="21"/>
  <c r="L15280" i="21"/>
  <c r="L15279" i="21"/>
  <c r="L15277" i="21"/>
  <c r="L15276" i="21"/>
  <c r="L15275" i="21"/>
  <c r="L15274" i="21"/>
  <c r="L15273" i="21"/>
  <c r="L15272" i="21"/>
  <c r="L15271" i="21"/>
  <c r="L15270" i="21"/>
  <c r="L15269" i="21"/>
  <c r="L15267" i="21"/>
  <c r="L15266" i="21"/>
  <c r="L15265" i="21"/>
  <c r="L15264" i="21"/>
  <c r="L15263" i="21"/>
  <c r="L15262" i="21"/>
  <c r="L15261" i="21"/>
  <c r="L15260" i="21"/>
  <c r="L15259" i="21"/>
  <c r="L15257" i="21"/>
  <c r="L15256" i="21"/>
  <c r="L15255" i="21"/>
  <c r="L15254" i="21"/>
  <c r="L15253" i="21"/>
  <c r="L15252" i="21"/>
  <c r="L15251" i="21"/>
  <c r="L15250" i="21"/>
  <c r="L15249" i="21"/>
  <c r="L15247" i="21"/>
  <c r="L15246" i="21"/>
  <c r="L15245" i="21"/>
  <c r="L15244" i="21"/>
  <c r="L15243" i="21"/>
  <c r="L15242" i="21"/>
  <c r="L15241" i="21"/>
  <c r="L15240" i="21"/>
  <c r="L15239" i="21"/>
  <c r="L15237" i="21"/>
  <c r="L15236" i="21"/>
  <c r="L15235" i="21"/>
  <c r="L15234" i="21"/>
  <c r="L15233" i="21"/>
  <c r="L15232" i="21"/>
  <c r="L15231" i="21"/>
  <c r="L15230" i="21"/>
  <c r="L15213" i="21"/>
  <c r="L15212" i="21"/>
  <c r="L15211" i="21"/>
  <c r="L15210" i="21"/>
  <c r="L15209" i="21"/>
  <c r="L15208" i="21"/>
  <c r="L15207" i="21"/>
  <c r="L15206" i="21"/>
  <c r="L15205" i="21"/>
  <c r="L15203" i="21"/>
  <c r="L15202" i="21"/>
  <c r="L15201" i="21"/>
  <c r="L15200" i="21"/>
  <c r="L15199" i="21"/>
  <c r="L15198" i="21"/>
  <c r="L15197" i="21"/>
  <c r="L15196" i="21"/>
  <c r="L15195" i="21"/>
  <c r="L15193" i="21"/>
  <c r="L15192" i="21"/>
  <c r="L15191" i="21"/>
  <c r="L15190" i="21"/>
  <c r="L15189" i="21"/>
  <c r="L15188" i="21"/>
  <c r="L15187" i="21"/>
  <c r="L15186" i="21"/>
  <c r="L15185" i="21"/>
  <c r="L15183" i="21"/>
  <c r="L15182" i="21"/>
  <c r="L15181" i="21"/>
  <c r="L15180" i="21"/>
  <c r="L15179" i="21"/>
  <c r="L15178" i="21"/>
  <c r="L15177" i="21"/>
  <c r="L15176" i="21"/>
  <c r="L15175" i="21"/>
  <c r="L15173" i="21"/>
  <c r="L15172" i="21"/>
  <c r="L15171" i="21"/>
  <c r="L15170" i="21"/>
  <c r="L15169" i="21"/>
  <c r="L15168" i="21"/>
  <c r="L15167" i="21"/>
  <c r="L15166" i="21"/>
  <c r="L15165" i="21"/>
  <c r="L15163" i="21"/>
  <c r="L15162" i="21"/>
  <c r="L15161" i="21"/>
  <c r="L15160" i="21"/>
  <c r="L15159" i="21"/>
  <c r="L15158" i="21"/>
  <c r="L15157" i="21"/>
  <c r="L15156" i="21"/>
  <c r="L15155" i="21"/>
  <c r="L15153" i="21"/>
  <c r="L15152" i="21"/>
  <c r="L15151" i="21"/>
  <c r="L15150" i="21"/>
  <c r="L15149" i="21"/>
  <c r="L15148" i="21"/>
  <c r="L15147" i="21"/>
  <c r="L15146" i="21"/>
  <c r="L15145" i="21"/>
  <c r="L15143" i="21"/>
  <c r="L15142" i="21"/>
  <c r="L15141" i="21"/>
  <c r="L15140" i="21"/>
  <c r="L15139" i="21"/>
  <c r="L15138" i="21"/>
  <c r="L15137" i="21"/>
  <c r="L15136" i="21"/>
  <c r="L15135" i="21"/>
  <c r="L15133" i="21"/>
  <c r="L15132" i="21"/>
  <c r="L15131" i="21"/>
  <c r="L15130" i="21"/>
  <c r="L15129" i="21"/>
  <c r="L15128" i="21"/>
  <c r="L15127" i="21"/>
  <c r="L15126" i="21"/>
  <c r="L15109" i="21"/>
  <c r="L15108" i="21"/>
  <c r="L15107" i="21"/>
  <c r="L15106" i="21"/>
  <c r="L15105" i="21"/>
  <c r="L15104" i="21"/>
  <c r="L15103" i="21"/>
  <c r="L15102" i="21"/>
  <c r="L15101" i="21"/>
  <c r="L15099" i="21"/>
  <c r="L15098" i="21"/>
  <c r="L15097" i="21"/>
  <c r="L15096" i="21"/>
  <c r="L15095" i="21"/>
  <c r="L15094" i="21"/>
  <c r="L15093" i="21"/>
  <c r="L15092" i="21"/>
  <c r="L15091" i="21"/>
  <c r="L15089" i="21"/>
  <c r="L15088" i="21"/>
  <c r="L15087" i="21"/>
  <c r="L15086" i="21"/>
  <c r="L15085" i="21"/>
  <c r="L15084" i="21"/>
  <c r="L15083" i="21"/>
  <c r="L15082" i="21"/>
  <c r="L15081" i="21"/>
  <c r="L15079" i="21"/>
  <c r="L15078" i="21"/>
  <c r="L15077" i="21"/>
  <c r="L15076" i="21"/>
  <c r="L15075" i="21"/>
  <c r="L15074" i="21"/>
  <c r="L15073" i="21"/>
  <c r="L15072" i="21"/>
  <c r="L15071" i="21"/>
  <c r="L15069" i="21"/>
  <c r="L15068" i="21"/>
  <c r="L15067" i="21"/>
  <c r="L15066" i="21"/>
  <c r="L15065" i="21"/>
  <c r="L15064" i="21"/>
  <c r="L15063" i="21"/>
  <c r="L15062" i="21"/>
  <c r="L15061" i="21"/>
  <c r="L15059" i="21"/>
  <c r="L15058" i="21"/>
  <c r="L15057" i="21"/>
  <c r="L15056" i="21"/>
  <c r="L15055" i="21"/>
  <c r="L15054" i="21"/>
  <c r="L15053" i="21"/>
  <c r="L15052" i="21"/>
  <c r="L15051" i="21"/>
  <c r="L15049" i="21"/>
  <c r="L15048" i="21"/>
  <c r="L15047" i="21"/>
  <c r="L15046" i="21"/>
  <c r="L15045" i="21"/>
  <c r="L15044" i="21"/>
  <c r="L15043" i="21"/>
  <c r="L15042" i="21"/>
  <c r="L15041" i="21"/>
  <c r="L15039" i="21"/>
  <c r="L15038" i="21"/>
  <c r="L15037" i="21"/>
  <c r="L15036" i="21"/>
  <c r="L15035" i="21"/>
  <c r="L15034" i="21"/>
  <c r="L15033" i="21"/>
  <c r="L15032" i="21"/>
  <c r="L15031" i="21"/>
  <c r="L15029" i="21"/>
  <c r="L15028" i="21"/>
  <c r="L15027" i="21"/>
  <c r="L15026" i="21"/>
  <c r="L15025" i="21"/>
  <c r="L15024" i="21"/>
  <c r="L15023" i="21"/>
  <c r="L15022" i="21"/>
  <c r="L15005" i="21"/>
  <c r="L15004" i="21"/>
  <c r="L15003" i="21"/>
  <c r="L15002" i="21"/>
  <c r="L15001" i="21"/>
  <c r="L15000" i="21"/>
  <c r="L14999" i="21"/>
  <c r="L14998" i="21"/>
  <c r="L14997" i="21"/>
  <c r="L14995" i="21"/>
  <c r="L14994" i="21"/>
  <c r="L14993" i="21"/>
  <c r="L14992" i="21"/>
  <c r="L14991" i="21"/>
  <c r="L14990" i="21"/>
  <c r="L14989" i="21"/>
  <c r="L14988" i="21"/>
  <c r="L14987" i="21"/>
  <c r="L14985" i="21"/>
  <c r="L14984" i="21"/>
  <c r="L14983" i="21"/>
  <c r="L14982" i="21"/>
  <c r="L14981" i="21"/>
  <c r="L14980" i="21"/>
  <c r="L14979" i="21"/>
  <c r="L14978" i="21"/>
  <c r="L14977" i="21"/>
  <c r="L14975" i="21"/>
  <c r="L14974" i="21"/>
  <c r="L14973" i="21"/>
  <c r="L14972" i="21"/>
  <c r="L14971" i="21"/>
  <c r="L14970" i="21"/>
  <c r="L14969" i="21"/>
  <c r="L14968" i="21"/>
  <c r="L14967" i="21"/>
  <c r="L14965" i="21"/>
  <c r="L14964" i="21"/>
  <c r="L14963" i="21"/>
  <c r="L14962" i="21"/>
  <c r="L14961" i="21"/>
  <c r="L14960" i="21"/>
  <c r="L14959" i="21"/>
  <c r="L14958" i="21"/>
  <c r="L14957" i="21"/>
  <c r="L14955" i="21"/>
  <c r="L14954" i="21"/>
  <c r="L14953" i="21"/>
  <c r="L14952" i="21"/>
  <c r="L14951" i="21"/>
  <c r="L14950" i="21"/>
  <c r="L14949" i="21"/>
  <c r="L14948" i="21"/>
  <c r="L14947" i="21"/>
  <c r="L14945" i="21"/>
  <c r="L14944" i="21"/>
  <c r="L14943" i="21"/>
  <c r="L14942" i="21"/>
  <c r="L14941" i="21"/>
  <c r="L14940" i="21"/>
  <c r="L14939" i="21"/>
  <c r="L14938" i="21"/>
  <c r="L14937" i="21"/>
  <c r="L14935" i="21"/>
  <c r="L14934" i="21"/>
  <c r="L14933" i="21"/>
  <c r="L14932" i="21"/>
  <c r="L14931" i="21"/>
  <c r="L14930" i="21"/>
  <c r="L14929" i="21"/>
  <c r="L14928" i="21"/>
  <c r="L14927" i="21"/>
  <c r="L14925" i="21"/>
  <c r="L14924" i="21"/>
  <c r="L14923" i="21"/>
  <c r="L14922" i="21"/>
  <c r="L14921" i="21"/>
  <c r="L14920" i="21"/>
  <c r="L14919" i="21"/>
  <c r="L14918" i="21"/>
  <c r="L14902" i="21"/>
  <c r="L14901" i="21"/>
  <c r="L14900" i="21"/>
  <c r="L14899" i="21"/>
  <c r="L14898" i="21"/>
  <c r="L14897" i="21"/>
  <c r="L14896" i="21"/>
  <c r="L14895" i="21"/>
  <c r="L14894" i="21"/>
  <c r="L14892" i="21"/>
  <c r="L14891" i="21"/>
  <c r="L14890" i="21"/>
  <c r="L14889" i="21"/>
  <c r="L14888" i="21"/>
  <c r="L14887" i="21"/>
  <c r="L14886" i="21"/>
  <c r="L14885" i="21"/>
  <c r="L14884" i="21"/>
  <c r="L14882" i="21"/>
  <c r="L14881" i="21"/>
  <c r="L14880" i="21"/>
  <c r="L14879" i="21"/>
  <c r="L14878" i="21"/>
  <c r="L14877" i="21"/>
  <c r="L14876" i="21"/>
  <c r="L14875" i="21"/>
  <c r="L14874" i="21"/>
  <c r="L14872" i="21"/>
  <c r="L14871" i="21"/>
  <c r="L14870" i="21"/>
  <c r="L14869" i="21"/>
  <c r="L14868" i="21"/>
  <c r="L14867" i="21"/>
  <c r="L14866" i="21"/>
  <c r="L14865" i="21"/>
  <c r="L14864" i="21"/>
  <c r="L14862" i="21"/>
  <c r="L14861" i="21"/>
  <c r="L14860" i="21"/>
  <c r="L14859" i="21"/>
  <c r="L14858" i="21"/>
  <c r="L14857" i="21"/>
  <c r="L14856" i="21"/>
  <c r="L14855" i="21"/>
  <c r="L14854" i="21"/>
  <c r="L14852" i="21"/>
  <c r="L14851" i="21"/>
  <c r="L14850" i="21"/>
  <c r="L14849" i="21"/>
  <c r="L14848" i="21"/>
  <c r="L14847" i="21"/>
  <c r="L14846" i="21"/>
  <c r="L14845" i="21"/>
  <c r="L14844" i="21"/>
  <c r="L14842" i="21"/>
  <c r="L14841" i="21"/>
  <c r="L14840" i="21"/>
  <c r="L14839" i="21"/>
  <c r="L14838" i="21"/>
  <c r="L14837" i="21"/>
  <c r="L14836" i="21"/>
  <c r="L14835" i="21"/>
  <c r="L14834" i="21"/>
  <c r="L14832" i="21"/>
  <c r="L14831" i="21"/>
  <c r="L14830" i="21"/>
  <c r="L14829" i="21"/>
  <c r="L14828" i="21"/>
  <c r="L14827" i="21"/>
  <c r="L14826" i="21"/>
  <c r="L14825" i="21"/>
  <c r="L14824" i="21"/>
  <c r="L14822" i="21"/>
  <c r="L14821" i="21"/>
  <c r="L14820" i="21"/>
  <c r="L14819" i="21"/>
  <c r="L14818" i="21"/>
  <c r="L14817" i="21"/>
  <c r="L14816" i="21"/>
  <c r="L14815" i="21"/>
  <c r="B16479" i="21" l="1"/>
  <c r="E16479" i="21" s="1"/>
  <c r="D16479" i="21"/>
  <c r="C16469" i="21"/>
  <c r="E16469" i="21"/>
  <c r="D16469" i="21"/>
  <c r="A15842" i="21"/>
  <c r="E16060" i="21"/>
  <c r="D16060" i="21"/>
  <c r="C16060" i="21"/>
  <c r="C16070" i="21"/>
  <c r="E16070" i="21"/>
  <c r="D16070" i="21"/>
  <c r="C16479" i="21" l="1"/>
  <c r="B16480" i="21" s="1"/>
  <c r="B16470" i="21"/>
  <c r="B16071" i="21"/>
  <c r="B16061" i="21"/>
  <c r="A16561" i="21" l="1"/>
  <c r="C16470" i="21"/>
  <c r="D16470" i="21"/>
  <c r="E16470" i="21"/>
  <c r="C16480" i="21"/>
  <c r="D16480" i="21"/>
  <c r="E16480" i="21"/>
  <c r="D16061" i="21"/>
  <c r="C16061" i="21"/>
  <c r="B16062" i="21" s="1"/>
  <c r="C16071" i="21"/>
  <c r="B16072" i="21" s="1"/>
  <c r="D16071" i="21"/>
  <c r="B16573" i="21" l="1"/>
  <c r="B16583" i="21"/>
  <c r="B16481" i="21"/>
  <c r="B16471" i="21"/>
  <c r="E16061" i="21"/>
  <c r="E16062" i="21"/>
  <c r="D16062" i="21"/>
  <c r="E16071" i="21"/>
  <c r="E16072" i="21"/>
  <c r="D16072" i="21"/>
  <c r="D16583" i="21" l="1"/>
  <c r="C16583" i="21"/>
  <c r="E16583" i="21"/>
  <c r="D16573" i="21"/>
  <c r="E16573" i="21"/>
  <c r="C16573" i="21"/>
  <c r="E16471" i="21"/>
  <c r="C16471" i="21"/>
  <c r="D16471" i="21"/>
  <c r="C16481" i="21"/>
  <c r="E16481" i="21"/>
  <c r="D16481" i="21"/>
  <c r="A16048" i="21"/>
  <c r="A16664" i="21" l="1"/>
  <c r="B16584" i="21"/>
  <c r="B16574" i="21"/>
  <c r="B16482" i="21"/>
  <c r="B16472" i="21"/>
  <c r="A15320" i="21"/>
  <c r="A15216" i="21"/>
  <c r="A15112" i="21"/>
  <c r="B16676" i="21" l="1"/>
  <c r="B16686" i="21"/>
  <c r="D16574" i="21"/>
  <c r="C16574" i="21"/>
  <c r="E16574" i="21"/>
  <c r="C16584" i="21"/>
  <c r="D16584" i="21"/>
  <c r="E16584" i="21"/>
  <c r="C16482" i="21"/>
  <c r="D16482" i="21"/>
  <c r="E16482" i="21"/>
  <c r="C16472" i="21"/>
  <c r="D16472" i="21"/>
  <c r="E16472" i="21"/>
  <c r="B15134" i="21"/>
  <c r="B15124" i="21"/>
  <c r="B15332" i="21"/>
  <c r="B15342" i="21"/>
  <c r="B15238" i="21"/>
  <c r="B15228" i="21"/>
  <c r="A15424" i="21"/>
  <c r="A15008" i="21"/>
  <c r="A14904" i="21"/>
  <c r="D16686" i="21" l="1"/>
  <c r="C16686" i="21"/>
  <c r="E16686" i="21"/>
  <c r="D16676" i="21"/>
  <c r="E16676" i="21"/>
  <c r="C16676" i="21"/>
  <c r="B16585" i="21"/>
  <c r="B16575" i="21"/>
  <c r="B16473" i="21"/>
  <c r="B16483" i="21"/>
  <c r="B15020" i="21"/>
  <c r="B15030" i="21"/>
  <c r="D15228" i="21"/>
  <c r="C15228" i="21"/>
  <c r="E15228" i="21"/>
  <c r="D15342" i="21"/>
  <c r="C15342" i="21"/>
  <c r="E15342" i="21"/>
  <c r="D15124" i="21"/>
  <c r="C15124" i="21"/>
  <c r="E15124" i="21"/>
  <c r="B14916" i="21"/>
  <c r="B14926" i="21"/>
  <c r="B15436" i="21"/>
  <c r="B15446" i="21"/>
  <c r="C15238" i="21"/>
  <c r="E15238" i="21"/>
  <c r="D15238" i="21"/>
  <c r="D15332" i="21"/>
  <c r="E15332" i="21"/>
  <c r="C15332" i="21"/>
  <c r="C15134" i="21"/>
  <c r="E15134" i="21"/>
  <c r="D15134" i="21"/>
  <c r="B16687" i="21" l="1"/>
  <c r="B16677" i="21"/>
  <c r="E16585" i="21"/>
  <c r="D16585" i="21"/>
  <c r="C16585" i="21"/>
  <c r="C16575" i="21"/>
  <c r="D16575" i="21"/>
  <c r="E16575" i="21"/>
  <c r="E16483" i="21"/>
  <c r="D16483" i="21"/>
  <c r="C16483" i="21"/>
  <c r="B16484" i="21" s="1"/>
  <c r="E16473" i="21"/>
  <c r="D16473" i="21"/>
  <c r="C16473" i="21"/>
  <c r="B16474" i="21" s="1"/>
  <c r="B15135" i="21"/>
  <c r="B15333" i="21"/>
  <c r="B15239" i="21"/>
  <c r="D15446" i="21"/>
  <c r="C15446" i="21"/>
  <c r="E15446" i="21"/>
  <c r="D14926" i="21"/>
  <c r="C14926" i="21"/>
  <c r="E14926" i="21"/>
  <c r="B15125" i="21"/>
  <c r="B15343" i="21"/>
  <c r="B15229" i="21"/>
  <c r="D15436" i="21"/>
  <c r="E15436" i="21"/>
  <c r="C15436" i="21"/>
  <c r="D14916" i="21"/>
  <c r="E14916" i="21"/>
  <c r="C14916" i="21"/>
  <c r="D15030" i="21"/>
  <c r="C15030" i="21"/>
  <c r="E15030" i="21"/>
  <c r="D15020" i="21"/>
  <c r="E15020" i="21"/>
  <c r="C15020" i="21"/>
  <c r="D16677" i="21" l="1"/>
  <c r="C16677" i="21"/>
  <c r="E16677" i="21"/>
  <c r="D16687" i="21"/>
  <c r="C16687" i="21"/>
  <c r="E16687" i="21"/>
  <c r="B16576" i="21"/>
  <c r="B16586" i="21"/>
  <c r="D16474" i="21"/>
  <c r="C16474" i="21"/>
  <c r="B16475" i="21" s="1"/>
  <c r="D16484" i="21"/>
  <c r="C16484" i="21"/>
  <c r="B16485" i="21" s="1"/>
  <c r="A15527" i="21"/>
  <c r="B15549" i="21" s="1"/>
  <c r="B15021" i="21"/>
  <c r="B14917" i="21"/>
  <c r="B15437" i="21"/>
  <c r="D15229" i="21"/>
  <c r="C15229" i="21"/>
  <c r="E15229" i="21"/>
  <c r="C15343" i="21"/>
  <c r="D15343" i="21"/>
  <c r="E15343" i="21"/>
  <c r="D15239" i="21"/>
  <c r="C15239" i="21"/>
  <c r="E15239" i="21"/>
  <c r="D15333" i="21"/>
  <c r="C15333" i="21"/>
  <c r="E15333" i="21"/>
  <c r="B15031" i="21"/>
  <c r="D15125" i="21"/>
  <c r="C15125" i="21"/>
  <c r="E15125" i="21"/>
  <c r="B14927" i="21"/>
  <c r="B15447" i="21"/>
  <c r="D15135" i="21"/>
  <c r="C15135" i="21"/>
  <c r="E15135" i="21"/>
  <c r="B16678" i="21" l="1"/>
  <c r="B16688" i="21"/>
  <c r="C16576" i="21"/>
  <c r="D16576" i="21"/>
  <c r="E16576" i="21"/>
  <c r="C16586" i="21"/>
  <c r="E16586" i="21"/>
  <c r="E16484" i="21"/>
  <c r="E16485" i="21"/>
  <c r="D16485" i="21"/>
  <c r="E16474" i="21"/>
  <c r="D16475" i="21"/>
  <c r="E16475" i="21"/>
  <c r="B15539" i="21"/>
  <c r="D15539" i="21" s="1"/>
  <c r="D15549" i="21"/>
  <c r="C15549" i="21"/>
  <c r="E15549" i="21"/>
  <c r="C15447" i="21"/>
  <c r="D15447" i="21"/>
  <c r="E15447" i="21"/>
  <c r="C14927" i="21"/>
  <c r="D14927" i="21"/>
  <c r="E14927" i="21"/>
  <c r="B15126" i="21"/>
  <c r="C15031" i="21"/>
  <c r="D15031" i="21"/>
  <c r="E15031" i="21"/>
  <c r="B15334" i="21"/>
  <c r="D15437" i="21"/>
  <c r="C15437" i="21"/>
  <c r="E15437" i="21"/>
  <c r="D14917" i="21"/>
  <c r="C14917" i="21"/>
  <c r="E14917" i="21"/>
  <c r="B15136" i="21"/>
  <c r="B15240" i="21"/>
  <c r="B15344" i="21"/>
  <c r="B15230" i="21"/>
  <c r="D15021" i="21"/>
  <c r="C15021" i="21"/>
  <c r="E15021" i="21"/>
  <c r="S6" i="13"/>
  <c r="C16678" i="21" l="1"/>
  <c r="E16678" i="21"/>
  <c r="D16678" i="21"/>
  <c r="C16688" i="21"/>
  <c r="E16688" i="21"/>
  <c r="D16688" i="21"/>
  <c r="B16587" i="21"/>
  <c r="B16577" i="21"/>
  <c r="A16461" i="21"/>
  <c r="A16464" i="21"/>
  <c r="E15539" i="21"/>
  <c r="C15539" i="21"/>
  <c r="B15540" i="21" s="1"/>
  <c r="B15550" i="21"/>
  <c r="B15022" i="21"/>
  <c r="E15230" i="21"/>
  <c r="D15230" i="21"/>
  <c r="C15230" i="21"/>
  <c r="E15136" i="21"/>
  <c r="D15136" i="21"/>
  <c r="C15136" i="21"/>
  <c r="B15438" i="21"/>
  <c r="C15334" i="21"/>
  <c r="E15334" i="21"/>
  <c r="D15334" i="21"/>
  <c r="B14928" i="21"/>
  <c r="E15344" i="21"/>
  <c r="D15344" i="21"/>
  <c r="C15344" i="21"/>
  <c r="D15240" i="21"/>
  <c r="C15240" i="21"/>
  <c r="E15240" i="21"/>
  <c r="B14918" i="21"/>
  <c r="B15032" i="21"/>
  <c r="D15126" i="21"/>
  <c r="C15126" i="21"/>
  <c r="E15126" i="21"/>
  <c r="B15448" i="21"/>
  <c r="B16689" i="21" l="1"/>
  <c r="B16679" i="21"/>
  <c r="C16577" i="21"/>
  <c r="B16578" i="21" s="1"/>
  <c r="E16577" i="21"/>
  <c r="D16577" i="21"/>
  <c r="E16587" i="21"/>
  <c r="C16587" i="21"/>
  <c r="D16587" i="21"/>
  <c r="A15631" i="21"/>
  <c r="D15550" i="21"/>
  <c r="C15550" i="21"/>
  <c r="E15550" i="21"/>
  <c r="D15540" i="21"/>
  <c r="C15540" i="21"/>
  <c r="E15540" i="21"/>
  <c r="E15032" i="21"/>
  <c r="D15032" i="21"/>
  <c r="C15032" i="21"/>
  <c r="B15241" i="21"/>
  <c r="B15335" i="21"/>
  <c r="C15022" i="21"/>
  <c r="E15022" i="21"/>
  <c r="D15022" i="21"/>
  <c r="E15448" i="21"/>
  <c r="D15448" i="21"/>
  <c r="C15448" i="21"/>
  <c r="B15127" i="21"/>
  <c r="C14918" i="21"/>
  <c r="E14918" i="21"/>
  <c r="D14918" i="21"/>
  <c r="B15345" i="21"/>
  <c r="E14928" i="21"/>
  <c r="D14928" i="21"/>
  <c r="C14928" i="21"/>
  <c r="C15438" i="21"/>
  <c r="E15438" i="21"/>
  <c r="D15438" i="21"/>
  <c r="B15137" i="21"/>
  <c r="B15231" i="21"/>
  <c r="C16689" i="21" l="1"/>
  <c r="E16689" i="21"/>
  <c r="C16679" i="21"/>
  <c r="D16679" i="21"/>
  <c r="E16679" i="21"/>
  <c r="B16588" i="21"/>
  <c r="C16578" i="21"/>
  <c r="B16579" i="21" s="1"/>
  <c r="D16578" i="21"/>
  <c r="B15643" i="21"/>
  <c r="B15653" i="21"/>
  <c r="B15541" i="21"/>
  <c r="B15551" i="21"/>
  <c r="C15231" i="21"/>
  <c r="D15231" i="21"/>
  <c r="E15231" i="21"/>
  <c r="B14919" i="21"/>
  <c r="D15335" i="21"/>
  <c r="C15335" i="21"/>
  <c r="E15335" i="21"/>
  <c r="C15137" i="21"/>
  <c r="E15137" i="21"/>
  <c r="B15439" i="21"/>
  <c r="B14929" i="21"/>
  <c r="C15345" i="21"/>
  <c r="E15345" i="21"/>
  <c r="C15127" i="21"/>
  <c r="D15127" i="21"/>
  <c r="E15127" i="21"/>
  <c r="B15449" i="21"/>
  <c r="B15023" i="21"/>
  <c r="C15241" i="21"/>
  <c r="E15241" i="21"/>
  <c r="B15033" i="21"/>
  <c r="B16680" i="21" l="1"/>
  <c r="B16690" i="21"/>
  <c r="D16588" i="21"/>
  <c r="C16588" i="21"/>
  <c r="E16578" i="21"/>
  <c r="D16579" i="21"/>
  <c r="E16579" i="21"/>
  <c r="A15735" i="21"/>
  <c r="E15653" i="21"/>
  <c r="C15653" i="21"/>
  <c r="D15653" i="21"/>
  <c r="D15643" i="21"/>
  <c r="C15643" i="21"/>
  <c r="E15643" i="21"/>
  <c r="E15551" i="21"/>
  <c r="D15551" i="21"/>
  <c r="C15551" i="21"/>
  <c r="E15541" i="21"/>
  <c r="D15541" i="21"/>
  <c r="C15541" i="21"/>
  <c r="B15346" i="21"/>
  <c r="C14929" i="21"/>
  <c r="E14929" i="21"/>
  <c r="D14919" i="21"/>
  <c r="C14919" i="21"/>
  <c r="E14919" i="21"/>
  <c r="C15033" i="21"/>
  <c r="E15033" i="21"/>
  <c r="B15242" i="21"/>
  <c r="D15023" i="21"/>
  <c r="C15023" i="21"/>
  <c r="E15023" i="21"/>
  <c r="C15449" i="21"/>
  <c r="E15449" i="21"/>
  <c r="B15128" i="21"/>
  <c r="D15439" i="21"/>
  <c r="C15439" i="21"/>
  <c r="E15439" i="21"/>
  <c r="B15138" i="21"/>
  <c r="B15336" i="21"/>
  <c r="B15232" i="21"/>
  <c r="A14801" i="21" l="1"/>
  <c r="B14813" i="21" s="1"/>
  <c r="A16565" i="21"/>
  <c r="E16680" i="21"/>
  <c r="D16680" i="21"/>
  <c r="C16680" i="21"/>
  <c r="B16681" i="21" s="1"/>
  <c r="E16690" i="21"/>
  <c r="D16690" i="21"/>
  <c r="C16690" i="21"/>
  <c r="B16691" i="21" s="1"/>
  <c r="B16589" i="21"/>
  <c r="E16588" i="21" s="1"/>
  <c r="B15747" i="21"/>
  <c r="B15757" i="21"/>
  <c r="B15644" i="21"/>
  <c r="B15654" i="21"/>
  <c r="B15542" i="21"/>
  <c r="B15552" i="21"/>
  <c r="E15336" i="21"/>
  <c r="D15336" i="21"/>
  <c r="C15336" i="21"/>
  <c r="D15138" i="21"/>
  <c r="C15138" i="21"/>
  <c r="E15138" i="21"/>
  <c r="B15440" i="21"/>
  <c r="E15242" i="21"/>
  <c r="D15242" i="21"/>
  <c r="C15242" i="21"/>
  <c r="B15034" i="21"/>
  <c r="B14920" i="21"/>
  <c r="D15232" i="21"/>
  <c r="C15232" i="21"/>
  <c r="E15232" i="21"/>
  <c r="E15128" i="21"/>
  <c r="D15128" i="21"/>
  <c r="C15128" i="21"/>
  <c r="B15450" i="21"/>
  <c r="B15024" i="21"/>
  <c r="B14930" i="21"/>
  <c r="C15346" i="21"/>
  <c r="E15346" i="21"/>
  <c r="D15346" i="21"/>
  <c r="B14823" i="21" l="1"/>
  <c r="C14823" i="21" s="1"/>
  <c r="C16691" i="21"/>
  <c r="B16692" i="21" s="1"/>
  <c r="D16691" i="21"/>
  <c r="C16681" i="21"/>
  <c r="B16682" i="21" s="1"/>
  <c r="D16681" i="21"/>
  <c r="D16589" i="21"/>
  <c r="E16589" i="21"/>
  <c r="D15757" i="21"/>
  <c r="C15757" i="21"/>
  <c r="E15757" i="21"/>
  <c r="D15747" i="21"/>
  <c r="C15747" i="21"/>
  <c r="E15747" i="21"/>
  <c r="C15654" i="21"/>
  <c r="D15654" i="21"/>
  <c r="E15654" i="21"/>
  <c r="C15644" i="21"/>
  <c r="D15644" i="21"/>
  <c r="E15644" i="21"/>
  <c r="C15542" i="21"/>
  <c r="D15542" i="21"/>
  <c r="E15542" i="21"/>
  <c r="C15552" i="21"/>
  <c r="D15552" i="21"/>
  <c r="E15552" i="21"/>
  <c r="B15347" i="21"/>
  <c r="E15024" i="21"/>
  <c r="D15024" i="21"/>
  <c r="C15024" i="21"/>
  <c r="B15233" i="21"/>
  <c r="E14920" i="21"/>
  <c r="D14920" i="21"/>
  <c r="C14920" i="21"/>
  <c r="C15034" i="21"/>
  <c r="E15034" i="21"/>
  <c r="D15034" i="21"/>
  <c r="C14930" i="21"/>
  <c r="E14930" i="21"/>
  <c r="D14930" i="21"/>
  <c r="C15450" i="21"/>
  <c r="E15450" i="21"/>
  <c r="D15450" i="21"/>
  <c r="B15129" i="21"/>
  <c r="D14813" i="21"/>
  <c r="E14813" i="21"/>
  <c r="C14813" i="21"/>
  <c r="B15243" i="21"/>
  <c r="E15440" i="21"/>
  <c r="D15440" i="21"/>
  <c r="C15440" i="21"/>
  <c r="B15139" i="21"/>
  <c r="B15337" i="21"/>
  <c r="D14823" i="21" l="1"/>
  <c r="E14823" i="21"/>
  <c r="E16681" i="21"/>
  <c r="E16682" i="21"/>
  <c r="D16682" i="21"/>
  <c r="E16691" i="21"/>
  <c r="D16692" i="21"/>
  <c r="E16692" i="21"/>
  <c r="B15748" i="21"/>
  <c r="B15758" i="21"/>
  <c r="B15645" i="21"/>
  <c r="B15655" i="21"/>
  <c r="B15553" i="21"/>
  <c r="B15543" i="21"/>
  <c r="D15139" i="21"/>
  <c r="C15139" i="21"/>
  <c r="B15441" i="21"/>
  <c r="D15243" i="21"/>
  <c r="C15243" i="21"/>
  <c r="B15244" i="21" s="1"/>
  <c r="B14814" i="21"/>
  <c r="B15451" i="21"/>
  <c r="B14921" i="21"/>
  <c r="D15233" i="21"/>
  <c r="C15233" i="21"/>
  <c r="B15234" i="21" s="1"/>
  <c r="C15347" i="21"/>
  <c r="D15347" i="21"/>
  <c r="C15337" i="21"/>
  <c r="B15338" i="21" s="1"/>
  <c r="D15337" i="21"/>
  <c r="D15129" i="21"/>
  <c r="C15129" i="21"/>
  <c r="B14931" i="21"/>
  <c r="B15035" i="21"/>
  <c r="B14824" i="21"/>
  <c r="B15025" i="21"/>
  <c r="A16668" i="21" l="1"/>
  <c r="D15758" i="21"/>
  <c r="C15758" i="21"/>
  <c r="E15758" i="21"/>
  <c r="D15748" i="21"/>
  <c r="C15748" i="21"/>
  <c r="E15748" i="21"/>
  <c r="E15655" i="21"/>
  <c r="D15655" i="21"/>
  <c r="C15655" i="21"/>
  <c r="E15645" i="21"/>
  <c r="C15645" i="21"/>
  <c r="D15645" i="21"/>
  <c r="C15543" i="21"/>
  <c r="E15543" i="21"/>
  <c r="D15543" i="21"/>
  <c r="C15553" i="21"/>
  <c r="E15553" i="21"/>
  <c r="D15553" i="21"/>
  <c r="C15035" i="21"/>
  <c r="B15036" i="21" s="1"/>
  <c r="D15035" i="21"/>
  <c r="D14931" i="21"/>
  <c r="C14931" i="21"/>
  <c r="B14932" i="21" s="1"/>
  <c r="E15233" i="21"/>
  <c r="E15234" i="21"/>
  <c r="D15234" i="21"/>
  <c r="C14921" i="21"/>
  <c r="B14922" i="21" s="1"/>
  <c r="D14921" i="21"/>
  <c r="D15451" i="21"/>
  <c r="C15451" i="21"/>
  <c r="E15243" i="21"/>
  <c r="E15244" i="21"/>
  <c r="D15244" i="21"/>
  <c r="B15140" i="21"/>
  <c r="E15139" i="21" s="1"/>
  <c r="D15025" i="21"/>
  <c r="C15025" i="21"/>
  <c r="D14824" i="21"/>
  <c r="C14824" i="21"/>
  <c r="E14824" i="21"/>
  <c r="B15130" i="21"/>
  <c r="E15337" i="21"/>
  <c r="E15338" i="21"/>
  <c r="D15338" i="21"/>
  <c r="B15348" i="21"/>
  <c r="E15347" i="21" s="1"/>
  <c r="C14814" i="21"/>
  <c r="D14814" i="21"/>
  <c r="E14814" i="21"/>
  <c r="D15441" i="21"/>
  <c r="C15441" i="21"/>
  <c r="B15442" i="21" s="1"/>
  <c r="B15759" i="21" l="1"/>
  <c r="B15749" i="21"/>
  <c r="B15646" i="21"/>
  <c r="B15656" i="21"/>
  <c r="B15554" i="21"/>
  <c r="B15544" i="21"/>
  <c r="A15324" i="21"/>
  <c r="E14921" i="21"/>
  <c r="E14922" i="21"/>
  <c r="D14922" i="21"/>
  <c r="E14931" i="21"/>
  <c r="D14932" i="21"/>
  <c r="E14932" i="21"/>
  <c r="E15130" i="21"/>
  <c r="D15130" i="21"/>
  <c r="B14825" i="21"/>
  <c r="B15026" i="21"/>
  <c r="E15441" i="21"/>
  <c r="E15442" i="21"/>
  <c r="D15442" i="21"/>
  <c r="B14815" i="21"/>
  <c r="D15348" i="21"/>
  <c r="E15348" i="21"/>
  <c r="E15129" i="21"/>
  <c r="E15140" i="21"/>
  <c r="D15140" i="21"/>
  <c r="B15452" i="21"/>
  <c r="A15220" i="21"/>
  <c r="E15035" i="21"/>
  <c r="D15036" i="21"/>
  <c r="E15036" i="21"/>
  <c r="E15749" i="21" l="1"/>
  <c r="D15749" i="21"/>
  <c r="C15749" i="21"/>
  <c r="E15759" i="21"/>
  <c r="D15759" i="21"/>
  <c r="C15759" i="21"/>
  <c r="C15656" i="21"/>
  <c r="E15656" i="21"/>
  <c r="D15646" i="21"/>
  <c r="C15646" i="21"/>
  <c r="E15646" i="21"/>
  <c r="C15544" i="21"/>
  <c r="B15545" i="21" s="1"/>
  <c r="D15544" i="21"/>
  <c r="C15554" i="21"/>
  <c r="B15555" i="21" s="1"/>
  <c r="D15554" i="21"/>
  <c r="A15428" i="21"/>
  <c r="A15116" i="21"/>
  <c r="A14908" i="21"/>
  <c r="E15452" i="21"/>
  <c r="D15452" i="21"/>
  <c r="C14815" i="21"/>
  <c r="E14815" i="21"/>
  <c r="D14815" i="21"/>
  <c r="D15026" i="21"/>
  <c r="E15026" i="21"/>
  <c r="E15451" i="21"/>
  <c r="E15025" i="21"/>
  <c r="C14825" i="21"/>
  <c r="E14825" i="21"/>
  <c r="D14825" i="21"/>
  <c r="B15760" i="21" l="1"/>
  <c r="B15750" i="21"/>
  <c r="B15647" i="21"/>
  <c r="B15657" i="21"/>
  <c r="E15554" i="21"/>
  <c r="E15555" i="21"/>
  <c r="D15555" i="21"/>
  <c r="E15544" i="21"/>
  <c r="D15545" i="21"/>
  <c r="E15545" i="21"/>
  <c r="A15012" i="21"/>
  <c r="B14826" i="21"/>
  <c r="B14816" i="21"/>
  <c r="D15750" i="21" l="1"/>
  <c r="C15750" i="21"/>
  <c r="E15750" i="21"/>
  <c r="C15760" i="21"/>
  <c r="E15760" i="21"/>
  <c r="C15657" i="21"/>
  <c r="B15658" i="21" s="1"/>
  <c r="E15657" i="21"/>
  <c r="D15657" i="21"/>
  <c r="C15647" i="21"/>
  <c r="B15648" i="21" s="1"/>
  <c r="E15647" i="21"/>
  <c r="D15647" i="21"/>
  <c r="A15534" i="21"/>
  <c r="A15531" i="21"/>
  <c r="C14816" i="21"/>
  <c r="D14816" i="21"/>
  <c r="E14816" i="21"/>
  <c r="C14826" i="21"/>
  <c r="E14826" i="21"/>
  <c r="P6" i="13"/>
  <c r="B15761" i="21" l="1"/>
  <c r="B15751" i="21"/>
  <c r="C15648" i="21"/>
  <c r="B15649" i="21" s="1"/>
  <c r="D15648" i="21"/>
  <c r="C15658" i="21"/>
  <c r="B15659" i="21" s="1"/>
  <c r="D15658" i="21"/>
  <c r="B14827" i="21"/>
  <c r="B14817" i="21"/>
  <c r="Q6" i="13"/>
  <c r="O6" i="13"/>
  <c r="C15751" i="21" l="1"/>
  <c r="B15752" i="21" s="1"/>
  <c r="E15751" i="21"/>
  <c r="D15751" i="21"/>
  <c r="D15761" i="21"/>
  <c r="C15761" i="21"/>
  <c r="E15761" i="21"/>
  <c r="E15658" i="21"/>
  <c r="E15659" i="21"/>
  <c r="D15659" i="21"/>
  <c r="E15648" i="21"/>
  <c r="D15649" i="21"/>
  <c r="E15649" i="21"/>
  <c r="E14817" i="21"/>
  <c r="D14817" i="21"/>
  <c r="C14817" i="21"/>
  <c r="B14818" i="21" s="1"/>
  <c r="C14827" i="21"/>
  <c r="E14827" i="21"/>
  <c r="D14827" i="21"/>
  <c r="L14799" i="21"/>
  <c r="L14798" i="21"/>
  <c r="L14797" i="21"/>
  <c r="L14796" i="21"/>
  <c r="L14795" i="21"/>
  <c r="L14794" i="21"/>
  <c r="L14793" i="21"/>
  <c r="L14792" i="21"/>
  <c r="L14791" i="21"/>
  <c r="L14789" i="21"/>
  <c r="L14788" i="21"/>
  <c r="L14787" i="21"/>
  <c r="L14786" i="21"/>
  <c r="L14785" i="21"/>
  <c r="L14784" i="21"/>
  <c r="L14783" i="21"/>
  <c r="L14782" i="21"/>
  <c r="L14781" i="21"/>
  <c r="L14779" i="21"/>
  <c r="L14778" i="21"/>
  <c r="L14777" i="21"/>
  <c r="L14776" i="21"/>
  <c r="L14775" i="21"/>
  <c r="L14774" i="21"/>
  <c r="L14773" i="21"/>
  <c r="L14772" i="21"/>
  <c r="L14771" i="21"/>
  <c r="L14769" i="21"/>
  <c r="L14768" i="21"/>
  <c r="L14767" i="21"/>
  <c r="L14766" i="21"/>
  <c r="L14765" i="21"/>
  <c r="L14764" i="21"/>
  <c r="L14763" i="21"/>
  <c r="L14762" i="21"/>
  <c r="L14761" i="21"/>
  <c r="L14759" i="21"/>
  <c r="L14758" i="21"/>
  <c r="L14757" i="21"/>
  <c r="L14756" i="21"/>
  <c r="L14755" i="21"/>
  <c r="L14754" i="21"/>
  <c r="L14753" i="21"/>
  <c r="L14752" i="21"/>
  <c r="L14751" i="21"/>
  <c r="L14749" i="21"/>
  <c r="L14748" i="21"/>
  <c r="L14747" i="21"/>
  <c r="L14746" i="21"/>
  <c r="L14745" i="21"/>
  <c r="L14744" i="21"/>
  <c r="L14743" i="21"/>
  <c r="L14742" i="21"/>
  <c r="L14741" i="21"/>
  <c r="L14739" i="21"/>
  <c r="L14738" i="21"/>
  <c r="L14737" i="21"/>
  <c r="L14736" i="21"/>
  <c r="L14735" i="21"/>
  <c r="L14734" i="21"/>
  <c r="L14733" i="21"/>
  <c r="L14732" i="21"/>
  <c r="L14731" i="21"/>
  <c r="L14729" i="21"/>
  <c r="L14728" i="21"/>
  <c r="L14727" i="21"/>
  <c r="L14726" i="21"/>
  <c r="L14725" i="21"/>
  <c r="L14724" i="21"/>
  <c r="L14723" i="21"/>
  <c r="L14722" i="21"/>
  <c r="L14721" i="21"/>
  <c r="L14719" i="21"/>
  <c r="L14718" i="21"/>
  <c r="L14717" i="21"/>
  <c r="L14716" i="21"/>
  <c r="L14715" i="21"/>
  <c r="L14714" i="21"/>
  <c r="L14713" i="21"/>
  <c r="L14712" i="21"/>
  <c r="L14696" i="21"/>
  <c r="L14695" i="21"/>
  <c r="L14694" i="21"/>
  <c r="L14693" i="21"/>
  <c r="L14692" i="21"/>
  <c r="L14691" i="21"/>
  <c r="L14690" i="21"/>
  <c r="L14689" i="21"/>
  <c r="L14688" i="21"/>
  <c r="L14686" i="21"/>
  <c r="L14685" i="21"/>
  <c r="L14684" i="21"/>
  <c r="L14683" i="21"/>
  <c r="L14682" i="21"/>
  <c r="L14681" i="21"/>
  <c r="L14680" i="21"/>
  <c r="L14679" i="21"/>
  <c r="L14678" i="21"/>
  <c r="L14676" i="21"/>
  <c r="L14675" i="21"/>
  <c r="L14674" i="21"/>
  <c r="L14673" i="21"/>
  <c r="L14672" i="21"/>
  <c r="L14671" i="21"/>
  <c r="L14670" i="21"/>
  <c r="L14669" i="21"/>
  <c r="L14668" i="21"/>
  <c r="L14666" i="21"/>
  <c r="L14665" i="21"/>
  <c r="L14664" i="21"/>
  <c r="L14663" i="21"/>
  <c r="L14662" i="21"/>
  <c r="L14661" i="21"/>
  <c r="L14660" i="21"/>
  <c r="L14659" i="21"/>
  <c r="L14658" i="21"/>
  <c r="L14656" i="21"/>
  <c r="L14655" i="21"/>
  <c r="L14654" i="21"/>
  <c r="L14653" i="21"/>
  <c r="L14652" i="21"/>
  <c r="L14651" i="21"/>
  <c r="L14650" i="21"/>
  <c r="L14649" i="21"/>
  <c r="L14648" i="21"/>
  <c r="L14646" i="21"/>
  <c r="L14645" i="21"/>
  <c r="L14644" i="21"/>
  <c r="L14643" i="21"/>
  <c r="L14642" i="21"/>
  <c r="L14641" i="21"/>
  <c r="L14640" i="21"/>
  <c r="L14639" i="21"/>
  <c r="L14638" i="21"/>
  <c r="L14636" i="21"/>
  <c r="L14635" i="21"/>
  <c r="L14634" i="21"/>
  <c r="L14633" i="21"/>
  <c r="L14632" i="21"/>
  <c r="L14631" i="21"/>
  <c r="L14630" i="21"/>
  <c r="L14629" i="21"/>
  <c r="L14628" i="21"/>
  <c r="L14626" i="21"/>
  <c r="L14625" i="21"/>
  <c r="L14624" i="21"/>
  <c r="L14623" i="21"/>
  <c r="L14622" i="21"/>
  <c r="L14621" i="21"/>
  <c r="L14620" i="21"/>
  <c r="L14619" i="21"/>
  <c r="L14618" i="21"/>
  <c r="L14616" i="21"/>
  <c r="L14615" i="21"/>
  <c r="L14614" i="21"/>
  <c r="L14613" i="21"/>
  <c r="L14612" i="21"/>
  <c r="L14611" i="21"/>
  <c r="L14610" i="21"/>
  <c r="L14609" i="21"/>
  <c r="L14593" i="21"/>
  <c r="L14592" i="21"/>
  <c r="L14591" i="21"/>
  <c r="L14590" i="21"/>
  <c r="L14589" i="21"/>
  <c r="L14588" i="21"/>
  <c r="L14587" i="21"/>
  <c r="L14586" i="21"/>
  <c r="L14585" i="21"/>
  <c r="L14583" i="21"/>
  <c r="L14582" i="21"/>
  <c r="L14581" i="21"/>
  <c r="L14580" i="21"/>
  <c r="L14579" i="21"/>
  <c r="L14578" i="21"/>
  <c r="L14577" i="21"/>
  <c r="L14576" i="21"/>
  <c r="L14575" i="21"/>
  <c r="L14573" i="21"/>
  <c r="L14572" i="21"/>
  <c r="L14571" i="21"/>
  <c r="L14570" i="21"/>
  <c r="L14569" i="21"/>
  <c r="L14568" i="21"/>
  <c r="L14567" i="21"/>
  <c r="L14566" i="21"/>
  <c r="L14565" i="21"/>
  <c r="L14563" i="21"/>
  <c r="L14562" i="21"/>
  <c r="L14561" i="21"/>
  <c r="L14560" i="21"/>
  <c r="L14559" i="21"/>
  <c r="L14558" i="21"/>
  <c r="L14557" i="21"/>
  <c r="L14556" i="21"/>
  <c r="L14555" i="21"/>
  <c r="L14553" i="21"/>
  <c r="L14552" i="21"/>
  <c r="L14551" i="21"/>
  <c r="L14550" i="21"/>
  <c r="L14549" i="21"/>
  <c r="L14548" i="21"/>
  <c r="L14547" i="21"/>
  <c r="L14546" i="21"/>
  <c r="L14545" i="21"/>
  <c r="L14543" i="21"/>
  <c r="L14542" i="21"/>
  <c r="L14541" i="21"/>
  <c r="L14540" i="21"/>
  <c r="L14539" i="21"/>
  <c r="L14538" i="21"/>
  <c r="L14537" i="21"/>
  <c r="L14536" i="21"/>
  <c r="L14535" i="21"/>
  <c r="L14533" i="21"/>
  <c r="L14532" i="21"/>
  <c r="L14531" i="21"/>
  <c r="L14530" i="21"/>
  <c r="L14529" i="21"/>
  <c r="L14528" i="21"/>
  <c r="L14527" i="21"/>
  <c r="L14526" i="21"/>
  <c r="L14525" i="21"/>
  <c r="L14523" i="21"/>
  <c r="L14522" i="21"/>
  <c r="L14521" i="21"/>
  <c r="L14520" i="21"/>
  <c r="L14519" i="21"/>
  <c r="L14518" i="21"/>
  <c r="L14517" i="21"/>
  <c r="L14516" i="21"/>
  <c r="L14515" i="21"/>
  <c r="L14513" i="21"/>
  <c r="L14512" i="21"/>
  <c r="L14511" i="21"/>
  <c r="L14510" i="21"/>
  <c r="L14509" i="21"/>
  <c r="L14508" i="21"/>
  <c r="L14507" i="21"/>
  <c r="L14506" i="21"/>
  <c r="L14490" i="21"/>
  <c r="L14489" i="21"/>
  <c r="L14488" i="21"/>
  <c r="L14487" i="21"/>
  <c r="L14486" i="21"/>
  <c r="L14485" i="21"/>
  <c r="L14484" i="21"/>
  <c r="L14483" i="21"/>
  <c r="L14482" i="21"/>
  <c r="L14480" i="21"/>
  <c r="L14479" i="21"/>
  <c r="L14478" i="21"/>
  <c r="L14477" i="21"/>
  <c r="L14476" i="21"/>
  <c r="L14475" i="21"/>
  <c r="L14474" i="21"/>
  <c r="L14473" i="21"/>
  <c r="L14472" i="21"/>
  <c r="L14470" i="21"/>
  <c r="L14469" i="21"/>
  <c r="L14468" i="21"/>
  <c r="L14467" i="21"/>
  <c r="L14466" i="21"/>
  <c r="L14465" i="21"/>
  <c r="L14464" i="21"/>
  <c r="L14463" i="21"/>
  <c r="L14462" i="21"/>
  <c r="L14460" i="21"/>
  <c r="L14459" i="21"/>
  <c r="L14458" i="21"/>
  <c r="L14457" i="21"/>
  <c r="L14456" i="21"/>
  <c r="L14455" i="21"/>
  <c r="L14454" i="21"/>
  <c r="L14453" i="21"/>
  <c r="L14452" i="21"/>
  <c r="L14450" i="21"/>
  <c r="L14449" i="21"/>
  <c r="L14448" i="21"/>
  <c r="L14447" i="21"/>
  <c r="L14446" i="21"/>
  <c r="L14445" i="21"/>
  <c r="L14444" i="21"/>
  <c r="L14443" i="21"/>
  <c r="L14442" i="21"/>
  <c r="L14440" i="21"/>
  <c r="L14439" i="21"/>
  <c r="L14438" i="21"/>
  <c r="L14437" i="21"/>
  <c r="L14436" i="21"/>
  <c r="L14435" i="21"/>
  <c r="L14434" i="21"/>
  <c r="L14433" i="21"/>
  <c r="L14432" i="21"/>
  <c r="L14430" i="21"/>
  <c r="L14429" i="21"/>
  <c r="L14428" i="21"/>
  <c r="L14427" i="21"/>
  <c r="L14426" i="21"/>
  <c r="L14425" i="21"/>
  <c r="L14424" i="21"/>
  <c r="L14423" i="21"/>
  <c r="L14422" i="21"/>
  <c r="L14420" i="21"/>
  <c r="L14419" i="21"/>
  <c r="L14418" i="21"/>
  <c r="L14417" i="21"/>
  <c r="L14416" i="21"/>
  <c r="L14415" i="21"/>
  <c r="L14414" i="21"/>
  <c r="L14413" i="21"/>
  <c r="L14412" i="21"/>
  <c r="L14410" i="21"/>
  <c r="L14409" i="21"/>
  <c r="L14408" i="21"/>
  <c r="L14407" i="21"/>
  <c r="L14406" i="21"/>
  <c r="L14405" i="21"/>
  <c r="L14404" i="21"/>
  <c r="L14403" i="21"/>
  <c r="B15762" i="21" l="1"/>
  <c r="D15752" i="21"/>
  <c r="C15752" i="21"/>
  <c r="B15753" i="21" s="1"/>
  <c r="A15635" i="21"/>
  <c r="B14828" i="21"/>
  <c r="D14818" i="21"/>
  <c r="C14818" i="21"/>
  <c r="B14819" i="21" s="1"/>
  <c r="E15752" i="21" l="1"/>
  <c r="E15753" i="21"/>
  <c r="D15753" i="21"/>
  <c r="D15762" i="21"/>
  <c r="C15762" i="21"/>
  <c r="E14818" i="21"/>
  <c r="E14819" i="21"/>
  <c r="D14819" i="21"/>
  <c r="C14828" i="21"/>
  <c r="D14828" i="21"/>
  <c r="A15739" i="21" l="1"/>
  <c r="B15763" i="21"/>
  <c r="A14805" i="21"/>
  <c r="B14829" i="21"/>
  <c r="E14828" i="21" s="1"/>
  <c r="E15763" i="21" l="1"/>
  <c r="D15763" i="21"/>
  <c r="E15762" i="21"/>
  <c r="D14829" i="21"/>
  <c r="E14829" i="21"/>
  <c r="L14387" i="21" l="1"/>
  <c r="L14386" i="21"/>
  <c r="L14385" i="21"/>
  <c r="L14384" i="21"/>
  <c r="L14383" i="21"/>
  <c r="L14382" i="21"/>
  <c r="L14381" i="21"/>
  <c r="L14380" i="21"/>
  <c r="L14379" i="21"/>
  <c r="L14377" i="21"/>
  <c r="L14376" i="21"/>
  <c r="L14375" i="21"/>
  <c r="L14374" i="21"/>
  <c r="L14373" i="21"/>
  <c r="L14372" i="21"/>
  <c r="L14371" i="21"/>
  <c r="L14370" i="21"/>
  <c r="L14369" i="21"/>
  <c r="L14367" i="21"/>
  <c r="L14366" i="21"/>
  <c r="L14365" i="21"/>
  <c r="L14364" i="21"/>
  <c r="L14363" i="21"/>
  <c r="L14362" i="21"/>
  <c r="L14361" i="21"/>
  <c r="L14360" i="21"/>
  <c r="L14359" i="21"/>
  <c r="L14357" i="21"/>
  <c r="L14356" i="21"/>
  <c r="L14355" i="21"/>
  <c r="L14354" i="21"/>
  <c r="L14353" i="21"/>
  <c r="L14352" i="21"/>
  <c r="L14351" i="21"/>
  <c r="L14350" i="21"/>
  <c r="L14349" i="21"/>
  <c r="L14347" i="21"/>
  <c r="L14346" i="21"/>
  <c r="L14345" i="21"/>
  <c r="L14344" i="21"/>
  <c r="L14343" i="21"/>
  <c r="L14342" i="21"/>
  <c r="L14341" i="21"/>
  <c r="L14340" i="21"/>
  <c r="L14339" i="21"/>
  <c r="L14337" i="21"/>
  <c r="L14336" i="21"/>
  <c r="L14335" i="21"/>
  <c r="L14334" i="21"/>
  <c r="L14333" i="21"/>
  <c r="L14332" i="21"/>
  <c r="L14331" i="21"/>
  <c r="L14330" i="21"/>
  <c r="L14329" i="21"/>
  <c r="L14327" i="21"/>
  <c r="L14326" i="21"/>
  <c r="L14325" i="21"/>
  <c r="L14324" i="21"/>
  <c r="L14323" i="21"/>
  <c r="L14322" i="21"/>
  <c r="L14321" i="21"/>
  <c r="L14320" i="21"/>
  <c r="L14319" i="21"/>
  <c r="L14317" i="21"/>
  <c r="L14316" i="21"/>
  <c r="L14315" i="21"/>
  <c r="L14314" i="21"/>
  <c r="L14313" i="21"/>
  <c r="L14312" i="21"/>
  <c r="L14311" i="21"/>
  <c r="L14310" i="21"/>
  <c r="L14309" i="21"/>
  <c r="L14307" i="21"/>
  <c r="L14306" i="21"/>
  <c r="L14305" i="21"/>
  <c r="L14304" i="21"/>
  <c r="L14303" i="21"/>
  <c r="L14302" i="21"/>
  <c r="L14301" i="21"/>
  <c r="L14300" i="21"/>
  <c r="L14284" i="21"/>
  <c r="L14283" i="21"/>
  <c r="L14282" i="21"/>
  <c r="L14281" i="21"/>
  <c r="L14280" i="21"/>
  <c r="L14279" i="21"/>
  <c r="L14278" i="21"/>
  <c r="L14277" i="21"/>
  <c r="L14276" i="21"/>
  <c r="L14274" i="21"/>
  <c r="L14273" i="21"/>
  <c r="L14272" i="21"/>
  <c r="L14271" i="21"/>
  <c r="L14270" i="21"/>
  <c r="L14269" i="21"/>
  <c r="L14268" i="21"/>
  <c r="L14267" i="21"/>
  <c r="L14266" i="21"/>
  <c r="L14264" i="21"/>
  <c r="L14263" i="21"/>
  <c r="L14262" i="21"/>
  <c r="L14261" i="21"/>
  <c r="L14260" i="21"/>
  <c r="L14259" i="21"/>
  <c r="L14258" i="21"/>
  <c r="L14257" i="21"/>
  <c r="L14256" i="21"/>
  <c r="L14254" i="21"/>
  <c r="L14253" i="21"/>
  <c r="L14252" i="21"/>
  <c r="L14251" i="21"/>
  <c r="L14250" i="21"/>
  <c r="L14249" i="21"/>
  <c r="L14248" i="21"/>
  <c r="L14247" i="21"/>
  <c r="L14246" i="21"/>
  <c r="L14244" i="21"/>
  <c r="L14243" i="21"/>
  <c r="L14242" i="21"/>
  <c r="L14241" i="21"/>
  <c r="L14240" i="21"/>
  <c r="L14239" i="21"/>
  <c r="L14238" i="21"/>
  <c r="L14237" i="21"/>
  <c r="L14236" i="21"/>
  <c r="L14234" i="21"/>
  <c r="L14233" i="21"/>
  <c r="L14232" i="21"/>
  <c r="L14231" i="21"/>
  <c r="L14230" i="21"/>
  <c r="L14229" i="21"/>
  <c r="L14228" i="21"/>
  <c r="L14227" i="21"/>
  <c r="L14226" i="21"/>
  <c r="L14224" i="21"/>
  <c r="L14223" i="21"/>
  <c r="L14222" i="21"/>
  <c r="L14221" i="21"/>
  <c r="L14220" i="21"/>
  <c r="L14219" i="21"/>
  <c r="L14218" i="21"/>
  <c r="L14217" i="21"/>
  <c r="L14216" i="21"/>
  <c r="L14214" i="21"/>
  <c r="L14213" i="21"/>
  <c r="L14212" i="21"/>
  <c r="L14211" i="21"/>
  <c r="L14210" i="21"/>
  <c r="L14209" i="21"/>
  <c r="L14208" i="21"/>
  <c r="L14207" i="21"/>
  <c r="L14206" i="21"/>
  <c r="L14204" i="21"/>
  <c r="L14203" i="21"/>
  <c r="L14202" i="21"/>
  <c r="L14201" i="21"/>
  <c r="L14200" i="21"/>
  <c r="L14199" i="21"/>
  <c r="L14198" i="21"/>
  <c r="L14197" i="21"/>
  <c r="L14181" i="21" l="1"/>
  <c r="L14180" i="21"/>
  <c r="L14179" i="21"/>
  <c r="L14178" i="21"/>
  <c r="L14177" i="21"/>
  <c r="L14176" i="21"/>
  <c r="L14175" i="21"/>
  <c r="L14174" i="21"/>
  <c r="L14173" i="21"/>
  <c r="L14171" i="21"/>
  <c r="L14170" i="21"/>
  <c r="L14169" i="21"/>
  <c r="L14168" i="21"/>
  <c r="L14167" i="21"/>
  <c r="L14166" i="21"/>
  <c r="L14165" i="21"/>
  <c r="L14164" i="21"/>
  <c r="L14163" i="21"/>
  <c r="L14161" i="21"/>
  <c r="L14160" i="21"/>
  <c r="L14159" i="21"/>
  <c r="L14158" i="21"/>
  <c r="L14157" i="21"/>
  <c r="L14156" i="21"/>
  <c r="L14155" i="21"/>
  <c r="L14154" i="21"/>
  <c r="L14153" i="21"/>
  <c r="L14151" i="21"/>
  <c r="L14150" i="21"/>
  <c r="L14149" i="21"/>
  <c r="L14148" i="21"/>
  <c r="L14147" i="21"/>
  <c r="L14146" i="21"/>
  <c r="L14145" i="21"/>
  <c r="L14144" i="21"/>
  <c r="L14143" i="21"/>
  <c r="L14141" i="21"/>
  <c r="L14140" i="21"/>
  <c r="L14139" i="21"/>
  <c r="L14138" i="21"/>
  <c r="L14137" i="21"/>
  <c r="L14136" i="21"/>
  <c r="L14135" i="21"/>
  <c r="L14134" i="21"/>
  <c r="L14133" i="21"/>
  <c r="L14131" i="21"/>
  <c r="L14130" i="21"/>
  <c r="L14129" i="21"/>
  <c r="L14128" i="21"/>
  <c r="L14127" i="21"/>
  <c r="L14126" i="21"/>
  <c r="L14125" i="21"/>
  <c r="L14124" i="21"/>
  <c r="L14123" i="21"/>
  <c r="L14121" i="21"/>
  <c r="L14120" i="21"/>
  <c r="L14119" i="21"/>
  <c r="L14118" i="21"/>
  <c r="L14117" i="21"/>
  <c r="L14116" i="21"/>
  <c r="L14115" i="21"/>
  <c r="L14114" i="21"/>
  <c r="L14113" i="21"/>
  <c r="L14111" i="21"/>
  <c r="L14110" i="21"/>
  <c r="L14109" i="21"/>
  <c r="L14108" i="21"/>
  <c r="L14107" i="21"/>
  <c r="L14106" i="21"/>
  <c r="L14105" i="21"/>
  <c r="L14104" i="21"/>
  <c r="L14103" i="21"/>
  <c r="L14101" i="21"/>
  <c r="L14100" i="21"/>
  <c r="L14099" i="21"/>
  <c r="L14098" i="21"/>
  <c r="L14097" i="21"/>
  <c r="L14096" i="21"/>
  <c r="L14095" i="21"/>
  <c r="L14094" i="21"/>
  <c r="L14078" i="21" l="1"/>
  <c r="L14077" i="21"/>
  <c r="L14076" i="21"/>
  <c r="L14075" i="21"/>
  <c r="L14074" i="21"/>
  <c r="L14073" i="21"/>
  <c r="L14072" i="21"/>
  <c r="L14071" i="21"/>
  <c r="L14070" i="21"/>
  <c r="L14068" i="21"/>
  <c r="L14067" i="21"/>
  <c r="L14066" i="21"/>
  <c r="L14065" i="21"/>
  <c r="L14064" i="21"/>
  <c r="L14063" i="21"/>
  <c r="L14062" i="21"/>
  <c r="L14061" i="21"/>
  <c r="L14060" i="21"/>
  <c r="L14058" i="21"/>
  <c r="L14057" i="21"/>
  <c r="L14056" i="21"/>
  <c r="L14055" i="21"/>
  <c r="L14054" i="21"/>
  <c r="L14053" i="21"/>
  <c r="L14052" i="21"/>
  <c r="L14051" i="21"/>
  <c r="L14050" i="21"/>
  <c r="L14048" i="21"/>
  <c r="L14047" i="21"/>
  <c r="L14046" i="21"/>
  <c r="L14045" i="21"/>
  <c r="L14044" i="21"/>
  <c r="L14043" i="21"/>
  <c r="L14042" i="21"/>
  <c r="L14041" i="21"/>
  <c r="L14040" i="21"/>
  <c r="L14038" i="21"/>
  <c r="L14037" i="21"/>
  <c r="L14036" i="21"/>
  <c r="L14035" i="21"/>
  <c r="L14034" i="21"/>
  <c r="L14033" i="21"/>
  <c r="L14032" i="21"/>
  <c r="L14031" i="21"/>
  <c r="L14030" i="21"/>
  <c r="L14028" i="21"/>
  <c r="L14027" i="21"/>
  <c r="L14026" i="21"/>
  <c r="L14025" i="21"/>
  <c r="L14024" i="21"/>
  <c r="L14023" i="21"/>
  <c r="L14022" i="21"/>
  <c r="L14021" i="21"/>
  <c r="L14020" i="21"/>
  <c r="L14018" i="21"/>
  <c r="L14017" i="21"/>
  <c r="L14016" i="21"/>
  <c r="L14015" i="21"/>
  <c r="L14014" i="21"/>
  <c r="L14013" i="21"/>
  <c r="L14012" i="21"/>
  <c r="L14011" i="21"/>
  <c r="L14010" i="21"/>
  <c r="L14008" i="21"/>
  <c r="L14007" i="21"/>
  <c r="L14006" i="21"/>
  <c r="L14005" i="21"/>
  <c r="L14004" i="21"/>
  <c r="L14003" i="21"/>
  <c r="L14002" i="21"/>
  <c r="L14001" i="21"/>
  <c r="L14000" i="21"/>
  <c r="L13998" i="21"/>
  <c r="L13997" i="21"/>
  <c r="L13996" i="21"/>
  <c r="L13995" i="21"/>
  <c r="L13994" i="21"/>
  <c r="L13993" i="21"/>
  <c r="L13992" i="21"/>
  <c r="L13991" i="21"/>
  <c r="L13975" i="21"/>
  <c r="L13974" i="21"/>
  <c r="L13973" i="21"/>
  <c r="L13972" i="21"/>
  <c r="L13971" i="21"/>
  <c r="L13970" i="21"/>
  <c r="L13969" i="21"/>
  <c r="L13968" i="21"/>
  <c r="L13967" i="21"/>
  <c r="L13965" i="21"/>
  <c r="L13964" i="21"/>
  <c r="L13963" i="21"/>
  <c r="L13962" i="21"/>
  <c r="L13961" i="21"/>
  <c r="L13960" i="21"/>
  <c r="L13959" i="21"/>
  <c r="L13958" i="21"/>
  <c r="L13957" i="21"/>
  <c r="L13955" i="21"/>
  <c r="L13954" i="21"/>
  <c r="L13953" i="21"/>
  <c r="L13952" i="21"/>
  <c r="L13951" i="21"/>
  <c r="L13950" i="21"/>
  <c r="L13949" i="21"/>
  <c r="L13948" i="21"/>
  <c r="L13947" i="21"/>
  <c r="L13945" i="21"/>
  <c r="L13944" i="21"/>
  <c r="L13943" i="21"/>
  <c r="L13942" i="21"/>
  <c r="L13941" i="21"/>
  <c r="L13940" i="21"/>
  <c r="L13939" i="21"/>
  <c r="L13938" i="21"/>
  <c r="L13937" i="21"/>
  <c r="L13935" i="21"/>
  <c r="L13934" i="21"/>
  <c r="L13933" i="21"/>
  <c r="L13932" i="21"/>
  <c r="L13931" i="21"/>
  <c r="L13930" i="21"/>
  <c r="L13929" i="21"/>
  <c r="L13928" i="21"/>
  <c r="L13927" i="21"/>
  <c r="L13925" i="21"/>
  <c r="L13924" i="21"/>
  <c r="L13923" i="21"/>
  <c r="L13922" i="21"/>
  <c r="L13921" i="21"/>
  <c r="L13920" i="21"/>
  <c r="L13919" i="21"/>
  <c r="L13918" i="21"/>
  <c r="L13917" i="21"/>
  <c r="L13915" i="21"/>
  <c r="L13914" i="21"/>
  <c r="L13913" i="21"/>
  <c r="L13912" i="21"/>
  <c r="L13911" i="21"/>
  <c r="L13910" i="21"/>
  <c r="L13909" i="21"/>
  <c r="L13908" i="21"/>
  <c r="L13907" i="21"/>
  <c r="L13905" i="21"/>
  <c r="L13904" i="21"/>
  <c r="L13903" i="21"/>
  <c r="L13902" i="21"/>
  <c r="L13901" i="21"/>
  <c r="L13900" i="21"/>
  <c r="L13899" i="21"/>
  <c r="L13898" i="21"/>
  <c r="L13897" i="21"/>
  <c r="L13895" i="21"/>
  <c r="L13894" i="21"/>
  <c r="L13893" i="21"/>
  <c r="L13892" i="21"/>
  <c r="L13891" i="21"/>
  <c r="L13890" i="21"/>
  <c r="L13889" i="21"/>
  <c r="L13888" i="21"/>
  <c r="L13872" i="21" l="1"/>
  <c r="L13871" i="21"/>
  <c r="L13870" i="21"/>
  <c r="L13869" i="21"/>
  <c r="L13868" i="21"/>
  <c r="L13867" i="21"/>
  <c r="L13866" i="21"/>
  <c r="L13865" i="21"/>
  <c r="L13864" i="21"/>
  <c r="L13862" i="21"/>
  <c r="L13861" i="21"/>
  <c r="L13860" i="21"/>
  <c r="L13859" i="21"/>
  <c r="L13858" i="21"/>
  <c r="L13857" i="21"/>
  <c r="L13856" i="21"/>
  <c r="L13855" i="21"/>
  <c r="L13854" i="21"/>
  <c r="L13852" i="21"/>
  <c r="L13851" i="21"/>
  <c r="L13850" i="21"/>
  <c r="L13849" i="21"/>
  <c r="L13848" i="21"/>
  <c r="L13847" i="21"/>
  <c r="L13846" i="21"/>
  <c r="L13845" i="21"/>
  <c r="L13844" i="21"/>
  <c r="L13842" i="21"/>
  <c r="L13841" i="21"/>
  <c r="L13840" i="21"/>
  <c r="L13839" i="21"/>
  <c r="L13838" i="21"/>
  <c r="L13837" i="21"/>
  <c r="L13836" i="21"/>
  <c r="L13835" i="21"/>
  <c r="L13834" i="21"/>
  <c r="L13832" i="21"/>
  <c r="L13831" i="21"/>
  <c r="L13830" i="21"/>
  <c r="L13829" i="21"/>
  <c r="L13828" i="21"/>
  <c r="L13827" i="21"/>
  <c r="L13826" i="21"/>
  <c r="L13825" i="21"/>
  <c r="L13824" i="21"/>
  <c r="L13822" i="21"/>
  <c r="L13821" i="21"/>
  <c r="L13820" i="21"/>
  <c r="L13819" i="21"/>
  <c r="L13818" i="21"/>
  <c r="L13817" i="21"/>
  <c r="L13816" i="21"/>
  <c r="L13815" i="21"/>
  <c r="L13814" i="21"/>
  <c r="L13812" i="21"/>
  <c r="L13811" i="21"/>
  <c r="L13810" i="21"/>
  <c r="L13809" i="21"/>
  <c r="L13808" i="21"/>
  <c r="L13807" i="21"/>
  <c r="L13806" i="21"/>
  <c r="L13805" i="21"/>
  <c r="L13804" i="21"/>
  <c r="L13802" i="21"/>
  <c r="L13801" i="21"/>
  <c r="L13800" i="21"/>
  <c r="L13799" i="21"/>
  <c r="L13798" i="21"/>
  <c r="L13797" i="21"/>
  <c r="L13796" i="21"/>
  <c r="L13795" i="21"/>
  <c r="L13794" i="21"/>
  <c r="L13792" i="21"/>
  <c r="L13791" i="21"/>
  <c r="L13790" i="21"/>
  <c r="L13789" i="21"/>
  <c r="L13788" i="21"/>
  <c r="L13787" i="21"/>
  <c r="L13786" i="21"/>
  <c r="L13785" i="21"/>
  <c r="L13769" i="21" l="1"/>
  <c r="L13768" i="21"/>
  <c r="L13767" i="21"/>
  <c r="L13766" i="21"/>
  <c r="L13765" i="21"/>
  <c r="L13764" i="21"/>
  <c r="L13763" i="21"/>
  <c r="L13762" i="21"/>
  <c r="L13761" i="21"/>
  <c r="L13759" i="21"/>
  <c r="L13758" i="21"/>
  <c r="L13757" i="21"/>
  <c r="L13756" i="21"/>
  <c r="L13755" i="21"/>
  <c r="L13754" i="21"/>
  <c r="L13753" i="21"/>
  <c r="L13752" i="21"/>
  <c r="L13751" i="21"/>
  <c r="L13749" i="21"/>
  <c r="L13748" i="21"/>
  <c r="L13747" i="21"/>
  <c r="L13746" i="21"/>
  <c r="L13745" i="21"/>
  <c r="L13744" i="21"/>
  <c r="L13743" i="21"/>
  <c r="L13742" i="21"/>
  <c r="L13741" i="21"/>
  <c r="L13739" i="21"/>
  <c r="L13738" i="21"/>
  <c r="L13737" i="21"/>
  <c r="L13736" i="21"/>
  <c r="L13735" i="21"/>
  <c r="L13734" i="21"/>
  <c r="L13733" i="21"/>
  <c r="L13732" i="21"/>
  <c r="L13731" i="21"/>
  <c r="L13729" i="21"/>
  <c r="L13728" i="21"/>
  <c r="L13727" i="21"/>
  <c r="L13726" i="21"/>
  <c r="L13725" i="21"/>
  <c r="L13724" i="21"/>
  <c r="L13723" i="21"/>
  <c r="L13722" i="21"/>
  <c r="L13721" i="21"/>
  <c r="L13719" i="21"/>
  <c r="L13718" i="21"/>
  <c r="L13717" i="21"/>
  <c r="L13716" i="21"/>
  <c r="L13715" i="21"/>
  <c r="L13714" i="21"/>
  <c r="L13713" i="21"/>
  <c r="L13712" i="21"/>
  <c r="L13711" i="21"/>
  <c r="L13709" i="21"/>
  <c r="L13708" i="21"/>
  <c r="L13707" i="21"/>
  <c r="L13706" i="21"/>
  <c r="L13705" i="21"/>
  <c r="L13704" i="21"/>
  <c r="L13703" i="21"/>
  <c r="L13702" i="21"/>
  <c r="L13701" i="21"/>
  <c r="L13699" i="21"/>
  <c r="L13698" i="21"/>
  <c r="L13697" i="21"/>
  <c r="L13696" i="21"/>
  <c r="L13695" i="21"/>
  <c r="L13694" i="21"/>
  <c r="L13693" i="21"/>
  <c r="L13692" i="21"/>
  <c r="L13691" i="21"/>
  <c r="L13689" i="21"/>
  <c r="L13688" i="21"/>
  <c r="L13687" i="21"/>
  <c r="L13686" i="21"/>
  <c r="L13685" i="21"/>
  <c r="L13684" i="21"/>
  <c r="L13683" i="21"/>
  <c r="L13682" i="21"/>
  <c r="L13666" i="21" l="1"/>
  <c r="L13665" i="21"/>
  <c r="L13664" i="21"/>
  <c r="L13663" i="21"/>
  <c r="L13662" i="21"/>
  <c r="L13661" i="21"/>
  <c r="L13660" i="21"/>
  <c r="L13659" i="21"/>
  <c r="L13658" i="21"/>
  <c r="L13656" i="21"/>
  <c r="L13655" i="21"/>
  <c r="L13654" i="21"/>
  <c r="L13653" i="21"/>
  <c r="L13652" i="21"/>
  <c r="L13651" i="21"/>
  <c r="L13650" i="21"/>
  <c r="L13649" i="21"/>
  <c r="L13648" i="21"/>
  <c r="L13646" i="21"/>
  <c r="L13645" i="21"/>
  <c r="L13644" i="21"/>
  <c r="L13643" i="21"/>
  <c r="L13642" i="21"/>
  <c r="L13641" i="21"/>
  <c r="L13640" i="21"/>
  <c r="L13639" i="21"/>
  <c r="L13638" i="21"/>
  <c r="L13636" i="21"/>
  <c r="L13635" i="21"/>
  <c r="L13634" i="21"/>
  <c r="L13633" i="21"/>
  <c r="L13632" i="21"/>
  <c r="L13631" i="21"/>
  <c r="L13630" i="21"/>
  <c r="L13629" i="21"/>
  <c r="L13628" i="21"/>
  <c r="L13626" i="21"/>
  <c r="L13625" i="21"/>
  <c r="L13624" i="21"/>
  <c r="L13623" i="21"/>
  <c r="L13622" i="21"/>
  <c r="L13621" i="21"/>
  <c r="L13620" i="21"/>
  <c r="L13619" i="21"/>
  <c r="L13618" i="21"/>
  <c r="L13616" i="21"/>
  <c r="L13615" i="21"/>
  <c r="L13614" i="21"/>
  <c r="L13613" i="21"/>
  <c r="L13612" i="21"/>
  <c r="L13611" i="21"/>
  <c r="L13610" i="21"/>
  <c r="L13609" i="21"/>
  <c r="L13608" i="21"/>
  <c r="L13606" i="21"/>
  <c r="L13605" i="21"/>
  <c r="L13604" i="21"/>
  <c r="L13603" i="21"/>
  <c r="L13602" i="21"/>
  <c r="L13601" i="21"/>
  <c r="L13600" i="21"/>
  <c r="L13599" i="21"/>
  <c r="L13598" i="21"/>
  <c r="L13596" i="21"/>
  <c r="L13595" i="21"/>
  <c r="L13594" i="21"/>
  <c r="L13593" i="21"/>
  <c r="L13592" i="21"/>
  <c r="L13591" i="21"/>
  <c r="L13590" i="21"/>
  <c r="L13589" i="21"/>
  <c r="L13588" i="21"/>
  <c r="L13586" i="21"/>
  <c r="L13585" i="21"/>
  <c r="L13584" i="21"/>
  <c r="L13583" i="21"/>
  <c r="L13582" i="21"/>
  <c r="L13581" i="21"/>
  <c r="L13580" i="21"/>
  <c r="L13579" i="21"/>
  <c r="L13563" i="21"/>
  <c r="L13562" i="21"/>
  <c r="L13561" i="21"/>
  <c r="L13560" i="21"/>
  <c r="L13559" i="21"/>
  <c r="L13558" i="21"/>
  <c r="L13557" i="21"/>
  <c r="L13556" i="21"/>
  <c r="L13555" i="21"/>
  <c r="L13553" i="21"/>
  <c r="L13552" i="21"/>
  <c r="L13551" i="21"/>
  <c r="L13550" i="21"/>
  <c r="L13549" i="21"/>
  <c r="L13548" i="21"/>
  <c r="L13547" i="21"/>
  <c r="L13546" i="21"/>
  <c r="L13545" i="21"/>
  <c r="L13543" i="21"/>
  <c r="L13542" i="21"/>
  <c r="L13541" i="21"/>
  <c r="L13540" i="21"/>
  <c r="L13539" i="21"/>
  <c r="L13538" i="21"/>
  <c r="L13537" i="21"/>
  <c r="L13536" i="21"/>
  <c r="L13535" i="21"/>
  <c r="L13533" i="21"/>
  <c r="L13532" i="21"/>
  <c r="L13531" i="21"/>
  <c r="L13530" i="21"/>
  <c r="L13529" i="21"/>
  <c r="L13528" i="21"/>
  <c r="L13527" i="21"/>
  <c r="L13526" i="21"/>
  <c r="L13525" i="21"/>
  <c r="L13523" i="21"/>
  <c r="L13522" i="21"/>
  <c r="L13521" i="21"/>
  <c r="L13520" i="21"/>
  <c r="L13519" i="21"/>
  <c r="L13518" i="21"/>
  <c r="L13517" i="21"/>
  <c r="L13516" i="21"/>
  <c r="L13515" i="21"/>
  <c r="L13513" i="21"/>
  <c r="L13512" i="21"/>
  <c r="L13511" i="21"/>
  <c r="L13510" i="21"/>
  <c r="L13509" i="21"/>
  <c r="L13508" i="21"/>
  <c r="L13507" i="21"/>
  <c r="L13506" i="21"/>
  <c r="L13505" i="21"/>
  <c r="L13503" i="21"/>
  <c r="L13502" i="21"/>
  <c r="L13501" i="21"/>
  <c r="L13500" i="21"/>
  <c r="L13499" i="21"/>
  <c r="L13498" i="21"/>
  <c r="L13497" i="21"/>
  <c r="L13496" i="21"/>
  <c r="L13495" i="21"/>
  <c r="L13493" i="21"/>
  <c r="L13492" i="21"/>
  <c r="L13491" i="21"/>
  <c r="L13490" i="21"/>
  <c r="L13489" i="21"/>
  <c r="L13488" i="21"/>
  <c r="L13487" i="21"/>
  <c r="L13486" i="21"/>
  <c r="L13485" i="21"/>
  <c r="L13483" i="21"/>
  <c r="L13482" i="21"/>
  <c r="L13481" i="21"/>
  <c r="L13480" i="21"/>
  <c r="L13479" i="21"/>
  <c r="L13478" i="21"/>
  <c r="L13477" i="21"/>
  <c r="L13476" i="21"/>
  <c r="L13460" i="21"/>
  <c r="L13459" i="21"/>
  <c r="L13458" i="21"/>
  <c r="L13457" i="21"/>
  <c r="L13456" i="21"/>
  <c r="L13455" i="21"/>
  <c r="L13454" i="21"/>
  <c r="L13453" i="21"/>
  <c r="L13452" i="21"/>
  <c r="L13450" i="21"/>
  <c r="L13449" i="21"/>
  <c r="L13448" i="21"/>
  <c r="L13447" i="21"/>
  <c r="L13446" i="21"/>
  <c r="L13445" i="21"/>
  <c r="L13444" i="21"/>
  <c r="L13443" i="21"/>
  <c r="L13442" i="21"/>
  <c r="L13440" i="21"/>
  <c r="L13439" i="21"/>
  <c r="L13438" i="21"/>
  <c r="L13437" i="21"/>
  <c r="L13436" i="21"/>
  <c r="L13435" i="21"/>
  <c r="L13434" i="21"/>
  <c r="L13433" i="21"/>
  <c r="L13432" i="21"/>
  <c r="L13430" i="21"/>
  <c r="L13429" i="21"/>
  <c r="L13428" i="21"/>
  <c r="L13427" i="21"/>
  <c r="L13426" i="21"/>
  <c r="L13425" i="21"/>
  <c r="L13424" i="21"/>
  <c r="L13423" i="21"/>
  <c r="L13422" i="21"/>
  <c r="L13420" i="21"/>
  <c r="L13419" i="21"/>
  <c r="L13418" i="21"/>
  <c r="L13417" i="21"/>
  <c r="L13416" i="21"/>
  <c r="L13415" i="21"/>
  <c r="L13414" i="21"/>
  <c r="L13413" i="21"/>
  <c r="L13412" i="21"/>
  <c r="L13410" i="21"/>
  <c r="L13409" i="21"/>
  <c r="L13408" i="21"/>
  <c r="L13407" i="21"/>
  <c r="L13406" i="21"/>
  <c r="L13405" i="21"/>
  <c r="L13404" i="21"/>
  <c r="L13403" i="21"/>
  <c r="L13402" i="21"/>
  <c r="L13400" i="21"/>
  <c r="L13399" i="21"/>
  <c r="L13398" i="21"/>
  <c r="L13397" i="21"/>
  <c r="L13396" i="21"/>
  <c r="L13395" i="21"/>
  <c r="L13394" i="21"/>
  <c r="L13393" i="21"/>
  <c r="L13392" i="21"/>
  <c r="L13390" i="21"/>
  <c r="L13389" i="21"/>
  <c r="L13388" i="21"/>
  <c r="L13387" i="21"/>
  <c r="L13386" i="21"/>
  <c r="L13385" i="21"/>
  <c r="L13384" i="21"/>
  <c r="L13383" i="21"/>
  <c r="L13382" i="21"/>
  <c r="L13380" i="21"/>
  <c r="L13379" i="21"/>
  <c r="L13378" i="21"/>
  <c r="L13377" i="21"/>
  <c r="L13376" i="21"/>
  <c r="L13375" i="21"/>
  <c r="L13374" i="21"/>
  <c r="L13373" i="21"/>
  <c r="L13357" i="21" l="1"/>
  <c r="L13356" i="21"/>
  <c r="L13355" i="21"/>
  <c r="L13354" i="21"/>
  <c r="L13353" i="21"/>
  <c r="L13352" i="21"/>
  <c r="L13351" i="21"/>
  <c r="L13350" i="21"/>
  <c r="L13349" i="21"/>
  <c r="L13347" i="21"/>
  <c r="L13346" i="21"/>
  <c r="L13345" i="21"/>
  <c r="L13344" i="21"/>
  <c r="L13343" i="21"/>
  <c r="L13342" i="21"/>
  <c r="L13341" i="21"/>
  <c r="L13340" i="21"/>
  <c r="L13339" i="21"/>
  <c r="L13337" i="21"/>
  <c r="L13336" i="21"/>
  <c r="L13335" i="21"/>
  <c r="L13334" i="21"/>
  <c r="L13333" i="21"/>
  <c r="L13332" i="21"/>
  <c r="L13331" i="21"/>
  <c r="L13330" i="21"/>
  <c r="L13329" i="21"/>
  <c r="L13327" i="21"/>
  <c r="L13326" i="21"/>
  <c r="L13325" i="21"/>
  <c r="L13324" i="21"/>
  <c r="L13323" i="21"/>
  <c r="L13322" i="21"/>
  <c r="L13321" i="21"/>
  <c r="L13320" i="21"/>
  <c r="L13319" i="21"/>
  <c r="L13317" i="21"/>
  <c r="L13316" i="21"/>
  <c r="L13315" i="21"/>
  <c r="L13314" i="21"/>
  <c r="L13313" i="21"/>
  <c r="L13312" i="21"/>
  <c r="L13311" i="21"/>
  <c r="L13310" i="21"/>
  <c r="L13309" i="21"/>
  <c r="L13307" i="21"/>
  <c r="L13306" i="21"/>
  <c r="L13305" i="21"/>
  <c r="L13304" i="21"/>
  <c r="L13303" i="21"/>
  <c r="L13302" i="21"/>
  <c r="L13301" i="21"/>
  <c r="L13300" i="21"/>
  <c r="L13299" i="21"/>
  <c r="L13297" i="21"/>
  <c r="L13296" i="21"/>
  <c r="L13295" i="21"/>
  <c r="L13294" i="21"/>
  <c r="L13293" i="21"/>
  <c r="L13292" i="21"/>
  <c r="L13291" i="21"/>
  <c r="L13290" i="21"/>
  <c r="L13289" i="21"/>
  <c r="L13287" i="21"/>
  <c r="L13286" i="21"/>
  <c r="L13285" i="21"/>
  <c r="L13284" i="21"/>
  <c r="L13283" i="21"/>
  <c r="L13282" i="21"/>
  <c r="L13281" i="21"/>
  <c r="L13280" i="21"/>
  <c r="L13279" i="21"/>
  <c r="L13277" i="21"/>
  <c r="L13276" i="21"/>
  <c r="L13275" i="21"/>
  <c r="L13274" i="21"/>
  <c r="L13273" i="21"/>
  <c r="L13272" i="21"/>
  <c r="L13271" i="21"/>
  <c r="L13270" i="21"/>
  <c r="L13254" i="21" l="1"/>
  <c r="L13253" i="21"/>
  <c r="L13252" i="21"/>
  <c r="L13251" i="21"/>
  <c r="L13250" i="21"/>
  <c r="L13249" i="21"/>
  <c r="L13248" i="21"/>
  <c r="L13247" i="21"/>
  <c r="L13246" i="21"/>
  <c r="L13244" i="21"/>
  <c r="L13243" i="21"/>
  <c r="L13242" i="21"/>
  <c r="L13241" i="21"/>
  <c r="L13240" i="21"/>
  <c r="L13239" i="21"/>
  <c r="L13238" i="21"/>
  <c r="L13237" i="21"/>
  <c r="L13236" i="21"/>
  <c r="L13234" i="21"/>
  <c r="L13233" i="21"/>
  <c r="L13232" i="21"/>
  <c r="L13231" i="21"/>
  <c r="L13230" i="21"/>
  <c r="L13229" i="21"/>
  <c r="L13228" i="21"/>
  <c r="L13227" i="21"/>
  <c r="L13226" i="21"/>
  <c r="L13224" i="21"/>
  <c r="L13223" i="21"/>
  <c r="L13222" i="21"/>
  <c r="L13221" i="21"/>
  <c r="L13220" i="21"/>
  <c r="L13219" i="21"/>
  <c r="L13218" i="21"/>
  <c r="L13217" i="21"/>
  <c r="L13216" i="21"/>
  <c r="L13214" i="21"/>
  <c r="L13213" i="21"/>
  <c r="L13212" i="21"/>
  <c r="L13211" i="21"/>
  <c r="L13210" i="21"/>
  <c r="L13209" i="21"/>
  <c r="L13208" i="21"/>
  <c r="L13207" i="21"/>
  <c r="L13206" i="21"/>
  <c r="L13204" i="21"/>
  <c r="L13203" i="21"/>
  <c r="L13202" i="21"/>
  <c r="L13201" i="21"/>
  <c r="L13200" i="21"/>
  <c r="L13199" i="21"/>
  <c r="L13198" i="21"/>
  <c r="L13197" i="21"/>
  <c r="L13196" i="21"/>
  <c r="L13194" i="21"/>
  <c r="L13193" i="21"/>
  <c r="L13192" i="21"/>
  <c r="L13191" i="21"/>
  <c r="L13190" i="21"/>
  <c r="L13189" i="21"/>
  <c r="L13188" i="21"/>
  <c r="L13187" i="21"/>
  <c r="L13186" i="21"/>
  <c r="L13184" i="21"/>
  <c r="L13183" i="21"/>
  <c r="L13182" i="21"/>
  <c r="L13181" i="21"/>
  <c r="L13180" i="21"/>
  <c r="L13179" i="21"/>
  <c r="L13178" i="21"/>
  <c r="L13177" i="21"/>
  <c r="L13176" i="21"/>
  <c r="L13174" i="21"/>
  <c r="L13173" i="21"/>
  <c r="L13172" i="21"/>
  <c r="L13171" i="21"/>
  <c r="L13170" i="21"/>
  <c r="L13169" i="21"/>
  <c r="L13168" i="21"/>
  <c r="L13167" i="21"/>
  <c r="L13151" i="21"/>
  <c r="L13150" i="21"/>
  <c r="L13149" i="21"/>
  <c r="L13148" i="21"/>
  <c r="L13147" i="21"/>
  <c r="L13146" i="21"/>
  <c r="L13145" i="21"/>
  <c r="L13144" i="21"/>
  <c r="L13143" i="21"/>
  <c r="L13141" i="21"/>
  <c r="L13140" i="21"/>
  <c r="L13139" i="21"/>
  <c r="L13138" i="21"/>
  <c r="L13137" i="21"/>
  <c r="L13136" i="21"/>
  <c r="L13135" i="21"/>
  <c r="L13134" i="21"/>
  <c r="L13133" i="21"/>
  <c r="L13131" i="21"/>
  <c r="L13130" i="21"/>
  <c r="L13129" i="21"/>
  <c r="L13128" i="21"/>
  <c r="L13127" i="21"/>
  <c r="L13126" i="21"/>
  <c r="L13125" i="21"/>
  <c r="L13124" i="21"/>
  <c r="L13123" i="21"/>
  <c r="L13121" i="21"/>
  <c r="L13120" i="21"/>
  <c r="L13119" i="21"/>
  <c r="L13118" i="21"/>
  <c r="L13117" i="21"/>
  <c r="L13116" i="21"/>
  <c r="L13115" i="21"/>
  <c r="L13114" i="21"/>
  <c r="L13113" i="21"/>
  <c r="L13111" i="21"/>
  <c r="L13110" i="21"/>
  <c r="L13109" i="21"/>
  <c r="L13108" i="21"/>
  <c r="L13107" i="21"/>
  <c r="L13106" i="21"/>
  <c r="L13105" i="21"/>
  <c r="L13104" i="21"/>
  <c r="L13103" i="21"/>
  <c r="L13101" i="21"/>
  <c r="L13100" i="21"/>
  <c r="L13099" i="21"/>
  <c r="L13098" i="21"/>
  <c r="L13097" i="21"/>
  <c r="L13096" i="21"/>
  <c r="L13095" i="21"/>
  <c r="L13094" i="21"/>
  <c r="L13093" i="21"/>
  <c r="L13091" i="21"/>
  <c r="L13090" i="21"/>
  <c r="L13089" i="21"/>
  <c r="L13088" i="21"/>
  <c r="L13087" i="21"/>
  <c r="L13086" i="21"/>
  <c r="L13085" i="21"/>
  <c r="L13084" i="21"/>
  <c r="L13083" i="21"/>
  <c r="L13081" i="21"/>
  <c r="L13080" i="21"/>
  <c r="L13079" i="21"/>
  <c r="L13078" i="21"/>
  <c r="L13077" i="21"/>
  <c r="L13076" i="21"/>
  <c r="L13075" i="21"/>
  <c r="L13074" i="21"/>
  <c r="L13073" i="21"/>
  <c r="L13071" i="21"/>
  <c r="L13070" i="21"/>
  <c r="L13069" i="21"/>
  <c r="L13068" i="21"/>
  <c r="L13067" i="21"/>
  <c r="L13066" i="21"/>
  <c r="L13065" i="21"/>
  <c r="L13064" i="21"/>
  <c r="L13048" i="21"/>
  <c r="L13047" i="21"/>
  <c r="L13046" i="21"/>
  <c r="L13045" i="21"/>
  <c r="L13044" i="21"/>
  <c r="L13043" i="21"/>
  <c r="L13042" i="21"/>
  <c r="L13041" i="21"/>
  <c r="L13040" i="21"/>
  <c r="L13038" i="21"/>
  <c r="L13037" i="21"/>
  <c r="L13036" i="21"/>
  <c r="L13035" i="21"/>
  <c r="L13034" i="21"/>
  <c r="L13033" i="21"/>
  <c r="L13032" i="21"/>
  <c r="L13031" i="21"/>
  <c r="L13030" i="21"/>
  <c r="L13028" i="21"/>
  <c r="L13027" i="21"/>
  <c r="L13026" i="21"/>
  <c r="L13025" i="21"/>
  <c r="L13024" i="21"/>
  <c r="L13023" i="21"/>
  <c r="L13022" i="21"/>
  <c r="L13021" i="21"/>
  <c r="L13020" i="21"/>
  <c r="L13018" i="21"/>
  <c r="L13017" i="21"/>
  <c r="L13016" i="21"/>
  <c r="L13015" i="21"/>
  <c r="L13014" i="21"/>
  <c r="L13013" i="21"/>
  <c r="L13012" i="21"/>
  <c r="L13011" i="21"/>
  <c r="L13010" i="21"/>
  <c r="L13008" i="21"/>
  <c r="L13007" i="21"/>
  <c r="L13006" i="21"/>
  <c r="L13005" i="21"/>
  <c r="L13004" i="21"/>
  <c r="L13003" i="21"/>
  <c r="L13002" i="21"/>
  <c r="L13001" i="21"/>
  <c r="L13000" i="21"/>
  <c r="L12998" i="21"/>
  <c r="L12997" i="21"/>
  <c r="L12996" i="21"/>
  <c r="L12995" i="21"/>
  <c r="L12994" i="21"/>
  <c r="L12993" i="21"/>
  <c r="L12992" i="21"/>
  <c r="L12991" i="21"/>
  <c r="L12990" i="21"/>
  <c r="L12988" i="21"/>
  <c r="L12987" i="21"/>
  <c r="L12986" i="21"/>
  <c r="L12985" i="21"/>
  <c r="L12984" i="21"/>
  <c r="L12983" i="21"/>
  <c r="L12982" i="21"/>
  <c r="L12981" i="21"/>
  <c r="L12980" i="21"/>
  <c r="L12978" i="21"/>
  <c r="L12977" i="21"/>
  <c r="L12976" i="21"/>
  <c r="L12975" i="21"/>
  <c r="L12974" i="21"/>
  <c r="L12973" i="21"/>
  <c r="L12972" i="21"/>
  <c r="L12971" i="21"/>
  <c r="L12970" i="21"/>
  <c r="L12968" i="21"/>
  <c r="L12967" i="21"/>
  <c r="L12966" i="21"/>
  <c r="L12965" i="21"/>
  <c r="L12964" i="21"/>
  <c r="L12963" i="21"/>
  <c r="L12962" i="21"/>
  <c r="L12961" i="21"/>
  <c r="L12945" i="21"/>
  <c r="L12944" i="21"/>
  <c r="L12943" i="21"/>
  <c r="L12942" i="21"/>
  <c r="L12941" i="21"/>
  <c r="L12940" i="21"/>
  <c r="L12939" i="21"/>
  <c r="L12938" i="21"/>
  <c r="L12937" i="21"/>
  <c r="L12935" i="21"/>
  <c r="L12934" i="21"/>
  <c r="L12933" i="21"/>
  <c r="L12932" i="21"/>
  <c r="L12931" i="21"/>
  <c r="L12930" i="21"/>
  <c r="L12929" i="21"/>
  <c r="L12928" i="21"/>
  <c r="L12927" i="21"/>
  <c r="L12925" i="21"/>
  <c r="L12924" i="21"/>
  <c r="L12923" i="21"/>
  <c r="L12922" i="21"/>
  <c r="L12921" i="21"/>
  <c r="L12920" i="21"/>
  <c r="L12919" i="21"/>
  <c r="L12918" i="21"/>
  <c r="L12917" i="21"/>
  <c r="L12915" i="21"/>
  <c r="L12914" i="21"/>
  <c r="L12913" i="21"/>
  <c r="L12912" i="21"/>
  <c r="L12911" i="21"/>
  <c r="L12910" i="21"/>
  <c r="L12909" i="21"/>
  <c r="L12908" i="21"/>
  <c r="L12907" i="21"/>
  <c r="L12905" i="21"/>
  <c r="L12904" i="21"/>
  <c r="L12903" i="21"/>
  <c r="L12902" i="21"/>
  <c r="L12901" i="21"/>
  <c r="L12900" i="21"/>
  <c r="L12899" i="21"/>
  <c r="L12898" i="21"/>
  <c r="L12897" i="21"/>
  <c r="L12895" i="21"/>
  <c r="L12894" i="21"/>
  <c r="L12893" i="21"/>
  <c r="L12892" i="21"/>
  <c r="L12891" i="21"/>
  <c r="L12890" i="21"/>
  <c r="L12889" i="21"/>
  <c r="L12888" i="21"/>
  <c r="L12887" i="21"/>
  <c r="L12885" i="21"/>
  <c r="L12884" i="21"/>
  <c r="L12883" i="21"/>
  <c r="L12882" i="21"/>
  <c r="L12881" i="21"/>
  <c r="L12880" i="21"/>
  <c r="L12879" i="21"/>
  <c r="L12878" i="21"/>
  <c r="L12877" i="21"/>
  <c r="L12875" i="21"/>
  <c r="L12874" i="21"/>
  <c r="L12873" i="21"/>
  <c r="L12872" i="21"/>
  <c r="L12871" i="21"/>
  <c r="L12870" i="21"/>
  <c r="L12869" i="21"/>
  <c r="L12868" i="21"/>
  <c r="L12867" i="21"/>
  <c r="L12865" i="21"/>
  <c r="L12864" i="21"/>
  <c r="L12863" i="21"/>
  <c r="L12862" i="21"/>
  <c r="L12861" i="21"/>
  <c r="L12860" i="21"/>
  <c r="L12859" i="21"/>
  <c r="L12858" i="21"/>
  <c r="L12842" i="21"/>
  <c r="L12841" i="21"/>
  <c r="L12840" i="21"/>
  <c r="L12839" i="21"/>
  <c r="L12838" i="21"/>
  <c r="L12837" i="21"/>
  <c r="L12836" i="21"/>
  <c r="L12835" i="21"/>
  <c r="L12834" i="21"/>
  <c r="L12832" i="21"/>
  <c r="L12831" i="21"/>
  <c r="L12830" i="21"/>
  <c r="L12829" i="21"/>
  <c r="L12828" i="21"/>
  <c r="L12827" i="21"/>
  <c r="L12826" i="21"/>
  <c r="L12825" i="21"/>
  <c r="L12824" i="21"/>
  <c r="L12822" i="21"/>
  <c r="L12821" i="21"/>
  <c r="L12820" i="21"/>
  <c r="L12819" i="21"/>
  <c r="L12818" i="21"/>
  <c r="L12817" i="21"/>
  <c r="L12816" i="21"/>
  <c r="L12815" i="21"/>
  <c r="L12814" i="21"/>
  <c r="L12812" i="21"/>
  <c r="L12811" i="21"/>
  <c r="L12810" i="21"/>
  <c r="L12809" i="21"/>
  <c r="L12808" i="21"/>
  <c r="L12807" i="21"/>
  <c r="L12806" i="21"/>
  <c r="L12805" i="21"/>
  <c r="L12804" i="21"/>
  <c r="L12802" i="21"/>
  <c r="L12801" i="21"/>
  <c r="L12800" i="21"/>
  <c r="L12799" i="21"/>
  <c r="L12798" i="21"/>
  <c r="L12797" i="21"/>
  <c r="L12796" i="21"/>
  <c r="L12795" i="21"/>
  <c r="L12794" i="21"/>
  <c r="L12792" i="21"/>
  <c r="L12791" i="21"/>
  <c r="L12790" i="21"/>
  <c r="L12789" i="21"/>
  <c r="L12788" i="21"/>
  <c r="L12787" i="21"/>
  <c r="L12786" i="21"/>
  <c r="L12785" i="21"/>
  <c r="L12784" i="21"/>
  <c r="L12782" i="21"/>
  <c r="L12781" i="21"/>
  <c r="L12780" i="21"/>
  <c r="L12779" i="21"/>
  <c r="L12778" i="21"/>
  <c r="L12777" i="21"/>
  <c r="L12776" i="21"/>
  <c r="L12775" i="21"/>
  <c r="L12774" i="21"/>
  <c r="L12772" i="21"/>
  <c r="L12771" i="21"/>
  <c r="L12770" i="21"/>
  <c r="L12769" i="21"/>
  <c r="L12768" i="21"/>
  <c r="L12767" i="21"/>
  <c r="L12766" i="21"/>
  <c r="L12765" i="21"/>
  <c r="L12764" i="21"/>
  <c r="L12762" i="21"/>
  <c r="L12761" i="21"/>
  <c r="L12760" i="21"/>
  <c r="L12759" i="21"/>
  <c r="L12758" i="21"/>
  <c r="L12757" i="21"/>
  <c r="L12756" i="21"/>
  <c r="L12755" i="21"/>
  <c r="L12738" i="21" l="1"/>
  <c r="L12737" i="21"/>
  <c r="L12736" i="21"/>
  <c r="L12735" i="21"/>
  <c r="L12734" i="21"/>
  <c r="L12733" i="21"/>
  <c r="L12732" i="21"/>
  <c r="L12731" i="21"/>
  <c r="L12730" i="21"/>
  <c r="L12728" i="21"/>
  <c r="L12727" i="21"/>
  <c r="L12726" i="21"/>
  <c r="L12725" i="21"/>
  <c r="L12724" i="21"/>
  <c r="L12723" i="21"/>
  <c r="L12722" i="21"/>
  <c r="L12721" i="21"/>
  <c r="L12720" i="21"/>
  <c r="L12718" i="21"/>
  <c r="L12717" i="21"/>
  <c r="L12716" i="21"/>
  <c r="L12715" i="21"/>
  <c r="L12714" i="21"/>
  <c r="L12713" i="21"/>
  <c r="L12712" i="21"/>
  <c r="L12711" i="21"/>
  <c r="L12710" i="21"/>
  <c r="L12708" i="21"/>
  <c r="L12707" i="21"/>
  <c r="L12706" i="21"/>
  <c r="L12705" i="21"/>
  <c r="L12704" i="21"/>
  <c r="L12703" i="21"/>
  <c r="L12702" i="21"/>
  <c r="L12701" i="21"/>
  <c r="L12700" i="21"/>
  <c r="L12698" i="21"/>
  <c r="L12697" i="21"/>
  <c r="L12696" i="21"/>
  <c r="L12695" i="21"/>
  <c r="L12694" i="21"/>
  <c r="L12693" i="21"/>
  <c r="L12692" i="21"/>
  <c r="L12691" i="21"/>
  <c r="L12690" i="21"/>
  <c r="L12688" i="21"/>
  <c r="L12687" i="21"/>
  <c r="L12686" i="21"/>
  <c r="L12685" i="21"/>
  <c r="L12684" i="21"/>
  <c r="L12683" i="21"/>
  <c r="L12682" i="21"/>
  <c r="L12681" i="21"/>
  <c r="L12680" i="21"/>
  <c r="L12678" i="21"/>
  <c r="L12677" i="21"/>
  <c r="L12676" i="21"/>
  <c r="L12675" i="21"/>
  <c r="L12674" i="21"/>
  <c r="L12673" i="21"/>
  <c r="L12672" i="21"/>
  <c r="L12671" i="21"/>
  <c r="L12670" i="21"/>
  <c r="L12668" i="21"/>
  <c r="L12667" i="21"/>
  <c r="L12666" i="21"/>
  <c r="L12665" i="21"/>
  <c r="L12664" i="21"/>
  <c r="L12663" i="21"/>
  <c r="L12662" i="21"/>
  <c r="L12661" i="21"/>
  <c r="L12660" i="21"/>
  <c r="L12658" i="21"/>
  <c r="L12657" i="21"/>
  <c r="L12656" i="21"/>
  <c r="L12655" i="21"/>
  <c r="L12654" i="21"/>
  <c r="L12653" i="21"/>
  <c r="L12652" i="21"/>
  <c r="L12651" i="21"/>
  <c r="L12634" i="21" l="1"/>
  <c r="L12633" i="21"/>
  <c r="L12632" i="21"/>
  <c r="L12631" i="21"/>
  <c r="L12630" i="21"/>
  <c r="L12629" i="21"/>
  <c r="L12628" i="21"/>
  <c r="L12627" i="21"/>
  <c r="L12626" i="21"/>
  <c r="L12624" i="21"/>
  <c r="L12623" i="21"/>
  <c r="L12622" i="21"/>
  <c r="L12621" i="21"/>
  <c r="L12620" i="21"/>
  <c r="L12619" i="21"/>
  <c r="L12618" i="21"/>
  <c r="L12617" i="21"/>
  <c r="L12616" i="21"/>
  <c r="L12614" i="21"/>
  <c r="L12613" i="21"/>
  <c r="L12612" i="21"/>
  <c r="L12611" i="21"/>
  <c r="L12610" i="21"/>
  <c r="L12609" i="21"/>
  <c r="L12608" i="21"/>
  <c r="L12607" i="21"/>
  <c r="L12606" i="21"/>
  <c r="L12604" i="21"/>
  <c r="L12603" i="21"/>
  <c r="L12602" i="21"/>
  <c r="L12601" i="21"/>
  <c r="L12600" i="21"/>
  <c r="L12599" i="21"/>
  <c r="L12598" i="21"/>
  <c r="L12597" i="21"/>
  <c r="L12596" i="21"/>
  <c r="L12594" i="21"/>
  <c r="L12593" i="21"/>
  <c r="L12592" i="21"/>
  <c r="L12591" i="21"/>
  <c r="L12590" i="21"/>
  <c r="L12589" i="21"/>
  <c r="L12588" i="21"/>
  <c r="L12587" i="21"/>
  <c r="L12586" i="21"/>
  <c r="L12584" i="21"/>
  <c r="L12583" i="21"/>
  <c r="L12582" i="21"/>
  <c r="L12581" i="21"/>
  <c r="L12580" i="21"/>
  <c r="L12579" i="21"/>
  <c r="L12578" i="21"/>
  <c r="L12577" i="21"/>
  <c r="L12576" i="21"/>
  <c r="L12574" i="21"/>
  <c r="L12573" i="21"/>
  <c r="L12572" i="21"/>
  <c r="L12571" i="21"/>
  <c r="L12570" i="21"/>
  <c r="L12569" i="21"/>
  <c r="L12568" i="21"/>
  <c r="L12567" i="21"/>
  <c r="L12566" i="21"/>
  <c r="L12564" i="21"/>
  <c r="L12563" i="21"/>
  <c r="L12562" i="21"/>
  <c r="L12561" i="21"/>
  <c r="L12560" i="21"/>
  <c r="L12559" i="21"/>
  <c r="L12558" i="21"/>
  <c r="L12557" i="21"/>
  <c r="L12556" i="21"/>
  <c r="L12554" i="21"/>
  <c r="L12553" i="21"/>
  <c r="L12552" i="21"/>
  <c r="L12551" i="21"/>
  <c r="L12550" i="21"/>
  <c r="L12549" i="21"/>
  <c r="L12548" i="21"/>
  <c r="L12547" i="21"/>
  <c r="L12531" i="21"/>
  <c r="L12530" i="21"/>
  <c r="L12529" i="21"/>
  <c r="L12528" i="21"/>
  <c r="L12527" i="21"/>
  <c r="L12526" i="21"/>
  <c r="L12525" i="21"/>
  <c r="L12524" i="21"/>
  <c r="L12523" i="21"/>
  <c r="L12521" i="21"/>
  <c r="L12520" i="21"/>
  <c r="L12519" i="21"/>
  <c r="L12518" i="21"/>
  <c r="L12517" i="21"/>
  <c r="L12516" i="21"/>
  <c r="L12515" i="21"/>
  <c r="L12514" i="21"/>
  <c r="L12513" i="21"/>
  <c r="L12511" i="21"/>
  <c r="L12510" i="21"/>
  <c r="L12509" i="21"/>
  <c r="L12508" i="21"/>
  <c r="L12507" i="21"/>
  <c r="L12506" i="21"/>
  <c r="L12505" i="21"/>
  <c r="L12504" i="21"/>
  <c r="L12503" i="21"/>
  <c r="L12501" i="21"/>
  <c r="L12500" i="21"/>
  <c r="L12499" i="21"/>
  <c r="L12498" i="21"/>
  <c r="L12497" i="21"/>
  <c r="L12496" i="21"/>
  <c r="L12495" i="21"/>
  <c r="L12494" i="21"/>
  <c r="L12493" i="21"/>
  <c r="L12491" i="21"/>
  <c r="L12490" i="21"/>
  <c r="L12489" i="21"/>
  <c r="L12488" i="21"/>
  <c r="L12487" i="21"/>
  <c r="L12486" i="21"/>
  <c r="L12485" i="21"/>
  <c r="L12484" i="21"/>
  <c r="L12483" i="21"/>
  <c r="L12481" i="21"/>
  <c r="L12480" i="21"/>
  <c r="L12479" i="21"/>
  <c r="L12478" i="21"/>
  <c r="L12477" i="21"/>
  <c r="L12476" i="21"/>
  <c r="L12475" i="21"/>
  <c r="L12474" i="21"/>
  <c r="L12473" i="21"/>
  <c r="L12471" i="21"/>
  <c r="L12470" i="21"/>
  <c r="L12469" i="21"/>
  <c r="L12468" i="21"/>
  <c r="L12467" i="21"/>
  <c r="L12466" i="21"/>
  <c r="L12465" i="21"/>
  <c r="L12464" i="21"/>
  <c r="L12463" i="21"/>
  <c r="L12461" i="21"/>
  <c r="L12460" i="21"/>
  <c r="L12459" i="21"/>
  <c r="L12458" i="21"/>
  <c r="L12457" i="21"/>
  <c r="L12456" i="21"/>
  <c r="L12455" i="21"/>
  <c r="L12454" i="21"/>
  <c r="L12453" i="21"/>
  <c r="L12451" i="21"/>
  <c r="L12450" i="21"/>
  <c r="L12449" i="21"/>
  <c r="L12448" i="21"/>
  <c r="L12447" i="21"/>
  <c r="L12446" i="21"/>
  <c r="L12445" i="21"/>
  <c r="L12444" i="21"/>
  <c r="L12428" i="21" l="1"/>
  <c r="L12427" i="21"/>
  <c r="L12426" i="21"/>
  <c r="L12425" i="21"/>
  <c r="L12424" i="21"/>
  <c r="L12423" i="21"/>
  <c r="L12422" i="21"/>
  <c r="L12421" i="21"/>
  <c r="L12420" i="21"/>
  <c r="L12418" i="21"/>
  <c r="L12417" i="21"/>
  <c r="L12416" i="21"/>
  <c r="L12415" i="21"/>
  <c r="L12414" i="21"/>
  <c r="L12413" i="21"/>
  <c r="L12412" i="21"/>
  <c r="L12411" i="21"/>
  <c r="L12410" i="21"/>
  <c r="L12408" i="21"/>
  <c r="L12407" i="21"/>
  <c r="L12406" i="21"/>
  <c r="L12405" i="21"/>
  <c r="L12404" i="21"/>
  <c r="L12403" i="21"/>
  <c r="L12402" i="21"/>
  <c r="L12401" i="21"/>
  <c r="L12400" i="21"/>
  <c r="L12398" i="21"/>
  <c r="L12397" i="21"/>
  <c r="L12396" i="21"/>
  <c r="L12395" i="21"/>
  <c r="L12394" i="21"/>
  <c r="L12393" i="21"/>
  <c r="L12392" i="21"/>
  <c r="L12391" i="21"/>
  <c r="L12390" i="21"/>
  <c r="L12388" i="21"/>
  <c r="L12387" i="21"/>
  <c r="L12386" i="21"/>
  <c r="L12385" i="21"/>
  <c r="L12384" i="21"/>
  <c r="L12383" i="21"/>
  <c r="L12382" i="21"/>
  <c r="L12381" i="21"/>
  <c r="L12380" i="21"/>
  <c r="L12378" i="21"/>
  <c r="L12377" i="21"/>
  <c r="L12376" i="21"/>
  <c r="L12375" i="21"/>
  <c r="L12374" i="21"/>
  <c r="L12373" i="21"/>
  <c r="L12372" i="21"/>
  <c r="L12371" i="21"/>
  <c r="L12370" i="21"/>
  <c r="L12368" i="21"/>
  <c r="L12367" i="21"/>
  <c r="L12366" i="21"/>
  <c r="L12365" i="21"/>
  <c r="L12364" i="21"/>
  <c r="L12363" i="21"/>
  <c r="L12362" i="21"/>
  <c r="L12361" i="21"/>
  <c r="L12360" i="21"/>
  <c r="L12358" i="21"/>
  <c r="L12357" i="21"/>
  <c r="L12356" i="21"/>
  <c r="L12355" i="21"/>
  <c r="L12354" i="21"/>
  <c r="L12353" i="21"/>
  <c r="L12352" i="21"/>
  <c r="L12351" i="21"/>
  <c r="L12350" i="21"/>
  <c r="L12348" i="21"/>
  <c r="L12347" i="21"/>
  <c r="L12346" i="21"/>
  <c r="L12345" i="21"/>
  <c r="L12344" i="21"/>
  <c r="L12343" i="21"/>
  <c r="L12342" i="21"/>
  <c r="L12341" i="21"/>
  <c r="L12325" i="21"/>
  <c r="L12324" i="21"/>
  <c r="L12323" i="21"/>
  <c r="L12322" i="21"/>
  <c r="L12321" i="21"/>
  <c r="L12320" i="21"/>
  <c r="L12319" i="21"/>
  <c r="L12318" i="21"/>
  <c r="L12317" i="21"/>
  <c r="L12315" i="21"/>
  <c r="L12314" i="21"/>
  <c r="L12313" i="21"/>
  <c r="L12312" i="21"/>
  <c r="L12311" i="21"/>
  <c r="L12310" i="21"/>
  <c r="L12309" i="21"/>
  <c r="L12308" i="21"/>
  <c r="L12307" i="21"/>
  <c r="L12305" i="21"/>
  <c r="L12304" i="21"/>
  <c r="L12303" i="21"/>
  <c r="L12302" i="21"/>
  <c r="L12301" i="21"/>
  <c r="L12300" i="21"/>
  <c r="L12299" i="21"/>
  <c r="L12298" i="21"/>
  <c r="L12297" i="21"/>
  <c r="L12295" i="21"/>
  <c r="L12294" i="21"/>
  <c r="L12293" i="21"/>
  <c r="L12292" i="21"/>
  <c r="L12291" i="21"/>
  <c r="L12290" i="21"/>
  <c r="L12289" i="21"/>
  <c r="L12288" i="21"/>
  <c r="L12287" i="21"/>
  <c r="L12285" i="21"/>
  <c r="L12284" i="21"/>
  <c r="L12283" i="21"/>
  <c r="L12282" i="21"/>
  <c r="L12281" i="21"/>
  <c r="L12280" i="21"/>
  <c r="L12279" i="21"/>
  <c r="L12278" i="21"/>
  <c r="L12277" i="21"/>
  <c r="L12275" i="21"/>
  <c r="L12274" i="21"/>
  <c r="L12273" i="21"/>
  <c r="L12272" i="21"/>
  <c r="L12271" i="21"/>
  <c r="L12270" i="21"/>
  <c r="L12269" i="21"/>
  <c r="L12268" i="21"/>
  <c r="L12267" i="21"/>
  <c r="L12265" i="21"/>
  <c r="L12264" i="21"/>
  <c r="L12263" i="21"/>
  <c r="L12262" i="21"/>
  <c r="L12261" i="21"/>
  <c r="L12260" i="21"/>
  <c r="L12259" i="21"/>
  <c r="L12258" i="21"/>
  <c r="L12257" i="21"/>
  <c r="L12255" i="21"/>
  <c r="L12254" i="21"/>
  <c r="L12253" i="21"/>
  <c r="L12252" i="21"/>
  <c r="L12251" i="21"/>
  <c r="L12250" i="21"/>
  <c r="L12249" i="21"/>
  <c r="L12248" i="21"/>
  <c r="L12247" i="21"/>
  <c r="L12245" i="21"/>
  <c r="L12244" i="21"/>
  <c r="L12243" i="21"/>
  <c r="L12242" i="21"/>
  <c r="L12241" i="21"/>
  <c r="L12240" i="21"/>
  <c r="L12239" i="21"/>
  <c r="L12238" i="21"/>
  <c r="L12221" i="21" l="1"/>
  <c r="L12220" i="21"/>
  <c r="L12219" i="21"/>
  <c r="L12218" i="21"/>
  <c r="L12217" i="21"/>
  <c r="L12216" i="21"/>
  <c r="L12215" i="21"/>
  <c r="L12214" i="21"/>
  <c r="L12213" i="21"/>
  <c r="L12211" i="21"/>
  <c r="L12210" i="21"/>
  <c r="L12209" i="21"/>
  <c r="L12208" i="21"/>
  <c r="L12207" i="21"/>
  <c r="L12206" i="21"/>
  <c r="L12205" i="21"/>
  <c r="L12204" i="21"/>
  <c r="L12203" i="21"/>
  <c r="L12201" i="21"/>
  <c r="L12200" i="21"/>
  <c r="L12199" i="21"/>
  <c r="L12198" i="21"/>
  <c r="L12197" i="21"/>
  <c r="L12196" i="21"/>
  <c r="L12195" i="21"/>
  <c r="L12194" i="21"/>
  <c r="L12193" i="21"/>
  <c r="L12191" i="21"/>
  <c r="L12190" i="21"/>
  <c r="L12189" i="21"/>
  <c r="L12188" i="21"/>
  <c r="L12187" i="21"/>
  <c r="L12186" i="21"/>
  <c r="L12185" i="21"/>
  <c r="L12184" i="21"/>
  <c r="L12183" i="21"/>
  <c r="L12181" i="21"/>
  <c r="L12180" i="21"/>
  <c r="L12179" i="21"/>
  <c r="L12178" i="21"/>
  <c r="L12177" i="21"/>
  <c r="L12176" i="21"/>
  <c r="L12175" i="21"/>
  <c r="L12174" i="21"/>
  <c r="L12173" i="21"/>
  <c r="L12171" i="21"/>
  <c r="L12170" i="21"/>
  <c r="L12169" i="21"/>
  <c r="L12168" i="21"/>
  <c r="L12167" i="21"/>
  <c r="L12166" i="21"/>
  <c r="L12165" i="21"/>
  <c r="L12164" i="21"/>
  <c r="L12163" i="21"/>
  <c r="L12161" i="21"/>
  <c r="L12160" i="21"/>
  <c r="L12159" i="21"/>
  <c r="L12158" i="21"/>
  <c r="L12157" i="21"/>
  <c r="L12156" i="21"/>
  <c r="L12155" i="21"/>
  <c r="L12154" i="21"/>
  <c r="L12153" i="21"/>
  <c r="L12151" i="21"/>
  <c r="L12150" i="21"/>
  <c r="L12149" i="21"/>
  <c r="L12148" i="21"/>
  <c r="L12147" i="21"/>
  <c r="L12146" i="21"/>
  <c r="L12145" i="21"/>
  <c r="L12144" i="21"/>
  <c r="L12143" i="21"/>
  <c r="L12141" i="21"/>
  <c r="L12140" i="21"/>
  <c r="L12139" i="21"/>
  <c r="L12138" i="21"/>
  <c r="L12137" i="21"/>
  <c r="L12136" i="21"/>
  <c r="L12135" i="21"/>
  <c r="L12134" i="21"/>
  <c r="L12117" i="21"/>
  <c r="L12116" i="21"/>
  <c r="L12115" i="21"/>
  <c r="L12114" i="21"/>
  <c r="L12113" i="21"/>
  <c r="L12112" i="21"/>
  <c r="L12111" i="21"/>
  <c r="L12110" i="21"/>
  <c r="L12109" i="21"/>
  <c r="L12107" i="21"/>
  <c r="L12106" i="21"/>
  <c r="L12105" i="21"/>
  <c r="L12104" i="21"/>
  <c r="L12103" i="21"/>
  <c r="L12102" i="21"/>
  <c r="L12101" i="21"/>
  <c r="L12100" i="21"/>
  <c r="L12099" i="21"/>
  <c r="L12097" i="21"/>
  <c r="L12096" i="21"/>
  <c r="L12095" i="21"/>
  <c r="L12094" i="21"/>
  <c r="L12093" i="21"/>
  <c r="L12092" i="21"/>
  <c r="L12091" i="21"/>
  <c r="L12090" i="21"/>
  <c r="L12089" i="21"/>
  <c r="L12087" i="21"/>
  <c r="L12086" i="21"/>
  <c r="L12085" i="21"/>
  <c r="L12084" i="21"/>
  <c r="L12083" i="21"/>
  <c r="L12082" i="21"/>
  <c r="L12081" i="21"/>
  <c r="L12080" i="21"/>
  <c r="L12079" i="21"/>
  <c r="L12077" i="21"/>
  <c r="L12076" i="21"/>
  <c r="L12075" i="21"/>
  <c r="L12074" i="21"/>
  <c r="L12073" i="21"/>
  <c r="L12072" i="21"/>
  <c r="L12071" i="21"/>
  <c r="L12070" i="21"/>
  <c r="L12069" i="21"/>
  <c r="L12067" i="21"/>
  <c r="L12066" i="21"/>
  <c r="L12065" i="21"/>
  <c r="L12064" i="21"/>
  <c r="L12063" i="21"/>
  <c r="L12062" i="21"/>
  <c r="L12061" i="21"/>
  <c r="L12060" i="21"/>
  <c r="L12059" i="21"/>
  <c r="L12057" i="21"/>
  <c r="L12056" i="21"/>
  <c r="L12055" i="21"/>
  <c r="L12054" i="21"/>
  <c r="L12053" i="21"/>
  <c r="L12052" i="21"/>
  <c r="L12051" i="21"/>
  <c r="L12050" i="21"/>
  <c r="L12049" i="21"/>
  <c r="L12047" i="21"/>
  <c r="L12046" i="21"/>
  <c r="L12045" i="21"/>
  <c r="L12044" i="21"/>
  <c r="L12043" i="21"/>
  <c r="L12042" i="21"/>
  <c r="L12041" i="21"/>
  <c r="L12040" i="21"/>
  <c r="L12039" i="21"/>
  <c r="L12037" i="21"/>
  <c r="L12036" i="21"/>
  <c r="L12035" i="21"/>
  <c r="L12034" i="21"/>
  <c r="L12033" i="21"/>
  <c r="L12032" i="21"/>
  <c r="L12031" i="21"/>
  <c r="L12030" i="21"/>
  <c r="L12013" i="21"/>
  <c r="L12012" i="21"/>
  <c r="L12011" i="21"/>
  <c r="L12010" i="21"/>
  <c r="L12009" i="21"/>
  <c r="L12008" i="21"/>
  <c r="L12007" i="21"/>
  <c r="L12006" i="21"/>
  <c r="L12005" i="21"/>
  <c r="L12003" i="21"/>
  <c r="L12002" i="21"/>
  <c r="L12001" i="21"/>
  <c r="L12000" i="21"/>
  <c r="L11999" i="21"/>
  <c r="L11998" i="21"/>
  <c r="L11997" i="21"/>
  <c r="L11996" i="21"/>
  <c r="L11995" i="21"/>
  <c r="L11993" i="21"/>
  <c r="L11992" i="21"/>
  <c r="L11991" i="21"/>
  <c r="L11990" i="21"/>
  <c r="L11989" i="21"/>
  <c r="L11988" i="21"/>
  <c r="L11987" i="21"/>
  <c r="L11986" i="21"/>
  <c r="L11985" i="21"/>
  <c r="L11983" i="21"/>
  <c r="L11982" i="21"/>
  <c r="L11981" i="21"/>
  <c r="L11980" i="21"/>
  <c r="L11979" i="21"/>
  <c r="L11978" i="21"/>
  <c r="L11977" i="21"/>
  <c r="L11976" i="21"/>
  <c r="L11975" i="21"/>
  <c r="L11973" i="21"/>
  <c r="L11972" i="21"/>
  <c r="L11971" i="21"/>
  <c r="L11970" i="21"/>
  <c r="L11969" i="21"/>
  <c r="L11968" i="21"/>
  <c r="L11967" i="21"/>
  <c r="L11966" i="21"/>
  <c r="L11965" i="21"/>
  <c r="L11963" i="21"/>
  <c r="L11962" i="21"/>
  <c r="L11961" i="21"/>
  <c r="L11960" i="21"/>
  <c r="L11959" i="21"/>
  <c r="L11958" i="21"/>
  <c r="L11957" i="21"/>
  <c r="L11956" i="21"/>
  <c r="L11955" i="21"/>
  <c r="L11953" i="21"/>
  <c r="L11952" i="21"/>
  <c r="L11951" i="21"/>
  <c r="L11950" i="21"/>
  <c r="L11949" i="21"/>
  <c r="L11948" i="21"/>
  <c r="L11947" i="21"/>
  <c r="L11946" i="21"/>
  <c r="L11945" i="21"/>
  <c r="L11943" i="21"/>
  <c r="L11942" i="21"/>
  <c r="L11941" i="21"/>
  <c r="L11940" i="21"/>
  <c r="L11939" i="21"/>
  <c r="L11938" i="21"/>
  <c r="L11937" i="21"/>
  <c r="L11936" i="21"/>
  <c r="L11935" i="21"/>
  <c r="L11933" i="21"/>
  <c r="L11932" i="21"/>
  <c r="L11931" i="21"/>
  <c r="L11930" i="21"/>
  <c r="L11929" i="21"/>
  <c r="L11928" i="21"/>
  <c r="L11927" i="21"/>
  <c r="L11926" i="21"/>
  <c r="L11908" i="21" l="1"/>
  <c r="L11907" i="21"/>
  <c r="L11906" i="21"/>
  <c r="L11905" i="21"/>
  <c r="L11904" i="21"/>
  <c r="L11903" i="21"/>
  <c r="L11902" i="21"/>
  <c r="L11901" i="21"/>
  <c r="L11900" i="21"/>
  <c r="L11898" i="21"/>
  <c r="L11897" i="21"/>
  <c r="L11896" i="21"/>
  <c r="L11895" i="21"/>
  <c r="L11894" i="21"/>
  <c r="L11893" i="21"/>
  <c r="L11892" i="21"/>
  <c r="L11891" i="21"/>
  <c r="L11890" i="21"/>
  <c r="L11888" i="21"/>
  <c r="L11887" i="21"/>
  <c r="L11886" i="21"/>
  <c r="L11885" i="21"/>
  <c r="L11884" i="21"/>
  <c r="L11883" i="21"/>
  <c r="L11882" i="21"/>
  <c r="L11881" i="21"/>
  <c r="L11880" i="21"/>
  <c r="L11878" i="21"/>
  <c r="L11877" i="21"/>
  <c r="L11876" i="21"/>
  <c r="L11875" i="21"/>
  <c r="L11874" i="21"/>
  <c r="L11873" i="21"/>
  <c r="L11872" i="21"/>
  <c r="L11871" i="21"/>
  <c r="L11870" i="21"/>
  <c r="L11868" i="21"/>
  <c r="L11867" i="21"/>
  <c r="L11866" i="21"/>
  <c r="L11865" i="21"/>
  <c r="L11864" i="21"/>
  <c r="L11863" i="21"/>
  <c r="L11862" i="21"/>
  <c r="L11861" i="21"/>
  <c r="L11860" i="21"/>
  <c r="L11858" i="21"/>
  <c r="L11857" i="21"/>
  <c r="L11856" i="21"/>
  <c r="L11855" i="21"/>
  <c r="L11854" i="21"/>
  <c r="L11853" i="21"/>
  <c r="L11852" i="21"/>
  <c r="L11851" i="21"/>
  <c r="L11850" i="21"/>
  <c r="L11848" i="21"/>
  <c r="L11847" i="21"/>
  <c r="L11846" i="21"/>
  <c r="L11845" i="21"/>
  <c r="L11844" i="21"/>
  <c r="L11843" i="21"/>
  <c r="L11842" i="21"/>
  <c r="L11841" i="21"/>
  <c r="L11840" i="21"/>
  <c r="L11838" i="21"/>
  <c r="L11837" i="21"/>
  <c r="L11836" i="21"/>
  <c r="L11835" i="21"/>
  <c r="L11834" i="21"/>
  <c r="L11833" i="21"/>
  <c r="L11832" i="21"/>
  <c r="L11831" i="21"/>
  <c r="L11830" i="21"/>
  <c r="L11828" i="21"/>
  <c r="L11827" i="21"/>
  <c r="L11826" i="21"/>
  <c r="L11825" i="21"/>
  <c r="L11824" i="21"/>
  <c r="L11823" i="21"/>
  <c r="L11822" i="21"/>
  <c r="L11821" i="21"/>
  <c r="L11805" i="21"/>
  <c r="L11804" i="21"/>
  <c r="L11803" i="21"/>
  <c r="L11802" i="21"/>
  <c r="L11801" i="21"/>
  <c r="L11800" i="21"/>
  <c r="L11799" i="21"/>
  <c r="L11798" i="21"/>
  <c r="L11797" i="21"/>
  <c r="L11795" i="21"/>
  <c r="L11794" i="21"/>
  <c r="L11793" i="21"/>
  <c r="L11792" i="21"/>
  <c r="L11791" i="21"/>
  <c r="L11790" i="21"/>
  <c r="L11789" i="21"/>
  <c r="L11788" i="21"/>
  <c r="L11787" i="21"/>
  <c r="L11785" i="21"/>
  <c r="L11784" i="21"/>
  <c r="L11783" i="21"/>
  <c r="L11782" i="21"/>
  <c r="L11781" i="21"/>
  <c r="L11780" i="21"/>
  <c r="L11779" i="21"/>
  <c r="L11778" i="21"/>
  <c r="L11777" i="21"/>
  <c r="L11775" i="21"/>
  <c r="L11774" i="21"/>
  <c r="L11773" i="21"/>
  <c r="L11772" i="21"/>
  <c r="L11771" i="21"/>
  <c r="L11770" i="21"/>
  <c r="L11769" i="21"/>
  <c r="L11768" i="21"/>
  <c r="L11767" i="21"/>
  <c r="L11765" i="21"/>
  <c r="L11764" i="21"/>
  <c r="L11763" i="21"/>
  <c r="L11762" i="21"/>
  <c r="L11761" i="21"/>
  <c r="L11760" i="21"/>
  <c r="L11759" i="21"/>
  <c r="L11758" i="21"/>
  <c r="L11757" i="21"/>
  <c r="L11755" i="21"/>
  <c r="L11754" i="21"/>
  <c r="L11753" i="21"/>
  <c r="L11752" i="21"/>
  <c r="L11751" i="21"/>
  <c r="L11750" i="21"/>
  <c r="L11749" i="21"/>
  <c r="L11748" i="21"/>
  <c r="L11747" i="21"/>
  <c r="L11745" i="21"/>
  <c r="L11744" i="21"/>
  <c r="L11743" i="21"/>
  <c r="L11742" i="21"/>
  <c r="L11741" i="21"/>
  <c r="L11740" i="21"/>
  <c r="L11739" i="21"/>
  <c r="L11738" i="21"/>
  <c r="L11737" i="21"/>
  <c r="L11735" i="21"/>
  <c r="L11734" i="21"/>
  <c r="L11733" i="21"/>
  <c r="L11732" i="21"/>
  <c r="L11731" i="21"/>
  <c r="L11730" i="21"/>
  <c r="L11729" i="21"/>
  <c r="L11728" i="21"/>
  <c r="L11727" i="21"/>
  <c r="L11725" i="21"/>
  <c r="L11724" i="21"/>
  <c r="L11723" i="21"/>
  <c r="L11722" i="21"/>
  <c r="L11721" i="21"/>
  <c r="L11720" i="21"/>
  <c r="L11719" i="21"/>
  <c r="L11718" i="21"/>
  <c r="L11702" i="21"/>
  <c r="L11701" i="21"/>
  <c r="L11700" i="21"/>
  <c r="L11699" i="21"/>
  <c r="L11698" i="21"/>
  <c r="L11697" i="21"/>
  <c r="L11696" i="21"/>
  <c r="L11695" i="21"/>
  <c r="L11694" i="21"/>
  <c r="L11692" i="21"/>
  <c r="L11691" i="21"/>
  <c r="L11690" i="21"/>
  <c r="L11689" i="21"/>
  <c r="L11688" i="21"/>
  <c r="L11687" i="21"/>
  <c r="L11686" i="21"/>
  <c r="L11685" i="21"/>
  <c r="L11684" i="21"/>
  <c r="L11682" i="21"/>
  <c r="L11681" i="21"/>
  <c r="L11680" i="21"/>
  <c r="L11679" i="21"/>
  <c r="L11678" i="21"/>
  <c r="L11677" i="21"/>
  <c r="L11676" i="21"/>
  <c r="L11675" i="21"/>
  <c r="L11674" i="21"/>
  <c r="L11672" i="21"/>
  <c r="L11671" i="21"/>
  <c r="L11670" i="21"/>
  <c r="L11669" i="21"/>
  <c r="L11668" i="21"/>
  <c r="L11667" i="21"/>
  <c r="L11666" i="21"/>
  <c r="L11665" i="21"/>
  <c r="L11664" i="21"/>
  <c r="L11662" i="21"/>
  <c r="L11661" i="21"/>
  <c r="L11660" i="21"/>
  <c r="L11659" i="21"/>
  <c r="L11658" i="21"/>
  <c r="L11657" i="21"/>
  <c r="L11656" i="21"/>
  <c r="L11655" i="21"/>
  <c r="L11654" i="21"/>
  <c r="L11652" i="21"/>
  <c r="L11651" i="21"/>
  <c r="L11650" i="21"/>
  <c r="L11649" i="21"/>
  <c r="L11648" i="21"/>
  <c r="L11647" i="21"/>
  <c r="L11646" i="21"/>
  <c r="L11645" i="21"/>
  <c r="L11644" i="21"/>
  <c r="L11642" i="21"/>
  <c r="L11641" i="21"/>
  <c r="L11640" i="21"/>
  <c r="L11639" i="21"/>
  <c r="L11638" i="21"/>
  <c r="L11637" i="21"/>
  <c r="L11636" i="21"/>
  <c r="L11635" i="21"/>
  <c r="L11634" i="21"/>
  <c r="L11632" i="21"/>
  <c r="L11631" i="21"/>
  <c r="L11630" i="21"/>
  <c r="L11629" i="21"/>
  <c r="L11628" i="21"/>
  <c r="L11627" i="21"/>
  <c r="L11626" i="21"/>
  <c r="L11625" i="21"/>
  <c r="L11624" i="21"/>
  <c r="L11622" i="21"/>
  <c r="L11621" i="21"/>
  <c r="L11620" i="21"/>
  <c r="L11619" i="21"/>
  <c r="L11618" i="21"/>
  <c r="L11617" i="21"/>
  <c r="L11616" i="21"/>
  <c r="L11615" i="21"/>
  <c r="L11599" i="21"/>
  <c r="L11598" i="21"/>
  <c r="L11597" i="21"/>
  <c r="L11596" i="21"/>
  <c r="L11595" i="21"/>
  <c r="L11594" i="21"/>
  <c r="L11593" i="21"/>
  <c r="L11592" i="21"/>
  <c r="L11591" i="21"/>
  <c r="L11589" i="21"/>
  <c r="L11588" i="21"/>
  <c r="L11587" i="21"/>
  <c r="L11586" i="21"/>
  <c r="L11585" i="21"/>
  <c r="L11584" i="21"/>
  <c r="L11583" i="21"/>
  <c r="L11582" i="21"/>
  <c r="L11581" i="21"/>
  <c r="L11579" i="21"/>
  <c r="L11578" i="21"/>
  <c r="L11577" i="21"/>
  <c r="L11576" i="21"/>
  <c r="L11575" i="21"/>
  <c r="L11574" i="21"/>
  <c r="L11573" i="21"/>
  <c r="L11572" i="21"/>
  <c r="L11571" i="21"/>
  <c r="L11569" i="21"/>
  <c r="L11568" i="21"/>
  <c r="L11567" i="21"/>
  <c r="L11566" i="21"/>
  <c r="L11565" i="21"/>
  <c r="L11564" i="21"/>
  <c r="L11563" i="21"/>
  <c r="L11562" i="21"/>
  <c r="L11561" i="21"/>
  <c r="L11559" i="21"/>
  <c r="L11558" i="21"/>
  <c r="L11557" i="21"/>
  <c r="L11556" i="21"/>
  <c r="L11555" i="21"/>
  <c r="L11554" i="21"/>
  <c r="L11553" i="21"/>
  <c r="L11552" i="21"/>
  <c r="L11551" i="21"/>
  <c r="L11549" i="21"/>
  <c r="L11548" i="21"/>
  <c r="L11547" i="21"/>
  <c r="L11546" i="21"/>
  <c r="L11545" i="21"/>
  <c r="L11544" i="21"/>
  <c r="L11543" i="21"/>
  <c r="L11542" i="21"/>
  <c r="L11541" i="21"/>
  <c r="L11539" i="21"/>
  <c r="L11538" i="21"/>
  <c r="L11537" i="21"/>
  <c r="L11536" i="21"/>
  <c r="L11535" i="21"/>
  <c r="L11534" i="21"/>
  <c r="L11533" i="21"/>
  <c r="L11532" i="21"/>
  <c r="L11531" i="21"/>
  <c r="L11529" i="21"/>
  <c r="L11528" i="21"/>
  <c r="L11527" i="21"/>
  <c r="L11526" i="21"/>
  <c r="L11525" i="21"/>
  <c r="L11524" i="21"/>
  <c r="L11523" i="21"/>
  <c r="L11522" i="21"/>
  <c r="L11521" i="21"/>
  <c r="L11519" i="21"/>
  <c r="L11518" i="21"/>
  <c r="L11517" i="21"/>
  <c r="L11516" i="21"/>
  <c r="L11515" i="21"/>
  <c r="L11514" i="21"/>
  <c r="L11513" i="21"/>
  <c r="L11512" i="21"/>
  <c r="L11496" i="21"/>
  <c r="L11495" i="21"/>
  <c r="L11494" i="21"/>
  <c r="L11493" i="21"/>
  <c r="L11492" i="21"/>
  <c r="L11491" i="21"/>
  <c r="L11490" i="21"/>
  <c r="L11489" i="21"/>
  <c r="L11488" i="21"/>
  <c r="L11486" i="21"/>
  <c r="L11485" i="21"/>
  <c r="L11484" i="21"/>
  <c r="L11483" i="21"/>
  <c r="L11482" i="21"/>
  <c r="L11481" i="21"/>
  <c r="L11480" i="21"/>
  <c r="L11479" i="21"/>
  <c r="L11478" i="21"/>
  <c r="L11476" i="21"/>
  <c r="L11475" i="21"/>
  <c r="L11474" i="21"/>
  <c r="L11473" i="21"/>
  <c r="L11472" i="21"/>
  <c r="L11471" i="21"/>
  <c r="L11470" i="21"/>
  <c r="L11469" i="21"/>
  <c r="L11468" i="21"/>
  <c r="L11466" i="21"/>
  <c r="L11465" i="21"/>
  <c r="L11464" i="21"/>
  <c r="L11463" i="21"/>
  <c r="L11462" i="21"/>
  <c r="L11461" i="21"/>
  <c r="L11460" i="21"/>
  <c r="L11459" i="21"/>
  <c r="L11458" i="21"/>
  <c r="L11456" i="21"/>
  <c r="L11455" i="21"/>
  <c r="L11454" i="21"/>
  <c r="L11453" i="21"/>
  <c r="L11452" i="21"/>
  <c r="L11451" i="21"/>
  <c r="L11450" i="21"/>
  <c r="L11449" i="21"/>
  <c r="L11448" i="21"/>
  <c r="L11446" i="21"/>
  <c r="L11445" i="21"/>
  <c r="L11444" i="21"/>
  <c r="L11443" i="21"/>
  <c r="L11442" i="21"/>
  <c r="L11441" i="21"/>
  <c r="L11440" i="21"/>
  <c r="L11439" i="21"/>
  <c r="L11438" i="21"/>
  <c r="L11436" i="21"/>
  <c r="L11435" i="21"/>
  <c r="L11434" i="21"/>
  <c r="L11433" i="21"/>
  <c r="L11432" i="21"/>
  <c r="L11431" i="21"/>
  <c r="L11430" i="21"/>
  <c r="L11429" i="21"/>
  <c r="L11428" i="21"/>
  <c r="L11426" i="21"/>
  <c r="L11425" i="21"/>
  <c r="L11424" i="21"/>
  <c r="L11423" i="21"/>
  <c r="L11422" i="21"/>
  <c r="L11421" i="21"/>
  <c r="L11420" i="21"/>
  <c r="L11419" i="21"/>
  <c r="L11418" i="21"/>
  <c r="L11416" i="21"/>
  <c r="L11415" i="21"/>
  <c r="L11414" i="21"/>
  <c r="L11413" i="21"/>
  <c r="L11412" i="21"/>
  <c r="L11411" i="21"/>
  <c r="L11410" i="21"/>
  <c r="L11409" i="21"/>
  <c r="L11393" i="21"/>
  <c r="L11392" i="21"/>
  <c r="L11391" i="21"/>
  <c r="L11390" i="21"/>
  <c r="L11389" i="21"/>
  <c r="L11388" i="21"/>
  <c r="L11387" i="21"/>
  <c r="L11386" i="21"/>
  <c r="L11385" i="21"/>
  <c r="L11383" i="21"/>
  <c r="L11382" i="21"/>
  <c r="L11381" i="21"/>
  <c r="L11380" i="21"/>
  <c r="L11379" i="21"/>
  <c r="L11378" i="21"/>
  <c r="L11377" i="21"/>
  <c r="L11376" i="21"/>
  <c r="L11375" i="21"/>
  <c r="L11373" i="21"/>
  <c r="L11372" i="21"/>
  <c r="L11371" i="21"/>
  <c r="L11370" i="21"/>
  <c r="L11369" i="21"/>
  <c r="L11368" i="21"/>
  <c r="L11367" i="21"/>
  <c r="L11366" i="21"/>
  <c r="L11365" i="21"/>
  <c r="L11363" i="21"/>
  <c r="L11362" i="21"/>
  <c r="L11361" i="21"/>
  <c r="L11360" i="21"/>
  <c r="L11359" i="21"/>
  <c r="L11358" i="21"/>
  <c r="L11357" i="21"/>
  <c r="L11356" i="21"/>
  <c r="L11355" i="21"/>
  <c r="L11353" i="21"/>
  <c r="L11352" i="21"/>
  <c r="L11351" i="21"/>
  <c r="L11350" i="21"/>
  <c r="L11349" i="21"/>
  <c r="L11348" i="21"/>
  <c r="L11347" i="21"/>
  <c r="L11346" i="21"/>
  <c r="L11345" i="21"/>
  <c r="L11343" i="21"/>
  <c r="L11342" i="21"/>
  <c r="L11341" i="21"/>
  <c r="L11340" i="21"/>
  <c r="L11339" i="21"/>
  <c r="L11338" i="21"/>
  <c r="L11337" i="21"/>
  <c r="L11336" i="21"/>
  <c r="L11335" i="21"/>
  <c r="L11333" i="21"/>
  <c r="L11332" i="21"/>
  <c r="L11331" i="21"/>
  <c r="L11330" i="21"/>
  <c r="L11329" i="21"/>
  <c r="L11328" i="21"/>
  <c r="L11327" i="21"/>
  <c r="L11326" i="21"/>
  <c r="L11325" i="21"/>
  <c r="L11323" i="21"/>
  <c r="L11322" i="21"/>
  <c r="L11321" i="21"/>
  <c r="L11320" i="21"/>
  <c r="L11319" i="21"/>
  <c r="L11318" i="21"/>
  <c r="L11317" i="21"/>
  <c r="L11316" i="21"/>
  <c r="L11315" i="21"/>
  <c r="L11313" i="21"/>
  <c r="L11312" i="21"/>
  <c r="L11311" i="21"/>
  <c r="L11310" i="21"/>
  <c r="L11309" i="21"/>
  <c r="L11308" i="21"/>
  <c r="L11307" i="21"/>
  <c r="L11306" i="21"/>
  <c r="L11290" i="21"/>
  <c r="L11289" i="21"/>
  <c r="L11288" i="21"/>
  <c r="L11287" i="21"/>
  <c r="L11286" i="21"/>
  <c r="L11285" i="21"/>
  <c r="L11284" i="21"/>
  <c r="L11283" i="21"/>
  <c r="L11282" i="21"/>
  <c r="L11280" i="21"/>
  <c r="L11279" i="21"/>
  <c r="L11278" i="21"/>
  <c r="L11277" i="21"/>
  <c r="L11276" i="21"/>
  <c r="L11275" i="21"/>
  <c r="L11274" i="21"/>
  <c r="L11273" i="21"/>
  <c r="L11272" i="21"/>
  <c r="L11270" i="21"/>
  <c r="L11269" i="21"/>
  <c r="L11268" i="21"/>
  <c r="L11267" i="21"/>
  <c r="L11266" i="21"/>
  <c r="L11265" i="21"/>
  <c r="L11264" i="21"/>
  <c r="L11263" i="21"/>
  <c r="L11262" i="21"/>
  <c r="L11260" i="21"/>
  <c r="L11259" i="21"/>
  <c r="L11258" i="21"/>
  <c r="L11257" i="21"/>
  <c r="L11256" i="21"/>
  <c r="L11255" i="21"/>
  <c r="L11254" i="21"/>
  <c r="L11253" i="21"/>
  <c r="L11252" i="21"/>
  <c r="L11250" i="21"/>
  <c r="L11249" i="21"/>
  <c r="L11248" i="21"/>
  <c r="L11247" i="21"/>
  <c r="L11246" i="21"/>
  <c r="L11245" i="21"/>
  <c r="L11244" i="21"/>
  <c r="L11243" i="21"/>
  <c r="L11242" i="21"/>
  <c r="L11240" i="21"/>
  <c r="L11239" i="21"/>
  <c r="L11238" i="21"/>
  <c r="L11237" i="21"/>
  <c r="L11236" i="21"/>
  <c r="L11235" i="21"/>
  <c r="L11234" i="21"/>
  <c r="L11233" i="21"/>
  <c r="L11232" i="21"/>
  <c r="L11230" i="21"/>
  <c r="L11229" i="21"/>
  <c r="L11228" i="21"/>
  <c r="L11227" i="21"/>
  <c r="L11226" i="21"/>
  <c r="L11225" i="21"/>
  <c r="L11224" i="21"/>
  <c r="L11223" i="21"/>
  <c r="L11222" i="21"/>
  <c r="L11220" i="21"/>
  <c r="L11219" i="21"/>
  <c r="L11218" i="21"/>
  <c r="L11217" i="21"/>
  <c r="L11216" i="21"/>
  <c r="L11215" i="21"/>
  <c r="L11214" i="21"/>
  <c r="L11213" i="21"/>
  <c r="L11212" i="21"/>
  <c r="L11210" i="21"/>
  <c r="L11209" i="21"/>
  <c r="L11208" i="21"/>
  <c r="L11207" i="21"/>
  <c r="L11206" i="21"/>
  <c r="L11205" i="21"/>
  <c r="L11204" i="21"/>
  <c r="L11203" i="21"/>
  <c r="E16" i="4" l="1"/>
  <c r="E16" i="1"/>
  <c r="L6" i="13" s="1"/>
  <c r="L7" i="13" l="1"/>
  <c r="L11187" i="21" l="1"/>
  <c r="L11186" i="21"/>
  <c r="L11185" i="21"/>
  <c r="L11184" i="21"/>
  <c r="L11183" i="21"/>
  <c r="L11182" i="21"/>
  <c r="L11181" i="21"/>
  <c r="L11180" i="21"/>
  <c r="L11179" i="21"/>
  <c r="L11177" i="21"/>
  <c r="L11176" i="21"/>
  <c r="L11175" i="21"/>
  <c r="L11174" i="21"/>
  <c r="L11173" i="21"/>
  <c r="L11172" i="21"/>
  <c r="L11171" i="21"/>
  <c r="L11170" i="21"/>
  <c r="L11169" i="21"/>
  <c r="L11167" i="21"/>
  <c r="L11166" i="21"/>
  <c r="L11165" i="21"/>
  <c r="L11164" i="21"/>
  <c r="L11163" i="21"/>
  <c r="L11162" i="21"/>
  <c r="L11161" i="21"/>
  <c r="L11160" i="21"/>
  <c r="L11159" i="21"/>
  <c r="L11157" i="21"/>
  <c r="L11156" i="21"/>
  <c r="L11155" i="21"/>
  <c r="L11154" i="21"/>
  <c r="L11153" i="21"/>
  <c r="L11152" i="21"/>
  <c r="L11151" i="21"/>
  <c r="L11150" i="21"/>
  <c r="L11149" i="21"/>
  <c r="L11147" i="21"/>
  <c r="L11146" i="21"/>
  <c r="L11145" i="21"/>
  <c r="L11144" i="21"/>
  <c r="L11143" i="21"/>
  <c r="L11142" i="21"/>
  <c r="L11141" i="21"/>
  <c r="L11140" i="21"/>
  <c r="L11139" i="21"/>
  <c r="L11137" i="21"/>
  <c r="L11136" i="21"/>
  <c r="L11135" i="21"/>
  <c r="L11134" i="21"/>
  <c r="L11133" i="21"/>
  <c r="L11132" i="21"/>
  <c r="L11131" i="21"/>
  <c r="L11130" i="21"/>
  <c r="L11129" i="21"/>
  <c r="L11127" i="21"/>
  <c r="L11126" i="21"/>
  <c r="L11125" i="21"/>
  <c r="L11124" i="21"/>
  <c r="L11123" i="21"/>
  <c r="L11122" i="21"/>
  <c r="L11121" i="21"/>
  <c r="L11120" i="21"/>
  <c r="L11119" i="21"/>
  <c r="L11117" i="21"/>
  <c r="L11116" i="21"/>
  <c r="L11115" i="21"/>
  <c r="L11114" i="21"/>
  <c r="L11113" i="21"/>
  <c r="L11112" i="21"/>
  <c r="L11111" i="21"/>
  <c r="L11110" i="21"/>
  <c r="L11109" i="21"/>
  <c r="L11107" i="21"/>
  <c r="L11106" i="21"/>
  <c r="L11105" i="21"/>
  <c r="L11104" i="21"/>
  <c r="L11103" i="21"/>
  <c r="L11102" i="21"/>
  <c r="L11101" i="21"/>
  <c r="L11100" i="21"/>
  <c r="L11084" i="21"/>
  <c r="L11083" i="21"/>
  <c r="L11082" i="21"/>
  <c r="L11081" i="21"/>
  <c r="L11080" i="21"/>
  <c r="L11079" i="21"/>
  <c r="L11078" i="21"/>
  <c r="L11077" i="21"/>
  <c r="L11076" i="21"/>
  <c r="L11074" i="21"/>
  <c r="L11073" i="21"/>
  <c r="L11072" i="21"/>
  <c r="L11071" i="21"/>
  <c r="L11070" i="21"/>
  <c r="L11069" i="21"/>
  <c r="L11068" i="21"/>
  <c r="L11067" i="21"/>
  <c r="L11066" i="21"/>
  <c r="L11064" i="21"/>
  <c r="L11063" i="21"/>
  <c r="L11062" i="21"/>
  <c r="L11061" i="21"/>
  <c r="L11060" i="21"/>
  <c r="L11059" i="21"/>
  <c r="L11058" i="21"/>
  <c r="L11057" i="21"/>
  <c r="L11056" i="21"/>
  <c r="L11054" i="21"/>
  <c r="L11053" i="21"/>
  <c r="L11052" i="21"/>
  <c r="L11051" i="21"/>
  <c r="L11050" i="21"/>
  <c r="L11049" i="21"/>
  <c r="L11048" i="21"/>
  <c r="L11047" i="21"/>
  <c r="L11046" i="21"/>
  <c r="L11044" i="21"/>
  <c r="L11043" i="21"/>
  <c r="L11042" i="21"/>
  <c r="L11041" i="21"/>
  <c r="L11040" i="21"/>
  <c r="L11039" i="21"/>
  <c r="L11038" i="21"/>
  <c r="L11037" i="21"/>
  <c r="L11036" i="21"/>
  <c r="L11034" i="21"/>
  <c r="L11033" i="21"/>
  <c r="L11032" i="21"/>
  <c r="L11031" i="21"/>
  <c r="L11030" i="21"/>
  <c r="L11029" i="21"/>
  <c r="L11028" i="21"/>
  <c r="L11027" i="21"/>
  <c r="L11026" i="21"/>
  <c r="L11024" i="21"/>
  <c r="L11023" i="21"/>
  <c r="L11022" i="21"/>
  <c r="L11021" i="21"/>
  <c r="L11020" i="21"/>
  <c r="L11019" i="21"/>
  <c r="L11018" i="21"/>
  <c r="L11017" i="21"/>
  <c r="L11016" i="21"/>
  <c r="L11014" i="21"/>
  <c r="L11013" i="21"/>
  <c r="L11012" i="21"/>
  <c r="L11011" i="21"/>
  <c r="L11010" i="21"/>
  <c r="L11009" i="21"/>
  <c r="L11008" i="21"/>
  <c r="L11007" i="21"/>
  <c r="L11006" i="21"/>
  <c r="L11004" i="21"/>
  <c r="L11003" i="21"/>
  <c r="L11002" i="21"/>
  <c r="L11001" i="21"/>
  <c r="L11000" i="21"/>
  <c r="L10999" i="21"/>
  <c r="L10998" i="21"/>
  <c r="L10997" i="21"/>
  <c r="L10981" i="21" l="1"/>
  <c r="L10980" i="21"/>
  <c r="L10979" i="21"/>
  <c r="L10978" i="21"/>
  <c r="L10977" i="21"/>
  <c r="L10976" i="21"/>
  <c r="L10975" i="21"/>
  <c r="L10974" i="21"/>
  <c r="L10973" i="21"/>
  <c r="L10971" i="21"/>
  <c r="L10970" i="21"/>
  <c r="L10969" i="21"/>
  <c r="L10968" i="21"/>
  <c r="L10967" i="21"/>
  <c r="L10966" i="21"/>
  <c r="L10965" i="21"/>
  <c r="L10964" i="21"/>
  <c r="L10963" i="21"/>
  <c r="L10961" i="21"/>
  <c r="L10960" i="21"/>
  <c r="L10959" i="21"/>
  <c r="L10958" i="21"/>
  <c r="L10957" i="21"/>
  <c r="L10956" i="21"/>
  <c r="L10955" i="21"/>
  <c r="L10954" i="21"/>
  <c r="L10953" i="21"/>
  <c r="L10951" i="21"/>
  <c r="L10950" i="21"/>
  <c r="L10949" i="21"/>
  <c r="L10948" i="21"/>
  <c r="L10947" i="21"/>
  <c r="L10946" i="21"/>
  <c r="L10945" i="21"/>
  <c r="L10944" i="21"/>
  <c r="L10943" i="21"/>
  <c r="L10941" i="21"/>
  <c r="L10940" i="21"/>
  <c r="L10939" i="21"/>
  <c r="L10938" i="21"/>
  <c r="L10937" i="21"/>
  <c r="L10936" i="21"/>
  <c r="L10935" i="21"/>
  <c r="L10934" i="21"/>
  <c r="L10933" i="21"/>
  <c r="L10931" i="21"/>
  <c r="L10930" i="21"/>
  <c r="L10929" i="21"/>
  <c r="L10928" i="21"/>
  <c r="L10927" i="21"/>
  <c r="L10926" i="21"/>
  <c r="L10925" i="21"/>
  <c r="L10924" i="21"/>
  <c r="L10923" i="21"/>
  <c r="L10921" i="21"/>
  <c r="L10920" i="21"/>
  <c r="L10919" i="21"/>
  <c r="L10918" i="21"/>
  <c r="L10917" i="21"/>
  <c r="L10916" i="21"/>
  <c r="L10915" i="21"/>
  <c r="L10914" i="21"/>
  <c r="L10913" i="21"/>
  <c r="L10911" i="21"/>
  <c r="L10910" i="21"/>
  <c r="L10909" i="21"/>
  <c r="L10908" i="21"/>
  <c r="L10907" i="21"/>
  <c r="L10906" i="21"/>
  <c r="L10905" i="21"/>
  <c r="L10904" i="21"/>
  <c r="L10903" i="21"/>
  <c r="L10901" i="21"/>
  <c r="L10900" i="21"/>
  <c r="L10899" i="21"/>
  <c r="L10898" i="21"/>
  <c r="L10897" i="21"/>
  <c r="L10896" i="21"/>
  <c r="L10895" i="21"/>
  <c r="L10894" i="21"/>
  <c r="L10877" i="21" l="1"/>
  <c r="L10876" i="21"/>
  <c r="L10875" i="21"/>
  <c r="L10874" i="21"/>
  <c r="L10873" i="21"/>
  <c r="L10872" i="21"/>
  <c r="L10871" i="21"/>
  <c r="L10870" i="21"/>
  <c r="L10869" i="21"/>
  <c r="L10867" i="21"/>
  <c r="L10866" i="21"/>
  <c r="L10865" i="21"/>
  <c r="L10864" i="21"/>
  <c r="L10863" i="21"/>
  <c r="L10862" i="21"/>
  <c r="L10861" i="21"/>
  <c r="L10860" i="21"/>
  <c r="L10859" i="21"/>
  <c r="L10857" i="21"/>
  <c r="L10856" i="21"/>
  <c r="L10855" i="21"/>
  <c r="L10854" i="21"/>
  <c r="L10853" i="21"/>
  <c r="L10852" i="21"/>
  <c r="L10851" i="21"/>
  <c r="L10850" i="21"/>
  <c r="L10849" i="21"/>
  <c r="L10847" i="21"/>
  <c r="L10846" i="21"/>
  <c r="L10845" i="21"/>
  <c r="L10844" i="21"/>
  <c r="L10843" i="21"/>
  <c r="L10842" i="21"/>
  <c r="L10841" i="21"/>
  <c r="L10840" i="21"/>
  <c r="L10839" i="21"/>
  <c r="L10837" i="21"/>
  <c r="L10836" i="21"/>
  <c r="L10835" i="21"/>
  <c r="L10834" i="21"/>
  <c r="L10833" i="21"/>
  <c r="L10832" i="21"/>
  <c r="L10831" i="21"/>
  <c r="L10830" i="21"/>
  <c r="L10829" i="21"/>
  <c r="L10827" i="21"/>
  <c r="L10826" i="21"/>
  <c r="L10825" i="21"/>
  <c r="L10824" i="21"/>
  <c r="L10823" i="21"/>
  <c r="L10822" i="21"/>
  <c r="L10821" i="21"/>
  <c r="L10820" i="21"/>
  <c r="L10819" i="21"/>
  <c r="L10817" i="21"/>
  <c r="L10816" i="21"/>
  <c r="L10815" i="21"/>
  <c r="L10814" i="21"/>
  <c r="L10813" i="21"/>
  <c r="L10812" i="21"/>
  <c r="L10811" i="21"/>
  <c r="L10810" i="21"/>
  <c r="L10809" i="21"/>
  <c r="L10807" i="21"/>
  <c r="L10806" i="21"/>
  <c r="L10805" i="21"/>
  <c r="L10804" i="21"/>
  <c r="L10803" i="21"/>
  <c r="L10802" i="21"/>
  <c r="L10801" i="21"/>
  <c r="L10800" i="21"/>
  <c r="L10799" i="21"/>
  <c r="L10797" i="21"/>
  <c r="L10796" i="21"/>
  <c r="L10795" i="21"/>
  <c r="L10794" i="21"/>
  <c r="L10793" i="21"/>
  <c r="L10792" i="21"/>
  <c r="L10791" i="21"/>
  <c r="L10790" i="21"/>
  <c r="U7" i="13" l="1"/>
  <c r="U8" i="13"/>
  <c r="U6" i="13"/>
  <c r="H127" i="328"/>
  <c r="H126" i="328"/>
  <c r="H125" i="328"/>
  <c r="H124" i="328"/>
  <c r="H123" i="328"/>
  <c r="H122" i="328"/>
  <c r="H121" i="328"/>
  <c r="H120" i="328"/>
  <c r="H119" i="328"/>
  <c r="H118" i="328"/>
  <c r="H117" i="328"/>
  <c r="H116" i="328"/>
  <c r="H115" i="328"/>
  <c r="H114" i="328"/>
  <c r="H113" i="328"/>
  <c r="H112" i="328"/>
  <c r="H111" i="328"/>
  <c r="H110" i="328"/>
  <c r="H109" i="328"/>
  <c r="H108" i="328"/>
  <c r="H107" i="328"/>
  <c r="H106" i="328"/>
  <c r="H105" i="328"/>
  <c r="H104" i="328"/>
  <c r="H103" i="328"/>
  <c r="H102" i="328"/>
  <c r="H101" i="328"/>
  <c r="H100" i="328"/>
  <c r="H99" i="328"/>
  <c r="H98" i="328"/>
  <c r="H97" i="328"/>
  <c r="H96" i="328"/>
  <c r="H95" i="328"/>
  <c r="H94" i="328"/>
  <c r="H93" i="328"/>
  <c r="H92" i="328"/>
  <c r="H91" i="328"/>
  <c r="H90" i="328"/>
  <c r="H89" i="328"/>
  <c r="H86" i="328"/>
  <c r="H85" i="328"/>
  <c r="H84" i="328"/>
  <c r="H83" i="328"/>
  <c r="H82" i="328"/>
  <c r="H81" i="328"/>
  <c r="H80" i="328"/>
  <c r="H79" i="328"/>
  <c r="H78" i="328"/>
  <c r="H77" i="328"/>
  <c r="H76" i="328"/>
  <c r="H75" i="328"/>
  <c r="H74" i="328"/>
  <c r="H73" i="328"/>
  <c r="H72" i="328"/>
  <c r="H71" i="328"/>
  <c r="H70" i="328"/>
  <c r="H69" i="328"/>
  <c r="H68" i="328"/>
  <c r="H67" i="328"/>
  <c r="H66" i="328"/>
  <c r="H65" i="328"/>
  <c r="H64" i="328"/>
  <c r="H63" i="328"/>
  <c r="H62" i="328"/>
  <c r="H61" i="328"/>
  <c r="H60" i="328"/>
  <c r="H59" i="328"/>
  <c r="H58" i="328"/>
  <c r="H57" i="328"/>
  <c r="H56" i="328"/>
  <c r="H55" i="328"/>
  <c r="H54" i="328"/>
  <c r="H53" i="328"/>
  <c r="H52" i="328"/>
  <c r="H51" i="328"/>
  <c r="H50" i="328"/>
  <c r="H49" i="328"/>
  <c r="H46" i="328"/>
  <c r="H45" i="328"/>
  <c r="H44" i="328"/>
  <c r="H43" i="328"/>
  <c r="H42" i="328"/>
  <c r="H41" i="328"/>
  <c r="H40" i="328"/>
  <c r="H39" i="328"/>
  <c r="H38" i="328"/>
  <c r="H37" i="328"/>
  <c r="H36" i="328"/>
  <c r="H35" i="328"/>
  <c r="H34" i="328"/>
  <c r="H33" i="328"/>
  <c r="H32" i="328"/>
  <c r="H31" i="328"/>
  <c r="H30" i="328"/>
  <c r="H29" i="328"/>
  <c r="H28" i="328"/>
  <c r="H27" i="328"/>
  <c r="H26" i="328"/>
  <c r="H25" i="328"/>
  <c r="H24" i="328"/>
  <c r="H23" i="328"/>
  <c r="H22" i="328"/>
  <c r="H21" i="328"/>
  <c r="H20" i="328"/>
  <c r="H19" i="328"/>
  <c r="H18" i="328"/>
  <c r="H17" i="328"/>
  <c r="H16" i="328"/>
  <c r="H15" i="328"/>
  <c r="H14" i="328"/>
  <c r="H13" i="328"/>
  <c r="H12" i="328"/>
  <c r="H11" i="328"/>
  <c r="H10" i="328"/>
  <c r="H9" i="328"/>
  <c r="H8" i="328"/>
  <c r="H7" i="328"/>
  <c r="H6" i="328"/>
  <c r="H5" i="328"/>
  <c r="D4" i="328"/>
  <c r="D5" i="328" s="1"/>
  <c r="A13565" i="21" l="1"/>
  <c r="D8" i="328"/>
  <c r="D9" i="328" s="1"/>
  <c r="D10" i="328" s="1"/>
  <c r="D11" i="328" s="1"/>
  <c r="D6" i="328"/>
  <c r="D7" i="328" s="1"/>
  <c r="B13587" i="21" l="1"/>
  <c r="B13577" i="21"/>
  <c r="A13668" i="21"/>
  <c r="L10773" i="21"/>
  <c r="L10772" i="21"/>
  <c r="L10771" i="21"/>
  <c r="L10770" i="21"/>
  <c r="L10769" i="21"/>
  <c r="L10768" i="21"/>
  <c r="L10767" i="21"/>
  <c r="L10766" i="21"/>
  <c r="L10765" i="21"/>
  <c r="L10763" i="21"/>
  <c r="L10762" i="21"/>
  <c r="L10761" i="21"/>
  <c r="L10760" i="21"/>
  <c r="L10759" i="21"/>
  <c r="L10758" i="21"/>
  <c r="L10757" i="21"/>
  <c r="L10756" i="21"/>
  <c r="L10755" i="21"/>
  <c r="L10753" i="21"/>
  <c r="L10752" i="21"/>
  <c r="L10751" i="21"/>
  <c r="L10750" i="21"/>
  <c r="L10749" i="21"/>
  <c r="L10748" i="21"/>
  <c r="L10747" i="21"/>
  <c r="L10746" i="21"/>
  <c r="L10745" i="21"/>
  <c r="L10743" i="21"/>
  <c r="L10742" i="21"/>
  <c r="L10741" i="21"/>
  <c r="L10740" i="21"/>
  <c r="L10739" i="21"/>
  <c r="L10738" i="21"/>
  <c r="L10737" i="21"/>
  <c r="L10736" i="21"/>
  <c r="L10735" i="21"/>
  <c r="L10733" i="21"/>
  <c r="L10732" i="21"/>
  <c r="L10731" i="21"/>
  <c r="L10730" i="21"/>
  <c r="L10729" i="21"/>
  <c r="L10728" i="21"/>
  <c r="L10727" i="21"/>
  <c r="L10726" i="21"/>
  <c r="L10725" i="21"/>
  <c r="L10723" i="21"/>
  <c r="L10722" i="21"/>
  <c r="L10721" i="21"/>
  <c r="L10720" i="21"/>
  <c r="L10719" i="21"/>
  <c r="L10718" i="21"/>
  <c r="L10717" i="21"/>
  <c r="L10716" i="21"/>
  <c r="L10715" i="21"/>
  <c r="L10713" i="21"/>
  <c r="L10712" i="21"/>
  <c r="L10711" i="21"/>
  <c r="L10710" i="21"/>
  <c r="L10709" i="21"/>
  <c r="L10708" i="21"/>
  <c r="L10707" i="21"/>
  <c r="L10706" i="21"/>
  <c r="L10705" i="21"/>
  <c r="L10703" i="21"/>
  <c r="L10702" i="21"/>
  <c r="L10701" i="21"/>
  <c r="L10700" i="21"/>
  <c r="L10699" i="21"/>
  <c r="L10698" i="21"/>
  <c r="L10697" i="21"/>
  <c r="L10696" i="21"/>
  <c r="L10695" i="21"/>
  <c r="L10693" i="21"/>
  <c r="L10692" i="21"/>
  <c r="L10691" i="21"/>
  <c r="L10690" i="21"/>
  <c r="L10689" i="21"/>
  <c r="L10688" i="21"/>
  <c r="L10687" i="21"/>
  <c r="L10686" i="21"/>
  <c r="A14286" i="21" l="1"/>
  <c r="B14308" i="21" s="1"/>
  <c r="A14595" i="21"/>
  <c r="B14607" i="21" s="1"/>
  <c r="A13462" i="21"/>
  <c r="B13474" i="21" s="1"/>
  <c r="A14183" i="21"/>
  <c r="B14195" i="21" s="1"/>
  <c r="A10983" i="21"/>
  <c r="B11005" i="21" s="1"/>
  <c r="A12637" i="21"/>
  <c r="B12649" i="21" s="1"/>
  <c r="A12120" i="21"/>
  <c r="B12142" i="21" s="1"/>
  <c r="A14389" i="21"/>
  <c r="B14401" i="21" s="1"/>
  <c r="A11498" i="21"/>
  <c r="B11520" i="21" s="1"/>
  <c r="A12533" i="21"/>
  <c r="B12545" i="21" s="1"/>
  <c r="E13587" i="21"/>
  <c r="C13587" i="21"/>
  <c r="D13587" i="21"/>
  <c r="C13577" i="21"/>
  <c r="E13577" i="21"/>
  <c r="D13577" i="21"/>
  <c r="B13690" i="21"/>
  <c r="B13680" i="21"/>
  <c r="A10776" i="21"/>
  <c r="B10798" i="21" s="1"/>
  <c r="A10568" i="21"/>
  <c r="A10880" i="21"/>
  <c r="A14492" i="21" l="1"/>
  <c r="B14504" i="21" s="1"/>
  <c r="D14504" i="21" s="1"/>
  <c r="A11912" i="21"/>
  <c r="B11924" i="21" s="1"/>
  <c r="D11924" i="21" s="1"/>
  <c r="A12016" i="21"/>
  <c r="B12028" i="21" s="1"/>
  <c r="C12028" i="21" s="1"/>
  <c r="A12430" i="21"/>
  <c r="B12442" i="21" s="1"/>
  <c r="E12442" i="21" s="1"/>
  <c r="B13484" i="21"/>
  <c r="C13484" i="21" s="1"/>
  <c r="B12452" i="21"/>
  <c r="E12452" i="21" s="1"/>
  <c r="B14205" i="21"/>
  <c r="D14205" i="21" s="1"/>
  <c r="A14080" i="21"/>
  <c r="B14102" i="21" s="1"/>
  <c r="E14102" i="21" s="1"/>
  <c r="B10995" i="21"/>
  <c r="D10995" i="21" s="1"/>
  <c r="B14411" i="21"/>
  <c r="C14411" i="21" s="1"/>
  <c r="B14298" i="21"/>
  <c r="E14298" i="21" s="1"/>
  <c r="B11510" i="21"/>
  <c r="D11510" i="21" s="1"/>
  <c r="B12659" i="21"/>
  <c r="C12659" i="21" s="1"/>
  <c r="B12132" i="21"/>
  <c r="D12132" i="21" s="1"/>
  <c r="B12555" i="21"/>
  <c r="E12555" i="21" s="1"/>
  <c r="B14617" i="21"/>
  <c r="D14617" i="21" s="1"/>
  <c r="A13771" i="21"/>
  <c r="B13783" i="21" s="1"/>
  <c r="D13783" i="21" s="1"/>
  <c r="D14607" i="21"/>
  <c r="E14607" i="21"/>
  <c r="C14607" i="21"/>
  <c r="D14401" i="21"/>
  <c r="E14401" i="21"/>
  <c r="C14401" i="21"/>
  <c r="C14308" i="21"/>
  <c r="D14308" i="21"/>
  <c r="E14308" i="21"/>
  <c r="E14195" i="21"/>
  <c r="D14195" i="21"/>
  <c r="C14195" i="21"/>
  <c r="E13680" i="21"/>
  <c r="D13680" i="21"/>
  <c r="C13680" i="21"/>
  <c r="B13578" i="21"/>
  <c r="E13690" i="21"/>
  <c r="C13690" i="21"/>
  <c r="D13690" i="21"/>
  <c r="E13474" i="21"/>
  <c r="D13474" i="21"/>
  <c r="C13474" i="21"/>
  <c r="B13588" i="21"/>
  <c r="C12442" i="21"/>
  <c r="C12452" i="21"/>
  <c r="C12545" i="21"/>
  <c r="E12545" i="21"/>
  <c r="D12545" i="21"/>
  <c r="D12649" i="21"/>
  <c r="E12649" i="21"/>
  <c r="C12649" i="21"/>
  <c r="C11520" i="21"/>
  <c r="D11520" i="21"/>
  <c r="E11520" i="21"/>
  <c r="C11005" i="21"/>
  <c r="D11005" i="21"/>
  <c r="E11005" i="21"/>
  <c r="C12142" i="21"/>
  <c r="D12142" i="21"/>
  <c r="E12142" i="21"/>
  <c r="B10902" i="21"/>
  <c r="C10902" i="21" s="1"/>
  <c r="B10892" i="21"/>
  <c r="D10892" i="21" s="1"/>
  <c r="B10788" i="21"/>
  <c r="D10788" i="21" s="1"/>
  <c r="D10798" i="21"/>
  <c r="C10798" i="21"/>
  <c r="E10798" i="21"/>
  <c r="B12038" i="21" l="1"/>
  <c r="E12038" i="21" s="1"/>
  <c r="C14504" i="21"/>
  <c r="B14505" i="21" s="1"/>
  <c r="E14504" i="21"/>
  <c r="B14514" i="21"/>
  <c r="D14514" i="21" s="1"/>
  <c r="C11924" i="21"/>
  <c r="B11925" i="21" s="1"/>
  <c r="D12028" i="21"/>
  <c r="E11924" i="21"/>
  <c r="E12028" i="21"/>
  <c r="B11934" i="21"/>
  <c r="C11934" i="21" s="1"/>
  <c r="B11935" i="21" s="1"/>
  <c r="C14205" i="21"/>
  <c r="B14206" i="21" s="1"/>
  <c r="E10995" i="21"/>
  <c r="C11510" i="21"/>
  <c r="B11511" i="21" s="1"/>
  <c r="D14411" i="21"/>
  <c r="E14411" i="21"/>
  <c r="E14205" i="21"/>
  <c r="E13783" i="21"/>
  <c r="D12442" i="21"/>
  <c r="D12452" i="21"/>
  <c r="C14298" i="21"/>
  <c r="B14299" i="21" s="1"/>
  <c r="D13484" i="21"/>
  <c r="E13484" i="21"/>
  <c r="D14102" i="21"/>
  <c r="B14092" i="21"/>
  <c r="E14092" i="21" s="1"/>
  <c r="C10995" i="21"/>
  <c r="B10996" i="21" s="1"/>
  <c r="C14102" i="21"/>
  <c r="B14103" i="21" s="1"/>
  <c r="E11510" i="21"/>
  <c r="E12659" i="21"/>
  <c r="D12659" i="21"/>
  <c r="C12132" i="21"/>
  <c r="B12133" i="21" s="1"/>
  <c r="D14298" i="21"/>
  <c r="B13793" i="21"/>
  <c r="D13793" i="21" s="1"/>
  <c r="E12132" i="21"/>
  <c r="C12555" i="21"/>
  <c r="B12556" i="21" s="1"/>
  <c r="D12555" i="21"/>
  <c r="C13783" i="21"/>
  <c r="B13784" i="21" s="1"/>
  <c r="E14617" i="21"/>
  <c r="C14617" i="21"/>
  <c r="B14618" i="21" s="1"/>
  <c r="B14608" i="21"/>
  <c r="B14412" i="21"/>
  <c r="B14402" i="21"/>
  <c r="B14309" i="21"/>
  <c r="B14196" i="21"/>
  <c r="B13475" i="21"/>
  <c r="B13691" i="21"/>
  <c r="D13578" i="21"/>
  <c r="C13578" i="21"/>
  <c r="E13578" i="21"/>
  <c r="B13485" i="21"/>
  <c r="B13681" i="21"/>
  <c r="D13588" i="21"/>
  <c r="C13588" i="21"/>
  <c r="E13588" i="21"/>
  <c r="B12660" i="21"/>
  <c r="B12546" i="21"/>
  <c r="B12443" i="21"/>
  <c r="B12453" i="21"/>
  <c r="B12650" i="21"/>
  <c r="B12143" i="21"/>
  <c r="B11006" i="21"/>
  <c r="B11521" i="21"/>
  <c r="B12029" i="21"/>
  <c r="E10788" i="21"/>
  <c r="D10902" i="21"/>
  <c r="E10902" i="21"/>
  <c r="E10892" i="21"/>
  <c r="C10892" i="21"/>
  <c r="B10893" i="21" s="1"/>
  <c r="C10788" i="21"/>
  <c r="B10789" i="21" s="1"/>
  <c r="B10799" i="21"/>
  <c r="B10903" i="21"/>
  <c r="Z7" i="13"/>
  <c r="Z6" i="13"/>
  <c r="Z8" i="13"/>
  <c r="D12038" i="21" l="1"/>
  <c r="C12038" i="21"/>
  <c r="B12039" i="21" s="1"/>
  <c r="D12039" i="21" s="1"/>
  <c r="C14514" i="21"/>
  <c r="B14515" i="21" s="1"/>
  <c r="D14515" i="21" s="1"/>
  <c r="E14514" i="21"/>
  <c r="E11934" i="21"/>
  <c r="D11934" i="21"/>
  <c r="D14092" i="21"/>
  <c r="C14092" i="21"/>
  <c r="B14093" i="21" s="1"/>
  <c r="C14093" i="21" s="1"/>
  <c r="C13793" i="21"/>
  <c r="B13794" i="21" s="1"/>
  <c r="D13794" i="21" s="1"/>
  <c r="E13793" i="21"/>
  <c r="A13256" i="21"/>
  <c r="B13278" i="21" s="1"/>
  <c r="E13278" i="21" s="1"/>
  <c r="D14618" i="21"/>
  <c r="C14618" i="21"/>
  <c r="E14618" i="21"/>
  <c r="C14515" i="21"/>
  <c r="D14608" i="21"/>
  <c r="C14608" i="21"/>
  <c r="E14608" i="21"/>
  <c r="C14505" i="21"/>
  <c r="D14505" i="21"/>
  <c r="E14505" i="21"/>
  <c r="D14402" i="21"/>
  <c r="C14402" i="21"/>
  <c r="E14402" i="21"/>
  <c r="D14412" i="21"/>
  <c r="C14412" i="21"/>
  <c r="E14412" i="21"/>
  <c r="C14309" i="21"/>
  <c r="D14309" i="21"/>
  <c r="E14309" i="21"/>
  <c r="D14196" i="21"/>
  <c r="C14196" i="21"/>
  <c r="E14196" i="21"/>
  <c r="D14299" i="21"/>
  <c r="C14299" i="21"/>
  <c r="E14299" i="21"/>
  <c r="C14206" i="21"/>
  <c r="D14206" i="21"/>
  <c r="E14206" i="21"/>
  <c r="D14093" i="21"/>
  <c r="C14103" i="21"/>
  <c r="E14103" i="21"/>
  <c r="D13278" i="21"/>
  <c r="C13784" i="21"/>
  <c r="D13784" i="21"/>
  <c r="E13784" i="21"/>
  <c r="C13691" i="21"/>
  <c r="D13691" i="21"/>
  <c r="E13691" i="21"/>
  <c r="D13475" i="21"/>
  <c r="C13475" i="21"/>
  <c r="E13475" i="21"/>
  <c r="B13589" i="21"/>
  <c r="B13579" i="21"/>
  <c r="D13681" i="21"/>
  <c r="C13681" i="21"/>
  <c r="E13681" i="21"/>
  <c r="D13485" i="21"/>
  <c r="C13485" i="21"/>
  <c r="E13485" i="21"/>
  <c r="C13278" i="21"/>
  <c r="B13279" i="21" s="1"/>
  <c r="A13359" i="21"/>
  <c r="D12556" i="21"/>
  <c r="C12556" i="21"/>
  <c r="E12556" i="21"/>
  <c r="D12660" i="21"/>
  <c r="C12660" i="21"/>
  <c r="E12660" i="21"/>
  <c r="D12453" i="21"/>
  <c r="C12453" i="21"/>
  <c r="E12453" i="21"/>
  <c r="D12443" i="21"/>
  <c r="C12443" i="21"/>
  <c r="E12443" i="21"/>
  <c r="C12546" i="21"/>
  <c r="D12546" i="21"/>
  <c r="E12546" i="21"/>
  <c r="D12650" i="21"/>
  <c r="C12650" i="21"/>
  <c r="E12650" i="21"/>
  <c r="C12029" i="21"/>
  <c r="D12029" i="21"/>
  <c r="E12029" i="21"/>
  <c r="D11935" i="21"/>
  <c r="C11935" i="21"/>
  <c r="E11935" i="21"/>
  <c r="C12039" i="21"/>
  <c r="D11511" i="21"/>
  <c r="C11511" i="21"/>
  <c r="E11511" i="21"/>
  <c r="C11521" i="21"/>
  <c r="D11521" i="21"/>
  <c r="E11521" i="21"/>
  <c r="D11006" i="21"/>
  <c r="C11006" i="21"/>
  <c r="E11006" i="21"/>
  <c r="C12133" i="21"/>
  <c r="D12133" i="21"/>
  <c r="E12133" i="21"/>
  <c r="D11925" i="21"/>
  <c r="C11925" i="21"/>
  <c r="E11925" i="21"/>
  <c r="D12143" i="21"/>
  <c r="C12143" i="21"/>
  <c r="E12143" i="21"/>
  <c r="D10996" i="21"/>
  <c r="C10996" i="21"/>
  <c r="E10996" i="21"/>
  <c r="A10672" i="21"/>
  <c r="D10893" i="21"/>
  <c r="C10893" i="21"/>
  <c r="E10893" i="21"/>
  <c r="D10789" i="21"/>
  <c r="C10789" i="21"/>
  <c r="E10789" i="21"/>
  <c r="D10799" i="21"/>
  <c r="C10799" i="21"/>
  <c r="E10799" i="21"/>
  <c r="C10903" i="21"/>
  <c r="D10903" i="21"/>
  <c r="E10903" i="21"/>
  <c r="E12039" i="21" l="1"/>
  <c r="E14515" i="21"/>
  <c r="E14093" i="21"/>
  <c r="C13794" i="21"/>
  <c r="B13795" i="21" s="1"/>
  <c r="E13794" i="21"/>
  <c r="B13268" i="21"/>
  <c r="C13268" i="21" s="1"/>
  <c r="B13269" i="21" s="1"/>
  <c r="D13269" i="21" s="1"/>
  <c r="B14609" i="21"/>
  <c r="B14516" i="21"/>
  <c r="B14506" i="21"/>
  <c r="B14619" i="21"/>
  <c r="B14403" i="21"/>
  <c r="B14413" i="21"/>
  <c r="B14310" i="21"/>
  <c r="B14207" i="21"/>
  <c r="B14197" i="21"/>
  <c r="B14300" i="21"/>
  <c r="B14104" i="21"/>
  <c r="B14094" i="21"/>
  <c r="C13589" i="21"/>
  <c r="E13589" i="21"/>
  <c r="D13589" i="21"/>
  <c r="C13579" i="21"/>
  <c r="E13579" i="21"/>
  <c r="D13579" i="21"/>
  <c r="B13692" i="21"/>
  <c r="B13486" i="21"/>
  <c r="B13785" i="21"/>
  <c r="D13268" i="21"/>
  <c r="B13682" i="21"/>
  <c r="B13476" i="21"/>
  <c r="B13371" i="21"/>
  <c r="B13381" i="21"/>
  <c r="D13279" i="21"/>
  <c r="C13279" i="21"/>
  <c r="E13279" i="21"/>
  <c r="B12557" i="21"/>
  <c r="B12444" i="21"/>
  <c r="B12547" i="21"/>
  <c r="B12661" i="21"/>
  <c r="B12651" i="21"/>
  <c r="B12454" i="21"/>
  <c r="B12134" i="21"/>
  <c r="B11007" i="21"/>
  <c r="B12030" i="21"/>
  <c r="B10997" i="21"/>
  <c r="B11512" i="21"/>
  <c r="B11926" i="21"/>
  <c r="B11522" i="21"/>
  <c r="B11936" i="21"/>
  <c r="B12040" i="21"/>
  <c r="B12144" i="21"/>
  <c r="B10790" i="21"/>
  <c r="B10904" i="21"/>
  <c r="B10800" i="21"/>
  <c r="B10894" i="21"/>
  <c r="B10684" i="21"/>
  <c r="B10694" i="21"/>
  <c r="E13268" i="21" l="1"/>
  <c r="E14619" i="21"/>
  <c r="D14619" i="21"/>
  <c r="C14619" i="21"/>
  <c r="C14609" i="21"/>
  <c r="E14609" i="21"/>
  <c r="D14609" i="21"/>
  <c r="E14506" i="21"/>
  <c r="C14506" i="21"/>
  <c r="D14506" i="21"/>
  <c r="E14516" i="21"/>
  <c r="C14516" i="21"/>
  <c r="D14516" i="21"/>
  <c r="C14403" i="21"/>
  <c r="E14403" i="21"/>
  <c r="D14403" i="21"/>
  <c r="C14413" i="21"/>
  <c r="E14413" i="21"/>
  <c r="D14413" i="21"/>
  <c r="C14197" i="21"/>
  <c r="D14197" i="21"/>
  <c r="E14197" i="21"/>
  <c r="D14310" i="21"/>
  <c r="C14310" i="21"/>
  <c r="E14310" i="21"/>
  <c r="C14300" i="21"/>
  <c r="E14300" i="21"/>
  <c r="D14300" i="21"/>
  <c r="D14207" i="21"/>
  <c r="E14207" i="21"/>
  <c r="C14207" i="21"/>
  <c r="C13269" i="21"/>
  <c r="E13269" i="21"/>
  <c r="C14094" i="21"/>
  <c r="D14094" i="21"/>
  <c r="E14094" i="21"/>
  <c r="D14104" i="21"/>
  <c r="E14104" i="21"/>
  <c r="C14104" i="21"/>
  <c r="D13785" i="21"/>
  <c r="C13785" i="21"/>
  <c r="E13785" i="21"/>
  <c r="C13486" i="21"/>
  <c r="D13486" i="21"/>
  <c r="E13486" i="21"/>
  <c r="E13692" i="21"/>
  <c r="C13692" i="21"/>
  <c r="D13692" i="21"/>
  <c r="E13682" i="21"/>
  <c r="C13682" i="21"/>
  <c r="D13682" i="21"/>
  <c r="B13580" i="21"/>
  <c r="B13590" i="21"/>
  <c r="C13476" i="21"/>
  <c r="D13476" i="21"/>
  <c r="E13476" i="21"/>
  <c r="C13795" i="21"/>
  <c r="D13795" i="21"/>
  <c r="E13795" i="21"/>
  <c r="D13371" i="21"/>
  <c r="E13371" i="21"/>
  <c r="C13371" i="21"/>
  <c r="D13381" i="21"/>
  <c r="C13381" i="21"/>
  <c r="E13381" i="21"/>
  <c r="B13270" i="21"/>
  <c r="B13280" i="21"/>
  <c r="C12444" i="21"/>
  <c r="E12444" i="21"/>
  <c r="D12444" i="21"/>
  <c r="C12651" i="21"/>
  <c r="E12651" i="21"/>
  <c r="D12651" i="21"/>
  <c r="E12661" i="21"/>
  <c r="C12661" i="21"/>
  <c r="D12661" i="21"/>
  <c r="E12557" i="21"/>
  <c r="D12557" i="21"/>
  <c r="C12557" i="21"/>
  <c r="C12547" i="21"/>
  <c r="E12547" i="21"/>
  <c r="D12547" i="21"/>
  <c r="C12454" i="21"/>
  <c r="E12454" i="21"/>
  <c r="D12454" i="21"/>
  <c r="D12134" i="21"/>
  <c r="E12134" i="21"/>
  <c r="C12134" i="21"/>
  <c r="D11522" i="21"/>
  <c r="C11522" i="21"/>
  <c r="E11522" i="21"/>
  <c r="D11512" i="21"/>
  <c r="E11512" i="21"/>
  <c r="C11512" i="21"/>
  <c r="C10997" i="21"/>
  <c r="E10997" i="21"/>
  <c r="D10997" i="21"/>
  <c r="C12030" i="21"/>
  <c r="E12030" i="21"/>
  <c r="D12030" i="21"/>
  <c r="E11926" i="21"/>
  <c r="C11926" i="21"/>
  <c r="D11926" i="21"/>
  <c r="D12144" i="21"/>
  <c r="C12144" i="21"/>
  <c r="E12144" i="21"/>
  <c r="C12040" i="21"/>
  <c r="E12040" i="21"/>
  <c r="D12040" i="21"/>
  <c r="E11936" i="21"/>
  <c r="D11936" i="21"/>
  <c r="C11936" i="21"/>
  <c r="E11007" i="21"/>
  <c r="C11007" i="21"/>
  <c r="D11007" i="21"/>
  <c r="E10894" i="21"/>
  <c r="C10894" i="21"/>
  <c r="D10894" i="21"/>
  <c r="E10904" i="21"/>
  <c r="C10904" i="21"/>
  <c r="D10904" i="21"/>
  <c r="D10790" i="21"/>
  <c r="C10790" i="21"/>
  <c r="E10790" i="21"/>
  <c r="C10800" i="21"/>
  <c r="E10800" i="21"/>
  <c r="D10800" i="21"/>
  <c r="D10694" i="21"/>
  <c r="E10694" i="21"/>
  <c r="C10694" i="21"/>
  <c r="D10684" i="21"/>
  <c r="C10684" i="21"/>
  <c r="B10685" i="21" s="1"/>
  <c r="E10684" i="21"/>
  <c r="B14517" i="21" l="1"/>
  <c r="B14620" i="21"/>
  <c r="B14610" i="21"/>
  <c r="B14507" i="21"/>
  <c r="B14414" i="21"/>
  <c r="B14404" i="21"/>
  <c r="B14301" i="21"/>
  <c r="B14198" i="21"/>
  <c r="B14311" i="21"/>
  <c r="B14208" i="21"/>
  <c r="B14105" i="21"/>
  <c r="B14095" i="21"/>
  <c r="B13477" i="21"/>
  <c r="B13487" i="21"/>
  <c r="B13786" i="21"/>
  <c r="B13796" i="21"/>
  <c r="C13590" i="21"/>
  <c r="E13590" i="21"/>
  <c r="C13580" i="21"/>
  <c r="D13580" i="21"/>
  <c r="E13580" i="21"/>
  <c r="B13683" i="21"/>
  <c r="B13693" i="21"/>
  <c r="B13372" i="21"/>
  <c r="B13382" i="21"/>
  <c r="C13280" i="21"/>
  <c r="E13280" i="21"/>
  <c r="D13280" i="21"/>
  <c r="E13270" i="21"/>
  <c r="C13270" i="21"/>
  <c r="D13270" i="21"/>
  <c r="B12548" i="21"/>
  <c r="B12445" i="21"/>
  <c r="B12662" i="21"/>
  <c r="B12455" i="21"/>
  <c r="B12652" i="21"/>
  <c r="B12558" i="21"/>
  <c r="B12031" i="21"/>
  <c r="B12145" i="21"/>
  <c r="B11937" i="21"/>
  <c r="B11513" i="21"/>
  <c r="B12135" i="21"/>
  <c r="B10998" i="21"/>
  <c r="B11008" i="21"/>
  <c r="B11927" i="21"/>
  <c r="B11523" i="21"/>
  <c r="B12041" i="21"/>
  <c r="B10905" i="21"/>
  <c r="B10895" i="21"/>
  <c r="B10791" i="21"/>
  <c r="B10801" i="21"/>
  <c r="E10685" i="21"/>
  <c r="C10685" i="21"/>
  <c r="D10685" i="21"/>
  <c r="B10695" i="21"/>
  <c r="D14507" i="21" l="1"/>
  <c r="C14507" i="21"/>
  <c r="E14507" i="21"/>
  <c r="C14517" i="21"/>
  <c r="E14517" i="21"/>
  <c r="C14620" i="21"/>
  <c r="E14620" i="21"/>
  <c r="D14610" i="21"/>
  <c r="C14610" i="21"/>
  <c r="E14610" i="21"/>
  <c r="C14414" i="21"/>
  <c r="E14414" i="21"/>
  <c r="C14404" i="21"/>
  <c r="D14404" i="21"/>
  <c r="E14404" i="21"/>
  <c r="C14301" i="21"/>
  <c r="D14301" i="21"/>
  <c r="E14301" i="21"/>
  <c r="C14208" i="21"/>
  <c r="E14208" i="21"/>
  <c r="C14311" i="21"/>
  <c r="E14311" i="21"/>
  <c r="C14198" i="21"/>
  <c r="D14198" i="21"/>
  <c r="E14198" i="21"/>
  <c r="D14095" i="21"/>
  <c r="C14095" i="21"/>
  <c r="E14095" i="21"/>
  <c r="C14105" i="21"/>
  <c r="E14105" i="21"/>
  <c r="C13693" i="21"/>
  <c r="E13693" i="21"/>
  <c r="C13786" i="21"/>
  <c r="D13786" i="21"/>
  <c r="E13786" i="21"/>
  <c r="D13477" i="21"/>
  <c r="C13477" i="21"/>
  <c r="E13477" i="21"/>
  <c r="C13683" i="21"/>
  <c r="D13683" i="21"/>
  <c r="E13683" i="21"/>
  <c r="B13581" i="21"/>
  <c r="C13487" i="21"/>
  <c r="E13487" i="21"/>
  <c r="B13591" i="21"/>
  <c r="C13796" i="21"/>
  <c r="E13796" i="21"/>
  <c r="C13382" i="21"/>
  <c r="D13382" i="21"/>
  <c r="E13382" i="21"/>
  <c r="C13372" i="21"/>
  <c r="D13372" i="21"/>
  <c r="E13372" i="21"/>
  <c r="B13271" i="21"/>
  <c r="B13281" i="21"/>
  <c r="C12558" i="21"/>
  <c r="E12558" i="21"/>
  <c r="D12548" i="21"/>
  <c r="C12548" i="21"/>
  <c r="E12548" i="21"/>
  <c r="C12455" i="21"/>
  <c r="E12455" i="21"/>
  <c r="C12662" i="21"/>
  <c r="E12662" i="21"/>
  <c r="D12652" i="21"/>
  <c r="C12652" i="21"/>
  <c r="E12652" i="21"/>
  <c r="D12445" i="21"/>
  <c r="C12445" i="21"/>
  <c r="E12445" i="21"/>
  <c r="C11927" i="21"/>
  <c r="D11927" i="21"/>
  <c r="E11927" i="21"/>
  <c r="C12145" i="21"/>
  <c r="E12145" i="21"/>
  <c r="D10998" i="21"/>
  <c r="C10998" i="21"/>
  <c r="E10998" i="21"/>
  <c r="D11513" i="21"/>
  <c r="C11513" i="21"/>
  <c r="E11513" i="21"/>
  <c r="C12031" i="21"/>
  <c r="D12031" i="21"/>
  <c r="E12031" i="21"/>
  <c r="C11008" i="21"/>
  <c r="E11008" i="21"/>
  <c r="C11937" i="21"/>
  <c r="E11937" i="21"/>
  <c r="C12041" i="21"/>
  <c r="E12041" i="21"/>
  <c r="C11523" i="21"/>
  <c r="E11523" i="21"/>
  <c r="D12135" i="21"/>
  <c r="C12135" i="21"/>
  <c r="E12135" i="21"/>
  <c r="D10895" i="21"/>
  <c r="C10895" i="21"/>
  <c r="E10895" i="21"/>
  <c r="C10905" i="21"/>
  <c r="E10905" i="21"/>
  <c r="C10801" i="21"/>
  <c r="E10801" i="21"/>
  <c r="C10791" i="21"/>
  <c r="D10791" i="21"/>
  <c r="E10791" i="21"/>
  <c r="D10695" i="21"/>
  <c r="C10695" i="21"/>
  <c r="E10695" i="21"/>
  <c r="B10686" i="21"/>
  <c r="B14621" i="21" l="1"/>
  <c r="B14518" i="21"/>
  <c r="B14508" i="21"/>
  <c r="B14611" i="21"/>
  <c r="B14405" i="21"/>
  <c r="B14415" i="21"/>
  <c r="B14302" i="21"/>
  <c r="B14199" i="21"/>
  <c r="B14209" i="21"/>
  <c r="B14312" i="21"/>
  <c r="B14096" i="21"/>
  <c r="B14106" i="21"/>
  <c r="B13787" i="21"/>
  <c r="B13488" i="21"/>
  <c r="C13591" i="21"/>
  <c r="B13592" i="21" s="1"/>
  <c r="D13591" i="21"/>
  <c r="E13591" i="21"/>
  <c r="D13581" i="21"/>
  <c r="E13581" i="21"/>
  <c r="C13581" i="21"/>
  <c r="B13694" i="21"/>
  <c r="B13684" i="21"/>
  <c r="B13797" i="21"/>
  <c r="B13478" i="21"/>
  <c r="B13383" i="21"/>
  <c r="B13373" i="21"/>
  <c r="C13281" i="21"/>
  <c r="E13281" i="21"/>
  <c r="D13271" i="21"/>
  <c r="C13271" i="21"/>
  <c r="E13271" i="21"/>
  <c r="B12446" i="21"/>
  <c r="B12559" i="21"/>
  <c r="B12663" i="21"/>
  <c r="B12549" i="21"/>
  <c r="B12653" i="21"/>
  <c r="B12456" i="21"/>
  <c r="B11928" i="21"/>
  <c r="B12136" i="21"/>
  <c r="B11009" i="21"/>
  <c r="B10999" i="21"/>
  <c r="B11938" i="21"/>
  <c r="B12042" i="21"/>
  <c r="B11514" i="21"/>
  <c r="B11524" i="21"/>
  <c r="B12146" i="21"/>
  <c r="B12032" i="21"/>
  <c r="B10792" i="21"/>
  <c r="B10802" i="21"/>
  <c r="B10906" i="21"/>
  <c r="B10896" i="21"/>
  <c r="C10686" i="21"/>
  <c r="E10686" i="21"/>
  <c r="D10686" i="21"/>
  <c r="B10696" i="21"/>
  <c r="E14508" i="21" l="1"/>
  <c r="C14508" i="21"/>
  <c r="D14508" i="21"/>
  <c r="C14518" i="21"/>
  <c r="B14519" i="21" s="1"/>
  <c r="D14518" i="21"/>
  <c r="E14518" i="21"/>
  <c r="E14611" i="21"/>
  <c r="D14611" i="21"/>
  <c r="C14611" i="21"/>
  <c r="D14621" i="21"/>
  <c r="E14621" i="21"/>
  <c r="C14621" i="21"/>
  <c r="B14622" i="21" s="1"/>
  <c r="E14415" i="21"/>
  <c r="D14415" i="21"/>
  <c r="C14415" i="21"/>
  <c r="B14416" i="21" s="1"/>
  <c r="E14405" i="21"/>
  <c r="D14405" i="21"/>
  <c r="C14405" i="21"/>
  <c r="B14406" i="21" s="1"/>
  <c r="D14209" i="21"/>
  <c r="E14209" i="21"/>
  <c r="C14209" i="21"/>
  <c r="D14302" i="21"/>
  <c r="C14302" i="21"/>
  <c r="B14303" i="21" s="1"/>
  <c r="E14302" i="21"/>
  <c r="D14199" i="21"/>
  <c r="E14199" i="21"/>
  <c r="C14199" i="21"/>
  <c r="B14200" i="21" s="1"/>
  <c r="D14312" i="21"/>
  <c r="C14312" i="21"/>
  <c r="B14313" i="21" s="1"/>
  <c r="E14312" i="21"/>
  <c r="E14106" i="21"/>
  <c r="C14106" i="21"/>
  <c r="D14106" i="21"/>
  <c r="C14096" i="21"/>
  <c r="B14097" i="21" s="1"/>
  <c r="D14096" i="21"/>
  <c r="E14096" i="21"/>
  <c r="C13787" i="21"/>
  <c r="E13787" i="21"/>
  <c r="D13787" i="21"/>
  <c r="D13478" i="21"/>
  <c r="E13478" i="21"/>
  <c r="C13478" i="21"/>
  <c r="B13582" i="21"/>
  <c r="E13488" i="21"/>
  <c r="D13488" i="21"/>
  <c r="C13488" i="21"/>
  <c r="B13489" i="21" s="1"/>
  <c r="E13684" i="21"/>
  <c r="C13684" i="21"/>
  <c r="B13685" i="21" s="1"/>
  <c r="D13684" i="21"/>
  <c r="E13694" i="21"/>
  <c r="C13694" i="21"/>
  <c r="B13695" i="21" s="1"/>
  <c r="D13694" i="21"/>
  <c r="D13797" i="21"/>
  <c r="C13797" i="21"/>
  <c r="B13798" i="21" s="1"/>
  <c r="E13797" i="21"/>
  <c r="D13592" i="21"/>
  <c r="C13592" i="21"/>
  <c r="B13593" i="21" s="1"/>
  <c r="C13373" i="21"/>
  <c r="E13373" i="21"/>
  <c r="D13373" i="21"/>
  <c r="E13383" i="21"/>
  <c r="D13383" i="21"/>
  <c r="C13383" i="21"/>
  <c r="B13272" i="21"/>
  <c r="B13282" i="21"/>
  <c r="C12653" i="21"/>
  <c r="D12653" i="21"/>
  <c r="E12653" i="21"/>
  <c r="E12446" i="21"/>
  <c r="C12446" i="21"/>
  <c r="D12446" i="21"/>
  <c r="D12549" i="21"/>
  <c r="C12549" i="21"/>
  <c r="B12550" i="21" s="1"/>
  <c r="E12549" i="21"/>
  <c r="C12559" i="21"/>
  <c r="B12560" i="21" s="1"/>
  <c r="D12559" i="21"/>
  <c r="E12559" i="21"/>
  <c r="E12456" i="21"/>
  <c r="C12456" i="21"/>
  <c r="B12457" i="21" s="1"/>
  <c r="D12456" i="21"/>
  <c r="C12663" i="21"/>
  <c r="B12664" i="21" s="1"/>
  <c r="E12663" i="21"/>
  <c r="D12663" i="21"/>
  <c r="C11009" i="21"/>
  <c r="B11010" i="21" s="1"/>
  <c r="D11009" i="21"/>
  <c r="E11009" i="21"/>
  <c r="D11928" i="21"/>
  <c r="C11928" i="21"/>
  <c r="B11929" i="21" s="1"/>
  <c r="E11928" i="21"/>
  <c r="D11514" i="21"/>
  <c r="E11514" i="21"/>
  <c r="C11514" i="21"/>
  <c r="B11515" i="21" s="1"/>
  <c r="D12042" i="21"/>
  <c r="C12042" i="21"/>
  <c r="B12043" i="21" s="1"/>
  <c r="E12042" i="21"/>
  <c r="D12146" i="21"/>
  <c r="C12146" i="21"/>
  <c r="B12147" i="21" s="1"/>
  <c r="E12146" i="21"/>
  <c r="D12032" i="21"/>
  <c r="C12032" i="21"/>
  <c r="B12033" i="21" s="1"/>
  <c r="E12032" i="21"/>
  <c r="C11524" i="21"/>
  <c r="D11524" i="21"/>
  <c r="E11524" i="21"/>
  <c r="C10999" i="21"/>
  <c r="D10999" i="21"/>
  <c r="E10999" i="21"/>
  <c r="D12136" i="21"/>
  <c r="C12136" i="21"/>
  <c r="B12137" i="21" s="1"/>
  <c r="E12136" i="21"/>
  <c r="E11938" i="21"/>
  <c r="D11938" i="21"/>
  <c r="C11938" i="21"/>
  <c r="B11939" i="21" s="1"/>
  <c r="E10896" i="21"/>
  <c r="D10896" i="21"/>
  <c r="C10896" i="21"/>
  <c r="B10897" i="21" s="1"/>
  <c r="E10906" i="21"/>
  <c r="C10906" i="21"/>
  <c r="B10907" i="21" s="1"/>
  <c r="D10906" i="21"/>
  <c r="D10802" i="21"/>
  <c r="E10802" i="21"/>
  <c r="C10802" i="21"/>
  <c r="D10792" i="21"/>
  <c r="E10792" i="21"/>
  <c r="C10792" i="21"/>
  <c r="E10696" i="21"/>
  <c r="D10696" i="21"/>
  <c r="C10696" i="21"/>
  <c r="B10687" i="21"/>
  <c r="L10669" i="21"/>
  <c r="L10668" i="21"/>
  <c r="L10667" i="21"/>
  <c r="L10666" i="21"/>
  <c r="L10665" i="21"/>
  <c r="L10664" i="21"/>
  <c r="L10663" i="21"/>
  <c r="L10662" i="21"/>
  <c r="L10661" i="21"/>
  <c r="L10659" i="21"/>
  <c r="L10658" i="21"/>
  <c r="L10657" i="21"/>
  <c r="L10656" i="21"/>
  <c r="L10655" i="21"/>
  <c r="L10654" i="21"/>
  <c r="L10653" i="21"/>
  <c r="L10652" i="21"/>
  <c r="L10651" i="21"/>
  <c r="L10649" i="21"/>
  <c r="L10648" i="21"/>
  <c r="L10647" i="21"/>
  <c r="L10646" i="21"/>
  <c r="L10645" i="21"/>
  <c r="L10644" i="21"/>
  <c r="L10643" i="21"/>
  <c r="L10642" i="21"/>
  <c r="L10641" i="21"/>
  <c r="L10639" i="21"/>
  <c r="L10638" i="21"/>
  <c r="L10637" i="21"/>
  <c r="L10636" i="21"/>
  <c r="L10635" i="21"/>
  <c r="L10634" i="21"/>
  <c r="L10633" i="21"/>
  <c r="L10632" i="21"/>
  <c r="L10631" i="21"/>
  <c r="L10629" i="21"/>
  <c r="L10628" i="21"/>
  <c r="L10627" i="21"/>
  <c r="L10626" i="21"/>
  <c r="L10625" i="21"/>
  <c r="L10624" i="21"/>
  <c r="L10623" i="21"/>
  <c r="L10622" i="21"/>
  <c r="L10621" i="21"/>
  <c r="L10619" i="21"/>
  <c r="L10618" i="21"/>
  <c r="L10617" i="21"/>
  <c r="L10616" i="21"/>
  <c r="L10615" i="21"/>
  <c r="L10614" i="21"/>
  <c r="L10613" i="21"/>
  <c r="L10612" i="21"/>
  <c r="L10611" i="21"/>
  <c r="L10609" i="21"/>
  <c r="L10608" i="21"/>
  <c r="L10607" i="21"/>
  <c r="L10606" i="21"/>
  <c r="L10605" i="21"/>
  <c r="L10604" i="21"/>
  <c r="L10603" i="21"/>
  <c r="L10602" i="21"/>
  <c r="L10601" i="21"/>
  <c r="L10599" i="21"/>
  <c r="L10598" i="21"/>
  <c r="L10597" i="21"/>
  <c r="L10596" i="21"/>
  <c r="L10595" i="21"/>
  <c r="L10594" i="21"/>
  <c r="L10593" i="21"/>
  <c r="L10592" i="21"/>
  <c r="L10591" i="21"/>
  <c r="L10589" i="21"/>
  <c r="L10588" i="21"/>
  <c r="L10587" i="21"/>
  <c r="L10586" i="21"/>
  <c r="L10585" i="21"/>
  <c r="L10584" i="21"/>
  <c r="L10583" i="21"/>
  <c r="L10582" i="21"/>
  <c r="D14519" i="21" l="1"/>
  <c r="C14519" i="21"/>
  <c r="B14520" i="21" s="1"/>
  <c r="B14612" i="21"/>
  <c r="D14622" i="21"/>
  <c r="C14622" i="21"/>
  <c r="B14623" i="21" s="1"/>
  <c r="B14509" i="21"/>
  <c r="C14406" i="21"/>
  <c r="B14407" i="21" s="1"/>
  <c r="D14406" i="21"/>
  <c r="D14416" i="21"/>
  <c r="C14416" i="21"/>
  <c r="B14417" i="21" s="1"/>
  <c r="D14200" i="21"/>
  <c r="C14200" i="21"/>
  <c r="B14201" i="21" s="1"/>
  <c r="C14313" i="21"/>
  <c r="B14314" i="21" s="1"/>
  <c r="D14313" i="21"/>
  <c r="B14210" i="21"/>
  <c r="C14303" i="21"/>
  <c r="B14304" i="21" s="1"/>
  <c r="D14303" i="21"/>
  <c r="C14097" i="21"/>
  <c r="B14098" i="21" s="1"/>
  <c r="D14097" i="21"/>
  <c r="B14107" i="21"/>
  <c r="D13798" i="21"/>
  <c r="C13798" i="21"/>
  <c r="B13799" i="21" s="1"/>
  <c r="C13489" i="21"/>
  <c r="B13490" i="21" s="1"/>
  <c r="D13489" i="21"/>
  <c r="C13695" i="21"/>
  <c r="B13696" i="21" s="1"/>
  <c r="D13695" i="21"/>
  <c r="C13685" i="21"/>
  <c r="B13686" i="21" s="1"/>
  <c r="D13685" i="21"/>
  <c r="B13788" i="21"/>
  <c r="E13592" i="21"/>
  <c r="E13593" i="21"/>
  <c r="D13593" i="21"/>
  <c r="B13479" i="21"/>
  <c r="D13582" i="21"/>
  <c r="C13582" i="21"/>
  <c r="B13384" i="21"/>
  <c r="B13374" i="21"/>
  <c r="C13282" i="21"/>
  <c r="B13283" i="21" s="1"/>
  <c r="E13282" i="21"/>
  <c r="D13282" i="21"/>
  <c r="C13272" i="21"/>
  <c r="E13272" i="21"/>
  <c r="D13272" i="21"/>
  <c r="B12654" i="21"/>
  <c r="C12560" i="21"/>
  <c r="B12561" i="21" s="1"/>
  <c r="D12560" i="21"/>
  <c r="B12447" i="21"/>
  <c r="C12457" i="21"/>
  <c r="B12458" i="21" s="1"/>
  <c r="D12457" i="21"/>
  <c r="C12664" i="21"/>
  <c r="B12665" i="21" s="1"/>
  <c r="D12664" i="21"/>
  <c r="D12550" i="21"/>
  <c r="C12550" i="21"/>
  <c r="B12551" i="21" s="1"/>
  <c r="D12033" i="21"/>
  <c r="C12033" i="21"/>
  <c r="B12034" i="21" s="1"/>
  <c r="D11515" i="21"/>
  <c r="C11515" i="21"/>
  <c r="B11516" i="21" s="1"/>
  <c r="C11010" i="21"/>
  <c r="B11011" i="21" s="1"/>
  <c r="D11010" i="21"/>
  <c r="D12137" i="21"/>
  <c r="C12137" i="21"/>
  <c r="B12138" i="21" s="1"/>
  <c r="B11525" i="21"/>
  <c r="C12043" i="21"/>
  <c r="B12044" i="21" s="1"/>
  <c r="D12043" i="21"/>
  <c r="C11939" i="21"/>
  <c r="B11940" i="21" s="1"/>
  <c r="D11939" i="21"/>
  <c r="D11929" i="21"/>
  <c r="C11929" i="21"/>
  <c r="B11930" i="21" s="1"/>
  <c r="B11000" i="21"/>
  <c r="C12147" i="21"/>
  <c r="B12148" i="21" s="1"/>
  <c r="D12147" i="21"/>
  <c r="B10793" i="21"/>
  <c r="B10803" i="21"/>
  <c r="D10907" i="21"/>
  <c r="C10907" i="21"/>
  <c r="B10908" i="21" s="1"/>
  <c r="D10897" i="21"/>
  <c r="C10897" i="21"/>
  <c r="B10898" i="21" s="1"/>
  <c r="C10687" i="21"/>
  <c r="D10687" i="21"/>
  <c r="E10687" i="21"/>
  <c r="B10697" i="21"/>
  <c r="L10565" i="21"/>
  <c r="L10564" i="21"/>
  <c r="L10563" i="21"/>
  <c r="L10562" i="21"/>
  <c r="L10561" i="21"/>
  <c r="L10560" i="21"/>
  <c r="L10559" i="21"/>
  <c r="L10558" i="21"/>
  <c r="L10557" i="21"/>
  <c r="L10555" i="21"/>
  <c r="L10554" i="21"/>
  <c r="L10553" i="21"/>
  <c r="L10552" i="21"/>
  <c r="L10551" i="21"/>
  <c r="L10550" i="21"/>
  <c r="L10549" i="21"/>
  <c r="L10548" i="21"/>
  <c r="L10547" i="21"/>
  <c r="L10545" i="21"/>
  <c r="L10544" i="21"/>
  <c r="L10543" i="21"/>
  <c r="L10542" i="21"/>
  <c r="L10541" i="21"/>
  <c r="L10540" i="21"/>
  <c r="L10539" i="21"/>
  <c r="L10538" i="21"/>
  <c r="L10537" i="21"/>
  <c r="L10535" i="21"/>
  <c r="L10534" i="21"/>
  <c r="L10533" i="21"/>
  <c r="L10532" i="21"/>
  <c r="L10531" i="21"/>
  <c r="L10530" i="21"/>
  <c r="L10529" i="21"/>
  <c r="L10528" i="21"/>
  <c r="L10527" i="21"/>
  <c r="L10525" i="21"/>
  <c r="L10524" i="21"/>
  <c r="L10523" i="21"/>
  <c r="L10522" i="21"/>
  <c r="L10521" i="21"/>
  <c r="L10520" i="21"/>
  <c r="L10519" i="21"/>
  <c r="L10518" i="21"/>
  <c r="L10517" i="21"/>
  <c r="L10515" i="21"/>
  <c r="L10514" i="21"/>
  <c r="L10513" i="21"/>
  <c r="L10512" i="21"/>
  <c r="L10511" i="21"/>
  <c r="L10510" i="21"/>
  <c r="L10509" i="21"/>
  <c r="L10508" i="21"/>
  <c r="L10507" i="21"/>
  <c r="L10505" i="21"/>
  <c r="L10504" i="21"/>
  <c r="L10503" i="21"/>
  <c r="L10502" i="21"/>
  <c r="L10501" i="21"/>
  <c r="L10500" i="21"/>
  <c r="L10499" i="21"/>
  <c r="L10498" i="21"/>
  <c r="L10497" i="21"/>
  <c r="L10495" i="21"/>
  <c r="L10494" i="21"/>
  <c r="L10493" i="21"/>
  <c r="L10492" i="21"/>
  <c r="L10491" i="21"/>
  <c r="L10490" i="21"/>
  <c r="L10489" i="21"/>
  <c r="L10488" i="21"/>
  <c r="L10487" i="21"/>
  <c r="L10485" i="21"/>
  <c r="L10484" i="21"/>
  <c r="L10483" i="21"/>
  <c r="L10482" i="21"/>
  <c r="L10481" i="21"/>
  <c r="L10480" i="21"/>
  <c r="L10479" i="21"/>
  <c r="L10478" i="21"/>
  <c r="D14509" i="21" l="1"/>
  <c r="C14509" i="21"/>
  <c r="E14622" i="21"/>
  <c r="D14623" i="21"/>
  <c r="E14623" i="21"/>
  <c r="E14519" i="21"/>
  <c r="D14520" i="21"/>
  <c r="E14520" i="21"/>
  <c r="D14612" i="21"/>
  <c r="C14612" i="21"/>
  <c r="E14416" i="21"/>
  <c r="D14417" i="21"/>
  <c r="E14417" i="21"/>
  <c r="E14406" i="21"/>
  <c r="E14407" i="21"/>
  <c r="D14407" i="21"/>
  <c r="E14303" i="21"/>
  <c r="E14304" i="21"/>
  <c r="D14304" i="21"/>
  <c r="E14200" i="21"/>
  <c r="D14201" i="21"/>
  <c r="E14201" i="21"/>
  <c r="E14313" i="21"/>
  <c r="E14314" i="21"/>
  <c r="D14314" i="21"/>
  <c r="D14210" i="21"/>
  <c r="C14210" i="21"/>
  <c r="D14107" i="21"/>
  <c r="C14107" i="21"/>
  <c r="E14097" i="21"/>
  <c r="E14098" i="21"/>
  <c r="D14098" i="21"/>
  <c r="D13479" i="21"/>
  <c r="C13479" i="21"/>
  <c r="E13685" i="21"/>
  <c r="D13686" i="21"/>
  <c r="E13686" i="21"/>
  <c r="B13583" i="21"/>
  <c r="C13788" i="21"/>
  <c r="D13788" i="21"/>
  <c r="E13798" i="21"/>
  <c r="E13799" i="21"/>
  <c r="D13799" i="21"/>
  <c r="E13489" i="21"/>
  <c r="D13490" i="21"/>
  <c r="E13490" i="21"/>
  <c r="E13695" i="21"/>
  <c r="E13696" i="21"/>
  <c r="D13696" i="21"/>
  <c r="C13374" i="21"/>
  <c r="D13374" i="21"/>
  <c r="E13374" i="21"/>
  <c r="C13384" i="21"/>
  <c r="E13384" i="21"/>
  <c r="B13273" i="21"/>
  <c r="C13283" i="21"/>
  <c r="B13284" i="21" s="1"/>
  <c r="D13283" i="21"/>
  <c r="E12457" i="21"/>
  <c r="D12458" i="21"/>
  <c r="E12458" i="21"/>
  <c r="C12654" i="21"/>
  <c r="D12654" i="21"/>
  <c r="E12560" i="21"/>
  <c r="E12561" i="21"/>
  <c r="D12561" i="21"/>
  <c r="E12664" i="21"/>
  <c r="E12665" i="21"/>
  <c r="D12665" i="21"/>
  <c r="C12447" i="21"/>
  <c r="D12447" i="21"/>
  <c r="E12550" i="21"/>
  <c r="D12551" i="21"/>
  <c r="E12551" i="21"/>
  <c r="E12147" i="21"/>
  <c r="E12148" i="21"/>
  <c r="D12148" i="21"/>
  <c r="E12137" i="21"/>
  <c r="E12138" i="21"/>
  <c r="D12138" i="21"/>
  <c r="E12033" i="21"/>
  <c r="E12034" i="21"/>
  <c r="D12034" i="21"/>
  <c r="C11525" i="21"/>
  <c r="D11525" i="21"/>
  <c r="E11515" i="21"/>
  <c r="E11516" i="21"/>
  <c r="D11516" i="21"/>
  <c r="E12043" i="21"/>
  <c r="E12044" i="21"/>
  <c r="D12044" i="21"/>
  <c r="E11010" i="21"/>
  <c r="E11011" i="21"/>
  <c r="D11011" i="21"/>
  <c r="E11929" i="21"/>
  <c r="E11930" i="21"/>
  <c r="D11930" i="21"/>
  <c r="D11000" i="21"/>
  <c r="C11000" i="21"/>
  <c r="E11939" i="21"/>
  <c r="E11940" i="21"/>
  <c r="D11940" i="21"/>
  <c r="E10897" i="21"/>
  <c r="D10898" i="21"/>
  <c r="E10898" i="21"/>
  <c r="E10907" i="21"/>
  <c r="D10908" i="21"/>
  <c r="E10908" i="21"/>
  <c r="C10803" i="21"/>
  <c r="B10804" i="21" s="1"/>
  <c r="D10803" i="21"/>
  <c r="C10793" i="21"/>
  <c r="B10794" i="21" s="1"/>
  <c r="D10793" i="21"/>
  <c r="C10697" i="21"/>
  <c r="E10697" i="21"/>
  <c r="B10688" i="21"/>
  <c r="B10580" i="21"/>
  <c r="C10580" i="21" s="1"/>
  <c r="B14510" i="21" l="1"/>
  <c r="E14509" i="21" s="1"/>
  <c r="B14613" i="21"/>
  <c r="E14612" i="21" s="1"/>
  <c r="A14393" i="21"/>
  <c r="A14290" i="21"/>
  <c r="A14187" i="21"/>
  <c r="B14211" i="21"/>
  <c r="E14210" i="21" s="1"/>
  <c r="A14084" i="21"/>
  <c r="B14108" i="21"/>
  <c r="E14107" i="21" s="1"/>
  <c r="B13480" i="21"/>
  <c r="E13479" i="21" s="1"/>
  <c r="A13672" i="21"/>
  <c r="E13583" i="21"/>
  <c r="D13583" i="21"/>
  <c r="B13789" i="21"/>
  <c r="E13582" i="21"/>
  <c r="B13385" i="21"/>
  <c r="B13375" i="21"/>
  <c r="E13283" i="21"/>
  <c r="E13284" i="21"/>
  <c r="D13284" i="21"/>
  <c r="C13273" i="21"/>
  <c r="D13273" i="21"/>
  <c r="B12448" i="21"/>
  <c r="E12447" i="21" s="1"/>
  <c r="B12655" i="21"/>
  <c r="A12537" i="21"/>
  <c r="A12124" i="21"/>
  <c r="A11502" i="21"/>
  <c r="A11916" i="21"/>
  <c r="A12020" i="21"/>
  <c r="B11526" i="21"/>
  <c r="B11001" i="21"/>
  <c r="E10803" i="21"/>
  <c r="D10804" i="21"/>
  <c r="E10804" i="21"/>
  <c r="E10793" i="21"/>
  <c r="D10794" i="21"/>
  <c r="E10794" i="21"/>
  <c r="A10884" i="21"/>
  <c r="E10688" i="21"/>
  <c r="D10688" i="21"/>
  <c r="C10688" i="21"/>
  <c r="B10698" i="21"/>
  <c r="B10581" i="21"/>
  <c r="C10581" i="21" s="1"/>
  <c r="E10580" i="21"/>
  <c r="B10590" i="21"/>
  <c r="D10590" i="21" s="1"/>
  <c r="D10580" i="21"/>
  <c r="E14613" i="21" l="1"/>
  <c r="D14613" i="21"/>
  <c r="D14510" i="21"/>
  <c r="E14510" i="21"/>
  <c r="E14211" i="21"/>
  <c r="D14211" i="21"/>
  <c r="E14108" i="21"/>
  <c r="D14108" i="21"/>
  <c r="A13569" i="21"/>
  <c r="E13789" i="21"/>
  <c r="D13789" i="21"/>
  <c r="E13480" i="21"/>
  <c r="D13480" i="21"/>
  <c r="E13788" i="21"/>
  <c r="E13375" i="21"/>
  <c r="D13375" i="21"/>
  <c r="C13375" i="21"/>
  <c r="B13376" i="21" s="1"/>
  <c r="E13385" i="21"/>
  <c r="D13385" i="21"/>
  <c r="C13385" i="21"/>
  <c r="B13274" i="21"/>
  <c r="E13273" i="21" s="1"/>
  <c r="D12448" i="21"/>
  <c r="E12448" i="21"/>
  <c r="E12655" i="21"/>
  <c r="D12655" i="21"/>
  <c r="E12654" i="21"/>
  <c r="D11001" i="21"/>
  <c r="E11001" i="21"/>
  <c r="D11526" i="21"/>
  <c r="E11526" i="21"/>
  <c r="E11000" i="21"/>
  <c r="E11525" i="21"/>
  <c r="A10780" i="21"/>
  <c r="E10698" i="21"/>
  <c r="D10698" i="21"/>
  <c r="C10698" i="21"/>
  <c r="B10689" i="21"/>
  <c r="E10590" i="21"/>
  <c r="D10581" i="21"/>
  <c r="E10581" i="21"/>
  <c r="C10590" i="21"/>
  <c r="B10591" i="21" s="1"/>
  <c r="D10591" i="21" s="1"/>
  <c r="B10582" i="21"/>
  <c r="A14496" i="21" l="1"/>
  <c r="A14599" i="21"/>
  <c r="A13466" i="21"/>
  <c r="A13775" i="21"/>
  <c r="B13386" i="21"/>
  <c r="C13376" i="21"/>
  <c r="B13377" i="21" s="1"/>
  <c r="D13376" i="21"/>
  <c r="D13274" i="21"/>
  <c r="E13274" i="21"/>
  <c r="A12434" i="21"/>
  <c r="A12641" i="21"/>
  <c r="A10987" i="21"/>
  <c r="C10689" i="21"/>
  <c r="B10690" i="21" s="1"/>
  <c r="D10689" i="21"/>
  <c r="B10699" i="21"/>
  <c r="E10591" i="21"/>
  <c r="C10591" i="21"/>
  <c r="B10592" i="21" s="1"/>
  <c r="E10582" i="21"/>
  <c r="C10582" i="21"/>
  <c r="D10582" i="21"/>
  <c r="L10461" i="21"/>
  <c r="L10460" i="21"/>
  <c r="L10459" i="21"/>
  <c r="L10458" i="21"/>
  <c r="L10457" i="21"/>
  <c r="L10456" i="21"/>
  <c r="L10455" i="21"/>
  <c r="L10454" i="21"/>
  <c r="L10453" i="21"/>
  <c r="L10451" i="21"/>
  <c r="L10450" i="21"/>
  <c r="L10449" i="21"/>
  <c r="L10448" i="21"/>
  <c r="L10447" i="21"/>
  <c r="L10446" i="21"/>
  <c r="L10445" i="21"/>
  <c r="L10444" i="21"/>
  <c r="L10443" i="21"/>
  <c r="L10441" i="21"/>
  <c r="L10440" i="21"/>
  <c r="L10439" i="21"/>
  <c r="L10438" i="21"/>
  <c r="L10437" i="21"/>
  <c r="L10436" i="21"/>
  <c r="L10435" i="21"/>
  <c r="L10434" i="21"/>
  <c r="L10433" i="21"/>
  <c r="L10431" i="21"/>
  <c r="L10430" i="21"/>
  <c r="L10429" i="21"/>
  <c r="L10428" i="21"/>
  <c r="L10427" i="21"/>
  <c r="L10426" i="21"/>
  <c r="L10425" i="21"/>
  <c r="L10424" i="21"/>
  <c r="L10423" i="21"/>
  <c r="L10421" i="21"/>
  <c r="L10420" i="21"/>
  <c r="L10419" i="21"/>
  <c r="L10418" i="21"/>
  <c r="L10417" i="21"/>
  <c r="L10416" i="21"/>
  <c r="L10415" i="21"/>
  <c r="L10414" i="21"/>
  <c r="L10413" i="21"/>
  <c r="L10411" i="21"/>
  <c r="L10410" i="21"/>
  <c r="L10409" i="21"/>
  <c r="L10408" i="21"/>
  <c r="L10407" i="21"/>
  <c r="L10406" i="21"/>
  <c r="L10405" i="21"/>
  <c r="L10404" i="21"/>
  <c r="L10403" i="21"/>
  <c r="L10401" i="21"/>
  <c r="L10400" i="21"/>
  <c r="L10399" i="21"/>
  <c r="L10398" i="21"/>
  <c r="L10397" i="21"/>
  <c r="L10396" i="21"/>
  <c r="L10395" i="21"/>
  <c r="L10394" i="21"/>
  <c r="L10393" i="21"/>
  <c r="L10391" i="21"/>
  <c r="L10390" i="21"/>
  <c r="L10389" i="21"/>
  <c r="L10388" i="21"/>
  <c r="L10387" i="21"/>
  <c r="L10386" i="21"/>
  <c r="L10385" i="21"/>
  <c r="L10384" i="21"/>
  <c r="L10383" i="21"/>
  <c r="L10381" i="21"/>
  <c r="L10380" i="21"/>
  <c r="L10379" i="21"/>
  <c r="L10378" i="21"/>
  <c r="L10377" i="21"/>
  <c r="L10376" i="21"/>
  <c r="L10375" i="21"/>
  <c r="L10374" i="21"/>
  <c r="L10357" i="21"/>
  <c r="L10356" i="21"/>
  <c r="L10355" i="21"/>
  <c r="L10354" i="21"/>
  <c r="L10353" i="21"/>
  <c r="L10352" i="21"/>
  <c r="L10351" i="21"/>
  <c r="L10350" i="21"/>
  <c r="L10349" i="21"/>
  <c r="L10347" i="21"/>
  <c r="L10346" i="21"/>
  <c r="L10345" i="21"/>
  <c r="L10344" i="21"/>
  <c r="L10343" i="21"/>
  <c r="L10342" i="21"/>
  <c r="L10341" i="21"/>
  <c r="L10340" i="21"/>
  <c r="L10339" i="21"/>
  <c r="L10337" i="21"/>
  <c r="L10336" i="21"/>
  <c r="L10335" i="21"/>
  <c r="L10334" i="21"/>
  <c r="L10333" i="21"/>
  <c r="L10332" i="21"/>
  <c r="L10331" i="21"/>
  <c r="L10330" i="21"/>
  <c r="L10329" i="21"/>
  <c r="L10327" i="21"/>
  <c r="L10326" i="21"/>
  <c r="L10325" i="21"/>
  <c r="L10324" i="21"/>
  <c r="L10323" i="21"/>
  <c r="L10322" i="21"/>
  <c r="L10321" i="21"/>
  <c r="L10320" i="21"/>
  <c r="L10319" i="21"/>
  <c r="L10317" i="21"/>
  <c r="L10316" i="21"/>
  <c r="L10315" i="21"/>
  <c r="L10314" i="21"/>
  <c r="L10313" i="21"/>
  <c r="L10312" i="21"/>
  <c r="L10311" i="21"/>
  <c r="L10310" i="21"/>
  <c r="L10309" i="21"/>
  <c r="L10307" i="21"/>
  <c r="L10306" i="21"/>
  <c r="L10305" i="21"/>
  <c r="L10304" i="21"/>
  <c r="L10303" i="21"/>
  <c r="L10302" i="21"/>
  <c r="L10301" i="21"/>
  <c r="L10300" i="21"/>
  <c r="L10299" i="21"/>
  <c r="L10297" i="21"/>
  <c r="L10296" i="21"/>
  <c r="L10295" i="21"/>
  <c r="L10294" i="21"/>
  <c r="L10293" i="21"/>
  <c r="L10292" i="21"/>
  <c r="L10291" i="21"/>
  <c r="L10290" i="21"/>
  <c r="L10289" i="21"/>
  <c r="L10287" i="21"/>
  <c r="L10286" i="21"/>
  <c r="L10285" i="21"/>
  <c r="L10284" i="21"/>
  <c r="L10283" i="21"/>
  <c r="L10282" i="21"/>
  <c r="L10281" i="21"/>
  <c r="L10280" i="21"/>
  <c r="L10279" i="21"/>
  <c r="L10277" i="21"/>
  <c r="L10276" i="21"/>
  <c r="L10275" i="21"/>
  <c r="L10274" i="21"/>
  <c r="L10273" i="21"/>
  <c r="L10272" i="21"/>
  <c r="L10271" i="21"/>
  <c r="L10270" i="21"/>
  <c r="C13386" i="21" l="1"/>
  <c r="D13386" i="21"/>
  <c r="E13376" i="21"/>
  <c r="D13377" i="21"/>
  <c r="E13377" i="21"/>
  <c r="A13260" i="21"/>
  <c r="D10699" i="21"/>
  <c r="C10699" i="21"/>
  <c r="B10700" i="21" s="1"/>
  <c r="E10689" i="21"/>
  <c r="D10690" i="21"/>
  <c r="E10690" i="21"/>
  <c r="E10592" i="21"/>
  <c r="C10592" i="21"/>
  <c r="D10592" i="21"/>
  <c r="B10583" i="21"/>
  <c r="A10464" i="21" l="1"/>
  <c r="B10476" i="21" s="1"/>
  <c r="A13363" i="21"/>
  <c r="B13387" i="21"/>
  <c r="A10676" i="21"/>
  <c r="E10699" i="21"/>
  <c r="E10700" i="21"/>
  <c r="D10700" i="21"/>
  <c r="D10583" i="21"/>
  <c r="C10583" i="21"/>
  <c r="E10583" i="21"/>
  <c r="B10593" i="21"/>
  <c r="A10256" i="21"/>
  <c r="B10486" i="21" l="1"/>
  <c r="C10486" i="21" s="1"/>
  <c r="B10487" i="21" s="1"/>
  <c r="E10487" i="21" s="1"/>
  <c r="D13387" i="21"/>
  <c r="E13387" i="21"/>
  <c r="E13386" i="21"/>
  <c r="E10476" i="21"/>
  <c r="D10476" i="21"/>
  <c r="C10476" i="21"/>
  <c r="B10477" i="21" s="1"/>
  <c r="E10477" i="21" s="1"/>
  <c r="B10584" i="21"/>
  <c r="C10593" i="21"/>
  <c r="E10593" i="21"/>
  <c r="B10268" i="21"/>
  <c r="B10278" i="21"/>
  <c r="E10486" i="21" l="1"/>
  <c r="D10486" i="21"/>
  <c r="D10487" i="21"/>
  <c r="C10487" i="21"/>
  <c r="C10477" i="21"/>
  <c r="B10478" i="21" s="1"/>
  <c r="D10477" i="21"/>
  <c r="B10594" i="21"/>
  <c r="E10584" i="21"/>
  <c r="C10584" i="21"/>
  <c r="D10584" i="21"/>
  <c r="E10278" i="21"/>
  <c r="D10278" i="21"/>
  <c r="C10278" i="21"/>
  <c r="B10279" i="21" s="1"/>
  <c r="C10279" i="21" s="1"/>
  <c r="C10268" i="21"/>
  <c r="B10269" i="21" s="1"/>
  <c r="D10268" i="21"/>
  <c r="E10268" i="21"/>
  <c r="E10478" i="21" l="1"/>
  <c r="D10478" i="21"/>
  <c r="C10478" i="21"/>
  <c r="B10479" i="21" s="1"/>
  <c r="B10488" i="21"/>
  <c r="B10585" i="21"/>
  <c r="E10594" i="21"/>
  <c r="C10594" i="21"/>
  <c r="D10594" i="21"/>
  <c r="D10279" i="21"/>
  <c r="E10279" i="21"/>
  <c r="C10269" i="21"/>
  <c r="B10270" i="21" s="1"/>
  <c r="E10269" i="21"/>
  <c r="D10269" i="21"/>
  <c r="B10280" i="21"/>
  <c r="A10360" i="21" l="1"/>
  <c r="B10382" i="21" s="1"/>
  <c r="C10488" i="21"/>
  <c r="E10488" i="21"/>
  <c r="D10488" i="21"/>
  <c r="D10479" i="21"/>
  <c r="C10479" i="21"/>
  <c r="B10480" i="21" s="1"/>
  <c r="E10479" i="21"/>
  <c r="B10595" i="21"/>
  <c r="D10585" i="21"/>
  <c r="C10585" i="21"/>
  <c r="C10270" i="21"/>
  <c r="E10270" i="21"/>
  <c r="D10270" i="21"/>
  <c r="E10280" i="21"/>
  <c r="C10280" i="21"/>
  <c r="D10280" i="21"/>
  <c r="B10271" i="21"/>
  <c r="B10372" i="21" l="1"/>
  <c r="E10372" i="21" s="1"/>
  <c r="B10489" i="21"/>
  <c r="C10382" i="21"/>
  <c r="B10383" i="21" s="1"/>
  <c r="E10383" i="21" s="1"/>
  <c r="E10382" i="21"/>
  <c r="D10382" i="21"/>
  <c r="E10480" i="21"/>
  <c r="D10480" i="21"/>
  <c r="C10480" i="21"/>
  <c r="B10481" i="21" s="1"/>
  <c r="D10481" i="21" s="1"/>
  <c r="B10586" i="21"/>
  <c r="E10585" i="21" s="1"/>
  <c r="D10595" i="21"/>
  <c r="C10595" i="21"/>
  <c r="D10271" i="21"/>
  <c r="C10271" i="21"/>
  <c r="E10271" i="21"/>
  <c r="B10281" i="21"/>
  <c r="D10372" i="21" l="1"/>
  <c r="C10372" i="21"/>
  <c r="B10373" i="21" s="1"/>
  <c r="E10373" i="21" s="1"/>
  <c r="C10481" i="21"/>
  <c r="B10482" i="21" s="1"/>
  <c r="E10481" i="21" s="1"/>
  <c r="C10383" i="21"/>
  <c r="D10383" i="21"/>
  <c r="C10489" i="21"/>
  <c r="E10489" i="21"/>
  <c r="B10596" i="21"/>
  <c r="E10595" i="21" s="1"/>
  <c r="D10586" i="21"/>
  <c r="E10586" i="21"/>
  <c r="D10281" i="21"/>
  <c r="C10281" i="21"/>
  <c r="E10281" i="21"/>
  <c r="B10272" i="21"/>
  <c r="D10373" i="21" l="1"/>
  <c r="C10373" i="21"/>
  <c r="B10374" i="21" s="1"/>
  <c r="C10374" i="21" s="1"/>
  <c r="B10490" i="21"/>
  <c r="B10384" i="21"/>
  <c r="A10572" i="21"/>
  <c r="D10596" i="21"/>
  <c r="E10596" i="21"/>
  <c r="D10482" i="21"/>
  <c r="E10482" i="21"/>
  <c r="E10272" i="21"/>
  <c r="C10272" i="21"/>
  <c r="D10272" i="21"/>
  <c r="B10282" i="21"/>
  <c r="E10374" i="21" l="1"/>
  <c r="D10374" i="21"/>
  <c r="E10490" i="21"/>
  <c r="D10490" i="21"/>
  <c r="C10490" i="21"/>
  <c r="B10375" i="21"/>
  <c r="C10384" i="21"/>
  <c r="E10384" i="21"/>
  <c r="D10384" i="21"/>
  <c r="A10468" i="21"/>
  <c r="E10282" i="21"/>
  <c r="C10282" i="21"/>
  <c r="D10282" i="21"/>
  <c r="B10273" i="21"/>
  <c r="B10385" i="21" l="1"/>
  <c r="E10375" i="21"/>
  <c r="C10375" i="21"/>
  <c r="D10375" i="21"/>
  <c r="B10491" i="21"/>
  <c r="D10273" i="21"/>
  <c r="C10273" i="21"/>
  <c r="B10283" i="21"/>
  <c r="C10491" i="21" l="1"/>
  <c r="B10492" i="21" s="1"/>
  <c r="D10491" i="21"/>
  <c r="B10376" i="21"/>
  <c r="C10385" i="21"/>
  <c r="E10385" i="21"/>
  <c r="D10283" i="21"/>
  <c r="C10283" i="21"/>
  <c r="B10274" i="21"/>
  <c r="E10273" i="21" s="1"/>
  <c r="L10252" i="21"/>
  <c r="L10251" i="21"/>
  <c r="L10250" i="21"/>
  <c r="L10249" i="21"/>
  <c r="L10248" i="21"/>
  <c r="L10247" i="21"/>
  <c r="L10246" i="21"/>
  <c r="L10245" i="21"/>
  <c r="L10244" i="21"/>
  <c r="L10242" i="21"/>
  <c r="L10241" i="21"/>
  <c r="L10240" i="21"/>
  <c r="L10239" i="21"/>
  <c r="L10238" i="21"/>
  <c r="L10237" i="21"/>
  <c r="L10236" i="21"/>
  <c r="L10235" i="21"/>
  <c r="L10234" i="21"/>
  <c r="L10232" i="21"/>
  <c r="L10231" i="21"/>
  <c r="L10230" i="21"/>
  <c r="L10229" i="21"/>
  <c r="L10228" i="21"/>
  <c r="L10227" i="21"/>
  <c r="L10226" i="21"/>
  <c r="L10225" i="21"/>
  <c r="L10224" i="21"/>
  <c r="L10222" i="21"/>
  <c r="L10221" i="21"/>
  <c r="L10220" i="21"/>
  <c r="L10219" i="21"/>
  <c r="L10218" i="21"/>
  <c r="L10217" i="21"/>
  <c r="L10216" i="21"/>
  <c r="L10215" i="21"/>
  <c r="L10214" i="21"/>
  <c r="L10212" i="21"/>
  <c r="L10211" i="21"/>
  <c r="L10210" i="21"/>
  <c r="L10209" i="21"/>
  <c r="L10208" i="21"/>
  <c r="L10207" i="21"/>
  <c r="L10206" i="21"/>
  <c r="L10205" i="21"/>
  <c r="L10204" i="21"/>
  <c r="L10202" i="21"/>
  <c r="L10201" i="21"/>
  <c r="L10200" i="21"/>
  <c r="L10199" i="21"/>
  <c r="L10198" i="21"/>
  <c r="L10197" i="21"/>
  <c r="L10196" i="21"/>
  <c r="L10195" i="21"/>
  <c r="L10194" i="21"/>
  <c r="L10192" i="21"/>
  <c r="L10191" i="21"/>
  <c r="L10190" i="21"/>
  <c r="L10189" i="21"/>
  <c r="L10188" i="21"/>
  <c r="L10187" i="21"/>
  <c r="L10186" i="21"/>
  <c r="L10185" i="21"/>
  <c r="L10184" i="21"/>
  <c r="L10182" i="21"/>
  <c r="L10181" i="21"/>
  <c r="L10180" i="21"/>
  <c r="L10179" i="21"/>
  <c r="L10178" i="21"/>
  <c r="L10177" i="21"/>
  <c r="L10176" i="21"/>
  <c r="L10175" i="21"/>
  <c r="L10174" i="21"/>
  <c r="L10172" i="21"/>
  <c r="L10171" i="21"/>
  <c r="L10170" i="21"/>
  <c r="L10169" i="21"/>
  <c r="L10168" i="21"/>
  <c r="L10167" i="21"/>
  <c r="L10166" i="21"/>
  <c r="L10165" i="21"/>
  <c r="B10386" i="21" l="1"/>
  <c r="E10376" i="21"/>
  <c r="D10376" i="21"/>
  <c r="C10376" i="21"/>
  <c r="E10491" i="21"/>
  <c r="D10492" i="21"/>
  <c r="E10492" i="21"/>
  <c r="D10274" i="21"/>
  <c r="E10274" i="21"/>
  <c r="B10284" i="21"/>
  <c r="E10283" i="21" s="1"/>
  <c r="B10377" i="21" l="1"/>
  <c r="C10386" i="21"/>
  <c r="E10386" i="21"/>
  <c r="D10386" i="21"/>
  <c r="A10260" i="21"/>
  <c r="D10284" i="21"/>
  <c r="E10284" i="21"/>
  <c r="D10377" i="21" l="1"/>
  <c r="C10377" i="21"/>
  <c r="B10378" i="21" s="1"/>
  <c r="B10387" i="21"/>
  <c r="A10263" i="21"/>
  <c r="A10151" i="21"/>
  <c r="B10173" i="21" s="1"/>
  <c r="B10163" i="21" l="1"/>
  <c r="E10163" i="21" s="1"/>
  <c r="C10387" i="21"/>
  <c r="B10388" i="21" s="1"/>
  <c r="D10387" i="21"/>
  <c r="E10377" i="21"/>
  <c r="E10378" i="21"/>
  <c r="D10378" i="21"/>
  <c r="D10173" i="21"/>
  <c r="C10173" i="21"/>
  <c r="B10174" i="21" s="1"/>
  <c r="C10174" i="21" s="1"/>
  <c r="E10173" i="21"/>
  <c r="D10163" i="21" l="1"/>
  <c r="C10163" i="21"/>
  <c r="B10164" i="21" s="1"/>
  <c r="E10164" i="21" s="1"/>
  <c r="A10364" i="21"/>
  <c r="E10387" i="21"/>
  <c r="E10388" i="21"/>
  <c r="D10388" i="21"/>
  <c r="E10174" i="21"/>
  <c r="D10174" i="21"/>
  <c r="B10175" i="21"/>
  <c r="C10164" i="21" l="1"/>
  <c r="B10165" i="21" s="1"/>
  <c r="E10165" i="21" s="1"/>
  <c r="D10164" i="21"/>
  <c r="E10175" i="21"/>
  <c r="C10175" i="21"/>
  <c r="D10175" i="21"/>
  <c r="C10165" i="21" l="1"/>
  <c r="B10166" i="21" s="1"/>
  <c r="E10166" i="21" s="1"/>
  <c r="D10165" i="21"/>
  <c r="B10176" i="21"/>
  <c r="D10166" i="21" l="1"/>
  <c r="C10166" i="21"/>
  <c r="B10167" i="21"/>
  <c r="D10176" i="21"/>
  <c r="C10176" i="21"/>
  <c r="E10176" i="21"/>
  <c r="L10148" i="21"/>
  <c r="L10147" i="21"/>
  <c r="L10146" i="21"/>
  <c r="L10145" i="21"/>
  <c r="L10144" i="21"/>
  <c r="L10143" i="21"/>
  <c r="L10142" i="21"/>
  <c r="L10141" i="21"/>
  <c r="L10140" i="21"/>
  <c r="L10138" i="21"/>
  <c r="L10137" i="21"/>
  <c r="L10136" i="21"/>
  <c r="L10135" i="21"/>
  <c r="L10134" i="21"/>
  <c r="L10133" i="21"/>
  <c r="L10132" i="21"/>
  <c r="L10131" i="21"/>
  <c r="L10130" i="21"/>
  <c r="L10128" i="21"/>
  <c r="L10127" i="21"/>
  <c r="L10126" i="21"/>
  <c r="L10125" i="21"/>
  <c r="L10124" i="21"/>
  <c r="L10123" i="21"/>
  <c r="L10122" i="21"/>
  <c r="L10121" i="21"/>
  <c r="L10120" i="21"/>
  <c r="L10118" i="21"/>
  <c r="L10117" i="21"/>
  <c r="L10116" i="21"/>
  <c r="L10115" i="21"/>
  <c r="L10114" i="21"/>
  <c r="L10113" i="21"/>
  <c r="L10112" i="21"/>
  <c r="L10111" i="21"/>
  <c r="L10110" i="21"/>
  <c r="L10108" i="21"/>
  <c r="L10107" i="21"/>
  <c r="L10106" i="21"/>
  <c r="L10105" i="21"/>
  <c r="L10104" i="21"/>
  <c r="L10103" i="21"/>
  <c r="L10102" i="21"/>
  <c r="L10101" i="21"/>
  <c r="L10100" i="21"/>
  <c r="L10098" i="21"/>
  <c r="L10097" i="21"/>
  <c r="L10096" i="21"/>
  <c r="L10095" i="21"/>
  <c r="L10094" i="21"/>
  <c r="L10093" i="21"/>
  <c r="L10092" i="21"/>
  <c r="L10091" i="21"/>
  <c r="L10090" i="21"/>
  <c r="L10088" i="21"/>
  <c r="L10087" i="21"/>
  <c r="L10086" i="21"/>
  <c r="L10085" i="21"/>
  <c r="L10084" i="21"/>
  <c r="L10083" i="21"/>
  <c r="L10082" i="21"/>
  <c r="L10081" i="21"/>
  <c r="L10080" i="21"/>
  <c r="L10078" i="21"/>
  <c r="L10077" i="21"/>
  <c r="L10076" i="21"/>
  <c r="L10075" i="21"/>
  <c r="L10074" i="21"/>
  <c r="L10073" i="21"/>
  <c r="L10072" i="21"/>
  <c r="L10071" i="21"/>
  <c r="L10070" i="21"/>
  <c r="L10068" i="21"/>
  <c r="L10067" i="21"/>
  <c r="L10066" i="21"/>
  <c r="L10065" i="21"/>
  <c r="L10064" i="21"/>
  <c r="L10063" i="21"/>
  <c r="L10062" i="21"/>
  <c r="L10061" i="21"/>
  <c r="B10177" i="21" l="1"/>
  <c r="E10167" i="21"/>
  <c r="C10167" i="21"/>
  <c r="D10167" i="21"/>
  <c r="B10168" i="21" l="1"/>
  <c r="E10177" i="21"/>
  <c r="C10177" i="21"/>
  <c r="D10177" i="21"/>
  <c r="A10047" i="21" l="1"/>
  <c r="B10069" i="21" s="1"/>
  <c r="B10178" i="21"/>
  <c r="D10168" i="21"/>
  <c r="C10168" i="21"/>
  <c r="B10059" i="21" l="1"/>
  <c r="C10059" i="21" s="1"/>
  <c r="B10060" i="21" s="1"/>
  <c r="B10169" i="21"/>
  <c r="E10168" i="21" s="1"/>
  <c r="D10178" i="21"/>
  <c r="C10178" i="21"/>
  <c r="E10069" i="21"/>
  <c r="D10069" i="21"/>
  <c r="C10069" i="21"/>
  <c r="B10070" i="21" s="1"/>
  <c r="D10070" i="21" s="1"/>
  <c r="L10044" i="21"/>
  <c r="L10043" i="21"/>
  <c r="L10042" i="21"/>
  <c r="L10041" i="21"/>
  <c r="L10040" i="21"/>
  <c r="L10039" i="21"/>
  <c r="L10038" i="21"/>
  <c r="L10037" i="21"/>
  <c r="L10036" i="21"/>
  <c r="L10034" i="21"/>
  <c r="L10033" i="21"/>
  <c r="L10032" i="21"/>
  <c r="L10031" i="21"/>
  <c r="L10030" i="21"/>
  <c r="L10029" i="21"/>
  <c r="L10028" i="21"/>
  <c r="L10027" i="21"/>
  <c r="L10026" i="21"/>
  <c r="L10024" i="21"/>
  <c r="L10023" i="21"/>
  <c r="L10022" i="21"/>
  <c r="L10021" i="21"/>
  <c r="L10020" i="21"/>
  <c r="L10019" i="21"/>
  <c r="L10018" i="21"/>
  <c r="L10017" i="21"/>
  <c r="L10016" i="21"/>
  <c r="L10014" i="21"/>
  <c r="L10013" i="21"/>
  <c r="L10012" i="21"/>
  <c r="L10011" i="21"/>
  <c r="L10010" i="21"/>
  <c r="L10009" i="21"/>
  <c r="L10008" i="21"/>
  <c r="L10007" i="21"/>
  <c r="L10006" i="21"/>
  <c r="L10004" i="21"/>
  <c r="L10003" i="21"/>
  <c r="L10002" i="21"/>
  <c r="L10001" i="21"/>
  <c r="L10000" i="21"/>
  <c r="L9999" i="21"/>
  <c r="L9998" i="21"/>
  <c r="L9997" i="21"/>
  <c r="L9996" i="21"/>
  <c r="L9994" i="21"/>
  <c r="L9993" i="21"/>
  <c r="L9992" i="21"/>
  <c r="L9991" i="21"/>
  <c r="L9990" i="21"/>
  <c r="L9989" i="21"/>
  <c r="L9988" i="21"/>
  <c r="L9987" i="21"/>
  <c r="L9986" i="21"/>
  <c r="L9984" i="21"/>
  <c r="L9983" i="21"/>
  <c r="L9982" i="21"/>
  <c r="L9981" i="21"/>
  <c r="L9980" i="21"/>
  <c r="L9979" i="21"/>
  <c r="L9978" i="21"/>
  <c r="L9977" i="21"/>
  <c r="L9976" i="21"/>
  <c r="L9974" i="21"/>
  <c r="L9973" i="21"/>
  <c r="L9972" i="21"/>
  <c r="L9971" i="21"/>
  <c r="L9970" i="21"/>
  <c r="L9969" i="21"/>
  <c r="L9968" i="21"/>
  <c r="L9967" i="21"/>
  <c r="L9966" i="21"/>
  <c r="L9964" i="21"/>
  <c r="L9963" i="21"/>
  <c r="L9962" i="21"/>
  <c r="L9961" i="21"/>
  <c r="L9960" i="21"/>
  <c r="L9959" i="21"/>
  <c r="L9958" i="21"/>
  <c r="L9957" i="21"/>
  <c r="L9940" i="21"/>
  <c r="L9939" i="21"/>
  <c r="L9938" i="21"/>
  <c r="L9937" i="21"/>
  <c r="L9936" i="21"/>
  <c r="L9935" i="21"/>
  <c r="L9934" i="21"/>
  <c r="L9933" i="21"/>
  <c r="L9932" i="21"/>
  <c r="L9930" i="21"/>
  <c r="L9929" i="21"/>
  <c r="L9928" i="21"/>
  <c r="L9927" i="21"/>
  <c r="L9926" i="21"/>
  <c r="L9925" i="21"/>
  <c r="L9924" i="21"/>
  <c r="L9923" i="21"/>
  <c r="L9922" i="21"/>
  <c r="L9920" i="21"/>
  <c r="L9919" i="21"/>
  <c r="L9918" i="21"/>
  <c r="L9917" i="21"/>
  <c r="L9916" i="21"/>
  <c r="L9915" i="21"/>
  <c r="L9914" i="21"/>
  <c r="L9913" i="21"/>
  <c r="L9912" i="21"/>
  <c r="L9910" i="21"/>
  <c r="L9909" i="21"/>
  <c r="L9908" i="21"/>
  <c r="L9907" i="21"/>
  <c r="L9906" i="21"/>
  <c r="L9905" i="21"/>
  <c r="L9904" i="21"/>
  <c r="L9903" i="21"/>
  <c r="L9902" i="21"/>
  <c r="L9900" i="21"/>
  <c r="L9899" i="21"/>
  <c r="L9898" i="21"/>
  <c r="L9897" i="21"/>
  <c r="L9896" i="21"/>
  <c r="L9895" i="21"/>
  <c r="L9894" i="21"/>
  <c r="L9893" i="21"/>
  <c r="L9892" i="21"/>
  <c r="L9890" i="21"/>
  <c r="L9889" i="21"/>
  <c r="L9888" i="21"/>
  <c r="L9887" i="21"/>
  <c r="L9886" i="21"/>
  <c r="L9885" i="21"/>
  <c r="L9884" i="21"/>
  <c r="L9883" i="21"/>
  <c r="L9882" i="21"/>
  <c r="L9880" i="21"/>
  <c r="L9879" i="21"/>
  <c r="L9878" i="21"/>
  <c r="L9877" i="21"/>
  <c r="L9876" i="21"/>
  <c r="L9875" i="21"/>
  <c r="L9874" i="21"/>
  <c r="L9873" i="21"/>
  <c r="L9872" i="21"/>
  <c r="L9870" i="21"/>
  <c r="L9869" i="21"/>
  <c r="L9868" i="21"/>
  <c r="L9867" i="21"/>
  <c r="L9866" i="21"/>
  <c r="L9865" i="21"/>
  <c r="L9864" i="21"/>
  <c r="L9863" i="21"/>
  <c r="L9862" i="21"/>
  <c r="L9860" i="21"/>
  <c r="L9859" i="21"/>
  <c r="L9858" i="21"/>
  <c r="L9857" i="21"/>
  <c r="L9856" i="21"/>
  <c r="L9855" i="21"/>
  <c r="L9854" i="21"/>
  <c r="L9853" i="21"/>
  <c r="D10059" i="21" l="1"/>
  <c r="E10059" i="21"/>
  <c r="C10070" i="21"/>
  <c r="B10071" i="21" s="1"/>
  <c r="B10179" i="21"/>
  <c r="E10178" i="21" s="1"/>
  <c r="D10169" i="21"/>
  <c r="E10169" i="21"/>
  <c r="E10070" i="21"/>
  <c r="D10060" i="21"/>
  <c r="C10060" i="21"/>
  <c r="B10061" i="21" s="1"/>
  <c r="E10061" i="21" s="1"/>
  <c r="E10060" i="21"/>
  <c r="C10061" i="21" l="1"/>
  <c r="B10062" i="21" s="1"/>
  <c r="A10155" i="21"/>
  <c r="D10179" i="21"/>
  <c r="E10179" i="21"/>
  <c r="D10061" i="21"/>
  <c r="E10071" i="21"/>
  <c r="C10071" i="21"/>
  <c r="D10071" i="21"/>
  <c r="A10158" i="21" l="1"/>
  <c r="B10072" i="21"/>
  <c r="D10062" i="21"/>
  <c r="C10062" i="21"/>
  <c r="E10062" i="21"/>
  <c r="D10072" i="21" l="1"/>
  <c r="C10072" i="21"/>
  <c r="E10072" i="21"/>
  <c r="B10063" i="21"/>
  <c r="A11189" i="21" l="1"/>
  <c r="B11201" i="21"/>
  <c r="B11211" i="21"/>
  <c r="E10063" i="21"/>
  <c r="C10063" i="21"/>
  <c r="D10063" i="21"/>
  <c r="B10073" i="21"/>
  <c r="D11211" i="21" l="1"/>
  <c r="C11211" i="21"/>
  <c r="E11211" i="21"/>
  <c r="C11201" i="21"/>
  <c r="D11201" i="21"/>
  <c r="E11201" i="21"/>
  <c r="E10073" i="21"/>
  <c r="C10073" i="21"/>
  <c r="D10073" i="21"/>
  <c r="B10064" i="21"/>
  <c r="A9943" i="21" l="1"/>
  <c r="B9965" i="21" s="1"/>
  <c r="E9965" i="21" s="1"/>
  <c r="B11202" i="21"/>
  <c r="B11212" i="21"/>
  <c r="D10064" i="21"/>
  <c r="C10064" i="21"/>
  <c r="B10074" i="21"/>
  <c r="C9965" i="21" l="1"/>
  <c r="B9966" i="21" s="1"/>
  <c r="E9966" i="21" s="1"/>
  <c r="D9965" i="21"/>
  <c r="B9955" i="21"/>
  <c r="C9955" i="21" s="1"/>
  <c r="B9956" i="21" s="1"/>
  <c r="E9956" i="21" s="1"/>
  <c r="C11212" i="21"/>
  <c r="D11212" i="21"/>
  <c r="E11212" i="21"/>
  <c r="D11202" i="21"/>
  <c r="C11202" i="21"/>
  <c r="E11202" i="21"/>
  <c r="D10074" i="21"/>
  <c r="C10074" i="21"/>
  <c r="B10065" i="21"/>
  <c r="E10064" i="21" s="1"/>
  <c r="D9956" i="21" l="1"/>
  <c r="C9966" i="21"/>
  <c r="B9967" i="21" s="1"/>
  <c r="E9955" i="21"/>
  <c r="D9966" i="21"/>
  <c r="C9956" i="21"/>
  <c r="B9957" i="21" s="1"/>
  <c r="E9957" i="21" s="1"/>
  <c r="D9955" i="21"/>
  <c r="B11203" i="21"/>
  <c r="B11213" i="21"/>
  <c r="D10065" i="21"/>
  <c r="E10065" i="21"/>
  <c r="B10075" i="21"/>
  <c r="E10074" i="21" s="1"/>
  <c r="D9957" i="21" l="1"/>
  <c r="C9957" i="21"/>
  <c r="B9958" i="21" s="1"/>
  <c r="C11213" i="21"/>
  <c r="E11213" i="21"/>
  <c r="D11213" i="21"/>
  <c r="C11203" i="21"/>
  <c r="E11203" i="21"/>
  <c r="D11203" i="21"/>
  <c r="C9967" i="21"/>
  <c r="E9967" i="21"/>
  <c r="D9967" i="21"/>
  <c r="A10051" i="21"/>
  <c r="D10075" i="21"/>
  <c r="E10075" i="21"/>
  <c r="B11204" i="21" l="1"/>
  <c r="B11214" i="21"/>
  <c r="B9968" i="21"/>
  <c r="C9958" i="21"/>
  <c r="D9958" i="21"/>
  <c r="E9958" i="21"/>
  <c r="A10054" i="21"/>
  <c r="C11204" i="21" l="1"/>
  <c r="D11204" i="21"/>
  <c r="E11204" i="21"/>
  <c r="C11214" i="21"/>
  <c r="E11214" i="21"/>
  <c r="C9968" i="21"/>
  <c r="E9968" i="21"/>
  <c r="B9959" i="21"/>
  <c r="B11215" i="21" l="1"/>
  <c r="B11205" i="21"/>
  <c r="C9959" i="21"/>
  <c r="E9959" i="21"/>
  <c r="D9959" i="21"/>
  <c r="B9969" i="21"/>
  <c r="L9837" i="21"/>
  <c r="L9836" i="21"/>
  <c r="L9835" i="21"/>
  <c r="L9834" i="21"/>
  <c r="L9833" i="21"/>
  <c r="L9832" i="21"/>
  <c r="L9831" i="21"/>
  <c r="L9830" i="21"/>
  <c r="L9829" i="21"/>
  <c r="L9827" i="21"/>
  <c r="L9826" i="21"/>
  <c r="L9825" i="21"/>
  <c r="L9824" i="21"/>
  <c r="L9823" i="21"/>
  <c r="L9822" i="21"/>
  <c r="L9821" i="21"/>
  <c r="L9820" i="21"/>
  <c r="L9819" i="21"/>
  <c r="L9817" i="21"/>
  <c r="L9816" i="21"/>
  <c r="L9815" i="21"/>
  <c r="L9814" i="21"/>
  <c r="L9813" i="21"/>
  <c r="L9812" i="21"/>
  <c r="L9811" i="21"/>
  <c r="L9810" i="21"/>
  <c r="L9809" i="21"/>
  <c r="L9807" i="21"/>
  <c r="L9806" i="21"/>
  <c r="L9805" i="21"/>
  <c r="L9804" i="21"/>
  <c r="L9803" i="21"/>
  <c r="L9802" i="21"/>
  <c r="L9801" i="21"/>
  <c r="L9800" i="21"/>
  <c r="L9799" i="21"/>
  <c r="L9797" i="21"/>
  <c r="L9796" i="21"/>
  <c r="L9795" i="21"/>
  <c r="L9794" i="21"/>
  <c r="L9793" i="21"/>
  <c r="L9792" i="21"/>
  <c r="L9791" i="21"/>
  <c r="L9790" i="21"/>
  <c r="L9789" i="21"/>
  <c r="L9787" i="21"/>
  <c r="L9786" i="21"/>
  <c r="L9785" i="21"/>
  <c r="L9784" i="21"/>
  <c r="L9783" i="21"/>
  <c r="L9782" i="21"/>
  <c r="L9781" i="21"/>
  <c r="L9780" i="21"/>
  <c r="L9779" i="21"/>
  <c r="L9777" i="21"/>
  <c r="L9776" i="21"/>
  <c r="L9775" i="21"/>
  <c r="L9774" i="21"/>
  <c r="L9773" i="21"/>
  <c r="L9772" i="21"/>
  <c r="L9771" i="21"/>
  <c r="L9770" i="21"/>
  <c r="L9769" i="21"/>
  <c r="L9767" i="21"/>
  <c r="L9766" i="21"/>
  <c r="L9765" i="21"/>
  <c r="L9764" i="21"/>
  <c r="L9763" i="21"/>
  <c r="L9762" i="21"/>
  <c r="L9761" i="21"/>
  <c r="L9760" i="21"/>
  <c r="L9759" i="21"/>
  <c r="L9757" i="21"/>
  <c r="L9756" i="21"/>
  <c r="L9755" i="21"/>
  <c r="L9754" i="21"/>
  <c r="L9753" i="21"/>
  <c r="L9752" i="21"/>
  <c r="L9751" i="21"/>
  <c r="L9750" i="21"/>
  <c r="L9733" i="21"/>
  <c r="L9732" i="21"/>
  <c r="L9731" i="21"/>
  <c r="L9730" i="21"/>
  <c r="L9729" i="21"/>
  <c r="L9728" i="21"/>
  <c r="L9727" i="21"/>
  <c r="L9726" i="21"/>
  <c r="L9725" i="21"/>
  <c r="L9723" i="21"/>
  <c r="L9722" i="21"/>
  <c r="L9721" i="21"/>
  <c r="L9720" i="21"/>
  <c r="L9719" i="21"/>
  <c r="L9718" i="21"/>
  <c r="L9717" i="21"/>
  <c r="L9716" i="21"/>
  <c r="L9715" i="21"/>
  <c r="L9713" i="21"/>
  <c r="L9712" i="21"/>
  <c r="L9711" i="21"/>
  <c r="L9710" i="21"/>
  <c r="L9709" i="21"/>
  <c r="L9708" i="21"/>
  <c r="L9707" i="21"/>
  <c r="L9706" i="21"/>
  <c r="L9705" i="21"/>
  <c r="L9703" i="21"/>
  <c r="L9702" i="21"/>
  <c r="L9701" i="21"/>
  <c r="L9700" i="21"/>
  <c r="L9699" i="21"/>
  <c r="L9698" i="21"/>
  <c r="L9697" i="21"/>
  <c r="L9696" i="21"/>
  <c r="L9695" i="21"/>
  <c r="L9693" i="21"/>
  <c r="L9692" i="21"/>
  <c r="L9691" i="21"/>
  <c r="L9690" i="21"/>
  <c r="L9689" i="21"/>
  <c r="L9688" i="21"/>
  <c r="L9687" i="21"/>
  <c r="L9686" i="21"/>
  <c r="L9685" i="21"/>
  <c r="L9683" i="21"/>
  <c r="L9682" i="21"/>
  <c r="L9681" i="21"/>
  <c r="L9680" i="21"/>
  <c r="L9679" i="21"/>
  <c r="L9678" i="21"/>
  <c r="L9677" i="21"/>
  <c r="L9676" i="21"/>
  <c r="L9675" i="21"/>
  <c r="L9673" i="21"/>
  <c r="L9672" i="21"/>
  <c r="L9671" i="21"/>
  <c r="L9670" i="21"/>
  <c r="L9669" i="21"/>
  <c r="L9668" i="21"/>
  <c r="L9667" i="21"/>
  <c r="L9666" i="21"/>
  <c r="L9665" i="21"/>
  <c r="L9663" i="21"/>
  <c r="L9662" i="21"/>
  <c r="L9661" i="21"/>
  <c r="L9660" i="21"/>
  <c r="L9659" i="21"/>
  <c r="L9658" i="21"/>
  <c r="L9657" i="21"/>
  <c r="L9656" i="21"/>
  <c r="L9655" i="21"/>
  <c r="L9653" i="21"/>
  <c r="L9652" i="21"/>
  <c r="L9651" i="21"/>
  <c r="L9650" i="21"/>
  <c r="L9649" i="21"/>
  <c r="L9648" i="21"/>
  <c r="L9647" i="21"/>
  <c r="L9646" i="21"/>
  <c r="L9629" i="21"/>
  <c r="L9628" i="21"/>
  <c r="L9627" i="21"/>
  <c r="L9626" i="21"/>
  <c r="L9625" i="21"/>
  <c r="L9624" i="21"/>
  <c r="L9623" i="21"/>
  <c r="L9622" i="21"/>
  <c r="L9621" i="21"/>
  <c r="L9619" i="21"/>
  <c r="L9618" i="21"/>
  <c r="L9617" i="21"/>
  <c r="L9616" i="21"/>
  <c r="L9615" i="21"/>
  <c r="L9614" i="21"/>
  <c r="L9613" i="21"/>
  <c r="L9612" i="21"/>
  <c r="L9611" i="21"/>
  <c r="L9609" i="21"/>
  <c r="L9608" i="21"/>
  <c r="L9607" i="21"/>
  <c r="L9606" i="21"/>
  <c r="L9605" i="21"/>
  <c r="L9604" i="21"/>
  <c r="L9603" i="21"/>
  <c r="L9602" i="21"/>
  <c r="L9601" i="21"/>
  <c r="L9599" i="21"/>
  <c r="L9598" i="21"/>
  <c r="L9597" i="21"/>
  <c r="L9596" i="21"/>
  <c r="L9595" i="21"/>
  <c r="L9594" i="21"/>
  <c r="L9593" i="21"/>
  <c r="L9592" i="21"/>
  <c r="L9591" i="21"/>
  <c r="L9589" i="21"/>
  <c r="L9588" i="21"/>
  <c r="L9587" i="21"/>
  <c r="L9586" i="21"/>
  <c r="L9585" i="21"/>
  <c r="L9584" i="21"/>
  <c r="L9583" i="21"/>
  <c r="L9582" i="21"/>
  <c r="L9581" i="21"/>
  <c r="L9579" i="21"/>
  <c r="L9578" i="21"/>
  <c r="L9577" i="21"/>
  <c r="L9576" i="21"/>
  <c r="L9575" i="21"/>
  <c r="L9574" i="21"/>
  <c r="L9573" i="21"/>
  <c r="L9572" i="21"/>
  <c r="L9571" i="21"/>
  <c r="L9569" i="21"/>
  <c r="L9568" i="21"/>
  <c r="L9567" i="21"/>
  <c r="L9566" i="21"/>
  <c r="L9565" i="21"/>
  <c r="L9564" i="21"/>
  <c r="L9563" i="21"/>
  <c r="L9562" i="21"/>
  <c r="L9561" i="21"/>
  <c r="L9559" i="21"/>
  <c r="L9558" i="21"/>
  <c r="L9557" i="21"/>
  <c r="L9556" i="21"/>
  <c r="L9555" i="21"/>
  <c r="L9554" i="21"/>
  <c r="L9553" i="21"/>
  <c r="L9552" i="21"/>
  <c r="L9551" i="21"/>
  <c r="L9549" i="21"/>
  <c r="L9548" i="21"/>
  <c r="L9547" i="21"/>
  <c r="L9546" i="21"/>
  <c r="L9545" i="21"/>
  <c r="L9544" i="21"/>
  <c r="L9543" i="21"/>
  <c r="L9542" i="21"/>
  <c r="C11205" i="21" l="1"/>
  <c r="B11206" i="21" s="1"/>
  <c r="E11205" i="21"/>
  <c r="D11205" i="21"/>
  <c r="C11215" i="21"/>
  <c r="B11216" i="21" s="1"/>
  <c r="E11215" i="21"/>
  <c r="D11215" i="21"/>
  <c r="B9960" i="21"/>
  <c r="C9969" i="21"/>
  <c r="E9969" i="21"/>
  <c r="D9969" i="21"/>
  <c r="D11216" i="21" l="1"/>
  <c r="C11216" i="21"/>
  <c r="B11217" i="21" s="1"/>
  <c r="D11206" i="21"/>
  <c r="C11206" i="21"/>
  <c r="B11207" i="21" s="1"/>
  <c r="B9970" i="21"/>
  <c r="D9960" i="21"/>
  <c r="C9960" i="21"/>
  <c r="B9961" i="21" s="1"/>
  <c r="E11206" i="21" l="1"/>
  <c r="D11207" i="21"/>
  <c r="E11207" i="21"/>
  <c r="E11216" i="21"/>
  <c r="E11217" i="21"/>
  <c r="D11217" i="21"/>
  <c r="E9960" i="21"/>
  <c r="D9961" i="21"/>
  <c r="E9961" i="21"/>
  <c r="D9970" i="21"/>
  <c r="C9970" i="21"/>
  <c r="B9971" i="21" s="1"/>
  <c r="A9528" i="21"/>
  <c r="B9550" i="21" s="1"/>
  <c r="A11193" i="21" l="1"/>
  <c r="A9947" i="21"/>
  <c r="E9970" i="21"/>
  <c r="E9971" i="21"/>
  <c r="D9971" i="21"/>
  <c r="B9540" i="21"/>
  <c r="D9540" i="21" s="1"/>
  <c r="E9550" i="21"/>
  <c r="D9550" i="21"/>
  <c r="C9550" i="21"/>
  <c r="B9551" i="21" s="1"/>
  <c r="C9551" i="21" s="1"/>
  <c r="A9632" i="21" l="1"/>
  <c r="E9540" i="21"/>
  <c r="D9551" i="21"/>
  <c r="C9540" i="21"/>
  <c r="B9541" i="21" s="1"/>
  <c r="D9541" i="21" s="1"/>
  <c r="E9551" i="21"/>
  <c r="B9552" i="21"/>
  <c r="L9524" i="21"/>
  <c r="L9523" i="21"/>
  <c r="L9522" i="21"/>
  <c r="L9521" i="21"/>
  <c r="L9520" i="21"/>
  <c r="L9519" i="21"/>
  <c r="L9518" i="21"/>
  <c r="L9517" i="21"/>
  <c r="L9516" i="21"/>
  <c r="L9514" i="21"/>
  <c r="L9513" i="21"/>
  <c r="L9512" i="21"/>
  <c r="L9511" i="21"/>
  <c r="L9510" i="21"/>
  <c r="L9509" i="21"/>
  <c r="L9508" i="21"/>
  <c r="L9507" i="21"/>
  <c r="L9506" i="21"/>
  <c r="L9504" i="21"/>
  <c r="L9503" i="21"/>
  <c r="L9502" i="21"/>
  <c r="L9501" i="21"/>
  <c r="L9500" i="21"/>
  <c r="L9499" i="21"/>
  <c r="L9498" i="21"/>
  <c r="L9497" i="21"/>
  <c r="L9496" i="21"/>
  <c r="L9494" i="21"/>
  <c r="L9493" i="21"/>
  <c r="L9492" i="21"/>
  <c r="L9491" i="21"/>
  <c r="L9490" i="21"/>
  <c r="L9489" i="21"/>
  <c r="L9488" i="21"/>
  <c r="L9487" i="21"/>
  <c r="L9486" i="21"/>
  <c r="L9484" i="21"/>
  <c r="L9483" i="21"/>
  <c r="L9482" i="21"/>
  <c r="L9481" i="21"/>
  <c r="L9480" i="21"/>
  <c r="L9479" i="21"/>
  <c r="L9478" i="21"/>
  <c r="L9477" i="21"/>
  <c r="L9476" i="21"/>
  <c r="L9474" i="21"/>
  <c r="L9473" i="21"/>
  <c r="L9472" i="21"/>
  <c r="L9471" i="21"/>
  <c r="L9470" i="21"/>
  <c r="L9469" i="21"/>
  <c r="L9468" i="21"/>
  <c r="L9467" i="21"/>
  <c r="L9466" i="21"/>
  <c r="L9464" i="21"/>
  <c r="L9463" i="21"/>
  <c r="L9462" i="21"/>
  <c r="L9461" i="21"/>
  <c r="L9460" i="21"/>
  <c r="L9459" i="21"/>
  <c r="L9458" i="21"/>
  <c r="L9457" i="21"/>
  <c r="L9456" i="21"/>
  <c r="L9454" i="21"/>
  <c r="L9453" i="21"/>
  <c r="L9452" i="21"/>
  <c r="L9451" i="21"/>
  <c r="L9450" i="21"/>
  <c r="L9449" i="21"/>
  <c r="L9448" i="21"/>
  <c r="L9447" i="21"/>
  <c r="L9446" i="21"/>
  <c r="L9444" i="21"/>
  <c r="L9443" i="21"/>
  <c r="L9442" i="21"/>
  <c r="L9441" i="21"/>
  <c r="L9440" i="21"/>
  <c r="L9439" i="21"/>
  <c r="L9438" i="21"/>
  <c r="L9437" i="21"/>
  <c r="L9419" i="21"/>
  <c r="L9418" i="21"/>
  <c r="L9417" i="21"/>
  <c r="L9416" i="21"/>
  <c r="L9415" i="21"/>
  <c r="L9414" i="21"/>
  <c r="L9413" i="21"/>
  <c r="L9412" i="21"/>
  <c r="L9411" i="21"/>
  <c r="L9409" i="21"/>
  <c r="L9408" i="21"/>
  <c r="L9407" i="21"/>
  <c r="L9406" i="21"/>
  <c r="L9405" i="21"/>
  <c r="L9404" i="21"/>
  <c r="L9403" i="21"/>
  <c r="L9402" i="21"/>
  <c r="L9401" i="21"/>
  <c r="L9399" i="21"/>
  <c r="L9398" i="21"/>
  <c r="L9397" i="21"/>
  <c r="L9396" i="21"/>
  <c r="L9395" i="21"/>
  <c r="L9394" i="21"/>
  <c r="L9393" i="21"/>
  <c r="L9392" i="21"/>
  <c r="L9391" i="21"/>
  <c r="L9389" i="21"/>
  <c r="L9388" i="21"/>
  <c r="L9387" i="21"/>
  <c r="L9386" i="21"/>
  <c r="L9385" i="21"/>
  <c r="L9384" i="21"/>
  <c r="L9383" i="21"/>
  <c r="L9382" i="21"/>
  <c r="L9381" i="21"/>
  <c r="L9379" i="21"/>
  <c r="L9378" i="21"/>
  <c r="L9377" i="21"/>
  <c r="L9376" i="21"/>
  <c r="L9375" i="21"/>
  <c r="L9374" i="21"/>
  <c r="L9373" i="21"/>
  <c r="L9372" i="21"/>
  <c r="L9371" i="21"/>
  <c r="L9369" i="21"/>
  <c r="L9368" i="21"/>
  <c r="L9367" i="21"/>
  <c r="L9366" i="21"/>
  <c r="L9365" i="21"/>
  <c r="L9364" i="21"/>
  <c r="L9363" i="21"/>
  <c r="L9362" i="21"/>
  <c r="L9361" i="21"/>
  <c r="L9359" i="21"/>
  <c r="L9358" i="21"/>
  <c r="L9357" i="21"/>
  <c r="L9356" i="21"/>
  <c r="L9355" i="21"/>
  <c r="L9354" i="21"/>
  <c r="L9353" i="21"/>
  <c r="L9352" i="21"/>
  <c r="L9351" i="21"/>
  <c r="L9349" i="21"/>
  <c r="L9348" i="21"/>
  <c r="L9347" i="21"/>
  <c r="L9346" i="21"/>
  <c r="L9345" i="21"/>
  <c r="L9344" i="21"/>
  <c r="L9343" i="21"/>
  <c r="L9342" i="21"/>
  <c r="L9341" i="21"/>
  <c r="L9339" i="21"/>
  <c r="L9338" i="21"/>
  <c r="L9337" i="21"/>
  <c r="L9336" i="21"/>
  <c r="L9335" i="21"/>
  <c r="L9334" i="21"/>
  <c r="L9333" i="21"/>
  <c r="L9332" i="21"/>
  <c r="B9644" i="21" l="1"/>
  <c r="B9654" i="21"/>
  <c r="C9541" i="21"/>
  <c r="B9542" i="21" s="1"/>
  <c r="E9542" i="21" s="1"/>
  <c r="E9541" i="21"/>
  <c r="E9552" i="21"/>
  <c r="C9552" i="21"/>
  <c r="D9552" i="21"/>
  <c r="Y6" i="13"/>
  <c r="A20055" i="21" l="1"/>
  <c r="C9542" i="21"/>
  <c r="B9543" i="21" s="1"/>
  <c r="E9543" i="21" s="1"/>
  <c r="E9654" i="21"/>
  <c r="C9654" i="21"/>
  <c r="B9655" i="21" s="1"/>
  <c r="D9654" i="21"/>
  <c r="C9644" i="21"/>
  <c r="B9645" i="21" s="1"/>
  <c r="D9644" i="21"/>
  <c r="E9644" i="21"/>
  <c r="D9542" i="21"/>
  <c r="B9553" i="21"/>
  <c r="B20067" i="21" l="1"/>
  <c r="B20077" i="21"/>
  <c r="D9543" i="21"/>
  <c r="C9543" i="21"/>
  <c r="D9645" i="21"/>
  <c r="C9645" i="21"/>
  <c r="B9646" i="21" s="1"/>
  <c r="D9655" i="21"/>
  <c r="C9655" i="21"/>
  <c r="E9655" i="21"/>
  <c r="E9645" i="21"/>
  <c r="B9544" i="21"/>
  <c r="D9553" i="21"/>
  <c r="C9553" i="21"/>
  <c r="E9553" i="21"/>
  <c r="D20067" i="21" l="1"/>
  <c r="C20067" i="21"/>
  <c r="E20067" i="21"/>
  <c r="D20077" i="21"/>
  <c r="C20077" i="21"/>
  <c r="E20077" i="21"/>
  <c r="B9656" i="21"/>
  <c r="D9646" i="21"/>
  <c r="C9646" i="21"/>
  <c r="B9647" i="21" s="1"/>
  <c r="E9646" i="21"/>
  <c r="B9554" i="21"/>
  <c r="E9544" i="21"/>
  <c r="C9544" i="21"/>
  <c r="D9544" i="21"/>
  <c r="B20078" i="21" l="1"/>
  <c r="B20068" i="21"/>
  <c r="D9647" i="21"/>
  <c r="C9647" i="21"/>
  <c r="B9648" i="21" s="1"/>
  <c r="D9648" i="21" s="1"/>
  <c r="E9647" i="21"/>
  <c r="E9656" i="21"/>
  <c r="D9656" i="21"/>
  <c r="C9656" i="21"/>
  <c r="B9545" i="21"/>
  <c r="E9554" i="21"/>
  <c r="C9554" i="21"/>
  <c r="D9554" i="21"/>
  <c r="D20068" i="21" l="1"/>
  <c r="C20068" i="21"/>
  <c r="E20068" i="21"/>
  <c r="D20078" i="21"/>
  <c r="C20078" i="21"/>
  <c r="E20078" i="21"/>
  <c r="E9648" i="21"/>
  <c r="B9657" i="21"/>
  <c r="C9648" i="21"/>
  <c r="B9649" i="21" s="1"/>
  <c r="B9555" i="21"/>
  <c r="D9545" i="21"/>
  <c r="C9545" i="21"/>
  <c r="B20079" i="21" l="1"/>
  <c r="B20069" i="21"/>
  <c r="C9657" i="21"/>
  <c r="E9657" i="21"/>
  <c r="C9649" i="21"/>
  <c r="D9649" i="21"/>
  <c r="B9546" i="21"/>
  <c r="E9545" i="21" s="1"/>
  <c r="D9555" i="21"/>
  <c r="C9555" i="21"/>
  <c r="C20069" i="21" l="1"/>
  <c r="E20069" i="21"/>
  <c r="D20069" i="21"/>
  <c r="E20079" i="21"/>
  <c r="D20079" i="21"/>
  <c r="C20079" i="21"/>
  <c r="B9658" i="21"/>
  <c r="B9650" i="21"/>
  <c r="E9649" i="21" s="1"/>
  <c r="B9556" i="21"/>
  <c r="E9555" i="21" s="1"/>
  <c r="D9546" i="21"/>
  <c r="E9546" i="21"/>
  <c r="L9314" i="21"/>
  <c r="L9313" i="21"/>
  <c r="L9312" i="21"/>
  <c r="L9311" i="21"/>
  <c r="L9310" i="21"/>
  <c r="L9309" i="21"/>
  <c r="L9308" i="21"/>
  <c r="L9307" i="21"/>
  <c r="L9306" i="21"/>
  <c r="L9304" i="21"/>
  <c r="L9303" i="21"/>
  <c r="L9302" i="21"/>
  <c r="L9301" i="21"/>
  <c r="L9300" i="21"/>
  <c r="L9299" i="21"/>
  <c r="L9298" i="21"/>
  <c r="L9297" i="21"/>
  <c r="L9296" i="21"/>
  <c r="L9294" i="21"/>
  <c r="L9293" i="21"/>
  <c r="L9292" i="21"/>
  <c r="L9291" i="21"/>
  <c r="L9290" i="21"/>
  <c r="L9289" i="21"/>
  <c r="L9288" i="21"/>
  <c r="L9287" i="21"/>
  <c r="L9286" i="21"/>
  <c r="L9284" i="21"/>
  <c r="L9283" i="21"/>
  <c r="L9282" i="21"/>
  <c r="L9281" i="21"/>
  <c r="L9280" i="21"/>
  <c r="L9279" i="21"/>
  <c r="L9278" i="21"/>
  <c r="L9277" i="21"/>
  <c r="L9276" i="21"/>
  <c r="L9274" i="21"/>
  <c r="L9273" i="21"/>
  <c r="L9272" i="21"/>
  <c r="L9271" i="21"/>
  <c r="L9270" i="21"/>
  <c r="L9269" i="21"/>
  <c r="L9268" i="21"/>
  <c r="L9267" i="21"/>
  <c r="L9266" i="21"/>
  <c r="L9264" i="21"/>
  <c r="L9263" i="21"/>
  <c r="L9262" i="21"/>
  <c r="L9261" i="21"/>
  <c r="L9260" i="21"/>
  <c r="L9259" i="21"/>
  <c r="L9258" i="21"/>
  <c r="L9257" i="21"/>
  <c r="L9256" i="21"/>
  <c r="L9254" i="21"/>
  <c r="L9253" i="21"/>
  <c r="L9252" i="21"/>
  <c r="L9251" i="21"/>
  <c r="L9250" i="21"/>
  <c r="L9249" i="21"/>
  <c r="L9248" i="21"/>
  <c r="L9247" i="21"/>
  <c r="L9246" i="21"/>
  <c r="L9244" i="21"/>
  <c r="L9243" i="21"/>
  <c r="L9242" i="21"/>
  <c r="L9241" i="21"/>
  <c r="L9240" i="21"/>
  <c r="L9239" i="21"/>
  <c r="L9238" i="21"/>
  <c r="L9237" i="21"/>
  <c r="L9236" i="21"/>
  <c r="L9234" i="21"/>
  <c r="L9233" i="21"/>
  <c r="L9232" i="21"/>
  <c r="L9231" i="21"/>
  <c r="L9230" i="21"/>
  <c r="L9229" i="21"/>
  <c r="L9228" i="21"/>
  <c r="L9227" i="21"/>
  <c r="B20080" i="21" l="1"/>
  <c r="B20070" i="21"/>
  <c r="E9658" i="21"/>
  <c r="D9658" i="21"/>
  <c r="C9658" i="21"/>
  <c r="E9650" i="21"/>
  <c r="D9650" i="21"/>
  <c r="A9532" i="21"/>
  <c r="D9556" i="21"/>
  <c r="E9556" i="21"/>
  <c r="D20070" i="21" l="1"/>
  <c r="C20070" i="21"/>
  <c r="E20070" i="21"/>
  <c r="D20080" i="21"/>
  <c r="C20080" i="21"/>
  <c r="E20080" i="21"/>
  <c r="B9659" i="21"/>
  <c r="A9636" i="21"/>
  <c r="A9535" i="21"/>
  <c r="B20071" i="21" l="1"/>
  <c r="B20081" i="21"/>
  <c r="C9659" i="21"/>
  <c r="B9660" i="21" s="1"/>
  <c r="D9659" i="21"/>
  <c r="J9" i="10"/>
  <c r="J8" i="10"/>
  <c r="C20081" i="21" l="1"/>
  <c r="E20081" i="21"/>
  <c r="D20081" i="21"/>
  <c r="E20071" i="21"/>
  <c r="D20071" i="21"/>
  <c r="C20071" i="21"/>
  <c r="B20072" i="21" s="1"/>
  <c r="E9659" i="21"/>
  <c r="D9660" i="21"/>
  <c r="E9660" i="21"/>
  <c r="K16" i="4"/>
  <c r="Y7" i="13" s="1"/>
  <c r="C20072" i="21" l="1"/>
  <c r="B20073" i="21" s="1"/>
  <c r="D20072" i="21"/>
  <c r="B20082" i="21"/>
  <c r="L9211" i="21"/>
  <c r="L9210" i="21"/>
  <c r="L9209" i="21"/>
  <c r="L9208" i="21"/>
  <c r="L9207" i="21"/>
  <c r="L9206" i="21"/>
  <c r="L9205" i="21"/>
  <c r="L9204" i="21"/>
  <c r="L9203" i="21"/>
  <c r="L9201" i="21"/>
  <c r="L9200" i="21"/>
  <c r="L9199" i="21"/>
  <c r="L9198" i="21"/>
  <c r="L9197" i="21"/>
  <c r="L9196" i="21"/>
  <c r="L9195" i="21"/>
  <c r="L9194" i="21"/>
  <c r="L9193" i="21"/>
  <c r="L9191" i="21"/>
  <c r="L9190" i="21"/>
  <c r="L9189" i="21"/>
  <c r="L9188" i="21"/>
  <c r="L9187" i="21"/>
  <c r="L9186" i="21"/>
  <c r="L9185" i="21"/>
  <c r="L9184" i="21"/>
  <c r="L9183" i="21"/>
  <c r="L9181" i="21"/>
  <c r="L9180" i="21"/>
  <c r="L9179" i="21"/>
  <c r="L9178" i="21"/>
  <c r="L9177" i="21"/>
  <c r="L9176" i="21"/>
  <c r="L9175" i="21"/>
  <c r="L9174" i="21"/>
  <c r="L9173" i="21"/>
  <c r="L9171" i="21"/>
  <c r="L9170" i="21"/>
  <c r="L9169" i="21"/>
  <c r="L9168" i="21"/>
  <c r="L9167" i="21"/>
  <c r="L9166" i="21"/>
  <c r="L9165" i="21"/>
  <c r="L9164" i="21"/>
  <c r="L9163" i="21"/>
  <c r="L9161" i="21"/>
  <c r="L9160" i="21"/>
  <c r="L9159" i="21"/>
  <c r="L9158" i="21"/>
  <c r="L9157" i="21"/>
  <c r="L9156" i="21"/>
  <c r="L9155" i="21"/>
  <c r="L9154" i="21"/>
  <c r="L9153" i="21"/>
  <c r="L9151" i="21"/>
  <c r="L9150" i="21"/>
  <c r="L9149" i="21"/>
  <c r="L9148" i="21"/>
  <c r="L9147" i="21"/>
  <c r="L9146" i="21"/>
  <c r="L9145" i="21"/>
  <c r="L9144" i="21"/>
  <c r="L9143" i="21"/>
  <c r="L9141" i="21"/>
  <c r="L9140" i="21"/>
  <c r="L9139" i="21"/>
  <c r="L9138" i="21"/>
  <c r="L9137" i="21"/>
  <c r="L9136" i="21"/>
  <c r="L9135" i="21"/>
  <c r="L9134" i="21"/>
  <c r="L9133" i="21"/>
  <c r="L9131" i="21"/>
  <c r="L9130" i="21"/>
  <c r="L9129" i="21"/>
  <c r="L9128" i="21"/>
  <c r="L9127" i="21"/>
  <c r="L9126" i="21"/>
  <c r="L9125" i="21"/>
  <c r="L9124" i="21"/>
  <c r="C20082" i="21" l="1"/>
  <c r="D20082" i="21"/>
  <c r="E20072" i="21"/>
  <c r="D20073" i="21"/>
  <c r="E20073" i="21"/>
  <c r="L9107" i="21"/>
  <c r="L9106" i="21"/>
  <c r="L9105" i="21"/>
  <c r="L9104" i="21"/>
  <c r="L9103" i="21"/>
  <c r="L9102" i="21"/>
  <c r="L9101" i="21"/>
  <c r="L9100" i="21"/>
  <c r="L9099" i="21"/>
  <c r="L9097" i="21"/>
  <c r="L9096" i="21"/>
  <c r="L9095" i="21"/>
  <c r="L9094" i="21"/>
  <c r="L9093" i="21"/>
  <c r="L9092" i="21"/>
  <c r="L9091" i="21"/>
  <c r="L9090" i="21"/>
  <c r="L9089" i="21"/>
  <c r="L9087" i="21"/>
  <c r="L9086" i="21"/>
  <c r="L9085" i="21"/>
  <c r="L9084" i="21"/>
  <c r="L9083" i="21"/>
  <c r="L9082" i="21"/>
  <c r="L9081" i="21"/>
  <c r="L9080" i="21"/>
  <c r="L9079" i="21"/>
  <c r="L9077" i="21"/>
  <c r="L9076" i="21"/>
  <c r="L9075" i="21"/>
  <c r="L9074" i="21"/>
  <c r="L9073" i="21"/>
  <c r="L9072" i="21"/>
  <c r="L9071" i="21"/>
  <c r="L9070" i="21"/>
  <c r="L9069" i="21"/>
  <c r="L9067" i="21"/>
  <c r="L9066" i="21"/>
  <c r="L9065" i="21"/>
  <c r="L9064" i="21"/>
  <c r="L9063" i="21"/>
  <c r="L9062" i="21"/>
  <c r="L9061" i="21"/>
  <c r="L9060" i="21"/>
  <c r="L9059" i="21"/>
  <c r="L9057" i="21"/>
  <c r="L9056" i="21"/>
  <c r="L9055" i="21"/>
  <c r="L9054" i="21"/>
  <c r="L9053" i="21"/>
  <c r="L9052" i="21"/>
  <c r="L9051" i="21"/>
  <c r="L9050" i="21"/>
  <c r="L9049" i="21"/>
  <c r="L9047" i="21"/>
  <c r="L9046" i="21"/>
  <c r="L9045" i="21"/>
  <c r="L9044" i="21"/>
  <c r="L9043" i="21"/>
  <c r="L9042" i="21"/>
  <c r="L9041" i="21"/>
  <c r="L9040" i="21"/>
  <c r="L9039" i="21"/>
  <c r="L9037" i="21"/>
  <c r="L9036" i="21"/>
  <c r="L9035" i="21"/>
  <c r="L9034" i="21"/>
  <c r="L9033" i="21"/>
  <c r="L9032" i="21"/>
  <c r="L9031" i="21"/>
  <c r="L9030" i="21"/>
  <c r="L9029" i="21"/>
  <c r="L9027" i="21"/>
  <c r="L9026" i="21"/>
  <c r="L9025" i="21"/>
  <c r="L9024" i="21"/>
  <c r="L9023" i="21"/>
  <c r="L9022" i="21"/>
  <c r="L9021" i="21"/>
  <c r="L9020" i="21"/>
  <c r="A20059" i="21" l="1"/>
  <c r="B20083" i="21"/>
  <c r="E20082" i="21" s="1"/>
  <c r="A9110" i="21"/>
  <c r="B9132" i="21" s="1"/>
  <c r="A9006" i="21"/>
  <c r="B9018" i="21" s="1"/>
  <c r="D9018" i="21" s="1"/>
  <c r="E20083" i="21" l="1"/>
  <c r="D20083" i="21"/>
  <c r="B9122" i="21"/>
  <c r="E9122" i="21" s="1"/>
  <c r="E9018" i="21"/>
  <c r="C9018" i="21"/>
  <c r="B9019" i="21" s="1"/>
  <c r="C9019" i="21" s="1"/>
  <c r="B9028" i="21"/>
  <c r="E9132" i="21"/>
  <c r="D9132" i="21"/>
  <c r="C9132" i="21"/>
  <c r="B9133" i="21" s="1"/>
  <c r="C9133" i="21" s="1"/>
  <c r="A20062" i="21" l="1"/>
  <c r="C9122" i="21"/>
  <c r="B9123" i="21" s="1"/>
  <c r="D9123" i="21" s="1"/>
  <c r="D9122" i="21"/>
  <c r="D9133" i="21"/>
  <c r="E9019" i="21"/>
  <c r="D9019" i="21"/>
  <c r="E9133" i="21"/>
  <c r="E9028" i="21"/>
  <c r="D9028" i="21"/>
  <c r="C9028" i="21"/>
  <c r="B9029" i="21" s="1"/>
  <c r="C9029" i="21" s="1"/>
  <c r="B9134" i="21"/>
  <c r="B9020" i="21"/>
  <c r="C9123" i="21" l="1"/>
  <c r="B9124" i="21" s="1"/>
  <c r="C9124" i="21" s="1"/>
  <c r="E9123" i="21"/>
  <c r="D9029" i="21"/>
  <c r="E9029" i="21"/>
  <c r="E9134" i="21"/>
  <c r="C9134" i="21"/>
  <c r="D9134" i="21"/>
  <c r="B9030" i="21"/>
  <c r="E9020" i="21"/>
  <c r="C9020" i="21"/>
  <c r="D9020" i="21"/>
  <c r="D9124" i="21" l="1"/>
  <c r="B9125" i="21"/>
  <c r="C9125" i="21" s="1"/>
  <c r="E9124" i="21"/>
  <c r="B9135" i="21"/>
  <c r="B9021" i="21"/>
  <c r="E9030" i="21"/>
  <c r="C9030" i="21"/>
  <c r="D9030" i="21"/>
  <c r="A2274" i="21"/>
  <c r="D9125" i="21" l="1"/>
  <c r="E9125" i="21"/>
  <c r="D9135" i="21"/>
  <c r="C9135" i="21"/>
  <c r="E9135" i="21"/>
  <c r="B9126" i="21"/>
  <c r="B9031" i="21"/>
  <c r="D9021" i="21"/>
  <c r="C9021" i="21"/>
  <c r="E9021" i="21"/>
  <c r="A2161" i="21" l="1"/>
  <c r="E9126" i="21"/>
  <c r="C9126" i="21"/>
  <c r="D9126" i="21"/>
  <c r="B9136" i="21"/>
  <c r="D9031" i="21"/>
  <c r="C9031" i="21"/>
  <c r="E9031" i="21"/>
  <c r="B9022" i="21"/>
  <c r="A1850" i="21"/>
  <c r="A1232" i="21"/>
  <c r="E9136" i="21" l="1"/>
  <c r="C9136" i="21"/>
  <c r="D9136" i="21"/>
  <c r="B9127" i="21"/>
  <c r="E9022" i="21"/>
  <c r="C9022" i="21"/>
  <c r="D9022" i="21"/>
  <c r="B9032" i="21"/>
  <c r="A922" i="21"/>
  <c r="A820" i="21"/>
  <c r="D9127" i="21" l="1"/>
  <c r="C9127" i="21"/>
  <c r="B9137" i="21"/>
  <c r="E9032" i="21"/>
  <c r="C9032" i="21"/>
  <c r="D9032" i="21"/>
  <c r="B9023" i="21"/>
  <c r="A11086" i="21" l="1"/>
  <c r="D9137" i="21"/>
  <c r="C9137" i="21"/>
  <c r="B9128" i="21"/>
  <c r="E9127" i="21" s="1"/>
  <c r="D9023" i="21"/>
  <c r="C9023" i="21"/>
  <c r="B9033" i="21"/>
  <c r="A716" i="21"/>
  <c r="A11395" i="21" l="1"/>
  <c r="B11417" i="21" s="1"/>
  <c r="B11108" i="21"/>
  <c r="B11098" i="21"/>
  <c r="A1026" i="21"/>
  <c r="D9128" i="21"/>
  <c r="E9128" i="21"/>
  <c r="B9138" i="21"/>
  <c r="E9137" i="21" s="1"/>
  <c r="B9024" i="21"/>
  <c r="E9023" i="21" s="1"/>
  <c r="D9033" i="21"/>
  <c r="C9033" i="21"/>
  <c r="A1953" i="21" l="1"/>
  <c r="B11407" i="21"/>
  <c r="E11407" i="21" s="1"/>
  <c r="D11417" i="21"/>
  <c r="C11417" i="21"/>
  <c r="E11417" i="21"/>
  <c r="D11407" i="21"/>
  <c r="E11098" i="21"/>
  <c r="D11098" i="21"/>
  <c r="C11098" i="21"/>
  <c r="D11108" i="21"/>
  <c r="E11108" i="21"/>
  <c r="C11108" i="21"/>
  <c r="A9213" i="21"/>
  <c r="B9235" i="21" s="1"/>
  <c r="D9138" i="21"/>
  <c r="E9138" i="21"/>
  <c r="A9114" i="21"/>
  <c r="B9034" i="21"/>
  <c r="E9033" i="21" s="1"/>
  <c r="D9024" i="21"/>
  <c r="E9024" i="21"/>
  <c r="C11407" i="21" l="1"/>
  <c r="B11408" i="21" s="1"/>
  <c r="B11418" i="21"/>
  <c r="B11109" i="21"/>
  <c r="B11099" i="21"/>
  <c r="B9225" i="21"/>
  <c r="E9225" i="21" s="1"/>
  <c r="D9235" i="21"/>
  <c r="C9235" i="21"/>
  <c r="E9235" i="21"/>
  <c r="A9117" i="21"/>
  <c r="A9010" i="21"/>
  <c r="D9034" i="21"/>
  <c r="E9034" i="21"/>
  <c r="D9225" i="21" l="1"/>
  <c r="D11408" i="21"/>
  <c r="C11408" i="21"/>
  <c r="E11408" i="21"/>
  <c r="C11418" i="21"/>
  <c r="D11418" i="21"/>
  <c r="E11418" i="21"/>
  <c r="C11099" i="21"/>
  <c r="D11099" i="21"/>
  <c r="E11099" i="21"/>
  <c r="D11109" i="21"/>
  <c r="C11109" i="21"/>
  <c r="E11109" i="21"/>
  <c r="C9225" i="21"/>
  <c r="B9226" i="21" s="1"/>
  <c r="B9236" i="21"/>
  <c r="A9013" i="21"/>
  <c r="B11419" i="21" l="1"/>
  <c r="B11409" i="21"/>
  <c r="B11110" i="21"/>
  <c r="B11100" i="21"/>
  <c r="C9236" i="21"/>
  <c r="D9236" i="21"/>
  <c r="E9236" i="21"/>
  <c r="D9226" i="21"/>
  <c r="C9226" i="21"/>
  <c r="E9226" i="21"/>
  <c r="C11409" i="21" l="1"/>
  <c r="E11409" i="21"/>
  <c r="D11409" i="21"/>
  <c r="E11419" i="21"/>
  <c r="D11419" i="21"/>
  <c r="C11419" i="21"/>
  <c r="E11100" i="21"/>
  <c r="C11100" i="21"/>
  <c r="D11100" i="21"/>
  <c r="E11110" i="21"/>
  <c r="C11110" i="21"/>
  <c r="D11110" i="21"/>
  <c r="A409" i="21"/>
  <c r="B9227" i="21"/>
  <c r="B9237" i="21"/>
  <c r="A8695" i="21"/>
  <c r="A8591" i="21"/>
  <c r="B11420" i="21" l="1"/>
  <c r="B11410" i="21"/>
  <c r="B11111" i="21"/>
  <c r="B11101" i="21"/>
  <c r="C9227" i="21"/>
  <c r="E9227" i="21"/>
  <c r="D9227" i="21"/>
  <c r="C9237" i="21"/>
  <c r="E9237" i="21"/>
  <c r="D9237" i="21"/>
  <c r="A8487" i="21"/>
  <c r="A8383" i="21"/>
  <c r="A8279" i="21"/>
  <c r="D11410" i="21" l="1"/>
  <c r="C11410" i="21"/>
  <c r="E11410" i="21"/>
  <c r="C11420" i="21"/>
  <c r="E11420" i="21"/>
  <c r="D11101" i="21"/>
  <c r="C11101" i="21"/>
  <c r="E11101" i="21"/>
  <c r="C11111" i="21"/>
  <c r="E11111" i="21"/>
  <c r="B9238" i="21"/>
  <c r="B9228" i="21"/>
  <c r="A9318" i="21"/>
  <c r="B11421" i="21" l="1"/>
  <c r="B11411" i="21"/>
  <c r="B11102" i="21"/>
  <c r="B11112" i="21"/>
  <c r="B9330" i="21"/>
  <c r="B9340" i="21"/>
  <c r="C9228" i="21"/>
  <c r="D9228" i="21"/>
  <c r="E9228" i="21"/>
  <c r="C9238" i="21"/>
  <c r="D9238" i="21"/>
  <c r="E9238" i="21"/>
  <c r="C11421" i="21" l="1"/>
  <c r="B11422" i="21" s="1"/>
  <c r="E11421" i="21"/>
  <c r="D11421" i="21"/>
  <c r="C11411" i="21"/>
  <c r="E11411" i="21"/>
  <c r="D11411" i="21"/>
  <c r="E11102" i="21"/>
  <c r="C11102" i="21"/>
  <c r="D11102" i="21"/>
  <c r="E11112" i="21"/>
  <c r="D11112" i="21"/>
  <c r="C11112" i="21"/>
  <c r="B11113" i="21" s="1"/>
  <c r="E9340" i="21"/>
  <c r="D9340" i="21"/>
  <c r="C9340" i="21"/>
  <c r="C9330" i="21"/>
  <c r="D9330" i="21"/>
  <c r="E9330" i="21"/>
  <c r="B9239" i="21"/>
  <c r="B9229" i="21"/>
  <c r="A11601" i="21" l="1"/>
  <c r="B11412" i="21"/>
  <c r="C11422" i="21"/>
  <c r="B11423" i="21" s="1"/>
  <c r="D11422" i="21"/>
  <c r="C11113" i="21"/>
  <c r="B11114" i="21" s="1"/>
  <c r="D11113" i="21"/>
  <c r="B11103" i="21"/>
  <c r="B9331" i="21"/>
  <c r="B9341" i="21"/>
  <c r="C9239" i="21"/>
  <c r="B9240" i="21" s="1"/>
  <c r="E9239" i="21"/>
  <c r="D9239" i="21"/>
  <c r="C9229" i="21"/>
  <c r="B9230" i="21" s="1"/>
  <c r="D9229" i="21"/>
  <c r="E9229" i="21"/>
  <c r="B11613" i="21" l="1"/>
  <c r="C11613" i="21" s="1"/>
  <c r="B11623" i="21"/>
  <c r="C11623" i="21" s="1"/>
  <c r="E11422" i="21"/>
  <c r="D11423" i="21"/>
  <c r="E11423" i="21"/>
  <c r="C11412" i="21"/>
  <c r="D11412" i="21"/>
  <c r="D11103" i="21"/>
  <c r="C11103" i="21"/>
  <c r="E11113" i="21"/>
  <c r="D11114" i="21"/>
  <c r="E11114" i="21"/>
  <c r="D9341" i="21"/>
  <c r="C9341" i="21"/>
  <c r="E9341" i="21"/>
  <c r="C9331" i="21"/>
  <c r="D9331" i="21"/>
  <c r="E9331" i="21"/>
  <c r="D9240" i="21"/>
  <c r="C9240" i="21"/>
  <c r="B9241" i="21" s="1"/>
  <c r="C9230" i="21"/>
  <c r="B9231" i="21" s="1"/>
  <c r="D9230" i="21"/>
  <c r="A8070" i="21"/>
  <c r="D11613" i="21" l="1"/>
  <c r="E11613" i="21"/>
  <c r="A9423" i="21"/>
  <c r="B9445" i="21" s="1"/>
  <c r="E9445" i="21" s="1"/>
  <c r="E11623" i="21"/>
  <c r="D11623" i="21"/>
  <c r="B11614" i="21"/>
  <c r="B11624" i="21"/>
  <c r="B11413" i="21"/>
  <c r="E11412" i="21" s="1"/>
  <c r="B11104" i="21"/>
  <c r="B9332" i="21"/>
  <c r="B9342" i="21"/>
  <c r="E9230" i="21"/>
  <c r="E9231" i="21"/>
  <c r="D9231" i="21"/>
  <c r="E9240" i="21"/>
  <c r="D9241" i="21"/>
  <c r="E9241" i="21"/>
  <c r="A7863" i="21"/>
  <c r="D9445" i="21" l="1"/>
  <c r="C9445" i="21"/>
  <c r="B9446" i="21" s="1"/>
  <c r="E9446" i="21" s="1"/>
  <c r="B9435" i="21"/>
  <c r="C9435" i="21" s="1"/>
  <c r="B9436" i="21" s="1"/>
  <c r="C9436" i="21" s="1"/>
  <c r="B9437" i="21" s="1"/>
  <c r="E9437" i="21" s="1"/>
  <c r="A8902" i="21"/>
  <c r="C11624" i="21"/>
  <c r="D11624" i="21"/>
  <c r="E11624" i="21"/>
  <c r="C11614" i="21"/>
  <c r="D11614" i="21"/>
  <c r="E11614" i="21"/>
  <c r="E11413" i="21"/>
  <c r="D11413" i="21"/>
  <c r="E11104" i="21"/>
  <c r="D11104" i="21"/>
  <c r="E11103" i="21"/>
  <c r="E9342" i="21"/>
  <c r="C9342" i="21"/>
  <c r="D9342" i="21"/>
  <c r="E9332" i="21"/>
  <c r="D9332" i="21"/>
  <c r="C9332" i="21"/>
  <c r="A9220" i="21"/>
  <c r="A9217" i="21"/>
  <c r="C9446" i="21" l="1"/>
  <c r="B9447" i="21" s="1"/>
  <c r="E9447" i="21" s="1"/>
  <c r="E9436" i="21"/>
  <c r="D9446" i="21"/>
  <c r="D9436" i="21"/>
  <c r="E9435" i="21"/>
  <c r="D9435" i="21"/>
  <c r="C9437" i="21"/>
  <c r="B9438" i="21" s="1"/>
  <c r="B11615" i="21"/>
  <c r="B11625" i="21"/>
  <c r="A11399" i="21"/>
  <c r="A11090" i="21"/>
  <c r="D9437" i="21"/>
  <c r="B9333" i="21"/>
  <c r="B9343" i="21"/>
  <c r="C9447" i="21" l="1"/>
  <c r="B9448" i="21" s="1"/>
  <c r="C9448" i="21" s="1"/>
  <c r="D9447" i="21"/>
  <c r="A7966" i="21"/>
  <c r="E11625" i="21"/>
  <c r="D11625" i="21"/>
  <c r="C11625" i="21"/>
  <c r="E11615" i="21"/>
  <c r="D11615" i="21"/>
  <c r="C11615" i="21"/>
  <c r="C9438" i="21"/>
  <c r="D9438" i="21"/>
  <c r="E9438" i="21"/>
  <c r="D9343" i="21"/>
  <c r="C9343" i="21"/>
  <c r="E9343" i="21"/>
  <c r="D9333" i="21"/>
  <c r="C9333" i="21"/>
  <c r="E9333" i="21"/>
  <c r="A7551" i="21"/>
  <c r="E9448" i="21" l="1"/>
  <c r="B11616" i="21"/>
  <c r="B11626" i="21"/>
  <c r="B9439" i="21"/>
  <c r="B9449" i="21"/>
  <c r="B9344" i="21"/>
  <c r="B9334" i="21"/>
  <c r="A7759" i="21"/>
  <c r="A7343" i="21"/>
  <c r="A7447" i="21"/>
  <c r="C11626" i="21" l="1"/>
  <c r="E11626" i="21"/>
  <c r="C11616" i="21"/>
  <c r="D11616" i="21"/>
  <c r="E11616" i="21"/>
  <c r="E9449" i="21"/>
  <c r="D9449" i="21"/>
  <c r="C9449" i="21"/>
  <c r="E9439" i="21"/>
  <c r="D9439" i="21"/>
  <c r="C9439" i="21"/>
  <c r="B9440" i="21" s="1"/>
  <c r="C9334" i="21"/>
  <c r="E9334" i="21"/>
  <c r="D9334" i="21"/>
  <c r="C9344" i="21"/>
  <c r="B9345" i="21" s="1"/>
  <c r="E9344" i="21"/>
  <c r="D9344" i="21"/>
  <c r="A11704" i="21" l="1"/>
  <c r="B11617" i="21"/>
  <c r="B11627" i="21"/>
  <c r="D9440" i="21"/>
  <c r="C9440" i="21"/>
  <c r="B9441" i="21" s="1"/>
  <c r="B9450" i="21"/>
  <c r="D9345" i="21"/>
  <c r="C9345" i="21"/>
  <c r="B9346" i="21" s="1"/>
  <c r="B9335" i="21"/>
  <c r="B11726" i="21" l="1"/>
  <c r="C11726" i="21" s="1"/>
  <c r="B11716" i="21"/>
  <c r="D11716" i="21" s="1"/>
  <c r="A11807" i="21"/>
  <c r="E11627" i="21"/>
  <c r="D11627" i="21"/>
  <c r="C11627" i="21"/>
  <c r="B11628" i="21" s="1"/>
  <c r="C11617" i="21"/>
  <c r="B11618" i="21" s="1"/>
  <c r="E11617" i="21"/>
  <c r="D11617" i="21"/>
  <c r="C9450" i="21"/>
  <c r="D9450" i="21"/>
  <c r="E9440" i="21"/>
  <c r="D9441" i="21"/>
  <c r="E9441" i="21"/>
  <c r="D9335" i="21"/>
  <c r="C9335" i="21"/>
  <c r="E9345" i="21"/>
  <c r="D9346" i="21"/>
  <c r="E9346" i="21"/>
  <c r="E11716" i="21" l="1"/>
  <c r="A7655" i="21"/>
  <c r="E11726" i="21"/>
  <c r="D11726" i="21"/>
  <c r="C11716" i="21"/>
  <c r="B11829" i="21"/>
  <c r="D11829" i="21" s="1"/>
  <c r="B11819" i="21"/>
  <c r="C11819" i="21" s="1"/>
  <c r="B11727" i="21"/>
  <c r="B11717" i="21"/>
  <c r="D11618" i="21"/>
  <c r="C11618" i="21"/>
  <c r="B11619" i="21" s="1"/>
  <c r="D11628" i="21"/>
  <c r="C11628" i="21"/>
  <c r="B11629" i="21" s="1"/>
  <c r="A9427" i="21"/>
  <c r="B9451" i="21"/>
  <c r="A9325" i="21"/>
  <c r="B9336" i="21"/>
  <c r="E9335" i="21" s="1"/>
  <c r="A7239" i="21" l="1"/>
  <c r="C11829" i="21"/>
  <c r="E11829" i="21"/>
  <c r="D11819" i="21"/>
  <c r="E11819" i="21"/>
  <c r="B11830" i="21"/>
  <c r="B11820" i="21"/>
  <c r="D11727" i="21"/>
  <c r="C11727" i="21"/>
  <c r="E11727" i="21"/>
  <c r="D11717" i="21"/>
  <c r="C11717" i="21"/>
  <c r="E11717" i="21"/>
  <c r="E11628" i="21"/>
  <c r="D11629" i="21"/>
  <c r="E11629" i="21"/>
  <c r="E11618" i="21"/>
  <c r="D11619" i="21"/>
  <c r="E11619" i="21"/>
  <c r="D9451" i="21"/>
  <c r="E9451" i="21"/>
  <c r="E9450" i="21"/>
  <c r="E9336" i="21"/>
  <c r="D9336" i="21"/>
  <c r="A11605" i="21" l="1"/>
  <c r="C11830" i="21"/>
  <c r="D11830" i="21"/>
  <c r="E11830" i="21"/>
  <c r="D11820" i="21"/>
  <c r="C11820" i="21"/>
  <c r="E11820" i="21"/>
  <c r="B11728" i="21"/>
  <c r="B11718" i="21"/>
  <c r="A9322" i="21"/>
  <c r="A7136" i="21"/>
  <c r="B11821" i="21" l="1"/>
  <c r="B11831" i="21"/>
  <c r="C11728" i="21"/>
  <c r="E11728" i="21"/>
  <c r="D11728" i="21"/>
  <c r="E11718" i="21"/>
  <c r="D11718" i="21"/>
  <c r="C11718" i="21"/>
  <c r="A6930" i="21"/>
  <c r="A11292" i="21" l="1"/>
  <c r="E11831" i="21"/>
  <c r="D11831" i="21"/>
  <c r="C11831" i="21"/>
  <c r="C11821" i="21"/>
  <c r="E11821" i="21"/>
  <c r="D11821" i="21"/>
  <c r="B11719" i="21"/>
  <c r="B11729" i="21"/>
  <c r="B11304" i="21" l="1"/>
  <c r="C11304" i="21" s="1"/>
  <c r="B11314" i="21"/>
  <c r="D11314" i="21" s="1"/>
  <c r="B11822" i="21"/>
  <c r="B11832" i="21"/>
  <c r="C11729" i="21"/>
  <c r="E11729" i="21"/>
  <c r="C11719" i="21"/>
  <c r="D11719" i="21"/>
  <c r="E11719" i="21"/>
  <c r="Z10" i="13"/>
  <c r="A7033" i="21" l="1"/>
  <c r="E11304" i="21"/>
  <c r="C11314" i="21"/>
  <c r="B11315" i="21" s="1"/>
  <c r="E11314" i="21"/>
  <c r="D11304" i="21"/>
  <c r="C11832" i="21"/>
  <c r="E11832" i="21"/>
  <c r="D11822" i="21"/>
  <c r="C11822" i="21"/>
  <c r="E11822" i="21"/>
  <c r="B11720" i="21"/>
  <c r="B11730" i="21"/>
  <c r="B11305" i="21"/>
  <c r="A6621" i="21"/>
  <c r="B11833" i="21" l="1"/>
  <c r="B11823" i="21"/>
  <c r="E11730" i="21"/>
  <c r="D11730" i="21"/>
  <c r="C11730" i="21"/>
  <c r="C11720" i="21"/>
  <c r="E11720" i="21"/>
  <c r="D11720" i="21"/>
  <c r="D11305" i="21"/>
  <c r="C11305" i="21"/>
  <c r="E11305" i="21"/>
  <c r="C11315" i="21"/>
  <c r="D11315" i="21"/>
  <c r="E11315" i="21"/>
  <c r="E11823" i="21" l="1"/>
  <c r="D11823" i="21"/>
  <c r="C11823" i="21"/>
  <c r="C11833" i="21"/>
  <c r="B11834" i="21" s="1"/>
  <c r="E11833" i="21"/>
  <c r="D11833" i="21"/>
  <c r="B11731" i="21"/>
  <c r="B11721" i="21"/>
  <c r="B11316" i="21"/>
  <c r="B11306" i="21"/>
  <c r="C11834" i="21" l="1"/>
  <c r="B11835" i="21" s="1"/>
  <c r="D11834" i="21"/>
  <c r="B11824" i="21"/>
  <c r="C11721" i="21"/>
  <c r="D11721" i="21"/>
  <c r="C11731" i="21"/>
  <c r="D11731" i="21"/>
  <c r="E11316" i="21"/>
  <c r="D11316" i="21"/>
  <c r="C11316" i="21"/>
  <c r="C11306" i="21"/>
  <c r="E11306" i="21"/>
  <c r="D11306" i="21"/>
  <c r="A6827" i="21"/>
  <c r="A6415" i="21"/>
  <c r="C11824" i="21" l="1"/>
  <c r="D11824" i="21"/>
  <c r="E11834" i="21"/>
  <c r="D11835" i="21"/>
  <c r="E11835" i="21"/>
  <c r="B11732" i="21"/>
  <c r="E11731" i="21" s="1"/>
  <c r="B11722" i="21"/>
  <c r="E11721" i="21" s="1"/>
  <c r="B11307" i="21"/>
  <c r="B11317" i="21"/>
  <c r="A6724" i="21"/>
  <c r="K8" i="13"/>
  <c r="P8" i="13" s="1"/>
  <c r="K7" i="13"/>
  <c r="P7" i="13" s="1"/>
  <c r="K6" i="13"/>
  <c r="P10" i="13" l="1"/>
  <c r="B11825" i="21"/>
  <c r="E11824" i="21" s="1"/>
  <c r="D11722" i="21"/>
  <c r="E11722" i="21"/>
  <c r="D11732" i="21"/>
  <c r="E11732" i="21"/>
  <c r="D11307" i="21"/>
  <c r="C11307" i="21"/>
  <c r="E11307" i="21"/>
  <c r="C11317" i="21"/>
  <c r="E11317" i="21"/>
  <c r="S8" i="13"/>
  <c r="Q8" i="13"/>
  <c r="O8" i="13"/>
  <c r="Q7" i="13"/>
  <c r="S7" i="13"/>
  <c r="O7" i="13"/>
  <c r="E11825" i="21" l="1"/>
  <c r="D11825" i="21"/>
  <c r="A11708" i="21"/>
  <c r="B11318" i="21"/>
  <c r="B11308" i="21"/>
  <c r="A6518" i="21"/>
  <c r="A11811" i="21" l="1"/>
  <c r="C11308" i="21"/>
  <c r="E11308" i="21"/>
  <c r="D11308" i="21"/>
  <c r="C11318" i="21"/>
  <c r="B11319" i="21" s="1"/>
  <c r="E11318" i="21"/>
  <c r="D11318" i="21"/>
  <c r="C11319" i="21" l="1"/>
  <c r="B11320" i="21" s="1"/>
  <c r="D11319" i="21"/>
  <c r="B11309" i="21"/>
  <c r="D11309" i="21" l="1"/>
  <c r="C11309" i="21"/>
  <c r="E11319" i="21"/>
  <c r="D11320" i="21"/>
  <c r="E11320" i="21"/>
  <c r="B11310" i="21" l="1"/>
  <c r="E11309" i="21" s="1"/>
  <c r="D11310" i="21" l="1"/>
  <c r="E11310" i="21"/>
  <c r="A11296" i="21" l="1"/>
  <c r="A12327" i="21" l="1"/>
  <c r="B12349" i="21" s="1"/>
  <c r="E12349" i="21" s="1"/>
  <c r="A6312" i="21" l="1"/>
  <c r="B12339" i="21"/>
  <c r="C12339" i="21" s="1"/>
  <c r="B12340" i="21" s="1"/>
  <c r="D12349" i="21"/>
  <c r="C12349" i="21"/>
  <c r="B12350" i="21" s="1"/>
  <c r="A6209" i="21"/>
  <c r="A6106" i="21"/>
  <c r="A6003" i="21"/>
  <c r="A5694" i="21"/>
  <c r="D12339" i="21" l="1"/>
  <c r="E12339" i="21"/>
  <c r="D12350" i="21"/>
  <c r="C12350" i="21"/>
  <c r="E12350" i="21"/>
  <c r="D12340" i="21"/>
  <c r="C12340" i="21"/>
  <c r="E12340" i="21"/>
  <c r="A5797" i="21"/>
  <c r="B12351" i="21" l="1"/>
  <c r="B12341" i="21"/>
  <c r="C12351" i="21" l="1"/>
  <c r="E12351" i="21"/>
  <c r="D12351" i="21"/>
  <c r="E12341" i="21"/>
  <c r="D12341" i="21"/>
  <c r="C12341" i="21"/>
  <c r="B12342" i="21" l="1"/>
  <c r="B12352" i="21"/>
  <c r="A5900" i="21"/>
  <c r="C12352" i="21" l="1"/>
  <c r="E12352" i="21"/>
  <c r="D12342" i="21"/>
  <c r="C12342" i="21"/>
  <c r="E12342" i="21"/>
  <c r="B12353" i="21" l="1"/>
  <c r="B12343" i="21"/>
  <c r="E12343" i="21" l="1"/>
  <c r="D12343" i="21"/>
  <c r="C12343" i="21"/>
  <c r="B12344" i="21" s="1"/>
  <c r="E12353" i="21"/>
  <c r="D12353" i="21"/>
  <c r="C12353" i="21"/>
  <c r="B12354" i="21" s="1"/>
  <c r="A5488" i="21"/>
  <c r="D12344" i="21" l="1"/>
  <c r="C12344" i="21"/>
  <c r="B12345" i="21" s="1"/>
  <c r="D12354" i="21"/>
  <c r="C12354" i="21"/>
  <c r="B12355" i="21" s="1"/>
  <c r="E12354" i="21" l="1"/>
  <c r="D12355" i="21"/>
  <c r="E12355" i="21"/>
  <c r="E12344" i="21"/>
  <c r="D12345" i="21"/>
  <c r="E12345" i="21"/>
  <c r="A12331" i="21" l="1"/>
  <c r="A5179" i="21"/>
  <c r="O10" i="13"/>
  <c r="A4870" i="21" l="1"/>
  <c r="A4663" i="21"/>
  <c r="A5076" i="21" l="1"/>
  <c r="A4354" i="21" l="1"/>
  <c r="A4973" i="21" l="1"/>
  <c r="J9" i="4"/>
  <c r="J8" i="4"/>
  <c r="J8" i="1" l="1"/>
  <c r="A21600" i="21" l="1"/>
  <c r="A12947" i="21"/>
  <c r="B21612" i="21" l="1"/>
  <c r="B21622" i="21"/>
  <c r="A19952" i="21"/>
  <c r="B19964" i="21" s="1"/>
  <c r="A20776" i="21"/>
  <c r="A19746" i="21"/>
  <c r="B19758" i="21" s="1"/>
  <c r="A19849" i="21"/>
  <c r="A18819" i="21"/>
  <c r="B18841" i="21" s="1"/>
  <c r="A18922" i="21"/>
  <c r="A18413" i="21"/>
  <c r="A17591" i="21"/>
  <c r="B17613" i="21" s="1"/>
  <c r="A18002" i="21"/>
  <c r="A17693" i="21"/>
  <c r="A17796" i="21"/>
  <c r="A17282" i="21"/>
  <c r="B17304" i="21" s="1"/>
  <c r="A17488" i="21"/>
  <c r="A17076" i="21"/>
  <c r="A17179" i="21"/>
  <c r="A16870" i="21"/>
  <c r="A16973" i="21"/>
  <c r="A16353" i="21"/>
  <c r="A16767" i="21"/>
  <c r="B16375" i="21"/>
  <c r="B16365" i="21"/>
  <c r="A16147" i="21"/>
  <c r="A16250" i="21"/>
  <c r="A15941" i="21"/>
  <c r="A13050" i="21"/>
  <c r="B13062" i="21" s="1"/>
  <c r="A12741" i="21"/>
  <c r="B12763" i="21" s="1"/>
  <c r="A13977" i="21"/>
  <c r="B13989" i="21" s="1"/>
  <c r="A12844" i="21"/>
  <c r="B12856" i="21" s="1"/>
  <c r="A13874" i="21"/>
  <c r="B13896" i="21" s="1"/>
  <c r="A13153" i="21"/>
  <c r="B13165" i="21" s="1"/>
  <c r="D13165" i="21" s="1"/>
  <c r="B12959" i="21"/>
  <c r="B12969" i="21"/>
  <c r="E21622" i="21" l="1"/>
  <c r="D21622" i="21"/>
  <c r="C21622" i="21"/>
  <c r="D21612" i="21"/>
  <c r="E21612" i="21"/>
  <c r="C21612" i="21"/>
  <c r="B19974" i="21"/>
  <c r="C19974" i="21" s="1"/>
  <c r="B20788" i="21"/>
  <c r="B20798" i="21"/>
  <c r="B19768" i="21"/>
  <c r="D19768" i="21" s="1"/>
  <c r="D19964" i="21"/>
  <c r="C19964" i="21"/>
  <c r="E19964" i="21"/>
  <c r="B19861" i="21"/>
  <c r="B19871" i="21"/>
  <c r="E19758" i="21"/>
  <c r="D19758" i="21"/>
  <c r="C19758" i="21"/>
  <c r="B18831" i="21"/>
  <c r="E18831" i="21" s="1"/>
  <c r="B18934" i="21"/>
  <c r="B18944" i="21"/>
  <c r="D18841" i="21"/>
  <c r="C18841" i="21"/>
  <c r="E18841" i="21"/>
  <c r="D18831" i="21"/>
  <c r="B17603" i="21"/>
  <c r="C17603" i="21" s="1"/>
  <c r="B18425" i="21"/>
  <c r="B18435" i="21"/>
  <c r="C17613" i="21"/>
  <c r="E17613" i="21"/>
  <c r="D17613" i="21"/>
  <c r="D17603" i="21"/>
  <c r="B18014" i="21"/>
  <c r="B18024" i="21"/>
  <c r="B17808" i="21"/>
  <c r="B17818" i="21"/>
  <c r="B17705" i="21"/>
  <c r="B17715" i="21"/>
  <c r="B17294" i="21"/>
  <c r="E17294" i="21" s="1"/>
  <c r="B17510" i="21"/>
  <c r="B17500" i="21"/>
  <c r="D17304" i="21"/>
  <c r="C17304" i="21"/>
  <c r="E17304" i="21"/>
  <c r="D17294" i="21"/>
  <c r="C17294" i="21"/>
  <c r="B17191" i="21"/>
  <c r="B17201" i="21"/>
  <c r="B17088" i="21"/>
  <c r="B17098" i="21"/>
  <c r="B16985" i="21"/>
  <c r="B16995" i="21"/>
  <c r="B16882" i="21"/>
  <c r="B16892" i="21"/>
  <c r="B16779" i="21"/>
  <c r="B16789" i="21"/>
  <c r="E16365" i="21"/>
  <c r="D16365" i="21"/>
  <c r="C16365" i="21"/>
  <c r="E16375" i="21"/>
  <c r="D16375" i="21"/>
  <c r="C16375" i="21"/>
  <c r="B16272" i="21"/>
  <c r="B16262" i="21"/>
  <c r="B16169" i="21"/>
  <c r="B16159" i="21"/>
  <c r="B15953" i="21"/>
  <c r="B15963" i="21"/>
  <c r="B12753" i="21"/>
  <c r="D12753" i="21" s="1"/>
  <c r="B13886" i="21"/>
  <c r="C13886" i="21" s="1"/>
  <c r="B13072" i="21"/>
  <c r="D13072" i="21" s="1"/>
  <c r="B13999" i="21"/>
  <c r="E13999" i="21" s="1"/>
  <c r="C13165" i="21"/>
  <c r="B13166" i="21" s="1"/>
  <c r="E13165" i="21"/>
  <c r="B13175" i="21"/>
  <c r="D13175" i="21" s="1"/>
  <c r="B12866" i="21"/>
  <c r="D12866" i="21" s="1"/>
  <c r="D13989" i="21"/>
  <c r="C13989" i="21"/>
  <c r="E13989" i="21"/>
  <c r="D13896" i="21"/>
  <c r="C13896" i="21"/>
  <c r="E13896" i="21"/>
  <c r="D12969" i="21"/>
  <c r="C12969" i="21"/>
  <c r="E12969" i="21"/>
  <c r="C13062" i="21"/>
  <c r="D13062" i="21"/>
  <c r="E13062" i="21"/>
  <c r="D12959" i="21"/>
  <c r="E12959" i="21"/>
  <c r="C12959" i="21"/>
  <c r="C12856" i="21"/>
  <c r="D12856" i="21"/>
  <c r="E12856" i="21"/>
  <c r="E12763" i="21"/>
  <c r="D12763" i="21"/>
  <c r="C12763" i="21"/>
  <c r="A2482" i="21"/>
  <c r="S10" i="13"/>
  <c r="Q10" i="13"/>
  <c r="B21613" i="21" l="1"/>
  <c r="B21623" i="21"/>
  <c r="E19974" i="21"/>
  <c r="D19974" i="21"/>
  <c r="E20798" i="21"/>
  <c r="D20798" i="21"/>
  <c r="C20798" i="21"/>
  <c r="E20788" i="21"/>
  <c r="D20788" i="21"/>
  <c r="C20788" i="21"/>
  <c r="E19768" i="21"/>
  <c r="C19768" i="21"/>
  <c r="C18831" i="21"/>
  <c r="B18832" i="21" s="1"/>
  <c r="B19965" i="21"/>
  <c r="B19975" i="21"/>
  <c r="D19871" i="21"/>
  <c r="C19871" i="21"/>
  <c r="E19871" i="21"/>
  <c r="C19861" i="21"/>
  <c r="D19861" i="21"/>
  <c r="E19861" i="21"/>
  <c r="B19769" i="21"/>
  <c r="B19759" i="21"/>
  <c r="E17603" i="21"/>
  <c r="E18944" i="21"/>
  <c r="D18944" i="21"/>
  <c r="C18944" i="21"/>
  <c r="D18934" i="21"/>
  <c r="C18934" i="21"/>
  <c r="E18934" i="21"/>
  <c r="B18842" i="21"/>
  <c r="E18435" i="21"/>
  <c r="D18435" i="21"/>
  <c r="C18435" i="21"/>
  <c r="E18425" i="21"/>
  <c r="D18425" i="21"/>
  <c r="C18425" i="21"/>
  <c r="B17614" i="21"/>
  <c r="B17604" i="21"/>
  <c r="D18024" i="21"/>
  <c r="C18024" i="21"/>
  <c r="E18024" i="21"/>
  <c r="D18014" i="21"/>
  <c r="E18014" i="21"/>
  <c r="C18014" i="21"/>
  <c r="C17818" i="21"/>
  <c r="E17818" i="21"/>
  <c r="D17818" i="21"/>
  <c r="D17808" i="21"/>
  <c r="C17808" i="21"/>
  <c r="E17808" i="21"/>
  <c r="E17715" i="21"/>
  <c r="D17715" i="21"/>
  <c r="C17715" i="21"/>
  <c r="E17705" i="21"/>
  <c r="D17705" i="21"/>
  <c r="C17705" i="21"/>
  <c r="E17510" i="21"/>
  <c r="D17510" i="21"/>
  <c r="C17510" i="21"/>
  <c r="C17500" i="21"/>
  <c r="E17500" i="21"/>
  <c r="D17500" i="21"/>
  <c r="B17305" i="21"/>
  <c r="B17295" i="21"/>
  <c r="E12753" i="21"/>
  <c r="C12753" i="21"/>
  <c r="B12754" i="21" s="1"/>
  <c r="D17201" i="21"/>
  <c r="C17201" i="21"/>
  <c r="E17201" i="21"/>
  <c r="D17191" i="21"/>
  <c r="E17191" i="21"/>
  <c r="C17191" i="21"/>
  <c r="E17098" i="21"/>
  <c r="D17098" i="21"/>
  <c r="C17098" i="21"/>
  <c r="C17088" i="21"/>
  <c r="D17088" i="21"/>
  <c r="E17088" i="21"/>
  <c r="E16995" i="21"/>
  <c r="D16995" i="21"/>
  <c r="C16995" i="21"/>
  <c r="D16985" i="21"/>
  <c r="E16985" i="21"/>
  <c r="C16985" i="21"/>
  <c r="D16892" i="21"/>
  <c r="C16892" i="21"/>
  <c r="E16892" i="21"/>
  <c r="D16882" i="21"/>
  <c r="E16882" i="21"/>
  <c r="C16882" i="21"/>
  <c r="D16789" i="21"/>
  <c r="C16789" i="21"/>
  <c r="E16789" i="21"/>
  <c r="D16779" i="21"/>
  <c r="E16779" i="21"/>
  <c r="C16779" i="21"/>
  <c r="B16376" i="21"/>
  <c r="B16366" i="21"/>
  <c r="D16262" i="21"/>
  <c r="C16262" i="21"/>
  <c r="E16262" i="21"/>
  <c r="C16272" i="21"/>
  <c r="E16272" i="21"/>
  <c r="D16272" i="21"/>
  <c r="E16159" i="21"/>
  <c r="D16159" i="21"/>
  <c r="C16159" i="21"/>
  <c r="E16169" i="21"/>
  <c r="D16169" i="21"/>
  <c r="C16169" i="21"/>
  <c r="D15963" i="21"/>
  <c r="C15963" i="21"/>
  <c r="E15963" i="21"/>
  <c r="C15953" i="21"/>
  <c r="E15953" i="21"/>
  <c r="D15953" i="21"/>
  <c r="D13886" i="21"/>
  <c r="E13886" i="21"/>
  <c r="C12866" i="21"/>
  <c r="C13072" i="21"/>
  <c r="B13073" i="21" s="1"/>
  <c r="E13072" i="21"/>
  <c r="E13175" i="21"/>
  <c r="D13999" i="21"/>
  <c r="C13999" i="21"/>
  <c r="E12866" i="21"/>
  <c r="C13175" i="21"/>
  <c r="B13176" i="21" s="1"/>
  <c r="D13176" i="21" s="1"/>
  <c r="B13897" i="21"/>
  <c r="B13990" i="21"/>
  <c r="B13887" i="21"/>
  <c r="B14000" i="21"/>
  <c r="B12960" i="21"/>
  <c r="B12970" i="21"/>
  <c r="B13063" i="21"/>
  <c r="C13166" i="21"/>
  <c r="D13166" i="21"/>
  <c r="E13166" i="21"/>
  <c r="B12857" i="21"/>
  <c r="B12867" i="21"/>
  <c r="B12764" i="21"/>
  <c r="D21623" i="21" l="1"/>
  <c r="C21623" i="21"/>
  <c r="E21623" i="21"/>
  <c r="C21613" i="21"/>
  <c r="D21613" i="21"/>
  <c r="E21613" i="21"/>
  <c r="B20789" i="21"/>
  <c r="B20799" i="21"/>
  <c r="D19975" i="21"/>
  <c r="C19975" i="21"/>
  <c r="E19975" i="21"/>
  <c r="D19965" i="21"/>
  <c r="C19965" i="21"/>
  <c r="E19965" i="21"/>
  <c r="B19872" i="21"/>
  <c r="B19862" i="21"/>
  <c r="C19759" i="21"/>
  <c r="D19759" i="21"/>
  <c r="E19759" i="21"/>
  <c r="C19769" i="21"/>
  <c r="D19769" i="21"/>
  <c r="E19769" i="21"/>
  <c r="B18935" i="21"/>
  <c r="B18945" i="21"/>
  <c r="C18832" i="21"/>
  <c r="D18832" i="21"/>
  <c r="E18832" i="21"/>
  <c r="D18842" i="21"/>
  <c r="C18842" i="21"/>
  <c r="E18842" i="21"/>
  <c r="B18426" i="21"/>
  <c r="B18436" i="21"/>
  <c r="D17604" i="21"/>
  <c r="C17604" i="21"/>
  <c r="E17604" i="21"/>
  <c r="D17614" i="21"/>
  <c r="C17614" i="21"/>
  <c r="E17614" i="21"/>
  <c r="B18025" i="21"/>
  <c r="B18015" i="21"/>
  <c r="B17809" i="21"/>
  <c r="B17819" i="21"/>
  <c r="B17706" i="21"/>
  <c r="B17716" i="21"/>
  <c r="B17501" i="21"/>
  <c r="B17511" i="21"/>
  <c r="C17295" i="21"/>
  <c r="D17295" i="21"/>
  <c r="E17295" i="21"/>
  <c r="C17305" i="21"/>
  <c r="D17305" i="21"/>
  <c r="E17305" i="21"/>
  <c r="B17202" i="21"/>
  <c r="B17192" i="21"/>
  <c r="B17089" i="21"/>
  <c r="B17099" i="21"/>
  <c r="B16986" i="21"/>
  <c r="B16996" i="21"/>
  <c r="B16893" i="21"/>
  <c r="B16883" i="21"/>
  <c r="B16790" i="21"/>
  <c r="B16780" i="21"/>
  <c r="C16366" i="21"/>
  <c r="D16366" i="21"/>
  <c r="E16366" i="21"/>
  <c r="C16376" i="21"/>
  <c r="D16376" i="21"/>
  <c r="E16376" i="21"/>
  <c r="B16263" i="21"/>
  <c r="B16273" i="21"/>
  <c r="B16170" i="21"/>
  <c r="B16160" i="21"/>
  <c r="B15964" i="21"/>
  <c r="B15954" i="21"/>
  <c r="C13176" i="21"/>
  <c r="E13176" i="21"/>
  <c r="D14000" i="21"/>
  <c r="C14000" i="21"/>
  <c r="E14000" i="21"/>
  <c r="D13990" i="21"/>
  <c r="C13990" i="21"/>
  <c r="E13990" i="21"/>
  <c r="D13897" i="21"/>
  <c r="C13897" i="21"/>
  <c r="E13897" i="21"/>
  <c r="D13887" i="21"/>
  <c r="C13887" i="21"/>
  <c r="E13887" i="21"/>
  <c r="B13177" i="21"/>
  <c r="B13167" i="21"/>
  <c r="C13063" i="21"/>
  <c r="D13063" i="21"/>
  <c r="E13063" i="21"/>
  <c r="D13073" i="21"/>
  <c r="C13073" i="21"/>
  <c r="E13073" i="21"/>
  <c r="C12970" i="21"/>
  <c r="D12970" i="21"/>
  <c r="E12970" i="21"/>
  <c r="C12960" i="21"/>
  <c r="D12960" i="21"/>
  <c r="E12960" i="21"/>
  <c r="D12867" i="21"/>
  <c r="C12867" i="21"/>
  <c r="E12867" i="21"/>
  <c r="D12857" i="21"/>
  <c r="C12857" i="21"/>
  <c r="E12857" i="21"/>
  <c r="C12754" i="21"/>
  <c r="D12754" i="21"/>
  <c r="E12754" i="21"/>
  <c r="C12764" i="21"/>
  <c r="D12764" i="21"/>
  <c r="E12764" i="21"/>
  <c r="A3002" i="21"/>
  <c r="A2898" i="21"/>
  <c r="B21614" i="21" l="1"/>
  <c r="B21624" i="21"/>
  <c r="C20789" i="21"/>
  <c r="D20789" i="21"/>
  <c r="E20789" i="21"/>
  <c r="C20799" i="21"/>
  <c r="D20799" i="21"/>
  <c r="E20799" i="21"/>
  <c r="B19976" i="21"/>
  <c r="B19966" i="21"/>
  <c r="D19862" i="21"/>
  <c r="C19862" i="21"/>
  <c r="E19862" i="21"/>
  <c r="C19872" i="21"/>
  <c r="D19872" i="21"/>
  <c r="E19872" i="21"/>
  <c r="B19770" i="21"/>
  <c r="B19760" i="21"/>
  <c r="D18935" i="21"/>
  <c r="C18935" i="21"/>
  <c r="E18935" i="21"/>
  <c r="D18945" i="21"/>
  <c r="C18945" i="21"/>
  <c r="E18945" i="21"/>
  <c r="B18843" i="21"/>
  <c r="B18833" i="21"/>
  <c r="D18436" i="21"/>
  <c r="C18436" i="21"/>
  <c r="E18436" i="21"/>
  <c r="D18426" i="21"/>
  <c r="C18426" i="21"/>
  <c r="E18426" i="21"/>
  <c r="B17615" i="21"/>
  <c r="B17605" i="21"/>
  <c r="D18015" i="21"/>
  <c r="C18015" i="21"/>
  <c r="E18015" i="21"/>
  <c r="D18025" i="21"/>
  <c r="C18025" i="21"/>
  <c r="E18025" i="21"/>
  <c r="D17819" i="21"/>
  <c r="C17819" i="21"/>
  <c r="E17819" i="21"/>
  <c r="D17809" i="21"/>
  <c r="C17809" i="21"/>
  <c r="E17809" i="21"/>
  <c r="D17716" i="21"/>
  <c r="C17716" i="21"/>
  <c r="E17716" i="21"/>
  <c r="D17706" i="21"/>
  <c r="C17706" i="21"/>
  <c r="E17706" i="21"/>
  <c r="C17511" i="21"/>
  <c r="D17511" i="21"/>
  <c r="E17511" i="21"/>
  <c r="C17501" i="21"/>
  <c r="D17501" i="21"/>
  <c r="E17501" i="21"/>
  <c r="B17306" i="21"/>
  <c r="B17296" i="21"/>
  <c r="C17192" i="21"/>
  <c r="D17192" i="21"/>
  <c r="E17192" i="21"/>
  <c r="C17202" i="21"/>
  <c r="D17202" i="21"/>
  <c r="E17202" i="21"/>
  <c r="D17099" i="21"/>
  <c r="C17099" i="21"/>
  <c r="E17099" i="21"/>
  <c r="D17089" i="21"/>
  <c r="C17089" i="21"/>
  <c r="E17089" i="21"/>
  <c r="C16996" i="21"/>
  <c r="D16996" i="21"/>
  <c r="E16996" i="21"/>
  <c r="D16986" i="21"/>
  <c r="C16986" i="21"/>
  <c r="E16986" i="21"/>
  <c r="C16883" i="21"/>
  <c r="D16883" i="21"/>
  <c r="E16883" i="21"/>
  <c r="C16893" i="21"/>
  <c r="D16893" i="21"/>
  <c r="E16893" i="21"/>
  <c r="C16780" i="21"/>
  <c r="D16780" i="21"/>
  <c r="E16780" i="21"/>
  <c r="D16790" i="21"/>
  <c r="C16790" i="21"/>
  <c r="E16790" i="21"/>
  <c r="B16377" i="21"/>
  <c r="B16367" i="21"/>
  <c r="D16273" i="21"/>
  <c r="C16273" i="21"/>
  <c r="E16273" i="21"/>
  <c r="D16263" i="21"/>
  <c r="C16263" i="21"/>
  <c r="E16263" i="21"/>
  <c r="C16160" i="21"/>
  <c r="D16160" i="21"/>
  <c r="E16160" i="21"/>
  <c r="C16170" i="21"/>
  <c r="D16170" i="21"/>
  <c r="E16170" i="21"/>
  <c r="C15954" i="21"/>
  <c r="D15954" i="21"/>
  <c r="E15954" i="21"/>
  <c r="C15964" i="21"/>
  <c r="D15964" i="21"/>
  <c r="E15964" i="21"/>
  <c r="B13898" i="21"/>
  <c r="B14001" i="21"/>
  <c r="B13888" i="21"/>
  <c r="B13991" i="21"/>
  <c r="B12971" i="21"/>
  <c r="B13074" i="21"/>
  <c r="B13064" i="21"/>
  <c r="E13177" i="21"/>
  <c r="D13177" i="21"/>
  <c r="C13177" i="21"/>
  <c r="B12961" i="21"/>
  <c r="C13167" i="21"/>
  <c r="E13167" i="21"/>
  <c r="D13167" i="21"/>
  <c r="B12868" i="21"/>
  <c r="B12858" i="21"/>
  <c r="B12765" i="21"/>
  <c r="B12755" i="21"/>
  <c r="E21624" i="21" l="1"/>
  <c r="D21624" i="21"/>
  <c r="C21624" i="21"/>
  <c r="C21614" i="21"/>
  <c r="E21614" i="21"/>
  <c r="D21614" i="21"/>
  <c r="B20800" i="21"/>
  <c r="B20790" i="21"/>
  <c r="D19966" i="21"/>
  <c r="C19966" i="21"/>
  <c r="E19966" i="21"/>
  <c r="E19976" i="21"/>
  <c r="D19976" i="21"/>
  <c r="C19976" i="21"/>
  <c r="B19873" i="21"/>
  <c r="B19863" i="21"/>
  <c r="D19770" i="21"/>
  <c r="C19770" i="21"/>
  <c r="E19770" i="21"/>
  <c r="E19760" i="21"/>
  <c r="D19760" i="21"/>
  <c r="C19760" i="21"/>
  <c r="B18936" i="21"/>
  <c r="B18946" i="21"/>
  <c r="E18843" i="21"/>
  <c r="D18843" i="21"/>
  <c r="C18843" i="21"/>
  <c r="E18833" i="21"/>
  <c r="D18833" i="21"/>
  <c r="C18833" i="21"/>
  <c r="B18437" i="21"/>
  <c r="B18427" i="21"/>
  <c r="D17615" i="21"/>
  <c r="C17615" i="21"/>
  <c r="E17615" i="21"/>
  <c r="D17605" i="21"/>
  <c r="E17605" i="21"/>
  <c r="C17605" i="21"/>
  <c r="B18016" i="21"/>
  <c r="B18026" i="21"/>
  <c r="B17820" i="21"/>
  <c r="B17810" i="21"/>
  <c r="B17717" i="21"/>
  <c r="B17707" i="21"/>
  <c r="B17502" i="21"/>
  <c r="B17512" i="21"/>
  <c r="C17296" i="21"/>
  <c r="E17296" i="21"/>
  <c r="D17296" i="21"/>
  <c r="D17306" i="21"/>
  <c r="C17306" i="21"/>
  <c r="E17306" i="21"/>
  <c r="B17193" i="21"/>
  <c r="B17203" i="21"/>
  <c r="B17100" i="21"/>
  <c r="B17090" i="21"/>
  <c r="B16987" i="21"/>
  <c r="B16997" i="21"/>
  <c r="B16894" i="21"/>
  <c r="B16884" i="21"/>
  <c r="B16791" i="21"/>
  <c r="B16781" i="21"/>
  <c r="D16367" i="21"/>
  <c r="C16367" i="21"/>
  <c r="E16367" i="21"/>
  <c r="E16377" i="21"/>
  <c r="D16377" i="21"/>
  <c r="C16377" i="21"/>
  <c r="B16274" i="21"/>
  <c r="B16264" i="21"/>
  <c r="B16171" i="21"/>
  <c r="B16161" i="21"/>
  <c r="B15965" i="21"/>
  <c r="B15955" i="21"/>
  <c r="E13991" i="21"/>
  <c r="D13991" i="21"/>
  <c r="C13991" i="21"/>
  <c r="D14001" i="21"/>
  <c r="C14001" i="21"/>
  <c r="E14001" i="21"/>
  <c r="E13898" i="21"/>
  <c r="D13898" i="21"/>
  <c r="C13898" i="21"/>
  <c r="C13888" i="21"/>
  <c r="E13888" i="21"/>
  <c r="D13888" i="21"/>
  <c r="C12961" i="21"/>
  <c r="E12961" i="21"/>
  <c r="D12961" i="21"/>
  <c r="B13178" i="21"/>
  <c r="C13074" i="21"/>
  <c r="E13074" i="21"/>
  <c r="D13074" i="21"/>
  <c r="B13168" i="21"/>
  <c r="C13064" i="21"/>
  <c r="E13064" i="21"/>
  <c r="D13064" i="21"/>
  <c r="E12971" i="21"/>
  <c r="D12971" i="21"/>
  <c r="C12971" i="21"/>
  <c r="C12868" i="21"/>
  <c r="E12868" i="21"/>
  <c r="D12868" i="21"/>
  <c r="E12858" i="21"/>
  <c r="D12858" i="21"/>
  <c r="C12858" i="21"/>
  <c r="C12755" i="21"/>
  <c r="E12755" i="21"/>
  <c r="D12755" i="21"/>
  <c r="C12765" i="21"/>
  <c r="E12765" i="21"/>
  <c r="D12765" i="21"/>
  <c r="L817" i="21"/>
  <c r="L816" i="21"/>
  <c r="L815" i="21"/>
  <c r="L814" i="21"/>
  <c r="L813" i="21"/>
  <c r="L812" i="21"/>
  <c r="L811" i="21"/>
  <c r="L810" i="21"/>
  <c r="L809" i="21"/>
  <c r="L807" i="21"/>
  <c r="L806" i="21"/>
  <c r="L805" i="21"/>
  <c r="L804" i="21"/>
  <c r="L803" i="21"/>
  <c r="L802" i="21"/>
  <c r="L801" i="21"/>
  <c r="L800" i="21"/>
  <c r="L799" i="21"/>
  <c r="L797" i="21"/>
  <c r="L796" i="21"/>
  <c r="L795" i="21"/>
  <c r="L794" i="21"/>
  <c r="L793" i="21"/>
  <c r="L792" i="21"/>
  <c r="L791" i="21"/>
  <c r="L790" i="21"/>
  <c r="L789" i="21"/>
  <c r="L787" i="21"/>
  <c r="L786" i="21"/>
  <c r="L785" i="21"/>
  <c r="L784" i="21"/>
  <c r="L783" i="21"/>
  <c r="L782" i="21"/>
  <c r="L781" i="21"/>
  <c r="L780" i="21"/>
  <c r="L779" i="21"/>
  <c r="L777" i="21"/>
  <c r="L776" i="21"/>
  <c r="L775" i="21"/>
  <c r="L774" i="21"/>
  <c r="L773" i="21"/>
  <c r="L772" i="21"/>
  <c r="L771" i="21"/>
  <c r="L770" i="21"/>
  <c r="L769" i="21"/>
  <c r="L767" i="21"/>
  <c r="L766" i="21"/>
  <c r="L765" i="21"/>
  <c r="L764" i="21"/>
  <c r="L763" i="21"/>
  <c r="L762" i="21"/>
  <c r="L761" i="21"/>
  <c r="L760" i="21"/>
  <c r="L759" i="21"/>
  <c r="L757" i="21"/>
  <c r="L756" i="21"/>
  <c r="L755" i="21"/>
  <c r="L754" i="21"/>
  <c r="L753" i="21"/>
  <c r="L752" i="21"/>
  <c r="L751" i="21"/>
  <c r="L750" i="21"/>
  <c r="L749" i="21"/>
  <c r="L747" i="21"/>
  <c r="L746" i="21"/>
  <c r="L745" i="21"/>
  <c r="L744" i="21"/>
  <c r="L743" i="21"/>
  <c r="L742" i="21"/>
  <c r="L741" i="21"/>
  <c r="L740" i="21"/>
  <c r="L739" i="21"/>
  <c r="L737" i="21"/>
  <c r="L736" i="21"/>
  <c r="L735" i="21"/>
  <c r="L734" i="21"/>
  <c r="L733" i="21"/>
  <c r="L732" i="21"/>
  <c r="L731" i="21"/>
  <c r="L730" i="21"/>
  <c r="L9003" i="21"/>
  <c r="L9002" i="21"/>
  <c r="L9001" i="21"/>
  <c r="L9000" i="21"/>
  <c r="L8999" i="21"/>
  <c r="L8998" i="21"/>
  <c r="L8997" i="21"/>
  <c r="L8996" i="21"/>
  <c r="L8995" i="21"/>
  <c r="L8993" i="21"/>
  <c r="L8992" i="21"/>
  <c r="L8991" i="21"/>
  <c r="L8990" i="21"/>
  <c r="L8989" i="21"/>
  <c r="L8988" i="21"/>
  <c r="L8987" i="21"/>
  <c r="L8986" i="21"/>
  <c r="L8985" i="21"/>
  <c r="L8983" i="21"/>
  <c r="L8982" i="21"/>
  <c r="L8981" i="21"/>
  <c r="L8980" i="21"/>
  <c r="L8979" i="21"/>
  <c r="L8978" i="21"/>
  <c r="L8977" i="21"/>
  <c r="L8976" i="21"/>
  <c r="L8975" i="21"/>
  <c r="L8973" i="21"/>
  <c r="L8972" i="21"/>
  <c r="L8971" i="21"/>
  <c r="L8970" i="21"/>
  <c r="L8969" i="21"/>
  <c r="L8968" i="21"/>
  <c r="L8967" i="21"/>
  <c r="L8966" i="21"/>
  <c r="L8965" i="21"/>
  <c r="L8963" i="21"/>
  <c r="L8962" i="21"/>
  <c r="L8961" i="21"/>
  <c r="L8960" i="21"/>
  <c r="L8959" i="21"/>
  <c r="L8958" i="21"/>
  <c r="L8957" i="21"/>
  <c r="L8956" i="21"/>
  <c r="L8955" i="21"/>
  <c r="L8953" i="21"/>
  <c r="L8952" i="21"/>
  <c r="L8951" i="21"/>
  <c r="L8950" i="21"/>
  <c r="L8949" i="21"/>
  <c r="L8948" i="21"/>
  <c r="L8947" i="21"/>
  <c r="L8946" i="21"/>
  <c r="L8945" i="21"/>
  <c r="L8943" i="21"/>
  <c r="L8942" i="21"/>
  <c r="L8941" i="21"/>
  <c r="L8940" i="21"/>
  <c r="L8939" i="21"/>
  <c r="L8938" i="21"/>
  <c r="L8937" i="21"/>
  <c r="L8936" i="21"/>
  <c r="L8935" i="21"/>
  <c r="L8933" i="21"/>
  <c r="L8932" i="21"/>
  <c r="L8931" i="21"/>
  <c r="L8930" i="21"/>
  <c r="L8929" i="21"/>
  <c r="L8928" i="21"/>
  <c r="L8927" i="21"/>
  <c r="L8926" i="21"/>
  <c r="L8925" i="21"/>
  <c r="L8923" i="21"/>
  <c r="L8922" i="21"/>
  <c r="L8921" i="21"/>
  <c r="L8920" i="21"/>
  <c r="L8919" i="21"/>
  <c r="L8918" i="21"/>
  <c r="L8917" i="21"/>
  <c r="L8916" i="21"/>
  <c r="B21615" i="21" l="1"/>
  <c r="B21625" i="21"/>
  <c r="D20790" i="21"/>
  <c r="E20790" i="21"/>
  <c r="C20790" i="21"/>
  <c r="D20800" i="21"/>
  <c r="C20800" i="21"/>
  <c r="E20800" i="21"/>
  <c r="B19967" i="21"/>
  <c r="B19977" i="21"/>
  <c r="E19863" i="21"/>
  <c r="D19863" i="21"/>
  <c r="C19863" i="21"/>
  <c r="C19873" i="21"/>
  <c r="E19873" i="21"/>
  <c r="D19873" i="21"/>
  <c r="B19771" i="21"/>
  <c r="B19761" i="21"/>
  <c r="E18946" i="21"/>
  <c r="D18946" i="21"/>
  <c r="C18946" i="21"/>
  <c r="D18936" i="21"/>
  <c r="C18936" i="21"/>
  <c r="E18936" i="21"/>
  <c r="B18834" i="21"/>
  <c r="B18844" i="21"/>
  <c r="E18427" i="21"/>
  <c r="D18427" i="21"/>
  <c r="C18427" i="21"/>
  <c r="D18437" i="21"/>
  <c r="C18437" i="21"/>
  <c r="E18437" i="21"/>
  <c r="B17616" i="21"/>
  <c r="B17606" i="21"/>
  <c r="E18016" i="21"/>
  <c r="D18016" i="21"/>
  <c r="C18016" i="21"/>
  <c r="C18026" i="21"/>
  <c r="E18026" i="21"/>
  <c r="D18026" i="21"/>
  <c r="E17810" i="21"/>
  <c r="D17810" i="21"/>
  <c r="C17810" i="21"/>
  <c r="D17820" i="21"/>
  <c r="C17820" i="21"/>
  <c r="E17820" i="21"/>
  <c r="E17707" i="21"/>
  <c r="D17707" i="21"/>
  <c r="C17707" i="21"/>
  <c r="D17717" i="21"/>
  <c r="C17717" i="21"/>
  <c r="E17717" i="21"/>
  <c r="E17512" i="21"/>
  <c r="D17512" i="21"/>
  <c r="C17512" i="21"/>
  <c r="D17502" i="21"/>
  <c r="C17502" i="21"/>
  <c r="E17502" i="21"/>
  <c r="B17307" i="21"/>
  <c r="B17297" i="21"/>
  <c r="E17203" i="21"/>
  <c r="D17203" i="21"/>
  <c r="C17203" i="21"/>
  <c r="E17193" i="21"/>
  <c r="D17193" i="21"/>
  <c r="C17193" i="21"/>
  <c r="C17090" i="21"/>
  <c r="E17090" i="21"/>
  <c r="D17090" i="21"/>
  <c r="E17100" i="21"/>
  <c r="C17100" i="21"/>
  <c r="D17100" i="21"/>
  <c r="E16997" i="21"/>
  <c r="D16997" i="21"/>
  <c r="C16997" i="21"/>
  <c r="E16987" i="21"/>
  <c r="D16987" i="21"/>
  <c r="C16987" i="21"/>
  <c r="E16894" i="21"/>
  <c r="D16894" i="21"/>
  <c r="C16894" i="21"/>
  <c r="C16884" i="21"/>
  <c r="E16884" i="21"/>
  <c r="D16884" i="21"/>
  <c r="E16781" i="21"/>
  <c r="D16781" i="21"/>
  <c r="C16781" i="21"/>
  <c r="C16791" i="21"/>
  <c r="E16791" i="21"/>
  <c r="D16791" i="21"/>
  <c r="B16368" i="21"/>
  <c r="B16378" i="21"/>
  <c r="D16264" i="21"/>
  <c r="C16264" i="21"/>
  <c r="E16264" i="21"/>
  <c r="E16274" i="21"/>
  <c r="D16274" i="21"/>
  <c r="C16274" i="21"/>
  <c r="E16161" i="21"/>
  <c r="D16161" i="21"/>
  <c r="C16161" i="21"/>
  <c r="D16171" i="21"/>
  <c r="C16171" i="21"/>
  <c r="E16171" i="21"/>
  <c r="E15955" i="21"/>
  <c r="D15955" i="21"/>
  <c r="C15955" i="21"/>
  <c r="C15965" i="21"/>
  <c r="E15965" i="21"/>
  <c r="D15965" i="21"/>
  <c r="B14002" i="21"/>
  <c r="B13889" i="21"/>
  <c r="B13899" i="21"/>
  <c r="B13992" i="21"/>
  <c r="B12972" i="21"/>
  <c r="B13065" i="21"/>
  <c r="D13168" i="21"/>
  <c r="C13168" i="21"/>
  <c r="E13168" i="21"/>
  <c r="B13075" i="21"/>
  <c r="C13178" i="21"/>
  <c r="E13178" i="21"/>
  <c r="B12962" i="21"/>
  <c r="B12859" i="21"/>
  <c r="B12869" i="21"/>
  <c r="B12766" i="21"/>
  <c r="B12756" i="21"/>
  <c r="B738" i="21"/>
  <c r="B728" i="21"/>
  <c r="B8924" i="21"/>
  <c r="B8914" i="21"/>
  <c r="C21625" i="21" l="1"/>
  <c r="D21625" i="21"/>
  <c r="E21625" i="21"/>
  <c r="D21615" i="21"/>
  <c r="C21615" i="21"/>
  <c r="E21615" i="21"/>
  <c r="B20801" i="21"/>
  <c r="B20791" i="21"/>
  <c r="C19967" i="21"/>
  <c r="D19967" i="21"/>
  <c r="E19967" i="21"/>
  <c r="D19977" i="21"/>
  <c r="C19977" i="21"/>
  <c r="E19977" i="21"/>
  <c r="B19874" i="21"/>
  <c r="B19864" i="21"/>
  <c r="C19761" i="21"/>
  <c r="D19761" i="21"/>
  <c r="E19761" i="21"/>
  <c r="D19771" i="21"/>
  <c r="C19771" i="21"/>
  <c r="E19771" i="21"/>
  <c r="B18947" i="21"/>
  <c r="B18937" i="21"/>
  <c r="D18834" i="21"/>
  <c r="C18834" i="21"/>
  <c r="E18834" i="21"/>
  <c r="D18844" i="21"/>
  <c r="C18844" i="21"/>
  <c r="E18844" i="21"/>
  <c r="B18438" i="21"/>
  <c r="B18428" i="21"/>
  <c r="D17606" i="21"/>
  <c r="C17606" i="21"/>
  <c r="E17606" i="21"/>
  <c r="D17616" i="21"/>
  <c r="C17616" i="21"/>
  <c r="E17616" i="21"/>
  <c r="B18027" i="21"/>
  <c r="B18017" i="21"/>
  <c r="B17821" i="21"/>
  <c r="B17811" i="21"/>
  <c r="B17718" i="21"/>
  <c r="B17708" i="21"/>
  <c r="B17503" i="21"/>
  <c r="B17513" i="21"/>
  <c r="D17297" i="21"/>
  <c r="C17297" i="21"/>
  <c r="E17297" i="21"/>
  <c r="D17307" i="21"/>
  <c r="C17307" i="21"/>
  <c r="E17307" i="21"/>
  <c r="B17194" i="21"/>
  <c r="B17204" i="21"/>
  <c r="B17101" i="21"/>
  <c r="B17091" i="21"/>
  <c r="B16988" i="21"/>
  <c r="B16998" i="21"/>
  <c r="B16885" i="21"/>
  <c r="B16895" i="21"/>
  <c r="B16792" i="21"/>
  <c r="B16782" i="21"/>
  <c r="C16378" i="21"/>
  <c r="D16378" i="21"/>
  <c r="E16378" i="21"/>
  <c r="D16368" i="21"/>
  <c r="C16368" i="21"/>
  <c r="E16368" i="21"/>
  <c r="B16265" i="21"/>
  <c r="B16275" i="21"/>
  <c r="B16172" i="21"/>
  <c r="B16162" i="21"/>
  <c r="B15966" i="21"/>
  <c r="B15956" i="21"/>
  <c r="C13899" i="21"/>
  <c r="E13899" i="21"/>
  <c r="D13992" i="21"/>
  <c r="C13992" i="21"/>
  <c r="E13992" i="21"/>
  <c r="D13889" i="21"/>
  <c r="C13889" i="21"/>
  <c r="E13889" i="21"/>
  <c r="C14002" i="21"/>
  <c r="E14002" i="21"/>
  <c r="B13179" i="21"/>
  <c r="C13075" i="21"/>
  <c r="E13075" i="21"/>
  <c r="C13065" i="21"/>
  <c r="D13065" i="21"/>
  <c r="E13065" i="21"/>
  <c r="C12972" i="21"/>
  <c r="E12972" i="21"/>
  <c r="D12962" i="21"/>
  <c r="C12962" i="21"/>
  <c r="E12962" i="21"/>
  <c r="B13169" i="21"/>
  <c r="C12859" i="21"/>
  <c r="D12859" i="21"/>
  <c r="E12859" i="21"/>
  <c r="C12869" i="21"/>
  <c r="E12869" i="21"/>
  <c r="D12756" i="21"/>
  <c r="C12756" i="21"/>
  <c r="E12756" i="21"/>
  <c r="C12766" i="21"/>
  <c r="E12766" i="21"/>
  <c r="D728" i="21"/>
  <c r="E728" i="21"/>
  <c r="C728" i="21"/>
  <c r="E738" i="21"/>
  <c r="C738" i="21"/>
  <c r="D738" i="21"/>
  <c r="D8914" i="21"/>
  <c r="E8914" i="21"/>
  <c r="C8914" i="21"/>
  <c r="E8924" i="21"/>
  <c r="C8924" i="21"/>
  <c r="D8924" i="21"/>
  <c r="B21616" i="21" l="1"/>
  <c r="B21626" i="21"/>
  <c r="C20791" i="21"/>
  <c r="D20791" i="21"/>
  <c r="E20791" i="21"/>
  <c r="D20801" i="21"/>
  <c r="C20801" i="21"/>
  <c r="E20801" i="21"/>
  <c r="B19978" i="21"/>
  <c r="B19968" i="21"/>
  <c r="D19864" i="21"/>
  <c r="C19864" i="21"/>
  <c r="E19864" i="21"/>
  <c r="D19874" i="21"/>
  <c r="C19874" i="21"/>
  <c r="E19874" i="21"/>
  <c r="B19772" i="21"/>
  <c r="B19762" i="21"/>
  <c r="C18937" i="21"/>
  <c r="D18937" i="21"/>
  <c r="E18937" i="21"/>
  <c r="C18947" i="21"/>
  <c r="D18947" i="21"/>
  <c r="E18947" i="21"/>
  <c r="B18835" i="21"/>
  <c r="B18845" i="21"/>
  <c r="C18428" i="21"/>
  <c r="D18428" i="21"/>
  <c r="E18428" i="21"/>
  <c r="D18438" i="21"/>
  <c r="C18438" i="21"/>
  <c r="E18438" i="21"/>
  <c r="B17617" i="21"/>
  <c r="B17607" i="21"/>
  <c r="C18017" i="21"/>
  <c r="D18017" i="21"/>
  <c r="E18017" i="21"/>
  <c r="C18027" i="21"/>
  <c r="E18027" i="21"/>
  <c r="C17811" i="21"/>
  <c r="D17811" i="21"/>
  <c r="E17811" i="21"/>
  <c r="D17821" i="21"/>
  <c r="C17821" i="21"/>
  <c r="E17821" i="21"/>
  <c r="C17708" i="21"/>
  <c r="D17708" i="21"/>
  <c r="E17708" i="21"/>
  <c r="C17718" i="21"/>
  <c r="E17718" i="21"/>
  <c r="C17503" i="21"/>
  <c r="D17503" i="21"/>
  <c r="E17503" i="21"/>
  <c r="C17513" i="21"/>
  <c r="E17513" i="21"/>
  <c r="B17298" i="21"/>
  <c r="B17308" i="21"/>
  <c r="C17204" i="21"/>
  <c r="E17204" i="21"/>
  <c r="C17194" i="21"/>
  <c r="D17194" i="21"/>
  <c r="E17194" i="21"/>
  <c r="C17091" i="21"/>
  <c r="D17091" i="21"/>
  <c r="E17091" i="21"/>
  <c r="C17101" i="21"/>
  <c r="D17101" i="21"/>
  <c r="E17101" i="21"/>
  <c r="C16998" i="21"/>
  <c r="E16998" i="21"/>
  <c r="D16988" i="21"/>
  <c r="C16988" i="21"/>
  <c r="E16988" i="21"/>
  <c r="D16885" i="21"/>
  <c r="C16885" i="21"/>
  <c r="E16885" i="21"/>
  <c r="C16895" i="21"/>
  <c r="D16895" i="21"/>
  <c r="E16895" i="21"/>
  <c r="C16782" i="21"/>
  <c r="D16782" i="21"/>
  <c r="E16782" i="21"/>
  <c r="D16792" i="21"/>
  <c r="C16792" i="21"/>
  <c r="E16792" i="21"/>
  <c r="B16369" i="21"/>
  <c r="B16379" i="21"/>
  <c r="D16275" i="21"/>
  <c r="C16275" i="21"/>
  <c r="E16275" i="21"/>
  <c r="C16265" i="21"/>
  <c r="D16265" i="21"/>
  <c r="E16265" i="21"/>
  <c r="C16172" i="21"/>
  <c r="D16172" i="21"/>
  <c r="E16172" i="21"/>
  <c r="D16162" i="21"/>
  <c r="C16162" i="21"/>
  <c r="E16162" i="21"/>
  <c r="D15956" i="21"/>
  <c r="C15956" i="21"/>
  <c r="E15956" i="21"/>
  <c r="C15966" i="21"/>
  <c r="D15966" i="21"/>
  <c r="E15966" i="21"/>
  <c r="B14003" i="21"/>
  <c r="B13890" i="21"/>
  <c r="B13993" i="21"/>
  <c r="B13900" i="21"/>
  <c r="B12963" i="21"/>
  <c r="B12973" i="21"/>
  <c r="C13179" i="21"/>
  <c r="B13180" i="21" s="1"/>
  <c r="E13179" i="21"/>
  <c r="D13179" i="21"/>
  <c r="C13169" i="21"/>
  <c r="B13170" i="21" s="1"/>
  <c r="E13169" i="21"/>
  <c r="D13169" i="21"/>
  <c r="B13066" i="21"/>
  <c r="B13076" i="21"/>
  <c r="B12870" i="21"/>
  <c r="B12860" i="21"/>
  <c r="B12757" i="21"/>
  <c r="B12767" i="21"/>
  <c r="B739" i="21"/>
  <c r="B729" i="21"/>
  <c r="B8925" i="21"/>
  <c r="B8915" i="21"/>
  <c r="C21626" i="21" l="1"/>
  <c r="B21627" i="21" s="1"/>
  <c r="E21626" i="21"/>
  <c r="D21626" i="21"/>
  <c r="C21616" i="21"/>
  <c r="B21617" i="21" s="1"/>
  <c r="E21616" i="21"/>
  <c r="D21616" i="21"/>
  <c r="B20802" i="21"/>
  <c r="B20792" i="21"/>
  <c r="E19968" i="21"/>
  <c r="C19968" i="21"/>
  <c r="B19969" i="21" s="1"/>
  <c r="D19968" i="21"/>
  <c r="D19978" i="21"/>
  <c r="C19978" i="21"/>
  <c r="B19979" i="21" s="1"/>
  <c r="E19978" i="21"/>
  <c r="B19865" i="21"/>
  <c r="B19875" i="21"/>
  <c r="E19762" i="21"/>
  <c r="D19762" i="21"/>
  <c r="C19762" i="21"/>
  <c r="D19772" i="21"/>
  <c r="C19772" i="21"/>
  <c r="B19773" i="21" s="1"/>
  <c r="E19772" i="21"/>
  <c r="B18948" i="21"/>
  <c r="B18938" i="21"/>
  <c r="C18845" i="21"/>
  <c r="B18846" i="21" s="1"/>
  <c r="E18845" i="21"/>
  <c r="D18845" i="21"/>
  <c r="E18835" i="21"/>
  <c r="D18835" i="21"/>
  <c r="C18835" i="21"/>
  <c r="B18836" i="21" s="1"/>
  <c r="B18439" i="21"/>
  <c r="B18429" i="21"/>
  <c r="E17607" i="21"/>
  <c r="D17607" i="21"/>
  <c r="C17607" i="21"/>
  <c r="B17608" i="21" s="1"/>
  <c r="D17617" i="21"/>
  <c r="C17617" i="21"/>
  <c r="B17618" i="21" s="1"/>
  <c r="E17617" i="21"/>
  <c r="B18028" i="21"/>
  <c r="B18018" i="21"/>
  <c r="B17822" i="21"/>
  <c r="B17812" i="21"/>
  <c r="B17719" i="21"/>
  <c r="B17709" i="21"/>
  <c r="B17514" i="21"/>
  <c r="B17504" i="21"/>
  <c r="E17308" i="21"/>
  <c r="D17308" i="21"/>
  <c r="C17308" i="21"/>
  <c r="B17309" i="21" s="1"/>
  <c r="E17298" i="21"/>
  <c r="D17298" i="21"/>
  <c r="C17298" i="21"/>
  <c r="B17299" i="21" s="1"/>
  <c r="B17195" i="21"/>
  <c r="B17205" i="21"/>
  <c r="B17102" i="21"/>
  <c r="B17092" i="21"/>
  <c r="B16989" i="21"/>
  <c r="B16999" i="21"/>
  <c r="B16896" i="21"/>
  <c r="B16886" i="21"/>
  <c r="B16793" i="21"/>
  <c r="B16783" i="21"/>
  <c r="E16379" i="21"/>
  <c r="D16379" i="21"/>
  <c r="C16379" i="21"/>
  <c r="B16380" i="21" s="1"/>
  <c r="D16369" i="21"/>
  <c r="C16369" i="21"/>
  <c r="B16370" i="21" s="1"/>
  <c r="E16369" i="21"/>
  <c r="B16266" i="21"/>
  <c r="B16276" i="21"/>
  <c r="B16163" i="21"/>
  <c r="B16173" i="21"/>
  <c r="B15967" i="21"/>
  <c r="B15957" i="21"/>
  <c r="E13900" i="21"/>
  <c r="D13900" i="21"/>
  <c r="C13900" i="21"/>
  <c r="D13993" i="21"/>
  <c r="C13993" i="21"/>
  <c r="B13994" i="21" s="1"/>
  <c r="E13993" i="21"/>
  <c r="E14003" i="21"/>
  <c r="D14003" i="21"/>
  <c r="C14003" i="21"/>
  <c r="B14004" i="21" s="1"/>
  <c r="E13890" i="21"/>
  <c r="D13890" i="21"/>
  <c r="C13890" i="21"/>
  <c r="E13076" i="21"/>
  <c r="D13076" i="21"/>
  <c r="C13076" i="21"/>
  <c r="B13077" i="21" s="1"/>
  <c r="E13066" i="21"/>
  <c r="D13066" i="21"/>
  <c r="C13066" i="21"/>
  <c r="B13067" i="21" s="1"/>
  <c r="C13180" i="21"/>
  <c r="B13181" i="21" s="1"/>
  <c r="D13180" i="21"/>
  <c r="C12963" i="21"/>
  <c r="B12964" i="21" s="1"/>
  <c r="E12963" i="21"/>
  <c r="D12963" i="21"/>
  <c r="C13170" i="21"/>
  <c r="B13171" i="21" s="1"/>
  <c r="D13170" i="21"/>
  <c r="C12973" i="21"/>
  <c r="B12974" i="21" s="1"/>
  <c r="E12973" i="21"/>
  <c r="D12973" i="21"/>
  <c r="C12870" i="21"/>
  <c r="E12870" i="21"/>
  <c r="D12870" i="21"/>
  <c r="C12860" i="21"/>
  <c r="B12861" i="21" s="1"/>
  <c r="E12860" i="21"/>
  <c r="D12860" i="21"/>
  <c r="E12757" i="21"/>
  <c r="D12757" i="21"/>
  <c r="C12757" i="21"/>
  <c r="B12758" i="21" s="1"/>
  <c r="E12767" i="21"/>
  <c r="D12767" i="21"/>
  <c r="C12767" i="21"/>
  <c r="B12768" i="21" s="1"/>
  <c r="C739" i="21"/>
  <c r="D739" i="21"/>
  <c r="E739" i="21"/>
  <c r="D729" i="21"/>
  <c r="C729" i="21"/>
  <c r="E729" i="21"/>
  <c r="C8925" i="21"/>
  <c r="D8925" i="21"/>
  <c r="E8925" i="21"/>
  <c r="D8915" i="21"/>
  <c r="C8915" i="21"/>
  <c r="E8915" i="21"/>
  <c r="C21617" i="21" l="1"/>
  <c r="B21618" i="21" s="1"/>
  <c r="D21617" i="21"/>
  <c r="C21627" i="21"/>
  <c r="B21628" i="21" s="1"/>
  <c r="D21627" i="21"/>
  <c r="E20792" i="21"/>
  <c r="D20792" i="21"/>
  <c r="C20792" i="21"/>
  <c r="B20793" i="21" s="1"/>
  <c r="D20802" i="21"/>
  <c r="C20802" i="21"/>
  <c r="B20803" i="21" s="1"/>
  <c r="E20802" i="21"/>
  <c r="C19969" i="21"/>
  <c r="B19970" i="21" s="1"/>
  <c r="D19969" i="21"/>
  <c r="C19979" i="21"/>
  <c r="B19980" i="21" s="1"/>
  <c r="D19979" i="21"/>
  <c r="E19875" i="21"/>
  <c r="D19875" i="21"/>
  <c r="C19875" i="21"/>
  <c r="E19865" i="21"/>
  <c r="D19865" i="21"/>
  <c r="C19865" i="21"/>
  <c r="D19773" i="21"/>
  <c r="C19773" i="21"/>
  <c r="B19774" i="21" s="1"/>
  <c r="B19763" i="21"/>
  <c r="D18938" i="21"/>
  <c r="C18938" i="21"/>
  <c r="E18938" i="21"/>
  <c r="E18948" i="21"/>
  <c r="D18948" i="21"/>
  <c r="C18948" i="21"/>
  <c r="B18949" i="21" s="1"/>
  <c r="C18836" i="21"/>
  <c r="B18837" i="21" s="1"/>
  <c r="D18836" i="21"/>
  <c r="C18846" i="21"/>
  <c r="B18847" i="21" s="1"/>
  <c r="D18846" i="21"/>
  <c r="D18429" i="21"/>
  <c r="C18429" i="21"/>
  <c r="B18430" i="21" s="1"/>
  <c r="E18429" i="21"/>
  <c r="E18439" i="21"/>
  <c r="D18439" i="21"/>
  <c r="C18439" i="21"/>
  <c r="B18440" i="21" s="1"/>
  <c r="D17618" i="21"/>
  <c r="C17618" i="21"/>
  <c r="B17619" i="21" s="1"/>
  <c r="C17608" i="21"/>
  <c r="B17609" i="21" s="1"/>
  <c r="D17608" i="21"/>
  <c r="E18018" i="21"/>
  <c r="D18018" i="21"/>
  <c r="C18018" i="21"/>
  <c r="B18019" i="21" s="1"/>
  <c r="C18028" i="21"/>
  <c r="B18029" i="21" s="1"/>
  <c r="E18028" i="21"/>
  <c r="D18028" i="21"/>
  <c r="D17812" i="21"/>
  <c r="C17812" i="21"/>
  <c r="B17813" i="21" s="1"/>
  <c r="E17812" i="21"/>
  <c r="E17822" i="21"/>
  <c r="D17822" i="21"/>
  <c r="C17822" i="21"/>
  <c r="B17823" i="21" s="1"/>
  <c r="D17709" i="21"/>
  <c r="C17709" i="21"/>
  <c r="B17710" i="21" s="1"/>
  <c r="E17709" i="21"/>
  <c r="E17719" i="21"/>
  <c r="D17719" i="21"/>
  <c r="C17719" i="21"/>
  <c r="B17720" i="21" s="1"/>
  <c r="E17504" i="21"/>
  <c r="D17504" i="21"/>
  <c r="C17504" i="21"/>
  <c r="B17505" i="21" s="1"/>
  <c r="D17514" i="21"/>
  <c r="C17514" i="21"/>
  <c r="E17514" i="21"/>
  <c r="D17299" i="21"/>
  <c r="C17299" i="21"/>
  <c r="B17300" i="21" s="1"/>
  <c r="C17309" i="21"/>
  <c r="B17310" i="21" s="1"/>
  <c r="D17309" i="21"/>
  <c r="C17195" i="21"/>
  <c r="E17195" i="21"/>
  <c r="D17195" i="21"/>
  <c r="C17205" i="21"/>
  <c r="B17206" i="21" s="1"/>
  <c r="E17205" i="21"/>
  <c r="D17205" i="21"/>
  <c r="C17102" i="21"/>
  <c r="E17102" i="21"/>
  <c r="D17102" i="21"/>
  <c r="C17092" i="21"/>
  <c r="B17093" i="21" s="1"/>
  <c r="E17092" i="21"/>
  <c r="D17092" i="21"/>
  <c r="C16999" i="21"/>
  <c r="B17000" i="21" s="1"/>
  <c r="E16999" i="21"/>
  <c r="D16999" i="21"/>
  <c r="C16989" i="21"/>
  <c r="B16990" i="21" s="1"/>
  <c r="E16989" i="21"/>
  <c r="D16989" i="21"/>
  <c r="C16886" i="21"/>
  <c r="B16887" i="21" s="1"/>
  <c r="E16886" i="21"/>
  <c r="D16886" i="21"/>
  <c r="C16896" i="21"/>
  <c r="E16896" i="21"/>
  <c r="D16896" i="21"/>
  <c r="E16783" i="21"/>
  <c r="D16783" i="21"/>
  <c r="C16783" i="21"/>
  <c r="B16784" i="21" s="1"/>
  <c r="E16793" i="21"/>
  <c r="D16793" i="21"/>
  <c r="C16793" i="21"/>
  <c r="C16370" i="21"/>
  <c r="B16371" i="21" s="1"/>
  <c r="D16370" i="21"/>
  <c r="C16380" i="21"/>
  <c r="B16381" i="21" s="1"/>
  <c r="D16380" i="21"/>
  <c r="D16266" i="21"/>
  <c r="C16266" i="21"/>
  <c r="B16267" i="21" s="1"/>
  <c r="E16266" i="21"/>
  <c r="E16276" i="21"/>
  <c r="D16276" i="21"/>
  <c r="C16276" i="21"/>
  <c r="B16277" i="21" s="1"/>
  <c r="D16173" i="21"/>
  <c r="C16173" i="21"/>
  <c r="B16174" i="21" s="1"/>
  <c r="E16173" i="21"/>
  <c r="E16163" i="21"/>
  <c r="D16163" i="21"/>
  <c r="C16163" i="21"/>
  <c r="B16164" i="21" s="1"/>
  <c r="C15957" i="21"/>
  <c r="B15958" i="21" s="1"/>
  <c r="E15957" i="21"/>
  <c r="D15957" i="21"/>
  <c r="E15967" i="21"/>
  <c r="D15967" i="21"/>
  <c r="C15967" i="21"/>
  <c r="B15968" i="21" s="1"/>
  <c r="B13891" i="21"/>
  <c r="C14004" i="21"/>
  <c r="B14005" i="21" s="1"/>
  <c r="D14004" i="21"/>
  <c r="C13994" i="21"/>
  <c r="B13995" i="21" s="1"/>
  <c r="D13994" i="21"/>
  <c r="B13901" i="21"/>
  <c r="C12964" i="21"/>
  <c r="B12965" i="21" s="1"/>
  <c r="D12964" i="21"/>
  <c r="E13180" i="21"/>
  <c r="D13181" i="21"/>
  <c r="E13181" i="21"/>
  <c r="C13067" i="21"/>
  <c r="B13068" i="21" s="1"/>
  <c r="D13067" i="21"/>
  <c r="C12974" i="21"/>
  <c r="B12975" i="21" s="1"/>
  <c r="D12974" i="21"/>
  <c r="E13170" i="21"/>
  <c r="E13171" i="21"/>
  <c r="D13171" i="21"/>
  <c r="D13077" i="21"/>
  <c r="C13077" i="21"/>
  <c r="B13078" i="21" s="1"/>
  <c r="C12861" i="21"/>
  <c r="B12862" i="21" s="1"/>
  <c r="D12861" i="21"/>
  <c r="B12871" i="21"/>
  <c r="D12768" i="21"/>
  <c r="C12768" i="21"/>
  <c r="B12769" i="21" s="1"/>
  <c r="D12758" i="21"/>
  <c r="C12758" i="21"/>
  <c r="B12759" i="21" s="1"/>
  <c r="B730" i="21"/>
  <c r="B740" i="21"/>
  <c r="B8916" i="21"/>
  <c r="B8926" i="21"/>
  <c r="E21627" i="21" l="1"/>
  <c r="E21628" i="21"/>
  <c r="D21628" i="21"/>
  <c r="A21607" i="21" s="1"/>
  <c r="E21617" i="21"/>
  <c r="D21618" i="21"/>
  <c r="E21618" i="21"/>
  <c r="C20803" i="21"/>
  <c r="B20804" i="21" s="1"/>
  <c r="D20803" i="21"/>
  <c r="C20793" i="21"/>
  <c r="B20794" i="21" s="1"/>
  <c r="D20793" i="21"/>
  <c r="E19979" i="21"/>
  <c r="E19980" i="21"/>
  <c r="D19980" i="21"/>
  <c r="E19969" i="21"/>
  <c r="E19970" i="21"/>
  <c r="D19970" i="21"/>
  <c r="B19866" i="21"/>
  <c r="B19876" i="21"/>
  <c r="E19773" i="21"/>
  <c r="D19774" i="21"/>
  <c r="E19774" i="21"/>
  <c r="D19763" i="21"/>
  <c r="C19763" i="21"/>
  <c r="C18949" i="21"/>
  <c r="B18950" i="21" s="1"/>
  <c r="D18949" i="21"/>
  <c r="B18939" i="21"/>
  <c r="E18846" i="21"/>
  <c r="D18847" i="21"/>
  <c r="E18847" i="21"/>
  <c r="E18836" i="21"/>
  <c r="E18837" i="21"/>
  <c r="D18837" i="21"/>
  <c r="C18440" i="21"/>
  <c r="B18441" i="21" s="1"/>
  <c r="D18440" i="21"/>
  <c r="C18430" i="21"/>
  <c r="B18431" i="21" s="1"/>
  <c r="D18430" i="21"/>
  <c r="E17608" i="21"/>
  <c r="D17609" i="21"/>
  <c r="E17609" i="21"/>
  <c r="E17618" i="21"/>
  <c r="D17619" i="21"/>
  <c r="E17619" i="21"/>
  <c r="C18029" i="21"/>
  <c r="B18030" i="21" s="1"/>
  <c r="D18029" i="21"/>
  <c r="C18019" i="21"/>
  <c r="B18020" i="21" s="1"/>
  <c r="D18019" i="21"/>
  <c r="C17823" i="21"/>
  <c r="B17824" i="21" s="1"/>
  <c r="D17823" i="21"/>
  <c r="C17813" i="21"/>
  <c r="B17814" i="21" s="1"/>
  <c r="D17813" i="21"/>
  <c r="C17720" i="21"/>
  <c r="B17721" i="21" s="1"/>
  <c r="D17720" i="21"/>
  <c r="C17710" i="21"/>
  <c r="B17711" i="21" s="1"/>
  <c r="D17710" i="21"/>
  <c r="B17515" i="21"/>
  <c r="D17505" i="21"/>
  <c r="C17505" i="21"/>
  <c r="B17506" i="21" s="1"/>
  <c r="E17299" i="21"/>
  <c r="D17300" i="21"/>
  <c r="E17300" i="21"/>
  <c r="E17309" i="21"/>
  <c r="E17310" i="21"/>
  <c r="D17310" i="21"/>
  <c r="D17206" i="21"/>
  <c r="C17206" i="21"/>
  <c r="B17207" i="21" s="1"/>
  <c r="B17196" i="21"/>
  <c r="C17093" i="21"/>
  <c r="B17094" i="21" s="1"/>
  <c r="D17093" i="21"/>
  <c r="B17103" i="21"/>
  <c r="C16990" i="21"/>
  <c r="B16991" i="21" s="1"/>
  <c r="D16990" i="21"/>
  <c r="C17000" i="21"/>
  <c r="B17001" i="21" s="1"/>
  <c r="D17000" i="21"/>
  <c r="B16897" i="21"/>
  <c r="C16887" i="21"/>
  <c r="B16888" i="21" s="1"/>
  <c r="D16887" i="21"/>
  <c r="B16794" i="21"/>
  <c r="D16784" i="21"/>
  <c r="C16784" i="21"/>
  <c r="B16785" i="21" s="1"/>
  <c r="E16380" i="21"/>
  <c r="E16381" i="21"/>
  <c r="D16381" i="21"/>
  <c r="E16370" i="21"/>
  <c r="E16371" i="21"/>
  <c r="D16371" i="21"/>
  <c r="C16277" i="21"/>
  <c r="B16278" i="21" s="1"/>
  <c r="D16277" i="21"/>
  <c r="C16267" i="21"/>
  <c r="B16268" i="21" s="1"/>
  <c r="D16267" i="21"/>
  <c r="D16164" i="21"/>
  <c r="C16164" i="21"/>
  <c r="B16165" i="21" s="1"/>
  <c r="D16174" i="21"/>
  <c r="C16174" i="21"/>
  <c r="B16175" i="21" s="1"/>
  <c r="D15968" i="21"/>
  <c r="C15968" i="21"/>
  <c r="B15969" i="21" s="1"/>
  <c r="D15958" i="21"/>
  <c r="C15958" i="21"/>
  <c r="B15959" i="21" s="1"/>
  <c r="D13901" i="21"/>
  <c r="C13901" i="21"/>
  <c r="E13994" i="21"/>
  <c r="E13995" i="21"/>
  <c r="D13995" i="21"/>
  <c r="E14004" i="21"/>
  <c r="D14005" i="21"/>
  <c r="E14005" i="21"/>
  <c r="C13891" i="21"/>
  <c r="D13891" i="21"/>
  <c r="A13157" i="21"/>
  <c r="E12964" i="21"/>
  <c r="E12965" i="21"/>
  <c r="D12965" i="21"/>
  <c r="E13077" i="21"/>
  <c r="D13078" i="21"/>
  <c r="E13078" i="21"/>
  <c r="E12974" i="21"/>
  <c r="D12975" i="21"/>
  <c r="E12975" i="21"/>
  <c r="E13067" i="21"/>
  <c r="D13068" i="21"/>
  <c r="E13068" i="21"/>
  <c r="E12861" i="21"/>
  <c r="E12862" i="21"/>
  <c r="D12862" i="21"/>
  <c r="C12871" i="21"/>
  <c r="D12871" i="21"/>
  <c r="E12768" i="21"/>
  <c r="D12769" i="21"/>
  <c r="E12769" i="21"/>
  <c r="E12758" i="21"/>
  <c r="E12759" i="21"/>
  <c r="D12759" i="21"/>
  <c r="D740" i="21"/>
  <c r="E740" i="21"/>
  <c r="C740" i="21"/>
  <c r="D730" i="21"/>
  <c r="E730" i="21"/>
  <c r="C730" i="21"/>
  <c r="D8926" i="21"/>
  <c r="E8926" i="21"/>
  <c r="C8926" i="21"/>
  <c r="D8916" i="21"/>
  <c r="E8916" i="21"/>
  <c r="C8916" i="21"/>
  <c r="A21604" i="21" l="1"/>
  <c r="E20793" i="21"/>
  <c r="E20794" i="21"/>
  <c r="D20794" i="21"/>
  <c r="E20803" i="21"/>
  <c r="E20804" i="21"/>
  <c r="D20804" i="21"/>
  <c r="A19956" i="21"/>
  <c r="A19959" i="21"/>
  <c r="D19876" i="21"/>
  <c r="C19876" i="21"/>
  <c r="D19866" i="21"/>
  <c r="C19866" i="21"/>
  <c r="A19753" i="21"/>
  <c r="B19764" i="21"/>
  <c r="E19763" i="21" s="1"/>
  <c r="C18939" i="21"/>
  <c r="D18939" i="21"/>
  <c r="E18949" i="21"/>
  <c r="E18950" i="21"/>
  <c r="D18950" i="21"/>
  <c r="A18826" i="21"/>
  <c r="A18823" i="21"/>
  <c r="E18430" i="21"/>
  <c r="E18431" i="21"/>
  <c r="D18431" i="21"/>
  <c r="E18440" i="21"/>
  <c r="E18441" i="21"/>
  <c r="D18441" i="21"/>
  <c r="A17595" i="21"/>
  <c r="A17598" i="21"/>
  <c r="A16357" i="21"/>
  <c r="E18019" i="21"/>
  <c r="E18020" i="21"/>
  <c r="D18020" i="21"/>
  <c r="E18029" i="21"/>
  <c r="D18030" i="21"/>
  <c r="E18030" i="21"/>
  <c r="E17813" i="21"/>
  <c r="E17814" i="21"/>
  <c r="D17814" i="21"/>
  <c r="E17823" i="21"/>
  <c r="E17824" i="21"/>
  <c r="D17824" i="21"/>
  <c r="E17710" i="21"/>
  <c r="E17711" i="21"/>
  <c r="D17711" i="21"/>
  <c r="E17720" i="21"/>
  <c r="E17721" i="21"/>
  <c r="D17721" i="21"/>
  <c r="E17505" i="21"/>
  <c r="E17506" i="21"/>
  <c r="D17506" i="21"/>
  <c r="D17515" i="21"/>
  <c r="C17515" i="21"/>
  <c r="A17289" i="21"/>
  <c r="A17286" i="21"/>
  <c r="C17196" i="21"/>
  <c r="D17196" i="21"/>
  <c r="E17206" i="21"/>
  <c r="D17207" i="21"/>
  <c r="E17207" i="21"/>
  <c r="E17093" i="21"/>
  <c r="D17094" i="21"/>
  <c r="E17094" i="21"/>
  <c r="C17103" i="21"/>
  <c r="D17103" i="21"/>
  <c r="E17000" i="21"/>
  <c r="E17001" i="21"/>
  <c r="D17001" i="21"/>
  <c r="E16990" i="21"/>
  <c r="E16991" i="21"/>
  <c r="D16991" i="21"/>
  <c r="E16887" i="21"/>
  <c r="D16888" i="21"/>
  <c r="E16888" i="21"/>
  <c r="C16897" i="21"/>
  <c r="D16897" i="21"/>
  <c r="D16794" i="21"/>
  <c r="C16794" i="21"/>
  <c r="E16784" i="21"/>
  <c r="E16785" i="21"/>
  <c r="D16785" i="21"/>
  <c r="A16360" i="21"/>
  <c r="E16267" i="21"/>
  <c r="E16268" i="21"/>
  <c r="D16268" i="21"/>
  <c r="E16277" i="21"/>
  <c r="E16278" i="21"/>
  <c r="D16278" i="21"/>
  <c r="E16174" i="21"/>
  <c r="D16175" i="21"/>
  <c r="E16175" i="21"/>
  <c r="E16164" i="21"/>
  <c r="D16165" i="21"/>
  <c r="E16165" i="21"/>
  <c r="E15968" i="21"/>
  <c r="D15969" i="21"/>
  <c r="E15969" i="21"/>
  <c r="E15958" i="21"/>
  <c r="D15959" i="21"/>
  <c r="E15959" i="21"/>
  <c r="B13892" i="21"/>
  <c r="E13891" i="21" s="1"/>
  <c r="A13981" i="21"/>
  <c r="B13902" i="21"/>
  <c r="A12745" i="21"/>
  <c r="A12951" i="21"/>
  <c r="A12848" i="21"/>
  <c r="A13054" i="21"/>
  <c r="B12872" i="21"/>
  <c r="E12871" i="21" s="1"/>
  <c r="B731" i="21"/>
  <c r="B741" i="21"/>
  <c r="B8917" i="21"/>
  <c r="B8927" i="21"/>
  <c r="A20780" i="21" l="1"/>
  <c r="A20783" i="21"/>
  <c r="B19867" i="21"/>
  <c r="E19866" i="21" s="1"/>
  <c r="B19877" i="21"/>
  <c r="E19876" i="21" s="1"/>
  <c r="D19764" i="21"/>
  <c r="E19764" i="21"/>
  <c r="A18929" i="21"/>
  <c r="B18940" i="21"/>
  <c r="A18417" i="21"/>
  <c r="A18420" i="21"/>
  <c r="A18006" i="21"/>
  <c r="A17800" i="21"/>
  <c r="A17697" i="21"/>
  <c r="A17803" i="21"/>
  <c r="A17492" i="21"/>
  <c r="B17516" i="21"/>
  <c r="E17515" i="21" s="1"/>
  <c r="A16977" i="21"/>
  <c r="A17080" i="21"/>
  <c r="B17197" i="21"/>
  <c r="E17196" i="21" s="1"/>
  <c r="B17104" i="21"/>
  <c r="A16771" i="21"/>
  <c r="A16874" i="21"/>
  <c r="B16898" i="21"/>
  <c r="E16897" i="21" s="1"/>
  <c r="B16795" i="21"/>
  <c r="E16794" i="21" s="1"/>
  <c r="A16254" i="21"/>
  <c r="A16154" i="21"/>
  <c r="A16257" i="21"/>
  <c r="A16151" i="21"/>
  <c r="A15945" i="21"/>
  <c r="A15948" i="21"/>
  <c r="E13902" i="21"/>
  <c r="D13902" i="21"/>
  <c r="E13901" i="21"/>
  <c r="D13892" i="21"/>
  <c r="E13892" i="21"/>
  <c r="E12872" i="21"/>
  <c r="D12872" i="21"/>
  <c r="C731" i="21"/>
  <c r="D731" i="21"/>
  <c r="E731" i="21"/>
  <c r="C741" i="21"/>
  <c r="E741" i="21"/>
  <c r="C8927" i="21"/>
  <c r="E8927" i="21"/>
  <c r="C8917" i="21"/>
  <c r="D8917" i="21"/>
  <c r="E8917" i="21"/>
  <c r="A19750" i="21" l="1"/>
  <c r="E19877" i="21"/>
  <c r="D19877" i="21"/>
  <c r="D19867" i="21"/>
  <c r="E19867" i="21"/>
  <c r="E18940" i="21"/>
  <c r="D18940" i="21"/>
  <c r="E18939" i="21"/>
  <c r="E17516" i="21"/>
  <c r="D17516" i="21"/>
  <c r="E17197" i="21"/>
  <c r="D17197" i="21"/>
  <c r="E17104" i="21"/>
  <c r="D17104" i="21"/>
  <c r="E17103" i="21"/>
  <c r="E16898" i="21"/>
  <c r="D16898" i="21"/>
  <c r="E16795" i="21"/>
  <c r="D16795" i="21"/>
  <c r="A13878" i="21"/>
  <c r="B732" i="21"/>
  <c r="B742" i="21"/>
  <c r="B8928" i="21"/>
  <c r="B8918" i="21"/>
  <c r="K14" i="1"/>
  <c r="A19853" i="21" l="1"/>
  <c r="A19856" i="21"/>
  <c r="A18926" i="21"/>
  <c r="A16877" i="21"/>
  <c r="A17083" i="21"/>
  <c r="A17183" i="21"/>
  <c r="A16774" i="21"/>
  <c r="A5282" i="21"/>
  <c r="D732" i="21"/>
  <c r="E732" i="21"/>
  <c r="C732" i="21"/>
  <c r="D742" i="21"/>
  <c r="E742" i="21"/>
  <c r="C742" i="21"/>
  <c r="D8918" i="21"/>
  <c r="E8918" i="21"/>
  <c r="C8918" i="21"/>
  <c r="D8928" i="21"/>
  <c r="E8928" i="21"/>
  <c r="C8928" i="21"/>
  <c r="B733" i="21" l="1"/>
  <c r="B743" i="21"/>
  <c r="B8919" i="21"/>
  <c r="B8929" i="21"/>
  <c r="C743" i="21" l="1"/>
  <c r="D743" i="21"/>
  <c r="C733" i="21"/>
  <c r="D733" i="21"/>
  <c r="C8929" i="21"/>
  <c r="D8929" i="21"/>
  <c r="C8919" i="21"/>
  <c r="D8919" i="21"/>
  <c r="B734" i="21" l="1"/>
  <c r="E733" i="21" s="1"/>
  <c r="B744" i="21"/>
  <c r="E743" i="21" s="1"/>
  <c r="B8920" i="21"/>
  <c r="E8919" i="21" s="1"/>
  <c r="B8930" i="21"/>
  <c r="E8929" i="21" s="1"/>
  <c r="B29" i="13"/>
  <c r="E744" i="21" l="1"/>
  <c r="D744" i="21"/>
  <c r="E734" i="21"/>
  <c r="D734" i="21"/>
  <c r="E8930" i="21"/>
  <c r="D8930" i="21"/>
  <c r="E8920" i="21"/>
  <c r="D8920" i="21"/>
  <c r="B30" i="13"/>
  <c r="A2794" i="21" l="1"/>
  <c r="B31" i="13"/>
  <c r="A720" i="21"/>
  <c r="A8906" i="21"/>
  <c r="A2378" i="21" l="1"/>
  <c r="A2057" i="21"/>
  <c r="A4251" i="21"/>
  <c r="B32" i="13"/>
  <c r="A4043" i="21"/>
  <c r="A1644" i="21"/>
  <c r="A1335" i="21"/>
  <c r="A4457" i="21" l="1"/>
  <c r="A1541" i="21"/>
  <c r="A205" i="21"/>
  <c r="A3105" i="21"/>
  <c r="A2586" i="21"/>
  <c r="A4560" i="21"/>
  <c r="A3625" i="21"/>
  <c r="A3418" i="21"/>
  <c r="A3313" i="21"/>
  <c r="A3209" i="21"/>
  <c r="A2690" i="21" l="1"/>
  <c r="A307" i="21" l="1"/>
  <c r="A3834" i="21"/>
  <c r="A3729" i="21"/>
  <c r="A3939" i="21"/>
  <c r="A1438" i="21" l="1"/>
  <c r="J9" i="1" l="1"/>
  <c r="K17" i="10" l="1"/>
  <c r="Y8" i="13" s="1"/>
  <c r="Y10" i="13" l="1"/>
  <c r="A5385" i="21"/>
  <c r="K14" i="4"/>
  <c r="K14" i="10"/>
  <c r="L8900" i="21" l="1"/>
  <c r="L8899" i="21"/>
  <c r="L8898" i="21"/>
  <c r="L8897" i="21"/>
  <c r="L8896" i="21"/>
  <c r="L8895" i="21"/>
  <c r="L8894" i="21"/>
  <c r="L8893" i="21"/>
  <c r="L8892" i="21"/>
  <c r="L8890" i="21"/>
  <c r="L8889" i="21"/>
  <c r="L8888" i="21"/>
  <c r="L8887" i="21"/>
  <c r="L8886" i="21"/>
  <c r="L8885" i="21"/>
  <c r="L8884" i="21"/>
  <c r="L8883" i="21"/>
  <c r="L8882" i="21"/>
  <c r="L8880" i="21"/>
  <c r="L8879" i="21"/>
  <c r="L8878" i="21"/>
  <c r="L8877" i="21"/>
  <c r="L8876" i="21"/>
  <c r="L8875" i="21"/>
  <c r="L8874" i="21"/>
  <c r="L8873" i="21"/>
  <c r="L8872" i="21"/>
  <c r="L8870" i="21"/>
  <c r="L8869" i="21"/>
  <c r="L8868" i="21"/>
  <c r="L8867" i="21"/>
  <c r="L8866" i="21"/>
  <c r="L8865" i="21"/>
  <c r="L8864" i="21"/>
  <c r="L8863" i="21"/>
  <c r="L8862" i="21"/>
  <c r="L8860" i="21"/>
  <c r="L8859" i="21"/>
  <c r="L8858" i="21"/>
  <c r="L8857" i="21"/>
  <c r="L8856" i="21"/>
  <c r="L8855" i="21"/>
  <c r="L8854" i="21"/>
  <c r="L8853" i="21"/>
  <c r="L8852" i="21"/>
  <c r="L8850" i="21"/>
  <c r="L8849" i="21"/>
  <c r="L8848" i="21"/>
  <c r="L8847" i="21"/>
  <c r="L8846" i="21"/>
  <c r="L8845" i="21"/>
  <c r="L8844" i="21"/>
  <c r="L8843" i="21"/>
  <c r="L8842" i="21"/>
  <c r="L8840" i="21"/>
  <c r="L8839" i="21"/>
  <c r="L8838" i="21"/>
  <c r="L8837" i="21"/>
  <c r="L8836" i="21"/>
  <c r="L8835" i="21"/>
  <c r="L8834" i="21"/>
  <c r="L8833" i="21"/>
  <c r="L8832" i="21"/>
  <c r="L8830" i="21"/>
  <c r="L8829" i="21"/>
  <c r="L8828" i="21"/>
  <c r="L8827" i="21"/>
  <c r="L8826" i="21"/>
  <c r="L8825" i="21"/>
  <c r="L8824" i="21"/>
  <c r="L8823" i="21"/>
  <c r="L8822" i="21"/>
  <c r="L8820" i="21"/>
  <c r="L8819" i="21"/>
  <c r="L8818" i="21"/>
  <c r="L8817" i="21"/>
  <c r="L8816" i="21"/>
  <c r="L8815" i="21"/>
  <c r="L8814" i="21"/>
  <c r="L8813" i="21"/>
  <c r="L8796" i="21"/>
  <c r="L8795" i="21"/>
  <c r="L8794" i="21"/>
  <c r="L8793" i="21"/>
  <c r="L8792" i="21"/>
  <c r="L8791" i="21"/>
  <c r="L8790" i="21"/>
  <c r="L8789" i="21"/>
  <c r="L8788" i="21"/>
  <c r="L8786" i="21"/>
  <c r="L8785" i="21"/>
  <c r="L8784" i="21"/>
  <c r="L8783" i="21"/>
  <c r="L8782" i="21"/>
  <c r="L8781" i="21"/>
  <c r="L8780" i="21"/>
  <c r="L8779" i="21"/>
  <c r="L8778" i="21"/>
  <c r="L8776" i="21"/>
  <c r="L8775" i="21"/>
  <c r="L8774" i="21"/>
  <c r="L8773" i="21"/>
  <c r="L8772" i="21"/>
  <c r="L8771" i="21"/>
  <c r="L8770" i="21"/>
  <c r="L8769" i="21"/>
  <c r="L8768" i="21"/>
  <c r="L8766" i="21"/>
  <c r="L8765" i="21"/>
  <c r="L8764" i="21"/>
  <c r="L8763" i="21"/>
  <c r="L8762" i="21"/>
  <c r="L8761" i="21"/>
  <c r="L8760" i="21"/>
  <c r="L8759" i="21"/>
  <c r="L8758" i="21"/>
  <c r="L8756" i="21"/>
  <c r="L8755" i="21"/>
  <c r="L8754" i="21"/>
  <c r="L8753" i="21"/>
  <c r="L8752" i="21"/>
  <c r="L8751" i="21"/>
  <c r="L8750" i="21"/>
  <c r="L8749" i="21"/>
  <c r="L8748" i="21"/>
  <c r="L8746" i="21"/>
  <c r="L8745" i="21"/>
  <c r="L8744" i="21"/>
  <c r="L8743" i="21"/>
  <c r="L8742" i="21"/>
  <c r="L8741" i="21"/>
  <c r="L8740" i="21"/>
  <c r="L8739" i="21"/>
  <c r="L8738" i="21"/>
  <c r="L8736" i="21"/>
  <c r="L8735" i="21"/>
  <c r="L8734" i="21"/>
  <c r="L8733" i="21"/>
  <c r="L8732" i="21"/>
  <c r="L8731" i="21"/>
  <c r="L8730" i="21"/>
  <c r="L8729" i="21"/>
  <c r="L8728" i="21"/>
  <c r="L8726" i="21"/>
  <c r="L8725" i="21"/>
  <c r="L8724" i="21"/>
  <c r="L8723" i="21"/>
  <c r="L8722" i="21"/>
  <c r="L8721" i="21"/>
  <c r="L8720" i="21"/>
  <c r="L8719" i="21"/>
  <c r="L8718" i="21"/>
  <c r="L8716" i="21"/>
  <c r="L8715" i="21"/>
  <c r="L8714" i="21"/>
  <c r="L8713" i="21"/>
  <c r="L8712" i="21"/>
  <c r="L8711" i="21"/>
  <c r="L8710" i="21"/>
  <c r="L8709" i="21"/>
  <c r="L8692" i="21"/>
  <c r="L8691" i="21"/>
  <c r="L8690" i="21"/>
  <c r="L8689" i="21"/>
  <c r="L8688" i="21"/>
  <c r="L8687" i="21"/>
  <c r="L8686" i="21"/>
  <c r="L8685" i="21"/>
  <c r="L8684" i="21"/>
  <c r="L8682" i="21"/>
  <c r="L8681" i="21"/>
  <c r="L8680" i="21"/>
  <c r="L8679" i="21"/>
  <c r="L8678" i="21"/>
  <c r="L8677" i="21"/>
  <c r="L8676" i="21"/>
  <c r="L8675" i="21"/>
  <c r="L8674" i="21"/>
  <c r="L8672" i="21"/>
  <c r="L8671" i="21"/>
  <c r="L8670" i="21"/>
  <c r="L8669" i="21"/>
  <c r="L8668" i="21"/>
  <c r="L8667" i="21"/>
  <c r="L8666" i="21"/>
  <c r="L8665" i="21"/>
  <c r="L8664" i="21"/>
  <c r="L8662" i="21"/>
  <c r="L8661" i="21"/>
  <c r="L8660" i="21"/>
  <c r="L8659" i="21"/>
  <c r="L8658" i="21"/>
  <c r="L8657" i="21"/>
  <c r="L8656" i="21"/>
  <c r="L8655" i="21"/>
  <c r="L8654" i="21"/>
  <c r="L8652" i="21"/>
  <c r="L8651" i="21"/>
  <c r="L8650" i="21"/>
  <c r="L8649" i="21"/>
  <c r="L8648" i="21"/>
  <c r="L8647" i="21"/>
  <c r="L8646" i="21"/>
  <c r="L8645" i="21"/>
  <c r="L8644" i="21"/>
  <c r="L8642" i="21"/>
  <c r="L8641" i="21"/>
  <c r="L8640" i="21"/>
  <c r="L8639" i="21"/>
  <c r="L8638" i="21"/>
  <c r="L8637" i="21"/>
  <c r="L8636" i="21"/>
  <c r="L8635" i="21"/>
  <c r="L8634" i="21"/>
  <c r="L8632" i="21"/>
  <c r="L8631" i="21"/>
  <c r="L8630" i="21"/>
  <c r="L8629" i="21"/>
  <c r="L8628" i="21"/>
  <c r="L8627" i="21"/>
  <c r="L8626" i="21"/>
  <c r="L8625" i="21"/>
  <c r="L8624" i="21"/>
  <c r="L8622" i="21"/>
  <c r="L8621" i="21"/>
  <c r="L8620" i="21"/>
  <c r="L8619" i="21"/>
  <c r="L8618" i="21"/>
  <c r="L8617" i="21"/>
  <c r="L8616" i="21"/>
  <c r="L8615" i="21"/>
  <c r="L8614" i="21"/>
  <c r="L8612" i="21"/>
  <c r="L8611" i="21"/>
  <c r="L8610" i="21"/>
  <c r="L8609" i="21"/>
  <c r="L8608" i="21"/>
  <c r="L8607" i="21"/>
  <c r="L8606" i="21"/>
  <c r="L8605" i="21"/>
  <c r="L8588" i="21" l="1"/>
  <c r="L8587" i="21"/>
  <c r="L8586" i="21"/>
  <c r="L8585" i="21"/>
  <c r="L8584" i="21"/>
  <c r="L8583" i="21"/>
  <c r="L8582" i="21"/>
  <c r="L8581" i="21"/>
  <c r="L8580" i="21"/>
  <c r="L8578" i="21"/>
  <c r="L8577" i="21"/>
  <c r="L8576" i="21"/>
  <c r="L8575" i="21"/>
  <c r="L8574" i="21"/>
  <c r="L8573" i="21"/>
  <c r="L8572" i="21"/>
  <c r="L8571" i="21"/>
  <c r="L8570" i="21"/>
  <c r="L8568" i="21"/>
  <c r="L8567" i="21"/>
  <c r="L8566" i="21"/>
  <c r="L8565" i="21"/>
  <c r="L8564" i="21"/>
  <c r="L8563" i="21"/>
  <c r="L8562" i="21"/>
  <c r="L8561" i="21"/>
  <c r="L8560" i="21"/>
  <c r="L8558" i="21"/>
  <c r="L8557" i="21"/>
  <c r="L8556" i="21"/>
  <c r="L8555" i="21"/>
  <c r="L8554" i="21"/>
  <c r="L8553" i="21"/>
  <c r="L8552" i="21"/>
  <c r="L8551" i="21"/>
  <c r="L8550" i="21"/>
  <c r="L8548" i="21"/>
  <c r="L8547" i="21"/>
  <c r="L8546" i="21"/>
  <c r="L8545" i="21"/>
  <c r="L8544" i="21"/>
  <c r="L8543" i="21"/>
  <c r="L8542" i="21"/>
  <c r="L8541" i="21"/>
  <c r="L8540" i="21"/>
  <c r="L8538" i="21"/>
  <c r="L8537" i="21"/>
  <c r="L8536" i="21"/>
  <c r="L8535" i="21"/>
  <c r="L8534" i="21"/>
  <c r="L8533" i="21"/>
  <c r="L8532" i="21"/>
  <c r="L8531" i="21"/>
  <c r="L8530" i="21"/>
  <c r="L8528" i="21"/>
  <c r="L8527" i="21"/>
  <c r="L8526" i="21"/>
  <c r="L8525" i="21"/>
  <c r="L8524" i="21"/>
  <c r="L8523" i="21"/>
  <c r="L8522" i="21"/>
  <c r="L8521" i="21"/>
  <c r="L8520" i="21"/>
  <c r="L8518" i="21"/>
  <c r="L8517" i="21"/>
  <c r="L8516" i="21"/>
  <c r="L8515" i="21"/>
  <c r="L8514" i="21"/>
  <c r="L8513" i="21"/>
  <c r="L8512" i="21"/>
  <c r="L8511" i="21"/>
  <c r="L8510" i="21"/>
  <c r="L8508" i="21"/>
  <c r="L8507" i="21"/>
  <c r="L8506" i="21"/>
  <c r="L8505" i="21"/>
  <c r="L8504" i="21"/>
  <c r="L8503" i="21"/>
  <c r="L8502" i="21"/>
  <c r="L8501" i="21"/>
  <c r="L8484" i="21"/>
  <c r="L8483" i="21"/>
  <c r="L8482" i="21"/>
  <c r="L8481" i="21"/>
  <c r="L8480" i="21"/>
  <c r="L8479" i="21"/>
  <c r="L8478" i="21"/>
  <c r="L8477" i="21"/>
  <c r="L8476" i="21"/>
  <c r="L8474" i="21"/>
  <c r="L8473" i="21"/>
  <c r="L8472" i="21"/>
  <c r="L8471" i="21"/>
  <c r="L8470" i="21"/>
  <c r="L8469" i="21"/>
  <c r="L8468" i="21"/>
  <c r="L8467" i="21"/>
  <c r="L8466" i="21"/>
  <c r="L8464" i="21"/>
  <c r="L8463" i="21"/>
  <c r="L8462" i="21"/>
  <c r="L8461" i="21"/>
  <c r="L8460" i="21"/>
  <c r="L8459" i="21"/>
  <c r="L8458" i="21"/>
  <c r="L8457" i="21"/>
  <c r="L8456" i="21"/>
  <c r="L8454" i="21"/>
  <c r="L8453" i="21"/>
  <c r="L8452" i="21"/>
  <c r="L8451" i="21"/>
  <c r="L8450" i="21"/>
  <c r="L8449" i="21"/>
  <c r="L8448" i="21"/>
  <c r="L8447" i="21"/>
  <c r="L8446" i="21"/>
  <c r="L8444" i="21"/>
  <c r="L8443" i="21"/>
  <c r="L8442" i="21"/>
  <c r="L8441" i="21"/>
  <c r="L8440" i="21"/>
  <c r="L8439" i="21"/>
  <c r="L8438" i="21"/>
  <c r="L8437" i="21"/>
  <c r="L8436" i="21"/>
  <c r="L8434" i="21"/>
  <c r="L8433" i="21"/>
  <c r="L8432" i="21"/>
  <c r="L8431" i="21"/>
  <c r="L8430" i="21"/>
  <c r="L8429" i="21"/>
  <c r="L8428" i="21"/>
  <c r="L8427" i="21"/>
  <c r="L8426" i="21"/>
  <c r="L8424" i="21"/>
  <c r="L8423" i="21"/>
  <c r="L8422" i="21"/>
  <c r="L8421" i="21"/>
  <c r="L8420" i="21"/>
  <c r="L8419" i="21"/>
  <c r="L8418" i="21"/>
  <c r="L8417" i="21"/>
  <c r="L8416" i="21"/>
  <c r="L8414" i="21"/>
  <c r="L8413" i="21"/>
  <c r="L8412" i="21"/>
  <c r="L8411" i="21"/>
  <c r="L8410" i="21"/>
  <c r="L8409" i="21"/>
  <c r="L8408" i="21"/>
  <c r="L8407" i="21"/>
  <c r="L8406" i="21"/>
  <c r="L8404" i="21"/>
  <c r="L8403" i="21"/>
  <c r="L8402" i="21"/>
  <c r="L8401" i="21"/>
  <c r="L8400" i="21"/>
  <c r="L8399" i="21"/>
  <c r="L8398" i="21"/>
  <c r="L8397" i="21"/>
  <c r="L8380" i="21"/>
  <c r="L8379" i="21"/>
  <c r="L8378" i="21"/>
  <c r="L8377" i="21"/>
  <c r="L8376" i="21"/>
  <c r="L8375" i="21"/>
  <c r="L8374" i="21"/>
  <c r="L8373" i="21"/>
  <c r="L8372" i="21"/>
  <c r="L8370" i="21"/>
  <c r="L8369" i="21"/>
  <c r="L8368" i="21"/>
  <c r="L8367" i="21"/>
  <c r="L8366" i="21"/>
  <c r="L8365" i="21"/>
  <c r="L8364" i="21"/>
  <c r="L8363" i="21"/>
  <c r="L8362" i="21"/>
  <c r="L8360" i="21"/>
  <c r="L8359" i="21"/>
  <c r="L8358" i="21"/>
  <c r="L8357" i="21"/>
  <c r="L8356" i="21"/>
  <c r="L8355" i="21"/>
  <c r="L8354" i="21"/>
  <c r="L8353" i="21"/>
  <c r="L8352" i="21"/>
  <c r="L8350" i="21"/>
  <c r="L8349" i="21"/>
  <c r="L8348" i="21"/>
  <c r="L8347" i="21"/>
  <c r="L8346" i="21"/>
  <c r="L8345" i="21"/>
  <c r="L8344" i="21"/>
  <c r="L8343" i="21"/>
  <c r="L8342" i="21"/>
  <c r="L8340" i="21"/>
  <c r="L8339" i="21"/>
  <c r="L8338" i="21"/>
  <c r="L8337" i="21"/>
  <c r="L8336" i="21"/>
  <c r="L8335" i="21"/>
  <c r="L8334" i="21"/>
  <c r="L8333" i="21"/>
  <c r="L8332" i="21"/>
  <c r="L8330" i="21"/>
  <c r="L8329" i="21"/>
  <c r="L8328" i="21"/>
  <c r="L8327" i="21"/>
  <c r="L8326" i="21"/>
  <c r="L8325" i="21"/>
  <c r="L8324" i="21"/>
  <c r="L8323" i="21"/>
  <c r="L8322" i="21"/>
  <c r="L8320" i="21"/>
  <c r="L8319" i="21"/>
  <c r="L8318" i="21"/>
  <c r="L8317" i="21"/>
  <c r="L8316" i="21"/>
  <c r="L8315" i="21"/>
  <c r="L8314" i="21"/>
  <c r="L8313" i="21"/>
  <c r="L8312" i="21"/>
  <c r="L8310" i="21"/>
  <c r="L8309" i="21"/>
  <c r="L8308" i="21"/>
  <c r="L8307" i="21"/>
  <c r="L8306" i="21"/>
  <c r="L8305" i="21"/>
  <c r="L8304" i="21"/>
  <c r="L8303" i="21"/>
  <c r="L8302" i="21"/>
  <c r="L8300" i="21"/>
  <c r="L8299" i="21"/>
  <c r="L8298" i="21"/>
  <c r="L8297" i="21"/>
  <c r="L8296" i="21"/>
  <c r="L8295" i="21"/>
  <c r="L8294" i="21"/>
  <c r="L8293" i="21"/>
  <c r="L8275" i="21"/>
  <c r="L8274" i="21"/>
  <c r="L8273" i="21"/>
  <c r="L8272" i="21"/>
  <c r="L8271" i="21"/>
  <c r="L8270" i="21"/>
  <c r="L8269" i="21"/>
  <c r="L8268" i="21"/>
  <c r="L8267" i="21"/>
  <c r="L8265" i="21"/>
  <c r="L8264" i="21"/>
  <c r="L8263" i="21"/>
  <c r="L8262" i="21"/>
  <c r="L8261" i="21"/>
  <c r="L8260" i="21"/>
  <c r="L8259" i="21"/>
  <c r="L8258" i="21"/>
  <c r="L8257" i="21"/>
  <c r="L8255" i="21"/>
  <c r="L8254" i="21"/>
  <c r="L8253" i="21"/>
  <c r="L8252" i="21"/>
  <c r="L8251" i="21"/>
  <c r="L8250" i="21"/>
  <c r="L8249" i="21"/>
  <c r="L8248" i="21"/>
  <c r="L8247" i="21"/>
  <c r="L8245" i="21"/>
  <c r="L8244" i="21"/>
  <c r="L8243" i="21"/>
  <c r="L8242" i="21"/>
  <c r="L8241" i="21"/>
  <c r="L8240" i="21"/>
  <c r="L8239" i="21"/>
  <c r="L8238" i="21"/>
  <c r="L8237" i="21"/>
  <c r="L8235" i="21"/>
  <c r="L8234" i="21"/>
  <c r="L8233" i="21"/>
  <c r="L8232" i="21"/>
  <c r="L8231" i="21"/>
  <c r="L8230" i="21"/>
  <c r="L8229" i="21"/>
  <c r="L8228" i="21"/>
  <c r="L8227" i="21"/>
  <c r="L8225" i="21"/>
  <c r="L8224" i="21"/>
  <c r="L8223" i="21"/>
  <c r="L8222" i="21"/>
  <c r="L8221" i="21"/>
  <c r="L8220" i="21"/>
  <c r="L8219" i="21"/>
  <c r="L8218" i="21"/>
  <c r="L8217" i="21"/>
  <c r="L8215" i="21"/>
  <c r="L8214" i="21"/>
  <c r="L8213" i="21"/>
  <c r="L8212" i="21"/>
  <c r="L8211" i="21"/>
  <c r="L8210" i="21"/>
  <c r="L8209" i="21"/>
  <c r="L8208" i="21"/>
  <c r="L8207" i="21"/>
  <c r="L8205" i="21"/>
  <c r="L8204" i="21"/>
  <c r="L8203" i="21"/>
  <c r="L8202" i="21"/>
  <c r="L8201" i="21"/>
  <c r="L8200" i="21"/>
  <c r="L8199" i="21"/>
  <c r="L8198" i="21"/>
  <c r="L8197" i="21"/>
  <c r="L8195" i="21"/>
  <c r="L8194" i="21"/>
  <c r="L8193" i="21"/>
  <c r="L8192" i="21"/>
  <c r="L8191" i="21"/>
  <c r="L8190" i="21"/>
  <c r="L8189" i="21"/>
  <c r="L8188" i="21"/>
  <c r="L8171" i="21" l="1"/>
  <c r="L8170" i="21"/>
  <c r="L8169" i="21"/>
  <c r="L8168" i="21"/>
  <c r="L8167" i="21"/>
  <c r="L8166" i="21"/>
  <c r="L8165" i="21"/>
  <c r="L8164" i="21"/>
  <c r="L8163" i="21"/>
  <c r="L8161" i="21"/>
  <c r="L8160" i="21"/>
  <c r="L8159" i="21"/>
  <c r="L8158" i="21"/>
  <c r="L8157" i="21"/>
  <c r="L8156" i="21"/>
  <c r="L8155" i="21"/>
  <c r="L8154" i="21"/>
  <c r="L8153" i="21"/>
  <c r="L8151" i="21"/>
  <c r="L8150" i="21"/>
  <c r="L8149" i="21"/>
  <c r="L8148" i="21"/>
  <c r="L8147" i="21"/>
  <c r="L8146" i="21"/>
  <c r="L8145" i="21"/>
  <c r="L8144" i="21"/>
  <c r="L8143" i="21"/>
  <c r="L8141" i="21"/>
  <c r="L8140" i="21"/>
  <c r="L8139" i="21"/>
  <c r="L8138" i="21"/>
  <c r="L8137" i="21"/>
  <c r="L8136" i="21"/>
  <c r="L8135" i="21"/>
  <c r="L8134" i="21"/>
  <c r="L8133" i="21"/>
  <c r="L8131" i="21"/>
  <c r="L8130" i="21"/>
  <c r="L8129" i="21"/>
  <c r="L8128" i="21"/>
  <c r="L8127" i="21"/>
  <c r="L8126" i="21"/>
  <c r="L8125" i="21"/>
  <c r="L8124" i="21"/>
  <c r="L8123" i="21"/>
  <c r="L8121" i="21"/>
  <c r="L8120" i="21"/>
  <c r="L8119" i="21"/>
  <c r="L8118" i="21"/>
  <c r="L8117" i="21"/>
  <c r="L8116" i="21"/>
  <c r="L8115" i="21"/>
  <c r="L8114" i="21"/>
  <c r="L8113" i="21"/>
  <c r="L8111" i="21"/>
  <c r="L8110" i="21"/>
  <c r="L8109" i="21"/>
  <c r="L8108" i="21"/>
  <c r="L8107" i="21"/>
  <c r="L8106" i="21"/>
  <c r="L8105" i="21"/>
  <c r="L8104" i="21"/>
  <c r="L8103" i="21"/>
  <c r="L8101" i="21"/>
  <c r="L8100" i="21"/>
  <c r="L8099" i="21"/>
  <c r="L8098" i="21"/>
  <c r="L8097" i="21"/>
  <c r="L8096" i="21"/>
  <c r="L8095" i="21"/>
  <c r="L8094" i="21"/>
  <c r="L8093" i="21"/>
  <c r="L8091" i="21"/>
  <c r="L8090" i="21"/>
  <c r="L8089" i="21"/>
  <c r="L8088" i="21"/>
  <c r="L8087" i="21"/>
  <c r="L8086" i="21"/>
  <c r="L8085" i="21"/>
  <c r="L8084" i="21"/>
  <c r="L8067" i="21" l="1"/>
  <c r="L8066" i="21"/>
  <c r="L8065" i="21"/>
  <c r="L8064" i="21"/>
  <c r="L8063" i="21"/>
  <c r="L8062" i="21"/>
  <c r="L8061" i="21"/>
  <c r="L8060" i="21"/>
  <c r="L8059" i="21"/>
  <c r="L8057" i="21"/>
  <c r="L8056" i="21"/>
  <c r="L8055" i="21"/>
  <c r="L8054" i="21"/>
  <c r="L8053" i="21"/>
  <c r="L8052" i="21"/>
  <c r="L8051" i="21"/>
  <c r="L8050" i="21"/>
  <c r="L8049" i="21"/>
  <c r="L8047" i="21"/>
  <c r="L8046" i="21"/>
  <c r="L8045" i="21"/>
  <c r="L8044" i="21"/>
  <c r="L8043" i="21"/>
  <c r="L8042" i="21"/>
  <c r="L8041" i="21"/>
  <c r="L8040" i="21"/>
  <c r="L8039" i="21"/>
  <c r="L8037" i="21"/>
  <c r="L8036" i="21"/>
  <c r="L8035" i="21"/>
  <c r="L8034" i="21"/>
  <c r="L8033" i="21"/>
  <c r="L8032" i="21"/>
  <c r="L8031" i="21"/>
  <c r="L8030" i="21"/>
  <c r="L8029" i="21"/>
  <c r="L8027" i="21"/>
  <c r="L8026" i="21"/>
  <c r="L8025" i="21"/>
  <c r="L8024" i="21"/>
  <c r="L8023" i="21"/>
  <c r="L8022" i="21"/>
  <c r="L8021" i="21"/>
  <c r="L8020" i="21"/>
  <c r="L8019" i="21"/>
  <c r="L8017" i="21"/>
  <c r="L8016" i="21"/>
  <c r="L8015" i="21"/>
  <c r="L8014" i="21"/>
  <c r="L8013" i="21"/>
  <c r="L8012" i="21"/>
  <c r="L8011" i="21"/>
  <c r="L8010" i="21"/>
  <c r="L8009" i="21"/>
  <c r="L8007" i="21"/>
  <c r="L8006" i="21"/>
  <c r="L8005" i="21"/>
  <c r="L8004" i="21"/>
  <c r="L8003" i="21"/>
  <c r="L8002" i="21"/>
  <c r="L8001" i="21"/>
  <c r="L8000" i="21"/>
  <c r="L7999" i="21"/>
  <c r="L7997" i="21"/>
  <c r="L7996" i="21"/>
  <c r="L7995" i="21"/>
  <c r="L7994" i="21"/>
  <c r="L7993" i="21"/>
  <c r="L7992" i="21"/>
  <c r="L7991" i="21"/>
  <c r="L7990" i="21"/>
  <c r="L7989" i="21"/>
  <c r="L7987" i="21"/>
  <c r="L7986" i="21"/>
  <c r="L7985" i="21"/>
  <c r="L7984" i="21"/>
  <c r="L7983" i="21"/>
  <c r="L7982" i="21"/>
  <c r="L7981" i="21"/>
  <c r="L7980" i="21"/>
  <c r="B8291" i="21" l="1"/>
  <c r="B8301" i="21"/>
  <c r="B8613" i="21"/>
  <c r="B8603" i="21"/>
  <c r="B8405" i="21"/>
  <c r="B8395" i="21"/>
  <c r="B8707" i="21" l="1"/>
  <c r="E8707" i="21" s="1"/>
  <c r="B8499" i="21"/>
  <c r="D8499" i="21" s="1"/>
  <c r="D8291" i="21"/>
  <c r="E8291" i="21"/>
  <c r="C8291" i="21"/>
  <c r="B8292" i="21" s="1"/>
  <c r="E8301" i="21"/>
  <c r="C8301" i="21"/>
  <c r="B8302" i="21" s="1"/>
  <c r="D8301" i="21"/>
  <c r="E8613" i="21"/>
  <c r="D8613" i="21"/>
  <c r="C8613" i="21"/>
  <c r="E8603" i="21"/>
  <c r="D8603" i="21"/>
  <c r="C8603" i="21"/>
  <c r="E8395" i="21"/>
  <c r="D8395" i="21"/>
  <c r="C8395" i="21"/>
  <c r="E8405" i="21"/>
  <c r="D8405" i="21"/>
  <c r="C8405" i="21"/>
  <c r="B8509" i="21" l="1"/>
  <c r="C8509" i="21" s="1"/>
  <c r="B8510" i="21" s="1"/>
  <c r="C8499" i="21"/>
  <c r="B8500" i="21" s="1"/>
  <c r="E8499" i="21"/>
  <c r="D8707" i="21"/>
  <c r="C8707" i="21"/>
  <c r="B8708" i="21" s="1"/>
  <c r="B8717" i="21"/>
  <c r="D8717" i="21" s="1"/>
  <c r="D8302" i="21"/>
  <c r="E8302" i="21"/>
  <c r="C8302" i="21"/>
  <c r="B8303" i="21" s="1"/>
  <c r="E8292" i="21"/>
  <c r="D8292" i="21"/>
  <c r="C8292" i="21"/>
  <c r="B8293" i="21" s="1"/>
  <c r="B8604" i="21"/>
  <c r="B8614" i="21"/>
  <c r="B8406" i="21"/>
  <c r="B8396" i="21"/>
  <c r="B7978" i="21"/>
  <c r="B7988" i="21"/>
  <c r="L7964" i="21"/>
  <c r="L7963" i="21"/>
  <c r="L7962" i="21"/>
  <c r="L7961" i="21"/>
  <c r="L7960" i="21"/>
  <c r="L7959" i="21"/>
  <c r="L7958" i="21"/>
  <c r="L7957" i="21"/>
  <c r="L7956" i="21"/>
  <c r="L7954" i="21"/>
  <c r="L7953" i="21"/>
  <c r="L7952" i="21"/>
  <c r="L7951" i="21"/>
  <c r="L7950" i="21"/>
  <c r="L7949" i="21"/>
  <c r="L7948" i="21"/>
  <c r="L7947" i="21"/>
  <c r="L7946" i="21"/>
  <c r="L7944" i="21"/>
  <c r="L7943" i="21"/>
  <c r="L7942" i="21"/>
  <c r="L7941" i="21"/>
  <c r="L7940" i="21"/>
  <c r="L7939" i="21"/>
  <c r="L7938" i="21"/>
  <c r="L7937" i="21"/>
  <c r="L7936" i="21"/>
  <c r="L7934" i="21"/>
  <c r="L7933" i="21"/>
  <c r="L7932" i="21"/>
  <c r="L7931" i="21"/>
  <c r="L7930" i="21"/>
  <c r="L7929" i="21"/>
  <c r="L7928" i="21"/>
  <c r="L7927" i="21"/>
  <c r="L7926" i="21"/>
  <c r="L7924" i="21"/>
  <c r="L7923" i="21"/>
  <c r="L7922" i="21"/>
  <c r="L7921" i="21"/>
  <c r="L7920" i="21"/>
  <c r="L7919" i="21"/>
  <c r="L7918" i="21"/>
  <c r="L7917" i="21"/>
  <c r="L7916" i="21"/>
  <c r="L7914" i="21"/>
  <c r="L7913" i="21"/>
  <c r="L7912" i="21"/>
  <c r="L7911" i="21"/>
  <c r="L7910" i="21"/>
  <c r="L7909" i="21"/>
  <c r="L7908" i="21"/>
  <c r="L7907" i="21"/>
  <c r="L7906" i="21"/>
  <c r="L7904" i="21"/>
  <c r="L7903" i="21"/>
  <c r="L7902" i="21"/>
  <c r="L7901" i="21"/>
  <c r="L7900" i="21"/>
  <c r="L7899" i="21"/>
  <c r="L7898" i="21"/>
  <c r="L7897" i="21"/>
  <c r="L7896" i="21"/>
  <c r="L7894" i="21"/>
  <c r="L7893" i="21"/>
  <c r="L7892" i="21"/>
  <c r="L7891" i="21"/>
  <c r="L7890" i="21"/>
  <c r="L7889" i="21"/>
  <c r="L7888" i="21"/>
  <c r="L7887" i="21"/>
  <c r="L7886" i="21"/>
  <c r="L7884" i="21"/>
  <c r="L7883" i="21"/>
  <c r="L7882" i="21"/>
  <c r="L7881" i="21"/>
  <c r="L7880" i="21"/>
  <c r="L7879" i="21"/>
  <c r="L7878" i="21"/>
  <c r="L7877" i="21"/>
  <c r="L7860" i="21"/>
  <c r="L7859" i="21"/>
  <c r="L7858" i="21"/>
  <c r="L7857" i="21"/>
  <c r="L7856" i="21"/>
  <c r="L7855" i="21"/>
  <c r="L7854" i="21"/>
  <c r="L7853" i="21"/>
  <c r="L7852" i="21"/>
  <c r="L7850" i="21"/>
  <c r="L7849" i="21"/>
  <c r="L7848" i="21"/>
  <c r="L7847" i="21"/>
  <c r="L7846" i="21"/>
  <c r="L7845" i="21"/>
  <c r="L7844" i="21"/>
  <c r="L7843" i="21"/>
  <c r="L7842" i="21"/>
  <c r="L7840" i="21"/>
  <c r="L7839" i="21"/>
  <c r="L7838" i="21"/>
  <c r="L7837" i="21"/>
  <c r="L7836" i="21"/>
  <c r="L7835" i="21"/>
  <c r="L7834" i="21"/>
  <c r="L7833" i="21"/>
  <c r="L7832" i="21"/>
  <c r="L7830" i="21"/>
  <c r="L7829" i="21"/>
  <c r="L7828" i="21"/>
  <c r="L7827" i="21"/>
  <c r="L7826" i="21"/>
  <c r="L7825" i="21"/>
  <c r="L7824" i="21"/>
  <c r="L7823" i="21"/>
  <c r="L7822" i="21"/>
  <c r="L7820" i="21"/>
  <c r="L7819" i="21"/>
  <c r="L7818" i="21"/>
  <c r="L7817" i="21"/>
  <c r="L7816" i="21"/>
  <c r="L7815" i="21"/>
  <c r="L7814" i="21"/>
  <c r="L7813" i="21"/>
  <c r="L7812" i="21"/>
  <c r="L7810" i="21"/>
  <c r="L7809" i="21"/>
  <c r="L7808" i="21"/>
  <c r="L7807" i="21"/>
  <c r="L7806" i="21"/>
  <c r="L7805" i="21"/>
  <c r="L7804" i="21"/>
  <c r="L7803" i="21"/>
  <c r="L7802" i="21"/>
  <c r="L7800" i="21"/>
  <c r="L7799" i="21"/>
  <c r="L7798" i="21"/>
  <c r="L7797" i="21"/>
  <c r="L7796" i="21"/>
  <c r="L7795" i="21"/>
  <c r="L7794" i="21"/>
  <c r="L7793" i="21"/>
  <c r="L7792" i="21"/>
  <c r="L7790" i="21"/>
  <c r="L7789" i="21"/>
  <c r="L7788" i="21"/>
  <c r="L7787" i="21"/>
  <c r="L7786" i="21"/>
  <c r="L7785" i="21"/>
  <c r="L7784" i="21"/>
  <c r="L7783" i="21"/>
  <c r="L7782" i="21"/>
  <c r="L7780" i="21"/>
  <c r="L7779" i="21"/>
  <c r="L7778" i="21"/>
  <c r="L7777" i="21"/>
  <c r="L7776" i="21"/>
  <c r="L7775" i="21"/>
  <c r="L7774" i="21"/>
  <c r="L7773" i="21"/>
  <c r="L7756" i="21"/>
  <c r="L7755" i="21"/>
  <c r="L7754" i="21"/>
  <c r="L7753" i="21"/>
  <c r="L7752" i="21"/>
  <c r="L7751" i="21"/>
  <c r="L7750" i="21"/>
  <c r="L7749" i="21"/>
  <c r="L7748" i="21"/>
  <c r="L7746" i="21"/>
  <c r="L7745" i="21"/>
  <c r="L7744" i="21"/>
  <c r="L7743" i="21"/>
  <c r="L7742" i="21"/>
  <c r="L7741" i="21"/>
  <c r="L7740" i="21"/>
  <c r="L7739" i="21"/>
  <c r="L7738" i="21"/>
  <c r="L7736" i="21"/>
  <c r="L7735" i="21"/>
  <c r="L7734" i="21"/>
  <c r="L7733" i="21"/>
  <c r="L7732" i="21"/>
  <c r="L7731" i="21"/>
  <c r="L7730" i="21"/>
  <c r="L7729" i="21"/>
  <c r="L7728" i="21"/>
  <c r="L7726" i="21"/>
  <c r="L7725" i="21"/>
  <c r="L7724" i="21"/>
  <c r="L7723" i="21"/>
  <c r="L7722" i="21"/>
  <c r="L7721" i="21"/>
  <c r="L7720" i="21"/>
  <c r="L7719" i="21"/>
  <c r="L7718" i="21"/>
  <c r="L7716" i="21"/>
  <c r="L7715" i="21"/>
  <c r="L7714" i="21"/>
  <c r="L7713" i="21"/>
  <c r="L7712" i="21"/>
  <c r="L7711" i="21"/>
  <c r="L7710" i="21"/>
  <c r="L7709" i="21"/>
  <c r="L7708" i="21"/>
  <c r="L7706" i="21"/>
  <c r="L7705" i="21"/>
  <c r="L7704" i="21"/>
  <c r="L7703" i="21"/>
  <c r="L7702" i="21"/>
  <c r="L7701" i="21"/>
  <c r="L7700" i="21"/>
  <c r="L7699" i="21"/>
  <c r="L7698" i="21"/>
  <c r="L7696" i="21"/>
  <c r="L7695" i="21"/>
  <c r="L7694" i="21"/>
  <c r="L7693" i="21"/>
  <c r="L7692" i="21"/>
  <c r="L7691" i="21"/>
  <c r="L7690" i="21"/>
  <c r="L7689" i="21"/>
  <c r="L7688" i="21"/>
  <c r="L7686" i="21"/>
  <c r="L7685" i="21"/>
  <c r="L7684" i="21"/>
  <c r="L7683" i="21"/>
  <c r="L7682" i="21"/>
  <c r="L7681" i="21"/>
  <c r="L7680" i="21"/>
  <c r="L7679" i="21"/>
  <c r="L7678" i="21"/>
  <c r="L7676" i="21"/>
  <c r="L7675" i="21"/>
  <c r="L7674" i="21"/>
  <c r="L7673" i="21"/>
  <c r="L7672" i="21"/>
  <c r="L7671" i="21"/>
  <c r="L7670" i="21"/>
  <c r="L7669" i="21"/>
  <c r="L7652" i="21"/>
  <c r="L7651" i="21"/>
  <c r="L7650" i="21"/>
  <c r="L7649" i="21"/>
  <c r="L7648" i="21"/>
  <c r="L7647" i="21"/>
  <c r="L7646" i="21"/>
  <c r="L7645" i="21"/>
  <c r="L7644" i="21"/>
  <c r="L7642" i="21"/>
  <c r="L7641" i="21"/>
  <c r="L7640" i="21"/>
  <c r="L7639" i="21"/>
  <c r="L7638" i="21"/>
  <c r="L7637" i="21"/>
  <c r="L7636" i="21"/>
  <c r="L7635" i="21"/>
  <c r="L7634" i="21"/>
  <c r="L7632" i="21"/>
  <c r="L7631" i="21"/>
  <c r="L7630" i="21"/>
  <c r="L7629" i="21"/>
  <c r="L7628" i="21"/>
  <c r="L7627" i="21"/>
  <c r="L7626" i="21"/>
  <c r="L7625" i="21"/>
  <c r="L7624" i="21"/>
  <c r="L7622" i="21"/>
  <c r="L7621" i="21"/>
  <c r="L7620" i="21"/>
  <c r="L7619" i="21"/>
  <c r="L7618" i="21"/>
  <c r="L7617" i="21"/>
  <c r="L7616" i="21"/>
  <c r="L7615" i="21"/>
  <c r="L7614" i="21"/>
  <c r="L7612" i="21"/>
  <c r="L7611" i="21"/>
  <c r="L7610" i="21"/>
  <c r="L7609" i="21"/>
  <c r="L7608" i="21"/>
  <c r="L7607" i="21"/>
  <c r="L7606" i="21"/>
  <c r="L7605" i="21"/>
  <c r="L7604" i="21"/>
  <c r="L7602" i="21"/>
  <c r="L7601" i="21"/>
  <c r="L7600" i="21"/>
  <c r="L7599" i="21"/>
  <c r="L7598" i="21"/>
  <c r="L7597" i="21"/>
  <c r="L7596" i="21"/>
  <c r="L7595" i="21"/>
  <c r="L7594" i="21"/>
  <c r="L7592" i="21"/>
  <c r="L7591" i="21"/>
  <c r="L7590" i="21"/>
  <c r="L7589" i="21"/>
  <c r="L7588" i="21"/>
  <c r="L7587" i="21"/>
  <c r="L7586" i="21"/>
  <c r="L7585" i="21"/>
  <c r="L7584" i="21"/>
  <c r="L7582" i="21"/>
  <c r="L7581" i="21"/>
  <c r="L7580" i="21"/>
  <c r="L7579" i="21"/>
  <c r="L7578" i="21"/>
  <c r="L7577" i="21"/>
  <c r="L7576" i="21"/>
  <c r="L7575" i="21"/>
  <c r="L7574" i="21"/>
  <c r="L7572" i="21"/>
  <c r="L7571" i="21"/>
  <c r="L7570" i="21"/>
  <c r="L7569" i="21"/>
  <c r="L7568" i="21"/>
  <c r="L7567" i="21"/>
  <c r="L7566" i="21"/>
  <c r="L7565" i="21"/>
  <c r="A8799" i="21" l="1"/>
  <c r="B8821" i="21" s="1"/>
  <c r="E8509" i="21"/>
  <c r="D8509" i="21"/>
  <c r="E8717" i="21"/>
  <c r="C8717" i="21"/>
  <c r="B8718" i="21" s="1"/>
  <c r="E8718" i="21" s="1"/>
  <c r="D8303" i="21"/>
  <c r="E8303" i="21"/>
  <c r="C8303" i="21"/>
  <c r="B8304" i="21" s="1"/>
  <c r="E8293" i="21"/>
  <c r="D8293" i="21"/>
  <c r="C8293" i="21"/>
  <c r="B8294" i="21" s="1"/>
  <c r="C8614" i="21"/>
  <c r="D8614" i="21"/>
  <c r="E8614" i="21"/>
  <c r="C8604" i="21"/>
  <c r="D8604" i="21"/>
  <c r="E8604" i="21"/>
  <c r="C8708" i="21"/>
  <c r="D8708" i="21"/>
  <c r="E8708" i="21"/>
  <c r="D8500" i="21"/>
  <c r="C8500" i="21"/>
  <c r="E8500" i="21"/>
  <c r="D8510" i="21"/>
  <c r="C8510" i="21"/>
  <c r="E8510" i="21"/>
  <c r="C8406" i="21"/>
  <c r="D8406" i="21"/>
  <c r="E8406" i="21"/>
  <c r="C8396" i="21"/>
  <c r="D8396" i="21"/>
  <c r="E8396" i="21"/>
  <c r="D7978" i="21"/>
  <c r="C7978" i="21"/>
  <c r="B7979" i="21" s="1"/>
  <c r="E7978" i="21"/>
  <c r="C7988" i="21"/>
  <c r="B7989" i="21" s="1"/>
  <c r="E7988" i="21"/>
  <c r="D7988" i="21"/>
  <c r="B8811" i="21" l="1"/>
  <c r="E8811" i="21" s="1"/>
  <c r="C8718" i="21"/>
  <c r="B8719" i="21" s="1"/>
  <c r="D8718" i="21"/>
  <c r="D8821" i="21"/>
  <c r="E8821" i="21"/>
  <c r="C8821" i="21"/>
  <c r="B8822" i="21" s="1"/>
  <c r="C8304" i="21"/>
  <c r="B8305" i="21" s="1"/>
  <c r="C8305" i="21" s="1"/>
  <c r="E8304" i="21"/>
  <c r="C8294" i="21"/>
  <c r="B8295" i="21" s="1"/>
  <c r="C8295" i="21" s="1"/>
  <c r="E8294" i="21"/>
  <c r="D8294" i="21"/>
  <c r="B8615" i="21"/>
  <c r="B8709" i="21"/>
  <c r="B8605" i="21"/>
  <c r="B8511" i="21"/>
  <c r="B8501" i="21"/>
  <c r="B8407" i="21"/>
  <c r="B8397" i="21"/>
  <c r="D7989" i="21"/>
  <c r="C7989" i="21"/>
  <c r="B7990" i="21" s="1"/>
  <c r="D7990" i="21" s="1"/>
  <c r="E7989" i="21"/>
  <c r="D7979" i="21"/>
  <c r="E7979" i="21"/>
  <c r="C7979" i="21"/>
  <c r="B7980" i="21" s="1"/>
  <c r="E7980" i="21" s="1"/>
  <c r="D8811" i="21" l="1"/>
  <c r="C8811" i="21"/>
  <c r="B8812" i="21" s="1"/>
  <c r="D8812" i="21" s="1"/>
  <c r="D8295" i="21"/>
  <c r="C8822" i="21"/>
  <c r="B8823" i="21" s="1"/>
  <c r="C8823" i="21" s="1"/>
  <c r="E8822" i="21"/>
  <c r="E8305" i="21"/>
  <c r="D8305" i="21"/>
  <c r="E8295" i="21"/>
  <c r="D7980" i="21"/>
  <c r="C7980" i="21"/>
  <c r="B7981" i="21" s="1"/>
  <c r="E7990" i="21"/>
  <c r="E8605" i="21"/>
  <c r="D8605" i="21"/>
  <c r="C8605" i="21"/>
  <c r="E8709" i="21"/>
  <c r="D8709" i="21"/>
  <c r="C8709" i="21"/>
  <c r="D8615" i="21"/>
  <c r="C8615" i="21"/>
  <c r="E8615" i="21"/>
  <c r="D8719" i="21"/>
  <c r="C8719" i="21"/>
  <c r="E8719" i="21"/>
  <c r="C7990" i="21"/>
  <c r="B7991" i="21" s="1"/>
  <c r="D8501" i="21"/>
  <c r="C8501" i="21"/>
  <c r="E8501" i="21"/>
  <c r="E8511" i="21"/>
  <c r="D8511" i="21"/>
  <c r="C8511" i="21"/>
  <c r="E8397" i="21"/>
  <c r="D8397" i="21"/>
  <c r="C8397" i="21"/>
  <c r="D8407" i="21"/>
  <c r="C8407" i="21"/>
  <c r="E8407" i="21"/>
  <c r="B8306" i="21"/>
  <c r="B8296" i="21"/>
  <c r="C8812" i="21" l="1"/>
  <c r="B8813" i="21" s="1"/>
  <c r="E8813" i="21" s="1"/>
  <c r="E8812" i="21"/>
  <c r="D8823" i="21"/>
  <c r="E8823" i="21"/>
  <c r="B8710" i="21"/>
  <c r="B8606" i="21"/>
  <c r="B8720" i="21"/>
  <c r="B8616" i="21"/>
  <c r="B8824" i="21"/>
  <c r="B8512" i="21"/>
  <c r="B8502" i="21"/>
  <c r="B8398" i="21"/>
  <c r="B8408" i="21"/>
  <c r="C8296" i="21"/>
  <c r="D8296" i="21"/>
  <c r="C8306" i="21"/>
  <c r="D8306" i="21"/>
  <c r="B8092" i="21"/>
  <c r="B8082" i="21"/>
  <c r="C7981" i="21"/>
  <c r="D7981" i="21"/>
  <c r="E7981" i="21"/>
  <c r="C7991" i="21"/>
  <c r="E7991" i="21"/>
  <c r="L7548" i="21"/>
  <c r="L7547" i="21"/>
  <c r="L7546" i="21"/>
  <c r="L7545" i="21"/>
  <c r="L7544" i="21"/>
  <c r="L7543" i="21"/>
  <c r="L7542" i="21"/>
  <c r="L7541" i="21"/>
  <c r="L7540" i="21"/>
  <c r="L7538" i="21"/>
  <c r="L7537" i="21"/>
  <c r="L7536" i="21"/>
  <c r="L7535" i="21"/>
  <c r="L7534" i="21"/>
  <c r="L7533" i="21"/>
  <c r="L7532" i="21"/>
  <c r="L7531" i="21"/>
  <c r="L7530" i="21"/>
  <c r="L7528" i="21"/>
  <c r="L7527" i="21"/>
  <c r="L7526" i="21"/>
  <c r="L7525" i="21"/>
  <c r="L7524" i="21"/>
  <c r="L7523" i="21"/>
  <c r="L7522" i="21"/>
  <c r="L7521" i="21"/>
  <c r="L7520" i="21"/>
  <c r="L7518" i="21"/>
  <c r="L7517" i="21"/>
  <c r="L7516" i="21"/>
  <c r="L7515" i="21"/>
  <c r="L7514" i="21"/>
  <c r="L7513" i="21"/>
  <c r="L7512" i="21"/>
  <c r="L7511" i="21"/>
  <c r="L7510" i="21"/>
  <c r="L7508" i="21"/>
  <c r="L7507" i="21"/>
  <c r="L7506" i="21"/>
  <c r="L7505" i="21"/>
  <c r="L7504" i="21"/>
  <c r="L7503" i="21"/>
  <c r="L7502" i="21"/>
  <c r="L7501" i="21"/>
  <c r="L7500" i="21"/>
  <c r="L7498" i="21"/>
  <c r="L7497" i="21"/>
  <c r="L7496" i="21"/>
  <c r="L7495" i="21"/>
  <c r="L7494" i="21"/>
  <c r="L7493" i="21"/>
  <c r="L7492" i="21"/>
  <c r="L7491" i="21"/>
  <c r="L7490" i="21"/>
  <c r="L7488" i="21"/>
  <c r="L7487" i="21"/>
  <c r="L7486" i="21"/>
  <c r="L7485" i="21"/>
  <c r="L7484" i="21"/>
  <c r="L7483" i="21"/>
  <c r="L7482" i="21"/>
  <c r="L7481" i="21"/>
  <c r="L7480" i="21"/>
  <c r="L7478" i="21"/>
  <c r="L7477" i="21"/>
  <c r="L7476" i="21"/>
  <c r="L7475" i="21"/>
  <c r="L7474" i="21"/>
  <c r="L7473" i="21"/>
  <c r="L7472" i="21"/>
  <c r="L7471" i="21"/>
  <c r="L7470" i="21"/>
  <c r="L7468" i="21"/>
  <c r="L7467" i="21"/>
  <c r="L7466" i="21"/>
  <c r="L7465" i="21"/>
  <c r="L7464" i="21"/>
  <c r="L7463" i="21"/>
  <c r="L7462" i="21"/>
  <c r="L7461" i="21"/>
  <c r="L7444" i="21"/>
  <c r="L7443" i="21"/>
  <c r="L7442" i="21"/>
  <c r="L7441" i="21"/>
  <c r="L7440" i="21"/>
  <c r="L7439" i="21"/>
  <c r="L7438" i="21"/>
  <c r="L7437" i="21"/>
  <c r="L7436" i="21"/>
  <c r="L7434" i="21"/>
  <c r="L7433" i="21"/>
  <c r="L7432" i="21"/>
  <c r="L7431" i="21"/>
  <c r="L7430" i="21"/>
  <c r="L7429" i="21"/>
  <c r="L7428" i="21"/>
  <c r="L7427" i="21"/>
  <c r="L7426" i="21"/>
  <c r="L7424" i="21"/>
  <c r="L7423" i="21"/>
  <c r="L7422" i="21"/>
  <c r="L7421" i="21"/>
  <c r="L7420" i="21"/>
  <c r="L7419" i="21"/>
  <c r="L7418" i="21"/>
  <c r="L7417" i="21"/>
  <c r="L7416" i="21"/>
  <c r="L7414" i="21"/>
  <c r="L7413" i="21"/>
  <c r="L7412" i="21"/>
  <c r="L7411" i="21"/>
  <c r="L7410" i="21"/>
  <c r="L7409" i="21"/>
  <c r="L7408" i="21"/>
  <c r="L7407" i="21"/>
  <c r="L7406" i="21"/>
  <c r="L7404" i="21"/>
  <c r="L7403" i="21"/>
  <c r="L7402" i="21"/>
  <c r="L7401" i="21"/>
  <c r="L7400" i="21"/>
  <c r="L7399" i="21"/>
  <c r="L7398" i="21"/>
  <c r="L7397" i="21"/>
  <c r="L7396" i="21"/>
  <c r="L7394" i="21"/>
  <c r="L7393" i="21"/>
  <c r="L7392" i="21"/>
  <c r="L7391" i="21"/>
  <c r="L7390" i="21"/>
  <c r="L7389" i="21"/>
  <c r="L7388" i="21"/>
  <c r="L7387" i="21"/>
  <c r="L7386" i="21"/>
  <c r="L7384" i="21"/>
  <c r="L7383" i="21"/>
  <c r="L7382" i="21"/>
  <c r="L7381" i="21"/>
  <c r="L7380" i="21"/>
  <c r="L7379" i="21"/>
  <c r="L7378" i="21"/>
  <c r="L7377" i="21"/>
  <c r="L7376" i="21"/>
  <c r="L7374" i="21"/>
  <c r="L7373" i="21"/>
  <c r="L7372" i="21"/>
  <c r="L7371" i="21"/>
  <c r="L7370" i="21"/>
  <c r="L7369" i="21"/>
  <c r="L7368" i="21"/>
  <c r="L7367" i="21"/>
  <c r="L7366" i="21"/>
  <c r="L7364" i="21"/>
  <c r="L7363" i="21"/>
  <c r="L7362" i="21"/>
  <c r="L7361" i="21"/>
  <c r="L7360" i="21"/>
  <c r="L7359" i="21"/>
  <c r="L7358" i="21"/>
  <c r="L7357" i="21"/>
  <c r="D8813" i="21" l="1"/>
  <c r="C8813" i="21"/>
  <c r="B8814" i="21" s="1"/>
  <c r="D8814" i="21" s="1"/>
  <c r="A8174" i="21"/>
  <c r="B8196" i="21" s="1"/>
  <c r="C8616" i="21"/>
  <c r="E8616" i="21"/>
  <c r="D8606" i="21"/>
  <c r="C8606" i="21"/>
  <c r="E8606" i="21"/>
  <c r="C8824" i="21"/>
  <c r="E8824" i="21"/>
  <c r="C8720" i="21"/>
  <c r="E8720" i="21"/>
  <c r="D8710" i="21"/>
  <c r="C8710" i="21"/>
  <c r="E8710" i="21"/>
  <c r="D8502" i="21"/>
  <c r="C8502" i="21"/>
  <c r="E8502" i="21"/>
  <c r="C8512" i="21"/>
  <c r="E8512" i="21"/>
  <c r="C8408" i="21"/>
  <c r="E8408" i="21"/>
  <c r="C8398" i="21"/>
  <c r="D8398" i="21"/>
  <c r="E8398" i="21"/>
  <c r="B8307" i="21"/>
  <c r="E8306" i="21" s="1"/>
  <c r="B8297" i="21"/>
  <c r="E8296" i="21" s="1"/>
  <c r="E8092" i="21"/>
  <c r="D8092" i="21"/>
  <c r="C8092" i="21"/>
  <c r="E8082" i="21"/>
  <c r="D8082" i="21"/>
  <c r="C8082" i="21"/>
  <c r="B7982" i="21"/>
  <c r="B7992" i="21"/>
  <c r="C8814" i="21" l="1"/>
  <c r="B8815" i="21" s="1"/>
  <c r="E8814" i="21"/>
  <c r="B8186" i="21"/>
  <c r="C8186" i="21" s="1"/>
  <c r="D8196" i="21"/>
  <c r="E8196" i="21"/>
  <c r="C8196" i="21"/>
  <c r="B8825" i="21"/>
  <c r="B8607" i="21"/>
  <c r="B8617" i="21"/>
  <c r="B8711" i="21"/>
  <c r="B8721" i="21"/>
  <c r="B8513" i="21"/>
  <c r="B8503" i="21"/>
  <c r="B8399" i="21"/>
  <c r="B8409" i="21"/>
  <c r="E8297" i="21"/>
  <c r="D8297" i="21"/>
  <c r="E8307" i="21"/>
  <c r="D8307" i="21"/>
  <c r="B8083" i="21"/>
  <c r="B8093" i="21"/>
  <c r="D7982" i="21"/>
  <c r="E7982" i="21"/>
  <c r="C7982" i="21"/>
  <c r="D7992" i="21"/>
  <c r="E7992" i="21"/>
  <c r="C7992" i="21"/>
  <c r="D8186" i="21" l="1"/>
  <c r="E8186" i="21"/>
  <c r="B8187" i="21"/>
  <c r="B8197" i="21"/>
  <c r="A8283" i="21"/>
  <c r="D8711" i="21"/>
  <c r="C8711" i="21"/>
  <c r="E8711" i="21"/>
  <c r="D8607" i="21"/>
  <c r="C8607" i="21"/>
  <c r="E8607" i="21"/>
  <c r="E8721" i="21"/>
  <c r="D8721" i="21"/>
  <c r="C8721" i="21"/>
  <c r="E8617" i="21"/>
  <c r="D8617" i="21"/>
  <c r="C8617" i="21"/>
  <c r="E8825" i="21"/>
  <c r="D8825" i="21"/>
  <c r="C8825" i="21"/>
  <c r="D8815" i="21"/>
  <c r="C8815" i="21"/>
  <c r="E8815" i="21"/>
  <c r="D8513" i="21"/>
  <c r="C8513" i="21"/>
  <c r="E8513" i="21"/>
  <c r="E8503" i="21"/>
  <c r="D8503" i="21"/>
  <c r="C8503" i="21"/>
  <c r="D8409" i="21"/>
  <c r="C8409" i="21"/>
  <c r="E8409" i="21"/>
  <c r="E8399" i="21"/>
  <c r="D8399" i="21"/>
  <c r="C8399" i="21"/>
  <c r="D8093" i="21"/>
  <c r="C8093" i="21"/>
  <c r="E8093" i="21"/>
  <c r="D8083" i="21"/>
  <c r="C8083" i="21"/>
  <c r="E8083" i="21"/>
  <c r="B7983" i="21"/>
  <c r="B7993" i="21"/>
  <c r="E8187" i="21" l="1"/>
  <c r="D8187" i="21"/>
  <c r="C8187" i="21"/>
  <c r="E8197" i="21"/>
  <c r="C8197" i="21"/>
  <c r="B8816" i="21"/>
  <c r="B8826" i="21"/>
  <c r="B8722" i="21"/>
  <c r="B8608" i="21"/>
  <c r="B8618" i="21"/>
  <c r="B8712" i="21"/>
  <c r="B8504" i="21"/>
  <c r="B8514" i="21"/>
  <c r="B8400" i="21"/>
  <c r="B8410" i="21"/>
  <c r="B8084" i="21"/>
  <c r="B8094" i="21"/>
  <c r="C7993" i="21"/>
  <c r="D7993" i="21"/>
  <c r="C7983" i="21"/>
  <c r="D7983" i="21"/>
  <c r="B8198" i="21" l="1"/>
  <c r="B8188" i="21"/>
  <c r="D8608" i="21"/>
  <c r="C8608" i="21"/>
  <c r="B8609" i="21" s="1"/>
  <c r="D8816" i="21"/>
  <c r="C8816" i="21"/>
  <c r="B8817" i="21" s="1"/>
  <c r="D8712" i="21"/>
  <c r="C8712" i="21"/>
  <c r="D8618" i="21"/>
  <c r="C8618" i="21"/>
  <c r="B8619" i="21" s="1"/>
  <c r="D8722" i="21"/>
  <c r="C8722" i="21"/>
  <c r="B8723" i="21" s="1"/>
  <c r="D8826" i="21"/>
  <c r="C8826" i="21"/>
  <c r="B8827" i="21" s="1"/>
  <c r="C8514" i="21"/>
  <c r="B8515" i="21" s="1"/>
  <c r="D8514" i="21"/>
  <c r="C8504" i="21"/>
  <c r="B8505" i="21" s="1"/>
  <c r="D8504" i="21"/>
  <c r="D8400" i="21"/>
  <c r="C8400" i="21"/>
  <c r="B8401" i="21" s="1"/>
  <c r="D8410" i="21"/>
  <c r="C8410" i="21"/>
  <c r="E8094" i="21"/>
  <c r="D8094" i="21"/>
  <c r="C8094" i="21"/>
  <c r="D8084" i="21"/>
  <c r="C8084" i="21"/>
  <c r="E8084" i="21"/>
  <c r="B7984" i="21"/>
  <c r="E7983" i="21" s="1"/>
  <c r="B7994" i="21"/>
  <c r="E7993" i="21" s="1"/>
  <c r="E8188" i="21" l="1"/>
  <c r="C8188" i="21"/>
  <c r="D8188" i="21"/>
  <c r="C8198" i="21"/>
  <c r="D8198" i="21"/>
  <c r="E8198" i="21"/>
  <c r="E8826" i="21"/>
  <c r="E8827" i="21"/>
  <c r="D8827" i="21"/>
  <c r="E8722" i="21"/>
  <c r="E8723" i="21"/>
  <c r="D8723" i="21"/>
  <c r="E8618" i="21"/>
  <c r="E8619" i="21"/>
  <c r="D8619" i="21"/>
  <c r="B8713" i="21"/>
  <c r="E8712" i="21" s="1"/>
  <c r="E8816" i="21"/>
  <c r="E8817" i="21"/>
  <c r="D8817" i="21"/>
  <c r="E8608" i="21"/>
  <c r="E8609" i="21"/>
  <c r="D8609" i="21"/>
  <c r="E8504" i="21"/>
  <c r="D8505" i="21"/>
  <c r="E8505" i="21"/>
  <c r="E8514" i="21"/>
  <c r="D8515" i="21"/>
  <c r="E8515" i="21"/>
  <c r="B8411" i="21"/>
  <c r="E8410" i="21" s="1"/>
  <c r="E8400" i="21"/>
  <c r="D8401" i="21"/>
  <c r="E8401" i="21"/>
  <c r="B8095" i="21"/>
  <c r="B8085" i="21"/>
  <c r="E7994" i="21"/>
  <c r="D7994" i="21"/>
  <c r="E7984" i="21"/>
  <c r="D7984" i="21"/>
  <c r="B8199" i="21" l="1"/>
  <c r="B8189" i="21"/>
  <c r="A8491" i="21"/>
  <c r="B7459" i="21"/>
  <c r="A8595" i="21"/>
  <c r="E8713" i="21"/>
  <c r="D8713" i="21"/>
  <c r="A8803" i="21"/>
  <c r="A8387" i="21"/>
  <c r="D8411" i="21"/>
  <c r="E8411" i="21"/>
  <c r="C8095" i="21"/>
  <c r="E8095" i="21"/>
  <c r="D8085" i="21"/>
  <c r="C8085" i="21"/>
  <c r="E8085" i="21"/>
  <c r="A7970" i="21"/>
  <c r="C8189" i="21" l="1"/>
  <c r="D8189" i="21"/>
  <c r="E8189" i="21"/>
  <c r="C8199" i="21"/>
  <c r="E8199" i="21"/>
  <c r="B7355" i="21"/>
  <c r="B7469" i="21"/>
  <c r="C7469" i="21" s="1"/>
  <c r="B7470" i="21" s="1"/>
  <c r="A8699" i="21"/>
  <c r="B8086" i="21"/>
  <c r="B8096" i="21"/>
  <c r="B7771" i="21"/>
  <c r="B7781" i="21"/>
  <c r="B7875" i="21"/>
  <c r="B7885" i="21"/>
  <c r="B7667" i="21"/>
  <c r="B7677" i="21"/>
  <c r="D7459" i="21"/>
  <c r="E7459" i="21"/>
  <c r="C7459" i="21"/>
  <c r="B7460" i="21" s="1"/>
  <c r="D7460" i="21" s="1"/>
  <c r="B8200" i="21" l="1"/>
  <c r="B8190" i="21"/>
  <c r="D7469" i="21"/>
  <c r="B7365" i="21"/>
  <c r="E7365" i="21" s="1"/>
  <c r="D7470" i="21"/>
  <c r="C7470" i="21"/>
  <c r="E7469" i="21"/>
  <c r="C7355" i="21"/>
  <c r="B7356" i="21" s="1"/>
  <c r="C7356" i="21" s="1"/>
  <c r="D7355" i="21"/>
  <c r="E7355" i="21"/>
  <c r="E7470" i="21"/>
  <c r="C8096" i="21"/>
  <c r="E8096" i="21"/>
  <c r="D8096" i="21"/>
  <c r="D8086" i="21"/>
  <c r="C8086" i="21"/>
  <c r="E8086" i="21"/>
  <c r="C7460" i="21"/>
  <c r="B7461" i="21" s="1"/>
  <c r="E7781" i="21"/>
  <c r="D7781" i="21"/>
  <c r="C7781" i="21"/>
  <c r="E7771" i="21"/>
  <c r="D7771" i="21"/>
  <c r="C7771" i="21"/>
  <c r="E7885" i="21"/>
  <c r="D7885" i="21"/>
  <c r="C7885" i="21"/>
  <c r="E7460" i="21"/>
  <c r="E7875" i="21"/>
  <c r="D7875" i="21"/>
  <c r="C7875" i="21"/>
  <c r="E7677" i="21"/>
  <c r="D7677" i="21"/>
  <c r="C7677" i="21"/>
  <c r="E7667" i="21"/>
  <c r="D7667" i="21"/>
  <c r="C7667" i="21"/>
  <c r="B7471" i="21"/>
  <c r="C8190" i="21" l="1"/>
  <c r="D8190" i="21"/>
  <c r="E8190" i="21"/>
  <c r="E8200" i="21"/>
  <c r="C8200" i="21"/>
  <c r="D8200" i="21"/>
  <c r="C7365" i="21"/>
  <c r="B7366" i="21" s="1"/>
  <c r="D7366" i="21" s="1"/>
  <c r="D7365" i="21"/>
  <c r="D7356" i="21"/>
  <c r="E7356" i="21"/>
  <c r="B8087" i="21"/>
  <c r="B8097" i="21"/>
  <c r="B7772" i="21"/>
  <c r="B7782" i="21"/>
  <c r="B7886" i="21"/>
  <c r="B7876" i="21"/>
  <c r="B7668" i="21"/>
  <c r="B7678" i="21"/>
  <c r="E7461" i="21"/>
  <c r="D7461" i="21"/>
  <c r="C7461" i="21"/>
  <c r="D7471" i="21"/>
  <c r="C7471" i="21"/>
  <c r="E7471" i="21"/>
  <c r="B7357" i="21"/>
  <c r="B8201" i="21" l="1"/>
  <c r="B8191" i="21"/>
  <c r="C7366" i="21"/>
  <c r="B7367" i="21" s="1"/>
  <c r="D7367" i="21" s="1"/>
  <c r="E7366" i="21"/>
  <c r="D8097" i="21"/>
  <c r="C8097" i="21"/>
  <c r="B8098" i="21" s="1"/>
  <c r="D8087" i="21"/>
  <c r="C8087" i="21"/>
  <c r="B8088" i="21" s="1"/>
  <c r="C7782" i="21"/>
  <c r="D7782" i="21"/>
  <c r="E7782" i="21"/>
  <c r="C7772" i="21"/>
  <c r="D7772" i="21"/>
  <c r="E7772" i="21"/>
  <c r="D7886" i="21"/>
  <c r="C7886" i="21"/>
  <c r="E7886" i="21"/>
  <c r="D7876" i="21"/>
  <c r="C7876" i="21"/>
  <c r="E7876" i="21"/>
  <c r="D7678" i="21"/>
  <c r="C7678" i="21"/>
  <c r="E7678" i="21"/>
  <c r="D7668" i="21"/>
  <c r="C7668" i="21"/>
  <c r="E7668" i="21"/>
  <c r="B7462" i="21"/>
  <c r="B7472" i="21"/>
  <c r="D7357" i="21"/>
  <c r="C7357" i="21"/>
  <c r="E7357" i="21"/>
  <c r="C7367" i="21" l="1"/>
  <c r="B7368" i="21" s="1"/>
  <c r="D8201" i="21"/>
  <c r="C8201" i="21"/>
  <c r="D8191" i="21"/>
  <c r="C8191" i="21"/>
  <c r="E7367" i="21"/>
  <c r="E8087" i="21"/>
  <c r="D8088" i="21"/>
  <c r="E8088" i="21"/>
  <c r="E8097" i="21"/>
  <c r="D8098" i="21"/>
  <c r="E8098" i="21"/>
  <c r="B7783" i="21"/>
  <c r="B7773" i="21"/>
  <c r="B7877" i="21"/>
  <c r="B7887" i="21"/>
  <c r="B7669" i="21"/>
  <c r="B7679" i="21"/>
  <c r="D7462" i="21"/>
  <c r="C7462" i="21"/>
  <c r="E7462" i="21"/>
  <c r="C7472" i="21"/>
  <c r="E7472" i="21"/>
  <c r="B7358" i="21"/>
  <c r="B8192" i="21" l="1"/>
  <c r="B8202" i="21"/>
  <c r="A8074" i="21"/>
  <c r="E7783" i="21"/>
  <c r="D7783" i="21"/>
  <c r="C7783" i="21"/>
  <c r="D7773" i="21"/>
  <c r="C7773" i="21"/>
  <c r="E7773" i="21"/>
  <c r="E7887" i="21"/>
  <c r="D7887" i="21"/>
  <c r="C7887" i="21"/>
  <c r="D7877" i="21"/>
  <c r="C7877" i="21"/>
  <c r="E7877" i="21"/>
  <c r="E7679" i="21"/>
  <c r="D7679" i="21"/>
  <c r="C7679" i="21"/>
  <c r="D7669" i="21"/>
  <c r="C7669" i="21"/>
  <c r="E7669" i="21"/>
  <c r="B7473" i="21"/>
  <c r="B7463" i="21"/>
  <c r="D7358" i="21"/>
  <c r="C7358" i="21"/>
  <c r="E7358" i="21"/>
  <c r="C7368" i="21"/>
  <c r="E7368" i="21"/>
  <c r="D8202" i="21" l="1"/>
  <c r="E8202" i="21"/>
  <c r="D8192" i="21"/>
  <c r="E8192" i="21"/>
  <c r="E8201" i="21"/>
  <c r="E8191" i="21"/>
  <c r="B7784" i="21"/>
  <c r="B7774" i="21"/>
  <c r="B7888" i="21"/>
  <c r="B7878" i="21"/>
  <c r="B7680" i="21"/>
  <c r="B7670" i="21"/>
  <c r="E7463" i="21"/>
  <c r="D7463" i="21"/>
  <c r="C7463" i="21"/>
  <c r="D7473" i="21"/>
  <c r="C7473" i="21"/>
  <c r="E7473" i="21"/>
  <c r="B7369" i="21"/>
  <c r="B7359" i="21"/>
  <c r="A8178" i="21" l="1"/>
  <c r="D7774" i="21"/>
  <c r="C7774" i="21"/>
  <c r="E7774" i="21"/>
  <c r="C7784" i="21"/>
  <c r="E7784" i="21"/>
  <c r="D7878" i="21"/>
  <c r="C7878" i="21"/>
  <c r="E7878" i="21"/>
  <c r="C7888" i="21"/>
  <c r="E7888" i="21"/>
  <c r="C7680" i="21"/>
  <c r="E7680" i="21"/>
  <c r="D7670" i="21"/>
  <c r="C7670" i="21"/>
  <c r="E7670" i="21"/>
  <c r="B7474" i="21"/>
  <c r="B7464" i="21"/>
  <c r="E7359" i="21"/>
  <c r="D7359" i="21"/>
  <c r="C7359" i="21"/>
  <c r="D7369" i="21"/>
  <c r="C7369" i="21"/>
  <c r="E7369" i="21"/>
  <c r="B7785" i="21" l="1"/>
  <c r="B7775" i="21"/>
  <c r="B7889" i="21"/>
  <c r="B7879" i="21"/>
  <c r="B7671" i="21"/>
  <c r="B7681" i="21"/>
  <c r="D7474" i="21"/>
  <c r="C7474" i="21"/>
  <c r="B7475" i="21" s="1"/>
  <c r="D7464" i="21"/>
  <c r="C7464" i="21"/>
  <c r="B7465" i="21" s="1"/>
  <c r="B7370" i="21"/>
  <c r="B7360" i="21"/>
  <c r="E7775" i="21" l="1"/>
  <c r="D7775" i="21"/>
  <c r="C7775" i="21"/>
  <c r="D7785" i="21"/>
  <c r="C7785" i="21"/>
  <c r="E7785" i="21"/>
  <c r="E7879" i="21"/>
  <c r="D7879" i="21"/>
  <c r="C7879" i="21"/>
  <c r="D7889" i="21"/>
  <c r="C7889" i="21"/>
  <c r="E7889" i="21"/>
  <c r="E7671" i="21"/>
  <c r="D7671" i="21"/>
  <c r="C7671" i="21"/>
  <c r="D7681" i="21"/>
  <c r="C7681" i="21"/>
  <c r="E7681" i="21"/>
  <c r="E7464" i="21"/>
  <c r="D7465" i="21"/>
  <c r="E7465" i="21"/>
  <c r="E7474" i="21"/>
  <c r="D7475" i="21"/>
  <c r="E7475" i="21"/>
  <c r="D7360" i="21"/>
  <c r="C7360" i="21"/>
  <c r="B7361" i="21" s="1"/>
  <c r="D7370" i="21"/>
  <c r="C7370" i="21"/>
  <c r="B7371" i="21" s="1"/>
  <c r="B7786" i="21" l="1"/>
  <c r="B7776" i="21"/>
  <c r="B7890" i="21"/>
  <c r="B7880" i="21"/>
  <c r="B7682" i="21"/>
  <c r="B7672" i="21"/>
  <c r="A7451" i="21"/>
  <c r="E7370" i="21"/>
  <c r="D7371" i="21"/>
  <c r="E7371" i="21"/>
  <c r="E7360" i="21"/>
  <c r="D7361" i="21"/>
  <c r="E7361" i="21"/>
  <c r="L7340" i="21"/>
  <c r="L7339" i="21"/>
  <c r="L7338" i="21"/>
  <c r="L7337" i="21"/>
  <c r="L7336" i="21"/>
  <c r="L7335" i="21"/>
  <c r="L7334" i="21"/>
  <c r="L7333" i="21"/>
  <c r="L7332" i="21"/>
  <c r="L7330" i="21"/>
  <c r="L7329" i="21"/>
  <c r="L7328" i="21"/>
  <c r="L7327" i="21"/>
  <c r="L7326" i="21"/>
  <c r="L7325" i="21"/>
  <c r="L7324" i="21"/>
  <c r="L7323" i="21"/>
  <c r="L7322" i="21"/>
  <c r="L7320" i="21"/>
  <c r="L7319" i="21"/>
  <c r="L7318" i="21"/>
  <c r="L7317" i="21"/>
  <c r="L7316" i="21"/>
  <c r="L7315" i="21"/>
  <c r="L7314" i="21"/>
  <c r="L7313" i="21"/>
  <c r="L7312" i="21"/>
  <c r="L7310" i="21"/>
  <c r="L7309" i="21"/>
  <c r="L7308" i="21"/>
  <c r="L7307" i="21"/>
  <c r="L7306" i="21"/>
  <c r="L7305" i="21"/>
  <c r="L7304" i="21"/>
  <c r="L7303" i="21"/>
  <c r="L7302" i="21"/>
  <c r="L7300" i="21"/>
  <c r="L7299" i="21"/>
  <c r="L7298" i="21"/>
  <c r="L7297" i="21"/>
  <c r="L7296" i="21"/>
  <c r="L7295" i="21"/>
  <c r="L7294" i="21"/>
  <c r="L7293" i="21"/>
  <c r="L7292" i="21"/>
  <c r="L7290" i="21"/>
  <c r="L7289" i="21"/>
  <c r="L7288" i="21"/>
  <c r="L7287" i="21"/>
  <c r="L7286" i="21"/>
  <c r="L7285" i="21"/>
  <c r="L7284" i="21"/>
  <c r="L7283" i="21"/>
  <c r="L7282" i="21"/>
  <c r="L7280" i="21"/>
  <c r="L7279" i="21"/>
  <c r="L7278" i="21"/>
  <c r="L7277" i="21"/>
  <c r="L7276" i="21"/>
  <c r="L7275" i="21"/>
  <c r="L7274" i="21"/>
  <c r="L7273" i="21"/>
  <c r="L7272" i="21"/>
  <c r="L7270" i="21"/>
  <c r="L7269" i="21"/>
  <c r="L7268" i="21"/>
  <c r="L7267" i="21"/>
  <c r="L7266" i="21"/>
  <c r="L7265" i="21"/>
  <c r="L7264" i="21"/>
  <c r="L7263" i="21"/>
  <c r="L7262" i="21"/>
  <c r="L7260" i="21"/>
  <c r="L7259" i="21"/>
  <c r="L7258" i="21"/>
  <c r="L7257" i="21"/>
  <c r="L7256" i="21"/>
  <c r="L7255" i="21"/>
  <c r="L7254" i="21"/>
  <c r="L7253" i="21"/>
  <c r="L7237" i="21"/>
  <c r="L7236" i="21"/>
  <c r="L7235" i="21"/>
  <c r="L7234" i="21"/>
  <c r="L7233" i="21"/>
  <c r="L7232" i="21"/>
  <c r="L7231" i="21"/>
  <c r="L7230" i="21"/>
  <c r="L7229" i="21"/>
  <c r="L7227" i="21"/>
  <c r="L7226" i="21"/>
  <c r="L7225" i="21"/>
  <c r="L7224" i="21"/>
  <c r="L7223" i="21"/>
  <c r="L7222" i="21"/>
  <c r="L7221" i="21"/>
  <c r="L7220" i="21"/>
  <c r="L7219" i="21"/>
  <c r="L7217" i="21"/>
  <c r="L7216" i="21"/>
  <c r="L7215" i="21"/>
  <c r="L7214" i="21"/>
  <c r="L7213" i="21"/>
  <c r="L7212" i="21"/>
  <c r="L7211" i="21"/>
  <c r="L7210" i="21"/>
  <c r="L7209" i="21"/>
  <c r="L7207" i="21"/>
  <c r="L7206" i="21"/>
  <c r="L7205" i="21"/>
  <c r="L7204" i="21"/>
  <c r="L7203" i="21"/>
  <c r="L7202" i="21"/>
  <c r="L7201" i="21"/>
  <c r="L7200" i="21"/>
  <c r="L7199" i="21"/>
  <c r="L7197" i="21"/>
  <c r="L7196" i="21"/>
  <c r="L7195" i="21"/>
  <c r="L7194" i="21"/>
  <c r="L7193" i="21"/>
  <c r="L7192" i="21"/>
  <c r="L7191" i="21"/>
  <c r="L7190" i="21"/>
  <c r="L7189" i="21"/>
  <c r="L7187" i="21"/>
  <c r="L7186" i="21"/>
  <c r="L7185" i="21"/>
  <c r="L7184" i="21"/>
  <c r="L7183" i="21"/>
  <c r="L7182" i="21"/>
  <c r="L7181" i="21"/>
  <c r="L7180" i="21"/>
  <c r="L7179" i="21"/>
  <c r="L7177" i="21"/>
  <c r="L7176" i="21"/>
  <c r="L7175" i="21"/>
  <c r="L7174" i="21"/>
  <c r="L7173" i="21"/>
  <c r="L7172" i="21"/>
  <c r="L7171" i="21"/>
  <c r="L7170" i="21"/>
  <c r="L7169" i="21"/>
  <c r="L7167" i="21"/>
  <c r="L7166" i="21"/>
  <c r="L7165" i="21"/>
  <c r="L7164" i="21"/>
  <c r="L7163" i="21"/>
  <c r="L7162" i="21"/>
  <c r="L7161" i="21"/>
  <c r="L7160" i="21"/>
  <c r="L7159" i="21"/>
  <c r="L7157" i="21"/>
  <c r="L7156" i="21"/>
  <c r="L7155" i="21"/>
  <c r="L7154" i="21"/>
  <c r="L7153" i="21"/>
  <c r="L7152" i="21"/>
  <c r="L7151" i="21"/>
  <c r="L7150" i="21"/>
  <c r="L7134" i="21"/>
  <c r="L7133" i="21"/>
  <c r="L7132" i="21"/>
  <c r="L7131" i="21"/>
  <c r="L7130" i="21"/>
  <c r="L7129" i="21"/>
  <c r="L7128" i="21"/>
  <c r="L7127" i="21"/>
  <c r="L7126" i="21"/>
  <c r="L7124" i="21"/>
  <c r="L7123" i="21"/>
  <c r="L7122" i="21"/>
  <c r="L7121" i="21"/>
  <c r="L7120" i="21"/>
  <c r="L7119" i="21"/>
  <c r="L7118" i="21"/>
  <c r="L7117" i="21"/>
  <c r="L7116" i="21"/>
  <c r="L7114" i="21"/>
  <c r="L7113" i="21"/>
  <c r="L7112" i="21"/>
  <c r="L7111" i="21"/>
  <c r="L7110" i="21"/>
  <c r="L7109" i="21"/>
  <c r="L7108" i="21"/>
  <c r="L7107" i="21"/>
  <c r="L7106" i="21"/>
  <c r="L7104" i="21"/>
  <c r="L7103" i="21"/>
  <c r="L7102" i="21"/>
  <c r="L7101" i="21"/>
  <c r="L7100" i="21"/>
  <c r="L7099" i="21"/>
  <c r="L7098" i="21"/>
  <c r="L7097" i="21"/>
  <c r="L7096" i="21"/>
  <c r="L7094" i="21"/>
  <c r="L7093" i="21"/>
  <c r="L7092" i="21"/>
  <c r="L7091" i="21"/>
  <c r="L7090" i="21"/>
  <c r="L7089" i="21"/>
  <c r="L7088" i="21"/>
  <c r="L7087" i="21"/>
  <c r="L7086" i="21"/>
  <c r="L7084" i="21"/>
  <c r="L7083" i="21"/>
  <c r="L7082" i="21"/>
  <c r="L7081" i="21"/>
  <c r="L7080" i="21"/>
  <c r="L7079" i="21"/>
  <c r="L7078" i="21"/>
  <c r="L7077" i="21"/>
  <c r="L7076" i="21"/>
  <c r="L7074" i="21"/>
  <c r="L7073" i="21"/>
  <c r="L7072" i="21"/>
  <c r="L7071" i="21"/>
  <c r="L7070" i="21"/>
  <c r="L7069" i="21"/>
  <c r="L7068" i="21"/>
  <c r="L7067" i="21"/>
  <c r="L7066" i="21"/>
  <c r="L7064" i="21"/>
  <c r="L7063" i="21"/>
  <c r="L7062" i="21"/>
  <c r="L7061" i="21"/>
  <c r="L7060" i="21"/>
  <c r="L7059" i="21"/>
  <c r="L7058" i="21"/>
  <c r="L7057" i="21"/>
  <c r="L7056" i="21"/>
  <c r="L7054" i="21"/>
  <c r="L7053" i="21"/>
  <c r="L7052" i="21"/>
  <c r="L7051" i="21"/>
  <c r="L7050" i="21"/>
  <c r="L7049" i="21"/>
  <c r="L7048" i="21"/>
  <c r="L7047" i="21"/>
  <c r="D7776" i="21" l="1"/>
  <c r="C7776" i="21"/>
  <c r="B7777" i="21" s="1"/>
  <c r="D7786" i="21"/>
  <c r="C7786" i="21"/>
  <c r="B7787" i="21" s="1"/>
  <c r="D7880" i="21"/>
  <c r="C7880" i="21"/>
  <c r="B7881" i="21" s="1"/>
  <c r="D7890" i="21"/>
  <c r="C7890" i="21"/>
  <c r="B7891" i="21" s="1"/>
  <c r="D7672" i="21"/>
  <c r="C7672" i="21"/>
  <c r="B7673" i="21" s="1"/>
  <c r="D7682" i="21"/>
  <c r="C7682" i="21"/>
  <c r="B7683" i="21" s="1"/>
  <c r="A7347" i="21"/>
  <c r="E7786" i="21" l="1"/>
  <c r="D7787" i="21"/>
  <c r="E7787" i="21"/>
  <c r="E7776" i="21"/>
  <c r="D7777" i="21"/>
  <c r="E7777" i="21"/>
  <c r="E7890" i="21"/>
  <c r="D7891" i="21"/>
  <c r="E7891" i="21"/>
  <c r="E7880" i="21"/>
  <c r="D7881" i="21"/>
  <c r="E7881" i="21"/>
  <c r="E7682" i="21"/>
  <c r="D7683" i="21"/>
  <c r="E7683" i="21"/>
  <c r="E7672" i="21"/>
  <c r="D7673" i="21"/>
  <c r="E7673" i="21"/>
  <c r="A7763" i="21" l="1"/>
  <c r="A7659" i="21"/>
  <c r="A7867" i="21"/>
  <c r="L7031" i="21"/>
  <c r="L7030" i="21"/>
  <c r="L7029" i="21"/>
  <c r="L7028" i="21"/>
  <c r="L7027" i="21"/>
  <c r="L7026" i="21"/>
  <c r="L7025" i="21"/>
  <c r="L7024" i="21"/>
  <c r="L7023" i="21"/>
  <c r="L7021" i="21"/>
  <c r="L7020" i="21"/>
  <c r="L7019" i="21"/>
  <c r="L7018" i="21"/>
  <c r="L7017" i="21"/>
  <c r="L7016" i="21"/>
  <c r="L7015" i="21"/>
  <c r="L7014" i="21"/>
  <c r="L7013" i="21"/>
  <c r="L7011" i="21"/>
  <c r="L7010" i="21"/>
  <c r="L7009" i="21"/>
  <c r="L7008" i="21"/>
  <c r="L7007" i="21"/>
  <c r="L7006" i="21"/>
  <c r="L7005" i="21"/>
  <c r="L7004" i="21"/>
  <c r="L7003" i="21"/>
  <c r="L7001" i="21"/>
  <c r="L7000" i="21"/>
  <c r="L6999" i="21"/>
  <c r="L6998" i="21"/>
  <c r="L6997" i="21"/>
  <c r="L6996" i="21"/>
  <c r="L6995" i="21"/>
  <c r="L6994" i="21"/>
  <c r="L6993" i="21"/>
  <c r="L6991" i="21"/>
  <c r="L6990" i="21"/>
  <c r="L6989" i="21"/>
  <c r="L6988" i="21"/>
  <c r="L6987" i="21"/>
  <c r="L6986" i="21"/>
  <c r="L6985" i="21"/>
  <c r="L6984" i="21"/>
  <c r="L6983" i="21"/>
  <c r="L6981" i="21"/>
  <c r="L6980" i="21"/>
  <c r="L6979" i="21"/>
  <c r="L6978" i="21"/>
  <c r="L6977" i="21"/>
  <c r="L6976" i="21"/>
  <c r="L6975" i="21"/>
  <c r="L6974" i="21"/>
  <c r="L6973" i="21"/>
  <c r="L6971" i="21"/>
  <c r="L6970" i="21"/>
  <c r="L6969" i="21"/>
  <c r="L6968" i="21"/>
  <c r="L6967" i="21"/>
  <c r="L6966" i="21"/>
  <c r="L6965" i="21"/>
  <c r="L6964" i="21"/>
  <c r="L6963" i="21"/>
  <c r="L6961" i="21"/>
  <c r="L6960" i="21"/>
  <c r="L6959" i="21"/>
  <c r="L6958" i="21"/>
  <c r="L6957" i="21"/>
  <c r="L6956" i="21"/>
  <c r="L6955" i="21"/>
  <c r="L6954" i="21"/>
  <c r="L6953" i="21"/>
  <c r="L6951" i="21"/>
  <c r="L6950" i="21"/>
  <c r="L6949" i="21"/>
  <c r="L6948" i="21"/>
  <c r="L6947" i="21"/>
  <c r="L6946" i="21"/>
  <c r="L6945" i="21"/>
  <c r="L6944" i="21"/>
  <c r="L6928" i="21"/>
  <c r="L6927" i="21"/>
  <c r="L6926" i="21"/>
  <c r="L6925" i="21"/>
  <c r="L6924" i="21"/>
  <c r="L6923" i="21"/>
  <c r="L6922" i="21"/>
  <c r="L6921" i="21"/>
  <c r="L6920" i="21"/>
  <c r="L6918" i="21"/>
  <c r="L6917" i="21"/>
  <c r="L6916" i="21"/>
  <c r="L6915" i="21"/>
  <c r="L6914" i="21"/>
  <c r="L6913" i="21"/>
  <c r="L6912" i="21"/>
  <c r="L6911" i="21"/>
  <c r="L6910" i="21"/>
  <c r="L6908" i="21"/>
  <c r="L6907" i="21"/>
  <c r="L6906" i="21"/>
  <c r="L6905" i="21"/>
  <c r="L6904" i="21"/>
  <c r="L6903" i="21"/>
  <c r="L6902" i="21"/>
  <c r="L6901" i="21"/>
  <c r="L6900" i="21"/>
  <c r="L6898" i="21"/>
  <c r="L6897" i="21"/>
  <c r="L6896" i="21"/>
  <c r="L6895" i="21"/>
  <c r="L6894" i="21"/>
  <c r="L6893" i="21"/>
  <c r="L6892" i="21"/>
  <c r="L6891" i="21"/>
  <c r="L6890" i="21"/>
  <c r="L6888" i="21"/>
  <c r="L6887" i="21"/>
  <c r="L6886" i="21"/>
  <c r="L6885" i="21"/>
  <c r="L6884" i="21"/>
  <c r="L6883" i="21"/>
  <c r="L6882" i="21"/>
  <c r="L6881" i="21"/>
  <c r="L6880" i="21"/>
  <c r="L6878" i="21"/>
  <c r="L6877" i="21"/>
  <c r="L6876" i="21"/>
  <c r="L6875" i="21"/>
  <c r="L6874" i="21"/>
  <c r="L6873" i="21"/>
  <c r="L6872" i="21"/>
  <c r="L6871" i="21"/>
  <c r="L6870" i="21"/>
  <c r="L6868" i="21"/>
  <c r="L6867" i="21"/>
  <c r="L6866" i="21"/>
  <c r="L6865" i="21"/>
  <c r="L6864" i="21"/>
  <c r="L6863" i="21"/>
  <c r="L6862" i="21"/>
  <c r="L6861" i="21"/>
  <c r="L6860" i="21"/>
  <c r="L6858" i="21"/>
  <c r="L6857" i="21"/>
  <c r="L6856" i="21"/>
  <c r="L6855" i="21"/>
  <c r="L6854" i="21"/>
  <c r="L6853" i="21"/>
  <c r="L6852" i="21"/>
  <c r="L6851" i="21"/>
  <c r="L6850" i="21"/>
  <c r="L6848" i="21"/>
  <c r="L6847" i="21"/>
  <c r="L6846" i="21"/>
  <c r="L6845" i="21"/>
  <c r="L6844" i="21"/>
  <c r="L6843" i="21"/>
  <c r="L6842" i="21"/>
  <c r="L6841" i="21"/>
  <c r="L6825" i="21"/>
  <c r="L6824" i="21"/>
  <c r="L6823" i="21"/>
  <c r="L6822" i="21"/>
  <c r="L6821" i="21"/>
  <c r="L6820" i="21"/>
  <c r="L6819" i="21"/>
  <c r="L6818" i="21"/>
  <c r="L6817" i="21"/>
  <c r="L6815" i="21"/>
  <c r="L6814" i="21"/>
  <c r="L6813" i="21"/>
  <c r="L6812" i="21"/>
  <c r="L6811" i="21"/>
  <c r="L6810" i="21"/>
  <c r="L6809" i="21"/>
  <c r="L6808" i="21"/>
  <c r="L6807" i="21"/>
  <c r="L6805" i="21"/>
  <c r="L6804" i="21"/>
  <c r="L6803" i="21"/>
  <c r="L6802" i="21"/>
  <c r="L6801" i="21"/>
  <c r="L6800" i="21"/>
  <c r="L6799" i="21"/>
  <c r="L6798" i="21"/>
  <c r="L6797" i="21"/>
  <c r="L6795" i="21"/>
  <c r="L6794" i="21"/>
  <c r="L6793" i="21"/>
  <c r="L6792" i="21"/>
  <c r="L6791" i="21"/>
  <c r="L6790" i="21"/>
  <c r="L6789" i="21"/>
  <c r="L6788" i="21"/>
  <c r="L6787" i="21"/>
  <c r="L6785" i="21"/>
  <c r="L6784" i="21"/>
  <c r="L6783" i="21"/>
  <c r="L6782" i="21"/>
  <c r="L6781" i="21"/>
  <c r="L6780" i="21"/>
  <c r="L6779" i="21"/>
  <c r="L6778" i="21"/>
  <c r="L6777" i="21"/>
  <c r="L6775" i="21"/>
  <c r="L6774" i="21"/>
  <c r="L6773" i="21"/>
  <c r="L6772" i="21"/>
  <c r="L6771" i="21"/>
  <c r="L6770" i="21"/>
  <c r="L6769" i="21"/>
  <c r="L6768" i="21"/>
  <c r="L6767" i="21"/>
  <c r="L6765" i="21"/>
  <c r="L6764" i="21"/>
  <c r="L6763" i="21"/>
  <c r="L6762" i="21"/>
  <c r="L6761" i="21"/>
  <c r="L6760" i="21"/>
  <c r="L6759" i="21"/>
  <c r="L6758" i="21"/>
  <c r="L6757" i="21"/>
  <c r="L6755" i="21"/>
  <c r="L6754" i="21"/>
  <c r="L6753" i="21"/>
  <c r="L6752" i="21"/>
  <c r="L6751" i="21"/>
  <c r="L6750" i="21"/>
  <c r="L6749" i="21"/>
  <c r="L6748" i="21"/>
  <c r="L6747" i="21"/>
  <c r="L6745" i="21"/>
  <c r="L6744" i="21"/>
  <c r="L6743" i="21"/>
  <c r="L6742" i="21"/>
  <c r="L6741" i="21"/>
  <c r="L6740" i="21"/>
  <c r="L6739" i="21"/>
  <c r="L6738" i="21"/>
  <c r="L6722" i="21"/>
  <c r="L6721" i="21"/>
  <c r="L6720" i="21"/>
  <c r="L6719" i="21"/>
  <c r="L6718" i="21"/>
  <c r="L6717" i="21"/>
  <c r="L6716" i="21"/>
  <c r="L6715" i="21"/>
  <c r="L6714" i="21"/>
  <c r="L6712" i="21"/>
  <c r="L6711" i="21"/>
  <c r="L6710" i="21"/>
  <c r="L6709" i="21"/>
  <c r="L6708" i="21"/>
  <c r="L6707" i="21"/>
  <c r="L6706" i="21"/>
  <c r="L6705" i="21"/>
  <c r="L6704" i="21"/>
  <c r="L6702" i="21"/>
  <c r="L6701" i="21"/>
  <c r="L6700" i="21"/>
  <c r="L6699" i="21"/>
  <c r="L6698" i="21"/>
  <c r="L6697" i="21"/>
  <c r="L6696" i="21"/>
  <c r="L6695" i="21"/>
  <c r="L6694" i="21"/>
  <c r="L6692" i="21"/>
  <c r="L6691" i="21"/>
  <c r="L6690" i="21"/>
  <c r="L6689" i="21"/>
  <c r="L6688" i="21"/>
  <c r="L6687" i="21"/>
  <c r="L6686" i="21"/>
  <c r="L6685" i="21"/>
  <c r="L6684" i="21"/>
  <c r="L6682" i="21"/>
  <c r="L6681" i="21"/>
  <c r="L6680" i="21"/>
  <c r="L6679" i="21"/>
  <c r="L6678" i="21"/>
  <c r="L6677" i="21"/>
  <c r="L6676" i="21"/>
  <c r="L6675" i="21"/>
  <c r="L6674" i="21"/>
  <c r="L6672" i="21"/>
  <c r="L6671" i="21"/>
  <c r="L6670" i="21"/>
  <c r="L6669" i="21"/>
  <c r="L6668" i="21"/>
  <c r="L6667" i="21"/>
  <c r="L6666" i="21"/>
  <c r="L6665" i="21"/>
  <c r="L6664" i="21"/>
  <c r="L6662" i="21"/>
  <c r="L6661" i="21"/>
  <c r="L6660" i="21"/>
  <c r="L6659" i="21"/>
  <c r="L6658" i="21"/>
  <c r="L6657" i="21"/>
  <c r="L6656" i="21"/>
  <c r="L6655" i="21"/>
  <c r="L6654" i="21"/>
  <c r="L6652" i="21"/>
  <c r="L6651" i="21"/>
  <c r="L6650" i="21"/>
  <c r="L6649" i="21"/>
  <c r="L6648" i="21"/>
  <c r="L6647" i="21"/>
  <c r="L6646" i="21"/>
  <c r="L6645" i="21"/>
  <c r="L6644" i="21"/>
  <c r="L6642" i="21"/>
  <c r="L6641" i="21"/>
  <c r="L6640" i="21"/>
  <c r="L6639" i="21"/>
  <c r="L6638" i="21"/>
  <c r="L6637" i="21"/>
  <c r="L6636" i="21"/>
  <c r="L6635" i="21"/>
  <c r="L6619" i="21"/>
  <c r="L6618" i="21"/>
  <c r="L6617" i="21"/>
  <c r="L6616" i="21"/>
  <c r="L6615" i="21"/>
  <c r="L6614" i="21"/>
  <c r="L6613" i="21"/>
  <c r="L6612" i="21"/>
  <c r="L6611" i="21"/>
  <c r="L6609" i="21"/>
  <c r="L6608" i="21"/>
  <c r="L6607" i="21"/>
  <c r="L6606" i="21"/>
  <c r="L6605" i="21"/>
  <c r="L6604" i="21"/>
  <c r="L6603" i="21"/>
  <c r="L6602" i="21"/>
  <c r="L6601" i="21"/>
  <c r="L6599" i="21"/>
  <c r="L6598" i="21"/>
  <c r="L6597" i="21"/>
  <c r="L6596" i="21"/>
  <c r="L6595" i="21"/>
  <c r="L6594" i="21"/>
  <c r="L6593" i="21"/>
  <c r="L6592" i="21"/>
  <c r="L6591" i="21"/>
  <c r="L6589" i="21"/>
  <c r="L6588" i="21"/>
  <c r="L6587" i="21"/>
  <c r="L6586" i="21"/>
  <c r="L6585" i="21"/>
  <c r="L6584" i="21"/>
  <c r="L6583" i="21"/>
  <c r="L6582" i="21"/>
  <c r="L6581" i="21"/>
  <c r="L6579" i="21"/>
  <c r="L6578" i="21"/>
  <c r="L6577" i="21"/>
  <c r="L6576" i="21"/>
  <c r="L6575" i="21"/>
  <c r="L6574" i="21"/>
  <c r="L6573" i="21"/>
  <c r="L6572" i="21"/>
  <c r="L6571" i="21"/>
  <c r="L6569" i="21"/>
  <c r="L6568" i="21"/>
  <c r="L6567" i="21"/>
  <c r="L6566" i="21"/>
  <c r="L6565" i="21"/>
  <c r="L6564" i="21"/>
  <c r="L6563" i="21"/>
  <c r="L6562" i="21"/>
  <c r="L6561" i="21"/>
  <c r="L6559" i="21"/>
  <c r="L6558" i="21"/>
  <c r="L6557" i="21"/>
  <c r="L6556" i="21"/>
  <c r="L6555" i="21"/>
  <c r="L6554" i="21"/>
  <c r="L6553" i="21"/>
  <c r="L6552" i="21"/>
  <c r="L6551" i="21"/>
  <c r="L6549" i="21"/>
  <c r="L6548" i="21"/>
  <c r="L6547" i="21"/>
  <c r="L6546" i="21"/>
  <c r="L6545" i="21"/>
  <c r="L6544" i="21"/>
  <c r="L6543" i="21"/>
  <c r="L6542" i="21"/>
  <c r="L6541" i="21"/>
  <c r="L6539" i="21"/>
  <c r="L6538" i="21"/>
  <c r="L6537" i="21"/>
  <c r="L6536" i="21"/>
  <c r="L6535" i="21"/>
  <c r="L6534" i="21"/>
  <c r="L6533" i="21"/>
  <c r="L6532" i="21"/>
  <c r="L6516" i="21"/>
  <c r="L6515" i="21"/>
  <c r="L6514" i="21"/>
  <c r="L6513" i="21"/>
  <c r="L6512" i="21"/>
  <c r="L6511" i="21"/>
  <c r="L6510" i="21"/>
  <c r="L6509" i="21"/>
  <c r="L6508" i="21"/>
  <c r="L6506" i="21"/>
  <c r="L6505" i="21"/>
  <c r="L6504" i="21"/>
  <c r="L6503" i="21"/>
  <c r="L6502" i="21"/>
  <c r="L6501" i="21"/>
  <c r="L6500" i="21"/>
  <c r="L6499" i="21"/>
  <c r="L6498" i="21"/>
  <c r="L6496" i="21"/>
  <c r="L6495" i="21"/>
  <c r="L6494" i="21"/>
  <c r="L6493" i="21"/>
  <c r="L6492" i="21"/>
  <c r="L6491" i="21"/>
  <c r="L6490" i="21"/>
  <c r="L6489" i="21"/>
  <c r="L6488" i="21"/>
  <c r="L6486" i="21"/>
  <c r="L6485" i="21"/>
  <c r="L6484" i="21"/>
  <c r="L6483" i="21"/>
  <c r="L6482" i="21"/>
  <c r="L6481" i="21"/>
  <c r="L6480" i="21"/>
  <c r="L6479" i="21"/>
  <c r="L6478" i="21"/>
  <c r="L6476" i="21"/>
  <c r="L6475" i="21"/>
  <c r="L6474" i="21"/>
  <c r="L6473" i="21"/>
  <c r="L6472" i="21"/>
  <c r="L6471" i="21"/>
  <c r="L6470" i="21"/>
  <c r="L6469" i="21"/>
  <c r="L6468" i="21"/>
  <c r="L6466" i="21"/>
  <c r="L6465" i="21"/>
  <c r="L6464" i="21"/>
  <c r="L6463" i="21"/>
  <c r="L6462" i="21"/>
  <c r="L6461" i="21"/>
  <c r="L6460" i="21"/>
  <c r="L6459" i="21"/>
  <c r="L6458" i="21"/>
  <c r="L6456" i="21"/>
  <c r="L6455" i="21"/>
  <c r="L6454" i="21"/>
  <c r="L6453" i="21"/>
  <c r="L6452" i="21"/>
  <c r="L6451" i="21"/>
  <c r="L6450" i="21"/>
  <c r="L6449" i="21"/>
  <c r="L6448" i="21"/>
  <c r="L6446" i="21"/>
  <c r="L6445" i="21"/>
  <c r="L6444" i="21"/>
  <c r="L6443" i="21"/>
  <c r="L6442" i="21"/>
  <c r="L6441" i="21"/>
  <c r="L6440" i="21"/>
  <c r="L6439" i="21"/>
  <c r="L6438" i="21"/>
  <c r="L6436" i="21"/>
  <c r="L6435" i="21"/>
  <c r="L6434" i="21"/>
  <c r="L6433" i="21"/>
  <c r="L6432" i="21"/>
  <c r="L6431" i="21"/>
  <c r="L6430" i="21"/>
  <c r="L6429" i="21"/>
  <c r="L6413" i="21"/>
  <c r="L6412" i="21"/>
  <c r="L6411" i="21"/>
  <c r="L6410" i="21"/>
  <c r="L6409" i="21"/>
  <c r="L6408" i="21"/>
  <c r="L6407" i="21"/>
  <c r="L6406" i="21"/>
  <c r="L6405" i="21"/>
  <c r="L6403" i="21"/>
  <c r="L6402" i="21"/>
  <c r="L6401" i="21"/>
  <c r="L6400" i="21"/>
  <c r="L6399" i="21"/>
  <c r="L6398" i="21"/>
  <c r="L6397" i="21"/>
  <c r="L6396" i="21"/>
  <c r="L6395" i="21"/>
  <c r="L6393" i="21"/>
  <c r="L6392" i="21"/>
  <c r="L6391" i="21"/>
  <c r="L6390" i="21"/>
  <c r="L6389" i="21"/>
  <c r="L6388" i="21"/>
  <c r="L6387" i="21"/>
  <c r="L6386" i="21"/>
  <c r="L6385" i="21"/>
  <c r="L6383" i="21"/>
  <c r="L6382" i="21"/>
  <c r="L6381" i="21"/>
  <c r="L6380" i="21"/>
  <c r="L6379" i="21"/>
  <c r="L6378" i="21"/>
  <c r="L6377" i="21"/>
  <c r="L6376" i="21"/>
  <c r="L6375" i="21"/>
  <c r="L6373" i="21"/>
  <c r="L6372" i="21"/>
  <c r="L6371" i="21"/>
  <c r="L6370" i="21"/>
  <c r="L6369" i="21"/>
  <c r="L6368" i="21"/>
  <c r="L6367" i="21"/>
  <c r="L6366" i="21"/>
  <c r="L6365" i="21"/>
  <c r="L6363" i="21"/>
  <c r="L6362" i="21"/>
  <c r="L6361" i="21"/>
  <c r="L6360" i="21"/>
  <c r="L6359" i="21"/>
  <c r="L6358" i="21"/>
  <c r="L6357" i="21"/>
  <c r="L6356" i="21"/>
  <c r="L6355" i="21"/>
  <c r="L6353" i="21"/>
  <c r="L6352" i="21"/>
  <c r="L6351" i="21"/>
  <c r="L6350" i="21"/>
  <c r="L6349" i="21"/>
  <c r="L6348" i="21"/>
  <c r="L6347" i="21"/>
  <c r="L6346" i="21"/>
  <c r="L6345" i="21"/>
  <c r="L6343" i="21"/>
  <c r="L6342" i="21"/>
  <c r="L6341" i="21"/>
  <c r="L6340" i="21"/>
  <c r="L6339" i="21"/>
  <c r="L6338" i="21"/>
  <c r="L6337" i="21"/>
  <c r="L6336" i="21"/>
  <c r="L6335" i="21"/>
  <c r="L6333" i="21"/>
  <c r="L6332" i="21"/>
  <c r="L6331" i="21"/>
  <c r="L6330" i="21"/>
  <c r="L6329" i="21"/>
  <c r="L6328" i="21"/>
  <c r="L6327" i="21"/>
  <c r="L6326" i="21"/>
  <c r="L6310" i="21"/>
  <c r="L6309" i="21"/>
  <c r="L6308" i="21"/>
  <c r="L6307" i="21"/>
  <c r="L6306" i="21"/>
  <c r="L6305" i="21"/>
  <c r="L6304" i="21"/>
  <c r="L6303" i="21"/>
  <c r="L6302" i="21"/>
  <c r="L6300" i="21"/>
  <c r="L6299" i="21"/>
  <c r="L6298" i="21"/>
  <c r="L6297" i="21"/>
  <c r="L6296" i="21"/>
  <c r="L6295" i="21"/>
  <c r="L6294" i="21"/>
  <c r="L6293" i="21"/>
  <c r="L6292" i="21"/>
  <c r="L6290" i="21"/>
  <c r="L6289" i="21"/>
  <c r="L6288" i="21"/>
  <c r="L6287" i="21"/>
  <c r="L6286" i="21"/>
  <c r="L6285" i="21"/>
  <c r="L6284" i="21"/>
  <c r="L6283" i="21"/>
  <c r="L6282" i="21"/>
  <c r="L6280" i="21"/>
  <c r="L6279" i="21"/>
  <c r="L6278" i="21"/>
  <c r="L6277" i="21"/>
  <c r="L6276" i="21"/>
  <c r="L6275" i="21"/>
  <c r="L6274" i="21"/>
  <c r="L6273" i="21"/>
  <c r="L6272" i="21"/>
  <c r="L6270" i="21"/>
  <c r="L6269" i="21"/>
  <c r="L6268" i="21"/>
  <c r="L6267" i="21"/>
  <c r="L6266" i="21"/>
  <c r="L6265" i="21"/>
  <c r="L6264" i="21"/>
  <c r="L6263" i="21"/>
  <c r="L6262" i="21"/>
  <c r="L6260" i="21"/>
  <c r="L6259" i="21"/>
  <c r="L6258" i="21"/>
  <c r="L6257" i="21"/>
  <c r="L6256" i="21"/>
  <c r="L6255" i="21"/>
  <c r="L6254" i="21"/>
  <c r="L6253" i="21"/>
  <c r="L6252" i="21"/>
  <c r="L6250" i="21"/>
  <c r="L6249" i="21"/>
  <c r="L6248" i="21"/>
  <c r="L6247" i="21"/>
  <c r="L6246" i="21"/>
  <c r="L6245" i="21"/>
  <c r="L6244" i="21"/>
  <c r="L6243" i="21"/>
  <c r="L6242" i="21"/>
  <c r="L6240" i="21"/>
  <c r="L6239" i="21"/>
  <c r="L6238" i="21"/>
  <c r="L6237" i="21"/>
  <c r="L6236" i="21"/>
  <c r="L6235" i="21"/>
  <c r="L6234" i="21"/>
  <c r="L6233" i="21"/>
  <c r="L6232" i="21"/>
  <c r="L6230" i="21"/>
  <c r="L6229" i="21"/>
  <c r="L6228" i="21"/>
  <c r="L6227" i="21"/>
  <c r="L6226" i="21"/>
  <c r="L6225" i="21"/>
  <c r="L6224" i="21"/>
  <c r="L6223" i="21"/>
  <c r="L6207" i="21"/>
  <c r="L6206" i="21"/>
  <c r="L6205" i="21"/>
  <c r="L6204" i="21"/>
  <c r="L6203" i="21"/>
  <c r="L6202" i="21"/>
  <c r="L6201" i="21"/>
  <c r="L6200" i="21"/>
  <c r="L6199" i="21"/>
  <c r="L6197" i="21"/>
  <c r="L6196" i="21"/>
  <c r="L6195" i="21"/>
  <c r="L6194" i="21"/>
  <c r="L6193" i="21"/>
  <c r="L6192" i="21"/>
  <c r="L6191" i="21"/>
  <c r="L6190" i="21"/>
  <c r="L6189" i="21"/>
  <c r="L6187" i="21"/>
  <c r="L6186" i="21"/>
  <c r="L6185" i="21"/>
  <c r="L6184" i="21"/>
  <c r="L6183" i="21"/>
  <c r="L6182" i="21"/>
  <c r="L6181" i="21"/>
  <c r="L6180" i="21"/>
  <c r="L6179" i="21"/>
  <c r="L6177" i="21"/>
  <c r="L6176" i="21"/>
  <c r="L6175" i="21"/>
  <c r="L6174" i="21"/>
  <c r="L6173" i="21"/>
  <c r="L6172" i="21"/>
  <c r="L6171" i="21"/>
  <c r="L6170" i="21"/>
  <c r="L6169" i="21"/>
  <c r="L6167" i="21"/>
  <c r="L6166" i="21"/>
  <c r="L6165" i="21"/>
  <c r="L6164" i="21"/>
  <c r="L6163" i="21"/>
  <c r="L6162" i="21"/>
  <c r="L6161" i="21"/>
  <c r="L6160" i="21"/>
  <c r="L6159" i="21"/>
  <c r="L6157" i="21"/>
  <c r="L6156" i="21"/>
  <c r="L6155" i="21"/>
  <c r="L6154" i="21"/>
  <c r="L6153" i="21"/>
  <c r="L6152" i="21"/>
  <c r="L6151" i="21"/>
  <c r="L6150" i="21"/>
  <c r="L6149" i="21"/>
  <c r="L6147" i="21"/>
  <c r="L6146" i="21"/>
  <c r="L6145" i="21"/>
  <c r="L6144" i="21"/>
  <c r="L6143" i="21"/>
  <c r="L6142" i="21"/>
  <c r="L6141" i="21"/>
  <c r="L6140" i="21"/>
  <c r="L6139" i="21"/>
  <c r="L6137" i="21"/>
  <c r="L6136" i="21"/>
  <c r="L6135" i="21"/>
  <c r="L6134" i="21"/>
  <c r="L6133" i="21"/>
  <c r="L6132" i="21"/>
  <c r="L6131" i="21"/>
  <c r="L6130" i="21"/>
  <c r="L6129" i="21"/>
  <c r="L6127" i="21"/>
  <c r="L6126" i="21"/>
  <c r="L6125" i="21"/>
  <c r="L6124" i="21"/>
  <c r="L6123" i="21"/>
  <c r="L6122" i="21"/>
  <c r="L6121" i="21"/>
  <c r="L6120" i="21"/>
  <c r="L6104" i="21"/>
  <c r="L6103" i="21"/>
  <c r="L6102" i="21"/>
  <c r="L6101" i="21"/>
  <c r="L6100" i="21"/>
  <c r="L6099" i="21"/>
  <c r="L6098" i="21"/>
  <c r="L6097" i="21"/>
  <c r="L6096" i="21"/>
  <c r="L6094" i="21"/>
  <c r="L6093" i="21"/>
  <c r="L6092" i="21"/>
  <c r="L6091" i="21"/>
  <c r="L6090" i="21"/>
  <c r="L6089" i="21"/>
  <c r="L6088" i="21"/>
  <c r="L6087" i="21"/>
  <c r="L6086" i="21"/>
  <c r="L6084" i="21"/>
  <c r="L6083" i="21"/>
  <c r="L6082" i="21"/>
  <c r="L6081" i="21"/>
  <c r="L6080" i="21"/>
  <c r="L6079" i="21"/>
  <c r="L6078" i="21"/>
  <c r="L6077" i="21"/>
  <c r="L6076" i="21"/>
  <c r="L6074" i="21"/>
  <c r="L6073" i="21"/>
  <c r="L6072" i="21"/>
  <c r="L6071" i="21"/>
  <c r="L6070" i="21"/>
  <c r="L6069" i="21"/>
  <c r="L6068" i="21"/>
  <c r="L6067" i="21"/>
  <c r="L6066" i="21"/>
  <c r="L6064" i="21"/>
  <c r="L6063" i="21"/>
  <c r="L6062" i="21"/>
  <c r="L6061" i="21"/>
  <c r="L6060" i="21"/>
  <c r="L6059" i="21"/>
  <c r="L6058" i="21"/>
  <c r="L6057" i="21"/>
  <c r="L6056" i="21"/>
  <c r="L6054" i="21"/>
  <c r="L6053" i="21"/>
  <c r="L6052" i="21"/>
  <c r="L6051" i="21"/>
  <c r="L6050" i="21"/>
  <c r="L6049" i="21"/>
  <c r="L6048" i="21"/>
  <c r="L6047" i="21"/>
  <c r="L6046" i="21"/>
  <c r="L6044" i="21"/>
  <c r="L6043" i="21"/>
  <c r="L6042" i="21"/>
  <c r="L6041" i="21"/>
  <c r="L6040" i="21"/>
  <c r="L6039" i="21"/>
  <c r="L6038" i="21"/>
  <c r="L6037" i="21"/>
  <c r="L6036" i="21"/>
  <c r="L6034" i="21"/>
  <c r="L6033" i="21"/>
  <c r="L6032" i="21"/>
  <c r="L6031" i="21"/>
  <c r="L6030" i="21"/>
  <c r="L6029" i="21"/>
  <c r="L6028" i="21"/>
  <c r="L6027" i="21"/>
  <c r="L6026" i="21"/>
  <c r="L6024" i="21"/>
  <c r="L6023" i="21"/>
  <c r="L6022" i="21"/>
  <c r="L6021" i="21"/>
  <c r="L6020" i="21"/>
  <c r="L6019" i="21"/>
  <c r="L6018" i="21"/>
  <c r="L6017" i="21"/>
  <c r="L6001" i="21"/>
  <c r="L6000" i="21"/>
  <c r="L5999" i="21"/>
  <c r="L5998" i="21"/>
  <c r="L5997" i="21"/>
  <c r="L5996" i="21"/>
  <c r="L5995" i="21"/>
  <c r="L5994" i="21"/>
  <c r="L5993" i="21"/>
  <c r="L5991" i="21"/>
  <c r="L5990" i="21"/>
  <c r="L5989" i="21"/>
  <c r="L5988" i="21"/>
  <c r="L5987" i="21"/>
  <c r="L5986" i="21"/>
  <c r="L5985" i="21"/>
  <c r="L5984" i="21"/>
  <c r="L5983" i="21"/>
  <c r="L5981" i="21"/>
  <c r="L5980" i="21"/>
  <c r="L5979" i="21"/>
  <c r="L5978" i="21"/>
  <c r="L5977" i="21"/>
  <c r="L5976" i="21"/>
  <c r="L5975" i="21"/>
  <c r="L5974" i="21"/>
  <c r="L5973" i="21"/>
  <c r="L5971" i="21"/>
  <c r="L5970" i="21"/>
  <c r="L5969" i="21"/>
  <c r="L5968" i="21"/>
  <c r="L5967" i="21"/>
  <c r="L5966" i="21"/>
  <c r="L5965" i="21"/>
  <c r="L5964" i="21"/>
  <c r="L5963" i="21"/>
  <c r="L5961" i="21"/>
  <c r="L5960" i="21"/>
  <c r="L5959" i="21"/>
  <c r="L5958" i="21"/>
  <c r="L5957" i="21"/>
  <c r="L5956" i="21"/>
  <c r="L5955" i="21"/>
  <c r="L5954" i="21"/>
  <c r="L5953" i="21"/>
  <c r="L5951" i="21"/>
  <c r="L5950" i="21"/>
  <c r="L5949" i="21"/>
  <c r="L5948" i="21"/>
  <c r="L5947" i="21"/>
  <c r="L5946" i="21"/>
  <c r="L5945" i="21"/>
  <c r="L5944" i="21"/>
  <c r="L5943" i="21"/>
  <c r="L5941" i="21"/>
  <c r="L5940" i="21"/>
  <c r="L5939" i="21"/>
  <c r="L5938" i="21"/>
  <c r="L5937" i="21"/>
  <c r="L5936" i="21"/>
  <c r="L5935" i="21"/>
  <c r="L5934" i="21"/>
  <c r="L5933" i="21"/>
  <c r="L5931" i="21"/>
  <c r="L5930" i="21"/>
  <c r="L5929" i="21"/>
  <c r="L5928" i="21"/>
  <c r="L5927" i="21"/>
  <c r="L5926" i="21"/>
  <c r="L5925" i="21"/>
  <c r="L5924" i="21"/>
  <c r="L5923" i="21"/>
  <c r="L5921" i="21"/>
  <c r="L5920" i="21"/>
  <c r="L5919" i="21"/>
  <c r="L5918" i="21"/>
  <c r="L5917" i="21"/>
  <c r="L5916" i="21"/>
  <c r="L5915" i="21"/>
  <c r="L5914" i="21"/>
  <c r="L5898" i="21"/>
  <c r="L5897" i="21"/>
  <c r="L5896" i="21"/>
  <c r="L5895" i="21"/>
  <c r="L5894" i="21"/>
  <c r="L5893" i="21"/>
  <c r="L5892" i="21"/>
  <c r="L5891" i="21"/>
  <c r="L5890" i="21"/>
  <c r="L5888" i="21"/>
  <c r="L5887" i="21"/>
  <c r="L5886" i="21"/>
  <c r="L5885" i="21"/>
  <c r="L5884" i="21"/>
  <c r="L5883" i="21"/>
  <c r="L5882" i="21"/>
  <c r="L5881" i="21"/>
  <c r="L5880" i="21"/>
  <c r="L5878" i="21"/>
  <c r="L5877" i="21"/>
  <c r="L5876" i="21"/>
  <c r="L5875" i="21"/>
  <c r="L5874" i="21"/>
  <c r="L5873" i="21"/>
  <c r="L5872" i="21"/>
  <c r="L5871" i="21"/>
  <c r="L5870" i="21"/>
  <c r="L5868" i="21"/>
  <c r="L5867" i="21"/>
  <c r="L5866" i="21"/>
  <c r="L5865" i="21"/>
  <c r="L5864" i="21"/>
  <c r="L5863" i="21"/>
  <c r="L5862" i="21"/>
  <c r="L5861" i="21"/>
  <c r="L5860" i="21"/>
  <c r="L5858" i="21"/>
  <c r="L5857" i="21"/>
  <c r="L5856" i="21"/>
  <c r="L5855" i="21"/>
  <c r="L5854" i="21"/>
  <c r="L5853" i="21"/>
  <c r="L5852" i="21"/>
  <c r="L5851" i="21"/>
  <c r="L5850" i="21"/>
  <c r="L5848" i="21"/>
  <c r="L5847" i="21"/>
  <c r="L5846" i="21"/>
  <c r="L5845" i="21"/>
  <c r="L5844" i="21"/>
  <c r="L5843" i="21"/>
  <c r="L5842" i="21"/>
  <c r="L5841" i="21"/>
  <c r="L5840" i="21"/>
  <c r="L5838" i="21"/>
  <c r="L5837" i="21"/>
  <c r="L5836" i="21"/>
  <c r="L5835" i="21"/>
  <c r="L5834" i="21"/>
  <c r="L5833" i="21"/>
  <c r="L5832" i="21"/>
  <c r="L5831" i="21"/>
  <c r="L5830" i="21"/>
  <c r="L5828" i="21"/>
  <c r="L5827" i="21"/>
  <c r="L5826" i="21"/>
  <c r="L5825" i="21"/>
  <c r="L5824" i="21"/>
  <c r="L5823" i="21"/>
  <c r="L5822" i="21"/>
  <c r="L5821" i="21"/>
  <c r="L5820" i="21"/>
  <c r="L5818" i="21"/>
  <c r="L5817" i="21"/>
  <c r="L5816" i="21"/>
  <c r="L5815" i="21"/>
  <c r="L5814" i="21"/>
  <c r="L5813" i="21"/>
  <c r="L5812" i="21"/>
  <c r="L5811" i="21"/>
  <c r="L5795" i="21"/>
  <c r="L5794" i="21"/>
  <c r="L5793" i="21"/>
  <c r="L5792" i="21"/>
  <c r="L5791" i="21"/>
  <c r="L5790" i="21"/>
  <c r="L5789" i="21"/>
  <c r="L5788" i="21"/>
  <c r="L5787" i="21"/>
  <c r="L5785" i="21"/>
  <c r="L5784" i="21"/>
  <c r="L5783" i="21"/>
  <c r="L5782" i="21"/>
  <c r="L5781" i="21"/>
  <c r="L5780" i="21"/>
  <c r="L5779" i="21"/>
  <c r="L5778" i="21"/>
  <c r="L5777" i="21"/>
  <c r="L5775" i="21"/>
  <c r="L5774" i="21"/>
  <c r="L5773" i="21"/>
  <c r="L5772" i="21"/>
  <c r="L5771" i="21"/>
  <c r="L5770" i="21"/>
  <c r="L5769" i="21"/>
  <c r="L5768" i="21"/>
  <c r="L5767" i="21"/>
  <c r="L5765" i="21"/>
  <c r="L5764" i="21"/>
  <c r="L5763" i="21"/>
  <c r="L5762" i="21"/>
  <c r="L5761" i="21"/>
  <c r="L5760" i="21"/>
  <c r="L5759" i="21"/>
  <c r="L5758" i="21"/>
  <c r="L5757" i="21"/>
  <c r="L5755" i="21"/>
  <c r="L5754" i="21"/>
  <c r="L5753" i="21"/>
  <c r="L5752" i="21"/>
  <c r="L5751" i="21"/>
  <c r="L5750" i="21"/>
  <c r="L5749" i="21"/>
  <c r="L5748" i="21"/>
  <c r="L5747" i="21"/>
  <c r="L5745" i="21"/>
  <c r="L5744" i="21"/>
  <c r="L5743" i="21"/>
  <c r="L5742" i="21"/>
  <c r="L5741" i="21"/>
  <c r="L5740" i="21"/>
  <c r="L5739" i="21"/>
  <c r="L5738" i="21"/>
  <c r="L5737" i="21"/>
  <c r="L5735" i="21"/>
  <c r="L5734" i="21"/>
  <c r="L5733" i="21"/>
  <c r="L5732" i="21"/>
  <c r="L5731" i="21"/>
  <c r="L5730" i="21"/>
  <c r="L5729" i="21"/>
  <c r="L5728" i="21"/>
  <c r="L5727" i="21"/>
  <c r="L5725" i="21"/>
  <c r="L5724" i="21"/>
  <c r="L5723" i="21"/>
  <c r="L5722" i="21"/>
  <c r="L5721" i="21"/>
  <c r="L5720" i="21"/>
  <c r="L5719" i="21"/>
  <c r="L5718" i="21"/>
  <c r="L5717" i="21"/>
  <c r="L5715" i="21"/>
  <c r="L5714" i="21"/>
  <c r="L5713" i="21"/>
  <c r="L5712" i="21"/>
  <c r="L5711" i="21"/>
  <c r="L5710" i="21"/>
  <c r="L5709" i="21"/>
  <c r="L5708" i="21"/>
  <c r="L5692" i="21"/>
  <c r="L5691" i="21"/>
  <c r="L5690" i="21"/>
  <c r="L5689" i="21"/>
  <c r="L5688" i="21"/>
  <c r="L5687" i="21"/>
  <c r="L5686" i="21"/>
  <c r="L5685" i="21"/>
  <c r="L5684" i="21"/>
  <c r="L5682" i="21"/>
  <c r="L5681" i="21"/>
  <c r="L5680" i="21"/>
  <c r="L5679" i="21"/>
  <c r="L5678" i="21"/>
  <c r="L5677" i="21"/>
  <c r="L5676" i="21"/>
  <c r="L5675" i="21"/>
  <c r="L5674" i="21"/>
  <c r="L5672" i="21"/>
  <c r="L5671" i="21"/>
  <c r="L5670" i="21"/>
  <c r="L5669" i="21"/>
  <c r="L5668" i="21"/>
  <c r="L5667" i="21"/>
  <c r="L5666" i="21"/>
  <c r="L5665" i="21"/>
  <c r="L5664" i="21"/>
  <c r="L5662" i="21"/>
  <c r="L5661" i="21"/>
  <c r="L5660" i="21"/>
  <c r="L5659" i="21"/>
  <c r="L5658" i="21"/>
  <c r="L5657" i="21"/>
  <c r="L5656" i="21"/>
  <c r="L5655" i="21"/>
  <c r="L5654" i="21"/>
  <c r="L5652" i="21"/>
  <c r="L5651" i="21"/>
  <c r="L5650" i="21"/>
  <c r="L5649" i="21"/>
  <c r="L5648" i="21"/>
  <c r="L5647" i="21"/>
  <c r="L5646" i="21"/>
  <c r="L5645" i="21"/>
  <c r="L5644" i="21"/>
  <c r="L5642" i="21"/>
  <c r="L5641" i="21"/>
  <c r="L5640" i="21"/>
  <c r="L5639" i="21"/>
  <c r="L5638" i="21"/>
  <c r="L5637" i="21"/>
  <c r="L5636" i="21"/>
  <c r="L5635" i="21"/>
  <c r="L5634" i="21"/>
  <c r="L5632" i="21"/>
  <c r="L5631" i="21"/>
  <c r="L5630" i="21"/>
  <c r="L5629" i="21"/>
  <c r="L5628" i="21"/>
  <c r="L5627" i="21"/>
  <c r="L5626" i="21"/>
  <c r="L5625" i="21"/>
  <c r="L5624" i="21"/>
  <c r="L5622" i="21"/>
  <c r="L5621" i="21"/>
  <c r="L5620" i="21"/>
  <c r="L5619" i="21"/>
  <c r="L5618" i="21"/>
  <c r="L5617" i="21"/>
  <c r="L5616" i="21"/>
  <c r="L5615" i="21"/>
  <c r="L5614" i="21"/>
  <c r="L5612" i="21"/>
  <c r="L5611" i="21"/>
  <c r="L5610" i="21"/>
  <c r="L5609" i="21"/>
  <c r="L5608" i="21"/>
  <c r="L5607" i="21"/>
  <c r="L5606" i="21"/>
  <c r="L5605" i="21"/>
  <c r="L5589" i="21"/>
  <c r="L5588" i="21"/>
  <c r="L5587" i="21"/>
  <c r="L5586" i="21"/>
  <c r="L5585" i="21"/>
  <c r="L5584" i="21"/>
  <c r="L5583" i="21"/>
  <c r="L5582" i="21"/>
  <c r="L5581" i="21"/>
  <c r="L5579" i="21"/>
  <c r="L5578" i="21"/>
  <c r="L5577" i="21"/>
  <c r="L5576" i="21"/>
  <c r="L5575" i="21"/>
  <c r="L5574" i="21"/>
  <c r="L5573" i="21"/>
  <c r="L5572" i="21"/>
  <c r="L5571" i="21"/>
  <c r="L5569" i="21"/>
  <c r="L5568" i="21"/>
  <c r="L5567" i="21"/>
  <c r="L5566" i="21"/>
  <c r="L5565" i="21"/>
  <c r="L5564" i="21"/>
  <c r="L5563" i="21"/>
  <c r="L5562" i="21"/>
  <c r="L5561" i="21"/>
  <c r="L5559" i="21"/>
  <c r="L5558" i="21"/>
  <c r="L5557" i="21"/>
  <c r="L5556" i="21"/>
  <c r="L5555" i="21"/>
  <c r="L5554" i="21"/>
  <c r="L5553" i="21"/>
  <c r="L5552" i="21"/>
  <c r="L5551" i="21"/>
  <c r="L5549" i="21"/>
  <c r="L5548" i="21"/>
  <c r="L5547" i="21"/>
  <c r="L5546" i="21"/>
  <c r="L5545" i="21"/>
  <c r="L5544" i="21"/>
  <c r="L5543" i="21"/>
  <c r="L5542" i="21"/>
  <c r="L5541" i="21"/>
  <c r="L5539" i="21"/>
  <c r="L5538" i="21"/>
  <c r="L5537" i="21"/>
  <c r="L5536" i="21"/>
  <c r="L5535" i="21"/>
  <c r="L5534" i="21"/>
  <c r="L5533" i="21"/>
  <c r="L5532" i="21"/>
  <c r="L5531" i="21"/>
  <c r="L5529" i="21"/>
  <c r="L5528" i="21"/>
  <c r="L5527" i="21"/>
  <c r="L5526" i="21"/>
  <c r="L5525" i="21"/>
  <c r="L5524" i="21"/>
  <c r="L5523" i="21"/>
  <c r="L5522" i="21"/>
  <c r="L5521" i="21"/>
  <c r="L5519" i="21"/>
  <c r="L5518" i="21"/>
  <c r="L5517" i="21"/>
  <c r="L5516" i="21"/>
  <c r="L5515" i="21"/>
  <c r="L5514" i="21"/>
  <c r="L5513" i="21"/>
  <c r="L5512" i="21"/>
  <c r="L5511" i="21"/>
  <c r="L5509" i="21"/>
  <c r="L5508" i="21"/>
  <c r="L5507" i="21"/>
  <c r="L5506" i="21"/>
  <c r="L5505" i="21"/>
  <c r="L5504" i="21"/>
  <c r="L5503" i="21"/>
  <c r="L5502" i="21"/>
  <c r="L5486" i="21"/>
  <c r="L5485" i="21"/>
  <c r="L5484" i="21"/>
  <c r="L5483" i="21"/>
  <c r="L5482" i="21"/>
  <c r="L5481" i="21"/>
  <c r="L5480" i="21"/>
  <c r="L5479" i="21"/>
  <c r="L5478" i="21"/>
  <c r="L5476" i="21"/>
  <c r="L5475" i="21"/>
  <c r="L5474" i="21"/>
  <c r="L5473" i="21"/>
  <c r="L5472" i="21"/>
  <c r="L5471" i="21"/>
  <c r="L5470" i="21"/>
  <c r="L5469" i="21"/>
  <c r="L5468" i="21"/>
  <c r="L5466" i="21"/>
  <c r="L5465" i="21"/>
  <c r="L5464" i="21"/>
  <c r="L5463" i="21"/>
  <c r="L5462" i="21"/>
  <c r="L5461" i="21"/>
  <c r="L5460" i="21"/>
  <c r="L5459" i="21"/>
  <c r="L5458" i="21"/>
  <c r="L5456" i="21"/>
  <c r="L5455" i="21"/>
  <c r="L5454" i="21"/>
  <c r="L5453" i="21"/>
  <c r="L5452" i="21"/>
  <c r="L5451" i="21"/>
  <c r="L5450" i="21"/>
  <c r="L5449" i="21"/>
  <c r="L5448" i="21"/>
  <c r="L5446" i="21"/>
  <c r="L5445" i="21"/>
  <c r="L5444" i="21"/>
  <c r="L5443" i="21"/>
  <c r="L5442" i="21"/>
  <c r="L5441" i="21"/>
  <c r="L5440" i="21"/>
  <c r="L5439" i="21"/>
  <c r="L5438" i="21"/>
  <c r="L5436" i="21"/>
  <c r="L5435" i="21"/>
  <c r="L5434" i="21"/>
  <c r="L5433" i="21"/>
  <c r="L5432" i="21"/>
  <c r="L5431" i="21"/>
  <c r="L5430" i="21"/>
  <c r="L5429" i="21"/>
  <c r="L5428" i="21"/>
  <c r="L5426" i="21"/>
  <c r="L5425" i="21"/>
  <c r="L5424" i="21"/>
  <c r="L5423" i="21"/>
  <c r="L5422" i="21"/>
  <c r="L5421" i="21"/>
  <c r="L5420" i="21"/>
  <c r="L5419" i="21"/>
  <c r="L5418" i="21"/>
  <c r="L5416" i="21"/>
  <c r="L5415" i="21"/>
  <c r="L5414" i="21"/>
  <c r="L5413" i="21"/>
  <c r="L5412" i="21"/>
  <c r="L5411" i="21"/>
  <c r="L5410" i="21"/>
  <c r="L5409" i="21"/>
  <c r="L5408" i="21"/>
  <c r="L5406" i="21"/>
  <c r="L5405" i="21"/>
  <c r="L5404" i="21"/>
  <c r="L5403" i="21"/>
  <c r="L5402" i="21"/>
  <c r="L5401" i="21"/>
  <c r="L5400" i="21"/>
  <c r="L5399" i="21"/>
  <c r="L5383" i="21"/>
  <c r="L5382" i="21"/>
  <c r="L5381" i="21"/>
  <c r="L5380" i="21"/>
  <c r="L5379" i="21"/>
  <c r="L5378" i="21"/>
  <c r="L5377" i="21"/>
  <c r="L5376" i="21"/>
  <c r="L5375" i="21"/>
  <c r="L5373" i="21"/>
  <c r="L5372" i="21"/>
  <c r="L5371" i="21"/>
  <c r="L5370" i="21"/>
  <c r="L5369" i="21"/>
  <c r="L5368" i="21"/>
  <c r="L5367" i="21"/>
  <c r="L5366" i="21"/>
  <c r="L5365" i="21"/>
  <c r="L5363" i="21"/>
  <c r="L5362" i="21"/>
  <c r="L5361" i="21"/>
  <c r="L5360" i="21"/>
  <c r="L5359" i="21"/>
  <c r="L5358" i="21"/>
  <c r="L5357" i="21"/>
  <c r="L5356" i="21"/>
  <c r="L5355" i="21"/>
  <c r="L5353" i="21"/>
  <c r="L5352" i="21"/>
  <c r="L5351" i="21"/>
  <c r="L5350" i="21"/>
  <c r="L5349" i="21"/>
  <c r="L5348" i="21"/>
  <c r="L5347" i="21"/>
  <c r="L5346" i="21"/>
  <c r="L5345" i="21"/>
  <c r="L5343" i="21"/>
  <c r="L5342" i="21"/>
  <c r="L5341" i="21"/>
  <c r="L5340" i="21"/>
  <c r="L5339" i="21"/>
  <c r="L5338" i="21"/>
  <c r="L5337" i="21"/>
  <c r="L5336" i="21"/>
  <c r="L5335" i="21"/>
  <c r="L5333" i="21"/>
  <c r="L5332" i="21"/>
  <c r="L5331" i="21"/>
  <c r="L5330" i="21"/>
  <c r="L5329" i="21"/>
  <c r="L5328" i="21"/>
  <c r="L5327" i="21"/>
  <c r="L5326" i="21"/>
  <c r="L5325" i="21"/>
  <c r="L5323" i="21"/>
  <c r="L5322" i="21"/>
  <c r="L5321" i="21"/>
  <c r="L5320" i="21"/>
  <c r="L5319" i="21"/>
  <c r="L5318" i="21"/>
  <c r="L5317" i="21"/>
  <c r="L5316" i="21"/>
  <c r="L5315" i="21"/>
  <c r="L5313" i="21"/>
  <c r="L5312" i="21"/>
  <c r="L5311" i="21"/>
  <c r="L5310" i="21"/>
  <c r="L5309" i="21"/>
  <c r="L5308" i="21"/>
  <c r="L5307" i="21"/>
  <c r="L5306" i="21"/>
  <c r="L5305" i="21"/>
  <c r="L5303" i="21"/>
  <c r="L5302" i="21"/>
  <c r="L5301" i="21"/>
  <c r="L5300" i="21"/>
  <c r="L5299" i="21"/>
  <c r="L5298" i="21"/>
  <c r="L5297" i="21"/>
  <c r="L5296" i="21"/>
  <c r="L5280" i="21"/>
  <c r="L5279" i="21"/>
  <c r="L5278" i="21"/>
  <c r="L5277" i="21"/>
  <c r="L5276" i="21"/>
  <c r="L5275" i="21"/>
  <c r="L5274" i="21"/>
  <c r="L5273" i="21"/>
  <c r="L5272" i="21"/>
  <c r="L5270" i="21"/>
  <c r="L5269" i="21"/>
  <c r="L5268" i="21"/>
  <c r="L5267" i="21"/>
  <c r="L5266" i="21"/>
  <c r="L5265" i="21"/>
  <c r="L5264" i="21"/>
  <c r="L5263" i="21"/>
  <c r="L5262" i="21"/>
  <c r="L5260" i="21"/>
  <c r="L5259" i="21"/>
  <c r="L5258" i="21"/>
  <c r="L5257" i="21"/>
  <c r="L5256" i="21"/>
  <c r="L5255" i="21"/>
  <c r="L5254" i="21"/>
  <c r="L5253" i="21"/>
  <c r="L5252" i="21"/>
  <c r="L5250" i="21"/>
  <c r="L5249" i="21"/>
  <c r="L5248" i="21"/>
  <c r="L5247" i="21"/>
  <c r="L5246" i="21"/>
  <c r="L5245" i="21"/>
  <c r="L5244" i="21"/>
  <c r="L5243" i="21"/>
  <c r="L5242" i="21"/>
  <c r="L5240" i="21"/>
  <c r="L5239" i="21"/>
  <c r="L5238" i="21"/>
  <c r="L5237" i="21"/>
  <c r="L5236" i="21"/>
  <c r="L5235" i="21"/>
  <c r="L5234" i="21"/>
  <c r="L5233" i="21"/>
  <c r="L5232" i="21"/>
  <c r="L5230" i="21"/>
  <c r="L5229" i="21"/>
  <c r="L5228" i="21"/>
  <c r="L5227" i="21"/>
  <c r="L5226" i="21"/>
  <c r="L5225" i="21"/>
  <c r="L5224" i="21"/>
  <c r="L5223" i="21"/>
  <c r="L5222" i="21"/>
  <c r="L5220" i="21"/>
  <c r="L5219" i="21"/>
  <c r="L5218" i="21"/>
  <c r="L5217" i="21"/>
  <c r="L5216" i="21"/>
  <c r="L5215" i="21"/>
  <c r="L5214" i="21"/>
  <c r="L5213" i="21"/>
  <c r="L5212" i="21"/>
  <c r="L5210" i="21"/>
  <c r="L5209" i="21"/>
  <c r="L5208" i="21"/>
  <c r="L5207" i="21"/>
  <c r="L5206" i="21"/>
  <c r="L5205" i="21"/>
  <c r="L5204" i="21"/>
  <c r="L5203" i="21"/>
  <c r="L5202" i="21"/>
  <c r="L5200" i="21"/>
  <c r="L5199" i="21"/>
  <c r="L5198" i="21"/>
  <c r="L5197" i="21"/>
  <c r="L5196" i="21"/>
  <c r="L5195" i="21"/>
  <c r="L5194" i="21"/>
  <c r="L5193" i="21"/>
  <c r="L5177" i="21"/>
  <c r="L5176" i="21"/>
  <c r="L5175" i="21"/>
  <c r="L5174" i="21"/>
  <c r="L5173" i="21"/>
  <c r="L5172" i="21"/>
  <c r="L5171" i="21"/>
  <c r="L5170" i="21"/>
  <c r="L5169" i="21"/>
  <c r="L5167" i="21"/>
  <c r="L5166" i="21"/>
  <c r="L5165" i="21"/>
  <c r="L5164" i="21"/>
  <c r="L5163" i="21"/>
  <c r="L5162" i="21"/>
  <c r="L5161" i="21"/>
  <c r="L5160" i="21"/>
  <c r="L5159" i="21"/>
  <c r="L5157" i="21"/>
  <c r="L5156" i="21"/>
  <c r="L5155" i="21"/>
  <c r="L5154" i="21"/>
  <c r="L5153" i="21"/>
  <c r="L5152" i="21"/>
  <c r="L5151" i="21"/>
  <c r="L5150" i="21"/>
  <c r="L5149" i="21"/>
  <c r="L5147" i="21"/>
  <c r="L5146" i="21"/>
  <c r="L5145" i="21"/>
  <c r="L5144" i="21"/>
  <c r="L5143" i="21"/>
  <c r="L5142" i="21"/>
  <c r="L5141" i="21"/>
  <c r="L5140" i="21"/>
  <c r="L5139" i="21"/>
  <c r="L5137" i="21"/>
  <c r="L5136" i="21"/>
  <c r="L5135" i="21"/>
  <c r="L5134" i="21"/>
  <c r="L5133" i="21"/>
  <c r="L5132" i="21"/>
  <c r="L5131" i="21"/>
  <c r="L5130" i="21"/>
  <c r="L5129" i="21"/>
  <c r="L5127" i="21"/>
  <c r="L5126" i="21"/>
  <c r="L5125" i="21"/>
  <c r="L5124" i="21"/>
  <c r="L5123" i="21"/>
  <c r="L5122" i="21"/>
  <c r="L5121" i="21"/>
  <c r="L5120" i="21"/>
  <c r="L5119" i="21"/>
  <c r="L5117" i="21"/>
  <c r="L5116" i="21"/>
  <c r="L5115" i="21"/>
  <c r="L5114" i="21"/>
  <c r="L5113" i="21"/>
  <c r="L5112" i="21"/>
  <c r="L5111" i="21"/>
  <c r="L5110" i="21"/>
  <c r="L5109" i="21"/>
  <c r="L5107" i="21"/>
  <c r="L5106" i="21"/>
  <c r="L5105" i="21"/>
  <c r="L5104" i="21"/>
  <c r="L5103" i="21"/>
  <c r="L5102" i="21"/>
  <c r="L5101" i="21"/>
  <c r="L5100" i="21"/>
  <c r="L5099" i="21"/>
  <c r="L5097" i="21"/>
  <c r="L5096" i="21"/>
  <c r="L5095" i="21"/>
  <c r="L5094" i="21"/>
  <c r="L5093" i="21"/>
  <c r="L5092" i="21"/>
  <c r="L5091" i="21"/>
  <c r="L5090" i="21"/>
  <c r="L5074" i="21"/>
  <c r="L5073" i="21"/>
  <c r="L5072" i="21"/>
  <c r="L5071" i="21"/>
  <c r="L5070" i="21"/>
  <c r="L5069" i="21"/>
  <c r="L5068" i="21"/>
  <c r="L5067" i="21"/>
  <c r="L5066" i="21"/>
  <c r="L5064" i="21"/>
  <c r="L5063" i="21"/>
  <c r="L5062" i="21"/>
  <c r="L5061" i="21"/>
  <c r="L5060" i="21"/>
  <c r="L5059" i="21"/>
  <c r="L5058" i="21"/>
  <c r="L5057" i="21"/>
  <c r="L5056" i="21"/>
  <c r="L5054" i="21"/>
  <c r="L5053" i="21"/>
  <c r="L5052" i="21"/>
  <c r="L5051" i="21"/>
  <c r="L5050" i="21"/>
  <c r="L5049" i="21"/>
  <c r="L5048" i="21"/>
  <c r="L5047" i="21"/>
  <c r="L5046" i="21"/>
  <c r="L5044" i="21"/>
  <c r="L5043" i="21"/>
  <c r="L5042" i="21"/>
  <c r="L5041" i="21"/>
  <c r="L5040" i="21"/>
  <c r="L5039" i="21"/>
  <c r="L5038" i="21"/>
  <c r="L5037" i="21"/>
  <c r="L5036" i="21"/>
  <c r="L5034" i="21"/>
  <c r="L5033" i="21"/>
  <c r="L5032" i="21"/>
  <c r="L5031" i="21"/>
  <c r="L5030" i="21"/>
  <c r="L5029" i="21"/>
  <c r="L5028" i="21"/>
  <c r="L5027" i="21"/>
  <c r="L5026" i="21"/>
  <c r="L5024" i="21"/>
  <c r="L5023" i="21"/>
  <c r="L5022" i="21"/>
  <c r="L5021" i="21"/>
  <c r="L5020" i="21"/>
  <c r="L5019" i="21"/>
  <c r="L5018" i="21"/>
  <c r="L5017" i="21"/>
  <c r="L5016" i="21"/>
  <c r="L5014" i="21"/>
  <c r="L5013" i="21"/>
  <c r="L5012" i="21"/>
  <c r="L5011" i="21"/>
  <c r="L5010" i="21"/>
  <c r="L5009" i="21"/>
  <c r="L5008" i="21"/>
  <c r="L5007" i="21"/>
  <c r="L5006" i="21"/>
  <c r="L5004" i="21"/>
  <c r="L5003" i="21"/>
  <c r="L5002" i="21"/>
  <c r="L5001" i="21"/>
  <c r="L5000" i="21"/>
  <c r="L4999" i="21"/>
  <c r="L4998" i="21"/>
  <c r="L4997" i="21"/>
  <c r="L4996" i="21"/>
  <c r="L4994" i="21"/>
  <c r="L4993" i="21"/>
  <c r="L4992" i="21"/>
  <c r="L4991" i="21"/>
  <c r="L4990" i="21"/>
  <c r="L4989" i="21"/>
  <c r="L4988" i="21"/>
  <c r="L4987" i="21"/>
  <c r="L4971" i="21"/>
  <c r="L4970" i="21"/>
  <c r="L4969" i="21"/>
  <c r="L4968" i="21"/>
  <c r="L4967" i="21"/>
  <c r="L4966" i="21"/>
  <c r="L4965" i="21"/>
  <c r="L4964" i="21"/>
  <c r="L4963" i="21"/>
  <c r="L4961" i="21"/>
  <c r="L4960" i="21"/>
  <c r="L4959" i="21"/>
  <c r="L4958" i="21"/>
  <c r="L4957" i="21"/>
  <c r="L4956" i="21"/>
  <c r="L4955" i="21"/>
  <c r="L4954" i="21"/>
  <c r="L4953" i="21"/>
  <c r="L4951" i="21"/>
  <c r="L4950" i="21"/>
  <c r="L4949" i="21"/>
  <c r="L4948" i="21"/>
  <c r="L4947" i="21"/>
  <c r="L4946" i="21"/>
  <c r="L4945" i="21"/>
  <c r="L4944" i="21"/>
  <c r="L4943" i="21"/>
  <c r="L4941" i="21"/>
  <c r="L4940" i="21"/>
  <c r="L4939" i="21"/>
  <c r="L4938" i="21"/>
  <c r="L4937" i="21"/>
  <c r="L4936" i="21"/>
  <c r="L4935" i="21"/>
  <c r="L4934" i="21"/>
  <c r="L4933" i="21"/>
  <c r="L4931" i="21"/>
  <c r="L4930" i="21"/>
  <c r="L4929" i="21"/>
  <c r="L4928" i="21"/>
  <c r="L4927" i="21"/>
  <c r="L4926" i="21"/>
  <c r="L4925" i="21"/>
  <c r="L4924" i="21"/>
  <c r="L4923" i="21"/>
  <c r="L4921" i="21"/>
  <c r="L4920" i="21"/>
  <c r="L4919" i="21"/>
  <c r="L4918" i="21"/>
  <c r="L4917" i="21"/>
  <c r="L4916" i="21"/>
  <c r="L4915" i="21"/>
  <c r="L4914" i="21"/>
  <c r="L4913" i="21"/>
  <c r="L4911" i="21"/>
  <c r="L4910" i="21"/>
  <c r="L4909" i="21"/>
  <c r="L4908" i="21"/>
  <c r="L4907" i="21"/>
  <c r="L4906" i="21"/>
  <c r="L4905" i="21"/>
  <c r="L4904" i="21"/>
  <c r="L4903" i="21"/>
  <c r="L4901" i="21"/>
  <c r="L4900" i="21"/>
  <c r="L4899" i="21"/>
  <c r="L4898" i="21"/>
  <c r="L4897" i="21"/>
  <c r="L4896" i="21"/>
  <c r="L4895" i="21"/>
  <c r="L4894" i="21"/>
  <c r="L4893" i="21"/>
  <c r="L4891" i="21"/>
  <c r="L4890" i="21"/>
  <c r="L4889" i="21"/>
  <c r="L4888" i="21"/>
  <c r="L4887" i="21"/>
  <c r="L4886" i="21"/>
  <c r="L4885" i="21"/>
  <c r="L4884" i="21"/>
  <c r="L4868" i="21"/>
  <c r="L4867" i="21"/>
  <c r="L4866" i="21"/>
  <c r="L4865" i="21"/>
  <c r="L4864" i="21"/>
  <c r="L4863" i="21"/>
  <c r="L4862" i="21"/>
  <c r="L4861" i="21"/>
  <c r="L4860" i="21"/>
  <c r="L4858" i="21"/>
  <c r="L4857" i="21"/>
  <c r="L4856" i="21"/>
  <c r="L4855" i="21"/>
  <c r="L4854" i="21"/>
  <c r="L4853" i="21"/>
  <c r="L4852" i="21"/>
  <c r="L4851" i="21"/>
  <c r="L4850" i="21"/>
  <c r="L4848" i="21"/>
  <c r="L4847" i="21"/>
  <c r="L4846" i="21"/>
  <c r="L4845" i="21"/>
  <c r="L4844" i="21"/>
  <c r="L4843" i="21"/>
  <c r="L4842" i="21"/>
  <c r="L4841" i="21"/>
  <c r="L4840" i="21"/>
  <c r="L4838" i="21"/>
  <c r="L4837" i="21"/>
  <c r="L4836" i="21"/>
  <c r="L4835" i="21"/>
  <c r="L4834" i="21"/>
  <c r="L4833" i="21"/>
  <c r="L4832" i="21"/>
  <c r="L4831" i="21"/>
  <c r="L4830" i="21"/>
  <c r="L4828" i="21"/>
  <c r="L4827" i="21"/>
  <c r="L4826" i="21"/>
  <c r="L4825" i="21"/>
  <c r="L4824" i="21"/>
  <c r="L4823" i="21"/>
  <c r="L4822" i="21"/>
  <c r="L4821" i="21"/>
  <c r="L4820" i="21"/>
  <c r="L4818" i="21"/>
  <c r="L4817" i="21"/>
  <c r="L4816" i="21"/>
  <c r="L4815" i="21"/>
  <c r="L4814" i="21"/>
  <c r="L4813" i="21"/>
  <c r="L4812" i="21"/>
  <c r="L4811" i="21"/>
  <c r="L4810" i="21"/>
  <c r="L4808" i="21"/>
  <c r="L4807" i="21"/>
  <c r="L4806" i="21"/>
  <c r="L4805" i="21"/>
  <c r="L4804" i="21"/>
  <c r="L4803" i="21"/>
  <c r="L4802" i="21"/>
  <c r="L4801" i="21"/>
  <c r="L4800" i="21"/>
  <c r="L4798" i="21"/>
  <c r="L4797" i="21"/>
  <c r="L4796" i="21"/>
  <c r="L4795" i="21"/>
  <c r="L4794" i="21"/>
  <c r="L4793" i="21"/>
  <c r="L4792" i="21"/>
  <c r="L4791" i="21"/>
  <c r="L4790" i="21"/>
  <c r="L4788" i="21"/>
  <c r="L4787" i="21"/>
  <c r="L4786" i="21"/>
  <c r="L4785" i="21"/>
  <c r="L4784" i="21"/>
  <c r="L4783" i="21"/>
  <c r="L4782" i="21"/>
  <c r="L4781" i="21"/>
  <c r="L4764" i="21"/>
  <c r="L4763" i="21"/>
  <c r="L4762" i="21"/>
  <c r="L4761" i="21"/>
  <c r="L4760" i="21"/>
  <c r="L4759" i="21"/>
  <c r="L4758" i="21"/>
  <c r="L4757" i="21"/>
  <c r="L4756" i="21"/>
  <c r="L4754" i="21"/>
  <c r="L4753" i="21"/>
  <c r="L4752" i="21"/>
  <c r="L4751" i="21"/>
  <c r="L4750" i="21"/>
  <c r="L4749" i="21"/>
  <c r="L4748" i="21"/>
  <c r="L4747" i="21"/>
  <c r="L4746" i="21"/>
  <c r="L4744" i="21"/>
  <c r="L4743" i="21"/>
  <c r="L4742" i="21"/>
  <c r="L4741" i="21"/>
  <c r="L4740" i="21"/>
  <c r="L4739" i="21"/>
  <c r="L4738" i="21"/>
  <c r="L4737" i="21"/>
  <c r="L4736" i="21"/>
  <c r="L4734" i="21"/>
  <c r="L4733" i="21"/>
  <c r="L4732" i="21"/>
  <c r="L4731" i="21"/>
  <c r="L4730" i="21"/>
  <c r="L4729" i="21"/>
  <c r="L4728" i="21"/>
  <c r="L4727" i="21"/>
  <c r="L4726" i="21"/>
  <c r="L4724" i="21"/>
  <c r="L4723" i="21"/>
  <c r="L4722" i="21"/>
  <c r="L4721" i="21"/>
  <c r="L4720" i="21"/>
  <c r="L4719" i="21"/>
  <c r="L4718" i="21"/>
  <c r="L4717" i="21"/>
  <c r="L4716" i="21"/>
  <c r="L4714" i="21"/>
  <c r="L4713" i="21"/>
  <c r="L4712" i="21"/>
  <c r="L4711" i="21"/>
  <c r="L4710" i="21"/>
  <c r="L4709" i="21"/>
  <c r="L4708" i="21"/>
  <c r="L4707" i="21"/>
  <c r="L4706" i="21"/>
  <c r="L4704" i="21"/>
  <c r="L4703" i="21"/>
  <c r="L4702" i="21"/>
  <c r="L4701" i="21"/>
  <c r="L4700" i="21"/>
  <c r="L4699" i="21"/>
  <c r="L4698" i="21"/>
  <c r="L4697" i="21"/>
  <c r="L4696" i="21"/>
  <c r="L4694" i="21"/>
  <c r="L4693" i="21"/>
  <c r="L4692" i="21"/>
  <c r="L4691" i="21"/>
  <c r="L4690" i="21"/>
  <c r="L4689" i="21"/>
  <c r="L4688" i="21"/>
  <c r="L4687" i="21"/>
  <c r="L4686" i="21"/>
  <c r="L4684" i="21"/>
  <c r="L4683" i="21"/>
  <c r="L4682" i="21"/>
  <c r="L4681" i="21"/>
  <c r="L4680" i="21"/>
  <c r="L4679" i="21"/>
  <c r="L4678" i="21"/>
  <c r="L4677" i="21"/>
  <c r="L4661" i="21"/>
  <c r="L4660" i="21"/>
  <c r="L4659" i="21"/>
  <c r="L4658" i="21"/>
  <c r="L4657" i="21"/>
  <c r="L4656" i="21"/>
  <c r="L4655" i="21"/>
  <c r="L4654" i="21"/>
  <c r="L4653" i="21"/>
  <c r="L4651" i="21"/>
  <c r="L4650" i="21"/>
  <c r="L4649" i="21"/>
  <c r="L4648" i="21"/>
  <c r="L4647" i="21"/>
  <c r="L4646" i="21"/>
  <c r="L4645" i="21"/>
  <c r="L4644" i="21"/>
  <c r="L4643" i="21"/>
  <c r="L4641" i="21"/>
  <c r="L4640" i="21"/>
  <c r="L4639" i="21"/>
  <c r="L4638" i="21"/>
  <c r="L4637" i="21"/>
  <c r="L4636" i="21"/>
  <c r="L4635" i="21"/>
  <c r="L4634" i="21"/>
  <c r="L4633" i="21"/>
  <c r="L4631" i="21"/>
  <c r="L4630" i="21"/>
  <c r="L4629" i="21"/>
  <c r="L4628" i="21"/>
  <c r="L4627" i="21"/>
  <c r="L4626" i="21"/>
  <c r="L4625" i="21"/>
  <c r="L4624" i="21"/>
  <c r="L4623" i="21"/>
  <c r="L4621" i="21"/>
  <c r="L4620" i="21"/>
  <c r="L4619" i="21"/>
  <c r="L4618" i="21"/>
  <c r="L4617" i="21"/>
  <c r="L4616" i="21"/>
  <c r="L4615" i="21"/>
  <c r="L4614" i="21"/>
  <c r="L4613" i="21"/>
  <c r="L4611" i="21"/>
  <c r="L4610" i="21"/>
  <c r="L4609" i="21"/>
  <c r="L4608" i="21"/>
  <c r="L4607" i="21"/>
  <c r="L4606" i="21"/>
  <c r="L4605" i="21"/>
  <c r="L4604" i="21"/>
  <c r="L4603" i="21"/>
  <c r="L4601" i="21"/>
  <c r="L4600" i="21"/>
  <c r="L4599" i="21"/>
  <c r="L4598" i="21"/>
  <c r="L4597" i="21"/>
  <c r="L4596" i="21"/>
  <c r="L4595" i="21"/>
  <c r="L4594" i="21"/>
  <c r="L4593" i="21"/>
  <c r="L4591" i="21"/>
  <c r="L4590" i="21"/>
  <c r="L4589" i="21"/>
  <c r="L4588" i="21"/>
  <c r="L4587" i="21"/>
  <c r="L4586" i="21"/>
  <c r="L4585" i="21"/>
  <c r="L4584" i="21"/>
  <c r="L4583" i="21"/>
  <c r="L4581" i="21"/>
  <c r="L4580" i="21"/>
  <c r="L4579" i="21"/>
  <c r="L4578" i="21"/>
  <c r="L4577" i="21"/>
  <c r="L4576" i="21"/>
  <c r="L4575" i="21"/>
  <c r="L4574" i="21"/>
  <c r="L4558" i="21"/>
  <c r="L4557" i="21"/>
  <c r="L4556" i="21"/>
  <c r="L4555" i="21"/>
  <c r="L4554" i="21"/>
  <c r="L4553" i="21"/>
  <c r="L4552" i="21"/>
  <c r="L4551" i="21"/>
  <c r="L4550" i="21"/>
  <c r="L4548" i="21"/>
  <c r="L4547" i="21"/>
  <c r="L4546" i="21"/>
  <c r="L4545" i="21"/>
  <c r="L4544" i="21"/>
  <c r="L4543" i="21"/>
  <c r="L4542" i="21"/>
  <c r="L4541" i="21"/>
  <c r="L4540" i="21"/>
  <c r="L4538" i="21"/>
  <c r="L4537" i="21"/>
  <c r="L4536" i="21"/>
  <c r="L4535" i="21"/>
  <c r="L4534" i="21"/>
  <c r="L4533" i="21"/>
  <c r="L4532" i="21"/>
  <c r="L4531" i="21"/>
  <c r="L4530" i="21"/>
  <c r="L4528" i="21"/>
  <c r="L4527" i="21"/>
  <c r="L4526" i="21"/>
  <c r="L4525" i="21"/>
  <c r="L4524" i="21"/>
  <c r="L4523" i="21"/>
  <c r="L4522" i="21"/>
  <c r="L4521" i="21"/>
  <c r="L4520" i="21"/>
  <c r="L4518" i="21"/>
  <c r="L4517" i="21"/>
  <c r="L4516" i="21"/>
  <c r="L4515" i="21"/>
  <c r="L4514" i="21"/>
  <c r="L4513" i="21"/>
  <c r="L4512" i="21"/>
  <c r="L4511" i="21"/>
  <c r="L4510" i="21"/>
  <c r="L4508" i="21"/>
  <c r="L4507" i="21"/>
  <c r="L4506" i="21"/>
  <c r="L4505" i="21"/>
  <c r="L4504" i="21"/>
  <c r="L4503" i="21"/>
  <c r="L4502" i="21"/>
  <c r="L4501" i="21"/>
  <c r="L4500" i="21"/>
  <c r="L4498" i="21"/>
  <c r="L4497" i="21"/>
  <c r="L4496" i="21"/>
  <c r="L4495" i="21"/>
  <c r="L4494" i="21"/>
  <c r="L4493" i="21"/>
  <c r="L4492" i="21"/>
  <c r="L4491" i="21"/>
  <c r="L4490" i="21"/>
  <c r="L4488" i="21"/>
  <c r="L4487" i="21"/>
  <c r="L4486" i="21"/>
  <c r="L4485" i="21"/>
  <c r="L4484" i="21"/>
  <c r="L4483" i="21"/>
  <c r="L4482" i="21"/>
  <c r="L4481" i="21"/>
  <c r="L4480" i="21"/>
  <c r="L4478" i="21"/>
  <c r="L4477" i="21"/>
  <c r="L4476" i="21"/>
  <c r="L4475" i="21"/>
  <c r="L4474" i="21"/>
  <c r="L4473" i="21"/>
  <c r="L4472" i="21"/>
  <c r="L4471" i="21"/>
  <c r="L4455" i="21"/>
  <c r="L4454" i="21"/>
  <c r="L4453" i="21"/>
  <c r="L4452" i="21"/>
  <c r="L4451" i="21"/>
  <c r="L4450" i="21"/>
  <c r="L4449" i="21"/>
  <c r="L4448" i="21"/>
  <c r="L4447" i="21"/>
  <c r="L4445" i="21"/>
  <c r="L4444" i="21"/>
  <c r="L4443" i="21"/>
  <c r="L4442" i="21"/>
  <c r="L4441" i="21"/>
  <c r="L4440" i="21"/>
  <c r="L4439" i="21"/>
  <c r="L4438" i="21"/>
  <c r="L4437" i="21"/>
  <c r="L4435" i="21"/>
  <c r="L4434" i="21"/>
  <c r="L4433" i="21"/>
  <c r="L4432" i="21"/>
  <c r="L4431" i="21"/>
  <c r="L4430" i="21"/>
  <c r="L4429" i="21"/>
  <c r="L4428" i="21"/>
  <c r="L4427" i="21"/>
  <c r="L4425" i="21"/>
  <c r="L4424" i="21"/>
  <c r="L4423" i="21"/>
  <c r="L4422" i="21"/>
  <c r="L4421" i="21"/>
  <c r="L4420" i="21"/>
  <c r="L4419" i="21"/>
  <c r="L4418" i="21"/>
  <c r="L4417" i="21"/>
  <c r="L4415" i="21"/>
  <c r="L4414" i="21"/>
  <c r="L4413" i="21"/>
  <c r="L4412" i="21"/>
  <c r="L4411" i="21"/>
  <c r="L4410" i="21"/>
  <c r="L4409" i="21"/>
  <c r="L4408" i="21"/>
  <c r="L4407" i="21"/>
  <c r="L4405" i="21"/>
  <c r="L4404" i="21"/>
  <c r="L4403" i="21"/>
  <c r="L4402" i="21"/>
  <c r="L4401" i="21"/>
  <c r="L4400" i="21"/>
  <c r="L4399" i="21"/>
  <c r="L4398" i="21"/>
  <c r="L4397" i="21"/>
  <c r="L4395" i="21"/>
  <c r="L4394" i="21"/>
  <c r="L4393" i="21"/>
  <c r="L4392" i="21"/>
  <c r="L4391" i="21"/>
  <c r="L4390" i="21"/>
  <c r="L4389" i="21"/>
  <c r="L4388" i="21"/>
  <c r="L4387" i="21"/>
  <c r="L4385" i="21"/>
  <c r="L4384" i="21"/>
  <c r="L4383" i="21"/>
  <c r="L4382" i="21"/>
  <c r="L4381" i="21"/>
  <c r="L4380" i="21"/>
  <c r="L4379" i="21"/>
  <c r="L4378" i="21"/>
  <c r="L4377" i="21"/>
  <c r="L4375" i="21"/>
  <c r="L4374" i="21"/>
  <c r="L4373" i="21"/>
  <c r="L4372" i="21"/>
  <c r="L4371" i="21"/>
  <c r="L4370" i="21"/>
  <c r="L4369" i="21"/>
  <c r="L4368" i="21"/>
  <c r="L4352" i="21"/>
  <c r="L4351" i="21"/>
  <c r="L4350" i="21"/>
  <c r="L4349" i="21"/>
  <c r="L4348" i="21"/>
  <c r="L4347" i="21"/>
  <c r="L4346" i="21"/>
  <c r="L4345" i="21"/>
  <c r="L4344" i="21"/>
  <c r="L4342" i="21"/>
  <c r="L4341" i="21"/>
  <c r="L4340" i="21"/>
  <c r="L4339" i="21"/>
  <c r="L4338" i="21"/>
  <c r="L4337" i="21"/>
  <c r="L4336" i="21"/>
  <c r="L4335" i="21"/>
  <c r="L4334" i="21"/>
  <c r="L4332" i="21"/>
  <c r="L4331" i="21"/>
  <c r="L4330" i="21"/>
  <c r="L4329" i="21"/>
  <c r="L4328" i="21"/>
  <c r="L4327" i="21"/>
  <c r="L4326" i="21"/>
  <c r="L4325" i="21"/>
  <c r="L4324" i="21"/>
  <c r="L4322" i="21"/>
  <c r="L4321" i="21"/>
  <c r="L4320" i="21"/>
  <c r="L4319" i="21"/>
  <c r="L4318" i="21"/>
  <c r="L4317" i="21"/>
  <c r="L4316" i="21"/>
  <c r="L4315" i="21"/>
  <c r="L4314" i="21"/>
  <c r="L4312" i="21"/>
  <c r="L4311" i="21"/>
  <c r="L4310" i="21"/>
  <c r="L4309" i="21"/>
  <c r="L4308" i="21"/>
  <c r="L4307" i="21"/>
  <c r="L4306" i="21"/>
  <c r="L4305" i="21"/>
  <c r="L4304" i="21"/>
  <c r="L4302" i="21"/>
  <c r="L4301" i="21"/>
  <c r="L4300" i="21"/>
  <c r="L4299" i="21"/>
  <c r="L4298" i="21"/>
  <c r="L4297" i="21"/>
  <c r="L4296" i="21"/>
  <c r="L4295" i="21"/>
  <c r="L4294" i="21"/>
  <c r="L4292" i="21"/>
  <c r="L4291" i="21"/>
  <c r="L4290" i="21"/>
  <c r="L4289" i="21"/>
  <c r="L4288" i="21"/>
  <c r="L4287" i="21"/>
  <c r="L4286" i="21"/>
  <c r="L4285" i="21"/>
  <c r="L4284" i="21"/>
  <c r="L4282" i="21"/>
  <c r="L4281" i="21"/>
  <c r="L4280" i="21"/>
  <c r="L4279" i="21"/>
  <c r="L4278" i="21"/>
  <c r="L4277" i="21"/>
  <c r="L4276" i="21"/>
  <c r="L4275" i="21"/>
  <c r="L4274" i="21"/>
  <c r="L4272" i="21"/>
  <c r="L4271" i="21"/>
  <c r="L4270" i="21"/>
  <c r="L4269" i="21"/>
  <c r="L4268" i="21"/>
  <c r="L4267" i="21"/>
  <c r="L4266" i="21"/>
  <c r="L4265" i="21"/>
  <c r="L4248" i="21"/>
  <c r="L4247" i="21"/>
  <c r="L4246" i="21"/>
  <c r="L4245" i="21"/>
  <c r="L4244" i="21"/>
  <c r="L4243" i="21"/>
  <c r="L4242" i="21"/>
  <c r="L4241" i="21"/>
  <c r="L4240" i="21"/>
  <c r="L4238" i="21"/>
  <c r="L4237" i="21"/>
  <c r="L4236" i="21"/>
  <c r="L4235" i="21"/>
  <c r="L4234" i="21"/>
  <c r="L4233" i="21"/>
  <c r="L4232" i="21"/>
  <c r="L4231" i="21"/>
  <c r="L4230" i="21"/>
  <c r="L4228" i="21"/>
  <c r="L4227" i="21"/>
  <c r="L4226" i="21"/>
  <c r="L4225" i="21"/>
  <c r="L4224" i="21"/>
  <c r="L4223" i="21"/>
  <c r="L4222" i="21"/>
  <c r="L4221" i="21"/>
  <c r="L4220" i="21"/>
  <c r="L4218" i="21"/>
  <c r="L4217" i="21"/>
  <c r="L4216" i="21"/>
  <c r="L4215" i="21"/>
  <c r="L4214" i="21"/>
  <c r="L4213" i="21"/>
  <c r="L4212" i="21"/>
  <c r="L4211" i="21"/>
  <c r="L4210" i="21"/>
  <c r="L4208" i="21"/>
  <c r="L4207" i="21"/>
  <c r="L4206" i="21"/>
  <c r="L4205" i="21"/>
  <c r="L4204" i="21"/>
  <c r="L4203" i="21"/>
  <c r="L4202" i="21"/>
  <c r="L4201" i="21"/>
  <c r="L4200" i="21"/>
  <c r="L4198" i="21"/>
  <c r="L4197" i="21"/>
  <c r="L4196" i="21"/>
  <c r="L4195" i="21"/>
  <c r="L4194" i="21"/>
  <c r="L4193" i="21"/>
  <c r="L4192" i="21"/>
  <c r="L4191" i="21"/>
  <c r="L4190" i="21"/>
  <c r="L4188" i="21"/>
  <c r="L4187" i="21"/>
  <c r="L4186" i="21"/>
  <c r="L4185" i="21"/>
  <c r="L4184" i="21"/>
  <c r="L4183" i="21"/>
  <c r="L4182" i="21"/>
  <c r="L4181" i="21"/>
  <c r="L4180" i="21"/>
  <c r="L4178" i="21"/>
  <c r="L4177" i="21"/>
  <c r="L4176" i="21"/>
  <c r="L4175" i="21"/>
  <c r="L4174" i="21"/>
  <c r="L4173" i="21"/>
  <c r="L4172" i="21"/>
  <c r="L4171" i="21"/>
  <c r="L4170" i="21"/>
  <c r="L4168" i="21"/>
  <c r="L4167" i="21"/>
  <c r="L4166" i="21"/>
  <c r="L4165" i="21"/>
  <c r="L4164" i="21"/>
  <c r="L4163" i="21"/>
  <c r="L4162" i="21"/>
  <c r="L4161" i="21"/>
  <c r="L4144" i="21"/>
  <c r="L4143" i="21"/>
  <c r="L4142" i="21"/>
  <c r="L4141" i="21"/>
  <c r="L4140" i="21"/>
  <c r="L4139" i="21"/>
  <c r="L4138" i="21"/>
  <c r="L4137" i="21"/>
  <c r="L4136" i="21"/>
  <c r="L4134" i="21"/>
  <c r="L4133" i="21"/>
  <c r="L4132" i="21"/>
  <c r="L4131" i="21"/>
  <c r="L4130" i="21"/>
  <c r="L4129" i="21"/>
  <c r="L4128" i="21"/>
  <c r="L4127" i="21"/>
  <c r="L4126" i="21"/>
  <c r="L4124" i="21"/>
  <c r="L4123" i="21"/>
  <c r="L4122" i="21"/>
  <c r="L4121" i="21"/>
  <c r="L4120" i="21"/>
  <c r="L4119" i="21"/>
  <c r="L4118" i="21"/>
  <c r="L4117" i="21"/>
  <c r="L4116" i="21"/>
  <c r="L4114" i="21"/>
  <c r="L4113" i="21"/>
  <c r="L4112" i="21"/>
  <c r="L4111" i="21"/>
  <c r="L4110" i="21"/>
  <c r="L4109" i="21"/>
  <c r="L4108" i="21"/>
  <c r="L4107" i="21"/>
  <c r="L4106" i="21"/>
  <c r="L4104" i="21"/>
  <c r="L4103" i="21"/>
  <c r="L4102" i="21"/>
  <c r="L4101" i="21"/>
  <c r="L4100" i="21"/>
  <c r="L4099" i="21"/>
  <c r="L4098" i="21"/>
  <c r="L4097" i="21"/>
  <c r="L4096" i="21"/>
  <c r="L4094" i="21"/>
  <c r="L4093" i="21"/>
  <c r="L4092" i="21"/>
  <c r="L4091" i="21"/>
  <c r="L4090" i="21"/>
  <c r="L4089" i="21"/>
  <c r="L4088" i="21"/>
  <c r="L4087" i="21"/>
  <c r="L4086" i="21"/>
  <c r="L4084" i="21"/>
  <c r="L4083" i="21"/>
  <c r="L4082" i="21"/>
  <c r="L4081" i="21"/>
  <c r="L4080" i="21"/>
  <c r="L4079" i="21"/>
  <c r="L4078" i="21"/>
  <c r="L4077" i="21"/>
  <c r="L4076" i="21"/>
  <c r="L4074" i="21"/>
  <c r="L4073" i="21"/>
  <c r="L4072" i="21"/>
  <c r="L4071" i="21"/>
  <c r="L4070" i="21"/>
  <c r="L4069" i="21"/>
  <c r="L4068" i="21"/>
  <c r="L4067" i="21"/>
  <c r="L4066" i="21"/>
  <c r="L4064" i="21"/>
  <c r="L4063" i="21"/>
  <c r="L4062" i="21"/>
  <c r="L4061" i="21"/>
  <c r="L4060" i="21"/>
  <c r="L4059" i="21"/>
  <c r="L4058" i="21"/>
  <c r="L4057" i="21"/>
  <c r="L4040" i="21"/>
  <c r="L4039" i="21"/>
  <c r="L4038" i="21"/>
  <c r="L4037" i="21"/>
  <c r="L4036" i="21"/>
  <c r="L4035" i="21"/>
  <c r="L4034" i="21"/>
  <c r="L4033" i="21"/>
  <c r="L4032" i="21"/>
  <c r="L4030" i="21"/>
  <c r="L4029" i="21"/>
  <c r="L4028" i="21"/>
  <c r="L4027" i="21"/>
  <c r="L4026" i="21"/>
  <c r="L4025" i="21"/>
  <c r="L4024" i="21"/>
  <c r="L4023" i="21"/>
  <c r="L4022" i="21"/>
  <c r="L4020" i="21"/>
  <c r="L4019" i="21"/>
  <c r="L4018" i="21"/>
  <c r="L4017" i="21"/>
  <c r="L4016" i="21"/>
  <c r="L4015" i="21"/>
  <c r="L4014" i="21"/>
  <c r="L4013" i="21"/>
  <c r="L4012" i="21"/>
  <c r="L4010" i="21"/>
  <c r="L4009" i="21"/>
  <c r="L4008" i="21"/>
  <c r="L4007" i="21"/>
  <c r="L4006" i="21"/>
  <c r="L4005" i="21"/>
  <c r="L4004" i="21"/>
  <c r="L4003" i="21"/>
  <c r="L4002" i="21"/>
  <c r="L4000" i="21"/>
  <c r="L3999" i="21"/>
  <c r="L3998" i="21"/>
  <c r="L3997" i="21"/>
  <c r="L3996" i="21"/>
  <c r="L3995" i="21"/>
  <c r="L3994" i="21"/>
  <c r="L3993" i="21"/>
  <c r="L3992" i="21"/>
  <c r="L3990" i="21"/>
  <c r="L3989" i="21"/>
  <c r="L3988" i="21"/>
  <c r="L3987" i="21"/>
  <c r="L3986" i="21"/>
  <c r="L3985" i="21"/>
  <c r="L3984" i="21"/>
  <c r="L3983" i="21"/>
  <c r="L3982" i="21"/>
  <c r="L3980" i="21"/>
  <c r="L3979" i="21"/>
  <c r="L3978" i="21"/>
  <c r="L3977" i="21"/>
  <c r="L3976" i="21"/>
  <c r="L3975" i="21"/>
  <c r="L3974" i="21"/>
  <c r="L3973" i="21"/>
  <c r="L3972" i="21"/>
  <c r="L3970" i="21"/>
  <c r="L3969" i="21"/>
  <c r="L3968" i="21"/>
  <c r="L3967" i="21"/>
  <c r="L3966" i="21"/>
  <c r="L3965" i="21"/>
  <c r="L3964" i="21"/>
  <c r="L3963" i="21"/>
  <c r="L3962" i="21"/>
  <c r="L3960" i="21"/>
  <c r="L3959" i="21"/>
  <c r="L3958" i="21"/>
  <c r="L3957" i="21"/>
  <c r="L3956" i="21"/>
  <c r="L3955" i="21"/>
  <c r="L3954" i="21"/>
  <c r="L3953" i="21"/>
  <c r="L3935" i="21"/>
  <c r="L3934" i="21"/>
  <c r="L3933" i="21"/>
  <c r="L3932" i="21"/>
  <c r="L3931" i="21"/>
  <c r="L3930" i="21"/>
  <c r="L3929" i="21"/>
  <c r="L3928" i="21"/>
  <c r="L3927" i="21"/>
  <c r="L3925" i="21"/>
  <c r="L3924" i="21"/>
  <c r="L3923" i="21"/>
  <c r="L3922" i="21"/>
  <c r="L3921" i="21"/>
  <c r="L3920" i="21"/>
  <c r="L3919" i="21"/>
  <c r="L3918" i="21"/>
  <c r="L3917" i="21"/>
  <c r="L3915" i="21"/>
  <c r="L3914" i="21"/>
  <c r="L3913" i="21"/>
  <c r="L3912" i="21"/>
  <c r="L3911" i="21"/>
  <c r="L3910" i="21"/>
  <c r="L3909" i="21"/>
  <c r="L3908" i="21"/>
  <c r="L3907" i="21"/>
  <c r="L3905" i="21"/>
  <c r="L3904" i="21"/>
  <c r="L3903" i="21"/>
  <c r="L3902" i="21"/>
  <c r="L3901" i="21"/>
  <c r="L3900" i="21"/>
  <c r="L3899" i="21"/>
  <c r="L3898" i="21"/>
  <c r="L3897" i="21"/>
  <c r="L3895" i="21"/>
  <c r="L3894" i="21"/>
  <c r="L3893" i="21"/>
  <c r="L3892" i="21"/>
  <c r="L3891" i="21"/>
  <c r="L3890" i="21"/>
  <c r="L3889" i="21"/>
  <c r="L3888" i="21"/>
  <c r="L3887" i="21"/>
  <c r="L3885" i="21"/>
  <c r="L3884" i="21"/>
  <c r="L3883" i="21"/>
  <c r="L3882" i="21"/>
  <c r="L3881" i="21"/>
  <c r="L3880" i="21"/>
  <c r="L3879" i="21"/>
  <c r="L3878" i="21"/>
  <c r="L3877" i="21"/>
  <c r="L3875" i="21"/>
  <c r="L3874" i="21"/>
  <c r="L3873" i="21"/>
  <c r="L3872" i="21"/>
  <c r="L3871" i="21"/>
  <c r="L3870" i="21"/>
  <c r="L3869" i="21"/>
  <c r="L3868" i="21"/>
  <c r="L3867" i="21"/>
  <c r="L3865" i="21"/>
  <c r="L3864" i="21"/>
  <c r="L3863" i="21"/>
  <c r="L3862" i="21"/>
  <c r="L3861" i="21"/>
  <c r="L3860" i="21"/>
  <c r="L3859" i="21"/>
  <c r="L3858" i="21"/>
  <c r="L3857" i="21"/>
  <c r="L3855" i="21"/>
  <c r="L3854" i="21"/>
  <c r="L3853" i="21"/>
  <c r="L3852" i="21"/>
  <c r="L3851" i="21"/>
  <c r="L3850" i="21"/>
  <c r="L3849" i="21"/>
  <c r="L3848" i="21"/>
  <c r="L3830" i="21"/>
  <c r="L3829" i="21"/>
  <c r="L3828" i="21"/>
  <c r="L3827" i="21"/>
  <c r="L3826" i="21"/>
  <c r="L3825" i="21"/>
  <c r="L3824" i="21"/>
  <c r="L3823" i="21"/>
  <c r="L3822" i="21"/>
  <c r="L3820" i="21"/>
  <c r="L3819" i="21"/>
  <c r="L3818" i="21"/>
  <c r="L3817" i="21"/>
  <c r="L3816" i="21"/>
  <c r="L3815" i="21"/>
  <c r="L3814" i="21"/>
  <c r="L3813" i="21"/>
  <c r="L3812" i="21"/>
  <c r="L3810" i="21"/>
  <c r="L3809" i="21"/>
  <c r="L3808" i="21"/>
  <c r="L3807" i="21"/>
  <c r="L3806" i="21"/>
  <c r="L3805" i="21"/>
  <c r="L3804" i="21"/>
  <c r="L3803" i="21"/>
  <c r="L3802" i="21"/>
  <c r="L3800" i="21"/>
  <c r="L3799" i="21"/>
  <c r="L3798" i="21"/>
  <c r="L3797" i="21"/>
  <c r="L3796" i="21"/>
  <c r="L3795" i="21"/>
  <c r="L3794" i="21"/>
  <c r="L3793" i="21"/>
  <c r="L3792" i="21"/>
  <c r="L3790" i="21"/>
  <c r="L3789" i="21"/>
  <c r="L3788" i="21"/>
  <c r="L3787" i="21"/>
  <c r="L3786" i="21"/>
  <c r="L3785" i="21"/>
  <c r="L3784" i="21"/>
  <c r="L3783" i="21"/>
  <c r="L3782" i="21"/>
  <c r="L3780" i="21"/>
  <c r="L3779" i="21"/>
  <c r="L3778" i="21"/>
  <c r="L3777" i="21"/>
  <c r="L3776" i="21"/>
  <c r="L3775" i="21"/>
  <c r="L3774" i="21"/>
  <c r="L3773" i="21"/>
  <c r="L3772" i="21"/>
  <c r="L3770" i="21"/>
  <c r="L3769" i="21"/>
  <c r="L3768" i="21"/>
  <c r="L3767" i="21"/>
  <c r="L3766" i="21"/>
  <c r="L3765" i="21"/>
  <c r="L3764" i="21"/>
  <c r="L3763" i="21"/>
  <c r="L3762" i="21"/>
  <c r="L3760" i="21"/>
  <c r="L3759" i="21"/>
  <c r="L3758" i="21"/>
  <c r="L3757" i="21"/>
  <c r="L3756" i="21"/>
  <c r="L3755" i="21"/>
  <c r="L3754" i="21"/>
  <c r="L3753" i="21"/>
  <c r="L3752" i="21"/>
  <c r="L3750" i="21"/>
  <c r="L3749" i="21"/>
  <c r="L3748" i="21"/>
  <c r="L3747" i="21"/>
  <c r="L3746" i="21"/>
  <c r="L3745" i="21"/>
  <c r="L3744" i="21"/>
  <c r="L3743" i="21"/>
  <c r="L3726" i="21"/>
  <c r="L3725" i="21"/>
  <c r="L3724" i="21"/>
  <c r="L3723" i="21"/>
  <c r="L3722" i="21"/>
  <c r="L3721" i="21"/>
  <c r="L3720" i="21"/>
  <c r="L3719" i="21"/>
  <c r="L3718" i="21"/>
  <c r="L3716" i="21"/>
  <c r="L3715" i="21"/>
  <c r="L3714" i="21"/>
  <c r="L3713" i="21"/>
  <c r="L3712" i="21"/>
  <c r="L3711" i="21"/>
  <c r="L3710" i="21"/>
  <c r="L3709" i="21"/>
  <c r="L3708" i="21"/>
  <c r="L3706" i="21"/>
  <c r="L3705" i="21"/>
  <c r="L3704" i="21"/>
  <c r="L3703" i="21"/>
  <c r="L3702" i="21"/>
  <c r="L3701" i="21"/>
  <c r="L3700" i="21"/>
  <c r="L3699" i="21"/>
  <c r="L3698" i="21"/>
  <c r="L3696" i="21"/>
  <c r="L3695" i="21"/>
  <c r="L3694" i="21"/>
  <c r="L3693" i="21"/>
  <c r="L3692" i="21"/>
  <c r="L3691" i="21"/>
  <c r="L3690" i="21"/>
  <c r="L3689" i="21"/>
  <c r="L3688" i="21"/>
  <c r="L3686" i="21"/>
  <c r="L3685" i="21"/>
  <c r="L3684" i="21"/>
  <c r="L3683" i="21"/>
  <c r="L3682" i="21"/>
  <c r="L3681" i="21"/>
  <c r="L3680" i="21"/>
  <c r="L3679" i="21"/>
  <c r="L3678" i="21"/>
  <c r="L3676" i="21"/>
  <c r="L3675" i="21"/>
  <c r="L3674" i="21"/>
  <c r="L3673" i="21"/>
  <c r="L3672" i="21"/>
  <c r="L3671" i="21"/>
  <c r="L3670" i="21"/>
  <c r="L3669" i="21"/>
  <c r="L3668" i="21"/>
  <c r="L3666" i="21"/>
  <c r="L3665" i="21"/>
  <c r="L3664" i="21"/>
  <c r="L3663" i="21"/>
  <c r="L3662" i="21"/>
  <c r="L3661" i="21"/>
  <c r="L3660" i="21"/>
  <c r="L3659" i="21"/>
  <c r="L3658" i="21"/>
  <c r="L3656" i="21"/>
  <c r="L3655" i="21"/>
  <c r="L3654" i="21"/>
  <c r="L3653" i="21"/>
  <c r="L3652" i="21"/>
  <c r="L3651" i="21"/>
  <c r="L3650" i="21"/>
  <c r="L3649" i="21"/>
  <c r="L3648" i="21"/>
  <c r="L3646" i="21"/>
  <c r="L3645" i="21"/>
  <c r="L3644" i="21"/>
  <c r="L3643" i="21"/>
  <c r="L3642" i="21"/>
  <c r="L3641" i="21"/>
  <c r="L3640" i="21"/>
  <c r="L3639" i="21"/>
  <c r="L3623" i="21"/>
  <c r="L3622" i="21"/>
  <c r="L3621" i="21"/>
  <c r="L3620" i="21"/>
  <c r="L3619" i="21"/>
  <c r="L3618" i="21"/>
  <c r="L3617" i="21"/>
  <c r="L3616" i="21"/>
  <c r="L3615" i="21"/>
  <c r="L3613" i="21"/>
  <c r="L3612" i="21"/>
  <c r="L3611" i="21"/>
  <c r="L3610" i="21"/>
  <c r="L3609" i="21"/>
  <c r="L3608" i="21"/>
  <c r="L3607" i="21"/>
  <c r="L3606" i="21"/>
  <c r="L3605" i="21"/>
  <c r="L3603" i="21"/>
  <c r="L3602" i="21"/>
  <c r="L3601" i="21"/>
  <c r="L3600" i="21"/>
  <c r="L3599" i="21"/>
  <c r="L3598" i="21"/>
  <c r="L3597" i="21"/>
  <c r="L3596" i="21"/>
  <c r="L3595" i="21"/>
  <c r="L3593" i="21"/>
  <c r="L3592" i="21"/>
  <c r="L3591" i="21"/>
  <c r="L3590" i="21"/>
  <c r="L3589" i="21"/>
  <c r="L3588" i="21"/>
  <c r="L3587" i="21"/>
  <c r="L3586" i="21"/>
  <c r="L3585" i="21"/>
  <c r="L3583" i="21"/>
  <c r="L3582" i="21"/>
  <c r="L3581" i="21"/>
  <c r="L3580" i="21"/>
  <c r="L3579" i="21"/>
  <c r="L3578" i="21"/>
  <c r="L3577" i="21"/>
  <c r="L3576" i="21"/>
  <c r="L3575" i="21"/>
  <c r="L3573" i="21"/>
  <c r="L3572" i="21"/>
  <c r="L3571" i="21"/>
  <c r="L3570" i="21"/>
  <c r="L3569" i="21"/>
  <c r="L3568" i="21"/>
  <c r="L3567" i="21"/>
  <c r="L3566" i="21"/>
  <c r="L3565" i="21"/>
  <c r="L3563" i="21"/>
  <c r="L3562" i="21"/>
  <c r="L3561" i="21"/>
  <c r="L3560" i="21"/>
  <c r="L3559" i="21"/>
  <c r="L3558" i="21"/>
  <c r="L3557" i="21"/>
  <c r="L3556" i="21"/>
  <c r="L3555" i="21"/>
  <c r="L3553" i="21"/>
  <c r="L3552" i="21"/>
  <c r="L3551" i="21"/>
  <c r="L3550" i="21"/>
  <c r="L3549" i="21"/>
  <c r="L3548" i="21"/>
  <c r="L3547" i="21"/>
  <c r="L3546" i="21"/>
  <c r="L3545" i="21"/>
  <c r="L3543" i="21"/>
  <c r="L3542" i="21"/>
  <c r="L3541" i="21"/>
  <c r="L3540" i="21"/>
  <c r="L3539" i="21"/>
  <c r="L3538" i="21"/>
  <c r="L3537" i="21"/>
  <c r="L3536" i="21"/>
  <c r="L3519" i="21"/>
  <c r="L3518" i="21"/>
  <c r="L3517" i="21"/>
  <c r="L3516" i="21"/>
  <c r="L3515" i="21"/>
  <c r="L3514" i="21"/>
  <c r="L3513" i="21"/>
  <c r="L3512" i="21"/>
  <c r="L3511" i="21"/>
  <c r="L3509" i="21"/>
  <c r="L3508" i="21"/>
  <c r="L3507" i="21"/>
  <c r="L3506" i="21"/>
  <c r="L3505" i="21"/>
  <c r="L3504" i="21"/>
  <c r="L3503" i="21"/>
  <c r="L3502" i="21"/>
  <c r="L3501" i="21"/>
  <c r="L3499" i="21"/>
  <c r="L3498" i="21"/>
  <c r="L3497" i="21"/>
  <c r="L3496" i="21"/>
  <c r="L3495" i="21"/>
  <c r="L3494" i="21"/>
  <c r="L3493" i="21"/>
  <c r="L3492" i="21"/>
  <c r="L3491" i="21"/>
  <c r="L3489" i="21"/>
  <c r="L3488" i="21"/>
  <c r="L3487" i="21"/>
  <c r="L3486" i="21"/>
  <c r="L3485" i="21"/>
  <c r="L3484" i="21"/>
  <c r="L3483" i="21"/>
  <c r="L3482" i="21"/>
  <c r="L3481" i="21"/>
  <c r="L3479" i="21"/>
  <c r="L3478" i="21"/>
  <c r="L3477" i="21"/>
  <c r="L3476" i="21"/>
  <c r="L3475" i="21"/>
  <c r="L3474" i="21"/>
  <c r="L3473" i="21"/>
  <c r="L3472" i="21"/>
  <c r="L3471" i="21"/>
  <c r="L3469" i="21"/>
  <c r="L3468" i="21"/>
  <c r="L3467" i="21"/>
  <c r="L3466" i="21"/>
  <c r="L3465" i="21"/>
  <c r="L3464" i="21"/>
  <c r="L3463" i="21"/>
  <c r="L3462" i="21"/>
  <c r="L3461" i="21"/>
  <c r="L3459" i="21"/>
  <c r="L3458" i="21"/>
  <c r="L3457" i="21"/>
  <c r="L3456" i="21"/>
  <c r="L3455" i="21"/>
  <c r="L3454" i="21"/>
  <c r="L3453" i="21"/>
  <c r="L3452" i="21"/>
  <c r="L3451" i="21"/>
  <c r="L3449" i="21"/>
  <c r="L3448" i="21"/>
  <c r="L3447" i="21"/>
  <c r="L3446" i="21"/>
  <c r="L3445" i="21"/>
  <c r="L3444" i="21"/>
  <c r="L3443" i="21"/>
  <c r="L3442" i="21"/>
  <c r="L3441" i="21"/>
  <c r="L3439" i="21"/>
  <c r="L3438" i="21"/>
  <c r="L3437" i="21"/>
  <c r="L3436" i="21"/>
  <c r="L3435" i="21"/>
  <c r="L3434" i="21"/>
  <c r="L3433" i="21"/>
  <c r="L3432" i="21"/>
  <c r="L3414" i="21"/>
  <c r="L3413" i="21"/>
  <c r="L3412" i="21"/>
  <c r="L3411" i="21"/>
  <c r="L3410" i="21"/>
  <c r="L3409" i="21"/>
  <c r="L3408" i="21"/>
  <c r="L3407" i="21"/>
  <c r="L3406" i="21"/>
  <c r="L3404" i="21"/>
  <c r="L3403" i="21"/>
  <c r="L3402" i="21"/>
  <c r="L3401" i="21"/>
  <c r="L3400" i="21"/>
  <c r="L3399" i="21"/>
  <c r="L3398" i="21"/>
  <c r="L3397" i="21"/>
  <c r="L3396" i="21"/>
  <c r="L3394" i="21"/>
  <c r="L3393" i="21"/>
  <c r="L3392" i="21"/>
  <c r="L3391" i="21"/>
  <c r="L3390" i="21"/>
  <c r="L3389" i="21"/>
  <c r="L3388" i="21"/>
  <c r="L3387" i="21"/>
  <c r="L3386" i="21"/>
  <c r="L3384" i="21"/>
  <c r="L3383" i="21"/>
  <c r="L3382" i="21"/>
  <c r="L3381" i="21"/>
  <c r="L3380" i="21"/>
  <c r="L3379" i="21"/>
  <c r="L3378" i="21"/>
  <c r="L3377" i="21"/>
  <c r="L3376" i="21"/>
  <c r="L3374" i="21"/>
  <c r="L3373" i="21"/>
  <c r="L3372" i="21"/>
  <c r="L3371" i="21"/>
  <c r="L3370" i="21"/>
  <c r="L3369" i="21"/>
  <c r="L3368" i="21"/>
  <c r="L3367" i="21"/>
  <c r="L3366" i="21"/>
  <c r="L3364" i="21"/>
  <c r="L3363" i="21"/>
  <c r="L3362" i="21"/>
  <c r="L3361" i="21"/>
  <c r="L3360" i="21"/>
  <c r="L3359" i="21"/>
  <c r="L3358" i="21"/>
  <c r="L3357" i="21"/>
  <c r="L3356" i="21"/>
  <c r="L3354" i="21"/>
  <c r="L3353" i="21"/>
  <c r="L3352" i="21"/>
  <c r="L3351" i="21"/>
  <c r="L3350" i="21"/>
  <c r="L3349" i="21"/>
  <c r="L3348" i="21"/>
  <c r="L3347" i="21"/>
  <c r="L3346" i="21"/>
  <c r="L3344" i="21"/>
  <c r="L3343" i="21"/>
  <c r="L3342" i="21"/>
  <c r="L3341" i="21"/>
  <c r="L3340" i="21"/>
  <c r="L3339" i="21"/>
  <c r="L3338" i="21"/>
  <c r="L3337" i="21"/>
  <c r="L3336" i="21"/>
  <c r="L3334" i="21"/>
  <c r="L3333" i="21"/>
  <c r="L3332" i="21"/>
  <c r="L3331" i="21"/>
  <c r="L3330" i="21"/>
  <c r="L3329" i="21"/>
  <c r="L3328" i="21"/>
  <c r="L3327" i="21"/>
  <c r="L3310" i="21"/>
  <c r="L3309" i="21"/>
  <c r="L3308" i="21"/>
  <c r="L3307" i="21"/>
  <c r="L3306" i="21"/>
  <c r="L3305" i="21"/>
  <c r="L3304" i="21"/>
  <c r="L3303" i="21"/>
  <c r="L3302" i="21"/>
  <c r="L3300" i="21"/>
  <c r="L3299" i="21"/>
  <c r="L3298" i="21"/>
  <c r="L3297" i="21"/>
  <c r="L3296" i="21"/>
  <c r="L3295" i="21"/>
  <c r="L3294" i="21"/>
  <c r="L3293" i="21"/>
  <c r="L3292" i="21"/>
  <c r="L3290" i="21"/>
  <c r="L3289" i="21"/>
  <c r="L3288" i="21"/>
  <c r="L3287" i="21"/>
  <c r="L3286" i="21"/>
  <c r="L3285" i="21"/>
  <c r="L3284" i="21"/>
  <c r="L3283" i="21"/>
  <c r="L3282" i="21"/>
  <c r="L3280" i="21"/>
  <c r="L3279" i="21"/>
  <c r="L3278" i="21"/>
  <c r="L3277" i="21"/>
  <c r="L3276" i="21"/>
  <c r="L3275" i="21"/>
  <c r="L3274" i="21"/>
  <c r="L3273" i="21"/>
  <c r="L3272" i="21"/>
  <c r="L3270" i="21"/>
  <c r="L3269" i="21"/>
  <c r="L3268" i="21"/>
  <c r="L3267" i="21"/>
  <c r="L3266" i="21"/>
  <c r="L3265" i="21"/>
  <c r="L3264" i="21"/>
  <c r="L3263" i="21"/>
  <c r="L3262" i="21"/>
  <c r="L3260" i="21"/>
  <c r="L3259" i="21"/>
  <c r="L3258" i="21"/>
  <c r="L3257" i="21"/>
  <c r="L3256" i="21"/>
  <c r="L3255" i="21"/>
  <c r="L3254" i="21"/>
  <c r="L3253" i="21"/>
  <c r="L3252" i="21"/>
  <c r="L3250" i="21"/>
  <c r="L3249" i="21"/>
  <c r="L3248" i="21"/>
  <c r="L3247" i="21"/>
  <c r="L3246" i="21"/>
  <c r="L3245" i="21"/>
  <c r="L3244" i="21"/>
  <c r="L3243" i="21"/>
  <c r="L3242" i="21"/>
  <c r="L3240" i="21"/>
  <c r="L3239" i="21"/>
  <c r="L3238" i="21"/>
  <c r="L3237" i="21"/>
  <c r="L3236" i="21"/>
  <c r="L3235" i="21"/>
  <c r="L3234" i="21"/>
  <c r="L3233" i="21"/>
  <c r="L3232" i="21"/>
  <c r="L3230" i="21"/>
  <c r="L3229" i="21"/>
  <c r="L3228" i="21"/>
  <c r="L3227" i="21"/>
  <c r="L3226" i="21"/>
  <c r="L3225" i="21"/>
  <c r="L3224" i="21"/>
  <c r="L3223" i="21"/>
  <c r="L3206" i="21"/>
  <c r="L3205" i="21"/>
  <c r="L3204" i="21"/>
  <c r="L3203" i="21"/>
  <c r="L3202" i="21"/>
  <c r="L3201" i="21"/>
  <c r="L3200" i="21"/>
  <c r="L3199" i="21"/>
  <c r="L3198" i="21"/>
  <c r="L3196" i="21"/>
  <c r="L3195" i="21"/>
  <c r="L3194" i="21"/>
  <c r="L3193" i="21"/>
  <c r="L3192" i="21"/>
  <c r="L3191" i="21"/>
  <c r="L3190" i="21"/>
  <c r="L3189" i="21"/>
  <c r="L3188" i="21"/>
  <c r="L3186" i="21"/>
  <c r="L3185" i="21"/>
  <c r="L3184" i="21"/>
  <c r="L3183" i="21"/>
  <c r="L3182" i="21"/>
  <c r="L3181" i="21"/>
  <c r="L3180" i="21"/>
  <c r="L3179" i="21"/>
  <c r="L3178" i="21"/>
  <c r="L3176" i="21"/>
  <c r="L3175" i="21"/>
  <c r="L3174" i="21"/>
  <c r="L3173" i="21"/>
  <c r="L3172" i="21"/>
  <c r="L3171" i="21"/>
  <c r="L3170" i="21"/>
  <c r="L3169" i="21"/>
  <c r="L3168" i="21"/>
  <c r="L3166" i="21"/>
  <c r="L3165" i="21"/>
  <c r="L3164" i="21"/>
  <c r="L3163" i="21"/>
  <c r="L3162" i="21"/>
  <c r="L3161" i="21"/>
  <c r="L3160" i="21"/>
  <c r="L3159" i="21"/>
  <c r="L3158" i="21"/>
  <c r="L3156" i="21"/>
  <c r="L3155" i="21"/>
  <c r="L3154" i="21"/>
  <c r="L3153" i="21"/>
  <c r="L3152" i="21"/>
  <c r="L3151" i="21"/>
  <c r="L3150" i="21"/>
  <c r="L3149" i="21"/>
  <c r="L3148" i="21"/>
  <c r="L3146" i="21"/>
  <c r="L3145" i="21"/>
  <c r="L3144" i="21"/>
  <c r="L3143" i="21"/>
  <c r="L3142" i="21"/>
  <c r="L3141" i="21"/>
  <c r="L3140" i="21"/>
  <c r="L3139" i="21"/>
  <c r="L3138" i="21"/>
  <c r="L3136" i="21"/>
  <c r="L3135" i="21"/>
  <c r="L3134" i="21"/>
  <c r="L3133" i="21"/>
  <c r="L3132" i="21"/>
  <c r="L3131" i="21"/>
  <c r="L3130" i="21"/>
  <c r="L3129" i="21"/>
  <c r="L3128" i="21"/>
  <c r="L3126" i="21"/>
  <c r="L3125" i="21"/>
  <c r="L3124" i="21"/>
  <c r="L3123" i="21"/>
  <c r="L3122" i="21"/>
  <c r="L3121" i="21"/>
  <c r="L3120" i="21"/>
  <c r="L3119" i="21"/>
  <c r="L3103" i="21"/>
  <c r="L3102" i="21"/>
  <c r="L3101" i="21"/>
  <c r="L3100" i="21"/>
  <c r="L3099" i="21"/>
  <c r="L3098" i="21"/>
  <c r="L3097" i="21"/>
  <c r="L3096" i="21"/>
  <c r="L3095" i="21"/>
  <c r="L3093" i="21"/>
  <c r="L3092" i="21"/>
  <c r="L3091" i="21"/>
  <c r="L3090" i="21"/>
  <c r="L3089" i="21"/>
  <c r="L3088" i="21"/>
  <c r="L3087" i="21"/>
  <c r="L3086" i="21"/>
  <c r="L3085" i="21"/>
  <c r="L3083" i="21"/>
  <c r="L3082" i="21"/>
  <c r="L3081" i="21"/>
  <c r="L3080" i="21"/>
  <c r="L3079" i="21"/>
  <c r="L3078" i="21"/>
  <c r="L3077" i="21"/>
  <c r="L3076" i="21"/>
  <c r="L3075" i="21"/>
  <c r="L3073" i="21"/>
  <c r="L3072" i="21"/>
  <c r="L3071" i="21"/>
  <c r="L3070" i="21"/>
  <c r="L3069" i="21"/>
  <c r="L3068" i="21"/>
  <c r="L3067" i="21"/>
  <c r="L3066" i="21"/>
  <c r="L3065" i="21"/>
  <c r="L3063" i="21"/>
  <c r="L3062" i="21"/>
  <c r="L3061" i="21"/>
  <c r="L3060" i="21"/>
  <c r="L3059" i="21"/>
  <c r="L3058" i="21"/>
  <c r="L3057" i="21"/>
  <c r="L3056" i="21"/>
  <c r="L3055" i="21"/>
  <c r="L3053" i="21"/>
  <c r="L3052" i="21"/>
  <c r="L3051" i="21"/>
  <c r="L3050" i="21"/>
  <c r="L3049" i="21"/>
  <c r="L3048" i="21"/>
  <c r="L3047" i="21"/>
  <c r="L3046" i="21"/>
  <c r="L3045" i="21"/>
  <c r="L3043" i="21"/>
  <c r="L3042" i="21"/>
  <c r="L3041" i="21"/>
  <c r="L3040" i="21"/>
  <c r="L3039" i="21"/>
  <c r="L3038" i="21"/>
  <c r="L3037" i="21"/>
  <c r="L3036" i="21"/>
  <c r="L3035" i="21"/>
  <c r="L3033" i="21"/>
  <c r="L3032" i="21"/>
  <c r="L3031" i="21"/>
  <c r="L3030" i="21"/>
  <c r="L3029" i="21"/>
  <c r="L3028" i="21"/>
  <c r="L3027" i="21"/>
  <c r="L3026" i="21"/>
  <c r="L3025" i="21"/>
  <c r="L3023" i="21"/>
  <c r="L3022" i="21"/>
  <c r="L3021" i="21"/>
  <c r="L3020" i="21"/>
  <c r="L3019" i="21"/>
  <c r="L3018" i="21"/>
  <c r="L3017" i="21"/>
  <c r="L3016" i="21"/>
  <c r="L2999" i="21"/>
  <c r="L2998" i="21"/>
  <c r="L2997" i="21"/>
  <c r="L2996" i="21"/>
  <c r="L2995" i="21"/>
  <c r="L2994" i="21"/>
  <c r="L2993" i="21"/>
  <c r="L2992" i="21"/>
  <c r="L2991" i="21"/>
  <c r="L2989" i="21"/>
  <c r="L2988" i="21"/>
  <c r="L2987" i="21"/>
  <c r="L2986" i="21"/>
  <c r="L2985" i="21"/>
  <c r="L2984" i="21"/>
  <c r="L2983" i="21"/>
  <c r="L2982" i="21"/>
  <c r="L2981" i="21"/>
  <c r="L2979" i="21"/>
  <c r="L2978" i="21"/>
  <c r="L2977" i="21"/>
  <c r="L2976" i="21"/>
  <c r="L2975" i="21"/>
  <c r="L2974" i="21"/>
  <c r="L2973" i="21"/>
  <c r="L2972" i="21"/>
  <c r="L2971" i="21"/>
  <c r="L2969" i="21"/>
  <c r="L2968" i="21"/>
  <c r="L2967" i="21"/>
  <c r="L2966" i="21"/>
  <c r="L2965" i="21"/>
  <c r="L2964" i="21"/>
  <c r="L2963" i="21"/>
  <c r="L2962" i="21"/>
  <c r="L2961" i="21"/>
  <c r="L2959" i="21"/>
  <c r="L2958" i="21"/>
  <c r="L2957" i="21"/>
  <c r="L2956" i="21"/>
  <c r="L2955" i="21"/>
  <c r="L2954" i="21"/>
  <c r="L2953" i="21"/>
  <c r="L2952" i="21"/>
  <c r="L2951" i="21"/>
  <c r="L2949" i="21"/>
  <c r="L2948" i="21"/>
  <c r="L2947" i="21"/>
  <c r="L2946" i="21"/>
  <c r="L2945" i="21"/>
  <c r="L2944" i="21"/>
  <c r="L2943" i="21"/>
  <c r="L2942" i="21"/>
  <c r="L2941" i="21"/>
  <c r="L2939" i="21"/>
  <c r="L2938" i="21"/>
  <c r="L2937" i="21"/>
  <c r="L2936" i="21"/>
  <c r="L2935" i="21"/>
  <c r="L2934" i="21"/>
  <c r="L2933" i="21"/>
  <c r="L2932" i="21"/>
  <c r="L2931" i="21"/>
  <c r="L2929" i="21"/>
  <c r="L2928" i="21"/>
  <c r="L2927" i="21"/>
  <c r="L2926" i="21"/>
  <c r="L2925" i="21"/>
  <c r="L2924" i="21"/>
  <c r="L2923" i="21"/>
  <c r="L2922" i="21"/>
  <c r="L2921" i="21"/>
  <c r="L2919" i="21"/>
  <c r="L2918" i="21"/>
  <c r="L2917" i="21"/>
  <c r="L2916" i="21"/>
  <c r="L2915" i="21"/>
  <c r="L2914" i="21"/>
  <c r="L2913" i="21"/>
  <c r="L2912" i="21"/>
  <c r="L2895" i="21"/>
  <c r="L2894" i="21"/>
  <c r="L2893" i="21"/>
  <c r="L2892" i="21"/>
  <c r="L2891" i="21"/>
  <c r="L2890" i="21"/>
  <c r="L2889" i="21"/>
  <c r="L2888" i="21"/>
  <c r="L2887" i="21"/>
  <c r="L2885" i="21"/>
  <c r="L2884" i="21"/>
  <c r="L2883" i="21"/>
  <c r="L2882" i="21"/>
  <c r="L2881" i="21"/>
  <c r="L2880" i="21"/>
  <c r="L2879" i="21"/>
  <c r="L2878" i="21"/>
  <c r="L2877" i="21"/>
  <c r="L2875" i="21"/>
  <c r="L2874" i="21"/>
  <c r="L2873" i="21"/>
  <c r="L2872" i="21"/>
  <c r="L2871" i="21"/>
  <c r="L2870" i="21"/>
  <c r="L2869" i="21"/>
  <c r="L2868" i="21"/>
  <c r="L2867" i="21"/>
  <c r="L2865" i="21"/>
  <c r="L2864" i="21"/>
  <c r="L2863" i="21"/>
  <c r="L2862" i="21"/>
  <c r="L2861" i="21"/>
  <c r="L2860" i="21"/>
  <c r="L2859" i="21"/>
  <c r="L2858" i="21"/>
  <c r="L2857" i="21"/>
  <c r="L2855" i="21"/>
  <c r="L2854" i="21"/>
  <c r="L2853" i="21"/>
  <c r="L2852" i="21"/>
  <c r="L2851" i="21"/>
  <c r="L2850" i="21"/>
  <c r="L2849" i="21"/>
  <c r="L2848" i="21"/>
  <c r="L2847" i="21"/>
  <c r="L2845" i="21"/>
  <c r="L2844" i="21"/>
  <c r="L2843" i="21"/>
  <c r="L2842" i="21"/>
  <c r="L2841" i="21"/>
  <c r="L2840" i="21"/>
  <c r="L2839" i="21"/>
  <c r="L2838" i="21"/>
  <c r="L2837" i="21"/>
  <c r="L2835" i="21"/>
  <c r="L2834" i="21"/>
  <c r="L2833" i="21"/>
  <c r="L2832" i="21"/>
  <c r="L2831" i="21"/>
  <c r="L2830" i="21"/>
  <c r="L2829" i="21"/>
  <c r="L2828" i="21"/>
  <c r="L2827" i="21"/>
  <c r="L2825" i="21"/>
  <c r="L2824" i="21"/>
  <c r="L2823" i="21"/>
  <c r="L2822" i="21"/>
  <c r="L2821" i="21"/>
  <c r="L2820" i="21"/>
  <c r="L2819" i="21"/>
  <c r="L2818" i="21"/>
  <c r="L2817" i="21"/>
  <c r="L2815" i="21"/>
  <c r="L2814" i="21"/>
  <c r="L2813" i="21"/>
  <c r="L2812" i="21"/>
  <c r="L2811" i="21"/>
  <c r="L2810" i="21"/>
  <c r="L2809" i="21"/>
  <c r="L2808" i="21"/>
  <c r="L2791" i="21"/>
  <c r="L2790" i="21"/>
  <c r="L2789" i="21"/>
  <c r="L2788" i="21"/>
  <c r="L2787" i="21"/>
  <c r="L2786" i="21"/>
  <c r="L2785" i="21"/>
  <c r="L2784" i="21"/>
  <c r="L2783" i="21"/>
  <c r="L2781" i="21"/>
  <c r="L2780" i="21"/>
  <c r="L2779" i="21"/>
  <c r="L2778" i="21"/>
  <c r="L2777" i="21"/>
  <c r="L2776" i="21"/>
  <c r="L2775" i="21"/>
  <c r="L2774" i="21"/>
  <c r="L2773" i="21"/>
  <c r="L2771" i="21"/>
  <c r="L2770" i="21"/>
  <c r="L2769" i="21"/>
  <c r="L2768" i="21"/>
  <c r="L2767" i="21"/>
  <c r="L2766" i="21"/>
  <c r="L2765" i="21"/>
  <c r="L2764" i="21"/>
  <c r="L2763" i="21"/>
  <c r="L2761" i="21"/>
  <c r="L2760" i="21"/>
  <c r="L2759" i="21"/>
  <c r="L2758" i="21"/>
  <c r="L2757" i="21"/>
  <c r="L2756" i="21"/>
  <c r="L2755" i="21"/>
  <c r="L2754" i="21"/>
  <c r="L2753" i="21"/>
  <c r="L2751" i="21"/>
  <c r="L2750" i="21"/>
  <c r="L2749" i="21"/>
  <c r="L2748" i="21"/>
  <c r="L2747" i="21"/>
  <c r="L2746" i="21"/>
  <c r="L2745" i="21"/>
  <c r="L2744" i="21"/>
  <c r="L2743" i="21"/>
  <c r="L2741" i="21"/>
  <c r="L2740" i="21"/>
  <c r="L2739" i="21"/>
  <c r="L2738" i="21"/>
  <c r="L2737" i="21"/>
  <c r="L2736" i="21"/>
  <c r="L2735" i="21"/>
  <c r="L2734" i="21"/>
  <c r="L2733" i="21"/>
  <c r="L2731" i="21"/>
  <c r="L2730" i="21"/>
  <c r="L2729" i="21"/>
  <c r="L2728" i="21"/>
  <c r="L2727" i="21"/>
  <c r="L2726" i="21"/>
  <c r="L2725" i="21"/>
  <c r="L2724" i="21"/>
  <c r="L2723" i="21"/>
  <c r="L2721" i="21"/>
  <c r="L2720" i="21"/>
  <c r="L2719" i="21"/>
  <c r="L2718" i="21"/>
  <c r="L2717" i="21"/>
  <c r="L2716" i="21"/>
  <c r="L2715" i="21"/>
  <c r="L2714" i="21"/>
  <c r="L2713" i="21"/>
  <c r="L2711" i="21"/>
  <c r="L2710" i="21"/>
  <c r="L2709" i="21"/>
  <c r="L2708" i="21"/>
  <c r="L2707" i="21"/>
  <c r="L2706" i="21"/>
  <c r="L2705" i="21"/>
  <c r="L2704" i="21"/>
  <c r="L2687" i="21"/>
  <c r="L2686" i="21"/>
  <c r="L2685" i="21"/>
  <c r="L2684" i="21"/>
  <c r="L2683" i="21"/>
  <c r="L2682" i="21"/>
  <c r="L2681" i="21"/>
  <c r="L2680" i="21"/>
  <c r="L2679" i="21"/>
  <c r="L2677" i="21"/>
  <c r="L2676" i="21"/>
  <c r="L2675" i="21"/>
  <c r="L2674" i="21"/>
  <c r="L2673" i="21"/>
  <c r="L2672" i="21"/>
  <c r="L2671" i="21"/>
  <c r="L2670" i="21"/>
  <c r="L2669" i="21"/>
  <c r="L2667" i="21"/>
  <c r="L2666" i="21"/>
  <c r="L2665" i="21"/>
  <c r="L2664" i="21"/>
  <c r="L2663" i="21"/>
  <c r="L2662" i="21"/>
  <c r="L2661" i="21"/>
  <c r="L2660" i="21"/>
  <c r="L2659" i="21"/>
  <c r="L2657" i="21"/>
  <c r="L2656" i="21"/>
  <c r="L2655" i="21"/>
  <c r="L2654" i="21"/>
  <c r="L2653" i="21"/>
  <c r="L2652" i="21"/>
  <c r="L2651" i="21"/>
  <c r="L2650" i="21"/>
  <c r="L2649" i="21"/>
  <c r="L2647" i="21"/>
  <c r="L2646" i="21"/>
  <c r="L2645" i="21"/>
  <c r="L2644" i="21"/>
  <c r="L2643" i="21"/>
  <c r="L2642" i="21"/>
  <c r="L2641" i="21"/>
  <c r="L2640" i="21"/>
  <c r="L2639" i="21"/>
  <c r="L2637" i="21"/>
  <c r="L2636" i="21"/>
  <c r="L2635" i="21"/>
  <c r="L2634" i="21"/>
  <c r="L2633" i="21"/>
  <c r="L2632" i="21"/>
  <c r="L2631" i="21"/>
  <c r="L2630" i="21"/>
  <c r="L2629" i="21"/>
  <c r="L2627" i="21"/>
  <c r="L2626" i="21"/>
  <c r="L2625" i="21"/>
  <c r="L2624" i="21"/>
  <c r="L2623" i="21"/>
  <c r="L2622" i="21"/>
  <c r="L2621" i="21"/>
  <c r="L2620" i="21"/>
  <c r="L2619" i="21"/>
  <c r="L2617" i="21"/>
  <c r="L2616" i="21"/>
  <c r="L2615" i="21"/>
  <c r="L2614" i="21"/>
  <c r="L2613" i="21"/>
  <c r="L2612" i="21"/>
  <c r="L2611" i="21"/>
  <c r="L2610" i="21"/>
  <c r="L2609" i="21"/>
  <c r="L2607" i="21"/>
  <c r="L2606" i="21"/>
  <c r="L2605" i="21"/>
  <c r="L2604" i="21"/>
  <c r="L2603" i="21"/>
  <c r="L2602" i="21"/>
  <c r="L2601" i="21"/>
  <c r="L2600" i="21"/>
  <c r="AE8" i="13"/>
  <c r="L2583" i="21"/>
  <c r="L2582" i="21"/>
  <c r="L2581" i="21"/>
  <c r="L2580" i="21"/>
  <c r="L2579" i="21"/>
  <c r="L2578" i="21"/>
  <c r="L2577" i="21"/>
  <c r="L2576" i="21"/>
  <c r="L2575" i="21"/>
  <c r="L2573" i="21"/>
  <c r="L2572" i="21"/>
  <c r="L2571" i="21"/>
  <c r="L2570" i="21"/>
  <c r="L2569" i="21"/>
  <c r="L2568" i="21"/>
  <c r="L2567" i="21"/>
  <c r="L2566" i="21"/>
  <c r="L2565" i="21"/>
  <c r="L2563" i="21"/>
  <c r="L2562" i="21"/>
  <c r="L2561" i="21"/>
  <c r="L2560" i="21"/>
  <c r="L2559" i="21"/>
  <c r="L2558" i="21"/>
  <c r="L2557" i="21"/>
  <c r="L2556" i="21"/>
  <c r="L2555" i="21"/>
  <c r="L2553" i="21"/>
  <c r="L2552" i="21"/>
  <c r="L2551" i="21"/>
  <c r="L2550" i="21"/>
  <c r="L2549" i="21"/>
  <c r="L2548" i="21"/>
  <c r="L2547" i="21"/>
  <c r="L2546" i="21"/>
  <c r="L2545" i="21"/>
  <c r="L2543" i="21"/>
  <c r="L2542" i="21"/>
  <c r="L2541" i="21"/>
  <c r="L2540" i="21"/>
  <c r="L2539" i="21"/>
  <c r="L2538" i="21"/>
  <c r="L2537" i="21"/>
  <c r="L2536" i="21"/>
  <c r="L2535" i="21"/>
  <c r="L2533" i="21"/>
  <c r="L2532" i="21"/>
  <c r="L2531" i="21"/>
  <c r="L2530" i="21"/>
  <c r="L2529" i="21"/>
  <c r="L2528" i="21"/>
  <c r="L2527" i="21"/>
  <c r="L2526" i="21"/>
  <c r="L2525" i="21"/>
  <c r="L2523" i="21"/>
  <c r="L2522" i="21"/>
  <c r="L2521" i="21"/>
  <c r="L2520" i="21"/>
  <c r="L2519" i="21"/>
  <c r="L2518" i="21"/>
  <c r="L2517" i="21"/>
  <c r="L2516" i="21"/>
  <c r="L2515" i="21"/>
  <c r="L2513" i="21"/>
  <c r="L2512" i="21"/>
  <c r="L2511" i="21"/>
  <c r="L2510" i="21"/>
  <c r="L2509" i="21"/>
  <c r="L2508" i="21"/>
  <c r="L2507" i="21"/>
  <c r="L2506" i="21"/>
  <c r="L2505" i="21"/>
  <c r="L2503" i="21"/>
  <c r="L2502" i="21"/>
  <c r="L2501" i="21"/>
  <c r="L2500" i="21"/>
  <c r="L2499" i="21"/>
  <c r="L2498" i="21"/>
  <c r="L2497" i="21"/>
  <c r="L2496" i="21"/>
  <c r="L2479" i="21"/>
  <c r="L2478" i="21"/>
  <c r="L2477" i="21"/>
  <c r="L2476" i="21"/>
  <c r="L2475" i="21"/>
  <c r="L2474" i="21"/>
  <c r="L2473" i="21"/>
  <c r="L2472" i="21"/>
  <c r="L2471" i="21"/>
  <c r="L2469" i="21"/>
  <c r="L2468" i="21"/>
  <c r="L2467" i="21"/>
  <c r="L2466" i="21"/>
  <c r="L2465" i="21"/>
  <c r="L2464" i="21"/>
  <c r="L2463" i="21"/>
  <c r="L2462" i="21"/>
  <c r="L2461" i="21"/>
  <c r="L2459" i="21"/>
  <c r="L2458" i="21"/>
  <c r="L2457" i="21"/>
  <c r="L2456" i="21"/>
  <c r="L2455" i="21"/>
  <c r="L2454" i="21"/>
  <c r="L2453" i="21"/>
  <c r="L2452" i="21"/>
  <c r="L2451" i="21"/>
  <c r="L2449" i="21"/>
  <c r="L2448" i="21"/>
  <c r="L2447" i="21"/>
  <c r="L2446" i="21"/>
  <c r="L2445" i="21"/>
  <c r="L2444" i="21"/>
  <c r="L2443" i="21"/>
  <c r="L2442" i="21"/>
  <c r="L2441" i="21"/>
  <c r="L2439" i="21"/>
  <c r="L2438" i="21"/>
  <c r="L2437" i="21"/>
  <c r="L2436" i="21"/>
  <c r="L2435" i="21"/>
  <c r="L2434" i="21"/>
  <c r="L2433" i="21"/>
  <c r="L2432" i="21"/>
  <c r="L2431" i="21"/>
  <c r="L2429" i="21"/>
  <c r="L2428" i="21"/>
  <c r="L2427" i="21"/>
  <c r="L2426" i="21"/>
  <c r="L2425" i="21"/>
  <c r="L2424" i="21"/>
  <c r="L2423" i="21"/>
  <c r="L2422" i="21"/>
  <c r="L2421" i="21"/>
  <c r="L2419" i="21"/>
  <c r="L2418" i="21"/>
  <c r="L2417" i="21"/>
  <c r="L2416" i="21"/>
  <c r="L2415" i="21"/>
  <c r="L2414" i="21"/>
  <c r="L2413" i="21"/>
  <c r="L2412" i="21"/>
  <c r="L2411" i="21"/>
  <c r="L2409" i="21"/>
  <c r="L2408" i="21"/>
  <c r="L2407" i="21"/>
  <c r="L2406" i="21"/>
  <c r="L2405" i="21"/>
  <c r="L2404" i="21"/>
  <c r="L2403" i="21"/>
  <c r="L2402" i="21"/>
  <c r="L2401" i="21"/>
  <c r="L2399" i="21"/>
  <c r="L2398" i="21"/>
  <c r="L2397" i="21"/>
  <c r="L2396" i="21"/>
  <c r="L2395" i="21"/>
  <c r="L2394" i="21"/>
  <c r="L2393" i="21"/>
  <c r="L2392" i="21"/>
  <c r="L2375" i="21"/>
  <c r="L2374" i="21"/>
  <c r="L2373" i="21"/>
  <c r="L2372" i="21"/>
  <c r="L2371" i="21"/>
  <c r="L2370" i="21"/>
  <c r="L2369" i="21"/>
  <c r="L2368" i="21"/>
  <c r="L2367" i="21"/>
  <c r="L2365" i="21"/>
  <c r="L2364" i="21"/>
  <c r="L2363" i="21"/>
  <c r="L2362" i="21"/>
  <c r="L2361" i="21"/>
  <c r="L2360" i="21"/>
  <c r="L2359" i="21"/>
  <c r="L2358" i="21"/>
  <c r="L2357" i="21"/>
  <c r="L2355" i="21"/>
  <c r="L2354" i="21"/>
  <c r="L2353" i="21"/>
  <c r="L2352" i="21"/>
  <c r="L2351" i="21"/>
  <c r="L2350" i="21"/>
  <c r="L2349" i="21"/>
  <c r="L2348" i="21"/>
  <c r="L2347" i="21"/>
  <c r="L2345" i="21"/>
  <c r="L2344" i="21"/>
  <c r="L2343" i="21"/>
  <c r="L2342" i="21"/>
  <c r="L2341" i="21"/>
  <c r="L2340" i="21"/>
  <c r="L2339" i="21"/>
  <c r="L2338" i="21"/>
  <c r="L2337" i="21"/>
  <c r="L2335" i="21"/>
  <c r="L2334" i="21"/>
  <c r="L2333" i="21"/>
  <c r="L2332" i="21"/>
  <c r="L2331" i="21"/>
  <c r="L2330" i="21"/>
  <c r="L2329" i="21"/>
  <c r="L2328" i="21"/>
  <c r="L2327" i="21"/>
  <c r="L2325" i="21"/>
  <c r="L2324" i="21"/>
  <c r="L2323" i="21"/>
  <c r="L2322" i="21"/>
  <c r="L2321" i="21"/>
  <c r="L2320" i="21"/>
  <c r="L2319" i="21"/>
  <c r="L2318" i="21"/>
  <c r="L2317" i="21"/>
  <c r="L2315" i="21"/>
  <c r="L2314" i="21"/>
  <c r="L2313" i="21"/>
  <c r="L2312" i="21"/>
  <c r="L2311" i="21"/>
  <c r="L2310" i="21"/>
  <c r="L2309" i="21"/>
  <c r="L2308" i="21"/>
  <c r="L2307" i="21"/>
  <c r="L2305" i="21"/>
  <c r="L2304" i="21"/>
  <c r="L2303" i="21"/>
  <c r="L2302" i="21"/>
  <c r="L2301" i="21"/>
  <c r="L2300" i="21"/>
  <c r="L2299" i="21"/>
  <c r="L2298" i="21"/>
  <c r="L2297" i="21"/>
  <c r="L2295" i="21"/>
  <c r="L2294" i="21"/>
  <c r="L2293" i="21"/>
  <c r="L2292" i="21"/>
  <c r="L2291" i="21"/>
  <c r="L2290" i="21"/>
  <c r="L2289" i="21"/>
  <c r="L2288" i="21"/>
  <c r="L2262" i="21"/>
  <c r="L2261" i="21"/>
  <c r="L2260" i="21"/>
  <c r="L2259" i="21"/>
  <c r="L2258" i="21"/>
  <c r="L2257" i="21"/>
  <c r="L2256" i="21"/>
  <c r="L2255" i="21"/>
  <c r="L2254" i="21"/>
  <c r="L2252" i="21"/>
  <c r="L2251" i="21"/>
  <c r="L2250" i="21"/>
  <c r="L2249" i="21"/>
  <c r="L2248" i="21"/>
  <c r="L2247" i="21"/>
  <c r="L2246" i="21"/>
  <c r="L2245" i="21"/>
  <c r="L2244" i="21"/>
  <c r="L2242" i="21"/>
  <c r="L2241" i="21"/>
  <c r="L2240" i="21"/>
  <c r="L2239" i="21"/>
  <c r="L2238" i="21"/>
  <c r="L2237" i="21"/>
  <c r="L2236" i="21"/>
  <c r="L2235" i="21"/>
  <c r="L2234" i="21"/>
  <c r="L2232" i="21"/>
  <c r="L2231" i="21"/>
  <c r="L2230" i="21"/>
  <c r="L2229" i="21"/>
  <c r="L2228" i="21"/>
  <c r="L2227" i="21"/>
  <c r="L2226" i="21"/>
  <c r="L2225" i="21"/>
  <c r="L2224" i="21"/>
  <c r="L2222" i="21"/>
  <c r="L2221" i="21"/>
  <c r="L2220" i="21"/>
  <c r="L2219" i="21"/>
  <c r="L2218" i="21"/>
  <c r="L2217" i="21"/>
  <c r="L2216" i="21"/>
  <c r="L2215" i="21"/>
  <c r="L2214" i="21"/>
  <c r="L2212" i="21"/>
  <c r="L2211" i="21"/>
  <c r="L2210" i="21"/>
  <c r="L2209" i="21"/>
  <c r="L2208" i="21"/>
  <c r="L2207" i="21"/>
  <c r="L2206" i="21"/>
  <c r="L2205" i="21"/>
  <c r="L2204" i="21"/>
  <c r="L2202" i="21"/>
  <c r="L2201" i="21"/>
  <c r="L2200" i="21"/>
  <c r="L2199" i="21"/>
  <c r="L2198" i="21"/>
  <c r="L2197" i="21"/>
  <c r="L2196" i="21"/>
  <c r="L2195" i="21"/>
  <c r="L2194" i="21"/>
  <c r="L2192" i="21"/>
  <c r="L2191" i="21"/>
  <c r="L2190" i="21"/>
  <c r="L2189" i="21"/>
  <c r="L2188" i="21"/>
  <c r="L2187" i="21"/>
  <c r="L2186" i="21"/>
  <c r="L2185" i="21"/>
  <c r="L2184" i="21"/>
  <c r="L2182" i="21"/>
  <c r="L2181" i="21"/>
  <c r="L2180" i="21"/>
  <c r="L2179" i="21"/>
  <c r="L2178" i="21"/>
  <c r="L2177" i="21"/>
  <c r="L2176" i="21"/>
  <c r="L2175" i="21"/>
  <c r="L2158" i="21"/>
  <c r="L2157" i="21"/>
  <c r="L2156" i="21"/>
  <c r="L2155" i="21"/>
  <c r="L2154" i="21"/>
  <c r="L2153" i="21"/>
  <c r="L2152" i="21"/>
  <c r="L2151" i="21"/>
  <c r="L2150" i="21"/>
  <c r="L2148" i="21"/>
  <c r="L2147" i="21"/>
  <c r="L2146" i="21"/>
  <c r="L2145" i="21"/>
  <c r="L2144" i="21"/>
  <c r="L2143" i="21"/>
  <c r="L2142" i="21"/>
  <c r="L2141" i="21"/>
  <c r="L2140" i="21"/>
  <c r="L2138" i="21"/>
  <c r="L2137" i="21"/>
  <c r="L2136" i="21"/>
  <c r="L2135" i="21"/>
  <c r="L2134" i="21"/>
  <c r="L2133" i="21"/>
  <c r="L2132" i="21"/>
  <c r="L2131" i="21"/>
  <c r="L2130" i="21"/>
  <c r="L2128" i="21"/>
  <c r="L2127" i="21"/>
  <c r="L2126" i="21"/>
  <c r="L2125" i="21"/>
  <c r="L2124" i="21"/>
  <c r="L2123" i="21"/>
  <c r="L2122" i="21"/>
  <c r="L2121" i="21"/>
  <c r="L2120" i="21"/>
  <c r="L2118" i="21"/>
  <c r="L2117" i="21"/>
  <c r="L2116" i="21"/>
  <c r="L2115" i="21"/>
  <c r="L2114" i="21"/>
  <c r="L2113" i="21"/>
  <c r="L2112" i="21"/>
  <c r="L2111" i="21"/>
  <c r="L2110" i="21"/>
  <c r="L2108" i="21"/>
  <c r="L2107" i="21"/>
  <c r="L2106" i="21"/>
  <c r="L2105" i="21"/>
  <c r="L2104" i="21"/>
  <c r="L2103" i="21"/>
  <c r="L2102" i="21"/>
  <c r="L2101" i="21"/>
  <c r="L2100" i="21"/>
  <c r="L2098" i="21"/>
  <c r="L2097" i="21"/>
  <c r="L2096" i="21"/>
  <c r="L2095" i="21"/>
  <c r="L2094" i="21"/>
  <c r="L2093" i="21"/>
  <c r="L2092" i="21"/>
  <c r="L2091" i="21"/>
  <c r="L2090" i="21"/>
  <c r="L2088" i="21"/>
  <c r="L2087" i="21"/>
  <c r="L2086" i="21"/>
  <c r="L2085" i="21"/>
  <c r="L2084" i="21"/>
  <c r="L2083" i="21"/>
  <c r="L2082" i="21"/>
  <c r="L2081" i="21"/>
  <c r="L2080" i="21"/>
  <c r="L2078" i="21"/>
  <c r="L2077" i="21"/>
  <c r="L2076" i="21"/>
  <c r="L2075" i="21"/>
  <c r="L2074" i="21"/>
  <c r="L2073" i="21"/>
  <c r="L2072" i="21"/>
  <c r="L2071" i="21"/>
  <c r="L2054" i="21"/>
  <c r="L2053" i="21"/>
  <c r="L2052" i="21"/>
  <c r="L2051" i="21"/>
  <c r="L2050" i="21"/>
  <c r="L2049" i="21"/>
  <c r="L2048" i="21"/>
  <c r="L2047" i="21"/>
  <c r="L2046" i="21"/>
  <c r="L2044" i="21"/>
  <c r="L2043" i="21"/>
  <c r="L2042" i="21"/>
  <c r="L2041" i="21"/>
  <c r="L2040" i="21"/>
  <c r="L2039" i="21"/>
  <c r="L2038" i="21"/>
  <c r="L2037" i="21"/>
  <c r="L2036" i="21"/>
  <c r="L2034" i="21"/>
  <c r="L2033" i="21"/>
  <c r="L2032" i="21"/>
  <c r="L2031" i="21"/>
  <c r="L2030" i="21"/>
  <c r="L2029" i="21"/>
  <c r="L2028" i="21"/>
  <c r="L2027" i="21"/>
  <c r="L2026" i="21"/>
  <c r="L2024" i="21"/>
  <c r="L2023" i="21"/>
  <c r="L2022" i="21"/>
  <c r="L2021" i="21"/>
  <c r="L2020" i="21"/>
  <c r="L2019" i="21"/>
  <c r="L2018" i="21"/>
  <c r="L2017" i="21"/>
  <c r="L2016" i="21"/>
  <c r="L2014" i="21"/>
  <c r="L2013" i="21"/>
  <c r="L2012" i="21"/>
  <c r="L2011" i="21"/>
  <c r="L2010" i="21"/>
  <c r="L2009" i="21"/>
  <c r="L2008" i="21"/>
  <c r="L2007" i="21"/>
  <c r="L2006" i="21"/>
  <c r="L2004" i="21"/>
  <c r="L2003" i="21"/>
  <c r="L2002" i="21"/>
  <c r="L2001" i="21"/>
  <c r="L2000" i="21"/>
  <c r="L1999" i="21"/>
  <c r="L1998" i="21"/>
  <c r="L1997" i="21"/>
  <c r="L1996" i="21"/>
  <c r="L1994" i="21"/>
  <c r="L1993" i="21"/>
  <c r="L1992" i="21"/>
  <c r="L1991" i="21"/>
  <c r="L1990" i="21"/>
  <c r="L1989" i="21"/>
  <c r="L1988" i="21"/>
  <c r="L1987" i="21"/>
  <c r="L1986" i="21"/>
  <c r="L1984" i="21"/>
  <c r="L1983" i="21"/>
  <c r="L1982" i="21"/>
  <c r="L1981" i="21"/>
  <c r="L1980" i="21"/>
  <c r="L1979" i="21"/>
  <c r="L1978" i="21"/>
  <c r="L1977" i="21"/>
  <c r="L1976" i="21"/>
  <c r="L1974" i="21"/>
  <c r="L1973" i="21"/>
  <c r="L1972" i="21"/>
  <c r="L1971" i="21"/>
  <c r="L1970" i="21"/>
  <c r="L1969" i="21"/>
  <c r="L1968" i="21"/>
  <c r="L1967" i="21"/>
  <c r="L1951" i="21"/>
  <c r="L1950" i="21"/>
  <c r="L1949" i="21"/>
  <c r="L1948" i="21"/>
  <c r="L1947" i="21"/>
  <c r="L1946" i="21"/>
  <c r="L1945" i="21"/>
  <c r="L1944" i="21"/>
  <c r="L1943" i="21"/>
  <c r="L1941" i="21"/>
  <c r="L1940" i="21"/>
  <c r="L1939" i="21"/>
  <c r="L1938" i="21"/>
  <c r="L1937" i="21"/>
  <c r="L1936" i="21"/>
  <c r="L1935" i="21"/>
  <c r="L1934" i="21"/>
  <c r="L1933" i="21"/>
  <c r="L1931" i="21"/>
  <c r="L1930" i="21"/>
  <c r="L1929" i="21"/>
  <c r="L1928" i="21"/>
  <c r="L1927" i="21"/>
  <c r="L1926" i="21"/>
  <c r="L1925" i="21"/>
  <c r="L1924" i="21"/>
  <c r="L1923" i="21"/>
  <c r="L1921" i="21"/>
  <c r="L1920" i="21"/>
  <c r="L1919" i="21"/>
  <c r="L1918" i="21"/>
  <c r="L1917" i="21"/>
  <c r="L1916" i="21"/>
  <c r="L1915" i="21"/>
  <c r="L1914" i="21"/>
  <c r="L1913" i="21"/>
  <c r="L1911" i="21"/>
  <c r="L1910" i="21"/>
  <c r="L1909" i="21"/>
  <c r="L1908" i="21"/>
  <c r="L1907" i="21"/>
  <c r="L1906" i="21"/>
  <c r="L1905" i="21"/>
  <c r="L1904" i="21"/>
  <c r="L1903" i="21"/>
  <c r="L1901" i="21"/>
  <c r="L1900" i="21"/>
  <c r="L1899" i="21"/>
  <c r="L1898" i="21"/>
  <c r="L1897" i="21"/>
  <c r="L1896" i="21"/>
  <c r="L1895" i="21"/>
  <c r="L1894" i="21"/>
  <c r="L1893" i="21"/>
  <c r="L1891" i="21"/>
  <c r="L1890" i="21"/>
  <c r="L1889" i="21"/>
  <c r="L1888" i="21"/>
  <c r="L1887" i="21"/>
  <c r="L1886" i="21"/>
  <c r="L1885" i="21"/>
  <c r="L1884" i="21"/>
  <c r="L1883" i="21"/>
  <c r="L1881" i="21"/>
  <c r="L1880" i="21"/>
  <c r="L1879" i="21"/>
  <c r="L1878" i="21"/>
  <c r="L1877" i="21"/>
  <c r="L1876" i="21"/>
  <c r="L1875" i="21"/>
  <c r="L1874" i="21"/>
  <c r="L1873" i="21"/>
  <c r="L1871" i="21"/>
  <c r="L1870" i="21"/>
  <c r="L1869" i="21"/>
  <c r="L1868" i="21"/>
  <c r="L1867" i="21"/>
  <c r="L1866" i="21"/>
  <c r="L1865" i="21"/>
  <c r="L1864" i="21"/>
  <c r="L1848" i="21"/>
  <c r="L1847" i="21"/>
  <c r="L1846" i="21"/>
  <c r="L1845" i="21"/>
  <c r="L1844" i="21"/>
  <c r="L1843" i="21"/>
  <c r="L1842" i="21"/>
  <c r="L1841" i="21"/>
  <c r="L1840" i="21"/>
  <c r="L1838" i="21"/>
  <c r="L1837" i="21"/>
  <c r="L1836" i="21"/>
  <c r="L1835" i="21"/>
  <c r="L1834" i="21"/>
  <c r="L1833" i="21"/>
  <c r="L1832" i="21"/>
  <c r="L1831" i="21"/>
  <c r="L1830" i="21"/>
  <c r="L1828" i="21"/>
  <c r="L1827" i="21"/>
  <c r="L1826" i="21"/>
  <c r="L1825" i="21"/>
  <c r="L1824" i="21"/>
  <c r="L1823" i="21"/>
  <c r="L1822" i="21"/>
  <c r="L1821" i="21"/>
  <c r="L1820" i="21"/>
  <c r="L1818" i="21"/>
  <c r="L1817" i="21"/>
  <c r="L1816" i="21"/>
  <c r="L1815" i="21"/>
  <c r="L1814" i="21"/>
  <c r="L1813" i="21"/>
  <c r="L1812" i="21"/>
  <c r="L1811" i="21"/>
  <c r="L1810" i="21"/>
  <c r="L1808" i="21"/>
  <c r="L1807" i="21"/>
  <c r="L1806" i="21"/>
  <c r="L1805" i="21"/>
  <c r="L1804" i="21"/>
  <c r="L1803" i="21"/>
  <c r="L1802" i="21"/>
  <c r="L1801" i="21"/>
  <c r="L1800" i="21"/>
  <c r="L1798" i="21"/>
  <c r="L1797" i="21"/>
  <c r="L1796" i="21"/>
  <c r="L1795" i="21"/>
  <c r="L1794" i="21"/>
  <c r="L1793" i="21"/>
  <c r="L1792" i="21"/>
  <c r="L1791" i="21"/>
  <c r="L1790" i="21"/>
  <c r="L1788" i="21"/>
  <c r="L1787" i="21"/>
  <c r="L1786" i="21"/>
  <c r="L1785" i="21"/>
  <c r="L1784" i="21"/>
  <c r="L1783" i="21"/>
  <c r="L1782" i="21"/>
  <c r="L1781" i="21"/>
  <c r="L1780" i="21"/>
  <c r="L1778" i="21"/>
  <c r="L1777" i="21"/>
  <c r="L1776" i="21"/>
  <c r="L1775" i="21"/>
  <c r="L1774" i="21"/>
  <c r="L1773" i="21"/>
  <c r="L1772" i="21"/>
  <c r="L1771" i="21"/>
  <c r="L1770" i="21"/>
  <c r="L1768" i="21"/>
  <c r="L1767" i="21"/>
  <c r="L1766" i="21"/>
  <c r="L1765" i="21"/>
  <c r="L1764" i="21"/>
  <c r="L1763" i="21"/>
  <c r="L1762" i="21"/>
  <c r="L1761" i="21"/>
  <c r="L1745" i="21"/>
  <c r="L1744" i="21"/>
  <c r="L1743" i="21"/>
  <c r="L1742" i="21"/>
  <c r="L1741" i="21"/>
  <c r="L1740" i="21"/>
  <c r="L1739" i="21"/>
  <c r="L1738" i="21"/>
  <c r="L1737" i="21"/>
  <c r="L1735" i="21"/>
  <c r="L1734" i="21"/>
  <c r="L1733" i="21"/>
  <c r="L1732" i="21"/>
  <c r="L1731" i="21"/>
  <c r="L1730" i="21"/>
  <c r="L1729" i="21"/>
  <c r="L1728" i="21"/>
  <c r="L1727" i="21"/>
  <c r="L1725" i="21"/>
  <c r="L1724" i="21"/>
  <c r="L1723" i="21"/>
  <c r="L1722" i="21"/>
  <c r="L1721" i="21"/>
  <c r="L1720" i="21"/>
  <c r="L1719" i="21"/>
  <c r="L1718" i="21"/>
  <c r="L1717" i="21"/>
  <c r="L1715" i="21"/>
  <c r="L1714" i="21"/>
  <c r="L1713" i="21"/>
  <c r="L1712" i="21"/>
  <c r="L1711" i="21"/>
  <c r="L1710" i="21"/>
  <c r="L1709" i="21"/>
  <c r="L1708" i="21"/>
  <c r="L1707" i="21"/>
  <c r="L1705" i="21"/>
  <c r="L1704" i="21"/>
  <c r="L1703" i="21"/>
  <c r="L1702" i="21"/>
  <c r="L1701" i="21"/>
  <c r="L1700" i="21"/>
  <c r="L1699" i="21"/>
  <c r="L1698" i="21"/>
  <c r="L1697" i="21"/>
  <c r="L1695" i="21"/>
  <c r="L1694" i="21"/>
  <c r="L1693" i="21"/>
  <c r="L1692" i="21"/>
  <c r="L1691" i="21"/>
  <c r="L1690" i="21"/>
  <c r="L1689" i="21"/>
  <c r="L1688" i="21"/>
  <c r="L1687" i="21"/>
  <c r="L1685" i="21"/>
  <c r="L1684" i="21"/>
  <c r="L1683" i="21"/>
  <c r="L1682" i="21"/>
  <c r="L1681" i="21"/>
  <c r="L1680" i="21"/>
  <c r="L1679" i="21"/>
  <c r="L1678" i="21"/>
  <c r="L1677" i="21"/>
  <c r="L1675" i="21"/>
  <c r="L1674" i="21"/>
  <c r="L1673" i="21"/>
  <c r="L1672" i="21"/>
  <c r="L1671" i="21"/>
  <c r="L1670" i="21"/>
  <c r="L1669" i="21"/>
  <c r="L1668" i="21"/>
  <c r="L1667" i="21"/>
  <c r="L1665" i="21"/>
  <c r="L1664" i="21"/>
  <c r="L1663" i="21"/>
  <c r="L1662" i="21"/>
  <c r="L1661" i="21"/>
  <c r="L1660" i="21"/>
  <c r="L1659" i="21"/>
  <c r="L1658" i="21"/>
  <c r="L1642" i="21"/>
  <c r="L1641" i="21"/>
  <c r="L1640" i="21"/>
  <c r="L1639" i="21"/>
  <c r="L1638" i="21"/>
  <c r="L1637" i="21"/>
  <c r="L1636" i="21"/>
  <c r="L1635" i="21"/>
  <c r="L1634" i="21"/>
  <c r="L1632" i="21"/>
  <c r="L1631" i="21"/>
  <c r="L1630" i="21"/>
  <c r="L1629" i="21"/>
  <c r="L1628" i="21"/>
  <c r="L1627" i="21"/>
  <c r="L1626" i="21"/>
  <c r="L1625" i="21"/>
  <c r="L1624" i="21"/>
  <c r="L1622" i="21"/>
  <c r="L1621" i="21"/>
  <c r="L1620" i="21"/>
  <c r="L1619" i="21"/>
  <c r="L1618" i="21"/>
  <c r="L1617" i="21"/>
  <c r="L1616" i="21"/>
  <c r="L1615" i="21"/>
  <c r="L1614" i="21"/>
  <c r="L1612" i="21"/>
  <c r="L1611" i="21"/>
  <c r="L1610" i="21"/>
  <c r="L1609" i="21"/>
  <c r="L1608" i="21"/>
  <c r="L1607" i="21"/>
  <c r="L1606" i="21"/>
  <c r="L1605" i="21"/>
  <c r="L1604" i="21"/>
  <c r="L1602" i="21"/>
  <c r="L1601" i="21"/>
  <c r="L1600" i="21"/>
  <c r="L1599" i="21"/>
  <c r="L1598" i="21"/>
  <c r="L1597" i="21"/>
  <c r="L1596" i="21"/>
  <c r="L1595" i="21"/>
  <c r="L1594" i="21"/>
  <c r="L1592" i="21"/>
  <c r="L1591" i="21"/>
  <c r="L1590" i="21"/>
  <c r="L1589" i="21"/>
  <c r="L1588" i="21"/>
  <c r="L1587" i="21"/>
  <c r="L1586" i="21"/>
  <c r="L1585" i="21"/>
  <c r="L1584" i="21"/>
  <c r="L1582" i="21"/>
  <c r="L1581" i="21"/>
  <c r="L1580" i="21"/>
  <c r="L1579" i="21"/>
  <c r="L1578" i="21"/>
  <c r="L1577" i="21"/>
  <c r="L1576" i="21"/>
  <c r="L1575" i="21"/>
  <c r="L1574" i="21"/>
  <c r="L1572" i="21"/>
  <c r="L1571" i="21"/>
  <c r="L1570" i="21"/>
  <c r="L1569" i="21"/>
  <c r="L1568" i="21"/>
  <c r="L1567" i="21"/>
  <c r="L1566" i="21"/>
  <c r="L1565" i="21"/>
  <c r="L1564" i="21"/>
  <c r="L1562" i="21"/>
  <c r="L1561" i="21"/>
  <c r="L1560" i="21"/>
  <c r="L1559" i="21"/>
  <c r="L1558" i="21"/>
  <c r="L1557" i="21"/>
  <c r="L1556" i="21"/>
  <c r="L1555" i="21"/>
  <c r="L1539" i="21"/>
  <c r="L1538" i="21"/>
  <c r="L1537" i="21"/>
  <c r="L1536" i="21"/>
  <c r="L1535" i="21"/>
  <c r="L1534" i="21"/>
  <c r="L1533" i="21"/>
  <c r="L1532" i="21"/>
  <c r="L1531" i="21"/>
  <c r="L1529" i="21"/>
  <c r="L1528" i="21"/>
  <c r="L1527" i="21"/>
  <c r="L1526" i="21"/>
  <c r="L1525" i="21"/>
  <c r="L1524" i="21"/>
  <c r="L1523" i="21"/>
  <c r="L1522" i="21"/>
  <c r="L1521" i="21"/>
  <c r="L1519" i="21"/>
  <c r="L1518" i="21"/>
  <c r="L1517" i="21"/>
  <c r="L1516" i="21"/>
  <c r="L1515" i="21"/>
  <c r="L1514" i="21"/>
  <c r="L1513" i="21"/>
  <c r="L1512" i="21"/>
  <c r="L1511" i="21"/>
  <c r="L1509" i="21"/>
  <c r="L1508" i="21"/>
  <c r="L1507" i="21"/>
  <c r="L1506" i="21"/>
  <c r="L1505" i="21"/>
  <c r="L1504" i="21"/>
  <c r="L1503" i="21"/>
  <c r="L1502" i="21"/>
  <c r="L1501" i="21"/>
  <c r="L1499" i="21"/>
  <c r="L1498" i="21"/>
  <c r="L1497" i="21"/>
  <c r="L1496" i="21"/>
  <c r="L1495" i="21"/>
  <c r="L1494" i="21"/>
  <c r="L1493" i="21"/>
  <c r="L1492" i="21"/>
  <c r="L1491" i="21"/>
  <c r="L1489" i="21"/>
  <c r="L1488" i="21"/>
  <c r="L1487" i="21"/>
  <c r="L1486" i="21"/>
  <c r="L1485" i="21"/>
  <c r="L1484" i="21"/>
  <c r="L1483" i="21"/>
  <c r="L1482" i="21"/>
  <c r="L1481" i="21"/>
  <c r="L1479" i="21"/>
  <c r="L1478" i="21"/>
  <c r="L1477" i="21"/>
  <c r="L1476" i="21"/>
  <c r="L1475" i="21"/>
  <c r="L1474" i="21"/>
  <c r="L1473" i="21"/>
  <c r="L1472" i="21"/>
  <c r="L1471" i="21"/>
  <c r="L1469" i="21"/>
  <c r="L1468" i="21"/>
  <c r="L1467" i="21"/>
  <c r="L1466" i="21"/>
  <c r="L1465" i="21"/>
  <c r="L1464" i="21"/>
  <c r="L1463" i="21"/>
  <c r="L1462" i="21"/>
  <c r="L1461" i="21"/>
  <c r="L1459" i="21"/>
  <c r="L1458" i="21"/>
  <c r="L1457" i="21"/>
  <c r="L1456" i="21"/>
  <c r="L1455" i="21"/>
  <c r="L1454" i="21"/>
  <c r="L1453" i="21"/>
  <c r="L1452" i="21"/>
  <c r="K18" i="4"/>
  <c r="L1436" i="21"/>
  <c r="L1435" i="21"/>
  <c r="L1434" i="21"/>
  <c r="L1433" i="21"/>
  <c r="L1432" i="21"/>
  <c r="L1431" i="21"/>
  <c r="L1430" i="21"/>
  <c r="L1429" i="21"/>
  <c r="L1428" i="21"/>
  <c r="L1426" i="21"/>
  <c r="L1425" i="21"/>
  <c r="L1424" i="21"/>
  <c r="L1423" i="21"/>
  <c r="L1422" i="21"/>
  <c r="L1421" i="21"/>
  <c r="L1420" i="21"/>
  <c r="L1419" i="21"/>
  <c r="L1418" i="21"/>
  <c r="L1416" i="21"/>
  <c r="L1415" i="21"/>
  <c r="L1414" i="21"/>
  <c r="L1413" i="21"/>
  <c r="L1412" i="21"/>
  <c r="L1411" i="21"/>
  <c r="L1410" i="21"/>
  <c r="L1409" i="21"/>
  <c r="L1408" i="21"/>
  <c r="L1406" i="21"/>
  <c r="L1405" i="21"/>
  <c r="L1404" i="21"/>
  <c r="L1403" i="21"/>
  <c r="L1402" i="21"/>
  <c r="L1401" i="21"/>
  <c r="L1400" i="21"/>
  <c r="L1399" i="21"/>
  <c r="L1398" i="21"/>
  <c r="L1396" i="21"/>
  <c r="L1395" i="21"/>
  <c r="L1394" i="21"/>
  <c r="L1393" i="21"/>
  <c r="L1392" i="21"/>
  <c r="L1391" i="21"/>
  <c r="L1390" i="21"/>
  <c r="L1389" i="21"/>
  <c r="L1388" i="21"/>
  <c r="L1386" i="21"/>
  <c r="L1385" i="21"/>
  <c r="L1384" i="21"/>
  <c r="L1383" i="21"/>
  <c r="L1382" i="21"/>
  <c r="L1381" i="21"/>
  <c r="L1380" i="21"/>
  <c r="L1379" i="21"/>
  <c r="L1378" i="21"/>
  <c r="L1376" i="21"/>
  <c r="L1375" i="21"/>
  <c r="L1374" i="21"/>
  <c r="L1373" i="21"/>
  <c r="L1372" i="21"/>
  <c r="L1371" i="21"/>
  <c r="L1370" i="21"/>
  <c r="L1369" i="21"/>
  <c r="L1368" i="21"/>
  <c r="L1366" i="21"/>
  <c r="L1365" i="21"/>
  <c r="L1364" i="21"/>
  <c r="L1363" i="21"/>
  <c r="L1362" i="21"/>
  <c r="L1361" i="21"/>
  <c r="L1360" i="21"/>
  <c r="L1359" i="21"/>
  <c r="L1358" i="21"/>
  <c r="L1356" i="21"/>
  <c r="L1355" i="21"/>
  <c r="L1354" i="21"/>
  <c r="L1353" i="21"/>
  <c r="L1352" i="21"/>
  <c r="L1351" i="21"/>
  <c r="L1350" i="21"/>
  <c r="L1349" i="21"/>
  <c r="L1333" i="21"/>
  <c r="L1332" i="21"/>
  <c r="L1331" i="21"/>
  <c r="L1330" i="21"/>
  <c r="L1329" i="21"/>
  <c r="L1328" i="21"/>
  <c r="L1327" i="21"/>
  <c r="L1326" i="21"/>
  <c r="L1325" i="21"/>
  <c r="L1323" i="21"/>
  <c r="L1322" i="21"/>
  <c r="L1321" i="21"/>
  <c r="L1320" i="21"/>
  <c r="L1319" i="21"/>
  <c r="L1318" i="21"/>
  <c r="L1317" i="21"/>
  <c r="L1316" i="21"/>
  <c r="L1315" i="21"/>
  <c r="L1313" i="21"/>
  <c r="L1312" i="21"/>
  <c r="L1311" i="21"/>
  <c r="L1310" i="21"/>
  <c r="L1309" i="21"/>
  <c r="L1308" i="21"/>
  <c r="L1307" i="21"/>
  <c r="L1306" i="21"/>
  <c r="L1305" i="21"/>
  <c r="L1303" i="21"/>
  <c r="L1302" i="21"/>
  <c r="L1301" i="21"/>
  <c r="L1300" i="21"/>
  <c r="L1299" i="21"/>
  <c r="L1298" i="21"/>
  <c r="L1297" i="21"/>
  <c r="L1296" i="21"/>
  <c r="L1295" i="21"/>
  <c r="L1293" i="21"/>
  <c r="L1292" i="21"/>
  <c r="L1291" i="21"/>
  <c r="L1290" i="21"/>
  <c r="L1289" i="21"/>
  <c r="L1288" i="21"/>
  <c r="L1287" i="21"/>
  <c r="L1286" i="21"/>
  <c r="L1285" i="21"/>
  <c r="L1283" i="21"/>
  <c r="L1282" i="21"/>
  <c r="L1281" i="21"/>
  <c r="L1280" i="21"/>
  <c r="L1279" i="21"/>
  <c r="L1278" i="21"/>
  <c r="L1277" i="21"/>
  <c r="L1276" i="21"/>
  <c r="L1275" i="21"/>
  <c r="L1273" i="21"/>
  <c r="L1272" i="21"/>
  <c r="L1271" i="21"/>
  <c r="L1270" i="21"/>
  <c r="L1269" i="21"/>
  <c r="L1268" i="21"/>
  <c r="L1267" i="21"/>
  <c r="L1266" i="21"/>
  <c r="L1265" i="21"/>
  <c r="L1263" i="21"/>
  <c r="L1262" i="21"/>
  <c r="L1261" i="21"/>
  <c r="L1260" i="21"/>
  <c r="L1259" i="21"/>
  <c r="L1258" i="21"/>
  <c r="L1257" i="21"/>
  <c r="L1256" i="21"/>
  <c r="L1255" i="21"/>
  <c r="L1253" i="21"/>
  <c r="L1252" i="21"/>
  <c r="L1251" i="21"/>
  <c r="L1250" i="21"/>
  <c r="L1249" i="21"/>
  <c r="L1248" i="21"/>
  <c r="L1247" i="21"/>
  <c r="L1246" i="21"/>
  <c r="L1231" i="21"/>
  <c r="L1230" i="21"/>
  <c r="L1229" i="21"/>
  <c r="L1228" i="21"/>
  <c r="L1227" i="21"/>
  <c r="L1226" i="21"/>
  <c r="L1225" i="21"/>
  <c r="L1224" i="21"/>
  <c r="L1223" i="21"/>
  <c r="L1221" i="21"/>
  <c r="L1220" i="21"/>
  <c r="L1219" i="21"/>
  <c r="L1218" i="21"/>
  <c r="L1217" i="21"/>
  <c r="L1216" i="21"/>
  <c r="L1215" i="21"/>
  <c r="L1214" i="21"/>
  <c r="L1213" i="21"/>
  <c r="L1211" i="21"/>
  <c r="L1210" i="21"/>
  <c r="L1209" i="21"/>
  <c r="L1208" i="21"/>
  <c r="L1207" i="21"/>
  <c r="L1206" i="21"/>
  <c r="L1205" i="21"/>
  <c r="L1204" i="21"/>
  <c r="L1203" i="21"/>
  <c r="L1201" i="21"/>
  <c r="L1200" i="21"/>
  <c r="L1199" i="21"/>
  <c r="L1198" i="21"/>
  <c r="L1197" i="21"/>
  <c r="L1196" i="21"/>
  <c r="L1195" i="21"/>
  <c r="L1194" i="21"/>
  <c r="L1193" i="21"/>
  <c r="L1191" i="21"/>
  <c r="L1190" i="21"/>
  <c r="L1189" i="21"/>
  <c r="L1188" i="21"/>
  <c r="L1187" i="21"/>
  <c r="L1186" i="21"/>
  <c r="L1185" i="21"/>
  <c r="L1184" i="21"/>
  <c r="L1183" i="21"/>
  <c r="L1181" i="21"/>
  <c r="L1180" i="21"/>
  <c r="L1179" i="21"/>
  <c r="L1178" i="21"/>
  <c r="L1177" i="21"/>
  <c r="L1176" i="21"/>
  <c r="L1175" i="21"/>
  <c r="L1174" i="21"/>
  <c r="L1173" i="21"/>
  <c r="L1171" i="21"/>
  <c r="L1170" i="21"/>
  <c r="L1169" i="21"/>
  <c r="L1168" i="21"/>
  <c r="L1167" i="21"/>
  <c r="L1166" i="21"/>
  <c r="L1165" i="21"/>
  <c r="L1164" i="21"/>
  <c r="L1163" i="21"/>
  <c r="L1161" i="21"/>
  <c r="L1160" i="21"/>
  <c r="L1159" i="21"/>
  <c r="L1158" i="21"/>
  <c r="L1157" i="21"/>
  <c r="L1156" i="21"/>
  <c r="L1155" i="21"/>
  <c r="L1154" i="21"/>
  <c r="L1153" i="21"/>
  <c r="L1151" i="21"/>
  <c r="L1150" i="21"/>
  <c r="L1149" i="21"/>
  <c r="L1148" i="21"/>
  <c r="L1147" i="21"/>
  <c r="L1146" i="21"/>
  <c r="L1145" i="21"/>
  <c r="L1144" i="21"/>
  <c r="L1127" i="21"/>
  <c r="L1126" i="21"/>
  <c r="L1125" i="21"/>
  <c r="L1124" i="21"/>
  <c r="L1123" i="21"/>
  <c r="L1122" i="21"/>
  <c r="L1121" i="21"/>
  <c r="L1120" i="21"/>
  <c r="L1119" i="21"/>
  <c r="L1117" i="21"/>
  <c r="L1116" i="21"/>
  <c r="L1115" i="21"/>
  <c r="L1114" i="21"/>
  <c r="L1113" i="21"/>
  <c r="L1112" i="21"/>
  <c r="L1111" i="21"/>
  <c r="L1110" i="21"/>
  <c r="L1109" i="21"/>
  <c r="L1107" i="21"/>
  <c r="L1106" i="21"/>
  <c r="L1105" i="21"/>
  <c r="L1104" i="21"/>
  <c r="L1103" i="21"/>
  <c r="L1102" i="21"/>
  <c r="L1101" i="21"/>
  <c r="L1100" i="21"/>
  <c r="L1099" i="21"/>
  <c r="L1097" i="21"/>
  <c r="L1096" i="21"/>
  <c r="L1095" i="21"/>
  <c r="L1094" i="21"/>
  <c r="L1093" i="21"/>
  <c r="L1092" i="21"/>
  <c r="L1091" i="21"/>
  <c r="L1090" i="21"/>
  <c r="L1089" i="21"/>
  <c r="L1087" i="21"/>
  <c r="L1086" i="21"/>
  <c r="L1085" i="21"/>
  <c r="L1084" i="21"/>
  <c r="L1083" i="21"/>
  <c r="L1082" i="21"/>
  <c r="L1081" i="21"/>
  <c r="L1080" i="21"/>
  <c r="L1079" i="21"/>
  <c r="L1077" i="21"/>
  <c r="L1076" i="21"/>
  <c r="L1075" i="21"/>
  <c r="L1074" i="21"/>
  <c r="L1073" i="21"/>
  <c r="L1072" i="21"/>
  <c r="L1071" i="21"/>
  <c r="L1070" i="21"/>
  <c r="L1069" i="21"/>
  <c r="L1067" i="21"/>
  <c r="L1066" i="21"/>
  <c r="L1065" i="21"/>
  <c r="L1064" i="21"/>
  <c r="L1063" i="21"/>
  <c r="L1062" i="21"/>
  <c r="L1061" i="21"/>
  <c r="L1060" i="21"/>
  <c r="L1059" i="21"/>
  <c r="L1057" i="21"/>
  <c r="L1056" i="21"/>
  <c r="L1055" i="21"/>
  <c r="L1054" i="21"/>
  <c r="L1053" i="21"/>
  <c r="L1052" i="21"/>
  <c r="L1051" i="21"/>
  <c r="L1050" i="21"/>
  <c r="L1049" i="21"/>
  <c r="L1047" i="21"/>
  <c r="L1046" i="21"/>
  <c r="L1045" i="21"/>
  <c r="L1044" i="21"/>
  <c r="L1043" i="21"/>
  <c r="L1042" i="21"/>
  <c r="L1041" i="21"/>
  <c r="L1040" i="21"/>
  <c r="L1023" i="21"/>
  <c r="L1022" i="21"/>
  <c r="L1021" i="21"/>
  <c r="L1020" i="21"/>
  <c r="L1019" i="21"/>
  <c r="L1018" i="21"/>
  <c r="L1017" i="21"/>
  <c r="L1016" i="21"/>
  <c r="L1015" i="21"/>
  <c r="L1013" i="21"/>
  <c r="L1012" i="21"/>
  <c r="L1011" i="21"/>
  <c r="L1010" i="21"/>
  <c r="L1009" i="21"/>
  <c r="L1008" i="21"/>
  <c r="L1007" i="21"/>
  <c r="L1006" i="21"/>
  <c r="L1005" i="21"/>
  <c r="L1003" i="21"/>
  <c r="L1002" i="21"/>
  <c r="L1001" i="21"/>
  <c r="L1000" i="21"/>
  <c r="L999" i="21"/>
  <c r="L998" i="21"/>
  <c r="L997" i="21"/>
  <c r="L996" i="21"/>
  <c r="L995" i="21"/>
  <c r="L993" i="21"/>
  <c r="L992" i="21"/>
  <c r="L991" i="21"/>
  <c r="L990" i="21"/>
  <c r="L989" i="21"/>
  <c r="L988" i="21"/>
  <c r="L987" i="21"/>
  <c r="L986" i="21"/>
  <c r="L985" i="21"/>
  <c r="L983" i="21"/>
  <c r="L982" i="21"/>
  <c r="L981" i="21"/>
  <c r="L980" i="21"/>
  <c r="L979" i="21"/>
  <c r="L978" i="21"/>
  <c r="L977" i="21"/>
  <c r="L976" i="21"/>
  <c r="L975" i="21"/>
  <c r="L973" i="21"/>
  <c r="L972" i="21"/>
  <c r="L971" i="21"/>
  <c r="L970" i="21"/>
  <c r="L969" i="21"/>
  <c r="L968" i="21"/>
  <c r="L967" i="21"/>
  <c r="L966" i="21"/>
  <c r="L965" i="21"/>
  <c r="L963" i="21"/>
  <c r="L962" i="21"/>
  <c r="L961" i="21"/>
  <c r="L960" i="21"/>
  <c r="L959" i="21"/>
  <c r="L958" i="21"/>
  <c r="L957" i="21"/>
  <c r="L956" i="21"/>
  <c r="L955" i="21"/>
  <c r="L953" i="21"/>
  <c r="L952" i="21"/>
  <c r="L951" i="21"/>
  <c r="L950" i="21"/>
  <c r="L949" i="21"/>
  <c r="L948" i="21"/>
  <c r="L947" i="21"/>
  <c r="L946" i="21"/>
  <c r="L945" i="21"/>
  <c r="L943" i="21"/>
  <c r="L942" i="21"/>
  <c r="L941" i="21"/>
  <c r="L940" i="21"/>
  <c r="L939" i="21"/>
  <c r="L938" i="21"/>
  <c r="L937" i="21"/>
  <c r="L936" i="21"/>
  <c r="L921" i="21"/>
  <c r="L920" i="21"/>
  <c r="L919" i="21"/>
  <c r="L918" i="21"/>
  <c r="L917" i="21"/>
  <c r="L916" i="21"/>
  <c r="L915" i="21"/>
  <c r="L914" i="21"/>
  <c r="L913" i="21"/>
  <c r="L911" i="21"/>
  <c r="L910" i="21"/>
  <c r="L909" i="21"/>
  <c r="L908" i="21"/>
  <c r="L907" i="21"/>
  <c r="L906" i="21"/>
  <c r="L905" i="21"/>
  <c r="L904" i="21"/>
  <c r="L903" i="21"/>
  <c r="L901" i="21"/>
  <c r="L900" i="21"/>
  <c r="L899" i="21"/>
  <c r="L898" i="21"/>
  <c r="L897" i="21"/>
  <c r="L896" i="21"/>
  <c r="L895" i="21"/>
  <c r="L894" i="21"/>
  <c r="L893" i="21"/>
  <c r="L891" i="21"/>
  <c r="L890" i="21"/>
  <c r="L889" i="21"/>
  <c r="L888" i="21"/>
  <c r="L887" i="21"/>
  <c r="L886" i="21"/>
  <c r="L885" i="21"/>
  <c r="L884" i="21"/>
  <c r="L883" i="21"/>
  <c r="L881" i="21"/>
  <c r="L880" i="21"/>
  <c r="L879" i="21"/>
  <c r="L878" i="21"/>
  <c r="L877" i="21"/>
  <c r="L876" i="21"/>
  <c r="L875" i="21"/>
  <c r="L874" i="21"/>
  <c r="L873" i="21"/>
  <c r="L871" i="21"/>
  <c r="L870" i="21"/>
  <c r="L869" i="21"/>
  <c r="L868" i="21"/>
  <c r="L867" i="21"/>
  <c r="L866" i="21"/>
  <c r="L865" i="21"/>
  <c r="L864" i="21"/>
  <c r="L863" i="21"/>
  <c r="L861" i="21"/>
  <c r="L860" i="21"/>
  <c r="L859" i="21"/>
  <c r="L858" i="21"/>
  <c r="L857" i="21"/>
  <c r="L856" i="21"/>
  <c r="L855" i="21"/>
  <c r="L854" i="21"/>
  <c r="L853" i="21"/>
  <c r="L851" i="21"/>
  <c r="L850" i="21"/>
  <c r="L849" i="21"/>
  <c r="L848" i="21"/>
  <c r="L847" i="21"/>
  <c r="L846" i="21"/>
  <c r="L845" i="21"/>
  <c r="L844" i="21"/>
  <c r="L843" i="21"/>
  <c r="L841" i="21"/>
  <c r="L840" i="21"/>
  <c r="L839" i="21"/>
  <c r="L838" i="21"/>
  <c r="L837" i="21"/>
  <c r="L836" i="21"/>
  <c r="L835" i="21"/>
  <c r="L834" i="21"/>
  <c r="L714" i="21"/>
  <c r="L713" i="21"/>
  <c r="L712" i="21"/>
  <c r="L711" i="21"/>
  <c r="L710" i="21"/>
  <c r="L709" i="21"/>
  <c r="L708" i="21"/>
  <c r="L707" i="21"/>
  <c r="L706" i="21"/>
  <c r="L704" i="21"/>
  <c r="L703" i="21"/>
  <c r="L702" i="21"/>
  <c r="L701" i="21"/>
  <c r="L700" i="21"/>
  <c r="L699" i="21"/>
  <c r="L698" i="21"/>
  <c r="L697" i="21"/>
  <c r="L696" i="21"/>
  <c r="L694" i="21"/>
  <c r="L693" i="21"/>
  <c r="L692" i="21"/>
  <c r="L691" i="21"/>
  <c r="L690" i="21"/>
  <c r="L689" i="21"/>
  <c r="L688" i="21"/>
  <c r="L687" i="21"/>
  <c r="L686" i="21"/>
  <c r="L684" i="21"/>
  <c r="L683" i="21"/>
  <c r="L682" i="21"/>
  <c r="L681" i="21"/>
  <c r="L680" i="21"/>
  <c r="L679" i="21"/>
  <c r="L678" i="21"/>
  <c r="L677" i="21"/>
  <c r="L676" i="21"/>
  <c r="L674" i="21"/>
  <c r="L673" i="21"/>
  <c r="L672" i="21"/>
  <c r="L671" i="21"/>
  <c r="L670" i="21"/>
  <c r="L669" i="21"/>
  <c r="L668" i="21"/>
  <c r="L667" i="21"/>
  <c r="L666" i="21"/>
  <c r="L664" i="21"/>
  <c r="L663" i="21"/>
  <c r="L662" i="21"/>
  <c r="L661" i="21"/>
  <c r="L660" i="21"/>
  <c r="L659" i="21"/>
  <c r="L658" i="21"/>
  <c r="L657" i="21"/>
  <c r="L656" i="21"/>
  <c r="L654" i="21"/>
  <c r="L653" i="21"/>
  <c r="L652" i="21"/>
  <c r="L651" i="21"/>
  <c r="L650" i="21"/>
  <c r="L649" i="21"/>
  <c r="L648" i="21"/>
  <c r="L647" i="21"/>
  <c r="L646" i="21"/>
  <c r="L644" i="21"/>
  <c r="L643" i="21"/>
  <c r="L642" i="21"/>
  <c r="L641" i="21"/>
  <c r="L640" i="21"/>
  <c r="L639" i="21"/>
  <c r="L638" i="21"/>
  <c r="L637" i="21"/>
  <c r="L636" i="21"/>
  <c r="L634" i="21"/>
  <c r="L633" i="21"/>
  <c r="L632" i="21"/>
  <c r="L631" i="21"/>
  <c r="L630" i="21"/>
  <c r="L629" i="21"/>
  <c r="L628" i="21"/>
  <c r="L627" i="21"/>
  <c r="L612" i="21"/>
  <c r="L611" i="21"/>
  <c r="L610" i="21"/>
  <c r="L609" i="21"/>
  <c r="L608" i="21"/>
  <c r="L607" i="21"/>
  <c r="L606" i="21"/>
  <c r="L605" i="21"/>
  <c r="L604" i="21"/>
  <c r="L602" i="21"/>
  <c r="L601" i="21"/>
  <c r="L600" i="21"/>
  <c r="L599" i="21"/>
  <c r="L598" i="21"/>
  <c r="L597" i="21"/>
  <c r="L596" i="21"/>
  <c r="L595" i="21"/>
  <c r="L594" i="21"/>
  <c r="L592" i="21"/>
  <c r="L591" i="21"/>
  <c r="L590" i="21"/>
  <c r="L589" i="21"/>
  <c r="L588" i="21"/>
  <c r="L587" i="21"/>
  <c r="L586" i="21"/>
  <c r="L585" i="21"/>
  <c r="L584" i="21"/>
  <c r="L582" i="21"/>
  <c r="L581" i="21"/>
  <c r="L580" i="21"/>
  <c r="L579" i="21"/>
  <c r="L578" i="21"/>
  <c r="L577" i="21"/>
  <c r="L576" i="21"/>
  <c r="L575" i="21"/>
  <c r="L574" i="21"/>
  <c r="L572" i="21"/>
  <c r="L571" i="21"/>
  <c r="L570" i="21"/>
  <c r="L569" i="21"/>
  <c r="L568" i="21"/>
  <c r="L567" i="21"/>
  <c r="L566" i="21"/>
  <c r="L565" i="21"/>
  <c r="L564" i="21"/>
  <c r="L562" i="21"/>
  <c r="L561" i="21"/>
  <c r="L560" i="21"/>
  <c r="L559" i="21"/>
  <c r="L558" i="21"/>
  <c r="L557" i="21"/>
  <c r="L556" i="21"/>
  <c r="L555" i="21"/>
  <c r="L554" i="21"/>
  <c r="L552" i="21"/>
  <c r="L551" i="21"/>
  <c r="L550" i="21"/>
  <c r="L549" i="21"/>
  <c r="L548" i="21"/>
  <c r="L547" i="21"/>
  <c r="L546" i="21"/>
  <c r="L545" i="21"/>
  <c r="L544" i="21"/>
  <c r="L542" i="21"/>
  <c r="L541" i="21"/>
  <c r="L540" i="21"/>
  <c r="L539" i="21"/>
  <c r="L538" i="21"/>
  <c r="L537" i="21"/>
  <c r="L536" i="21"/>
  <c r="L535" i="21"/>
  <c r="L534" i="21"/>
  <c r="L532" i="21"/>
  <c r="L531" i="21"/>
  <c r="L530" i="21"/>
  <c r="L529" i="21"/>
  <c r="L528" i="21"/>
  <c r="L527" i="21"/>
  <c r="L526" i="21"/>
  <c r="L525" i="21"/>
  <c r="L510" i="21"/>
  <c r="L509" i="21"/>
  <c r="L508" i="21"/>
  <c r="L507" i="21"/>
  <c r="L506" i="21"/>
  <c r="L505" i="21"/>
  <c r="L504" i="21"/>
  <c r="L503" i="21"/>
  <c r="L502" i="21"/>
  <c r="L500" i="21"/>
  <c r="L499" i="21"/>
  <c r="L498" i="21"/>
  <c r="L497" i="21"/>
  <c r="L496" i="21"/>
  <c r="L495" i="21"/>
  <c r="L494" i="21"/>
  <c r="L493" i="21"/>
  <c r="L492" i="21"/>
  <c r="L490" i="21"/>
  <c r="L489" i="21"/>
  <c r="L488" i="21"/>
  <c r="L487" i="21"/>
  <c r="L486" i="21"/>
  <c r="L485" i="21"/>
  <c r="L484" i="21"/>
  <c r="L483" i="21"/>
  <c r="L482" i="21"/>
  <c r="L480" i="21"/>
  <c r="L479" i="21"/>
  <c r="L478" i="21"/>
  <c r="L477" i="21"/>
  <c r="L476" i="21"/>
  <c r="L475" i="21"/>
  <c r="L474" i="21"/>
  <c r="L473" i="21"/>
  <c r="L472" i="21"/>
  <c r="L470" i="21"/>
  <c r="L469" i="21"/>
  <c r="L468" i="21"/>
  <c r="L467" i="21"/>
  <c r="L466" i="21"/>
  <c r="L465" i="21"/>
  <c r="L464" i="21"/>
  <c r="L463" i="21"/>
  <c r="L462" i="21"/>
  <c r="L460" i="21"/>
  <c r="L459" i="21"/>
  <c r="L458" i="21"/>
  <c r="L457" i="21"/>
  <c r="L456" i="21"/>
  <c r="L455" i="21"/>
  <c r="L454" i="21"/>
  <c r="L453" i="21"/>
  <c r="L452" i="21"/>
  <c r="L450" i="21"/>
  <c r="L449" i="21"/>
  <c r="L448" i="21"/>
  <c r="L447" i="21"/>
  <c r="L446" i="21"/>
  <c r="L445" i="21"/>
  <c r="L444" i="21"/>
  <c r="L443" i="21"/>
  <c r="L442" i="21"/>
  <c r="L440" i="21"/>
  <c r="L439" i="21"/>
  <c r="L438" i="21"/>
  <c r="L437" i="21"/>
  <c r="L436" i="21"/>
  <c r="L435" i="21"/>
  <c r="L434" i="21"/>
  <c r="L433" i="21"/>
  <c r="L432" i="21"/>
  <c r="L430" i="21"/>
  <c r="L429" i="21"/>
  <c r="L428" i="21"/>
  <c r="L427" i="21"/>
  <c r="L426" i="21"/>
  <c r="L425" i="21"/>
  <c r="L424" i="21"/>
  <c r="L423" i="21"/>
  <c r="L408" i="21"/>
  <c r="L407" i="21"/>
  <c r="L406" i="21"/>
  <c r="L405" i="21"/>
  <c r="L404" i="21"/>
  <c r="L403" i="21"/>
  <c r="L402" i="21"/>
  <c r="L401" i="21"/>
  <c r="L400" i="21"/>
  <c r="L398" i="21"/>
  <c r="L397" i="21"/>
  <c r="L396" i="21"/>
  <c r="L395" i="21"/>
  <c r="L394" i="21"/>
  <c r="L393" i="21"/>
  <c r="L392" i="21"/>
  <c r="L391" i="21"/>
  <c r="L390" i="21"/>
  <c r="L388" i="21"/>
  <c r="L387" i="21"/>
  <c r="L386" i="21"/>
  <c r="L385" i="21"/>
  <c r="L384" i="21"/>
  <c r="L383" i="21"/>
  <c r="L382" i="21"/>
  <c r="L381" i="21"/>
  <c r="L380" i="21"/>
  <c r="L378" i="21"/>
  <c r="L377" i="21"/>
  <c r="L376" i="21"/>
  <c r="L375" i="21"/>
  <c r="L374" i="21"/>
  <c r="L373" i="21"/>
  <c r="L372" i="21"/>
  <c r="L371" i="21"/>
  <c r="L370" i="21"/>
  <c r="L368" i="21"/>
  <c r="L367" i="21"/>
  <c r="L366" i="21"/>
  <c r="L365" i="21"/>
  <c r="L364" i="21"/>
  <c r="L363" i="21"/>
  <c r="L362" i="21"/>
  <c r="L361" i="21"/>
  <c r="L360" i="21"/>
  <c r="L358" i="21"/>
  <c r="L357" i="21"/>
  <c r="L356" i="21"/>
  <c r="L355" i="21"/>
  <c r="L354" i="21"/>
  <c r="L353" i="21"/>
  <c r="L352" i="21"/>
  <c r="L351" i="21"/>
  <c r="L350" i="21"/>
  <c r="L348" i="21"/>
  <c r="L347" i="21"/>
  <c r="L346" i="21"/>
  <c r="L345" i="21"/>
  <c r="L344" i="21"/>
  <c r="L343" i="21"/>
  <c r="L342" i="21"/>
  <c r="L341" i="21"/>
  <c r="L340" i="21"/>
  <c r="L338" i="21"/>
  <c r="L337" i="21"/>
  <c r="L336" i="21"/>
  <c r="L335" i="21"/>
  <c r="L334" i="21"/>
  <c r="L333" i="21"/>
  <c r="L332" i="21"/>
  <c r="L331" i="21"/>
  <c r="L330" i="21"/>
  <c r="L328" i="21"/>
  <c r="L327" i="21"/>
  <c r="L326" i="21"/>
  <c r="L325" i="21"/>
  <c r="L324" i="21"/>
  <c r="L323" i="21"/>
  <c r="L322" i="21"/>
  <c r="L321" i="21"/>
  <c r="L306" i="21"/>
  <c r="L305" i="21"/>
  <c r="L304" i="21"/>
  <c r="L303" i="21"/>
  <c r="L302" i="21"/>
  <c r="L301" i="21"/>
  <c r="L300" i="21"/>
  <c r="L299" i="21"/>
  <c r="L298" i="21"/>
  <c r="L296" i="21"/>
  <c r="L295" i="21"/>
  <c r="L294" i="21"/>
  <c r="L293" i="21"/>
  <c r="L292" i="21"/>
  <c r="L291" i="21"/>
  <c r="L290" i="21"/>
  <c r="L289" i="21"/>
  <c r="L288" i="21"/>
  <c r="L286" i="21"/>
  <c r="L285" i="21"/>
  <c r="L284" i="21"/>
  <c r="L283" i="21"/>
  <c r="L282" i="21"/>
  <c r="L281" i="21"/>
  <c r="L280" i="21"/>
  <c r="L279" i="21"/>
  <c r="L278" i="21"/>
  <c r="L276" i="21"/>
  <c r="L275" i="21"/>
  <c r="L274" i="21"/>
  <c r="L273" i="21"/>
  <c r="L272" i="21"/>
  <c r="L271" i="21"/>
  <c r="L270" i="21"/>
  <c r="L269" i="21"/>
  <c r="L268" i="21"/>
  <c r="L266" i="21"/>
  <c r="L265" i="21"/>
  <c r="L264" i="21"/>
  <c r="L263" i="21"/>
  <c r="L262" i="21"/>
  <c r="L261" i="21"/>
  <c r="L260" i="21"/>
  <c r="L259" i="21"/>
  <c r="L258" i="21"/>
  <c r="L256" i="21"/>
  <c r="L255" i="21"/>
  <c r="L254" i="21"/>
  <c r="L253" i="21"/>
  <c r="L252" i="21"/>
  <c r="L251" i="21"/>
  <c r="L250" i="21"/>
  <c r="L249" i="21"/>
  <c r="L248" i="21"/>
  <c r="L246" i="21"/>
  <c r="L245" i="21"/>
  <c r="L244" i="21"/>
  <c r="L243" i="21"/>
  <c r="L242" i="21"/>
  <c r="L241" i="21"/>
  <c r="L240" i="21"/>
  <c r="L239" i="21"/>
  <c r="L238" i="21"/>
  <c r="L236" i="21"/>
  <c r="L235" i="21"/>
  <c r="L234" i="21"/>
  <c r="L233" i="21"/>
  <c r="L232" i="21"/>
  <c r="L231" i="21"/>
  <c r="L230" i="21"/>
  <c r="L229" i="21"/>
  <c r="L228" i="21"/>
  <c r="L226" i="21"/>
  <c r="L225" i="21"/>
  <c r="L224" i="21"/>
  <c r="L223" i="21"/>
  <c r="L222" i="21"/>
  <c r="L221" i="21"/>
  <c r="L220" i="21"/>
  <c r="L219" i="21"/>
  <c r="L204" i="21"/>
  <c r="L203" i="21"/>
  <c r="L202" i="21"/>
  <c r="L201" i="21"/>
  <c r="L200" i="21"/>
  <c r="L199" i="21"/>
  <c r="L198" i="21"/>
  <c r="L197" i="21"/>
  <c r="L196" i="21"/>
  <c r="L194" i="21"/>
  <c r="L193" i="21"/>
  <c r="L192" i="21"/>
  <c r="L191" i="21"/>
  <c r="L190" i="21"/>
  <c r="L189" i="21"/>
  <c r="L188" i="21"/>
  <c r="L187" i="21"/>
  <c r="L186" i="21"/>
  <c r="L184" i="21"/>
  <c r="L183" i="21"/>
  <c r="L182" i="21"/>
  <c r="L181" i="21"/>
  <c r="L180" i="21"/>
  <c r="L179" i="21"/>
  <c r="L178" i="21"/>
  <c r="L177" i="21"/>
  <c r="L176" i="21"/>
  <c r="L174" i="21"/>
  <c r="L173" i="21"/>
  <c r="L172" i="21"/>
  <c r="L171" i="21"/>
  <c r="L170" i="21"/>
  <c r="L169" i="21"/>
  <c r="L168" i="21"/>
  <c r="L167" i="21"/>
  <c r="L166" i="21"/>
  <c r="L164" i="21"/>
  <c r="L163" i="21"/>
  <c r="L162" i="21"/>
  <c r="L161" i="21"/>
  <c r="L160" i="21"/>
  <c r="L159" i="21"/>
  <c r="L158" i="21"/>
  <c r="L157" i="21"/>
  <c r="L156" i="21"/>
  <c r="L154" i="21"/>
  <c r="L153" i="21"/>
  <c r="L152" i="21"/>
  <c r="L151" i="21"/>
  <c r="L150" i="21"/>
  <c r="L149" i="21"/>
  <c r="L148" i="21"/>
  <c r="L147" i="21"/>
  <c r="L146" i="21"/>
  <c r="L144" i="21"/>
  <c r="L143" i="21"/>
  <c r="L142" i="21"/>
  <c r="L141" i="21"/>
  <c r="L140" i="21"/>
  <c r="L139" i="21"/>
  <c r="L138" i="21"/>
  <c r="L137" i="21"/>
  <c r="L136" i="21"/>
  <c r="L134" i="21"/>
  <c r="L133" i="21"/>
  <c r="L132" i="21"/>
  <c r="L131" i="21"/>
  <c r="L130" i="21"/>
  <c r="L129" i="21"/>
  <c r="L128" i="21"/>
  <c r="L127" i="21"/>
  <c r="L126" i="21"/>
  <c r="L124" i="21"/>
  <c r="L123" i="21"/>
  <c r="L122" i="21"/>
  <c r="L121" i="21"/>
  <c r="L120" i="21"/>
  <c r="L119" i="21"/>
  <c r="L118" i="21"/>
  <c r="L117" i="21"/>
  <c r="L102" i="21"/>
  <c r="L101" i="21"/>
  <c r="L100" i="21"/>
  <c r="D15449" i="21" s="1"/>
  <c r="A15431" i="21" s="1"/>
  <c r="L99" i="21"/>
  <c r="L98" i="21"/>
  <c r="L97" i="21"/>
  <c r="L96" i="21"/>
  <c r="L95" i="21"/>
  <c r="D17513" i="21" s="1"/>
  <c r="A17495" i="21" s="1"/>
  <c r="L94" i="21"/>
  <c r="L92" i="21"/>
  <c r="L91" i="21"/>
  <c r="L90" i="21"/>
  <c r="L89" i="21"/>
  <c r="L88" i="21"/>
  <c r="L87" i="21"/>
  <c r="L86" i="21"/>
  <c r="D15863" i="21" s="1"/>
  <c r="A15845" i="21" s="1"/>
  <c r="L85" i="21"/>
  <c r="L84" i="21"/>
  <c r="L82" i="21"/>
  <c r="L81" i="21"/>
  <c r="D14929" i="21" s="1"/>
  <c r="A14911" i="21" s="1"/>
  <c r="L80" i="21"/>
  <c r="D17718" i="21" s="1"/>
  <c r="A17700" i="21" s="1"/>
  <c r="L79" i="21"/>
  <c r="L78" i="21"/>
  <c r="L77" i="21"/>
  <c r="D16998" i="21" s="1"/>
  <c r="A16980" i="21" s="1"/>
  <c r="L76" i="21"/>
  <c r="L75" i="21"/>
  <c r="L74" i="21"/>
  <c r="L72" i="21"/>
  <c r="D13693" i="21" s="1"/>
  <c r="A13675" i="21" s="1"/>
  <c r="L71" i="21"/>
  <c r="L70" i="21"/>
  <c r="D15345" i="21" s="1"/>
  <c r="A15327" i="21" s="1"/>
  <c r="L69" i="21"/>
  <c r="D15033" i="21" s="1"/>
  <c r="A15015" i="21" s="1"/>
  <c r="L68" i="21"/>
  <c r="D17204" i="21" s="1"/>
  <c r="A17186" i="21" s="1"/>
  <c r="L67" i="21"/>
  <c r="L66" i="21"/>
  <c r="L65" i="21"/>
  <c r="L64" i="21"/>
  <c r="D14517" i="21" s="1"/>
  <c r="A14499" i="21" s="1"/>
  <c r="L62" i="21"/>
  <c r="L61" i="21"/>
  <c r="L60" i="21"/>
  <c r="D15760" i="21" s="1"/>
  <c r="A15742" i="21" s="1"/>
  <c r="L59" i="21"/>
  <c r="L58" i="21"/>
  <c r="L57" i="21"/>
  <c r="L56" i="21"/>
  <c r="L55" i="21"/>
  <c r="L54" i="21"/>
  <c r="L52" i="21"/>
  <c r="L51" i="21"/>
  <c r="D14002" i="21" s="1"/>
  <c r="A13984" i="21" s="1"/>
  <c r="L50" i="21"/>
  <c r="L49" i="21"/>
  <c r="L48" i="21"/>
  <c r="L47" i="21"/>
  <c r="L46" i="21"/>
  <c r="L45" i="21"/>
  <c r="D16069" i="21" s="1"/>
  <c r="A16051" i="21" s="1"/>
  <c r="L44" i="21"/>
  <c r="L42" i="21"/>
  <c r="L41" i="21"/>
  <c r="L40" i="21"/>
  <c r="L39" i="21"/>
  <c r="L38" i="21"/>
  <c r="L37" i="21"/>
  <c r="L36" i="21"/>
  <c r="L35" i="21"/>
  <c r="L34" i="21"/>
  <c r="L32" i="21"/>
  <c r="D10905" i="21" s="1"/>
  <c r="A10887" i="21" s="1"/>
  <c r="L31" i="21"/>
  <c r="L30" i="21"/>
  <c r="D14826" i="21" s="1"/>
  <c r="A14808" i="21" s="1"/>
  <c r="L29" i="21"/>
  <c r="L28" i="21"/>
  <c r="L27" i="21"/>
  <c r="L26" i="21"/>
  <c r="L25" i="21"/>
  <c r="L24" i="21"/>
  <c r="L22" i="21"/>
  <c r="L21" i="21"/>
  <c r="L20" i="21"/>
  <c r="L19" i="21"/>
  <c r="L18" i="21"/>
  <c r="L17" i="21"/>
  <c r="L16" i="21"/>
  <c r="L15" i="21"/>
  <c r="D14311" i="21" s="1"/>
  <c r="A14293" i="21" s="1"/>
  <c r="AE7" i="13"/>
  <c r="AE6" i="13"/>
  <c r="AE10" i="13" s="1"/>
  <c r="G29" i="10"/>
  <c r="K19" i="10"/>
  <c r="E6" i="10"/>
  <c r="E18" i="1"/>
  <c r="G28" i="4"/>
  <c r="E6" i="4"/>
  <c r="E17" i="10"/>
  <c r="L8" i="13" s="1"/>
  <c r="D16586" i="21" l="1"/>
  <c r="A16568" i="21" s="1"/>
  <c r="D15137" i="21"/>
  <c r="A15119" i="21" s="1"/>
  <c r="D13899" i="21"/>
  <c r="A13881" i="21" s="1"/>
  <c r="D15656" i="21"/>
  <c r="A15638" i="21" s="1"/>
  <c r="D17410" i="21"/>
  <c r="A17392" i="21" s="1"/>
  <c r="D16689" i="21"/>
  <c r="A16671" i="21" s="1"/>
  <c r="D14620" i="21"/>
  <c r="A14602" i="21" s="1"/>
  <c r="D15241" i="21"/>
  <c r="A15223" i="21" s="1"/>
  <c r="D18027" i="21"/>
  <c r="A18009" i="21" s="1"/>
  <c r="D14414" i="21"/>
  <c r="A14396" i="21" s="1"/>
  <c r="D14208" i="21"/>
  <c r="A14190" i="21" s="1"/>
  <c r="D12766" i="21"/>
  <c r="A12748" i="21" s="1"/>
  <c r="D14105" i="21"/>
  <c r="D13487" i="21"/>
  <c r="A13469" i="21" s="1"/>
  <c r="D12455" i="21"/>
  <c r="A12437" i="21" s="1"/>
  <c r="D12558" i="21"/>
  <c r="A12540" i="21" s="1"/>
  <c r="D13796" i="21"/>
  <c r="A13778" i="21" s="1"/>
  <c r="D11626" i="21"/>
  <c r="A11608" i="21" s="1"/>
  <c r="D10385" i="21"/>
  <c r="A10367" i="21" s="1"/>
  <c r="D14103" i="21"/>
  <c r="D11937" i="21"/>
  <c r="A11919" i="21" s="1"/>
  <c r="D12972" i="21"/>
  <c r="A12954" i="21" s="1"/>
  <c r="D12352" i="21"/>
  <c r="A12334" i="21" s="1"/>
  <c r="D9448" i="21"/>
  <c r="A9430" i="21" s="1"/>
  <c r="D13384" i="21"/>
  <c r="A13366" i="21" s="1"/>
  <c r="D11523" i="21"/>
  <c r="A11505" i="21" s="1"/>
  <c r="D13178" i="21"/>
  <c r="A13160" i="21" s="1"/>
  <c r="D12869" i="21"/>
  <c r="A12851" i="21" s="1"/>
  <c r="D11832" i="21"/>
  <c r="A11814" i="21" s="1"/>
  <c r="D12662" i="21"/>
  <c r="A12644" i="21" s="1"/>
  <c r="D13590" i="21"/>
  <c r="A13572" i="21" s="1"/>
  <c r="D11729" i="21"/>
  <c r="A11711" i="21" s="1"/>
  <c r="D13075" i="21"/>
  <c r="A13057" i="21" s="1"/>
  <c r="D8095" i="21"/>
  <c r="A8077" i="21" s="1"/>
  <c r="D13281" i="21"/>
  <c r="A13263" i="21" s="1"/>
  <c r="D11420" i="21"/>
  <c r="A11402" i="21" s="1"/>
  <c r="D10593" i="21"/>
  <c r="A10575" i="21" s="1"/>
  <c r="D9657" i="21"/>
  <c r="A9639" i="21" s="1"/>
  <c r="D11111" i="21"/>
  <c r="A11093" i="21" s="1"/>
  <c r="D12145" i="21"/>
  <c r="A12127" i="21" s="1"/>
  <c r="D11008" i="21"/>
  <c r="A10990" i="21" s="1"/>
  <c r="D11317" i="21"/>
  <c r="A11299" i="21" s="1"/>
  <c r="D8822" i="21"/>
  <c r="D7680" i="21"/>
  <c r="A7662" i="21" s="1"/>
  <c r="D10801" i="21"/>
  <c r="A10783" i="21" s="1"/>
  <c r="D741" i="21"/>
  <c r="A723" i="21" s="1"/>
  <c r="D12041" i="21"/>
  <c r="A12023" i="21" s="1"/>
  <c r="D7888" i="21"/>
  <c r="A7870" i="21" s="1"/>
  <c r="D11214" i="21"/>
  <c r="A11196" i="21" s="1"/>
  <c r="D7991" i="21"/>
  <c r="A7973" i="21" s="1"/>
  <c r="D8197" i="21"/>
  <c r="D9968" i="21"/>
  <c r="A9950" i="21" s="1"/>
  <c r="D10697" i="21"/>
  <c r="A10679" i="21" s="1"/>
  <c r="D8927" i="21"/>
  <c r="A8909" i="21" s="1"/>
  <c r="D10489" i="21"/>
  <c r="A10471" i="21" s="1"/>
  <c r="D8616" i="21"/>
  <c r="A8598" i="21" s="1"/>
  <c r="D8304" i="21"/>
  <c r="A8286" i="21" s="1"/>
  <c r="D7472" i="21"/>
  <c r="A7454" i="21" s="1"/>
  <c r="D8408" i="21"/>
  <c r="A8390" i="21" s="1"/>
  <c r="D8512" i="21"/>
  <c r="A8494" i="21" s="1"/>
  <c r="E20" i="4"/>
  <c r="E19" i="4"/>
  <c r="E18" i="4"/>
  <c r="E17" i="4"/>
  <c r="E18" i="10"/>
  <c r="E21" i="10"/>
  <c r="E19" i="10"/>
  <c r="D8824" i="21"/>
  <c r="D8720" i="21"/>
  <c r="A8702" i="21" s="1"/>
  <c r="E20" i="1"/>
  <c r="E17" i="1"/>
  <c r="D8199" i="21"/>
  <c r="D7368" i="21"/>
  <c r="A7350" i="21" s="1"/>
  <c r="D7784" i="21"/>
  <c r="A7766" i="21" s="1"/>
  <c r="N7" i="13"/>
  <c r="E20" i="10"/>
  <c r="E19" i="1"/>
  <c r="N8" i="13"/>
  <c r="N6" i="13"/>
  <c r="A14087" i="21" l="1"/>
  <c r="A8806" i="21"/>
  <c r="A8181" i="21"/>
  <c r="M7" i="13"/>
  <c r="T7" i="13" s="1"/>
  <c r="E22" i="4"/>
  <c r="E22" i="1"/>
  <c r="E23" i="10"/>
  <c r="M6" i="13"/>
  <c r="M8" i="13"/>
  <c r="T8" i="13" s="1"/>
  <c r="B5201" i="21"/>
  <c r="T6" i="13" l="1"/>
  <c r="V6" i="13" s="1"/>
  <c r="V8" i="13"/>
  <c r="W8" i="13" s="1"/>
  <c r="V7" i="13"/>
  <c r="W7" i="13" s="1"/>
  <c r="B1048" i="21"/>
  <c r="B431" i="21"/>
  <c r="B5191" i="21"/>
  <c r="C5191" i="21" s="1"/>
  <c r="B421" i="21"/>
  <c r="B1563" i="21"/>
  <c r="B1553" i="21"/>
  <c r="B4065" i="21"/>
  <c r="B4055" i="21"/>
  <c r="C5201" i="21"/>
  <c r="D5201" i="21"/>
  <c r="E5201" i="21"/>
  <c r="B4882" i="21"/>
  <c r="B4892" i="21"/>
  <c r="B5294" i="21"/>
  <c r="B5304" i="21"/>
  <c r="W6" i="13" l="1"/>
  <c r="A1130" i="21"/>
  <c r="B1142" i="21" s="1"/>
  <c r="D1142" i="21" s="1"/>
  <c r="E5191" i="21"/>
  <c r="D5191" i="21"/>
  <c r="B1038" i="21"/>
  <c r="C1038" i="21" s="1"/>
  <c r="B7563" i="21"/>
  <c r="B7573" i="21"/>
  <c r="B4469" i="21"/>
  <c r="B6633" i="21"/>
  <c r="B3856" i="21"/>
  <c r="B6746" i="21"/>
  <c r="B6736" i="21"/>
  <c r="B6221" i="21"/>
  <c r="B6231" i="21"/>
  <c r="B5809" i="21"/>
  <c r="B5819" i="21"/>
  <c r="D1048" i="21"/>
  <c r="E1048" i="21"/>
  <c r="C1048" i="21"/>
  <c r="C421" i="21"/>
  <c r="D421" i="21"/>
  <c r="E421" i="21"/>
  <c r="C431" i="21"/>
  <c r="D431" i="21"/>
  <c r="E431" i="21"/>
  <c r="B6942" i="21"/>
  <c r="B6952" i="21"/>
  <c r="B4995" i="21"/>
  <c r="B4985" i="21"/>
  <c r="B2069" i="21"/>
  <c r="B2079" i="21"/>
  <c r="D5304" i="21"/>
  <c r="E5304" i="21"/>
  <c r="C5304" i="21"/>
  <c r="D4882" i="21"/>
  <c r="C4882" i="21"/>
  <c r="E4882" i="21"/>
  <c r="B5202" i="21"/>
  <c r="B227" i="21"/>
  <c r="B217" i="21"/>
  <c r="E4055" i="21"/>
  <c r="D4055" i="21"/>
  <c r="C4055" i="21"/>
  <c r="E4065" i="21"/>
  <c r="D4065" i="21"/>
  <c r="C4065" i="21"/>
  <c r="B4685" i="21"/>
  <c r="B4675" i="21"/>
  <c r="E1142" i="21"/>
  <c r="E5294" i="21"/>
  <c r="C5294" i="21"/>
  <c r="D5294" i="21"/>
  <c r="E4892" i="21"/>
  <c r="C4892" i="21"/>
  <c r="D4892" i="21"/>
  <c r="B3741" i="21"/>
  <c r="B3751" i="21"/>
  <c r="B2598" i="21"/>
  <c r="B2608" i="21"/>
  <c r="B5192" i="21"/>
  <c r="C1553" i="21"/>
  <c r="E1553" i="21"/>
  <c r="D1553" i="21"/>
  <c r="D1563" i="21"/>
  <c r="C1563" i="21"/>
  <c r="E1563" i="21"/>
  <c r="C1142" i="21" l="1"/>
  <c r="B1152" i="21"/>
  <c r="C1152" i="21" s="1"/>
  <c r="B1153" i="21" s="1"/>
  <c r="AA7" i="13"/>
  <c r="K15" i="4" s="1"/>
  <c r="AA8" i="13"/>
  <c r="K15" i="10" s="1"/>
  <c r="A1747" i="21"/>
  <c r="B1769" i="21" s="1"/>
  <c r="AA6" i="13"/>
  <c r="E1038" i="21"/>
  <c r="D1038" i="21"/>
  <c r="D1152" i="21"/>
  <c r="B1666" i="21"/>
  <c r="B7261" i="21"/>
  <c r="B7251" i="21"/>
  <c r="E7563" i="21"/>
  <c r="D7563" i="21"/>
  <c r="C7563" i="21"/>
  <c r="E7573" i="21"/>
  <c r="D7573" i="21"/>
  <c r="C7573" i="21"/>
  <c r="B3846" i="21"/>
  <c r="E3846" i="21" s="1"/>
  <c r="B6643" i="21"/>
  <c r="E6643" i="21" s="1"/>
  <c r="B4366" i="21"/>
  <c r="B4376" i="21"/>
  <c r="B7055" i="21"/>
  <c r="B7045" i="21"/>
  <c r="B7158" i="21"/>
  <c r="B7148" i="21"/>
  <c r="B6839" i="21"/>
  <c r="B6849" i="21"/>
  <c r="E6746" i="21"/>
  <c r="D6746" i="21"/>
  <c r="C6746" i="21"/>
  <c r="B6747" i="21" s="1"/>
  <c r="E6736" i="21"/>
  <c r="D6736" i="21"/>
  <c r="C6736" i="21"/>
  <c r="B6737" i="21" s="1"/>
  <c r="E6633" i="21"/>
  <c r="D6633" i="21"/>
  <c r="C6633" i="21"/>
  <c r="B6634" i="21" s="1"/>
  <c r="E6221" i="21"/>
  <c r="D6221" i="21"/>
  <c r="C6221" i="21"/>
  <c r="B6222" i="21" s="1"/>
  <c r="E6231" i="21"/>
  <c r="D6231" i="21"/>
  <c r="C6231" i="21"/>
  <c r="B6232" i="21" s="1"/>
  <c r="E5809" i="21"/>
  <c r="D5809" i="21"/>
  <c r="C5809" i="21"/>
  <c r="B5810" i="21" s="1"/>
  <c r="E5819" i="21"/>
  <c r="D5819" i="21"/>
  <c r="C5819" i="21"/>
  <c r="B5820" i="21" s="1"/>
  <c r="B5706" i="21"/>
  <c r="B5716" i="21"/>
  <c r="B4479" i="21"/>
  <c r="E4479" i="21" s="1"/>
  <c r="B1357" i="21"/>
  <c r="B1347" i="21"/>
  <c r="B1039" i="21"/>
  <c r="B1049" i="21"/>
  <c r="B432" i="21"/>
  <c r="B422" i="21"/>
  <c r="E6952" i="21"/>
  <c r="D6952" i="21"/>
  <c r="C6952" i="21"/>
  <c r="B6953" i="21" s="1"/>
  <c r="E6942" i="21"/>
  <c r="D6942" i="21"/>
  <c r="C6942" i="21"/>
  <c r="B6943" i="21" s="1"/>
  <c r="E4995" i="21"/>
  <c r="D4995" i="21"/>
  <c r="C4995" i="21"/>
  <c r="B4996" i="21" s="1"/>
  <c r="C4996" i="21" s="1"/>
  <c r="D4985" i="21"/>
  <c r="C4985" i="21"/>
  <c r="B4986" i="21" s="1"/>
  <c r="C4986" i="21" s="1"/>
  <c r="E4985" i="21"/>
  <c r="B1554" i="21"/>
  <c r="D2598" i="21"/>
  <c r="E2598" i="21"/>
  <c r="C2598" i="21"/>
  <c r="E3741" i="21"/>
  <c r="C3741" i="21"/>
  <c r="D3741" i="21"/>
  <c r="B4893" i="21"/>
  <c r="B5295" i="21"/>
  <c r="B3014" i="21"/>
  <c r="B3024" i="21"/>
  <c r="B3335" i="21"/>
  <c r="B3325" i="21"/>
  <c r="B1143" i="21"/>
  <c r="B1450" i="21"/>
  <c r="B1460" i="21"/>
  <c r="E3856" i="21"/>
  <c r="C3856" i="21"/>
  <c r="D3856" i="21"/>
  <c r="B2712" i="21"/>
  <c r="B2702" i="21"/>
  <c r="C217" i="21"/>
  <c r="D217" i="21"/>
  <c r="E217" i="21"/>
  <c r="B4883" i="21"/>
  <c r="E4469" i="21"/>
  <c r="C4469" i="21"/>
  <c r="D4469" i="21"/>
  <c r="D2069" i="21"/>
  <c r="E2069" i="21"/>
  <c r="C2069" i="21"/>
  <c r="B1564" i="21"/>
  <c r="C5192" i="21"/>
  <c r="D5192" i="21"/>
  <c r="E5192" i="21"/>
  <c r="D2608" i="21"/>
  <c r="E2608" i="21"/>
  <c r="C2608" i="21"/>
  <c r="E3751" i="21"/>
  <c r="C3751" i="21"/>
  <c r="D3751" i="21"/>
  <c r="C4675" i="21"/>
  <c r="E4675" i="21"/>
  <c r="D4675" i="21"/>
  <c r="D4685" i="21"/>
  <c r="E4685" i="21"/>
  <c r="C4685" i="21"/>
  <c r="B4066" i="21"/>
  <c r="B4056" i="21"/>
  <c r="E227" i="21"/>
  <c r="C227" i="21"/>
  <c r="D227" i="21"/>
  <c r="D5202" i="21"/>
  <c r="C5202" i="21"/>
  <c r="E5202" i="21"/>
  <c r="B4263" i="21"/>
  <c r="B4273" i="21"/>
  <c r="B5305" i="21"/>
  <c r="D2079" i="21"/>
  <c r="C2079" i="21"/>
  <c r="E2079" i="21"/>
  <c r="E1152" i="21" l="1"/>
  <c r="AB7" i="13"/>
  <c r="AD7" i="13" s="1"/>
  <c r="AF7" i="13" s="1"/>
  <c r="AG7" i="13" s="1"/>
  <c r="B1759" i="21"/>
  <c r="D1759" i="21" s="1"/>
  <c r="K22" i="4"/>
  <c r="K23" i="4" s="1"/>
  <c r="K24" i="4" s="1"/>
  <c r="C3846" i="21"/>
  <c r="B3847" i="21" s="1"/>
  <c r="D3846" i="21"/>
  <c r="A5591" i="21"/>
  <c r="B1656" i="21"/>
  <c r="D1656" i="21" s="1"/>
  <c r="E1769" i="21"/>
  <c r="D1769" i="21"/>
  <c r="C1769" i="21"/>
  <c r="K23" i="10"/>
  <c r="K24" i="10" s="1"/>
  <c r="AB8" i="13"/>
  <c r="AD8" i="13" s="1"/>
  <c r="B842" i="21"/>
  <c r="B2183" i="21"/>
  <c r="D7261" i="21"/>
  <c r="C7261" i="21"/>
  <c r="B7262" i="21" s="1"/>
  <c r="E7262" i="21" s="1"/>
  <c r="E7261" i="21"/>
  <c r="C7251" i="21"/>
  <c r="B7252" i="21" s="1"/>
  <c r="E7252" i="21" s="1"/>
  <c r="D7251" i="21"/>
  <c r="E7251" i="21"/>
  <c r="B7574" i="21"/>
  <c r="B7564" i="21"/>
  <c r="D4479" i="21"/>
  <c r="D6643" i="21"/>
  <c r="C4479" i="21"/>
  <c r="B4480" i="21" s="1"/>
  <c r="C6643" i="21"/>
  <c r="B6644" i="21" s="1"/>
  <c r="C6644" i="21" s="1"/>
  <c r="B6645" i="21" s="1"/>
  <c r="E4986" i="21"/>
  <c r="D4986" i="21"/>
  <c r="E4996" i="21"/>
  <c r="D4996" i="21"/>
  <c r="D4366" i="21"/>
  <c r="C4366" i="21"/>
  <c r="B4367" i="21" s="1"/>
  <c r="D4367" i="21" s="1"/>
  <c r="E4366" i="21"/>
  <c r="D4376" i="21"/>
  <c r="C4376" i="21"/>
  <c r="B4377" i="21" s="1"/>
  <c r="C4377" i="21" s="1"/>
  <c r="E4376" i="21"/>
  <c r="B4582" i="21"/>
  <c r="B4572" i="21"/>
  <c r="B5098" i="21"/>
  <c r="B5088" i="21"/>
  <c r="B6015" i="21"/>
  <c r="B6025" i="21"/>
  <c r="B6540" i="21"/>
  <c r="B6530" i="21"/>
  <c r="B5912" i="21"/>
  <c r="B5922" i="21"/>
  <c r="D7148" i="21"/>
  <c r="E7148" i="21"/>
  <c r="C7148" i="21"/>
  <c r="C7045" i="21"/>
  <c r="E7045" i="21"/>
  <c r="D7045" i="21"/>
  <c r="C7158" i="21"/>
  <c r="E7158" i="21"/>
  <c r="D7158" i="21"/>
  <c r="E7055" i="21"/>
  <c r="D7055" i="21"/>
  <c r="C7055" i="21"/>
  <c r="D6839" i="21"/>
  <c r="C6839" i="21"/>
  <c r="E6839" i="21"/>
  <c r="C6849" i="21"/>
  <c r="E6849" i="21"/>
  <c r="D6849" i="21"/>
  <c r="D6747" i="21"/>
  <c r="C6747" i="21"/>
  <c r="B6748" i="21" s="1"/>
  <c r="D6748" i="21" s="1"/>
  <c r="E6747" i="21"/>
  <c r="D6737" i="21"/>
  <c r="E6737" i="21"/>
  <c r="C6737" i="21"/>
  <c r="B6738" i="21" s="1"/>
  <c r="E6738" i="21" s="1"/>
  <c r="D6634" i="21"/>
  <c r="E6634" i="21"/>
  <c r="C6634" i="21"/>
  <c r="B6635" i="21" s="1"/>
  <c r="D6635" i="21" s="1"/>
  <c r="B6427" i="21"/>
  <c r="B6437" i="21"/>
  <c r="B6324" i="21"/>
  <c r="B6334" i="21"/>
  <c r="D6222" i="21"/>
  <c r="E6222" i="21"/>
  <c r="C6222" i="21"/>
  <c r="B6223" i="21" s="1"/>
  <c r="E6223" i="21" s="1"/>
  <c r="D6232" i="21"/>
  <c r="C6232" i="21"/>
  <c r="B6233" i="21" s="1"/>
  <c r="D6233" i="21" s="1"/>
  <c r="E6232" i="21"/>
  <c r="B6118" i="21"/>
  <c r="B6128" i="21"/>
  <c r="D5810" i="21"/>
  <c r="E5810" i="21"/>
  <c r="C5810" i="21"/>
  <c r="B5811" i="21" s="1"/>
  <c r="E5811" i="21" s="1"/>
  <c r="D5820" i="21"/>
  <c r="C5820" i="21"/>
  <c r="B5821" i="21" s="1"/>
  <c r="D5821" i="21" s="1"/>
  <c r="E5820" i="21"/>
  <c r="D5706" i="21"/>
  <c r="C5706" i="21"/>
  <c r="E5706" i="21"/>
  <c r="C5716" i="21"/>
  <c r="E5716" i="21"/>
  <c r="D5716" i="21"/>
  <c r="B2806" i="21"/>
  <c r="B2816" i="21"/>
  <c r="B2494" i="21"/>
  <c r="B2504" i="21"/>
  <c r="D1347" i="21"/>
  <c r="E1347" i="21"/>
  <c r="C1347" i="21"/>
  <c r="D1357" i="21"/>
  <c r="C1357" i="21"/>
  <c r="E1357" i="21"/>
  <c r="C1049" i="21"/>
  <c r="D1049" i="21"/>
  <c r="E1049" i="21"/>
  <c r="D1039" i="21"/>
  <c r="C1039" i="21"/>
  <c r="E1039" i="21"/>
  <c r="C432" i="21"/>
  <c r="D432" i="21"/>
  <c r="E432" i="21"/>
  <c r="C422" i="21"/>
  <c r="D422" i="21"/>
  <c r="E422" i="21"/>
  <c r="D6953" i="21"/>
  <c r="C6953" i="21"/>
  <c r="B6954" i="21" s="1"/>
  <c r="D6954" i="21" s="1"/>
  <c r="E6953" i="21"/>
  <c r="D6943" i="21"/>
  <c r="E6943" i="21"/>
  <c r="C6943" i="21"/>
  <c r="B6944" i="21" s="1"/>
  <c r="E6944" i="21" s="1"/>
  <c r="C4066" i="21"/>
  <c r="D4066" i="21"/>
  <c r="E4066" i="21"/>
  <c r="B4676" i="21"/>
  <c r="B3752" i="21"/>
  <c r="B5193" i="21"/>
  <c r="C1564" i="21"/>
  <c r="D1564" i="21"/>
  <c r="E1564" i="21"/>
  <c r="B218" i="21"/>
  <c r="E2712" i="21"/>
  <c r="C2712" i="21"/>
  <c r="D2712" i="21"/>
  <c r="D1460" i="21"/>
  <c r="C1460" i="21"/>
  <c r="E1460" i="21"/>
  <c r="C1450" i="21"/>
  <c r="E1450" i="21"/>
  <c r="D1450" i="21"/>
  <c r="C1143" i="21"/>
  <c r="D1143" i="21"/>
  <c r="E1143" i="21"/>
  <c r="E3325" i="21"/>
  <c r="C3325" i="21"/>
  <c r="D3325" i="21"/>
  <c r="C3024" i="21"/>
  <c r="D3024" i="21"/>
  <c r="E3024" i="21"/>
  <c r="C1153" i="21"/>
  <c r="D1153" i="21"/>
  <c r="E1153" i="21"/>
  <c r="B2080" i="21"/>
  <c r="D5305" i="21"/>
  <c r="C5305" i="21"/>
  <c r="E5305" i="21"/>
  <c r="E4273" i="21"/>
  <c r="D4273" i="21"/>
  <c r="C4273" i="21"/>
  <c r="E4263" i="21"/>
  <c r="D4263" i="21"/>
  <c r="C4263" i="21"/>
  <c r="B5203" i="21"/>
  <c r="B4987" i="21"/>
  <c r="B228" i="21"/>
  <c r="C4056" i="21"/>
  <c r="D4056" i="21"/>
  <c r="E4056" i="21"/>
  <c r="B4686" i="21"/>
  <c r="B2609" i="21"/>
  <c r="E1666" i="21"/>
  <c r="C1666" i="21"/>
  <c r="D1666" i="21"/>
  <c r="B832" i="21"/>
  <c r="B3231" i="21"/>
  <c r="B3221" i="21"/>
  <c r="B319" i="21"/>
  <c r="B329" i="21"/>
  <c r="B2390" i="21"/>
  <c r="B2400" i="21"/>
  <c r="B2070" i="21"/>
  <c r="B4470" i="21"/>
  <c r="D4883" i="21"/>
  <c r="C4883" i="21"/>
  <c r="E4883" i="21"/>
  <c r="E2702" i="21"/>
  <c r="C2702" i="21"/>
  <c r="D2702" i="21"/>
  <c r="B3857" i="21"/>
  <c r="E3335" i="21"/>
  <c r="C3335" i="21"/>
  <c r="D3335" i="21"/>
  <c r="E3014" i="21"/>
  <c r="D3014" i="21"/>
  <c r="C3014" i="21"/>
  <c r="D5295" i="21"/>
  <c r="C5295" i="21"/>
  <c r="E5295" i="21"/>
  <c r="C4893" i="21"/>
  <c r="D4893" i="21"/>
  <c r="E4893" i="21"/>
  <c r="B4997" i="21"/>
  <c r="B3742" i="21"/>
  <c r="B2599" i="21"/>
  <c r="D1554" i="21"/>
  <c r="C1554" i="21"/>
  <c r="E1554" i="21"/>
  <c r="AF8" i="13" l="1"/>
  <c r="AG8" i="13" s="1"/>
  <c r="C1759" i="21"/>
  <c r="B1760" i="21" s="1"/>
  <c r="E1759" i="21"/>
  <c r="A103" i="21"/>
  <c r="B125" i="21" s="1"/>
  <c r="K25" i="10"/>
  <c r="A511" i="21"/>
  <c r="B533" i="21" s="1"/>
  <c r="C1656" i="21"/>
  <c r="B1657" i="21" s="1"/>
  <c r="E1656" i="21"/>
  <c r="D6738" i="21"/>
  <c r="B5603" i="21"/>
  <c r="B5613" i="21"/>
  <c r="B1872" i="21"/>
  <c r="E1872" i="21" s="1"/>
  <c r="B1770" i="21"/>
  <c r="B2173" i="21"/>
  <c r="C2173" i="21" s="1"/>
  <c r="C7262" i="21"/>
  <c r="B7263" i="21" s="1"/>
  <c r="E7263" i="21" s="1"/>
  <c r="D7262" i="21"/>
  <c r="B944" i="21"/>
  <c r="B934" i="21"/>
  <c r="C7252" i="21"/>
  <c r="B7253" i="21" s="1"/>
  <c r="D7253" i="21" s="1"/>
  <c r="D7252" i="21"/>
  <c r="C4367" i="21"/>
  <c r="B4368" i="21" s="1"/>
  <c r="D4377" i="21"/>
  <c r="E6644" i="21"/>
  <c r="D6223" i="21"/>
  <c r="D6644" i="21"/>
  <c r="C6738" i="21"/>
  <c r="B6739" i="21" s="1"/>
  <c r="E6748" i="21"/>
  <c r="C6223" i="21"/>
  <c r="B6224" i="21" s="1"/>
  <c r="E6233" i="21"/>
  <c r="C6748" i="21"/>
  <c r="B6749" i="21" s="1"/>
  <c r="D7564" i="21"/>
  <c r="C7564" i="21"/>
  <c r="E7564" i="21"/>
  <c r="D7574" i="21"/>
  <c r="C7574" i="21"/>
  <c r="E7574" i="21"/>
  <c r="E6645" i="21"/>
  <c r="D6645" i="21"/>
  <c r="E4377" i="21"/>
  <c r="D5811" i="21"/>
  <c r="E4367" i="21"/>
  <c r="C6645" i="21"/>
  <c r="B6646" i="21" s="1"/>
  <c r="E6635" i="21"/>
  <c r="C5811" i="21"/>
  <c r="B5812" i="21" s="1"/>
  <c r="E5821" i="21"/>
  <c r="C6233" i="21"/>
  <c r="B6234" i="21" s="1"/>
  <c r="C6635" i="21"/>
  <c r="B6636" i="21" s="1"/>
  <c r="C5821" i="21"/>
  <c r="B5822" i="21" s="1"/>
  <c r="B3647" i="21"/>
  <c r="B3637" i="21"/>
  <c r="D5098" i="21"/>
  <c r="C5098" i="21"/>
  <c r="B5099" i="21" s="1"/>
  <c r="E5098" i="21"/>
  <c r="C4582" i="21"/>
  <c r="B4583" i="21" s="1"/>
  <c r="C4583" i="21" s="1"/>
  <c r="D4582" i="21"/>
  <c r="E4582" i="21"/>
  <c r="E5088" i="21"/>
  <c r="D5088" i="21"/>
  <c r="C5088" i="21"/>
  <c r="B5089" i="21" s="1"/>
  <c r="E4572" i="21"/>
  <c r="D4572" i="21"/>
  <c r="C4572" i="21"/>
  <c r="B4573" i="21" s="1"/>
  <c r="C4573" i="21" s="1"/>
  <c r="C5912" i="21"/>
  <c r="B5913" i="21" s="1"/>
  <c r="D5912" i="21"/>
  <c r="E5912" i="21"/>
  <c r="C6540" i="21"/>
  <c r="B6541" i="21" s="1"/>
  <c r="D6540" i="21"/>
  <c r="E6540" i="21"/>
  <c r="C6015" i="21"/>
  <c r="B6016" i="21" s="1"/>
  <c r="D6015" i="21"/>
  <c r="E6015" i="21"/>
  <c r="C5922" i="21"/>
  <c r="B5923" i="21" s="1"/>
  <c r="D5922" i="21"/>
  <c r="E5922" i="21"/>
  <c r="C6530" i="21"/>
  <c r="B6531" i="21" s="1"/>
  <c r="D6530" i="21"/>
  <c r="E6530" i="21"/>
  <c r="C6025" i="21"/>
  <c r="B6026" i="21" s="1"/>
  <c r="D6025" i="21"/>
  <c r="E6025" i="21"/>
  <c r="B7056" i="21"/>
  <c r="B7159" i="21"/>
  <c r="B7046" i="21"/>
  <c r="B7149" i="21"/>
  <c r="C6944" i="21"/>
  <c r="B6945" i="21" s="1"/>
  <c r="C6954" i="21"/>
  <c r="B6955" i="21" s="1"/>
  <c r="D6944" i="21"/>
  <c r="E6954" i="21"/>
  <c r="B6850" i="21"/>
  <c r="B6840" i="21"/>
  <c r="D6427" i="21"/>
  <c r="C6427" i="21"/>
  <c r="E6427" i="21"/>
  <c r="C6437" i="21"/>
  <c r="E6437" i="21"/>
  <c r="D6437" i="21"/>
  <c r="D6324" i="21"/>
  <c r="E6324" i="21"/>
  <c r="C6324" i="21"/>
  <c r="B6325" i="21" s="1"/>
  <c r="E6325" i="21" s="1"/>
  <c r="E6334" i="21"/>
  <c r="C6334" i="21"/>
  <c r="B6335" i="21" s="1"/>
  <c r="D6334" i="21"/>
  <c r="D6118" i="21"/>
  <c r="C6118" i="21"/>
  <c r="E6118" i="21"/>
  <c r="C6128" i="21"/>
  <c r="E6128" i="21"/>
  <c r="D6128" i="21"/>
  <c r="B5717" i="21"/>
  <c r="B5707" i="21"/>
  <c r="E2806" i="21"/>
  <c r="C2806" i="21"/>
  <c r="D2806" i="21"/>
  <c r="C2816" i="21"/>
  <c r="E2816" i="21"/>
  <c r="D2816" i="21"/>
  <c r="D2494" i="21"/>
  <c r="E2494" i="21"/>
  <c r="C2494" i="21"/>
  <c r="E2504" i="21"/>
  <c r="C2504" i="21"/>
  <c r="D2504" i="21"/>
  <c r="B1348" i="21"/>
  <c r="B1358" i="21"/>
  <c r="B1040" i="21"/>
  <c r="B1050" i="21"/>
  <c r="B433" i="21"/>
  <c r="B423" i="21"/>
  <c r="B3951" i="21"/>
  <c r="B3961" i="21"/>
  <c r="D2599" i="21"/>
  <c r="C2599" i="21"/>
  <c r="E2599" i="21"/>
  <c r="C4997" i="21"/>
  <c r="E4997" i="21"/>
  <c r="D4997" i="21"/>
  <c r="B4894" i="21"/>
  <c r="B5296" i="21"/>
  <c r="B3015" i="21"/>
  <c r="B3336" i="21"/>
  <c r="B2703" i="21"/>
  <c r="B4884" i="21"/>
  <c r="C4480" i="21"/>
  <c r="D4480" i="21"/>
  <c r="E4480" i="21"/>
  <c r="C2400" i="21"/>
  <c r="D2400" i="21"/>
  <c r="E2400" i="21"/>
  <c r="C2183" i="21"/>
  <c r="E2183" i="21"/>
  <c r="D2183" i="21"/>
  <c r="C329" i="21"/>
  <c r="D329" i="21"/>
  <c r="E329" i="21"/>
  <c r="D319" i="21"/>
  <c r="E319" i="21"/>
  <c r="C319" i="21"/>
  <c r="D842" i="21"/>
  <c r="C842" i="21"/>
  <c r="E842" i="21"/>
  <c r="B1667" i="21"/>
  <c r="C4686" i="21"/>
  <c r="D4686" i="21"/>
  <c r="E4686" i="21"/>
  <c r="B4057" i="21"/>
  <c r="D228" i="21"/>
  <c r="C228" i="21"/>
  <c r="E228" i="21"/>
  <c r="B4264" i="21"/>
  <c r="B3025" i="21"/>
  <c r="B1461" i="21"/>
  <c r="D5193" i="21"/>
  <c r="E5193" i="21"/>
  <c r="C5193" i="21"/>
  <c r="D4676" i="21"/>
  <c r="C4676" i="21"/>
  <c r="E4676" i="21"/>
  <c r="B4378" i="21"/>
  <c r="B1555" i="21"/>
  <c r="C3742" i="21"/>
  <c r="D3742" i="21"/>
  <c r="E3742" i="21"/>
  <c r="D3857" i="21"/>
  <c r="C3857" i="21"/>
  <c r="E3857" i="21"/>
  <c r="D4470" i="21"/>
  <c r="C4470" i="21"/>
  <c r="E4470" i="21"/>
  <c r="C2070" i="21"/>
  <c r="D2070" i="21"/>
  <c r="E2070" i="21"/>
  <c r="D2390" i="21"/>
  <c r="E2390" i="21"/>
  <c r="C2390" i="21"/>
  <c r="D3221" i="21"/>
  <c r="E3221" i="21"/>
  <c r="C3221" i="21"/>
  <c r="E3231" i="21"/>
  <c r="C3231" i="21"/>
  <c r="D3231" i="21"/>
  <c r="E832" i="21"/>
  <c r="C832" i="21"/>
  <c r="D832" i="21"/>
  <c r="C2609" i="21"/>
  <c r="D2609" i="21"/>
  <c r="E2609" i="21"/>
  <c r="D4987" i="21"/>
  <c r="E4987" i="21"/>
  <c r="C4987" i="21"/>
  <c r="D5203" i="21"/>
  <c r="C5203" i="21"/>
  <c r="E5203" i="21"/>
  <c r="B4274" i="21"/>
  <c r="B5306" i="21"/>
  <c r="C2080" i="21"/>
  <c r="D2080" i="21"/>
  <c r="E2080" i="21"/>
  <c r="B3440" i="21"/>
  <c r="B3430" i="21"/>
  <c r="B1154" i="21"/>
  <c r="B3326" i="21"/>
  <c r="B1144" i="21"/>
  <c r="B1451" i="21"/>
  <c r="C3847" i="21"/>
  <c r="D3847" i="21"/>
  <c r="E3847" i="21"/>
  <c r="B2713" i="21"/>
  <c r="C218" i="21"/>
  <c r="D218" i="21"/>
  <c r="E218" i="21"/>
  <c r="B1565" i="21"/>
  <c r="D3752" i="21"/>
  <c r="C3752" i="21"/>
  <c r="E3752" i="21"/>
  <c r="B4067" i="21"/>
  <c r="B115" i="21" l="1"/>
  <c r="C115" i="21" s="1"/>
  <c r="A3522" i="21"/>
  <c r="B3544" i="21" s="1"/>
  <c r="A613" i="21"/>
  <c r="B625" i="21" s="1"/>
  <c r="C625" i="21" s="1"/>
  <c r="A4767" i="21"/>
  <c r="B4789" i="21" s="1"/>
  <c r="D4789" i="21" s="1"/>
  <c r="E2173" i="21"/>
  <c r="B523" i="21"/>
  <c r="C523" i="21" s="1"/>
  <c r="E4583" i="21"/>
  <c r="D4573" i="21"/>
  <c r="E7253" i="21"/>
  <c r="E5603" i="21"/>
  <c r="C5603" i="21"/>
  <c r="B5604" i="21" s="1"/>
  <c r="E5604" i="21" s="1"/>
  <c r="D5603" i="21"/>
  <c r="D5613" i="21"/>
  <c r="E5613" i="21"/>
  <c r="C5613" i="21"/>
  <c r="B5614" i="21" s="1"/>
  <c r="C5614" i="21" s="1"/>
  <c r="D1872" i="21"/>
  <c r="C1872" i="21"/>
  <c r="B1873" i="21" s="1"/>
  <c r="B1862" i="21"/>
  <c r="C1862" i="21" s="1"/>
  <c r="B1863" i="21" s="1"/>
  <c r="D7263" i="21"/>
  <c r="C1770" i="21"/>
  <c r="D1770" i="21"/>
  <c r="E1770" i="21"/>
  <c r="D1760" i="21"/>
  <c r="C1760" i="21"/>
  <c r="E1760" i="21"/>
  <c r="D2173" i="21"/>
  <c r="C7263" i="21"/>
  <c r="B7264" i="21" s="1"/>
  <c r="D934" i="21"/>
  <c r="C934" i="21"/>
  <c r="E934" i="21"/>
  <c r="B1965" i="21"/>
  <c r="B1975" i="21"/>
  <c r="C7253" i="21"/>
  <c r="B7254" i="21" s="1"/>
  <c r="E533" i="21"/>
  <c r="D533" i="21"/>
  <c r="C533" i="21"/>
  <c r="B3127" i="21"/>
  <c r="B3117" i="21"/>
  <c r="E125" i="21"/>
  <c r="C125" i="21"/>
  <c r="D125" i="21"/>
  <c r="E944" i="21"/>
  <c r="D944" i="21"/>
  <c r="C944" i="21"/>
  <c r="B7575" i="21"/>
  <c r="B7565" i="21"/>
  <c r="E4573" i="21"/>
  <c r="D4583" i="21"/>
  <c r="E3647" i="21"/>
  <c r="D3647" i="21"/>
  <c r="C3647" i="21"/>
  <c r="B3648" i="21" s="1"/>
  <c r="C3637" i="21"/>
  <c r="B3638" i="21" s="1"/>
  <c r="D3637" i="21"/>
  <c r="E3637" i="21"/>
  <c r="D5089" i="21"/>
  <c r="E5089" i="21"/>
  <c r="C5089" i="21"/>
  <c r="B5090" i="21" s="1"/>
  <c r="D5090" i="21" s="1"/>
  <c r="C5099" i="21"/>
  <c r="B5100" i="21" s="1"/>
  <c r="C5100" i="21" s="1"/>
  <c r="E5099" i="21"/>
  <c r="D5099" i="21"/>
  <c r="D6531" i="21"/>
  <c r="C6531" i="21"/>
  <c r="E6531" i="21"/>
  <c r="D6016" i="21"/>
  <c r="C6016" i="21"/>
  <c r="E6016" i="21"/>
  <c r="D5913" i="21"/>
  <c r="C5913" i="21"/>
  <c r="E5913" i="21"/>
  <c r="C6026" i="21"/>
  <c r="D6026" i="21"/>
  <c r="E6026" i="21"/>
  <c r="C5923" i="21"/>
  <c r="D5923" i="21"/>
  <c r="E5923" i="21"/>
  <c r="C6541" i="21"/>
  <c r="D6541" i="21"/>
  <c r="E6541" i="21"/>
  <c r="C7149" i="21"/>
  <c r="D7149" i="21"/>
  <c r="E7149" i="21"/>
  <c r="D7046" i="21"/>
  <c r="C7046" i="21"/>
  <c r="E7046" i="21"/>
  <c r="C7159" i="21"/>
  <c r="D7159" i="21"/>
  <c r="E7159" i="21"/>
  <c r="D7056" i="21"/>
  <c r="C7056" i="21"/>
  <c r="E7056" i="21"/>
  <c r="D6850" i="21"/>
  <c r="C6850" i="21"/>
  <c r="E6850" i="21"/>
  <c r="D6840" i="21"/>
  <c r="C6840" i="21"/>
  <c r="E6840" i="21"/>
  <c r="B6438" i="21"/>
  <c r="B6428" i="21"/>
  <c r="D6335" i="21"/>
  <c r="E6335" i="21"/>
  <c r="C6335" i="21"/>
  <c r="D6325" i="21"/>
  <c r="C6325" i="21"/>
  <c r="B6129" i="21"/>
  <c r="B6119" i="21"/>
  <c r="D5707" i="21"/>
  <c r="C5707" i="21"/>
  <c r="E5707" i="21"/>
  <c r="D5717" i="21"/>
  <c r="C5717" i="21"/>
  <c r="E5717" i="21"/>
  <c r="B2817" i="21"/>
  <c r="B2807" i="21"/>
  <c r="B2495" i="21"/>
  <c r="B2505" i="21"/>
  <c r="C1358" i="21"/>
  <c r="D1358" i="21"/>
  <c r="E1358" i="21"/>
  <c r="C1348" i="21"/>
  <c r="D1348" i="21"/>
  <c r="E1348" i="21"/>
  <c r="E1050" i="21"/>
  <c r="D1050" i="21"/>
  <c r="C1050" i="21"/>
  <c r="D1040" i="21"/>
  <c r="C1040" i="21"/>
  <c r="E1040" i="21"/>
  <c r="C423" i="21"/>
  <c r="E423" i="21"/>
  <c r="D423" i="21"/>
  <c r="D433" i="21"/>
  <c r="E433" i="21"/>
  <c r="C433" i="21"/>
  <c r="C6945" i="21"/>
  <c r="D6945" i="21"/>
  <c r="E6945" i="21"/>
  <c r="C6955" i="21"/>
  <c r="D6955" i="21"/>
  <c r="E6955" i="21"/>
  <c r="C6739" i="21"/>
  <c r="D6739" i="21"/>
  <c r="E6739" i="21"/>
  <c r="C6749" i="21"/>
  <c r="D6749" i="21"/>
  <c r="E6749" i="21"/>
  <c r="C6636" i="21"/>
  <c r="D6636" i="21"/>
  <c r="E6636" i="21"/>
  <c r="C6646" i="21"/>
  <c r="D6646" i="21"/>
  <c r="E6646" i="21"/>
  <c r="C6224" i="21"/>
  <c r="D6224" i="21"/>
  <c r="E6224" i="21"/>
  <c r="C6234" i="21"/>
  <c r="D6234" i="21"/>
  <c r="E6234" i="21"/>
  <c r="C5812" i="21"/>
  <c r="D5812" i="21"/>
  <c r="E5812" i="21"/>
  <c r="C5822" i="21"/>
  <c r="D5822" i="21"/>
  <c r="E5822" i="21"/>
  <c r="C3951" i="21"/>
  <c r="E3951" i="21"/>
  <c r="D3951" i="21"/>
  <c r="E3961" i="21"/>
  <c r="C3961" i="21"/>
  <c r="D3961" i="21"/>
  <c r="E4067" i="21"/>
  <c r="C4067" i="21"/>
  <c r="D4067" i="21"/>
  <c r="C1657" i="21"/>
  <c r="D1657" i="21"/>
  <c r="E1657" i="21"/>
  <c r="B219" i="21"/>
  <c r="C2713" i="21"/>
  <c r="D2713" i="21"/>
  <c r="E2713" i="21"/>
  <c r="B3848" i="21"/>
  <c r="D1451" i="21"/>
  <c r="C1451" i="21"/>
  <c r="E1451" i="21"/>
  <c r="D3326" i="21"/>
  <c r="C3326" i="21"/>
  <c r="E3326" i="21"/>
  <c r="E1154" i="21"/>
  <c r="D1154" i="21"/>
  <c r="C1154" i="21"/>
  <c r="E3440" i="21"/>
  <c r="C3440" i="21"/>
  <c r="D3440" i="21"/>
  <c r="E5306" i="21"/>
  <c r="C5306" i="21"/>
  <c r="D5306" i="21"/>
  <c r="B833" i="21"/>
  <c r="B3232" i="21"/>
  <c r="B2174" i="21"/>
  <c r="B2071" i="21"/>
  <c r="B4471" i="21"/>
  <c r="B3858" i="21"/>
  <c r="B3743" i="21"/>
  <c r="D4378" i="21"/>
  <c r="E4378" i="21"/>
  <c r="C4378" i="21"/>
  <c r="B5194" i="21"/>
  <c r="C1461" i="21"/>
  <c r="D1461" i="21"/>
  <c r="E1461" i="21"/>
  <c r="C3025" i="21"/>
  <c r="D3025" i="21"/>
  <c r="E3025" i="21"/>
  <c r="C4264" i="21"/>
  <c r="D4264" i="21"/>
  <c r="E4264" i="21"/>
  <c r="C1667" i="21"/>
  <c r="D1667" i="21"/>
  <c r="E1667" i="21"/>
  <c r="B320" i="21"/>
  <c r="B4481" i="21"/>
  <c r="D2703" i="21"/>
  <c r="C2703" i="21"/>
  <c r="E2703" i="21"/>
  <c r="B3753" i="21"/>
  <c r="D1565" i="21"/>
  <c r="E1565" i="21"/>
  <c r="C1565" i="21"/>
  <c r="E1144" i="21"/>
  <c r="D1144" i="21"/>
  <c r="C1144" i="21"/>
  <c r="C3430" i="21"/>
  <c r="E3430" i="21"/>
  <c r="D3430" i="21"/>
  <c r="B2081" i="21"/>
  <c r="C4274" i="21"/>
  <c r="D4274" i="21"/>
  <c r="E4274" i="21"/>
  <c r="B5204" i="21"/>
  <c r="B4988" i="21"/>
  <c r="B2610" i="21"/>
  <c r="B3222" i="21"/>
  <c r="B2391" i="21"/>
  <c r="B4574" i="21"/>
  <c r="E1555" i="21"/>
  <c r="D1555" i="21"/>
  <c r="C1555" i="21"/>
  <c r="B4677" i="21"/>
  <c r="B229" i="21"/>
  <c r="C4057" i="21"/>
  <c r="D4057" i="21"/>
  <c r="E4057" i="21"/>
  <c r="B4687" i="21"/>
  <c r="D4368" i="21"/>
  <c r="E4368" i="21"/>
  <c r="C4368" i="21"/>
  <c r="B843" i="21"/>
  <c r="B330" i="21"/>
  <c r="B2184" i="21"/>
  <c r="B2401" i="21"/>
  <c r="C4884" i="21"/>
  <c r="D4884" i="21"/>
  <c r="E4884" i="21"/>
  <c r="B4584" i="21"/>
  <c r="C3336" i="21"/>
  <c r="D3336" i="21"/>
  <c r="E3336" i="21"/>
  <c r="C3015" i="21"/>
  <c r="D3015" i="21"/>
  <c r="E3015" i="21"/>
  <c r="E5296" i="21"/>
  <c r="D5296" i="21"/>
  <c r="C5296" i="21"/>
  <c r="E4894" i="21"/>
  <c r="C4894" i="21"/>
  <c r="D4894" i="21"/>
  <c r="B4998" i="21"/>
  <c r="B2600" i="21"/>
  <c r="B635" i="21" l="1"/>
  <c r="E635" i="21" s="1"/>
  <c r="E115" i="21"/>
  <c r="D115" i="21"/>
  <c r="E4789" i="21"/>
  <c r="B3534" i="21"/>
  <c r="D3534" i="21" s="1"/>
  <c r="E625" i="21"/>
  <c r="D625" i="21"/>
  <c r="C4789" i="21"/>
  <c r="B4790" i="21" s="1"/>
  <c r="E4790" i="21" s="1"/>
  <c r="B4779" i="21"/>
  <c r="C4779" i="21" s="1"/>
  <c r="B4780" i="21" s="1"/>
  <c r="D4780" i="21" s="1"/>
  <c r="E523" i="21"/>
  <c r="D523" i="21"/>
  <c r="E1862" i="21"/>
  <c r="D5604" i="21"/>
  <c r="D5614" i="21"/>
  <c r="C5604" i="21"/>
  <c r="B5605" i="21" s="1"/>
  <c r="D5100" i="21"/>
  <c r="E5614" i="21"/>
  <c r="E5100" i="21"/>
  <c r="C5090" i="21"/>
  <c r="D1862" i="21"/>
  <c r="B1761" i="21"/>
  <c r="B1771" i="21"/>
  <c r="B2296" i="21"/>
  <c r="B2286" i="21"/>
  <c r="B126" i="21"/>
  <c r="B534" i="21"/>
  <c r="B945" i="21"/>
  <c r="E3127" i="21"/>
  <c r="D3127" i="21"/>
  <c r="C3127" i="21"/>
  <c r="B3128" i="21" s="1"/>
  <c r="D3128" i="21" s="1"/>
  <c r="B116" i="21"/>
  <c r="C3117" i="21"/>
  <c r="B3118" i="21" s="1"/>
  <c r="E3118" i="21" s="1"/>
  <c r="E3117" i="21"/>
  <c r="D3117" i="21"/>
  <c r="B626" i="21"/>
  <c r="E1965" i="21"/>
  <c r="C1965" i="21"/>
  <c r="B1966" i="21" s="1"/>
  <c r="D1965" i="21"/>
  <c r="C3544" i="21"/>
  <c r="B3545" i="21" s="1"/>
  <c r="E3544" i="21"/>
  <c r="D3544" i="21"/>
  <c r="B524" i="21"/>
  <c r="E1975" i="21"/>
  <c r="D1975" i="21"/>
  <c r="C1975" i="21"/>
  <c r="B1976" i="21" s="1"/>
  <c r="E1976" i="21" s="1"/>
  <c r="B935" i="21"/>
  <c r="D7565" i="21"/>
  <c r="C7565" i="21"/>
  <c r="E7565" i="21"/>
  <c r="E7575" i="21"/>
  <c r="D7575" i="21"/>
  <c r="C7575" i="21"/>
  <c r="E5090" i="21"/>
  <c r="C3648" i="21"/>
  <c r="B3649" i="21" s="1"/>
  <c r="C3649" i="21" s="1"/>
  <c r="D3648" i="21"/>
  <c r="E3648" i="21"/>
  <c r="C3638" i="21"/>
  <c r="B3639" i="21" s="1"/>
  <c r="C3639" i="21" s="1"/>
  <c r="E3638" i="21"/>
  <c r="D3638" i="21"/>
  <c r="B5924" i="21"/>
  <c r="B6017" i="21"/>
  <c r="B6542" i="21"/>
  <c r="B6027" i="21"/>
  <c r="B5914" i="21"/>
  <c r="B6532" i="21"/>
  <c r="C7264" i="21"/>
  <c r="D7264" i="21"/>
  <c r="E7264" i="21"/>
  <c r="D7254" i="21"/>
  <c r="C7254" i="21"/>
  <c r="E7254" i="21"/>
  <c r="B7057" i="21"/>
  <c r="B7160" i="21"/>
  <c r="B7047" i="21"/>
  <c r="B7150" i="21"/>
  <c r="B6841" i="21"/>
  <c r="B6851" i="21"/>
  <c r="D6438" i="21"/>
  <c r="C6438" i="21"/>
  <c r="E6438" i="21"/>
  <c r="D6428" i="21"/>
  <c r="C6428" i="21"/>
  <c r="E6428" i="21"/>
  <c r="B6326" i="21"/>
  <c r="B6336" i="21"/>
  <c r="D6119" i="21"/>
  <c r="C6119" i="21"/>
  <c r="E6119" i="21"/>
  <c r="D6129" i="21"/>
  <c r="C6129" i="21"/>
  <c r="E6129" i="21"/>
  <c r="B5718" i="21"/>
  <c r="B5708" i="21"/>
  <c r="B5615" i="21"/>
  <c r="B5407" i="21"/>
  <c r="B5397" i="21"/>
  <c r="C2807" i="21"/>
  <c r="D2807" i="21"/>
  <c r="E2807" i="21"/>
  <c r="C2817" i="21"/>
  <c r="D2817" i="21"/>
  <c r="E2817" i="21"/>
  <c r="C2505" i="21"/>
  <c r="D2505" i="21"/>
  <c r="E2505" i="21"/>
  <c r="C2495" i="21"/>
  <c r="D2495" i="21"/>
  <c r="E2495" i="21"/>
  <c r="B1359" i="21"/>
  <c r="B1349" i="21"/>
  <c r="B1051" i="21"/>
  <c r="B1041" i="21"/>
  <c r="B434" i="21"/>
  <c r="B424" i="21"/>
  <c r="B6946" i="21"/>
  <c r="B6956" i="21"/>
  <c r="B6740" i="21"/>
  <c r="B6750" i="21"/>
  <c r="B6647" i="21"/>
  <c r="B6637" i="21"/>
  <c r="B6225" i="21"/>
  <c r="B6235" i="21"/>
  <c r="B5813" i="21"/>
  <c r="B5823" i="21"/>
  <c r="B3952" i="21"/>
  <c r="B3962" i="21"/>
  <c r="B4895" i="21"/>
  <c r="B3016" i="21"/>
  <c r="D2184" i="21"/>
  <c r="C2184" i="21"/>
  <c r="E2184" i="21"/>
  <c r="D4687" i="21"/>
  <c r="C4687" i="21"/>
  <c r="E4687" i="21"/>
  <c r="B4058" i="21"/>
  <c r="E229" i="21"/>
  <c r="D229" i="21"/>
  <c r="C229" i="21"/>
  <c r="D4677" i="21"/>
  <c r="C4677" i="21"/>
  <c r="E4677" i="21"/>
  <c r="D1863" i="21"/>
  <c r="C1863" i="21"/>
  <c r="E1863" i="21"/>
  <c r="D2610" i="21"/>
  <c r="E2610" i="21"/>
  <c r="C2610" i="21"/>
  <c r="D4988" i="21"/>
  <c r="C4988" i="21"/>
  <c r="E4988" i="21"/>
  <c r="C5204" i="21"/>
  <c r="D5204" i="21"/>
  <c r="E5204" i="21"/>
  <c r="B4275" i="21"/>
  <c r="D2081" i="21"/>
  <c r="E2081" i="21"/>
  <c r="C2081" i="21"/>
  <c r="B3431" i="21"/>
  <c r="B1145" i="21"/>
  <c r="B1566" i="21"/>
  <c r="B2704" i="21"/>
  <c r="C320" i="21"/>
  <c r="D320" i="21"/>
  <c r="E320" i="21"/>
  <c r="B4265" i="21"/>
  <c r="B1462" i="21"/>
  <c r="C5194" i="21"/>
  <c r="D5194" i="21"/>
  <c r="E5194" i="21"/>
  <c r="B5101" i="21"/>
  <c r="B5091" i="21"/>
  <c r="C4471" i="21"/>
  <c r="D4471" i="21"/>
  <c r="E4471" i="21"/>
  <c r="D3232" i="21"/>
  <c r="C3232" i="21"/>
  <c r="E3232" i="21"/>
  <c r="C833" i="21"/>
  <c r="D833" i="21"/>
  <c r="E833" i="21"/>
  <c r="B5307" i="21"/>
  <c r="B3441" i="21"/>
  <c r="B1155" i="21"/>
  <c r="B1452" i="21"/>
  <c r="B2714" i="21"/>
  <c r="C219" i="21"/>
  <c r="D219" i="21"/>
  <c r="E219" i="21"/>
  <c r="E2600" i="21"/>
  <c r="D2600" i="21"/>
  <c r="C2600" i="21"/>
  <c r="C4998" i="21"/>
  <c r="D4998" i="21"/>
  <c r="E4998" i="21"/>
  <c r="B5297" i="21"/>
  <c r="B3337" i="21"/>
  <c r="D4584" i="21"/>
  <c r="C4584" i="21"/>
  <c r="E4584" i="21"/>
  <c r="B4885" i="21"/>
  <c r="D2401" i="21"/>
  <c r="C2401" i="21"/>
  <c r="E2401" i="21"/>
  <c r="C330" i="21"/>
  <c r="D330" i="21"/>
  <c r="E330" i="21"/>
  <c r="D843" i="21"/>
  <c r="C843" i="21"/>
  <c r="E843" i="21"/>
  <c r="B4369" i="21"/>
  <c r="B1556" i="21"/>
  <c r="D4574" i="21"/>
  <c r="E4574" i="21"/>
  <c r="C4574" i="21"/>
  <c r="D2391" i="21"/>
  <c r="C2391" i="21"/>
  <c r="E2391" i="21"/>
  <c r="C3222" i="21"/>
  <c r="D3222" i="21"/>
  <c r="E3222" i="21"/>
  <c r="E3753" i="21"/>
  <c r="C3753" i="21"/>
  <c r="D3753" i="21"/>
  <c r="E4481" i="21"/>
  <c r="C4481" i="21"/>
  <c r="D4481" i="21"/>
  <c r="C1873" i="21"/>
  <c r="D1873" i="21"/>
  <c r="E1873" i="21"/>
  <c r="B1668" i="21"/>
  <c r="B3026" i="21"/>
  <c r="B4379" i="21"/>
  <c r="C3743" i="21"/>
  <c r="D3743" i="21"/>
  <c r="E3743" i="21"/>
  <c r="E3858" i="21"/>
  <c r="C3858" i="21"/>
  <c r="D3858" i="21"/>
  <c r="E2071" i="21"/>
  <c r="D2071" i="21"/>
  <c r="C2071" i="21"/>
  <c r="C2174" i="21"/>
  <c r="D2174" i="21"/>
  <c r="E2174" i="21"/>
  <c r="B3327" i="21"/>
  <c r="C3848" i="21"/>
  <c r="E3848" i="21"/>
  <c r="D3848" i="21"/>
  <c r="B1658" i="21"/>
  <c r="B4068" i="21"/>
  <c r="D635" i="21" l="1"/>
  <c r="C635" i="21"/>
  <c r="B636" i="21" s="1"/>
  <c r="C636" i="21" s="1"/>
  <c r="D4779" i="21"/>
  <c r="D4790" i="21"/>
  <c r="C4790" i="21"/>
  <c r="B4791" i="21" s="1"/>
  <c r="C4791" i="21" s="1"/>
  <c r="E3534" i="21"/>
  <c r="E4780" i="21"/>
  <c r="C3534" i="21"/>
  <c r="B3535" i="21" s="1"/>
  <c r="E3535" i="21" s="1"/>
  <c r="C4780" i="21"/>
  <c r="B4781" i="21" s="1"/>
  <c r="D4781" i="21" s="1"/>
  <c r="E4779" i="21"/>
  <c r="K15" i="1"/>
  <c r="AB6" i="13"/>
  <c r="C1771" i="21"/>
  <c r="D1771" i="21"/>
  <c r="E1771" i="21"/>
  <c r="D1761" i="21"/>
  <c r="C1761" i="21"/>
  <c r="E1761" i="21"/>
  <c r="C2296" i="21"/>
  <c r="B2297" i="21" s="1"/>
  <c r="D2296" i="21"/>
  <c r="E2296" i="21"/>
  <c r="E2286" i="21"/>
  <c r="C2286" i="21"/>
  <c r="B2287" i="21" s="1"/>
  <c r="D2286" i="21"/>
  <c r="D3649" i="21"/>
  <c r="E3128" i="21"/>
  <c r="C3128" i="21"/>
  <c r="B3129" i="21" s="1"/>
  <c r="C945" i="21"/>
  <c r="D945" i="21"/>
  <c r="E945" i="21"/>
  <c r="D116" i="21"/>
  <c r="C116" i="21"/>
  <c r="E116" i="21"/>
  <c r="C534" i="21"/>
  <c r="D534" i="21"/>
  <c r="E534" i="21"/>
  <c r="D126" i="21"/>
  <c r="C126" i="21"/>
  <c r="E126" i="21"/>
  <c r="D1976" i="21"/>
  <c r="C1976" i="21"/>
  <c r="B1977" i="21" s="1"/>
  <c r="E1977" i="21" s="1"/>
  <c r="D524" i="21"/>
  <c r="C524" i="21"/>
  <c r="E524" i="21"/>
  <c r="C3545" i="21"/>
  <c r="B3546" i="21" s="1"/>
  <c r="E3546" i="21" s="1"/>
  <c r="D3545" i="21"/>
  <c r="E3545" i="21"/>
  <c r="D1966" i="21"/>
  <c r="E1966" i="21"/>
  <c r="C1966" i="21"/>
  <c r="B1967" i="21" s="1"/>
  <c r="E1967" i="21" s="1"/>
  <c r="D3118" i="21"/>
  <c r="C3118" i="21"/>
  <c r="B3119" i="21" s="1"/>
  <c r="D935" i="21"/>
  <c r="C935" i="21"/>
  <c r="E935" i="21"/>
  <c r="C626" i="21"/>
  <c r="D626" i="21"/>
  <c r="E626" i="21"/>
  <c r="E3649" i="21"/>
  <c r="B2910" i="21"/>
  <c r="B2920" i="21"/>
  <c r="B7576" i="21"/>
  <c r="B7566" i="21"/>
  <c r="E3639" i="21"/>
  <c r="D3639" i="21"/>
  <c r="D6532" i="21"/>
  <c r="E6532" i="21"/>
  <c r="C6532" i="21"/>
  <c r="E5914" i="21"/>
  <c r="D5914" i="21"/>
  <c r="C5914" i="21"/>
  <c r="D6027" i="21"/>
  <c r="C6027" i="21"/>
  <c r="E6027" i="21"/>
  <c r="D6542" i="21"/>
  <c r="C6542" i="21"/>
  <c r="E6542" i="21"/>
  <c r="E6017" i="21"/>
  <c r="D6017" i="21"/>
  <c r="C6017" i="21"/>
  <c r="D5924" i="21"/>
  <c r="C5924" i="21"/>
  <c r="E5924" i="21"/>
  <c r="D7057" i="21"/>
  <c r="C7057" i="21"/>
  <c r="E7057" i="21"/>
  <c r="B7255" i="21"/>
  <c r="B7265" i="21"/>
  <c r="D7150" i="21"/>
  <c r="C7150" i="21"/>
  <c r="E7150" i="21"/>
  <c r="E7047" i="21"/>
  <c r="D7047" i="21"/>
  <c r="C7047" i="21"/>
  <c r="E7160" i="21"/>
  <c r="D7160" i="21"/>
  <c r="C7160" i="21"/>
  <c r="D6851" i="21"/>
  <c r="C6851" i="21"/>
  <c r="E6851" i="21"/>
  <c r="E6841" i="21"/>
  <c r="D6841" i="21"/>
  <c r="C6841" i="21"/>
  <c r="B6429" i="21"/>
  <c r="B6439" i="21"/>
  <c r="D6336" i="21"/>
  <c r="C6336" i="21"/>
  <c r="E6336" i="21"/>
  <c r="E6326" i="21"/>
  <c r="D6326" i="21"/>
  <c r="C6326" i="21"/>
  <c r="B6130" i="21"/>
  <c r="B6120" i="21"/>
  <c r="E5708" i="21"/>
  <c r="D5708" i="21"/>
  <c r="C5708" i="21"/>
  <c r="D5718" i="21"/>
  <c r="C5718" i="21"/>
  <c r="E5718" i="21"/>
  <c r="C5605" i="21"/>
  <c r="D5605" i="21"/>
  <c r="E5605" i="21"/>
  <c r="C5615" i="21"/>
  <c r="E5615" i="21"/>
  <c r="D5615" i="21"/>
  <c r="D5407" i="21"/>
  <c r="E5407" i="21"/>
  <c r="C5407" i="21"/>
  <c r="E5397" i="21"/>
  <c r="C5397" i="21"/>
  <c r="D5397" i="21"/>
  <c r="B2808" i="21"/>
  <c r="B2818" i="21"/>
  <c r="B2506" i="21"/>
  <c r="B2496" i="21"/>
  <c r="D1349" i="21"/>
  <c r="E1349" i="21"/>
  <c r="C1349" i="21"/>
  <c r="C1359" i="21"/>
  <c r="E1359" i="21"/>
  <c r="D1359" i="21"/>
  <c r="C1041" i="21"/>
  <c r="D1041" i="21"/>
  <c r="E1041" i="21"/>
  <c r="C1051" i="21"/>
  <c r="D1051" i="21"/>
  <c r="E1051" i="21"/>
  <c r="D424" i="21"/>
  <c r="C424" i="21"/>
  <c r="E424" i="21"/>
  <c r="D434" i="21"/>
  <c r="C434" i="21"/>
  <c r="E434" i="21"/>
  <c r="D6946" i="21"/>
  <c r="E6946" i="21"/>
  <c r="C6946" i="21"/>
  <c r="D6956" i="21"/>
  <c r="E6956" i="21"/>
  <c r="C6956" i="21"/>
  <c r="D6740" i="21"/>
  <c r="E6740" i="21"/>
  <c r="C6740" i="21"/>
  <c r="D6750" i="21"/>
  <c r="E6750" i="21"/>
  <c r="C6750" i="21"/>
  <c r="D6647" i="21"/>
  <c r="E6647" i="21"/>
  <c r="C6647" i="21"/>
  <c r="D6637" i="21"/>
  <c r="E6637" i="21"/>
  <c r="C6637" i="21"/>
  <c r="D6225" i="21"/>
  <c r="E6225" i="21"/>
  <c r="C6225" i="21"/>
  <c r="D6235" i="21"/>
  <c r="E6235" i="21"/>
  <c r="C6235" i="21"/>
  <c r="D5813" i="21"/>
  <c r="E5813" i="21"/>
  <c r="C5813" i="21"/>
  <c r="D5823" i="21"/>
  <c r="E5823" i="21"/>
  <c r="C5823" i="21"/>
  <c r="C3962" i="21"/>
  <c r="D3962" i="21"/>
  <c r="E3962" i="21"/>
  <c r="D3952" i="21"/>
  <c r="C3952" i="21"/>
  <c r="E3952" i="21"/>
  <c r="C4068" i="21"/>
  <c r="D4068" i="21"/>
  <c r="E4068" i="21"/>
  <c r="E3327" i="21"/>
  <c r="C3327" i="21"/>
  <c r="D3327" i="21"/>
  <c r="E1658" i="21"/>
  <c r="C1658" i="21"/>
  <c r="D1658" i="21"/>
  <c r="B3849" i="21"/>
  <c r="B2175" i="21"/>
  <c r="B3744" i="21"/>
  <c r="C4379" i="21"/>
  <c r="D4379" i="21"/>
  <c r="E4379" i="21"/>
  <c r="B4482" i="21"/>
  <c r="B3754" i="21"/>
  <c r="B3223" i="21"/>
  <c r="B2392" i="21"/>
  <c r="B844" i="21"/>
  <c r="B331" i="21"/>
  <c r="B2402" i="21"/>
  <c r="D4885" i="21"/>
  <c r="C4885" i="21"/>
  <c r="E4885" i="21"/>
  <c r="B4585" i="21"/>
  <c r="D3337" i="21"/>
  <c r="C3337" i="21"/>
  <c r="E3337" i="21"/>
  <c r="B2601" i="21"/>
  <c r="E2714" i="21"/>
  <c r="D2714" i="21"/>
  <c r="C2714" i="21"/>
  <c r="E1452" i="21"/>
  <c r="D1452" i="21"/>
  <c r="C1452" i="21"/>
  <c r="C1155" i="21"/>
  <c r="D1155" i="21"/>
  <c r="E1155" i="21"/>
  <c r="B834" i="21"/>
  <c r="B3233" i="21"/>
  <c r="D5091" i="21"/>
  <c r="C5091" i="21"/>
  <c r="E5091" i="21"/>
  <c r="B5195" i="21"/>
  <c r="D4275" i="21"/>
  <c r="C4275" i="21"/>
  <c r="E4275" i="21"/>
  <c r="B5205" i="21"/>
  <c r="B4989" i="21"/>
  <c r="B2611" i="21"/>
  <c r="B4678" i="21"/>
  <c r="B4688" i="21"/>
  <c r="B2185" i="21"/>
  <c r="D4895" i="21"/>
  <c r="C4895" i="21"/>
  <c r="E4895" i="21"/>
  <c r="B2072" i="21"/>
  <c r="B3859" i="21"/>
  <c r="B3650" i="21"/>
  <c r="E3026" i="21"/>
  <c r="C3026" i="21"/>
  <c r="D3026" i="21"/>
  <c r="C1668" i="21"/>
  <c r="D1668" i="21"/>
  <c r="E1668" i="21"/>
  <c r="B1874" i="21"/>
  <c r="B4575" i="21"/>
  <c r="D1556" i="21"/>
  <c r="C1556" i="21"/>
  <c r="E1556" i="21"/>
  <c r="C4369" i="21"/>
  <c r="D4369" i="21"/>
  <c r="E4369" i="21"/>
  <c r="C5297" i="21"/>
  <c r="D5297" i="21"/>
  <c r="E5297" i="21"/>
  <c r="B4999" i="21"/>
  <c r="B3640" i="21"/>
  <c r="B220" i="21"/>
  <c r="C3441" i="21"/>
  <c r="D3441" i="21"/>
  <c r="E3441" i="21"/>
  <c r="C5307" i="21"/>
  <c r="D5307" i="21"/>
  <c r="E5307" i="21"/>
  <c r="B4472" i="21"/>
  <c r="C5101" i="21"/>
  <c r="D5101" i="21"/>
  <c r="E5101" i="21"/>
  <c r="C1462" i="21"/>
  <c r="E1462" i="21"/>
  <c r="D1462" i="21"/>
  <c r="D4265" i="21"/>
  <c r="E4265" i="21"/>
  <c r="C4265" i="21"/>
  <c r="B321" i="21"/>
  <c r="C2704" i="21"/>
  <c r="E2704" i="21"/>
  <c r="D2704" i="21"/>
  <c r="C1566" i="21"/>
  <c r="D1566" i="21"/>
  <c r="E1566" i="21"/>
  <c r="C1145" i="21"/>
  <c r="D1145" i="21"/>
  <c r="E1145" i="21"/>
  <c r="C3431" i="21"/>
  <c r="D3431" i="21"/>
  <c r="E3431" i="21"/>
  <c r="B2082" i="21"/>
  <c r="B1864" i="21"/>
  <c r="B230" i="21"/>
  <c r="D4058" i="21"/>
  <c r="C4058" i="21"/>
  <c r="E4058" i="21"/>
  <c r="E3016" i="21"/>
  <c r="C3016" i="21"/>
  <c r="D3016" i="21"/>
  <c r="D636" i="21" l="1"/>
  <c r="E636" i="21"/>
  <c r="D3535" i="21"/>
  <c r="B4792" i="21"/>
  <c r="D4792" i="21" s="1"/>
  <c r="E4791" i="21"/>
  <c r="D4791" i="21"/>
  <c r="E4781" i="21"/>
  <c r="C3535" i="21"/>
  <c r="B3536" i="21" s="1"/>
  <c r="E3536" i="21" s="1"/>
  <c r="C4781" i="21"/>
  <c r="B4782" i="21" s="1"/>
  <c r="D4782" i="21" s="1"/>
  <c r="K22" i="1"/>
  <c r="K23" i="1" s="1"/>
  <c r="K24" i="1" s="1"/>
  <c r="AD6" i="13"/>
  <c r="C3546" i="21"/>
  <c r="B3547" i="21" s="1"/>
  <c r="C1967" i="21"/>
  <c r="B1968" i="21" s="1"/>
  <c r="B1772" i="21"/>
  <c r="B1762" i="21"/>
  <c r="D2287" i="21"/>
  <c r="C2287" i="21"/>
  <c r="B2288" i="21" s="1"/>
  <c r="C2288" i="21" s="1"/>
  <c r="E2287" i="21"/>
  <c r="D2297" i="21"/>
  <c r="C2297" i="21"/>
  <c r="B2298" i="21" s="1"/>
  <c r="C2298" i="21" s="1"/>
  <c r="E2297" i="21"/>
  <c r="D3546" i="21"/>
  <c r="D1977" i="21"/>
  <c r="C1977" i="21"/>
  <c r="B1978" i="21" s="1"/>
  <c r="B946" i="21"/>
  <c r="D1967" i="21"/>
  <c r="B627" i="21"/>
  <c r="B127" i="21"/>
  <c r="B535" i="21"/>
  <c r="B525" i="21"/>
  <c r="B936" i="21"/>
  <c r="B117" i="21"/>
  <c r="B637" i="21"/>
  <c r="E2910" i="21"/>
  <c r="C2910" i="21"/>
  <c r="D2910" i="21"/>
  <c r="C2920" i="21"/>
  <c r="E2920" i="21"/>
  <c r="D2920" i="21"/>
  <c r="D7566" i="21"/>
  <c r="C7566" i="21"/>
  <c r="E7566" i="21"/>
  <c r="C7576" i="21"/>
  <c r="D7576" i="21"/>
  <c r="E7576" i="21"/>
  <c r="B6018" i="21"/>
  <c r="B5915" i="21"/>
  <c r="B6533" i="21"/>
  <c r="B5925" i="21"/>
  <c r="B6543" i="21"/>
  <c r="B6028" i="21"/>
  <c r="B7161" i="21"/>
  <c r="B7048" i="21"/>
  <c r="E7265" i="21"/>
  <c r="D7265" i="21"/>
  <c r="C7265" i="21"/>
  <c r="D7255" i="21"/>
  <c r="C7255" i="21"/>
  <c r="E7255" i="21"/>
  <c r="B7151" i="21"/>
  <c r="B7058" i="21"/>
  <c r="B6842" i="21"/>
  <c r="B6852" i="21"/>
  <c r="D6439" i="21"/>
  <c r="C6439" i="21"/>
  <c r="E6439" i="21"/>
  <c r="E6429" i="21"/>
  <c r="D6429" i="21"/>
  <c r="C6429" i="21"/>
  <c r="B6327" i="21"/>
  <c r="B6337" i="21"/>
  <c r="E6120" i="21"/>
  <c r="D6120" i="21"/>
  <c r="C6120" i="21"/>
  <c r="D6130" i="21"/>
  <c r="C6130" i="21"/>
  <c r="E6130" i="21"/>
  <c r="B5709" i="21"/>
  <c r="B5719" i="21"/>
  <c r="B5616" i="21"/>
  <c r="B5606" i="21"/>
  <c r="B5408" i="21"/>
  <c r="B5398" i="21"/>
  <c r="D2818" i="21"/>
  <c r="E2818" i="21"/>
  <c r="C2818" i="21"/>
  <c r="C2808" i="21"/>
  <c r="D2808" i="21"/>
  <c r="E2808" i="21"/>
  <c r="D2496" i="21"/>
  <c r="E2496" i="21"/>
  <c r="C2496" i="21"/>
  <c r="C2506" i="21"/>
  <c r="E2506" i="21"/>
  <c r="D2506" i="21"/>
  <c r="B1360" i="21"/>
  <c r="B1350" i="21"/>
  <c r="B1042" i="21"/>
  <c r="B1052" i="21"/>
  <c r="B435" i="21"/>
  <c r="B425" i="21"/>
  <c r="B6947" i="21"/>
  <c r="B6957" i="21"/>
  <c r="B6741" i="21"/>
  <c r="B6751" i="21"/>
  <c r="B6648" i="21"/>
  <c r="B6638" i="21"/>
  <c r="B6226" i="21"/>
  <c r="B6236" i="21"/>
  <c r="B5814" i="21"/>
  <c r="B5824" i="21"/>
  <c r="B3953" i="21"/>
  <c r="B3963" i="21"/>
  <c r="B3017" i="21"/>
  <c r="D230" i="21"/>
  <c r="C230" i="21"/>
  <c r="E230" i="21"/>
  <c r="D2082" i="21"/>
  <c r="C2082" i="21"/>
  <c r="E2082" i="21"/>
  <c r="B3432" i="21"/>
  <c r="B1567" i="21"/>
  <c r="B2705" i="21"/>
  <c r="B1463" i="21"/>
  <c r="B5102" i="21"/>
  <c r="D4472" i="21"/>
  <c r="C4472" i="21"/>
  <c r="E4472" i="21"/>
  <c r="B3442" i="21"/>
  <c r="D220" i="21"/>
  <c r="C220" i="21"/>
  <c r="E220" i="21"/>
  <c r="C3640" i="21"/>
  <c r="D3640" i="21"/>
  <c r="E3640" i="21"/>
  <c r="E4999" i="21"/>
  <c r="C4999" i="21"/>
  <c r="D4999" i="21"/>
  <c r="B1557" i="21"/>
  <c r="D1874" i="21"/>
  <c r="C1874" i="21"/>
  <c r="E1874" i="21"/>
  <c r="B3027" i="21"/>
  <c r="D3650" i="21"/>
  <c r="C3650" i="21"/>
  <c r="E3650" i="21"/>
  <c r="C2072" i="21"/>
  <c r="D2072" i="21"/>
  <c r="E2072" i="21"/>
  <c r="C4688" i="21"/>
  <c r="D4688" i="21"/>
  <c r="E4688" i="21"/>
  <c r="C2611" i="21"/>
  <c r="D2611" i="21"/>
  <c r="E2611" i="21"/>
  <c r="E3129" i="21"/>
  <c r="D3129" i="21"/>
  <c r="C3129" i="21"/>
  <c r="D5195" i="21"/>
  <c r="C5195" i="21"/>
  <c r="E5195" i="21"/>
  <c r="E3233" i="21"/>
  <c r="D3233" i="21"/>
  <c r="C3233" i="21"/>
  <c r="B1156" i="21"/>
  <c r="B2715" i="21"/>
  <c r="B3338" i="21"/>
  <c r="D4585" i="21"/>
  <c r="C4585" i="21"/>
  <c r="E4585" i="21"/>
  <c r="B4886" i="21"/>
  <c r="E844" i="21"/>
  <c r="D844" i="21"/>
  <c r="C844" i="21"/>
  <c r="C4482" i="21"/>
  <c r="D4482" i="21"/>
  <c r="E4482" i="21"/>
  <c r="D3744" i="21"/>
  <c r="C3744" i="21"/>
  <c r="E3744" i="21"/>
  <c r="B3328" i="21"/>
  <c r="B4069" i="21"/>
  <c r="B4059" i="21"/>
  <c r="E1864" i="21"/>
  <c r="C1864" i="21"/>
  <c r="D1864" i="21"/>
  <c r="B1146" i="21"/>
  <c r="D321" i="21"/>
  <c r="C321" i="21"/>
  <c r="E321" i="21"/>
  <c r="B4266" i="21"/>
  <c r="B5308" i="21"/>
  <c r="B5298" i="21"/>
  <c r="B4370" i="21"/>
  <c r="C4575" i="21"/>
  <c r="D4575" i="21"/>
  <c r="E4575" i="21"/>
  <c r="B1669" i="21"/>
  <c r="D3859" i="21"/>
  <c r="C3859" i="21"/>
  <c r="E3859" i="21"/>
  <c r="B4896" i="21"/>
  <c r="E2185" i="21"/>
  <c r="C2185" i="21"/>
  <c r="D2185" i="21"/>
  <c r="C4678" i="21"/>
  <c r="D4678" i="21"/>
  <c r="E4678" i="21"/>
  <c r="D4989" i="21"/>
  <c r="C4989" i="21"/>
  <c r="E4989" i="21"/>
  <c r="D5205" i="21"/>
  <c r="E5205" i="21"/>
  <c r="C5205" i="21"/>
  <c r="B4276" i="21"/>
  <c r="B5092" i="21"/>
  <c r="D834" i="21"/>
  <c r="C834" i="21"/>
  <c r="E834" i="21"/>
  <c r="B1453" i="21"/>
  <c r="C2601" i="21"/>
  <c r="D2601" i="21"/>
  <c r="E2601" i="21"/>
  <c r="D2402" i="21"/>
  <c r="E2402" i="21"/>
  <c r="C2402" i="21"/>
  <c r="C331" i="21"/>
  <c r="D331" i="21"/>
  <c r="E331" i="21"/>
  <c r="D2392" i="21"/>
  <c r="C2392" i="21"/>
  <c r="E2392" i="21"/>
  <c r="D3223" i="21"/>
  <c r="C3223" i="21"/>
  <c r="E3223" i="21"/>
  <c r="C3754" i="21"/>
  <c r="D3754" i="21"/>
  <c r="E3754" i="21"/>
  <c r="B4380" i="21"/>
  <c r="E2175" i="21"/>
  <c r="D2175" i="21"/>
  <c r="C2175" i="21"/>
  <c r="D3119" i="21"/>
  <c r="C3119" i="21"/>
  <c r="E3119" i="21"/>
  <c r="D3849" i="21"/>
  <c r="C3849" i="21"/>
  <c r="E3849" i="21"/>
  <c r="B1659" i="21"/>
  <c r="C4792" i="21" l="1"/>
  <c r="B4793" i="21" s="1"/>
  <c r="E4792" i="21"/>
  <c r="C3536" i="21"/>
  <c r="B3537" i="21" s="1"/>
  <c r="C3537" i="21" s="1"/>
  <c r="D3536" i="21"/>
  <c r="C4782" i="21"/>
  <c r="B4783" i="21" s="1"/>
  <c r="E4782" i="21"/>
  <c r="A1" i="21"/>
  <c r="B23" i="21" s="1"/>
  <c r="AF6" i="13"/>
  <c r="E2298" i="21"/>
  <c r="E2288" i="21"/>
  <c r="D2298" i="21"/>
  <c r="C1762" i="21"/>
  <c r="D1762" i="21"/>
  <c r="E1762" i="21"/>
  <c r="C1772" i="21"/>
  <c r="D1772" i="21"/>
  <c r="E1772" i="21"/>
  <c r="D2288" i="21"/>
  <c r="E637" i="21"/>
  <c r="C637" i="21"/>
  <c r="D637" i="21"/>
  <c r="D936" i="21"/>
  <c r="E936" i="21"/>
  <c r="C936" i="21"/>
  <c r="C535" i="21"/>
  <c r="E535" i="21"/>
  <c r="D535" i="21"/>
  <c r="C627" i="21"/>
  <c r="D627" i="21"/>
  <c r="E627" i="21"/>
  <c r="E525" i="21"/>
  <c r="D525" i="21"/>
  <c r="C525" i="21"/>
  <c r="D946" i="21"/>
  <c r="C946" i="21"/>
  <c r="E946" i="21"/>
  <c r="C117" i="21"/>
  <c r="D117" i="21"/>
  <c r="E117" i="21"/>
  <c r="D127" i="21"/>
  <c r="E127" i="21"/>
  <c r="C127" i="21"/>
  <c r="B2921" i="21"/>
  <c r="B2911" i="21"/>
  <c r="B7577" i="21"/>
  <c r="B7567" i="21"/>
  <c r="D6028" i="21"/>
  <c r="C6028" i="21"/>
  <c r="E6028" i="21"/>
  <c r="D6543" i="21"/>
  <c r="C6543" i="21"/>
  <c r="E6543" i="21"/>
  <c r="D5925" i="21"/>
  <c r="C5925" i="21"/>
  <c r="E5925" i="21"/>
  <c r="C6533" i="21"/>
  <c r="D6533" i="21"/>
  <c r="E6533" i="21"/>
  <c r="C5915" i="21"/>
  <c r="D5915" i="21"/>
  <c r="E5915" i="21"/>
  <c r="C6018" i="21"/>
  <c r="D6018" i="21"/>
  <c r="E6018" i="21"/>
  <c r="D7058" i="21"/>
  <c r="C7058" i="21"/>
  <c r="E7058" i="21"/>
  <c r="D7151" i="21"/>
  <c r="C7151" i="21"/>
  <c r="E7151" i="21"/>
  <c r="B7256" i="21"/>
  <c r="B7266" i="21"/>
  <c r="C7161" i="21"/>
  <c r="D7161" i="21"/>
  <c r="E7161" i="21"/>
  <c r="C7048" i="21"/>
  <c r="D7048" i="21"/>
  <c r="E7048" i="21"/>
  <c r="D6852" i="21"/>
  <c r="C6852" i="21"/>
  <c r="E6852" i="21"/>
  <c r="C6842" i="21"/>
  <c r="D6842" i="21"/>
  <c r="E6842" i="21"/>
  <c r="B6430" i="21"/>
  <c r="B6440" i="21"/>
  <c r="D6337" i="21"/>
  <c r="C6337" i="21"/>
  <c r="E6337" i="21"/>
  <c r="C6327" i="21"/>
  <c r="D6327" i="21"/>
  <c r="E6327" i="21"/>
  <c r="B6121" i="21"/>
  <c r="B6131" i="21"/>
  <c r="C5719" i="21"/>
  <c r="D5719" i="21"/>
  <c r="E5719" i="21"/>
  <c r="D5709" i="21"/>
  <c r="C5709" i="21"/>
  <c r="E5709" i="21"/>
  <c r="C5606" i="21"/>
  <c r="D5606" i="21"/>
  <c r="E5606" i="21"/>
  <c r="D5616" i="21"/>
  <c r="C5616" i="21"/>
  <c r="E5616" i="21"/>
  <c r="C5398" i="21"/>
  <c r="D5398" i="21"/>
  <c r="E5398" i="21"/>
  <c r="D5408" i="21"/>
  <c r="C5408" i="21"/>
  <c r="E5408" i="21"/>
  <c r="B2809" i="21"/>
  <c r="B2819" i="21"/>
  <c r="B2507" i="21"/>
  <c r="B2497" i="21"/>
  <c r="C1350" i="21"/>
  <c r="D1350" i="21"/>
  <c r="E1350" i="21"/>
  <c r="D1360" i="21"/>
  <c r="C1360" i="21"/>
  <c r="E1360" i="21"/>
  <c r="C1052" i="21"/>
  <c r="D1052" i="21"/>
  <c r="E1052" i="21"/>
  <c r="E1042" i="21"/>
  <c r="D1042" i="21"/>
  <c r="C1042" i="21"/>
  <c r="E425" i="21"/>
  <c r="D425" i="21"/>
  <c r="C425" i="21"/>
  <c r="D435" i="21"/>
  <c r="C435" i="21"/>
  <c r="E435" i="21"/>
  <c r="C6957" i="21"/>
  <c r="D6957" i="21"/>
  <c r="C6947" i="21"/>
  <c r="D6947" i="21"/>
  <c r="C6751" i="21"/>
  <c r="D6751" i="21"/>
  <c r="C6741" i="21"/>
  <c r="D6741" i="21"/>
  <c r="C6638" i="21"/>
  <c r="D6638" i="21"/>
  <c r="C6648" i="21"/>
  <c r="D6648" i="21"/>
  <c r="C6236" i="21"/>
  <c r="D6236" i="21"/>
  <c r="C6226" i="21"/>
  <c r="D6226" i="21"/>
  <c r="C5824" i="21"/>
  <c r="D5824" i="21"/>
  <c r="C5814" i="21"/>
  <c r="D5814" i="21"/>
  <c r="C3963" i="21"/>
  <c r="E3963" i="21"/>
  <c r="D3963" i="21"/>
  <c r="E3953" i="21"/>
  <c r="C3953" i="21"/>
  <c r="D3953" i="21"/>
  <c r="D1659" i="21"/>
  <c r="C1659" i="21"/>
  <c r="E1659" i="21"/>
  <c r="B3850" i="21"/>
  <c r="B3120" i="21"/>
  <c r="B2176" i="21"/>
  <c r="E4380" i="21"/>
  <c r="C4380" i="21"/>
  <c r="D4380" i="21"/>
  <c r="B3755" i="21"/>
  <c r="B3224" i="21"/>
  <c r="B2393" i="21"/>
  <c r="B2403" i="21"/>
  <c r="B2602" i="21"/>
  <c r="B5206" i="21"/>
  <c r="B4990" i="21"/>
  <c r="B4679" i="21"/>
  <c r="D4896" i="21"/>
  <c r="C4896" i="21"/>
  <c r="E4896" i="21"/>
  <c r="B3860" i="21"/>
  <c r="C4370" i="21"/>
  <c r="D4370" i="21"/>
  <c r="E4370" i="21"/>
  <c r="E4059" i="21"/>
  <c r="C4059" i="21"/>
  <c r="D4059" i="21"/>
  <c r="D3328" i="21"/>
  <c r="C3328" i="21"/>
  <c r="E3328" i="21"/>
  <c r="B1244" i="21"/>
  <c r="B1254" i="21"/>
  <c r="B3745" i="21"/>
  <c r="D1968" i="21"/>
  <c r="C1968" i="21"/>
  <c r="E1968" i="21"/>
  <c r="B2289" i="21"/>
  <c r="E4886" i="21"/>
  <c r="C4886" i="21"/>
  <c r="D4886" i="21"/>
  <c r="B4586" i="21"/>
  <c r="B3234" i="21"/>
  <c r="B4689" i="21"/>
  <c r="B2299" i="21"/>
  <c r="C3027" i="21"/>
  <c r="D3027" i="21"/>
  <c r="E3027" i="21"/>
  <c r="B1875" i="21"/>
  <c r="D1557" i="21"/>
  <c r="C1557" i="21"/>
  <c r="E1557" i="21"/>
  <c r="B4473" i="21"/>
  <c r="D5102" i="21"/>
  <c r="C5102" i="21"/>
  <c r="E5102" i="21"/>
  <c r="C3432" i="21"/>
  <c r="E3432" i="21"/>
  <c r="D3432" i="21"/>
  <c r="B231" i="21"/>
  <c r="C1978" i="21"/>
  <c r="D1978" i="21"/>
  <c r="E1978" i="21"/>
  <c r="C3547" i="21"/>
  <c r="D3547" i="21"/>
  <c r="E3547" i="21"/>
  <c r="B332" i="21"/>
  <c r="D1453" i="21"/>
  <c r="C1453" i="21"/>
  <c r="E1453" i="21"/>
  <c r="B835" i="21"/>
  <c r="E5092" i="21"/>
  <c r="D5092" i="21"/>
  <c r="C5092" i="21"/>
  <c r="C4276" i="21"/>
  <c r="D4276" i="21"/>
  <c r="E4276" i="21"/>
  <c r="B2186" i="21"/>
  <c r="C1669" i="21"/>
  <c r="D1669" i="21"/>
  <c r="E1669" i="21"/>
  <c r="B4576" i="21"/>
  <c r="D5298" i="21"/>
  <c r="C5298" i="21"/>
  <c r="E5298" i="21"/>
  <c r="E5308" i="21"/>
  <c r="C5308" i="21"/>
  <c r="D5308" i="21"/>
  <c r="D4266" i="21"/>
  <c r="C4266" i="21"/>
  <c r="E4266" i="21"/>
  <c r="B322" i="21"/>
  <c r="C1146" i="21"/>
  <c r="E1146" i="21"/>
  <c r="D1146" i="21"/>
  <c r="B1865" i="21"/>
  <c r="C4069" i="21"/>
  <c r="E4069" i="21"/>
  <c r="D4069" i="21"/>
  <c r="B4483" i="21"/>
  <c r="B845" i="21"/>
  <c r="C3338" i="21"/>
  <c r="D3338" i="21"/>
  <c r="E3338" i="21"/>
  <c r="C2715" i="21"/>
  <c r="D2715" i="21"/>
  <c r="E2715" i="21"/>
  <c r="E1156" i="21"/>
  <c r="C1156" i="21"/>
  <c r="D1156" i="21"/>
  <c r="B5196" i="21"/>
  <c r="B3130" i="21"/>
  <c r="B2612" i="21"/>
  <c r="B2073" i="21"/>
  <c r="B3651" i="21"/>
  <c r="B5000" i="21"/>
  <c r="B3641" i="21"/>
  <c r="B221" i="21"/>
  <c r="E3442" i="21"/>
  <c r="C3442" i="21"/>
  <c r="D3442" i="21"/>
  <c r="D1463" i="21"/>
  <c r="C1463" i="21"/>
  <c r="E1463" i="21"/>
  <c r="D2705" i="21"/>
  <c r="C2705" i="21"/>
  <c r="E2705" i="21"/>
  <c r="D1567" i="21"/>
  <c r="E1567" i="21"/>
  <c r="C1567" i="21"/>
  <c r="B2083" i="21"/>
  <c r="D3017" i="21"/>
  <c r="C3017" i="21"/>
  <c r="E3017" i="21"/>
  <c r="AG6" i="13" l="1"/>
  <c r="D3537" i="21"/>
  <c r="E3537" i="21"/>
  <c r="B13" i="21"/>
  <c r="E13" i="21" s="1"/>
  <c r="D23" i="21"/>
  <c r="C23" i="21"/>
  <c r="B24" i="21" s="1"/>
  <c r="C24" i="21" s="1"/>
  <c r="E23" i="21"/>
  <c r="B1763" i="21"/>
  <c r="B1773" i="21"/>
  <c r="B118" i="21"/>
  <c r="B628" i="21"/>
  <c r="B536" i="21"/>
  <c r="B947" i="21"/>
  <c r="B638" i="21"/>
  <c r="B128" i="21"/>
  <c r="B526" i="21"/>
  <c r="B937" i="21"/>
  <c r="D2911" i="21"/>
  <c r="C2911" i="21"/>
  <c r="E2911" i="21"/>
  <c r="C2921" i="21"/>
  <c r="D2921" i="21"/>
  <c r="E2921" i="21"/>
  <c r="E7567" i="21"/>
  <c r="D7567" i="21"/>
  <c r="C7567" i="21"/>
  <c r="B7568" i="21" s="1"/>
  <c r="D7577" i="21"/>
  <c r="C7577" i="21"/>
  <c r="B7578" i="21" s="1"/>
  <c r="E7577" i="21"/>
  <c r="B5916" i="21"/>
  <c r="B6544" i="21"/>
  <c r="B6019" i="21"/>
  <c r="B6534" i="21"/>
  <c r="B5926" i="21"/>
  <c r="B6029" i="21"/>
  <c r="B7162" i="21"/>
  <c r="D7266" i="21"/>
  <c r="C7266" i="21"/>
  <c r="B7267" i="21" s="1"/>
  <c r="D7256" i="21"/>
  <c r="C7256" i="21"/>
  <c r="B7257" i="21" s="1"/>
  <c r="B7152" i="21"/>
  <c r="B7049" i="21"/>
  <c r="B7059" i="21"/>
  <c r="B6843" i="21"/>
  <c r="B6853" i="21"/>
  <c r="D6440" i="21"/>
  <c r="C6440" i="21"/>
  <c r="E6440" i="21"/>
  <c r="C6430" i="21"/>
  <c r="D6430" i="21"/>
  <c r="E6430" i="21"/>
  <c r="B6328" i="21"/>
  <c r="B6338" i="21"/>
  <c r="C6131" i="21"/>
  <c r="D6131" i="21"/>
  <c r="E6131" i="21"/>
  <c r="D6121" i="21"/>
  <c r="C6121" i="21"/>
  <c r="E6121" i="21"/>
  <c r="B5710" i="21"/>
  <c r="B5720" i="21"/>
  <c r="B5617" i="21"/>
  <c r="B5607" i="21"/>
  <c r="B5409" i="21"/>
  <c r="B5399" i="21"/>
  <c r="D2819" i="21"/>
  <c r="C2819" i="21"/>
  <c r="E2819" i="21"/>
  <c r="C2809" i="21"/>
  <c r="D2809" i="21"/>
  <c r="E2809" i="21"/>
  <c r="D2497" i="21"/>
  <c r="C2497" i="21"/>
  <c r="E2497" i="21"/>
  <c r="C2507" i="21"/>
  <c r="D2507" i="21"/>
  <c r="E2507" i="21"/>
  <c r="B1361" i="21"/>
  <c r="B1351" i="21"/>
  <c r="B1053" i="21"/>
  <c r="B1043" i="21"/>
  <c r="B436" i="21"/>
  <c r="B426" i="21"/>
  <c r="B6948" i="21"/>
  <c r="E6947" i="21" s="1"/>
  <c r="B6958" i="21"/>
  <c r="E6957" i="21" s="1"/>
  <c r="B6742" i="21"/>
  <c r="E6741" i="21" s="1"/>
  <c r="B6752" i="21"/>
  <c r="E6751" i="21" s="1"/>
  <c r="B6649" i="21"/>
  <c r="E6648" i="21" s="1"/>
  <c r="B6639" i="21"/>
  <c r="E6638" i="21" s="1"/>
  <c r="B6227" i="21"/>
  <c r="E6226" i="21" s="1"/>
  <c r="B6237" i="21"/>
  <c r="E6236" i="21" s="1"/>
  <c r="B5815" i="21"/>
  <c r="E5814" i="21" s="1"/>
  <c r="B5825" i="21"/>
  <c r="E5824" i="21" s="1"/>
  <c r="B3964" i="21"/>
  <c r="B3954" i="21"/>
  <c r="D2083" i="21"/>
  <c r="C2083" i="21"/>
  <c r="E2083" i="21"/>
  <c r="B1568" i="21"/>
  <c r="B2706" i="21"/>
  <c r="B3443" i="21"/>
  <c r="E221" i="21"/>
  <c r="C221" i="21"/>
  <c r="D221" i="21"/>
  <c r="D3641" i="21"/>
  <c r="E3641" i="21"/>
  <c r="C3641" i="21"/>
  <c r="D3651" i="21"/>
  <c r="E3651" i="21"/>
  <c r="C3651" i="21"/>
  <c r="B3538" i="21"/>
  <c r="E2612" i="21"/>
  <c r="D2612" i="21"/>
  <c r="C2612" i="21"/>
  <c r="B3339" i="21"/>
  <c r="C845" i="21"/>
  <c r="D845" i="21"/>
  <c r="E845" i="21"/>
  <c r="D4483" i="21"/>
  <c r="E4483" i="21"/>
  <c r="C4483" i="21"/>
  <c r="D1865" i="21"/>
  <c r="C1865" i="21"/>
  <c r="E1865" i="21"/>
  <c r="B4267" i="21"/>
  <c r="B5299" i="21"/>
  <c r="C4576" i="21"/>
  <c r="E4576" i="21"/>
  <c r="D4576" i="21"/>
  <c r="B4277" i="21"/>
  <c r="C835" i="21"/>
  <c r="D835" i="21"/>
  <c r="E835" i="21"/>
  <c r="B1454" i="21"/>
  <c r="B1979" i="21"/>
  <c r="D4473" i="21"/>
  <c r="E4473" i="21"/>
  <c r="C4473" i="21"/>
  <c r="B3028" i="21"/>
  <c r="D3234" i="21"/>
  <c r="C3234" i="21"/>
  <c r="E3234" i="21"/>
  <c r="D4586" i="21"/>
  <c r="C4586" i="21"/>
  <c r="E4586" i="21"/>
  <c r="D3745" i="21"/>
  <c r="C3745" i="21"/>
  <c r="E3745" i="21"/>
  <c r="D4783" i="21"/>
  <c r="E4783" i="21"/>
  <c r="C4783" i="21"/>
  <c r="D3860" i="21"/>
  <c r="C3860" i="21"/>
  <c r="E3860" i="21"/>
  <c r="B4897" i="21"/>
  <c r="C5206" i="21"/>
  <c r="D5206" i="21"/>
  <c r="D2393" i="21"/>
  <c r="C2393" i="21"/>
  <c r="E2393" i="21"/>
  <c r="D2176" i="21"/>
  <c r="C2176" i="21"/>
  <c r="E2176" i="21"/>
  <c r="D3120" i="21"/>
  <c r="C3120" i="21"/>
  <c r="E3120" i="21"/>
  <c r="B3018" i="21"/>
  <c r="B1464" i="21"/>
  <c r="C5000" i="21"/>
  <c r="D5000" i="21"/>
  <c r="E2073" i="21"/>
  <c r="D2073" i="21"/>
  <c r="C2073" i="21"/>
  <c r="C3130" i="21"/>
  <c r="D3130" i="21"/>
  <c r="E3130" i="21"/>
  <c r="C5196" i="21"/>
  <c r="D5196" i="21"/>
  <c r="B1157" i="21"/>
  <c r="B2716" i="21"/>
  <c r="B4070" i="21"/>
  <c r="B1147" i="21"/>
  <c r="D322" i="21"/>
  <c r="C322" i="21"/>
  <c r="E322" i="21"/>
  <c r="B5309" i="21"/>
  <c r="B1670" i="21"/>
  <c r="C2186" i="21"/>
  <c r="D2186" i="21"/>
  <c r="E2186" i="21"/>
  <c r="B5093" i="21"/>
  <c r="D332" i="21"/>
  <c r="C332" i="21"/>
  <c r="E332" i="21"/>
  <c r="B3548" i="21"/>
  <c r="E231" i="21"/>
  <c r="D231" i="21"/>
  <c r="C231" i="21"/>
  <c r="B3433" i="21"/>
  <c r="B5103" i="21"/>
  <c r="B1558" i="21"/>
  <c r="C1875" i="21"/>
  <c r="D1875" i="21"/>
  <c r="E1875" i="21"/>
  <c r="D2299" i="21"/>
  <c r="C2299" i="21"/>
  <c r="E2299" i="21"/>
  <c r="D4689" i="21"/>
  <c r="C4689" i="21"/>
  <c r="E4689" i="21"/>
  <c r="D4793" i="21"/>
  <c r="E4793" i="21"/>
  <c r="C4793" i="21"/>
  <c r="B4887" i="21"/>
  <c r="C2289" i="21"/>
  <c r="D2289" i="21"/>
  <c r="E2289" i="21"/>
  <c r="B1969" i="21"/>
  <c r="D1254" i="21"/>
  <c r="C1254" i="21"/>
  <c r="E1254" i="21"/>
  <c r="D1244" i="21"/>
  <c r="C1244" i="21"/>
  <c r="E1244" i="21"/>
  <c r="B3329" i="21"/>
  <c r="B4060" i="21"/>
  <c r="B4371" i="21"/>
  <c r="E4679" i="21"/>
  <c r="C4679" i="21"/>
  <c r="D4679" i="21"/>
  <c r="C4990" i="21"/>
  <c r="D4990" i="21"/>
  <c r="D2602" i="21"/>
  <c r="C2602" i="21"/>
  <c r="E2602" i="21"/>
  <c r="C2403" i="21"/>
  <c r="D2403" i="21"/>
  <c r="E2403" i="21"/>
  <c r="C3224" i="21"/>
  <c r="D3224" i="21"/>
  <c r="E3224" i="21"/>
  <c r="D3755" i="21"/>
  <c r="E3755" i="21"/>
  <c r="C3755" i="21"/>
  <c r="B4381" i="21"/>
  <c r="D3850" i="21"/>
  <c r="E3850" i="21"/>
  <c r="C3850" i="21"/>
  <c r="B1660" i="21"/>
  <c r="D13" i="21" l="1"/>
  <c r="C13" i="21"/>
  <c r="B14" i="21" s="1"/>
  <c r="D14" i="21" s="1"/>
  <c r="D24" i="21"/>
  <c r="E24" i="21"/>
  <c r="E1773" i="21"/>
  <c r="D1773" i="21"/>
  <c r="C1773" i="21"/>
  <c r="E1763" i="21"/>
  <c r="D1763" i="21"/>
  <c r="C1763" i="21"/>
  <c r="C638" i="21"/>
  <c r="D638" i="21"/>
  <c r="E638" i="21"/>
  <c r="C536" i="21"/>
  <c r="D536" i="21"/>
  <c r="E536" i="21"/>
  <c r="C118" i="21"/>
  <c r="D118" i="21"/>
  <c r="E118" i="21"/>
  <c r="C947" i="21"/>
  <c r="D947" i="21"/>
  <c r="E947" i="21"/>
  <c r="D526" i="21"/>
  <c r="C526" i="21"/>
  <c r="E526" i="21"/>
  <c r="C937" i="21"/>
  <c r="D937" i="21"/>
  <c r="E937" i="21"/>
  <c r="C128" i="21"/>
  <c r="D128" i="21"/>
  <c r="E128" i="21"/>
  <c r="D628" i="21"/>
  <c r="C628" i="21"/>
  <c r="E628" i="21"/>
  <c r="B2922" i="21"/>
  <c r="B2912" i="21"/>
  <c r="D7578" i="21"/>
  <c r="C7578" i="21"/>
  <c r="B7579" i="21" s="1"/>
  <c r="D7568" i="21"/>
  <c r="C7568" i="21"/>
  <c r="B7569" i="21" s="1"/>
  <c r="D6029" i="21"/>
  <c r="C6029" i="21"/>
  <c r="E6029" i="21"/>
  <c r="D5926" i="21"/>
  <c r="C5926" i="21"/>
  <c r="E5926" i="21"/>
  <c r="E6534" i="21"/>
  <c r="D6534" i="21"/>
  <c r="C6534" i="21"/>
  <c r="E6019" i="21"/>
  <c r="D6019" i="21"/>
  <c r="C6019" i="21"/>
  <c r="D6544" i="21"/>
  <c r="C6544" i="21"/>
  <c r="E6544" i="21"/>
  <c r="E5916" i="21"/>
  <c r="D5916" i="21"/>
  <c r="C5916" i="21"/>
  <c r="D7059" i="21"/>
  <c r="C7059" i="21"/>
  <c r="E7059" i="21"/>
  <c r="E7049" i="21"/>
  <c r="D7049" i="21"/>
  <c r="C7049" i="21"/>
  <c r="E7152" i="21"/>
  <c r="D7152" i="21"/>
  <c r="C7152" i="21"/>
  <c r="E7256" i="21"/>
  <c r="D7257" i="21"/>
  <c r="E7257" i="21"/>
  <c r="E7266" i="21"/>
  <c r="D7267" i="21"/>
  <c r="E7267" i="21"/>
  <c r="D7162" i="21"/>
  <c r="C7162" i="21"/>
  <c r="E7162" i="21"/>
  <c r="D6853" i="21"/>
  <c r="C6853" i="21"/>
  <c r="E6853" i="21"/>
  <c r="E6843" i="21"/>
  <c r="D6843" i="21"/>
  <c r="C6843" i="21"/>
  <c r="B6431" i="21"/>
  <c r="B6441" i="21"/>
  <c r="D6338" i="21"/>
  <c r="C6338" i="21"/>
  <c r="E6338" i="21"/>
  <c r="E6328" i="21"/>
  <c r="D6328" i="21"/>
  <c r="C6328" i="21"/>
  <c r="B6122" i="21"/>
  <c r="B6132" i="21"/>
  <c r="D5720" i="21"/>
  <c r="C5720" i="21"/>
  <c r="E5720" i="21"/>
  <c r="E5710" i="21"/>
  <c r="D5710" i="21"/>
  <c r="C5710" i="21"/>
  <c r="C5607" i="21"/>
  <c r="E5607" i="21"/>
  <c r="D5607" i="21"/>
  <c r="C5617" i="21"/>
  <c r="B5618" i="21" s="1"/>
  <c r="D5617" i="21"/>
  <c r="E5617" i="21"/>
  <c r="E5409" i="21"/>
  <c r="C5409" i="21"/>
  <c r="D5409" i="21"/>
  <c r="C5399" i="21"/>
  <c r="E5399" i="21"/>
  <c r="D5399" i="21"/>
  <c r="B2810" i="21"/>
  <c r="B2820" i="21"/>
  <c r="B2508" i="21"/>
  <c r="B2498" i="21"/>
  <c r="C1351" i="21"/>
  <c r="E1351" i="21"/>
  <c r="D1351" i="21"/>
  <c r="D1361" i="21"/>
  <c r="E1361" i="21"/>
  <c r="C1361" i="21"/>
  <c r="B1362" i="21" s="1"/>
  <c r="D1043" i="21"/>
  <c r="C1043" i="21"/>
  <c r="C1053" i="21"/>
  <c r="D1053" i="21"/>
  <c r="D436" i="21"/>
  <c r="C436" i="21"/>
  <c r="D426" i="21"/>
  <c r="C426" i="21"/>
  <c r="E6958" i="21"/>
  <c r="D6958" i="21"/>
  <c r="E6948" i="21"/>
  <c r="D6948" i="21"/>
  <c r="E6752" i="21"/>
  <c r="D6752" i="21"/>
  <c r="E6742" i="21"/>
  <c r="D6742" i="21"/>
  <c r="E6639" i="21"/>
  <c r="D6639" i="21"/>
  <c r="E6649" i="21"/>
  <c r="D6649" i="21"/>
  <c r="E6237" i="21"/>
  <c r="D6237" i="21"/>
  <c r="E6227" i="21"/>
  <c r="D6227" i="21"/>
  <c r="E5825" i="21"/>
  <c r="D5825" i="21"/>
  <c r="E5815" i="21"/>
  <c r="D5815" i="21"/>
  <c r="D3954" i="21"/>
  <c r="C3954" i="21"/>
  <c r="E3954" i="21"/>
  <c r="C3964" i="21"/>
  <c r="D3964" i="21"/>
  <c r="E3964" i="21"/>
  <c r="C4381" i="21"/>
  <c r="D4381" i="21"/>
  <c r="B3756" i="21"/>
  <c r="B2404" i="21"/>
  <c r="B2603" i="21"/>
  <c r="D4371" i="21"/>
  <c r="C4371" i="21"/>
  <c r="E3329" i="21"/>
  <c r="C3329" i="21"/>
  <c r="D3329" i="21"/>
  <c r="B1245" i="21"/>
  <c r="B1255" i="21"/>
  <c r="B2290" i="21"/>
  <c r="B2300" i="21"/>
  <c r="B1876" i="21"/>
  <c r="D3433" i="21"/>
  <c r="C3433" i="21"/>
  <c r="E3433" i="21"/>
  <c r="B232" i="21"/>
  <c r="B333" i="21"/>
  <c r="B2187" i="21"/>
  <c r="C4070" i="21"/>
  <c r="D4070" i="21"/>
  <c r="B5197" i="21"/>
  <c r="E5196" i="21" s="1"/>
  <c r="B2074" i="21"/>
  <c r="B5001" i="21"/>
  <c r="E5000" i="21" s="1"/>
  <c r="C1464" i="21"/>
  <c r="E1464" i="21"/>
  <c r="D1464" i="21"/>
  <c r="B2177" i="21"/>
  <c r="B5207" i="21"/>
  <c r="E5206" i="21" s="1"/>
  <c r="C4897" i="21"/>
  <c r="D4897" i="21"/>
  <c r="B3861" i="21"/>
  <c r="B4784" i="21"/>
  <c r="B3746" i="21"/>
  <c r="B3235" i="21"/>
  <c r="B4474" i="21"/>
  <c r="C4277" i="21"/>
  <c r="E4277" i="21"/>
  <c r="D4277" i="21"/>
  <c r="B846" i="21"/>
  <c r="D3339" i="21"/>
  <c r="C3339" i="21"/>
  <c r="E3339" i="21"/>
  <c r="B3652" i="21"/>
  <c r="C3443" i="21"/>
  <c r="D3443" i="21"/>
  <c r="E3443" i="21"/>
  <c r="E1660" i="21"/>
  <c r="C1660" i="21"/>
  <c r="D1660" i="21"/>
  <c r="B3851" i="21"/>
  <c r="B3225" i="21"/>
  <c r="B4991" i="21"/>
  <c r="E4990" i="21" s="1"/>
  <c r="B4680" i="21"/>
  <c r="B25" i="21"/>
  <c r="C4060" i="21"/>
  <c r="D4060" i="21"/>
  <c r="D1969" i="21"/>
  <c r="C1969" i="21"/>
  <c r="E1969" i="21"/>
  <c r="D4887" i="21"/>
  <c r="C4887" i="21"/>
  <c r="B4794" i="21"/>
  <c r="B4690" i="21"/>
  <c r="D1558" i="21"/>
  <c r="C1558" i="21"/>
  <c r="C5103" i="21"/>
  <c r="D5103" i="21"/>
  <c r="D3548" i="21"/>
  <c r="E3548" i="21"/>
  <c r="C3548" i="21"/>
  <c r="C5093" i="21"/>
  <c r="D5093" i="21"/>
  <c r="E1670" i="21"/>
  <c r="C1670" i="21"/>
  <c r="D1670" i="21"/>
  <c r="C5309" i="21"/>
  <c r="D5309" i="21"/>
  <c r="B323" i="21"/>
  <c r="D1147" i="21"/>
  <c r="C1147" i="21"/>
  <c r="D2716" i="21"/>
  <c r="C2716" i="21"/>
  <c r="E2716" i="21"/>
  <c r="C1157" i="21"/>
  <c r="D1157" i="21"/>
  <c r="B3131" i="21"/>
  <c r="C3018" i="21"/>
  <c r="D3018" i="21"/>
  <c r="E3018" i="21"/>
  <c r="B3121" i="21"/>
  <c r="B2394" i="21"/>
  <c r="B4587" i="21"/>
  <c r="E3028" i="21"/>
  <c r="C3028" i="21"/>
  <c r="D3028" i="21"/>
  <c r="D1979" i="21"/>
  <c r="C1979" i="21"/>
  <c r="E1979" i="21"/>
  <c r="D1454" i="21"/>
  <c r="E1454" i="21"/>
  <c r="C1454" i="21"/>
  <c r="B836" i="21"/>
  <c r="B4577" i="21"/>
  <c r="C5299" i="21"/>
  <c r="D5299" i="21"/>
  <c r="E4267" i="21"/>
  <c r="C4267" i="21"/>
  <c r="D4267" i="21"/>
  <c r="B1866" i="21"/>
  <c r="B4484" i="21"/>
  <c r="B2613" i="21"/>
  <c r="C3538" i="21"/>
  <c r="D3538" i="21"/>
  <c r="E3538" i="21"/>
  <c r="B3642" i="21"/>
  <c r="B222" i="21"/>
  <c r="E2706" i="21"/>
  <c r="C2706" i="21"/>
  <c r="D2706" i="21"/>
  <c r="C1568" i="21"/>
  <c r="D1568" i="21"/>
  <c r="B2084" i="21"/>
  <c r="E14" i="21" l="1"/>
  <c r="C14" i="21"/>
  <c r="B15" i="21" s="1"/>
  <c r="E15" i="21" s="1"/>
  <c r="B1774" i="21"/>
  <c r="B1764" i="21"/>
  <c r="B639" i="21"/>
  <c r="B527" i="21"/>
  <c r="B948" i="21"/>
  <c r="B629" i="21"/>
  <c r="B129" i="21"/>
  <c r="B119" i="21"/>
  <c r="B938" i="21"/>
  <c r="B537" i="21"/>
  <c r="E2912" i="21"/>
  <c r="C2912" i="21"/>
  <c r="D2912" i="21"/>
  <c r="D2922" i="21"/>
  <c r="E2922" i="21"/>
  <c r="C2922" i="21"/>
  <c r="E7568" i="21"/>
  <c r="D7569" i="21"/>
  <c r="E7569" i="21"/>
  <c r="E7578" i="21"/>
  <c r="D7579" i="21"/>
  <c r="E7579" i="21"/>
  <c r="A7243" i="21"/>
  <c r="B6535" i="21"/>
  <c r="B5927" i="21"/>
  <c r="B5917" i="21"/>
  <c r="B6545" i="21"/>
  <c r="B6020" i="21"/>
  <c r="B6030" i="21"/>
  <c r="A7246" i="21"/>
  <c r="A6625" i="21"/>
  <c r="B7163" i="21"/>
  <c r="B7153" i="21"/>
  <c r="B7050" i="21"/>
  <c r="B7060" i="21"/>
  <c r="A5804" i="21"/>
  <c r="A6216" i="21"/>
  <c r="A6731" i="21"/>
  <c r="A6937" i="21"/>
  <c r="B6844" i="21"/>
  <c r="B6854" i="21"/>
  <c r="D6441" i="21"/>
  <c r="C6441" i="21"/>
  <c r="E6441" i="21"/>
  <c r="E6431" i="21"/>
  <c r="D6431" i="21"/>
  <c r="C6431" i="21"/>
  <c r="B6329" i="21"/>
  <c r="B6339" i="21"/>
  <c r="D6132" i="21"/>
  <c r="C6132" i="21"/>
  <c r="E6132" i="21"/>
  <c r="E6122" i="21"/>
  <c r="D6122" i="21"/>
  <c r="C6122" i="21"/>
  <c r="B5711" i="21"/>
  <c r="B5721" i="21"/>
  <c r="B5608" i="21"/>
  <c r="C5618" i="21"/>
  <c r="B5619" i="21" s="1"/>
  <c r="D5618" i="21"/>
  <c r="B5400" i="21"/>
  <c r="B5410" i="21"/>
  <c r="C2820" i="21"/>
  <c r="D2820" i="21"/>
  <c r="E2820" i="21"/>
  <c r="C2810" i="21"/>
  <c r="E2810" i="21"/>
  <c r="D2810" i="21"/>
  <c r="D2498" i="21"/>
  <c r="E2498" i="21"/>
  <c r="C2498" i="21"/>
  <c r="D2508" i="21"/>
  <c r="E2508" i="21"/>
  <c r="C2508" i="21"/>
  <c r="B1352" i="21"/>
  <c r="D1362" i="21"/>
  <c r="C1362" i="21"/>
  <c r="B1363" i="21" s="1"/>
  <c r="B1054" i="21"/>
  <c r="E1053" i="21" s="1"/>
  <c r="B1044" i="21"/>
  <c r="E1043" i="21" s="1"/>
  <c r="B427" i="21"/>
  <c r="B437" i="21"/>
  <c r="A6934" i="21"/>
  <c r="A6728" i="21"/>
  <c r="A6628" i="21"/>
  <c r="A6213" i="21"/>
  <c r="A5801" i="21"/>
  <c r="B3965" i="21"/>
  <c r="B3955" i="21"/>
  <c r="C4484" i="21"/>
  <c r="D4484" i="21"/>
  <c r="D2084" i="21"/>
  <c r="C2084" i="21"/>
  <c r="B1569" i="21"/>
  <c r="E1568" i="21" s="1"/>
  <c r="B2707" i="21"/>
  <c r="C222" i="21"/>
  <c r="D222" i="21"/>
  <c r="C3642" i="21"/>
  <c r="D3642" i="21"/>
  <c r="B3539" i="21"/>
  <c r="C2613" i="21"/>
  <c r="D2613" i="21"/>
  <c r="E1866" i="21"/>
  <c r="D1866" i="21"/>
  <c r="C1866" i="21"/>
  <c r="B4268" i="21"/>
  <c r="C4577" i="21"/>
  <c r="D4577" i="21"/>
  <c r="E836" i="21"/>
  <c r="D836" i="21"/>
  <c r="C836" i="21"/>
  <c r="B1455" i="21"/>
  <c r="B1980" i="21"/>
  <c r="D2394" i="21"/>
  <c r="C2394" i="21"/>
  <c r="E2394" i="21"/>
  <c r="E3121" i="21"/>
  <c r="D3121" i="21"/>
  <c r="C3121" i="21"/>
  <c r="B3019" i="21"/>
  <c r="D3131" i="21"/>
  <c r="C3131" i="21"/>
  <c r="E3131" i="21"/>
  <c r="B1158" i="21"/>
  <c r="B2717" i="21"/>
  <c r="B1148" i="21"/>
  <c r="B5094" i="21"/>
  <c r="B1559" i="21"/>
  <c r="B4888" i="21"/>
  <c r="B4061" i="21"/>
  <c r="E4991" i="21"/>
  <c r="D4991" i="21"/>
  <c r="E3225" i="21"/>
  <c r="D3225" i="21"/>
  <c r="C3225" i="21"/>
  <c r="C3851" i="21"/>
  <c r="D3851" i="21"/>
  <c r="B1661" i="21"/>
  <c r="B3444" i="21"/>
  <c r="C3652" i="21"/>
  <c r="D3652" i="21"/>
  <c r="B3340" i="21"/>
  <c r="E846" i="21"/>
  <c r="C846" i="21"/>
  <c r="D846" i="21"/>
  <c r="B4278" i="21"/>
  <c r="D4474" i="21"/>
  <c r="C4474" i="21"/>
  <c r="D3235" i="21"/>
  <c r="C3235" i="21"/>
  <c r="E3235" i="21"/>
  <c r="C4784" i="21"/>
  <c r="D4784" i="21"/>
  <c r="D3861" i="21"/>
  <c r="C3861" i="21"/>
  <c r="B4898" i="21"/>
  <c r="E4897" i="21" s="1"/>
  <c r="D5207" i="21"/>
  <c r="E5207" i="21"/>
  <c r="C2074" i="21"/>
  <c r="D2074" i="21"/>
  <c r="E5197" i="21"/>
  <c r="D5197" i="21"/>
  <c r="B4071" i="21"/>
  <c r="E4070" i="21" s="1"/>
  <c r="E2187" i="21"/>
  <c r="C2187" i="21"/>
  <c r="D2187" i="21"/>
  <c r="D333" i="21"/>
  <c r="C333" i="21"/>
  <c r="E333" i="21"/>
  <c r="D232" i="21"/>
  <c r="C232" i="21"/>
  <c r="B3434" i="21"/>
  <c r="D1876" i="21"/>
  <c r="E1876" i="21"/>
  <c r="C1876" i="21"/>
  <c r="D2290" i="21"/>
  <c r="C2290" i="21"/>
  <c r="E2290" i="21"/>
  <c r="C2603" i="21"/>
  <c r="D2603" i="21"/>
  <c r="C2404" i="21"/>
  <c r="D2404" i="21"/>
  <c r="E2404" i="21"/>
  <c r="B4382" i="21"/>
  <c r="B5300" i="21"/>
  <c r="B3029" i="21"/>
  <c r="C4587" i="21"/>
  <c r="D4587" i="21"/>
  <c r="C323" i="21"/>
  <c r="E323" i="21"/>
  <c r="D323" i="21"/>
  <c r="B5310" i="21"/>
  <c r="B1671" i="21"/>
  <c r="B3549" i="21"/>
  <c r="B5104" i="21"/>
  <c r="D4690" i="21"/>
  <c r="C4690" i="21"/>
  <c r="D4794" i="21"/>
  <c r="C4794" i="21"/>
  <c r="B1970" i="21"/>
  <c r="E25" i="21"/>
  <c r="D25" i="21"/>
  <c r="C25" i="21"/>
  <c r="D4680" i="21"/>
  <c r="C4680" i="21"/>
  <c r="D3746" i="21"/>
  <c r="C3746" i="21"/>
  <c r="D2177" i="21"/>
  <c r="E2177" i="21"/>
  <c r="C2177" i="21"/>
  <c r="B1465" i="21"/>
  <c r="E5001" i="21"/>
  <c r="D5001" i="21"/>
  <c r="E2300" i="21"/>
  <c r="C2300" i="21"/>
  <c r="D2300" i="21"/>
  <c r="C1255" i="21"/>
  <c r="D1255" i="21"/>
  <c r="E1255" i="21"/>
  <c r="C1245" i="21"/>
  <c r="D1245" i="21"/>
  <c r="E1245" i="21"/>
  <c r="B3330" i="21"/>
  <c r="B4372" i="21"/>
  <c r="E4371" i="21" s="1"/>
  <c r="D3756" i="21"/>
  <c r="C3756" i="21"/>
  <c r="D15" i="21" l="1"/>
  <c r="C15" i="21"/>
  <c r="B16" i="21" s="1"/>
  <c r="C1764" i="21"/>
  <c r="D1764" i="21"/>
  <c r="D1774" i="21"/>
  <c r="C1774" i="21"/>
  <c r="B1775" i="21" s="1"/>
  <c r="E948" i="21"/>
  <c r="D948" i="21"/>
  <c r="C948" i="21"/>
  <c r="C938" i="21"/>
  <c r="D938" i="21"/>
  <c r="E938" i="21"/>
  <c r="D129" i="21"/>
  <c r="C129" i="21"/>
  <c r="E129" i="21"/>
  <c r="E639" i="21"/>
  <c r="C639" i="21"/>
  <c r="D639" i="21"/>
  <c r="E119" i="21"/>
  <c r="C119" i="21"/>
  <c r="D119" i="21"/>
  <c r="E527" i="21"/>
  <c r="D527" i="21"/>
  <c r="C527" i="21"/>
  <c r="E537" i="21"/>
  <c r="C537" i="21"/>
  <c r="D537" i="21"/>
  <c r="C629" i="21"/>
  <c r="D629" i="21"/>
  <c r="E629" i="21"/>
  <c r="B2923" i="21"/>
  <c r="B2913" i="21"/>
  <c r="A7558" i="21"/>
  <c r="A7555" i="21"/>
  <c r="D6030" i="21"/>
  <c r="C6030" i="21"/>
  <c r="B6031" i="21" s="1"/>
  <c r="D6020" i="21"/>
  <c r="C6020" i="21"/>
  <c r="B6021" i="21" s="1"/>
  <c r="D6545" i="21"/>
  <c r="C6545" i="21"/>
  <c r="B6546" i="21" s="1"/>
  <c r="D5917" i="21"/>
  <c r="C5917" i="21"/>
  <c r="B5918" i="21" s="1"/>
  <c r="D5927" i="21"/>
  <c r="C5927" i="21"/>
  <c r="B5928" i="21" s="1"/>
  <c r="D6535" i="21"/>
  <c r="C6535" i="21"/>
  <c r="B6536" i="21" s="1"/>
  <c r="D7060" i="21"/>
  <c r="C7060" i="21"/>
  <c r="D7050" i="21"/>
  <c r="C7050" i="21"/>
  <c r="B7051" i="21" s="1"/>
  <c r="D7153" i="21"/>
  <c r="C7153" i="21"/>
  <c r="B7154" i="21" s="1"/>
  <c r="D7163" i="21"/>
  <c r="C7163" i="21"/>
  <c r="B7164" i="21" s="1"/>
  <c r="D6854" i="21"/>
  <c r="C6854" i="21"/>
  <c r="D6844" i="21"/>
  <c r="C6844" i="21"/>
  <c r="B6845" i="21" s="1"/>
  <c r="B6432" i="21"/>
  <c r="B6442" i="21"/>
  <c r="D6339" i="21"/>
  <c r="C6339" i="21"/>
  <c r="B6340" i="21" s="1"/>
  <c r="D6329" i="21"/>
  <c r="C6329" i="21"/>
  <c r="B6330" i="21" s="1"/>
  <c r="B6123" i="21"/>
  <c r="B6133" i="21"/>
  <c r="D5721" i="21"/>
  <c r="C5721" i="21"/>
  <c r="B5722" i="21" s="1"/>
  <c r="D5711" i="21"/>
  <c r="C5711" i="21"/>
  <c r="B5712" i="21" s="1"/>
  <c r="E5618" i="21"/>
  <c r="D5619" i="21"/>
  <c r="E5619" i="21"/>
  <c r="C5608" i="21"/>
  <c r="D5608" i="21"/>
  <c r="D5410" i="21"/>
  <c r="C5410" i="21"/>
  <c r="E5410" i="21"/>
  <c r="D5400" i="21"/>
  <c r="C5400" i="21"/>
  <c r="E5400" i="21"/>
  <c r="B2821" i="21"/>
  <c r="B2811" i="21"/>
  <c r="B2499" i="21"/>
  <c r="B2509" i="21"/>
  <c r="E1362" i="21"/>
  <c r="E1363" i="21"/>
  <c r="D1363" i="21"/>
  <c r="C1352" i="21"/>
  <c r="D1352" i="21"/>
  <c r="E1044" i="21"/>
  <c r="D1044" i="21"/>
  <c r="E1054" i="21"/>
  <c r="D1054" i="21"/>
  <c r="E437" i="21"/>
  <c r="D437" i="21"/>
  <c r="E427" i="21"/>
  <c r="D427" i="21"/>
  <c r="E436" i="21"/>
  <c r="E426" i="21"/>
  <c r="C3955" i="21"/>
  <c r="E3955" i="21"/>
  <c r="D3955" i="21"/>
  <c r="E3965" i="21"/>
  <c r="D3965" i="21"/>
  <c r="C3965" i="21"/>
  <c r="A4980" i="21"/>
  <c r="A4977" i="21"/>
  <c r="B3757" i="21"/>
  <c r="E3756" i="21" s="1"/>
  <c r="C3330" i="21"/>
  <c r="D3330" i="21"/>
  <c r="B1246" i="21"/>
  <c r="D1465" i="21"/>
  <c r="C1465" i="21"/>
  <c r="B2178" i="21"/>
  <c r="B26" i="21"/>
  <c r="E5104" i="21"/>
  <c r="D5104" i="21"/>
  <c r="D3549" i="21"/>
  <c r="C3549" i="21"/>
  <c r="C1671" i="21"/>
  <c r="D1671" i="21"/>
  <c r="E5310" i="21"/>
  <c r="D5310" i="21"/>
  <c r="B4588" i="21"/>
  <c r="E4587" i="21" s="1"/>
  <c r="E5300" i="21"/>
  <c r="D5300" i="21"/>
  <c r="E4382" i="21"/>
  <c r="D4382" i="21"/>
  <c r="B233" i="21"/>
  <c r="E232" i="21" s="1"/>
  <c r="B2188" i="21"/>
  <c r="B3862" i="21"/>
  <c r="E3861" i="21" s="1"/>
  <c r="B847" i="21"/>
  <c r="C3340" i="21"/>
  <c r="D3340" i="21"/>
  <c r="B3226" i="21"/>
  <c r="E4061" i="21"/>
  <c r="D4061" i="21"/>
  <c r="D4888" i="21"/>
  <c r="E4888" i="21"/>
  <c r="E1559" i="21"/>
  <c r="D1559" i="21"/>
  <c r="E5094" i="21"/>
  <c r="D5094" i="21"/>
  <c r="D1148" i="21"/>
  <c r="E1148" i="21"/>
  <c r="E1158" i="21"/>
  <c r="D1158" i="21"/>
  <c r="B3132" i="21"/>
  <c r="C3019" i="21"/>
  <c r="D3019" i="21"/>
  <c r="B3122" i="21"/>
  <c r="B2395" i="21"/>
  <c r="D1980" i="21"/>
  <c r="C1980" i="21"/>
  <c r="C1455" i="21"/>
  <c r="D1455" i="21"/>
  <c r="B837" i="21"/>
  <c r="B4578" i="21"/>
  <c r="E4577" i="21" s="1"/>
  <c r="C2707" i="21"/>
  <c r="D2707" i="21"/>
  <c r="B2085" i="21"/>
  <c r="E2084" i="21" s="1"/>
  <c r="D4372" i="21"/>
  <c r="E4372" i="21"/>
  <c r="B1256" i="21"/>
  <c r="B2301" i="21"/>
  <c r="B3747" i="21"/>
  <c r="B4681" i="21"/>
  <c r="E4680" i="21" s="1"/>
  <c r="C1970" i="21"/>
  <c r="D1970" i="21"/>
  <c r="B4795" i="21"/>
  <c r="E4794" i="21" s="1"/>
  <c r="B4691" i="21"/>
  <c r="E4690" i="21" s="1"/>
  <c r="B324" i="21"/>
  <c r="D3029" i="21"/>
  <c r="C3029" i="21"/>
  <c r="B2405" i="21"/>
  <c r="B2604" i="21"/>
  <c r="E2603" i="21" s="1"/>
  <c r="B2291" i="21"/>
  <c r="B1877" i="21"/>
  <c r="E3434" i="21"/>
  <c r="D3434" i="21"/>
  <c r="C3434" i="21"/>
  <c r="B334" i="21"/>
  <c r="E4071" i="21"/>
  <c r="D4071" i="21"/>
  <c r="B2075" i="21"/>
  <c r="E4898" i="21"/>
  <c r="D4898" i="21"/>
  <c r="B4785" i="21"/>
  <c r="B3236" i="21"/>
  <c r="B4475" i="21"/>
  <c r="D4278" i="21"/>
  <c r="C4278" i="21"/>
  <c r="B3653" i="21"/>
  <c r="C3444" i="21"/>
  <c r="E3444" i="21"/>
  <c r="D3444" i="21"/>
  <c r="C1661" i="21"/>
  <c r="D1661" i="21"/>
  <c r="B3852" i="21"/>
  <c r="E3851" i="21" s="1"/>
  <c r="C2717" i="21"/>
  <c r="D2717" i="21"/>
  <c r="C4268" i="21"/>
  <c r="D4268" i="21"/>
  <c r="B1867" i="21"/>
  <c r="B2614" i="21"/>
  <c r="E2613" i="21" s="1"/>
  <c r="C3539" i="21"/>
  <c r="D3539" i="21"/>
  <c r="B3643" i="21"/>
  <c r="E3642" i="21" s="1"/>
  <c r="B223" i="21"/>
  <c r="E222" i="21" s="1"/>
  <c r="E1569" i="21"/>
  <c r="D1569" i="21"/>
  <c r="B4485" i="21"/>
  <c r="E4484" i="21" s="1"/>
  <c r="E5103" i="21"/>
  <c r="E5309" i="21"/>
  <c r="E5299" i="21"/>
  <c r="E4381" i="21"/>
  <c r="A5183" i="21"/>
  <c r="A5186" i="21"/>
  <c r="E4060" i="21"/>
  <c r="E4887" i="21"/>
  <c r="E1558" i="21"/>
  <c r="E5093" i="21"/>
  <c r="E1147" i="21"/>
  <c r="E1157" i="21"/>
  <c r="A4361" i="21" l="1"/>
  <c r="A5080" i="21"/>
  <c r="A5083" i="21"/>
  <c r="B1765" i="21"/>
  <c r="E1764" i="21" s="1"/>
  <c r="E1774" i="21"/>
  <c r="E1775" i="21"/>
  <c r="D1775" i="21"/>
  <c r="A4047" i="21"/>
  <c r="B630" i="21"/>
  <c r="B528" i="21"/>
  <c r="B120" i="21"/>
  <c r="B640" i="21"/>
  <c r="B949" i="21"/>
  <c r="B538" i="21"/>
  <c r="B130" i="21"/>
  <c r="B939" i="21"/>
  <c r="A1545" i="21"/>
  <c r="D2913" i="21"/>
  <c r="C2913" i="21"/>
  <c r="E2913" i="21"/>
  <c r="C2923" i="21"/>
  <c r="D2923" i="21"/>
  <c r="E2923" i="21"/>
  <c r="A1137" i="21"/>
  <c r="A416" i="21"/>
  <c r="E6535" i="21"/>
  <c r="D6536" i="21"/>
  <c r="E6536" i="21"/>
  <c r="E5927" i="21"/>
  <c r="D5928" i="21"/>
  <c r="E5928" i="21"/>
  <c r="E5917" i="21"/>
  <c r="D5918" i="21"/>
  <c r="E5918" i="21"/>
  <c r="E6545" i="21"/>
  <c r="D6546" i="21"/>
  <c r="E6546" i="21"/>
  <c r="E6020" i="21"/>
  <c r="D6021" i="21"/>
  <c r="E6021" i="21"/>
  <c r="E6030" i="21"/>
  <c r="D6031" i="21"/>
  <c r="E6031" i="21"/>
  <c r="E7163" i="21"/>
  <c r="D7164" i="21"/>
  <c r="E7164" i="21"/>
  <c r="E7153" i="21"/>
  <c r="D7154" i="21"/>
  <c r="E7154" i="21"/>
  <c r="E7050" i="21"/>
  <c r="D7051" i="21"/>
  <c r="E7051" i="21"/>
  <c r="B7061" i="21"/>
  <c r="E7060" i="21" s="1"/>
  <c r="A413" i="21"/>
  <c r="A1030" i="21"/>
  <c r="A5598" i="21"/>
  <c r="E6844" i="21"/>
  <c r="D6845" i="21"/>
  <c r="E6845" i="21"/>
  <c r="B6855" i="21"/>
  <c r="D6442" i="21"/>
  <c r="C6442" i="21"/>
  <c r="B6443" i="21" s="1"/>
  <c r="D6432" i="21"/>
  <c r="C6432" i="21"/>
  <c r="B6433" i="21" s="1"/>
  <c r="E6329" i="21"/>
  <c r="D6330" i="21"/>
  <c r="E6330" i="21"/>
  <c r="E6339" i="21"/>
  <c r="D6340" i="21"/>
  <c r="E6340" i="21"/>
  <c r="D6133" i="21"/>
  <c r="C6133" i="21"/>
  <c r="B6134" i="21" s="1"/>
  <c r="D6123" i="21"/>
  <c r="C6123" i="21"/>
  <c r="B6124" i="21" s="1"/>
  <c r="E5711" i="21"/>
  <c r="D5712" i="21"/>
  <c r="E5712" i="21"/>
  <c r="E5721" i="21"/>
  <c r="D5722" i="21"/>
  <c r="E5722" i="21"/>
  <c r="B5609" i="21"/>
  <c r="E5608" i="21" s="1"/>
  <c r="B5401" i="21"/>
  <c r="B5411" i="21"/>
  <c r="C2811" i="21"/>
  <c r="D2811" i="21"/>
  <c r="D2821" i="21"/>
  <c r="C2821" i="21"/>
  <c r="C2499" i="21"/>
  <c r="D2499" i="21"/>
  <c r="C2509" i="21"/>
  <c r="D2509" i="21"/>
  <c r="A1342" i="21"/>
  <c r="B1353" i="21"/>
  <c r="E1352" i="21" s="1"/>
  <c r="A1033" i="21"/>
  <c r="B3956" i="21"/>
  <c r="B3966" i="21"/>
  <c r="A1134" i="21"/>
  <c r="A4874" i="21"/>
  <c r="A5286" i="21"/>
  <c r="A5289" i="21"/>
  <c r="A1548" i="21"/>
  <c r="A4358" i="21"/>
  <c r="B3445" i="21"/>
  <c r="D3653" i="21"/>
  <c r="E3653" i="21"/>
  <c r="E4475" i="21"/>
  <c r="D4475" i="21"/>
  <c r="E4785" i="21"/>
  <c r="D4785" i="21"/>
  <c r="E2075" i="21"/>
  <c r="D2075" i="21"/>
  <c r="C334" i="21"/>
  <c r="D334" i="21"/>
  <c r="C1877" i="21"/>
  <c r="D1877" i="21"/>
  <c r="C2291" i="21"/>
  <c r="D2291" i="21"/>
  <c r="B3030" i="21"/>
  <c r="E3029" i="21" s="1"/>
  <c r="D324" i="21"/>
  <c r="C324" i="21"/>
  <c r="D16" i="21"/>
  <c r="C16" i="21"/>
  <c r="E16" i="21"/>
  <c r="E3747" i="21"/>
  <c r="D3747" i="21"/>
  <c r="C2301" i="21"/>
  <c r="D2301" i="21"/>
  <c r="D837" i="21"/>
  <c r="C837" i="21"/>
  <c r="B1981" i="21"/>
  <c r="C2395" i="21"/>
  <c r="D2395" i="21"/>
  <c r="D3132" i="21"/>
  <c r="C3132" i="21"/>
  <c r="C847" i="21"/>
  <c r="D847" i="21"/>
  <c r="B3550" i="21"/>
  <c r="E3549" i="21" s="1"/>
  <c r="D26" i="21"/>
  <c r="C26" i="21"/>
  <c r="E26" i="21"/>
  <c r="D1246" i="21"/>
  <c r="E1246" i="21"/>
  <c r="C1246" i="21"/>
  <c r="B3331" i="21"/>
  <c r="E3330" i="21" s="1"/>
  <c r="E3757" i="21"/>
  <c r="D3757" i="21"/>
  <c r="D4485" i="21"/>
  <c r="E4485" i="21"/>
  <c r="D223" i="21"/>
  <c r="E223" i="21"/>
  <c r="D3643" i="21"/>
  <c r="E3643" i="21"/>
  <c r="B3540" i="21"/>
  <c r="D2614" i="21"/>
  <c r="E2614" i="21"/>
  <c r="C1867" i="21"/>
  <c r="D1867" i="21"/>
  <c r="B4269" i="21"/>
  <c r="B2718" i="21"/>
  <c r="D3852" i="21"/>
  <c r="E3852" i="21"/>
  <c r="B1662" i="21"/>
  <c r="B4279" i="21"/>
  <c r="C3236" i="21"/>
  <c r="D3236" i="21"/>
  <c r="B3435" i="21"/>
  <c r="D2604" i="21"/>
  <c r="E2604" i="21"/>
  <c r="C2405" i="21"/>
  <c r="D2405" i="21"/>
  <c r="D4691" i="21"/>
  <c r="E4691" i="21"/>
  <c r="D4795" i="21"/>
  <c r="E4795" i="21"/>
  <c r="B1971" i="21"/>
  <c r="D4681" i="21"/>
  <c r="E4681" i="21"/>
  <c r="C1256" i="21"/>
  <c r="D1256" i="21"/>
  <c r="E1256" i="21"/>
  <c r="D2085" i="21"/>
  <c r="E2085" i="21"/>
  <c r="B2708" i="21"/>
  <c r="D4578" i="21"/>
  <c r="E4578" i="21"/>
  <c r="B1456" i="21"/>
  <c r="D3122" i="21"/>
  <c r="C3122" i="21"/>
  <c r="B3020" i="21"/>
  <c r="C3226" i="21"/>
  <c r="D3226" i="21"/>
  <c r="B3341" i="21"/>
  <c r="E3862" i="21"/>
  <c r="D3862" i="21"/>
  <c r="D2188" i="21"/>
  <c r="C2188" i="21"/>
  <c r="D233" i="21"/>
  <c r="E233" i="21"/>
  <c r="E4588" i="21"/>
  <c r="D4588" i="21"/>
  <c r="B1672" i="21"/>
  <c r="D2178" i="21"/>
  <c r="C2178" i="21"/>
  <c r="B1466" i="21"/>
  <c r="E3652" i="21"/>
  <c r="E4474" i="21"/>
  <c r="E4784" i="21"/>
  <c r="A4877" i="21"/>
  <c r="E2074" i="21"/>
  <c r="A4050" i="21"/>
  <c r="E3746" i="21"/>
  <c r="A1754" i="21" l="1"/>
  <c r="D1765" i="21"/>
  <c r="E1765" i="21"/>
  <c r="D939" i="21"/>
  <c r="C939" i="21"/>
  <c r="D640" i="21"/>
  <c r="C640" i="21"/>
  <c r="B641" i="21" s="1"/>
  <c r="D630" i="21"/>
  <c r="C630" i="21"/>
  <c r="B631" i="21" s="1"/>
  <c r="D538" i="21"/>
  <c r="C538" i="21"/>
  <c r="B539" i="21" s="1"/>
  <c r="C528" i="21"/>
  <c r="D528" i="21"/>
  <c r="D130" i="21"/>
  <c r="C130" i="21"/>
  <c r="B131" i="21" s="1"/>
  <c r="D949" i="21"/>
  <c r="C949" i="21"/>
  <c r="C120" i="21"/>
  <c r="B121" i="21" s="1"/>
  <c r="D120" i="21"/>
  <c r="B2924" i="21"/>
  <c r="B2914" i="21"/>
  <c r="A5904" i="21"/>
  <c r="A6522" i="21"/>
  <c r="A6525" i="21"/>
  <c r="A5907" i="21"/>
  <c r="A6007" i="21"/>
  <c r="A6010" i="21"/>
  <c r="A7037" i="21"/>
  <c r="A7143" i="21"/>
  <c r="A7140" i="21"/>
  <c r="D7061" i="21"/>
  <c r="E7061" i="21"/>
  <c r="A3733" i="21"/>
  <c r="A2061" i="21"/>
  <c r="A4771" i="21"/>
  <c r="A3632" i="21"/>
  <c r="A6316" i="21"/>
  <c r="A5698" i="21"/>
  <c r="A3629" i="21"/>
  <c r="A6831" i="21"/>
  <c r="D6855" i="21"/>
  <c r="E6855" i="21"/>
  <c r="E6854" i="21"/>
  <c r="E6432" i="21"/>
  <c r="D6433" i="21"/>
  <c r="E6433" i="21"/>
  <c r="E6442" i="21"/>
  <c r="D6443" i="21"/>
  <c r="E6443" i="21"/>
  <c r="A6319" i="21"/>
  <c r="E6123" i="21"/>
  <c r="D6124" i="21"/>
  <c r="E6124" i="21"/>
  <c r="E6133" i="21"/>
  <c r="D6134" i="21"/>
  <c r="E6134" i="21"/>
  <c r="A5701" i="21"/>
  <c r="E5609" i="21"/>
  <c r="D5609" i="21"/>
  <c r="E5411" i="21"/>
  <c r="C5411" i="21"/>
  <c r="D5411" i="21"/>
  <c r="C5401" i="21"/>
  <c r="E5401" i="21"/>
  <c r="D5401" i="21"/>
  <c r="B2812" i="21"/>
  <c r="E2811" i="21" s="1"/>
  <c r="B2822" i="21"/>
  <c r="B2510" i="21"/>
  <c r="B2500" i="21"/>
  <c r="D1353" i="21"/>
  <c r="E1353" i="21"/>
  <c r="C3966" i="21"/>
  <c r="B3967" i="21" s="1"/>
  <c r="D3966" i="21"/>
  <c r="C3956" i="21"/>
  <c r="B3957" i="21" s="1"/>
  <c r="D3956" i="21"/>
  <c r="A4461" i="21"/>
  <c r="A2590" i="21"/>
  <c r="A2593" i="21"/>
  <c r="A209" i="21"/>
  <c r="A3736" i="21"/>
  <c r="A2064" i="21"/>
  <c r="A4667" i="21"/>
  <c r="A4774" i="21"/>
  <c r="A4670" i="21"/>
  <c r="A3838" i="21"/>
  <c r="A4464" i="21"/>
  <c r="A212" i="21"/>
  <c r="D1466" i="21"/>
  <c r="E1466" i="21"/>
  <c r="D1672" i="21"/>
  <c r="E1672" i="21"/>
  <c r="E3341" i="21"/>
  <c r="D3341" i="21"/>
  <c r="B3227" i="21"/>
  <c r="E3020" i="21"/>
  <c r="D3020" i="21"/>
  <c r="D1456" i="21"/>
  <c r="E1456" i="21"/>
  <c r="D2708" i="21"/>
  <c r="E2708" i="21"/>
  <c r="B1257" i="21"/>
  <c r="D1971" i="21"/>
  <c r="E1971" i="21"/>
  <c r="B2406" i="21"/>
  <c r="E2405" i="21" s="1"/>
  <c r="B3237" i="21"/>
  <c r="E3236" i="21" s="1"/>
  <c r="E4279" i="21"/>
  <c r="D4279" i="21"/>
  <c r="E1662" i="21"/>
  <c r="D1662" i="21"/>
  <c r="D2718" i="21"/>
  <c r="E2718" i="21"/>
  <c r="D4269" i="21"/>
  <c r="E4269" i="21"/>
  <c r="B1868" i="21"/>
  <c r="E1867" i="21" s="1"/>
  <c r="E3540" i="21"/>
  <c r="D3540" i="21"/>
  <c r="D3550" i="21"/>
  <c r="E3550" i="21"/>
  <c r="B848" i="21"/>
  <c r="E847" i="21" s="1"/>
  <c r="B2396" i="21"/>
  <c r="E2395" i="21" s="1"/>
  <c r="D1981" i="21"/>
  <c r="E1981" i="21"/>
  <c r="B2302" i="21"/>
  <c r="E2301" i="21" s="1"/>
  <c r="B17" i="21"/>
  <c r="B325" i="21"/>
  <c r="E324" i="21" s="1"/>
  <c r="D3445" i="21"/>
  <c r="C3445" i="21"/>
  <c r="B2179" i="21"/>
  <c r="E2178" i="21" s="1"/>
  <c r="B2189" i="21"/>
  <c r="E2188" i="21" s="1"/>
  <c r="B3123" i="21"/>
  <c r="E3122" i="21" s="1"/>
  <c r="D3435" i="21"/>
  <c r="C3435" i="21"/>
  <c r="E3331" i="21"/>
  <c r="D3331" i="21"/>
  <c r="B1247" i="21"/>
  <c r="B27" i="21"/>
  <c r="B3133" i="21"/>
  <c r="E3132" i="21" s="1"/>
  <c r="B838" i="21"/>
  <c r="E837" i="21" s="1"/>
  <c r="E3030" i="21"/>
  <c r="D3030" i="21"/>
  <c r="B2292" i="21"/>
  <c r="E2291" i="21" s="1"/>
  <c r="B1878" i="21"/>
  <c r="E1877" i="21" s="1"/>
  <c r="B335" i="21"/>
  <c r="E334" i="21" s="1"/>
  <c r="E1465" i="21"/>
  <c r="E1671" i="21"/>
  <c r="A4567" i="21"/>
  <c r="A3841" i="21"/>
  <c r="E3340" i="21"/>
  <c r="E3019" i="21"/>
  <c r="E1455" i="21"/>
  <c r="A4564" i="21"/>
  <c r="E2707" i="21"/>
  <c r="E1970" i="21"/>
  <c r="E4278" i="21"/>
  <c r="E1661" i="21"/>
  <c r="E2717" i="21"/>
  <c r="E4268" i="21"/>
  <c r="E3539" i="21"/>
  <c r="E1980" i="21"/>
  <c r="A1751" i="21" l="1"/>
  <c r="B529" i="21"/>
  <c r="E528" i="21" s="1"/>
  <c r="B950" i="21"/>
  <c r="E949" i="21" s="1"/>
  <c r="E630" i="21"/>
  <c r="D631" i="21"/>
  <c r="E631" i="21"/>
  <c r="B940" i="21"/>
  <c r="E120" i="21"/>
  <c r="D121" i="21"/>
  <c r="E121" i="21"/>
  <c r="E130" i="21"/>
  <c r="E131" i="21"/>
  <c r="D131" i="21"/>
  <c r="E538" i="21"/>
  <c r="E539" i="21"/>
  <c r="D539" i="21"/>
  <c r="E640" i="21"/>
  <c r="E641" i="21"/>
  <c r="D641" i="21"/>
  <c r="E2914" i="21"/>
  <c r="D2914" i="21"/>
  <c r="C2914" i="21"/>
  <c r="C2924" i="21"/>
  <c r="D2924" i="21"/>
  <c r="E2924" i="21"/>
  <c r="A7040" i="21"/>
  <c r="A1339" i="21"/>
  <c r="A6419" i="21"/>
  <c r="A5595" i="21"/>
  <c r="A6110" i="21"/>
  <c r="A6834" i="21"/>
  <c r="A6422" i="21"/>
  <c r="A6113" i="21"/>
  <c r="B5402" i="21"/>
  <c r="B5412" i="21"/>
  <c r="E2822" i="21"/>
  <c r="D2822" i="21"/>
  <c r="E2812" i="21"/>
  <c r="D2812" i="21"/>
  <c r="E2821" i="21"/>
  <c r="D2500" i="21"/>
  <c r="E2500" i="21"/>
  <c r="E2510" i="21"/>
  <c r="D2510" i="21"/>
  <c r="E2499" i="21"/>
  <c r="E2509" i="21"/>
  <c r="A3526" i="21"/>
  <c r="A4258" i="21"/>
  <c r="A1442" i="21"/>
  <c r="A3320" i="21"/>
  <c r="A1651" i="21"/>
  <c r="E3956" i="21"/>
  <c r="D3957" i="21"/>
  <c r="E3957" i="21"/>
  <c r="E3966" i="21"/>
  <c r="E3967" i="21"/>
  <c r="D3967" i="21"/>
  <c r="A1960" i="21"/>
  <c r="A4255" i="21"/>
  <c r="A1648" i="21"/>
  <c r="A1957" i="21"/>
  <c r="A3006" i="21"/>
  <c r="A1445" i="21"/>
  <c r="A3529" i="21"/>
  <c r="A2697" i="21"/>
  <c r="A2694" i="21"/>
  <c r="D1247" i="21"/>
  <c r="C1247" i="21"/>
  <c r="E1247" i="21"/>
  <c r="D3123" i="21"/>
  <c r="E3123" i="21"/>
  <c r="E2189" i="21"/>
  <c r="D2189" i="21"/>
  <c r="D2179" i="21"/>
  <c r="E2179" i="21"/>
  <c r="B3446" i="21"/>
  <c r="E3445" i="21" s="1"/>
  <c r="D1257" i="21"/>
  <c r="C1257" i="21"/>
  <c r="E1257" i="21"/>
  <c r="E3227" i="21"/>
  <c r="D3227" i="21"/>
  <c r="A3009" i="21"/>
  <c r="A3317" i="21"/>
  <c r="E335" i="21"/>
  <c r="D335" i="21"/>
  <c r="D1878" i="21"/>
  <c r="E1878" i="21"/>
  <c r="E2292" i="21"/>
  <c r="D2292" i="21"/>
  <c r="E838" i="21"/>
  <c r="D838" i="21"/>
  <c r="D3133" i="21"/>
  <c r="E3133" i="21"/>
  <c r="E27" i="21"/>
  <c r="D27" i="21"/>
  <c r="C27" i="21"/>
  <c r="B3436" i="21"/>
  <c r="D325" i="21"/>
  <c r="E325" i="21"/>
  <c r="C17" i="21"/>
  <c r="E17" i="21"/>
  <c r="D17" i="21"/>
  <c r="D2302" i="21"/>
  <c r="E2302" i="21"/>
  <c r="D2396" i="21"/>
  <c r="E2396" i="21"/>
  <c r="D848" i="21"/>
  <c r="E848" i="21"/>
  <c r="E1868" i="21"/>
  <c r="D1868" i="21"/>
  <c r="E3237" i="21"/>
  <c r="D3237" i="21"/>
  <c r="D2406" i="21"/>
  <c r="E2406" i="21"/>
  <c r="E3226" i="21"/>
  <c r="A3112" i="21" l="1"/>
  <c r="A107" i="21"/>
  <c r="A620" i="21"/>
  <c r="C27" i="10" s="1"/>
  <c r="A110" i="21"/>
  <c r="C26" i="4" s="1"/>
  <c r="A518" i="21"/>
  <c r="A617" i="21"/>
  <c r="E940" i="21"/>
  <c r="D940" i="21"/>
  <c r="D529" i="21"/>
  <c r="E529" i="21"/>
  <c r="D950" i="21"/>
  <c r="E950" i="21"/>
  <c r="E939" i="21"/>
  <c r="B2915" i="21"/>
  <c r="B2925" i="21"/>
  <c r="A3943" i="21"/>
  <c r="A2486" i="21"/>
  <c r="A2798" i="21"/>
  <c r="C5412" i="21"/>
  <c r="B5413" i="21" s="1"/>
  <c r="D5412" i="21"/>
  <c r="C5402" i="21"/>
  <c r="B5403" i="21" s="1"/>
  <c r="D5402" i="21"/>
  <c r="A2801" i="21"/>
  <c r="A2489" i="21"/>
  <c r="A3946" i="21"/>
  <c r="A3213" i="21"/>
  <c r="A311" i="21"/>
  <c r="A314" i="21"/>
  <c r="A2165" i="21"/>
  <c r="A2168" i="21"/>
  <c r="A3109" i="21"/>
  <c r="A3216" i="21"/>
  <c r="A2382" i="21"/>
  <c r="A824" i="21"/>
  <c r="A2278" i="21"/>
  <c r="A1857" i="21"/>
  <c r="A827" i="21"/>
  <c r="A2281" i="21"/>
  <c r="B18" i="21"/>
  <c r="D3436" i="21"/>
  <c r="E3436" i="21"/>
  <c r="B1258" i="21"/>
  <c r="B28" i="21"/>
  <c r="D3446" i="21"/>
  <c r="E3446" i="21"/>
  <c r="B1248" i="21"/>
  <c r="A2385" i="21"/>
  <c r="A1854" i="21"/>
  <c r="E3435" i="21"/>
  <c r="A515" i="21" l="1"/>
  <c r="A929" i="21"/>
  <c r="A926" i="21"/>
  <c r="D2925" i="21"/>
  <c r="C2925" i="21"/>
  <c r="C2915" i="21"/>
  <c r="D2915" i="21"/>
  <c r="E5402" i="21"/>
  <c r="D5403" i="21"/>
  <c r="E5403" i="21"/>
  <c r="E5412" i="21"/>
  <c r="E5413" i="21"/>
  <c r="D5413" i="21"/>
  <c r="A3422" i="21"/>
  <c r="A3425" i="21"/>
  <c r="C28" i="21"/>
  <c r="D28" i="21"/>
  <c r="D1248" i="21"/>
  <c r="E1248" i="21"/>
  <c r="C1248" i="21"/>
  <c r="E1258" i="21"/>
  <c r="D1258" i="21"/>
  <c r="C1258" i="21"/>
  <c r="D18" i="21"/>
  <c r="C18" i="21"/>
  <c r="B2916" i="21" l="1"/>
  <c r="B2926" i="21"/>
  <c r="E2925" i="21" s="1"/>
  <c r="A5392" i="21"/>
  <c r="A5389" i="21"/>
  <c r="B1249" i="21"/>
  <c r="B29" i="21"/>
  <c r="E28" i="21" s="1"/>
  <c r="B19" i="21"/>
  <c r="E18" i="21" s="1"/>
  <c r="B1259" i="21"/>
  <c r="D2916" i="21" l="1"/>
  <c r="E2916" i="21"/>
  <c r="D2926" i="21"/>
  <c r="E2926" i="21"/>
  <c r="E2915" i="21"/>
  <c r="E19" i="21"/>
  <c r="D19" i="21"/>
  <c r="E29" i="21"/>
  <c r="D29" i="21"/>
  <c r="D1249" i="21"/>
  <c r="C1249" i="21"/>
  <c r="C1259" i="21"/>
  <c r="D1259" i="21"/>
  <c r="A2902" i="21" l="1"/>
  <c r="A2905" i="21"/>
  <c r="A5" i="21"/>
  <c r="B1260" i="21"/>
  <c r="E1259" i="21" s="1"/>
  <c r="B1250" i="21"/>
  <c r="E1249" i="21" s="1"/>
  <c r="A8" i="21"/>
  <c r="C26" i="1" s="1"/>
  <c r="E1250" i="21" l="1"/>
  <c r="D1250" i="21"/>
  <c r="D1260" i="21"/>
  <c r="E1260" i="21"/>
  <c r="A1239" i="21" l="1"/>
  <c r="A1236" i="21"/>
  <c r="B5500" i="21" l="1"/>
  <c r="B5510" i="21"/>
  <c r="E5500" i="21" l="1"/>
  <c r="C5500" i="21"/>
  <c r="D5500" i="21"/>
  <c r="C5510" i="21"/>
  <c r="D5510" i="21"/>
  <c r="E5510" i="21"/>
  <c r="B5511" i="21" l="1"/>
  <c r="B5501" i="21"/>
  <c r="D5511" i="21" l="1"/>
  <c r="C5511" i="21"/>
  <c r="E5511" i="21"/>
  <c r="D5501" i="21"/>
  <c r="C5501" i="21"/>
  <c r="E5501" i="21"/>
  <c r="B5502" i="21" l="1"/>
  <c r="B5512" i="21"/>
  <c r="E5512" i="21" l="1"/>
  <c r="C5512" i="21"/>
  <c r="D5512" i="21"/>
  <c r="D5502" i="21"/>
  <c r="E5502" i="21"/>
  <c r="C5502" i="21"/>
  <c r="B5503" i="21" l="1"/>
  <c r="B5513" i="21"/>
  <c r="C5513" i="21" l="1"/>
  <c r="D5513" i="21"/>
  <c r="E5513" i="21"/>
  <c r="C5503" i="21"/>
  <c r="D5503" i="21"/>
  <c r="E5503" i="21"/>
  <c r="B5504" i="21" l="1"/>
  <c r="B5514" i="21"/>
  <c r="D5514" i="21" l="1"/>
  <c r="C5514" i="21"/>
  <c r="E5514" i="21"/>
  <c r="D5504" i="21"/>
  <c r="C5504" i="21"/>
  <c r="E5504" i="21"/>
  <c r="B5505" i="21" l="1"/>
  <c r="B5515" i="21"/>
  <c r="C5505" i="21" l="1"/>
  <c r="D5505" i="21"/>
  <c r="C5515" i="21"/>
  <c r="D5515" i="21"/>
  <c r="B5516" i="21" l="1"/>
  <c r="E5515" i="21" s="1"/>
  <c r="B5506" i="21"/>
  <c r="E5505" i="21" s="1"/>
  <c r="D5506" i="21" l="1"/>
  <c r="E5506" i="21"/>
  <c r="E5516" i="21"/>
  <c r="D5516" i="21"/>
  <c r="A5495" i="21" l="1"/>
  <c r="A5492" i="21"/>
  <c r="A9736" i="21" l="1"/>
  <c r="B9758" i="21" s="1"/>
  <c r="A9839" i="21"/>
  <c r="B9851" i="21" s="1"/>
  <c r="B9748" i="21" l="1"/>
  <c r="C9748" i="21" s="1"/>
  <c r="B9861" i="21"/>
  <c r="D9861" i="21" s="1"/>
  <c r="D9851" i="21"/>
  <c r="E9851" i="21"/>
  <c r="C9851" i="21"/>
  <c r="E9758" i="21"/>
  <c r="C9758" i="21"/>
  <c r="D9758" i="21"/>
  <c r="E9748" i="21" l="1"/>
  <c r="D9748" i="21"/>
  <c r="E9861" i="21"/>
  <c r="C9861" i="21"/>
  <c r="B9862" i="21" s="1"/>
  <c r="B9852" i="21"/>
  <c r="B9749" i="21"/>
  <c r="B9759" i="21"/>
  <c r="D9862" i="21" l="1"/>
  <c r="C9862" i="21"/>
  <c r="E9862" i="21"/>
  <c r="C9852" i="21"/>
  <c r="D9852" i="21"/>
  <c r="E9852" i="21"/>
  <c r="D9749" i="21"/>
  <c r="C9749" i="21"/>
  <c r="E9749" i="21"/>
  <c r="C9759" i="21"/>
  <c r="D9759" i="21"/>
  <c r="E9759" i="21"/>
  <c r="B9853" i="21" l="1"/>
  <c r="B9863" i="21"/>
  <c r="B9760" i="21"/>
  <c r="B9750" i="21"/>
  <c r="C9863" i="21" l="1"/>
  <c r="E9863" i="21"/>
  <c r="D9863" i="21"/>
  <c r="E9853" i="21"/>
  <c r="D9853" i="21"/>
  <c r="C9853" i="21"/>
  <c r="C9750" i="21"/>
  <c r="D9750" i="21"/>
  <c r="E9750" i="21"/>
  <c r="C9760" i="21"/>
  <c r="E9760" i="21"/>
  <c r="D9760" i="21"/>
  <c r="B9854" i="21" l="1"/>
  <c r="B9864" i="21"/>
  <c r="B9761" i="21"/>
  <c r="B9751" i="21"/>
  <c r="D9864" i="21" l="1"/>
  <c r="C9864" i="21"/>
  <c r="E9864" i="21"/>
  <c r="C9854" i="21"/>
  <c r="D9854" i="21"/>
  <c r="E9854" i="21"/>
  <c r="D9751" i="21"/>
  <c r="C9751" i="21"/>
  <c r="E9751" i="21"/>
  <c r="D9761" i="21"/>
  <c r="C9761" i="21"/>
  <c r="E9761" i="21"/>
  <c r="B9855" i="21" l="1"/>
  <c r="B9865" i="21"/>
  <c r="B9752" i="21"/>
  <c r="B9762" i="21"/>
  <c r="C9865" i="21" l="1"/>
  <c r="B9866" i="21" s="1"/>
  <c r="E9865" i="21"/>
  <c r="D9865" i="21"/>
  <c r="E9855" i="21"/>
  <c r="D9855" i="21"/>
  <c r="C9855" i="21"/>
  <c r="B9856" i="21" s="1"/>
  <c r="D9762" i="21"/>
  <c r="C9762" i="21"/>
  <c r="E9762" i="21"/>
  <c r="C9752" i="21"/>
  <c r="E9752" i="21"/>
  <c r="D9752" i="21"/>
  <c r="C9856" i="21" l="1"/>
  <c r="B9857" i="21" s="1"/>
  <c r="D9856" i="21"/>
  <c r="D9866" i="21"/>
  <c r="C9866" i="21"/>
  <c r="B9867" i="21" s="1"/>
  <c r="B9753" i="21"/>
  <c r="B9763" i="21"/>
  <c r="E9866" i="21" l="1"/>
  <c r="E9867" i="21"/>
  <c r="D9867" i="21"/>
  <c r="E9856" i="21"/>
  <c r="E9857" i="21"/>
  <c r="D9857" i="21"/>
  <c r="C9763" i="21"/>
  <c r="D9763" i="21"/>
  <c r="D9753" i="21"/>
  <c r="C9753" i="21"/>
  <c r="A9843" i="21" l="1"/>
  <c r="A9846" i="21"/>
  <c r="B9754" i="21"/>
  <c r="E9753" i="21" s="1"/>
  <c r="B9764" i="21"/>
  <c r="E9764" i="21" l="1"/>
  <c r="D9764" i="21"/>
  <c r="E9763" i="21"/>
  <c r="E9754" i="21"/>
  <c r="D9754" i="21"/>
  <c r="A9740" i="21" l="1"/>
  <c r="A9743" i="21"/>
  <c r="A12224" i="21" l="1"/>
  <c r="B12236" i="21" s="1"/>
  <c r="E12236" i="21" l="1"/>
  <c r="C12236" i="21"/>
  <c r="B12237" i="21" s="1"/>
  <c r="D12236" i="21"/>
  <c r="B12246" i="21"/>
  <c r="C12246" i="21" s="1"/>
  <c r="B12247" i="21" s="1"/>
  <c r="D12246" i="21" l="1"/>
  <c r="E12246" i="21"/>
  <c r="C12237" i="21"/>
  <c r="D12237" i="21"/>
  <c r="E12237" i="21"/>
  <c r="C12247" i="21"/>
  <c r="D12247" i="21"/>
  <c r="E12247" i="21"/>
  <c r="B12248" i="21" l="1"/>
  <c r="B12238" i="21"/>
  <c r="E12248" i="21" l="1"/>
  <c r="D12248" i="21"/>
  <c r="C12248" i="21"/>
  <c r="E12238" i="21"/>
  <c r="C12238" i="21"/>
  <c r="D12238" i="21"/>
  <c r="B12239" i="21" l="1"/>
  <c r="B12249" i="21"/>
  <c r="C12249" i="21" l="1"/>
  <c r="D12249" i="21"/>
  <c r="E12249" i="21"/>
  <c r="C12239" i="21"/>
  <c r="D12239" i="21"/>
  <c r="E12239" i="21"/>
  <c r="B12240" i="21" l="1"/>
  <c r="B12250" i="21"/>
  <c r="C12250" i="21" l="1"/>
  <c r="E12250" i="21"/>
  <c r="D12250" i="21"/>
  <c r="D12240" i="21"/>
  <c r="E12240" i="21"/>
  <c r="C12240" i="21"/>
  <c r="B12251" i="21" l="1"/>
  <c r="B12241" i="21"/>
  <c r="D12241" i="21" l="1"/>
  <c r="C12241" i="21"/>
  <c r="C12251" i="21"/>
  <c r="D12251" i="21"/>
  <c r="B12242" i="21" l="1"/>
  <c r="E12241" i="21" s="1"/>
  <c r="B12252" i="21"/>
  <c r="E12251" i="21" s="1"/>
  <c r="D12252" i="21" l="1"/>
  <c r="E12252" i="21"/>
  <c r="D12242" i="21"/>
  <c r="E12242" i="21"/>
  <c r="A12231" i="21" l="1"/>
  <c r="A12228" i="21"/>
  <c r="K10" i="13" l="1"/>
  <c r="A20158" i="21" l="1"/>
  <c r="B20170" i="21" l="1"/>
  <c r="B20180" i="21"/>
  <c r="D20180" i="21" l="1"/>
  <c r="E20180" i="21"/>
  <c r="C20180" i="21"/>
  <c r="E20170" i="21"/>
  <c r="C20170" i="21"/>
  <c r="D20170" i="21"/>
  <c r="B20171" i="21" l="1"/>
  <c r="B20181" i="21"/>
  <c r="D20181" i="21" l="1"/>
  <c r="C20181" i="21"/>
  <c r="E20181" i="21"/>
  <c r="C20171" i="21"/>
  <c r="D20171" i="21"/>
  <c r="E20171" i="21"/>
  <c r="B20172" i="21" l="1"/>
  <c r="B20182" i="21"/>
  <c r="E20182" i="21" l="1"/>
  <c r="D20182" i="21"/>
  <c r="C20182" i="21"/>
  <c r="C20172" i="21"/>
  <c r="E20172" i="21"/>
  <c r="D20172" i="21"/>
  <c r="B20173" i="21" l="1"/>
  <c r="B20183" i="21"/>
  <c r="C20183" i="21" l="1"/>
  <c r="D20183" i="21"/>
  <c r="E20183" i="21"/>
  <c r="D20173" i="21"/>
  <c r="C20173" i="21"/>
  <c r="E20173" i="21"/>
  <c r="B20174" i="21" l="1"/>
  <c r="B20184" i="21"/>
  <c r="A18105" i="21"/>
  <c r="C20184" i="21" l="1"/>
  <c r="E20184" i="21"/>
  <c r="D20184" i="21"/>
  <c r="C20174" i="21"/>
  <c r="B20175" i="21" s="1"/>
  <c r="E20174" i="21"/>
  <c r="D20174" i="21"/>
  <c r="B18117" i="21"/>
  <c r="B18127" i="21"/>
  <c r="C20175" i="21" l="1"/>
  <c r="B20176" i="21" s="1"/>
  <c r="D20175" i="21"/>
  <c r="B20185" i="21"/>
  <c r="E18127" i="21"/>
  <c r="C18127" i="21"/>
  <c r="D18127" i="21"/>
  <c r="D18117" i="21"/>
  <c r="C18117" i="21"/>
  <c r="E18117" i="21"/>
  <c r="C20185" i="21" l="1"/>
  <c r="D20185" i="21"/>
  <c r="E20175" i="21"/>
  <c r="E20176" i="21"/>
  <c r="D20176" i="21"/>
  <c r="B18118" i="21"/>
  <c r="B18128" i="21"/>
  <c r="A20162" i="21" l="1"/>
  <c r="B20186" i="21"/>
  <c r="E20185" i="21" s="1"/>
  <c r="D18118" i="21"/>
  <c r="C18118" i="21"/>
  <c r="E18118" i="21"/>
  <c r="C18128" i="21"/>
  <c r="D18128" i="21"/>
  <c r="E18128" i="21"/>
  <c r="E20186" i="21" l="1"/>
  <c r="D20186" i="21"/>
  <c r="A18208" i="21"/>
  <c r="B18129" i="21"/>
  <c r="B18119" i="21"/>
  <c r="A20165" i="21" l="1"/>
  <c r="B18230" i="21"/>
  <c r="B18220" i="21"/>
  <c r="D18119" i="21"/>
  <c r="E18119" i="21"/>
  <c r="C18119" i="21"/>
  <c r="E18129" i="21"/>
  <c r="C18129" i="21"/>
  <c r="D18129" i="21"/>
  <c r="C18220" i="21" l="1"/>
  <c r="E18220" i="21"/>
  <c r="D18220" i="21"/>
  <c r="C18230" i="21"/>
  <c r="D18230" i="21"/>
  <c r="E18230" i="21"/>
  <c r="B18130" i="21"/>
  <c r="B18120" i="21"/>
  <c r="B18231" i="21" l="1"/>
  <c r="B18221" i="21"/>
  <c r="D18120" i="21"/>
  <c r="C18120" i="21"/>
  <c r="B18121" i="21" s="1"/>
  <c r="E18120" i="21"/>
  <c r="D18130" i="21"/>
  <c r="C18130" i="21"/>
  <c r="B18131" i="21" s="1"/>
  <c r="E18130" i="21"/>
  <c r="A18311" i="21" l="1"/>
  <c r="C18221" i="21"/>
  <c r="D18221" i="21"/>
  <c r="E18221" i="21"/>
  <c r="C18231" i="21"/>
  <c r="D18231" i="21"/>
  <c r="E18231" i="21"/>
  <c r="C18121" i="21"/>
  <c r="D18121" i="21"/>
  <c r="E18121" i="21"/>
  <c r="E18131" i="21"/>
  <c r="D18131" i="21"/>
  <c r="C18131" i="21"/>
  <c r="B18323" i="21" l="1"/>
  <c r="B18333" i="21"/>
  <c r="B18232" i="21"/>
  <c r="B18222" i="21"/>
  <c r="B18132" i="21"/>
  <c r="B18122" i="21"/>
  <c r="D18333" i="21" l="1"/>
  <c r="E18333" i="21"/>
  <c r="C18333" i="21"/>
  <c r="E18323" i="21"/>
  <c r="D18323" i="21"/>
  <c r="C18323" i="21"/>
  <c r="E18222" i="21"/>
  <c r="C18222" i="21"/>
  <c r="D18222" i="21"/>
  <c r="C18232" i="21"/>
  <c r="D18232" i="21"/>
  <c r="E18232" i="21"/>
  <c r="C18122" i="21"/>
  <c r="D18122" i="21"/>
  <c r="C18132" i="21"/>
  <c r="D18132" i="21"/>
  <c r="B18324" i="21" l="1"/>
  <c r="B18334" i="21"/>
  <c r="B18223" i="21"/>
  <c r="B18233" i="21"/>
  <c r="B18133" i="21"/>
  <c r="E18132" i="21" s="1"/>
  <c r="B18123" i="21"/>
  <c r="E18122" i="21" s="1"/>
  <c r="C18334" i="21" l="1"/>
  <c r="D18334" i="21"/>
  <c r="E18334" i="21"/>
  <c r="D18324" i="21"/>
  <c r="C18324" i="21"/>
  <c r="E18324" i="21"/>
  <c r="D18233" i="21"/>
  <c r="C18233" i="21"/>
  <c r="E18233" i="21"/>
  <c r="D18223" i="21"/>
  <c r="C18223" i="21"/>
  <c r="E18223" i="21"/>
  <c r="D18123" i="21"/>
  <c r="E18123" i="21"/>
  <c r="E18133" i="21"/>
  <c r="D18133" i="21"/>
  <c r="A18112" i="21" l="1"/>
  <c r="A18109" i="21"/>
  <c r="B18325" i="21"/>
  <c r="B18335" i="21"/>
  <c r="B18224" i="21"/>
  <c r="B18234" i="21"/>
  <c r="E18335" i="21" l="1"/>
  <c r="C18335" i="21"/>
  <c r="D18335" i="21"/>
  <c r="E18325" i="21"/>
  <c r="C18325" i="21"/>
  <c r="D18325" i="21"/>
  <c r="C18234" i="21"/>
  <c r="D18234" i="21"/>
  <c r="E18234" i="21"/>
  <c r="E18224" i="21"/>
  <c r="C18224" i="21"/>
  <c r="D18224" i="21"/>
  <c r="B18326" i="21" l="1"/>
  <c r="B18336" i="21"/>
  <c r="B18225" i="21"/>
  <c r="B18235" i="21"/>
  <c r="C18336" i="21" l="1"/>
  <c r="D18336" i="21"/>
  <c r="E18336" i="21"/>
  <c r="C18326" i="21"/>
  <c r="D18326" i="21"/>
  <c r="E18326" i="21"/>
  <c r="C18235" i="21"/>
  <c r="D18235" i="21"/>
  <c r="D18225" i="21"/>
  <c r="C18225" i="21"/>
  <c r="B18327" i="21" l="1"/>
  <c r="B18337" i="21"/>
  <c r="B18226" i="21"/>
  <c r="E18225" i="21" s="1"/>
  <c r="B18236" i="21"/>
  <c r="E18235" i="21" s="1"/>
  <c r="D18337" i="21" l="1"/>
  <c r="E18337" i="21"/>
  <c r="C18337" i="21"/>
  <c r="E18327" i="21"/>
  <c r="C18327" i="21"/>
  <c r="D18327" i="21"/>
  <c r="E18236" i="21"/>
  <c r="D18236" i="21"/>
  <c r="D18226" i="21"/>
  <c r="E18226" i="21"/>
  <c r="A18215" i="21" l="1"/>
  <c r="B18328" i="21"/>
  <c r="B18338" i="21"/>
  <c r="A18212" i="21"/>
  <c r="C18338" i="21" l="1"/>
  <c r="D18338" i="21"/>
  <c r="C18328" i="21"/>
  <c r="D18328" i="21"/>
  <c r="B18329" i="21" l="1"/>
  <c r="E18328" i="21" s="1"/>
  <c r="B18339" i="21"/>
  <c r="E18338" i="21" s="1"/>
  <c r="D18339" i="21" l="1"/>
  <c r="E18339" i="21"/>
  <c r="E18329" i="21"/>
  <c r="D18329" i="21"/>
  <c r="A18315" i="21" l="1"/>
  <c r="A18318" i="21"/>
  <c r="A14698" i="21" l="1"/>
  <c r="B14720" i="21" l="1"/>
  <c r="B14710" i="21"/>
  <c r="D14710" i="21" l="1"/>
  <c r="E14710" i="21"/>
  <c r="C14710" i="21"/>
  <c r="D14720" i="21"/>
  <c r="E14720" i="21"/>
  <c r="C14720" i="21"/>
  <c r="B14721" i="21" l="1"/>
  <c r="B14711" i="21"/>
  <c r="D14721" i="21" l="1"/>
  <c r="C14721" i="21"/>
  <c r="E14721" i="21"/>
  <c r="C14711" i="21"/>
  <c r="D14711" i="21"/>
  <c r="E14711" i="21"/>
  <c r="B14712" i="21" l="1"/>
  <c r="B14722" i="21"/>
  <c r="D14722" i="21" l="1"/>
  <c r="E14722" i="21"/>
  <c r="C14722" i="21"/>
  <c r="E14712" i="21"/>
  <c r="C14712" i="21"/>
  <c r="D14712" i="21"/>
  <c r="B14713" i="21" l="1"/>
  <c r="B14723" i="21"/>
  <c r="C14713" i="21" l="1"/>
  <c r="D14713" i="21"/>
  <c r="E14713" i="21"/>
  <c r="D14723" i="21"/>
  <c r="C14723" i="21"/>
  <c r="E14723" i="21"/>
  <c r="B14724" i="21" l="1"/>
  <c r="B14714" i="21"/>
  <c r="D14714" i="21" l="1"/>
  <c r="E14714" i="21"/>
  <c r="C14714" i="21"/>
  <c r="C14724" i="21"/>
  <c r="D14724" i="21"/>
  <c r="E14724" i="21"/>
  <c r="B14715" i="21" l="1"/>
  <c r="B14725" i="21"/>
  <c r="C14725" i="21" l="1"/>
  <c r="D14725" i="21"/>
  <c r="D14715" i="21"/>
  <c r="C14715" i="21"/>
  <c r="B14716" i="21" l="1"/>
  <c r="E14715" i="21" s="1"/>
  <c r="B14726" i="21"/>
  <c r="E14725" i="21" s="1"/>
  <c r="D14716" i="21" l="1"/>
  <c r="E14716" i="21"/>
  <c r="E14726" i="21"/>
  <c r="D14726" i="21"/>
  <c r="A14705" i="21" l="1"/>
  <c r="A14702" i="21"/>
  <c r="A21394" i="21" l="1"/>
  <c r="B21406" i="21" l="1"/>
  <c r="B21416" i="21"/>
  <c r="E21416" i="21" l="1"/>
  <c r="C21416" i="21"/>
  <c r="D21416" i="21"/>
  <c r="D21406" i="21"/>
  <c r="C21406" i="21"/>
  <c r="E21406" i="21"/>
  <c r="B21407" i="21" l="1"/>
  <c r="B21417" i="21"/>
  <c r="A21497" i="21" l="1"/>
  <c r="D21417" i="21"/>
  <c r="C21417" i="21"/>
  <c r="E21417" i="21"/>
  <c r="C21407" i="21"/>
  <c r="D21407" i="21"/>
  <c r="E21407" i="21"/>
  <c r="B21519" i="21" l="1"/>
  <c r="B21509" i="21"/>
  <c r="B21408" i="21"/>
  <c r="B21418" i="21"/>
  <c r="C21509" i="21" l="1"/>
  <c r="E21509" i="21"/>
  <c r="D21509" i="21"/>
  <c r="C21519" i="21"/>
  <c r="D21519" i="21"/>
  <c r="E21519" i="21"/>
  <c r="E21408" i="21"/>
  <c r="C21408" i="21"/>
  <c r="D21408" i="21"/>
  <c r="E21418" i="21"/>
  <c r="C21418" i="21"/>
  <c r="D21418" i="21"/>
  <c r="B21520" i="21" l="1"/>
  <c r="B21510" i="21"/>
  <c r="B21419" i="21"/>
  <c r="B21409" i="21"/>
  <c r="C21520" i="21" l="1"/>
  <c r="D21520" i="21"/>
  <c r="E21520" i="21"/>
  <c r="C21510" i="21"/>
  <c r="D21510" i="21"/>
  <c r="E21510" i="21"/>
  <c r="C21409" i="21"/>
  <c r="D21409" i="21"/>
  <c r="E21409" i="21"/>
  <c r="C21419" i="21"/>
  <c r="D21419" i="21"/>
  <c r="E21419" i="21"/>
  <c r="B21511" i="21" l="1"/>
  <c r="B21521" i="21"/>
  <c r="B21420" i="21"/>
  <c r="B21410" i="21"/>
  <c r="E21511" i="21" l="1"/>
  <c r="D21511" i="21"/>
  <c r="C21511" i="21"/>
  <c r="E21521" i="21"/>
  <c r="C21521" i="21"/>
  <c r="D21521" i="21"/>
  <c r="D21410" i="21"/>
  <c r="E21410" i="21"/>
  <c r="C21410" i="21"/>
  <c r="E21420" i="21"/>
  <c r="C21420" i="21"/>
  <c r="D21420" i="21"/>
  <c r="B21522" i="21" l="1"/>
  <c r="B21512" i="21"/>
  <c r="B21421" i="21"/>
  <c r="B21411" i="21"/>
  <c r="D21512" i="21" l="1"/>
  <c r="C21512" i="21"/>
  <c r="E21512" i="21"/>
  <c r="D21522" i="21"/>
  <c r="C21522" i="21"/>
  <c r="E21522" i="21"/>
  <c r="C21411" i="21"/>
  <c r="D21411" i="21"/>
  <c r="C21421" i="21"/>
  <c r="B21422" i="21" s="1"/>
  <c r="D21421" i="21"/>
  <c r="B21523" i="21" l="1"/>
  <c r="B21513" i="21"/>
  <c r="E21421" i="21"/>
  <c r="D21422" i="21"/>
  <c r="E21422" i="21"/>
  <c r="B21412" i="21"/>
  <c r="E21513" i="21" l="1"/>
  <c r="C21513" i="21"/>
  <c r="D21513" i="21"/>
  <c r="D21523" i="21"/>
  <c r="E21523" i="21"/>
  <c r="C21523" i="21"/>
  <c r="A21401" i="21"/>
  <c r="E21412" i="21"/>
  <c r="D21412" i="21"/>
  <c r="E21411" i="21"/>
  <c r="B21524" i="21" l="1"/>
  <c r="B21514" i="21"/>
  <c r="A21398" i="21"/>
  <c r="D21524" i="21" l="1"/>
  <c r="C21524" i="21"/>
  <c r="D21514" i="21"/>
  <c r="C21514" i="21"/>
  <c r="B21515" i="21" l="1"/>
  <c r="E21514" i="21" s="1"/>
  <c r="B21525" i="21"/>
  <c r="E21524" i="21" s="1"/>
  <c r="D21525" i="21" l="1"/>
  <c r="E21525" i="21"/>
  <c r="E21515" i="21"/>
  <c r="D21515" i="21"/>
  <c r="A21501" i="21" l="1"/>
  <c r="A21504" i="21"/>
  <c r="L10" i="13" l="1"/>
  <c r="N10" i="13"/>
  <c r="M10" i="13" l="1"/>
  <c r="T10" i="13" l="1"/>
  <c r="V10" i="13"/>
  <c r="W10" i="13" l="1"/>
  <c r="AA10" i="13" l="1"/>
  <c r="A4147" i="21" l="1"/>
  <c r="AB10" i="13"/>
  <c r="AD10" i="13" l="1"/>
  <c r="B4169" i="21"/>
  <c r="B4159" i="21"/>
  <c r="E4159" i="21" l="1"/>
  <c r="C4159" i="21"/>
  <c r="D4159" i="21"/>
  <c r="D4169" i="21"/>
  <c r="C4169" i="21"/>
  <c r="E4169" i="21"/>
  <c r="AF10" i="13"/>
  <c r="B4160" i="21" l="1"/>
  <c r="B4170" i="21"/>
  <c r="C4170" i="21" l="1"/>
  <c r="D4170" i="21"/>
  <c r="E4170" i="21"/>
  <c r="D4160" i="21"/>
  <c r="C4160" i="21"/>
  <c r="E4160" i="21"/>
  <c r="B4161" i="21" l="1"/>
  <c r="B4171" i="21"/>
  <c r="C4171" i="21" l="1"/>
  <c r="E4171" i="21"/>
  <c r="D4171" i="21"/>
  <c r="C4161" i="21"/>
  <c r="D4161" i="21"/>
  <c r="E4161" i="21"/>
  <c r="B4162" i="21" l="1"/>
  <c r="B4172" i="21"/>
  <c r="D4172" i="21" l="1"/>
  <c r="C4172" i="21"/>
  <c r="E4172" i="21"/>
  <c r="C4162" i="21"/>
  <c r="D4162" i="21"/>
  <c r="E4162" i="21"/>
  <c r="B4163" i="21" l="1"/>
  <c r="B4173" i="21"/>
  <c r="E4163" i="21" l="1"/>
  <c r="D4163" i="21"/>
  <c r="C4163" i="21"/>
  <c r="C4173" i="21"/>
  <c r="E4173" i="21"/>
  <c r="D4173" i="21"/>
  <c r="B4174" i="21" l="1"/>
  <c r="B4164" i="21"/>
  <c r="C4164" i="21" l="1"/>
  <c r="D4164" i="21"/>
  <c r="D4174" i="21"/>
  <c r="C4174" i="21"/>
  <c r="B4175" i="21" l="1"/>
  <c r="E4174" i="21" s="1"/>
  <c r="B4165" i="21"/>
  <c r="E4165" i="21" l="1"/>
  <c r="D4165" i="21"/>
  <c r="E4164" i="21"/>
  <c r="D4175" i="21"/>
  <c r="E4175" i="21"/>
  <c r="A4151" i="21" l="1"/>
  <c r="A4154" i="21"/>
</calcChain>
</file>

<file path=xl/sharedStrings.xml><?xml version="1.0" encoding="utf-8"?>
<sst xmlns="http://schemas.openxmlformats.org/spreadsheetml/2006/main" count="30196" uniqueCount="477">
  <si>
    <t>PT. Mitra Karya Sarana</t>
  </si>
  <si>
    <t>SLIP GAJI</t>
  </si>
  <si>
    <t>Nama / NIK</t>
  </si>
  <si>
    <t>:</t>
  </si>
  <si>
    <t>Wawan Munandar</t>
  </si>
  <si>
    <t>Perhari</t>
  </si>
  <si>
    <t>Dept</t>
  </si>
  <si>
    <t>Lembur/Jam</t>
  </si>
  <si>
    <t>Jabatan</t>
  </si>
  <si>
    <t>PENGHASILAN</t>
  </si>
  <si>
    <t>PENGURANGAN</t>
  </si>
  <si>
    <t>Gaji Pokok</t>
  </si>
  <si>
    <t>Absen</t>
  </si>
  <si>
    <t>PPh 21</t>
  </si>
  <si>
    <t>Lembur ( 2 )</t>
  </si>
  <si>
    <t>Lembur ( 3 )</t>
  </si>
  <si>
    <t>Lembur ( 4 )</t>
  </si>
  <si>
    <t>JUMLAH</t>
  </si>
  <si>
    <t>PENGHASILAN BERSIH</t>
  </si>
  <si>
    <t>PEMBULATAN</t>
  </si>
  <si>
    <t>Terbilang</t>
  </si>
  <si>
    <t>Harjono</t>
  </si>
  <si>
    <t>PT MITRA KARYA SARANA</t>
  </si>
  <si>
    <t>NO</t>
  </si>
  <si>
    <t>NAMA</t>
  </si>
  <si>
    <t>NPWP</t>
  </si>
  <si>
    <t>STS</t>
  </si>
  <si>
    <t>GAJI POKOK</t>
  </si>
  <si>
    <t>TUNJANGAN</t>
  </si>
  <si>
    <t>LEMBUR</t>
  </si>
  <si>
    <t>JKK</t>
  </si>
  <si>
    <t>JPK</t>
  </si>
  <si>
    <t>JKM</t>
  </si>
  <si>
    <t>PENGHASILAN BRUTO</t>
  </si>
  <si>
    <t>PPH 21 SEBULAN</t>
  </si>
  <si>
    <t>NET SALARY</t>
  </si>
  <si>
    <t>RoundUp</t>
  </si>
  <si>
    <t>0.3%</t>
  </si>
  <si>
    <t>Salary</t>
  </si>
  <si>
    <t>SAHAB</t>
  </si>
  <si>
    <t>TK</t>
  </si>
  <si>
    <t>WAWAN MUNANDAR</t>
  </si>
  <si>
    <t>HARJONO</t>
  </si>
  <si>
    <t>ABSEN</t>
  </si>
  <si>
    <t>Take Home Pay</t>
  </si>
  <si>
    <t>Deduct</t>
  </si>
  <si>
    <t>RAHMAT ARI SANDI NST</t>
  </si>
  <si>
    <t>Pinjaman</t>
  </si>
  <si>
    <t>Zero</t>
  </si>
  <si>
    <t>Nol</t>
  </si>
  <si>
    <t>One</t>
  </si>
  <si>
    <t>Satu</t>
  </si>
  <si>
    <t>Two</t>
  </si>
  <si>
    <t>Dua</t>
  </si>
  <si>
    <t>Three</t>
  </si>
  <si>
    <t>Tiga</t>
  </si>
  <si>
    <t>Four</t>
  </si>
  <si>
    <t>Empat</t>
  </si>
  <si>
    <t>Five</t>
  </si>
  <si>
    <t>Lima</t>
  </si>
  <si>
    <t>Six</t>
  </si>
  <si>
    <t>Enam</t>
  </si>
  <si>
    <t>Seven</t>
  </si>
  <si>
    <t>Tujuh</t>
  </si>
  <si>
    <t>Eight</t>
  </si>
  <si>
    <t>Delapan</t>
  </si>
  <si>
    <t>BAHASA ENGLISH</t>
  </si>
  <si>
    <t>Nine</t>
  </si>
  <si>
    <t>Sembilan</t>
  </si>
  <si>
    <t>ratusan juta</t>
  </si>
  <si>
    <t>Ten</t>
  </si>
  <si>
    <t>Sepuluh</t>
  </si>
  <si>
    <t>puluhan juta</t>
  </si>
  <si>
    <t>Eleven</t>
  </si>
  <si>
    <t>Sebelas</t>
  </si>
  <si>
    <t>ratusan ribu</t>
  </si>
  <si>
    <t>Twelve</t>
  </si>
  <si>
    <t>ribuan</t>
  </si>
  <si>
    <t>Thirteen</t>
  </si>
  <si>
    <t>ratusan</t>
  </si>
  <si>
    <t>Fourteen</t>
  </si>
  <si>
    <t>puluhan</t>
  </si>
  <si>
    <t>Fifteen</t>
  </si>
  <si>
    <t>cents</t>
  </si>
  <si>
    <t>Sixteen</t>
  </si>
  <si>
    <t>Seventeen</t>
  </si>
  <si>
    <t>Eightteen</t>
  </si>
  <si>
    <t>BAHASA INDONSIA</t>
  </si>
  <si>
    <t>Nineteen</t>
  </si>
  <si>
    <t>Twenty</t>
  </si>
  <si>
    <t>Dua Puluh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</si>
  <si>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</si>
  <si>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</si>
  <si>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</si>
  <si>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</si>
  <si>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</si>
  <si>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</si>
  <si>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</si>
  <si>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</si>
  <si>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</si>
  <si>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</si>
  <si>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Tiga Puluh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</si>
  <si>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</si>
  <si>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</si>
  <si>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</si>
  <si>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</si>
  <si>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</si>
  <si>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</si>
  <si>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</si>
  <si>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</si>
  <si>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</si>
  <si>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</si>
  <si>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Empat Puluh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</si>
  <si>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</si>
  <si>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</si>
  <si>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</si>
  <si>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</si>
  <si>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</si>
  <si>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</si>
  <si>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</si>
  <si>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</si>
  <si>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</si>
  <si>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</si>
  <si>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Lima Puluh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</si>
  <si>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</si>
  <si>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</si>
  <si>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</si>
  <si>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</si>
  <si>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</si>
  <si>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</si>
  <si>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</si>
  <si>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</si>
  <si>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</si>
  <si>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</si>
  <si>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Enam Puluh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</si>
  <si>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</si>
  <si>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</si>
  <si>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</si>
  <si>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</si>
  <si>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</si>
  <si>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</si>
  <si>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</si>
  <si>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</si>
  <si>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</si>
  <si>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</si>
  <si>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Tujuh Puluh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</si>
  <si>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</si>
  <si>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</si>
  <si>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</si>
  <si>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</si>
  <si>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</si>
  <si>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</si>
  <si>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</si>
  <si>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</si>
  <si>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</si>
  <si>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</si>
  <si>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Delapan Puluh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</si>
  <si>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</si>
  <si>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</si>
  <si>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</si>
  <si>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</si>
  <si>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</si>
  <si>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</si>
  <si>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</si>
  <si>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</si>
  <si>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</si>
  <si>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</si>
  <si>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Sembilan Puluh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</si>
  <si>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</si>
  <si>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</si>
  <si>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</si>
  <si>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</si>
  <si>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</si>
  <si>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</si>
  <si>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</si>
  <si>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</si>
  <si>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</si>
  <si>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WAWAN</t>
  </si>
  <si>
    <t>RAHMAT</t>
  </si>
  <si>
    <t>Supervisor</t>
  </si>
  <si>
    <t>Lembur ( 1.5 )</t>
  </si>
  <si>
    <t>AFRIANDI</t>
  </si>
  <si>
    <t>HRD</t>
  </si>
  <si>
    <t>Production</t>
  </si>
  <si>
    <t>MKS 0021</t>
  </si>
  <si>
    <t>MKS 0013</t>
  </si>
  <si>
    <t>MKS 0020</t>
  </si>
  <si>
    <t>HERLIANA</t>
  </si>
  <si>
    <t>ERWIN</t>
  </si>
  <si>
    <t>K1</t>
  </si>
  <si>
    <t>K2</t>
  </si>
  <si>
    <t>K0</t>
  </si>
  <si>
    <t>Milling Operator</t>
  </si>
  <si>
    <t>sofyan</t>
  </si>
  <si>
    <t>K3</t>
  </si>
  <si>
    <t>4%</t>
  </si>
  <si>
    <t>SUMANTO</t>
  </si>
  <si>
    <t>SUKRI</t>
  </si>
  <si>
    <t>WAWAN TRIAGUS</t>
  </si>
  <si>
    <t>NICHOLAS</t>
  </si>
  <si>
    <t>72.832.315.5-215.000</t>
  </si>
  <si>
    <t>JHT+JP (2%+1%)</t>
  </si>
  <si>
    <t>JHT+JP</t>
  </si>
  <si>
    <t>5.7%</t>
  </si>
  <si>
    <t>3%</t>
  </si>
  <si>
    <t>1%</t>
  </si>
  <si>
    <t>BPJS KESEHATAN 1%</t>
  </si>
  <si>
    <t>MASA KERJA</t>
  </si>
  <si>
    <t>FREDI</t>
  </si>
  <si>
    <t>DIDI ISMANTO</t>
  </si>
  <si>
    <t>T.Tetap</t>
  </si>
  <si>
    <t>Absent</t>
  </si>
  <si>
    <t>Hari</t>
  </si>
  <si>
    <t>Jam</t>
  </si>
  <si>
    <t>Leader</t>
  </si>
  <si>
    <t>SUTRISNO</t>
  </si>
  <si>
    <t>SUPARYO</t>
  </si>
  <si>
    <t>ARIFUDDIN</t>
  </si>
  <si>
    <t>RANDI</t>
  </si>
  <si>
    <t>MOSES</t>
  </si>
  <si>
    <t>DANI</t>
  </si>
  <si>
    <t>WIRYO</t>
  </si>
  <si>
    <t>ARMAN</t>
  </si>
  <si>
    <t>ADI GUNAWAN</t>
  </si>
  <si>
    <t>wiryo putra</t>
  </si>
  <si>
    <t>SUSANTO</t>
  </si>
  <si>
    <t>RANTO</t>
  </si>
  <si>
    <t>AHMAD ZAENURI</t>
  </si>
  <si>
    <t>M. SADRI</t>
  </si>
  <si>
    <t>WAHYUDHI Z</t>
  </si>
  <si>
    <t>HAMDANI</t>
  </si>
  <si>
    <t>MAHFUD</t>
  </si>
  <si>
    <t>willyam</t>
  </si>
  <si>
    <t>nurhidayani</t>
  </si>
  <si>
    <t>IBNU</t>
  </si>
  <si>
    <t>RONALD</t>
  </si>
  <si>
    <t>MULYANA</t>
  </si>
  <si>
    <t>DARMANTO</t>
  </si>
  <si>
    <t>ACHMAD ZAENURI</t>
  </si>
  <si>
    <t>ANGGA</t>
  </si>
  <si>
    <t>SADRI</t>
  </si>
  <si>
    <t>ARDI</t>
  </si>
  <si>
    <t>ERWIN SEPTIAWAN</t>
  </si>
  <si>
    <t>SUDIRMAN</t>
  </si>
  <si>
    <t>ARBIANSYAH</t>
  </si>
  <si>
    <t>YOGI</t>
  </si>
  <si>
    <t>MARADA</t>
  </si>
  <si>
    <t>KHAIRUL UMAM</t>
  </si>
  <si>
    <t>HANHAN</t>
  </si>
  <si>
    <t>GITA KK PUJANGGA</t>
  </si>
  <si>
    <t>CATUR AJI NUGROHO</t>
  </si>
  <si>
    <t>FRANKY</t>
  </si>
  <si>
    <t>ERZA</t>
  </si>
  <si>
    <t>LENON</t>
  </si>
  <si>
    <t>PUTRA UMBARA</t>
  </si>
  <si>
    <t>Rahmat Ari Sandi NST</t>
  </si>
  <si>
    <t>95.453.012.7-225.000</t>
  </si>
  <si>
    <t>95.561.712.1-225.000</t>
  </si>
  <si>
    <t>Prepared By,</t>
  </si>
  <si>
    <t>Insentive+ 2nd Shift</t>
  </si>
  <si>
    <t>DEWATA</t>
  </si>
  <si>
    <t>ASEP</t>
  </si>
  <si>
    <t>TURHAMUN</t>
  </si>
  <si>
    <t>IQBAL AWALUDDIN</t>
  </si>
  <si>
    <t>DIMAS</t>
  </si>
  <si>
    <t>SUTIATIK</t>
  </si>
  <si>
    <t>FAJAR YULIANTO</t>
  </si>
  <si>
    <t>RAKANDRA PANNI PRASETYA</t>
  </si>
  <si>
    <t>OCKY JULIASMIN</t>
  </si>
  <si>
    <t>MUHAMMAD ANDI RIVAI</t>
  </si>
  <si>
    <t>DENY AGUS PURNOMO</t>
  </si>
  <si>
    <t>SUPRIYONO</t>
  </si>
  <si>
    <t>CHRISTIAN</t>
  </si>
  <si>
    <t>AHMAD REYNALDI</t>
  </si>
  <si>
    <t>DAVID</t>
  </si>
  <si>
    <t>DARWANTO</t>
  </si>
  <si>
    <t>MIRSA</t>
  </si>
  <si>
    <t>IBRAHIM PUTRA</t>
  </si>
  <si>
    <t>MUKHTAR</t>
  </si>
  <si>
    <t>LIKO</t>
  </si>
  <si>
    <t>YAHYA</t>
  </si>
  <si>
    <t>TAUFIK HIDAYATULLAH</t>
  </si>
  <si>
    <t>RUSDIANTO</t>
  </si>
  <si>
    <t>RIYANTO</t>
  </si>
  <si>
    <t>REZKI ROSADI</t>
  </si>
  <si>
    <t>RANGGA NOVIAN JAYA</t>
  </si>
  <si>
    <t>KEVIN DANIEL</t>
  </si>
  <si>
    <t>JONH KESY SIANTURI</t>
  </si>
  <si>
    <t>KHUTBAYKI IMAM FAJRI</t>
  </si>
  <si>
    <t>IKHSAN NASIR SAPUTRA</t>
  </si>
  <si>
    <t>RIZKI AZMI</t>
  </si>
  <si>
    <t>JULPAN</t>
  </si>
  <si>
    <t>SALMA PUTRI EFFENDI</t>
  </si>
  <si>
    <t>SATRIYA</t>
  </si>
  <si>
    <t>M. LUTHFI HAMDANI</t>
  </si>
  <si>
    <t>JOHN KENNEDY BAKARA</t>
  </si>
  <si>
    <t>ILHAM</t>
  </si>
  <si>
    <t>YOGA</t>
  </si>
  <si>
    <t>Tanggal</t>
  </si>
  <si>
    <t>Jam Masuk</t>
  </si>
  <si>
    <t>Jam Pulang</t>
  </si>
  <si>
    <t>Total</t>
  </si>
  <si>
    <t>TARJAN</t>
  </si>
  <si>
    <t>IMRAN</t>
  </si>
  <si>
    <t>IDHAM</t>
  </si>
  <si>
    <t>INDRA JONATHAN</t>
  </si>
  <si>
    <t>FELIX</t>
  </si>
  <si>
    <t>DANA MARLIANSYAH</t>
  </si>
  <si>
    <t>BAGUS NASRULLAH</t>
  </si>
  <si>
    <t>FAUZAN SYAHPUTRA</t>
  </si>
  <si>
    <t>HERIANTO JUSTINUS</t>
  </si>
  <si>
    <t>TOTOK</t>
  </si>
  <si>
    <t>ROGANDA BERASA</t>
  </si>
  <si>
    <t>Status</t>
  </si>
  <si>
    <t>Kategori</t>
  </si>
  <si>
    <t>PTKP</t>
  </si>
  <si>
    <t>Bulanan</t>
  </si>
  <si>
    <t>Jenis TER</t>
  </si>
  <si>
    <t>Penghasilan Bruto</t>
  </si>
  <si>
    <t>TER</t>
  </si>
  <si>
    <t>A</t>
  </si>
  <si>
    <t>s.d</t>
  </si>
  <si>
    <t>TK1</t>
  </si>
  <si>
    <t>TK2</t>
  </si>
  <si>
    <t>B</t>
  </si>
  <si>
    <t>TK3</t>
  </si>
  <si>
    <t>C</t>
  </si>
  <si>
    <t>KATEGORI</t>
  </si>
  <si>
    <t>TARIF</t>
  </si>
  <si>
    <t>PAJAK</t>
  </si>
  <si>
    <t>THR</t>
  </si>
  <si>
    <t>NIK</t>
  </si>
  <si>
    <t>ALAMAT</t>
  </si>
  <si>
    <t>JABATAN</t>
  </si>
  <si>
    <t>Batam</t>
  </si>
  <si>
    <t>ISWANTO</t>
  </si>
  <si>
    <t>RAFIL</t>
  </si>
  <si>
    <t>BOBBY</t>
  </si>
  <si>
    <t>HERY KARIADI</t>
  </si>
  <si>
    <t>DOLI FERNANDO</t>
  </si>
  <si>
    <t>ADHI RAHMADIKA</t>
  </si>
  <si>
    <t>ZULKIFLI</t>
  </si>
  <si>
    <t>DEDI ARIFIANDI</t>
  </si>
  <si>
    <t>NURUL</t>
  </si>
  <si>
    <t>RINGKO</t>
  </si>
  <si>
    <t>DELKA</t>
  </si>
  <si>
    <t>MUSTOFA</t>
  </si>
  <si>
    <t>ROBERTO</t>
  </si>
  <si>
    <t>ANDREAS</t>
  </si>
  <si>
    <t>EKO</t>
  </si>
  <si>
    <t>FIANA</t>
  </si>
  <si>
    <t>ANDIKA</t>
  </si>
  <si>
    <t>M. ARDIANSYAH</t>
  </si>
  <si>
    <t>DEDDY SITUMORANG</t>
  </si>
  <si>
    <t>RAHMAT IDAYAH</t>
  </si>
  <si>
    <t>MADIAN</t>
  </si>
  <si>
    <t>SANDRO BAKTI ARITONANG</t>
  </si>
  <si>
    <t>EMILIANUS RIA</t>
  </si>
  <si>
    <t>MUHAMMAD EKA</t>
  </si>
  <si>
    <t>ROBI HARDI LUBIS</t>
  </si>
  <si>
    <t>FIKRI WAHYU IRAWAN</t>
  </si>
  <si>
    <t>SYAFRIANTO</t>
  </si>
  <si>
    <t>WILLIAM</t>
  </si>
  <si>
    <t>RUSLAN</t>
  </si>
  <si>
    <t>HUSNIL FUADI</t>
  </si>
  <si>
    <t>ANGGI PERMANA</t>
  </si>
  <si>
    <t>FERI MULYADI</t>
  </si>
  <si>
    <t>RIAN NUGRAHA</t>
  </si>
  <si>
    <t>TRI PURNAMA</t>
  </si>
  <si>
    <t>RANDI APRIZAL</t>
  </si>
  <si>
    <t>BIO SAPUTRA SIMBOLON</t>
  </si>
  <si>
    <t>ALFIS</t>
  </si>
  <si>
    <t>ZAKARIA</t>
  </si>
  <si>
    <t>KIKI</t>
  </si>
  <si>
    <t>SAMUEL</t>
  </si>
  <si>
    <t>SUSY</t>
  </si>
  <si>
    <t>RISKI</t>
  </si>
  <si>
    <t>RISKA</t>
  </si>
  <si>
    <t>2171101011769010</t>
  </si>
  <si>
    <t>2171101004849010</t>
  </si>
  <si>
    <t>2171122002829006</t>
  </si>
  <si>
    <t>EDI GUNAWAN</t>
  </si>
  <si>
    <t>RAJA EKA</t>
  </si>
  <si>
    <t>ANDRA</t>
  </si>
  <si>
    <t>IBNU NAJA</t>
  </si>
  <si>
    <t>JONNI S</t>
  </si>
  <si>
    <t>MAFTUHIN</t>
  </si>
  <si>
    <t>SHABRINA</t>
  </si>
  <si>
    <t>WEDRA DEFRIYAL</t>
  </si>
  <si>
    <t>REYNALD KURNIA ABADI</t>
  </si>
  <si>
    <t>AHMAD YANI</t>
  </si>
  <si>
    <t>HANIF NAZHIF ALWAN</t>
  </si>
  <si>
    <t>EKO WAHYUDI</t>
  </si>
  <si>
    <t>PRASETYO DWI ISWAHYUDI</t>
  </si>
  <si>
    <t>RIZAL RAMADHAN</t>
  </si>
  <si>
    <t>RHANDY FAUZI</t>
  </si>
  <si>
    <t>DILTA HERDINIATA WIDODO</t>
  </si>
  <si>
    <t>TIKTIK</t>
  </si>
  <si>
    <t>FIRMANSYAH TRIADI</t>
  </si>
  <si>
    <t>MUHAMAD RIFANI</t>
  </si>
  <si>
    <t>ADE ADRIYANTO</t>
  </si>
  <si>
    <t>AFFIFAH</t>
  </si>
  <si>
    <t>RAFIQ AMIN</t>
  </si>
  <si>
    <t>CLARA DWI PUSPITA</t>
  </si>
  <si>
    <t>M. ARIANTO</t>
  </si>
  <si>
    <t>RIO SAPUTRA</t>
  </si>
  <si>
    <t>T. Transport</t>
  </si>
  <si>
    <t>PERDI AGUSTINO</t>
  </si>
  <si>
    <t>ARI KARIZA HENNIA</t>
  </si>
  <si>
    <t>M. ALI</t>
  </si>
  <si>
    <t>RAHADI USMAN</t>
  </si>
  <si>
    <t>FADLI ZAMDI</t>
  </si>
  <si>
    <t>IBNU ROMADHON</t>
  </si>
  <si>
    <t>Lembur</t>
  </si>
  <si>
    <t>YESAYA HAAN</t>
  </si>
  <si>
    <t>SAWITRI</t>
  </si>
  <si>
    <t>Laporan Detail Harian</t>
  </si>
  <si>
    <t>No. ID</t>
  </si>
  <si>
    <t>Nama</t>
  </si>
  <si>
    <t>Scan Masuk</t>
  </si>
  <si>
    <t>Scan Keluar</t>
  </si>
  <si>
    <t>Terlambat</t>
  </si>
  <si>
    <t>Plg Cpt</t>
  </si>
  <si>
    <t>Jam Kerja</t>
  </si>
  <si>
    <t>Jml Hadir</t>
  </si>
  <si>
    <t>X1,5</t>
  </si>
  <si>
    <t>X2</t>
  </si>
  <si>
    <t>X3</t>
  </si>
  <si>
    <t>X4</t>
  </si>
  <si>
    <t>Oleh:</t>
  </si>
  <si>
    <t>25/04/2014</t>
  </si>
  <si>
    <t>RAHMAT ARI SANDI N</t>
  </si>
  <si>
    <t>x4</t>
  </si>
  <si>
    <t>MHD.EDY SOFYAN</t>
  </si>
  <si>
    <t>x1,5</t>
  </si>
  <si>
    <t>x2</t>
  </si>
  <si>
    <t>HAMDAN</t>
  </si>
  <si>
    <t>REYHAN PUTRA YUDIKA</t>
  </si>
  <si>
    <t>BAYU</t>
  </si>
  <si>
    <t>FEBI</t>
  </si>
  <si>
    <t>HERI SUMEDI</t>
  </si>
  <si>
    <t>AGUNG ROMADHON</t>
  </si>
  <si>
    <t>MULIA BAROKAH</t>
  </si>
  <si>
    <t>T. Kehadiran</t>
  </si>
  <si>
    <t>MIKO MAHENDRA</t>
  </si>
  <si>
    <t>TAUFIK HIDAYAT</t>
  </si>
  <si>
    <t>HIDAYAT</t>
  </si>
  <si>
    <t>NOFRI ENDI</t>
  </si>
  <si>
    <t>M. TEGUH</t>
  </si>
  <si>
    <t>ABDUL LATIF</t>
  </si>
  <si>
    <t>HARST</t>
  </si>
  <si>
    <t>HERI MUSTOFA</t>
  </si>
  <si>
    <t>DIKI PRAMANA</t>
  </si>
  <si>
    <t>FEGGIE VIOLENCY TARIGAN</t>
  </si>
  <si>
    <t>HENDI</t>
  </si>
  <si>
    <t>Taiwan International Park Blok B No. 117</t>
  </si>
  <si>
    <t>Kabil, Nongsa - Batam Island</t>
  </si>
  <si>
    <t>RIZKIE</t>
  </si>
  <si>
    <t>M. NASYARUDDIN LATIF</t>
  </si>
  <si>
    <t>SARUL LUKAS SIMAMORA</t>
  </si>
  <si>
    <t>GAMBANG JIWO JATY PAMUNGKAS</t>
  </si>
  <si>
    <t>ARDIYANSYAH AKBAR</t>
  </si>
  <si>
    <t>M. TAUFIQ HIDAYAT NASUTION</t>
  </si>
  <si>
    <t>TRISNA ADITYA MULYA SYAKBANI</t>
  </si>
  <si>
    <t>ANJON SURIADI</t>
  </si>
  <si>
    <t>YULIANA</t>
  </si>
  <si>
    <t>KIKI SURIADARMA</t>
  </si>
  <si>
    <t>MC</t>
  </si>
  <si>
    <t>WENDY</t>
  </si>
  <si>
    <t>Periode :  Juli 2026</t>
  </si>
  <si>
    <t>Batam, 5 Agustus 2026</t>
  </si>
  <si>
    <t>ABDUL HAMID</t>
  </si>
  <si>
    <t>RINA HIDAYATI</t>
  </si>
  <si>
    <t>MUHAMMAD EKA SYAFHAN</t>
  </si>
  <si>
    <t>MUHAMMAD SYAHYONO</t>
  </si>
  <si>
    <t>Email</t>
  </si>
  <si>
    <t>herliana_81@yahoo.co.id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</si>
</sst>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[$Rp-421]* #,##0.00_);_([$Rp-421]* \(#,##0.00\);_([$Rp-421]* &quot;-&quot;??_);_(@_)"/>
    <numFmt numFmtId="166" formatCode="_(* #,##0_);_(* \(#,##0\);_(* &quot;-&quot;??_);_(@_)"/>
    <numFmt numFmtId="167" formatCode="_ * #,##0.00_ ;_ * \-#,##0.00_ ;_ * &quot;-&quot;??_ ;_ @_ "/>
    <numFmt numFmtId="168" formatCode="_ * #,##0.00000_ ;_ * \-#,##0.00000_ ;_ * &quot;-&quot;??_ ;_ @_ "/>
    <numFmt numFmtId="169" formatCode="_ * #,##0_ ;_ * \-#,##0_ ;_ * &quot;-&quot;??_ ;_ @_ "/>
    <numFmt numFmtId="170" formatCode="0.0"/>
    <numFmt numFmtId="171" formatCode="_([$Rp-421]* #,##0_);_([$Rp-421]* \(#,##0\);_([$Rp-421]* &quot;-&quot;_);_(@_)"/>
    <numFmt numFmtId="172" formatCode="#,##0\ ;&quot; (&quot;#,##0\);&quot; -&quot;#\ ;@\ "/>
    <numFmt numFmtId="173" formatCode="0&quot;.&quot;"/>
    <numFmt numFmtId="174" formatCode="&quot;Rp&quot;#,##0.00_-;[Red]&quot;Rp&quot;#,##0.00\-"/>
    <numFmt numFmtId="175" formatCode="_ * #,##0.00_ ;_ * \-#,##0.00_ ;_ * \-??_ ;_ @_ "/>
    <numFmt numFmtId="176" formatCode="_ * #,##0_ ;_ * \-#,##0_ ;_ * \-_ ;_ @_ "/>
    <numFmt numFmtId="177" formatCode="\£#,##0.00;[Red]&quot;-£&quot;#,##0.00"/>
    <numFmt numFmtId="178" formatCode="\£#,##0.00;&quot;-£&quot;#,##0.00"/>
    <numFmt numFmtId="179" formatCode="[$-421]dd\ mmmm\ yyyy;@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u/>
      <sz val="9"/>
      <color indexed="8"/>
      <name val="Calibri"/>
      <family val="2"/>
    </font>
    <font>
      <u/>
      <sz val="9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9"/>
      <name val="Calibri"/>
      <family val="2"/>
    </font>
    <font>
      <u val="singleAccounting"/>
      <sz val="9"/>
      <name val="Calibri"/>
      <family val="2"/>
    </font>
    <font>
      <b/>
      <sz val="9"/>
      <name val="Calibri"/>
      <family val="2"/>
    </font>
    <font>
      <sz val="12"/>
      <name val="Helv"/>
      <family val="2"/>
    </font>
    <font>
      <sz val="10"/>
      <name val="Arial"/>
      <family val="2"/>
    </font>
    <font>
      <sz val="12"/>
      <color indexed="12"/>
      <name val="Helv"/>
      <family val="2"/>
    </font>
    <font>
      <sz val="11"/>
      <color indexed="8"/>
      <name val="Calibri"/>
      <family val="2"/>
    </font>
    <font>
      <sz val="12"/>
      <name val="Calibri"/>
      <family val="2"/>
    </font>
    <font>
      <sz val="12"/>
      <color indexed="12"/>
      <name val="Calibri"/>
      <family val="2"/>
    </font>
    <font>
      <sz val="9"/>
      <name val="NSimSun"/>
      <family val="3"/>
      <charset val="134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9"/>
      <color rgb="FFFF0000"/>
      <name val="Calibri"/>
      <family val="2"/>
    </font>
    <font>
      <b/>
      <sz val="9"/>
      <color rgb="FF000000"/>
      <name val="ºÚÌå"/>
      <charset val="1"/>
    </font>
    <font>
      <sz val="9"/>
      <color rgb="FF000000"/>
      <name val="ºÚÌå"/>
      <charset val="1"/>
    </font>
    <font>
      <b/>
      <sz val="9"/>
      <name val="Century Gothic"/>
      <family val="2"/>
    </font>
    <font>
      <sz val="7"/>
      <name val="Calibri"/>
      <family val="2"/>
    </font>
    <font>
      <sz val="7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rgb="FF000000"/>
      <name val="ºÚÌå"/>
    </font>
    <font>
      <sz val="8"/>
      <color theme="1"/>
      <name val="Century Gothic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Century Gothic"/>
      <family val="2"/>
    </font>
    <font>
      <sz val="9"/>
      <name val="ºÚÌå"/>
      <family val="2"/>
    </font>
    <font>
      <b/>
      <sz val="18"/>
      <color rgb="FF000000"/>
      <name val="ºÚÌå"/>
      <family val="2"/>
    </font>
    <font>
      <b/>
      <sz val="18"/>
      <color rgb="FF000000"/>
      <name val="ºÚÌå"/>
    </font>
    <font>
      <b/>
      <sz val="9"/>
      <color rgb="FF000000"/>
      <name val="ºÚÌå"/>
      <family val="2"/>
    </font>
    <font>
      <b/>
      <sz val="9"/>
      <color rgb="FF000000"/>
      <name val="ºÚÌå"/>
    </font>
    <font>
      <sz val="9"/>
      <color rgb="FF000000"/>
      <name val="ºÚÌå"/>
      <family val="2"/>
    </font>
    <font>
      <b/>
      <sz val="8"/>
      <color rgb="FF000000"/>
      <name val="ºÚÌå"/>
      <family val="2"/>
    </font>
    <font>
      <b/>
      <sz val="8"/>
      <color rgb="FF000000"/>
      <name val="ºÚÌå"/>
    </font>
    <font>
      <sz val="9"/>
      <color rgb="FF000000"/>
      <name val="ËÎÌå"/>
      <family val="2"/>
    </font>
    <font>
      <sz val="9"/>
      <color rgb="FF000000"/>
      <name val="ËÎÌå"/>
    </font>
    <font>
      <sz val="11"/>
      <name val="Calibri"/>
      <family val="2"/>
      <scheme val="minor"/>
    </font>
    <font>
      <sz val="9"/>
      <name val="ºÚÌå"/>
    </font>
    <font>
      <sz val="9"/>
      <name val="Calibri"/>
      <family val="2"/>
      <scheme val="minor"/>
    </font>
    <font>
      <b/>
      <sz val="9"/>
      <name val="ºÚÌå"/>
      <family val="2"/>
    </font>
    <font>
      <sz val="9"/>
      <name val="ËÎÌå"/>
      <family val="2"/>
    </font>
    <font>
      <sz val="9"/>
      <name val="Century Gothic"/>
      <family val="2"/>
    </font>
    <font>
      <sz val="10"/>
      <name val="Calibri"/>
      <family val="2"/>
      <scheme val="minor"/>
    </font>
    <font>
      <sz val="9"/>
      <color rgb="FFFF0000"/>
      <name val="ºÚÌå"/>
      <family val="2"/>
    </font>
    <font>
      <u/>
      <sz val="11"/>
      <color theme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79">
    <xf numFmtId="0" fontId="0" fillId="0" borderId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0" fillId="0" borderId="0"/>
    <xf numFmtId="0" fontId="10" fillId="0" borderId="0"/>
    <xf numFmtId="0" fontId="21" fillId="0" borderId="0"/>
    <xf numFmtId="0" fontId="14" fillId="0" borderId="0"/>
    <xf numFmtId="0" fontId="2" fillId="0" borderId="0"/>
    <xf numFmtId="0" fontId="21" fillId="0" borderId="0"/>
    <xf numFmtId="0" fontId="25" fillId="4" borderId="0">
      <alignment horizontal="center" vertical="center"/>
    </xf>
    <xf numFmtId="0" fontId="26" fillId="4" borderId="0">
      <alignment horizontal="center" vertical="center"/>
    </xf>
    <xf numFmtId="9" fontId="2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5" fillId="7" borderId="0" applyNumberFormat="0" applyBorder="0" applyAlignment="0" applyProtection="0"/>
    <xf numFmtId="0" fontId="36" fillId="24" borderId="25" applyNumberFormat="0" applyAlignment="0" applyProtection="0"/>
    <xf numFmtId="0" fontId="37" fillId="25" borderId="26" applyNumberFormat="0" applyAlignment="0" applyProtection="0"/>
    <xf numFmtId="41" fontId="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" fillId="0" borderId="0"/>
    <xf numFmtId="0" fontId="39" fillId="0" borderId="0" applyNumberFormat="0" applyFill="0" applyBorder="0" applyAlignment="0" applyProtection="0"/>
    <xf numFmtId="0" fontId="40" fillId="8" borderId="0" applyNumberFormat="0" applyBorder="0" applyAlignment="0" applyProtection="0"/>
    <xf numFmtId="0" fontId="41" fillId="26" borderId="0" applyNumberFormat="0" applyBorder="0" applyAlignment="0" applyProtection="0"/>
    <xf numFmtId="0" fontId="42" fillId="0" borderId="27" applyNumberFormat="0" applyFill="0" applyAlignment="0" applyProtection="0"/>
    <xf numFmtId="0" fontId="43" fillId="0" borderId="28" applyNumberFormat="0" applyFill="0" applyAlignment="0" applyProtection="0"/>
    <xf numFmtId="0" fontId="44" fillId="0" borderId="29" applyNumberFormat="0" applyFill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1" fillId="27" borderId="0" applyNumberFormat="0" applyBorder="0" applyAlignment="0" applyProtection="0"/>
    <xf numFmtId="0" fontId="46" fillId="11" borderId="25" applyNumberFormat="0" applyAlignment="0" applyProtection="0"/>
    <xf numFmtId="0" fontId="47" fillId="0" borderId="30" applyNumberFormat="0" applyFill="0" applyAlignment="0" applyProtection="0"/>
    <xf numFmtId="0" fontId="48" fillId="28" borderId="0" applyNumberFormat="0" applyBorder="0" applyAlignment="0" applyProtection="0"/>
    <xf numFmtId="174" fontId="10" fillId="0" borderId="0"/>
    <xf numFmtId="0" fontId="10" fillId="0" borderId="0"/>
    <xf numFmtId="0" fontId="10" fillId="0" borderId="0"/>
    <xf numFmtId="0" fontId="3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8" fillId="0" borderId="0"/>
    <xf numFmtId="0" fontId="38" fillId="29" borderId="31" applyNumberFormat="0" applyFont="0" applyAlignment="0" applyProtection="0"/>
    <xf numFmtId="0" fontId="38" fillId="29" borderId="31" applyNumberFormat="0" applyFont="0" applyAlignment="0" applyProtection="0"/>
    <xf numFmtId="0" fontId="49" fillId="24" borderId="32" applyNumberFormat="0" applyAlignment="0" applyProtection="0"/>
    <xf numFmtId="10" fontId="30" fillId="0" borderId="0" applyFill="0" applyBorder="0" applyAlignment="0" applyProtection="0"/>
    <xf numFmtId="9" fontId="21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33" applyNumberFormat="0" applyFill="0" applyAlignment="0" applyProtection="0"/>
    <xf numFmtId="0" fontId="52" fillId="0" borderId="0" applyNumberFormat="0" applyFill="0" applyBorder="0" applyAlignment="0" applyProtection="0"/>
    <xf numFmtId="175" fontId="30" fillId="0" borderId="0" applyFill="0" applyBorder="0" applyAlignment="0" applyProtection="0"/>
    <xf numFmtId="176" fontId="30" fillId="0" borderId="0" applyFill="0" applyBorder="0" applyAlignment="0" applyProtection="0"/>
    <xf numFmtId="0" fontId="10" fillId="0" borderId="0"/>
    <xf numFmtId="177" fontId="30" fillId="0" borderId="0" applyFill="0" applyBorder="0" applyAlignment="0" applyProtection="0"/>
    <xf numFmtId="178" fontId="30" fillId="0" borderId="0" applyFill="0" applyBorder="0" applyAlignment="0" applyProtection="0"/>
    <xf numFmtId="0" fontId="53" fillId="4" borderId="0">
      <alignment horizontal="center"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59" fillId="4" borderId="0">
      <alignment horizontal="center" vertical="center"/>
    </xf>
    <xf numFmtId="0" fontId="59" fillId="4" borderId="0">
      <alignment horizontal="center" vertical="center"/>
    </xf>
    <xf numFmtId="0" fontId="60" fillId="4" borderId="0">
      <alignment horizontal="center" vertical="center"/>
    </xf>
    <xf numFmtId="0" fontId="61" fillId="4" borderId="0">
      <alignment horizontal="left" vertical="center"/>
    </xf>
    <xf numFmtId="0" fontId="61" fillId="4" borderId="0">
      <alignment horizontal="left" vertical="center"/>
    </xf>
    <xf numFmtId="0" fontId="62" fillId="4" borderId="0">
      <alignment horizontal="left" vertical="center"/>
    </xf>
    <xf numFmtId="0" fontId="63" fillId="4" borderId="0">
      <alignment horizontal="left" vertical="center"/>
    </xf>
    <xf numFmtId="0" fontId="63" fillId="4" borderId="0">
      <alignment horizontal="left" vertical="center"/>
    </xf>
    <xf numFmtId="0" fontId="53" fillId="4" borderId="0">
      <alignment horizontal="left" vertical="center"/>
    </xf>
    <xf numFmtId="0" fontId="61" fillId="4" borderId="0">
      <alignment horizontal="center" vertical="center"/>
    </xf>
    <xf numFmtId="0" fontId="61" fillId="4" borderId="0">
      <alignment horizontal="center" vertical="center"/>
    </xf>
    <xf numFmtId="0" fontId="62" fillId="4" borderId="0">
      <alignment horizontal="center" vertical="center"/>
    </xf>
    <xf numFmtId="0" fontId="64" fillId="4" borderId="0">
      <alignment horizontal="center" vertical="center"/>
    </xf>
    <xf numFmtId="0" fontId="64" fillId="4" borderId="0">
      <alignment horizontal="center" vertical="center"/>
    </xf>
    <xf numFmtId="0" fontId="65" fillId="4" borderId="0">
      <alignment horizontal="center" vertical="center"/>
    </xf>
    <xf numFmtId="0" fontId="63" fillId="4" borderId="0">
      <alignment horizontal="center" vertical="center"/>
    </xf>
    <xf numFmtId="0" fontId="63" fillId="4" borderId="0">
      <alignment horizontal="center" vertical="center"/>
    </xf>
    <xf numFmtId="0" fontId="53" fillId="4" borderId="0">
      <alignment horizontal="center" vertical="center"/>
    </xf>
    <xf numFmtId="0" fontId="66" fillId="4" borderId="0">
      <alignment horizontal="center" vertical="top"/>
    </xf>
    <xf numFmtId="0" fontId="66" fillId="4" borderId="0">
      <alignment horizontal="center" vertical="top"/>
    </xf>
    <xf numFmtId="0" fontId="67" fillId="4" borderId="0">
      <alignment horizontal="center" vertical="top"/>
    </xf>
    <xf numFmtId="0" fontId="63" fillId="4" borderId="0">
      <alignment horizontal="center" vertical="center"/>
    </xf>
    <xf numFmtId="0" fontId="63" fillId="4" borderId="0">
      <alignment horizontal="center" vertical="center"/>
    </xf>
    <xf numFmtId="0" fontId="53" fillId="4" borderId="0">
      <alignment horizontal="center" vertical="center"/>
    </xf>
    <xf numFmtId="0" fontId="66" fillId="4" borderId="0">
      <alignment horizontal="left" vertical="top"/>
    </xf>
    <xf numFmtId="0" fontId="66" fillId="4" borderId="0">
      <alignment horizontal="left" vertical="top"/>
    </xf>
    <xf numFmtId="0" fontId="67" fillId="4" borderId="0">
      <alignment horizontal="left" vertical="top"/>
    </xf>
    <xf numFmtId="0" fontId="66" fillId="4" borderId="0">
      <alignment horizontal="right" vertical="top"/>
    </xf>
    <xf numFmtId="0" fontId="66" fillId="4" borderId="0">
      <alignment horizontal="right" vertical="top"/>
    </xf>
    <xf numFmtId="0" fontId="67" fillId="4" borderId="0">
      <alignment horizontal="right" vertical="top"/>
    </xf>
    <xf numFmtId="0" fontId="21" fillId="0" borderId="0"/>
    <xf numFmtId="0" fontId="76" fillId="0" borderId="0" applyNumberFormat="0" applyFill="0" applyBorder="0" applyAlignment="0" applyProtection="0"/>
  </cellStyleXfs>
  <cellXfs count="31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165" fontId="6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0" fontId="6" fillId="0" borderId="3" xfId="0" applyFont="1" applyBorder="1"/>
    <xf numFmtId="0" fontId="6" fillId="0" borderId="0" xfId="0" applyFont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6" fillId="0" borderId="4" xfId="0" applyFont="1" applyBorder="1"/>
    <xf numFmtId="0" fontId="8" fillId="0" borderId="0" xfId="0" applyFont="1"/>
    <xf numFmtId="0" fontId="6" fillId="0" borderId="0" xfId="0" quotePrefix="1" applyFont="1" applyAlignment="1">
      <alignment horizontal="center"/>
    </xf>
    <xf numFmtId="0" fontId="6" fillId="0" borderId="0" xfId="0" quotePrefix="1" applyFont="1"/>
    <xf numFmtId="0" fontId="14" fillId="0" borderId="0" xfId="9"/>
    <xf numFmtId="168" fontId="16" fillId="0" borderId="0" xfId="5" applyNumberFormat="1" applyFont="1"/>
    <xf numFmtId="0" fontId="14" fillId="0" borderId="0" xfId="9" applyAlignment="1">
      <alignment horizontal="left"/>
    </xf>
    <xf numFmtId="39" fontId="14" fillId="0" borderId="0" xfId="9" applyNumberFormat="1"/>
    <xf numFmtId="0" fontId="14" fillId="0" borderId="0" xfId="9" applyAlignment="1">
      <alignment horizontal="left" vertical="top" wrapText="1"/>
    </xf>
    <xf numFmtId="0" fontId="14" fillId="0" borderId="0" xfId="9" applyAlignment="1">
      <alignment vertical="top" wrapText="1"/>
    </xf>
    <xf numFmtId="0" fontId="14" fillId="0" borderId="0" xfId="9" applyAlignment="1">
      <alignment wrapText="1"/>
    </xf>
    <xf numFmtId="0" fontId="16" fillId="0" borderId="0" xfId="9" applyFont="1"/>
    <xf numFmtId="169" fontId="14" fillId="0" borderId="0" xfId="5" applyNumberFormat="1" applyFont="1"/>
    <xf numFmtId="169" fontId="14" fillId="0" borderId="0" xfId="5" applyNumberFormat="1" applyFont="1" applyProtection="1"/>
    <xf numFmtId="169" fontId="14" fillId="0" borderId="0" xfId="5" applyNumberFormat="1" applyFont="1" applyAlignment="1" applyProtection="1">
      <alignment horizontal="right"/>
    </xf>
    <xf numFmtId="169" fontId="14" fillId="0" borderId="0" xfId="9" applyNumberFormat="1" applyAlignment="1">
      <alignment horizontal="right"/>
    </xf>
    <xf numFmtId="167" fontId="14" fillId="0" borderId="0" xfId="5" applyFont="1" applyFill="1"/>
    <xf numFmtId="167" fontId="14" fillId="0" borderId="0" xfId="5" applyFont="1"/>
    <xf numFmtId="39" fontId="18" fillId="2" borderId="0" xfId="9" applyNumberFormat="1" applyFont="1" applyFill="1"/>
    <xf numFmtId="0" fontId="18" fillId="0" borderId="0" xfId="9" applyFont="1"/>
    <xf numFmtId="168" fontId="19" fillId="0" borderId="0" xfId="5" applyNumberFormat="1" applyFont="1"/>
    <xf numFmtId="0" fontId="18" fillId="0" borderId="0" xfId="9" applyFont="1" applyAlignment="1">
      <alignment horizontal="left"/>
    </xf>
    <xf numFmtId="39" fontId="18" fillId="0" borderId="0" xfId="9" applyNumberFormat="1" applyFont="1"/>
    <xf numFmtId="0" fontId="18" fillId="0" borderId="0" xfId="9" applyFont="1" applyAlignment="1">
      <alignment vertical="top" wrapText="1"/>
    </xf>
    <xf numFmtId="0" fontId="18" fillId="0" borderId="0" xfId="9" applyFont="1" applyAlignment="1">
      <alignment wrapText="1"/>
    </xf>
    <xf numFmtId="0" fontId="18" fillId="0" borderId="0" xfId="9" applyFont="1" applyAlignment="1">
      <alignment horizontal="left" vertical="top" wrapText="1"/>
    </xf>
    <xf numFmtId="0" fontId="19" fillId="0" borderId="0" xfId="9" applyFont="1"/>
    <xf numFmtId="169" fontId="18" fillId="0" borderId="0" xfId="5" applyNumberFormat="1" applyFont="1"/>
    <xf numFmtId="169" fontId="18" fillId="0" borderId="0" xfId="5" applyNumberFormat="1" applyFont="1" applyProtection="1"/>
    <xf numFmtId="169" fontId="18" fillId="0" borderId="0" xfId="5" applyNumberFormat="1" applyFont="1" applyAlignment="1" applyProtection="1">
      <alignment horizontal="right"/>
    </xf>
    <xf numFmtId="169" fontId="18" fillId="0" borderId="0" xfId="9" applyNumberFormat="1" applyFont="1" applyAlignment="1">
      <alignment horizontal="right"/>
    </xf>
    <xf numFmtId="167" fontId="18" fillId="0" borderId="0" xfId="5" applyFont="1" applyFill="1"/>
    <xf numFmtId="167" fontId="18" fillId="0" borderId="0" xfId="5" applyFont="1"/>
    <xf numFmtId="39" fontId="6" fillId="0" borderId="0" xfId="0" applyNumberFormat="1" applyFont="1"/>
    <xf numFmtId="170" fontId="6" fillId="0" borderId="0" xfId="0" applyNumberFormat="1" applyFont="1"/>
    <xf numFmtId="1" fontId="6" fillId="0" borderId="0" xfId="0" applyNumberFormat="1" applyFont="1"/>
    <xf numFmtId="166" fontId="11" fillId="0" borderId="7" xfId="2" applyNumberFormat="1" applyFont="1" applyFill="1" applyBorder="1"/>
    <xf numFmtId="166" fontId="11" fillId="0" borderId="0" xfId="2" applyNumberFormat="1" applyFont="1" applyFill="1"/>
    <xf numFmtId="166" fontId="11" fillId="0" borderId="8" xfId="2" applyNumberFormat="1" applyFont="1" applyFill="1" applyBorder="1"/>
    <xf numFmtId="166" fontId="12" fillId="0" borderId="0" xfId="2" applyNumberFormat="1" applyFont="1" applyFill="1"/>
    <xf numFmtId="166" fontId="6" fillId="0" borderId="0" xfId="2" applyNumberFormat="1" applyFont="1" applyFill="1"/>
    <xf numFmtId="10" fontId="11" fillId="0" borderId="7" xfId="2" quotePrefix="1" applyNumberFormat="1" applyFont="1" applyFill="1" applyBorder="1" applyAlignment="1">
      <alignment horizontal="center" vertical="center"/>
    </xf>
    <xf numFmtId="166" fontId="11" fillId="0" borderId="7" xfId="2" quotePrefix="1" applyNumberFormat="1" applyFont="1" applyFill="1" applyBorder="1" applyAlignment="1">
      <alignment horizontal="center" vertical="center"/>
    </xf>
    <xf numFmtId="37" fontId="11" fillId="0" borderId="8" xfId="1" applyNumberFormat="1" applyFont="1" applyFill="1" applyBorder="1"/>
    <xf numFmtId="41" fontId="11" fillId="0" borderId="8" xfId="2" applyNumberFormat="1" applyFont="1" applyFill="1" applyBorder="1"/>
    <xf numFmtId="166" fontId="13" fillId="0" borderId="0" xfId="1" applyNumberFormat="1" applyFont="1" applyFill="1"/>
    <xf numFmtId="171" fontId="11" fillId="0" borderId="0" xfId="2" applyNumberFormat="1" applyFont="1" applyFill="1"/>
    <xf numFmtId="166" fontId="11" fillId="0" borderId="0" xfId="1" applyNumberFormat="1" applyFont="1" applyFill="1"/>
    <xf numFmtId="166" fontId="11" fillId="0" borderId="0" xfId="3" applyNumberFormat="1" applyFont="1" applyFill="1"/>
    <xf numFmtId="41" fontId="11" fillId="0" borderId="7" xfId="2" applyNumberFormat="1" applyFont="1" applyFill="1" applyBorder="1"/>
    <xf numFmtId="166" fontId="11" fillId="0" borderId="14" xfId="2" applyNumberFormat="1" applyFont="1" applyFill="1" applyBorder="1" applyAlignment="1">
      <alignment horizontal="center" vertical="center" wrapText="1"/>
    </xf>
    <xf numFmtId="166" fontId="11" fillId="0" borderId="14" xfId="2" applyNumberFormat="1" applyFont="1" applyFill="1" applyBorder="1"/>
    <xf numFmtId="0" fontId="30" fillId="0" borderId="0" xfId="6" applyFont="1"/>
    <xf numFmtId="0" fontId="30" fillId="0" borderId="0" xfId="6" applyFont="1" applyAlignment="1">
      <alignment horizontal="center" vertical="center"/>
    </xf>
    <xf numFmtId="0" fontId="31" fillId="5" borderId="15" xfId="15" applyFont="1" applyFill="1" applyBorder="1" applyAlignment="1">
      <alignment horizontal="center" vertical="center"/>
    </xf>
    <xf numFmtId="0" fontId="31" fillId="5" borderId="18" xfId="15" applyFont="1" applyFill="1" applyBorder="1" applyAlignment="1">
      <alignment horizontal="center" vertical="center"/>
    </xf>
    <xf numFmtId="0" fontId="32" fillId="0" borderId="0" xfId="15" applyFont="1" applyAlignment="1">
      <alignment horizontal="center" vertical="center"/>
    </xf>
    <xf numFmtId="41" fontId="32" fillId="0" borderId="0" xfId="15" applyNumberFormat="1" applyFont="1"/>
    <xf numFmtId="41" fontId="32" fillId="0" borderId="0" xfId="16" applyFont="1"/>
    <xf numFmtId="0" fontId="1" fillId="5" borderId="19" xfId="15" applyFill="1" applyBorder="1" applyAlignment="1">
      <alignment horizontal="center" vertical="center"/>
    </xf>
    <xf numFmtId="166" fontId="0" fillId="5" borderId="20" xfId="2" applyNumberFormat="1" applyFont="1" applyFill="1" applyBorder="1" applyAlignment="1">
      <alignment horizontal="center" vertical="center"/>
    </xf>
    <xf numFmtId="0" fontId="1" fillId="5" borderId="0" xfId="15" applyFill="1" applyAlignment="1">
      <alignment horizontal="center" vertical="center"/>
    </xf>
    <xf numFmtId="166" fontId="0" fillId="5" borderId="21" xfId="2" applyNumberFormat="1" applyFont="1" applyFill="1" applyBorder="1" applyAlignment="1">
      <alignment horizontal="center" vertical="center"/>
    </xf>
    <xf numFmtId="10" fontId="0" fillId="5" borderId="21" xfId="17" applyNumberFormat="1" applyFont="1" applyFill="1" applyBorder="1" applyAlignment="1">
      <alignment horizontal="center" vertical="center"/>
    </xf>
    <xf numFmtId="172" fontId="33" fillId="0" borderId="0" xfId="7" applyNumberFormat="1" applyFont="1" applyAlignment="1">
      <alignment horizontal="center" vertical="center"/>
    </xf>
    <xf numFmtId="0" fontId="32" fillId="0" borderId="0" xfId="15" applyFont="1"/>
    <xf numFmtId="0" fontId="1" fillId="5" borderId="22" xfId="15" applyFill="1" applyBorder="1" applyAlignment="1">
      <alignment horizontal="center" vertical="center"/>
    </xf>
    <xf numFmtId="166" fontId="0" fillId="5" borderId="23" xfId="2" applyNumberFormat="1" applyFont="1" applyFill="1" applyBorder="1" applyAlignment="1">
      <alignment horizontal="center" vertical="center"/>
    </xf>
    <xf numFmtId="0" fontId="1" fillId="5" borderId="4" xfId="15" applyFill="1" applyBorder="1" applyAlignment="1">
      <alignment horizontal="center" vertical="center"/>
    </xf>
    <xf numFmtId="166" fontId="0" fillId="5" borderId="24" xfId="2" applyNumberFormat="1" applyFont="1" applyFill="1" applyBorder="1" applyAlignment="1">
      <alignment horizontal="center" vertical="center"/>
    </xf>
    <xf numFmtId="10" fontId="0" fillId="5" borderId="24" xfId="17" applyNumberFormat="1" applyFont="1" applyFill="1" applyBorder="1" applyAlignment="1">
      <alignment horizontal="center" vertical="center"/>
    </xf>
    <xf numFmtId="166" fontId="11" fillId="0" borderId="8" xfId="2" applyNumberFormat="1" applyFont="1" applyFill="1" applyBorder="1" applyAlignment="1">
      <alignment horizontal="center" vertical="center"/>
    </xf>
    <xf numFmtId="10" fontId="11" fillId="0" borderId="8" xfId="14" applyNumberFormat="1" applyFont="1" applyFill="1" applyBorder="1" applyAlignment="1">
      <alignment horizontal="center" vertical="center"/>
    </xf>
    <xf numFmtId="10" fontId="11" fillId="0" borderId="7" xfId="14" applyNumberFormat="1" applyFont="1" applyFill="1" applyBorder="1" applyAlignment="1">
      <alignment horizontal="center" vertical="center"/>
    </xf>
    <xf numFmtId="0" fontId="11" fillId="0" borderId="0" xfId="6" applyFont="1"/>
    <xf numFmtId="0" fontId="11" fillId="0" borderId="6" xfId="6" applyFont="1" applyBorder="1" applyAlignment="1">
      <alignment horizontal="center"/>
    </xf>
    <xf numFmtId="0" fontId="11" fillId="0" borderId="0" xfId="6" quotePrefix="1" applyFont="1" applyAlignment="1">
      <alignment horizontal="center"/>
    </xf>
    <xf numFmtId="0" fontId="11" fillId="0" borderId="7" xfId="6" applyFont="1" applyBorder="1" applyAlignment="1">
      <alignment horizontal="center"/>
    </xf>
    <xf numFmtId="41" fontId="11" fillId="0" borderId="8" xfId="6" applyNumberFormat="1" applyFont="1" applyBorder="1"/>
    <xf numFmtId="166" fontId="11" fillId="0" borderId="8" xfId="6" applyNumberFormat="1" applyFont="1" applyBorder="1"/>
    <xf numFmtId="166" fontId="11" fillId="0" borderId="0" xfId="6" applyNumberFormat="1" applyFont="1"/>
    <xf numFmtId="0" fontId="11" fillId="0" borderId="7" xfId="6" applyFont="1" applyBorder="1"/>
    <xf numFmtId="9" fontId="11" fillId="0" borderId="0" xfId="6" applyNumberFormat="1" applyFont="1"/>
    <xf numFmtId="166" fontId="11" fillId="0" borderId="7" xfId="6" applyNumberFormat="1" applyFont="1" applyBorder="1"/>
    <xf numFmtId="166" fontId="11" fillId="0" borderId="0" xfId="6" applyNumberFormat="1" applyFont="1" applyAlignment="1">
      <alignment horizontal="center" vertical="center"/>
    </xf>
    <xf numFmtId="164" fontId="11" fillId="0" borderId="0" xfId="6" applyNumberFormat="1" applyFont="1"/>
    <xf numFmtId="0" fontId="54" fillId="0" borderId="0" xfId="0" applyFont="1" applyAlignment="1">
      <alignment vertical="center"/>
    </xf>
    <xf numFmtId="0" fontId="54" fillId="0" borderId="0" xfId="0" applyFont="1"/>
    <xf numFmtId="166" fontId="13" fillId="0" borderId="0" xfId="6" applyNumberFormat="1" applyFont="1"/>
    <xf numFmtId="0" fontId="11" fillId="0" borderId="0" xfId="6" applyFont="1" applyAlignment="1">
      <alignment horizontal="center" vertical="center"/>
    </xf>
    <xf numFmtId="166" fontId="13" fillId="0" borderId="7" xfId="2" applyNumberFormat="1" applyFont="1" applyFill="1" applyBorder="1"/>
    <xf numFmtId="166" fontId="11" fillId="0" borderId="6" xfId="2" applyNumberFormat="1" applyFont="1" applyFill="1" applyBorder="1" applyAlignment="1">
      <alignment horizontal="center" vertical="center"/>
    </xf>
    <xf numFmtId="166" fontId="24" fillId="0" borderId="0" xfId="6" applyNumberFormat="1" applyFont="1"/>
    <xf numFmtId="43" fontId="11" fillId="0" borderId="0" xfId="1" applyFont="1"/>
    <xf numFmtId="166" fontId="11" fillId="0" borderId="0" xfId="1" applyNumberFormat="1" applyFont="1"/>
    <xf numFmtId="0" fontId="11" fillId="0" borderId="0" xfId="6" applyFont="1" applyAlignment="1">
      <alignment horizontal="left"/>
    </xf>
    <xf numFmtId="0" fontId="13" fillId="0" borderId="0" xfId="6" applyFont="1" applyAlignment="1">
      <alignment horizontal="left"/>
    </xf>
    <xf numFmtId="166" fontId="13" fillId="0" borderId="8" xfId="2" applyNumberFormat="1" applyFont="1" applyFill="1" applyBorder="1"/>
    <xf numFmtId="43" fontId="13" fillId="0" borderId="34" xfId="1" applyFont="1" applyBorder="1"/>
    <xf numFmtId="43" fontId="11" fillId="0" borderId="8" xfId="1" applyFont="1" applyBorder="1"/>
    <xf numFmtId="43" fontId="13" fillId="0" borderId="8" xfId="1" applyFont="1" applyFill="1" applyBorder="1"/>
    <xf numFmtId="43" fontId="11" fillId="0" borderId="0" xfId="1" applyFont="1" applyFill="1"/>
    <xf numFmtId="166" fontId="13" fillId="0" borderId="8" xfId="1" applyNumberFormat="1" applyFont="1" applyFill="1" applyBorder="1"/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70" fillId="0" borderId="8" xfId="0" applyFont="1" applyFill="1" applyBorder="1" applyAlignment="1">
      <alignment horizontal="left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165" fontId="6" fillId="0" borderId="0" xfId="1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71" fillId="0" borderId="8" xfId="159" applyFont="1" applyFill="1" applyBorder="1" applyAlignment="1">
      <alignment horizontal="center" vertical="center" wrapText="1"/>
    </xf>
    <xf numFmtId="0" fontId="71" fillId="0" borderId="8" xfId="157" applyFont="1" applyFill="1" applyBorder="1" applyAlignment="1">
      <alignment horizontal="center" vertical="center" wrapText="1"/>
    </xf>
    <xf numFmtId="0" fontId="58" fillId="0" borderId="0" xfId="169" applyFont="1" applyFill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11" fillId="0" borderId="8" xfId="6" applyFont="1" applyFill="1" applyBorder="1" applyAlignment="1">
      <alignment horizontal="center" vertical="center"/>
    </xf>
    <xf numFmtId="0" fontId="23" fillId="0" borderId="7" xfId="0" quotePrefix="1" applyFont="1" applyFill="1" applyBorder="1" applyAlignment="1">
      <alignment horizontal="center" shrinkToFit="1"/>
    </xf>
    <xf numFmtId="0" fontId="22" fillId="0" borderId="8" xfId="0" quotePrefix="1" applyFont="1" applyFill="1" applyBorder="1" applyAlignment="1">
      <alignment horizontal="center" shrinkToFit="1"/>
    </xf>
    <xf numFmtId="49" fontId="11" fillId="0" borderId="8" xfId="6" applyNumberFormat="1" applyFont="1" applyFill="1" applyBorder="1" applyAlignment="1">
      <alignment horizontal="center" vertical="center"/>
    </xf>
    <xf numFmtId="49" fontId="11" fillId="0" borderId="7" xfId="0" quotePrefix="1" applyNumberFormat="1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/>
    </xf>
    <xf numFmtId="0" fontId="11" fillId="0" borderId="7" xfId="6" applyFont="1" applyFill="1" applyBorder="1" applyAlignment="1">
      <alignment horizontal="center" vertical="center"/>
    </xf>
    <xf numFmtId="41" fontId="11" fillId="0" borderId="8" xfId="6" applyNumberFormat="1" applyFont="1" applyFill="1" applyBorder="1"/>
    <xf numFmtId="166" fontId="11" fillId="0" borderId="8" xfId="6" applyNumberFormat="1" applyFont="1" applyFill="1" applyBorder="1"/>
    <xf numFmtId="0" fontId="11" fillId="0" borderId="0" xfId="6" applyFont="1" applyFill="1"/>
    <xf numFmtId="0" fontId="11" fillId="0" borderId="7" xfId="6" applyFont="1" applyFill="1" applyBorder="1"/>
    <xf numFmtId="166" fontId="11" fillId="0" borderId="0" xfId="6" applyNumberFormat="1" applyFont="1" applyFill="1"/>
    <xf numFmtId="166" fontId="11" fillId="0" borderId="0" xfId="6" applyNumberFormat="1" applyFont="1" applyFill="1" applyAlignment="1">
      <alignment horizontal="center" vertical="center"/>
    </xf>
    <xf numFmtId="20" fontId="69" fillId="0" borderId="8" xfId="143" applyNumberFormat="1" applyFont="1" applyFill="1" applyBorder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11" fillId="0" borderId="8" xfId="6" applyFont="1" applyFill="1" applyBorder="1"/>
    <xf numFmtId="0" fontId="27" fillId="0" borderId="0" xfId="6" applyFont="1" applyFill="1"/>
    <xf numFmtId="0" fontId="54" fillId="0" borderId="0" xfId="0" applyFont="1" applyFill="1"/>
    <xf numFmtId="0" fontId="57" fillId="0" borderId="0" xfId="0" applyFont="1" applyFill="1"/>
    <xf numFmtId="3" fontId="11" fillId="0" borderId="0" xfId="6" applyNumberFormat="1" applyFont="1" applyFill="1"/>
    <xf numFmtId="0" fontId="13" fillId="0" borderId="0" xfId="6" quotePrefix="1" applyFont="1" applyFill="1"/>
    <xf numFmtId="0" fontId="13" fillId="0" borderId="0" xfId="6" applyFont="1" applyFill="1"/>
    <xf numFmtId="0" fontId="11" fillId="0" borderId="8" xfId="6" applyFont="1" applyFill="1" applyBorder="1" applyAlignment="1">
      <alignment horizontal="center"/>
    </xf>
    <xf numFmtId="49" fontId="11" fillId="0" borderId="8" xfId="7" applyNumberFormat="1" applyFont="1" applyFill="1" applyBorder="1" applyAlignment="1">
      <alignment horizontal="center" vertical="center"/>
    </xf>
    <xf numFmtId="164" fontId="11" fillId="0" borderId="0" xfId="6" applyNumberFormat="1" applyFont="1" applyFill="1"/>
    <xf numFmtId="0" fontId="23" fillId="0" borderId="0" xfId="0" quotePrefix="1" applyFont="1" applyFill="1" applyAlignment="1">
      <alignment horizontal="center" shrinkToFit="1"/>
    </xf>
    <xf numFmtId="171" fontId="11" fillId="0" borderId="0" xfId="6" applyNumberFormat="1" applyFont="1" applyFill="1" applyAlignment="1">
      <alignment vertical="center"/>
    </xf>
    <xf numFmtId="0" fontId="22" fillId="0" borderId="0" xfId="0" quotePrefix="1" applyFont="1" applyFill="1" applyAlignment="1">
      <alignment horizontal="center" shrinkToFit="1"/>
    </xf>
    <xf numFmtId="166" fontId="13" fillId="0" borderId="0" xfId="6" applyNumberFormat="1" applyFont="1" applyFill="1"/>
    <xf numFmtId="0" fontId="56" fillId="0" borderId="0" xfId="0" quotePrefix="1" applyFont="1" applyFill="1" applyAlignment="1">
      <alignment horizontal="center" shrinkToFit="1"/>
    </xf>
    <xf numFmtId="0" fontId="55" fillId="0" borderId="0" xfId="0" quotePrefix="1" applyFont="1" applyFill="1" applyAlignment="1">
      <alignment horizontal="center" shrinkToFit="1"/>
    </xf>
    <xf numFmtId="0" fontId="18" fillId="0" borderId="0" xfId="9" applyFont="1" applyAlignment="1">
      <alignment horizontal="left" vertical="top" wrapText="1"/>
    </xf>
    <xf numFmtId="0" fontId="6" fillId="0" borderId="0" xfId="0" applyFont="1"/>
    <xf numFmtId="166" fontId="11" fillId="0" borderId="6" xfId="2" applyNumberFormat="1" applyFont="1" applyFill="1" applyBorder="1" applyAlignment="1">
      <alignment horizontal="center" vertical="center"/>
    </xf>
    <xf numFmtId="0" fontId="11" fillId="0" borderId="8" xfId="6" applyFont="1" applyFill="1" applyBorder="1" applyAlignment="1">
      <alignment horizontal="center" vertical="center"/>
    </xf>
    <xf numFmtId="17" fontId="11" fillId="0" borderId="0" xfId="6" applyNumberFormat="1" applyFont="1" applyFill="1"/>
    <xf numFmtId="0" fontId="70" fillId="0" borderId="0" xfId="0" applyFont="1" applyFill="1" applyAlignment="1">
      <alignment wrapText="1"/>
    </xf>
    <xf numFmtId="170" fontId="70" fillId="0" borderId="0" xfId="0" applyNumberFormat="1" applyFont="1" applyFill="1" applyAlignment="1">
      <alignment wrapText="1"/>
    </xf>
    <xf numFmtId="1" fontId="70" fillId="0" borderId="0" xfId="0" applyNumberFormat="1" applyFont="1" applyFill="1" applyAlignment="1">
      <alignment wrapText="1"/>
    </xf>
    <xf numFmtId="164" fontId="70" fillId="0" borderId="0" xfId="0" applyNumberFormat="1" applyFont="1" applyFill="1" applyAlignment="1">
      <alignment wrapText="1"/>
    </xf>
    <xf numFmtId="164" fontId="70" fillId="0" borderId="0" xfId="0" applyNumberFormat="1" applyFont="1" applyFill="1"/>
    <xf numFmtId="170" fontId="70" fillId="0" borderId="0" xfId="0" applyNumberFormat="1" applyFont="1" applyFill="1" applyAlignment="1">
      <alignment horizontal="center" wrapText="1"/>
    </xf>
    <xf numFmtId="20" fontId="73" fillId="0" borderId="0" xfId="146" applyNumberFormat="1" applyFont="1" applyFill="1" applyAlignment="1">
      <alignment horizontal="center" vertical="center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6" fillId="0" borderId="0" xfId="0" applyFont="1"/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166" fontId="11" fillId="0" borderId="8" xfId="1" applyNumberFormat="1" applyFont="1" applyFill="1" applyBorder="1"/>
    <xf numFmtId="0" fontId="74" fillId="0" borderId="0" xfId="0" applyFont="1" applyAlignment="1">
      <alignment vertical="center"/>
    </xf>
    <xf numFmtId="0" fontId="18" fillId="0" borderId="0" xfId="9" applyFont="1" applyAlignment="1">
      <alignment horizontal="left" vertical="top" wrapText="1"/>
    </xf>
    <xf numFmtId="0" fontId="69" fillId="0" borderId="8" xfId="143" applyFont="1" applyFill="1" applyBorder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53" fillId="4" borderId="8" xfId="143" applyBorder="1" applyAlignment="1">
      <alignment horizontal="center" vertical="center" wrapText="1"/>
    </xf>
    <xf numFmtId="20" fontId="53" fillId="4" borderId="8" xfId="143" applyNumberFormat="1" applyBorder="1" applyAlignment="1">
      <alignment horizontal="center" vertical="center" wrapText="1"/>
    </xf>
    <xf numFmtId="0" fontId="53" fillId="3" borderId="8" xfId="143" applyFill="1" applyBorder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70" fillId="0" borderId="0" xfId="0" applyFont="1" applyFill="1" applyAlignment="1">
      <alignment horizontal="center" wrapText="1"/>
    </xf>
    <xf numFmtId="20" fontId="58" fillId="0" borderId="11" xfId="169" applyNumberFormat="1" applyFont="1" applyFill="1" applyBorder="1" applyAlignment="1">
      <alignment horizontal="center" vertical="center" wrapText="1"/>
    </xf>
    <xf numFmtId="0" fontId="58" fillId="0" borderId="12" xfId="169" applyFont="1" applyFill="1" applyBorder="1" applyAlignment="1">
      <alignment horizontal="center" vertical="center" wrapText="1"/>
    </xf>
    <xf numFmtId="0" fontId="58" fillId="0" borderId="13" xfId="169" applyFont="1" applyFill="1" applyBorder="1" applyAlignment="1">
      <alignment horizontal="center" vertical="center" wrapText="1"/>
    </xf>
    <xf numFmtId="20" fontId="58" fillId="0" borderId="8" xfId="169" applyNumberFormat="1" applyFont="1" applyFill="1" applyBorder="1" applyAlignment="1">
      <alignment horizontal="center" vertical="center" wrapText="1"/>
    </xf>
    <xf numFmtId="0" fontId="58" fillId="0" borderId="8" xfId="169" applyFont="1" applyFill="1" applyBorder="1" applyAlignment="1">
      <alignment horizontal="center" vertical="center" wrapText="1"/>
    </xf>
    <xf numFmtId="20" fontId="58" fillId="0" borderId="0" xfId="169" applyNumberFormat="1" applyFont="1" applyFill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70" fillId="0" borderId="0" xfId="0" applyFont="1" applyFill="1" applyAlignment="1">
      <alignment horizontal="center" wrapText="1"/>
    </xf>
    <xf numFmtId="0" fontId="11" fillId="0" borderId="8" xfId="6" applyFont="1" applyFill="1" applyBorder="1" applyAlignment="1">
      <alignment horizontal="center" vertical="center"/>
    </xf>
    <xf numFmtId="0" fontId="69" fillId="3" borderId="8" xfId="143" applyFont="1" applyFill="1" applyBorder="1" applyAlignment="1">
      <alignment horizontal="center" vertical="center" wrapText="1"/>
    </xf>
    <xf numFmtId="20" fontId="69" fillId="3" borderId="8" xfId="143" applyNumberFormat="1" applyFont="1" applyFill="1" applyBorder="1" applyAlignment="1">
      <alignment horizontal="center" vertical="center" wrapText="1"/>
    </xf>
    <xf numFmtId="0" fontId="69" fillId="0" borderId="3" xfId="143" applyFont="1" applyFill="1" applyBorder="1" applyAlignment="1">
      <alignment vertical="center" wrapText="1"/>
    </xf>
    <xf numFmtId="0" fontId="69" fillId="0" borderId="0" xfId="143" applyFont="1" applyFill="1" applyBorder="1" applyAlignment="1">
      <alignment vertical="center" wrapText="1"/>
    </xf>
    <xf numFmtId="0" fontId="69" fillId="0" borderId="35" xfId="143" applyFont="1" applyFill="1" applyBorder="1" applyAlignment="1">
      <alignment vertical="center" wrapText="1"/>
    </xf>
    <xf numFmtId="0" fontId="69" fillId="3" borderId="5" xfId="143" applyFont="1" applyFill="1" applyBorder="1" applyAlignment="1">
      <alignment vertical="center" wrapText="1"/>
    </xf>
    <xf numFmtId="0" fontId="69" fillId="3" borderId="4" xfId="143" applyFont="1" applyFill="1" applyBorder="1" applyAlignment="1">
      <alignment vertical="center" wrapText="1"/>
    </xf>
    <xf numFmtId="0" fontId="69" fillId="3" borderId="10" xfId="143" applyFont="1" applyFill="1" applyBorder="1" applyAlignment="1">
      <alignment vertical="center" wrapText="1"/>
    </xf>
    <xf numFmtId="166" fontId="11" fillId="3" borderId="8" xfId="6" applyNumberFormat="1" applyFont="1" applyFill="1" applyBorder="1"/>
    <xf numFmtId="0" fontId="11" fillId="0" borderId="6" xfId="6" applyFont="1" applyFill="1" applyBorder="1" applyAlignment="1">
      <alignment horizontal="center" vertical="center"/>
    </xf>
    <xf numFmtId="0" fontId="11" fillId="0" borderId="7" xfId="6" applyFont="1" applyFill="1" applyBorder="1" applyAlignment="1">
      <alignment horizontal="center" vertical="center"/>
    </xf>
    <xf numFmtId="49" fontId="76" fillId="0" borderId="8" xfId="178" applyNumberFormat="1" applyFill="1" applyBorder="1" applyAlignment="1">
      <alignment horizontal="center" vertical="center"/>
    </xf>
    <xf numFmtId="0" fontId="11" fillId="0" borderId="8" xfId="6" applyFont="1" applyBorder="1" applyAlignment="1">
      <alignment horizontal="center" vertical="center" wrapText="1"/>
    </xf>
    <xf numFmtId="0" fontId="11" fillId="0" borderId="6" xfId="6" applyFont="1" applyBorder="1" applyAlignment="1">
      <alignment horizontal="center" vertical="center" wrapText="1"/>
    </xf>
    <xf numFmtId="0" fontId="11" fillId="0" borderId="7" xfId="6" applyFont="1" applyBorder="1" applyAlignment="1">
      <alignment horizontal="center" vertical="center" wrapText="1"/>
    </xf>
    <xf numFmtId="166" fontId="11" fillId="0" borderId="6" xfId="2" applyNumberFormat="1" applyFont="1" applyFill="1" applyBorder="1" applyAlignment="1">
      <alignment horizontal="center" vertical="center"/>
    </xf>
    <xf numFmtId="166" fontId="11" fillId="0" borderId="7" xfId="2" applyNumberFormat="1" applyFont="1" applyFill="1" applyBorder="1" applyAlignment="1">
      <alignment horizontal="center" vertical="center"/>
    </xf>
    <xf numFmtId="0" fontId="28" fillId="0" borderId="2" xfId="6" applyFont="1" applyFill="1" applyBorder="1" applyAlignment="1">
      <alignment horizontal="center" vertical="center" wrapText="1"/>
    </xf>
    <xf numFmtId="0" fontId="29" fillId="0" borderId="9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166" fontId="11" fillId="0" borderId="6" xfId="2" applyNumberFormat="1" applyFont="1" applyFill="1" applyBorder="1" applyAlignment="1">
      <alignment horizontal="center" vertical="center" wrapText="1"/>
    </xf>
    <xf numFmtId="166" fontId="11" fillId="0" borderId="7" xfId="2" applyNumberFormat="1" applyFont="1" applyFill="1" applyBorder="1" applyAlignment="1">
      <alignment horizontal="center" vertical="center" wrapText="1"/>
    </xf>
    <xf numFmtId="0" fontId="11" fillId="0" borderId="8" xfId="6" applyFont="1" applyFill="1" applyBorder="1" applyAlignment="1">
      <alignment horizontal="center" vertical="center"/>
    </xf>
    <xf numFmtId="0" fontId="11" fillId="0" borderId="6" xfId="6" applyFont="1" applyFill="1" applyBorder="1" applyAlignment="1">
      <alignment horizontal="center" vertical="center"/>
    </xf>
    <xf numFmtId="0" fontId="11" fillId="0" borderId="7" xfId="6" applyFont="1" applyFill="1" applyBorder="1" applyAlignment="1">
      <alignment horizontal="center" vertical="center"/>
    </xf>
    <xf numFmtId="43" fontId="6" fillId="0" borderId="0" xfId="1" applyFont="1" applyAlignment="1">
      <alignment horizontal="center"/>
    </xf>
    <xf numFmtId="165" fontId="6" fillId="0" borderId="0" xfId="1" applyNumberFormat="1" applyFont="1" applyAlignment="1">
      <alignment horizontal="right"/>
    </xf>
    <xf numFmtId="0" fontId="14" fillId="0" borderId="0" xfId="9" applyAlignment="1">
      <alignment horizontal="left" vertical="top" wrapText="1"/>
    </xf>
    <xf numFmtId="165" fontId="6" fillId="0" borderId="4" xfId="1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165" fontId="5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center"/>
    </xf>
    <xf numFmtId="39" fontId="14" fillId="0" borderId="0" xfId="9" applyNumberFormat="1" applyAlignment="1">
      <alignment horizontal="center"/>
    </xf>
    <xf numFmtId="165" fontId="6" fillId="0" borderId="0" xfId="1" applyNumberFormat="1" applyFont="1" applyBorder="1" applyAlignment="1">
      <alignment horizontal="right"/>
    </xf>
    <xf numFmtId="165" fontId="5" fillId="0" borderId="0" xfId="1" applyNumberFormat="1" applyFont="1" applyBorder="1" applyAlignment="1">
      <alignment horizontal="right"/>
    </xf>
    <xf numFmtId="165" fontId="6" fillId="0" borderId="0" xfId="0" applyNumberFormat="1" applyFont="1" applyAlignment="1">
      <alignment horizontal="center"/>
    </xf>
    <xf numFmtId="0" fontId="6" fillId="0" borderId="0" xfId="0" applyFont="1"/>
    <xf numFmtId="0" fontId="31" fillId="5" borderId="16" xfId="15" applyFont="1" applyFill="1" applyBorder="1" applyAlignment="1">
      <alignment horizontal="center" vertical="center"/>
    </xf>
    <xf numFmtId="0" fontId="31" fillId="5" borderId="17" xfId="15" applyFont="1" applyFill="1" applyBorder="1" applyAlignment="1">
      <alignment horizontal="center" vertical="center"/>
    </xf>
    <xf numFmtId="0" fontId="31" fillId="5" borderId="18" xfId="15" applyFont="1" applyFill="1" applyBorder="1" applyAlignment="1">
      <alignment horizontal="center" vertical="center"/>
    </xf>
    <xf numFmtId="0" fontId="18" fillId="0" borderId="0" xfId="9" applyFont="1" applyAlignment="1">
      <alignment horizontal="left" vertical="top" wrapText="1"/>
    </xf>
    <xf numFmtId="0" fontId="53" fillId="4" borderId="11" xfId="143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9" fontId="58" fillId="0" borderId="11" xfId="169" applyNumberFormat="1" applyFont="1" applyFill="1" applyBorder="1" applyAlignment="1">
      <alignment horizontal="center" vertical="center" wrapText="1"/>
    </xf>
    <xf numFmtId="179" fontId="58" fillId="0" borderId="12" xfId="169" applyNumberFormat="1" applyFont="1" applyFill="1" applyBorder="1" applyAlignment="1">
      <alignment horizontal="center" vertical="center" wrapText="1"/>
    </xf>
    <xf numFmtId="179" fontId="58" fillId="0" borderId="13" xfId="169" applyNumberFormat="1" applyFont="1" applyFill="1" applyBorder="1" applyAlignment="1">
      <alignment horizontal="center" vertical="center" wrapText="1"/>
    </xf>
    <xf numFmtId="20" fontId="53" fillId="4" borderId="11" xfId="143" applyNumberFormat="1" applyBorder="1" applyAlignment="1">
      <alignment horizontal="center" vertical="center" wrapText="1"/>
    </xf>
    <xf numFmtId="179" fontId="75" fillId="0" borderId="11" xfId="169" applyNumberFormat="1" applyFont="1" applyFill="1" applyBorder="1" applyAlignment="1">
      <alignment horizontal="center" vertical="center" wrapText="1"/>
    </xf>
    <xf numFmtId="179" fontId="75" fillId="0" borderId="12" xfId="169" applyNumberFormat="1" applyFont="1" applyFill="1" applyBorder="1" applyAlignment="1">
      <alignment horizontal="center" vertical="center" wrapText="1"/>
    </xf>
    <xf numFmtId="179" fontId="75" fillId="0" borderId="13" xfId="169" applyNumberFormat="1" applyFont="1" applyFill="1" applyBorder="1" applyAlignment="1">
      <alignment horizontal="center" vertical="center" wrapText="1"/>
    </xf>
    <xf numFmtId="20" fontId="58" fillId="0" borderId="11" xfId="169" applyNumberFormat="1" applyFont="1" applyFill="1" applyBorder="1" applyAlignment="1">
      <alignment horizontal="center" vertical="center" wrapText="1"/>
    </xf>
    <xf numFmtId="20" fontId="58" fillId="0" borderId="12" xfId="169" applyNumberFormat="1" applyFont="1" applyFill="1" applyBorder="1" applyAlignment="1">
      <alignment horizontal="center" vertical="center" wrapText="1"/>
    </xf>
    <xf numFmtId="20" fontId="58" fillId="0" borderId="13" xfId="169" applyNumberFormat="1" applyFont="1" applyFill="1" applyBorder="1" applyAlignment="1">
      <alignment horizontal="center" vertical="center" wrapText="1"/>
    </xf>
    <xf numFmtId="0" fontId="53" fillId="3" borderId="11" xfId="143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71" fillId="0" borderId="11" xfId="157" applyFont="1" applyFill="1" applyBorder="1" applyAlignment="1">
      <alignment horizontal="center" vertical="center" wrapText="1"/>
    </xf>
    <xf numFmtId="0" fontId="71" fillId="0" borderId="12" xfId="157" applyFont="1" applyFill="1" applyBorder="1" applyAlignment="1">
      <alignment horizontal="center" vertical="center" wrapText="1"/>
    </xf>
    <xf numFmtId="0" fontId="71" fillId="0" borderId="13" xfId="157" applyFont="1" applyFill="1" applyBorder="1" applyAlignment="1">
      <alignment horizontal="center" vertical="center" wrapText="1"/>
    </xf>
    <xf numFmtId="0" fontId="71" fillId="0" borderId="11" xfId="159" applyFont="1" applyFill="1" applyBorder="1" applyAlignment="1">
      <alignment horizontal="center" vertical="center" wrapText="1"/>
    </xf>
    <xf numFmtId="0" fontId="71" fillId="0" borderId="13" xfId="159" applyFont="1" applyFill="1" applyBorder="1" applyAlignment="1">
      <alignment horizontal="center" vertical="center" wrapText="1"/>
    </xf>
    <xf numFmtId="0" fontId="58" fillId="0" borderId="0" xfId="162" applyFont="1" applyFill="1" applyAlignment="1">
      <alignment horizontal="center" vertical="center" wrapText="1"/>
    </xf>
    <xf numFmtId="0" fontId="71" fillId="0" borderId="0" xfId="150" applyFont="1" applyFill="1" applyAlignment="1">
      <alignment horizontal="left" vertical="center" wrapText="1"/>
    </xf>
    <xf numFmtId="0" fontId="58" fillId="0" borderId="0" xfId="153" applyFont="1" applyFill="1" applyAlignment="1">
      <alignment horizontal="left" vertical="center" wrapText="1"/>
    </xf>
    <xf numFmtId="0" fontId="72" fillId="0" borderId="0" xfId="165" applyFont="1" applyFill="1" applyAlignment="1">
      <alignment horizontal="center" vertical="top" wrapText="1"/>
    </xf>
    <xf numFmtId="0" fontId="58" fillId="0" borderId="12" xfId="169" applyFont="1" applyFill="1" applyBorder="1" applyAlignment="1">
      <alignment horizontal="center" vertical="center" wrapText="1"/>
    </xf>
    <xf numFmtId="0" fontId="58" fillId="0" borderId="13" xfId="169" applyFont="1" applyFill="1" applyBorder="1" applyAlignment="1">
      <alignment horizontal="center" vertical="center" wrapText="1"/>
    </xf>
    <xf numFmtId="0" fontId="58" fillId="0" borderId="0" xfId="153" applyFont="1" applyFill="1" applyAlignment="1">
      <alignment horizontal="center" vertical="center" wrapText="1"/>
    </xf>
    <xf numFmtId="0" fontId="69" fillId="0" borderId="11" xfId="143" applyFont="1" applyFill="1" applyBorder="1" applyAlignment="1">
      <alignment horizontal="center" vertical="center" wrapText="1"/>
    </xf>
    <xf numFmtId="0" fontId="68" fillId="0" borderId="12" xfId="0" applyFont="1" applyFill="1" applyBorder="1" applyAlignment="1">
      <alignment horizontal="center" vertical="center" wrapText="1"/>
    </xf>
    <xf numFmtId="0" fontId="68" fillId="0" borderId="13" xfId="0" applyFont="1" applyFill="1" applyBorder="1" applyAlignment="1">
      <alignment horizontal="center" vertical="center" wrapText="1"/>
    </xf>
    <xf numFmtId="0" fontId="69" fillId="3" borderId="11" xfId="143" applyFont="1" applyFill="1" applyBorder="1" applyAlignment="1">
      <alignment horizontal="center" vertical="center" wrapText="1"/>
    </xf>
    <xf numFmtId="0" fontId="68" fillId="3" borderId="13" xfId="0" applyFont="1" applyFill="1" applyBorder="1" applyAlignment="1">
      <alignment horizontal="center" vertical="center" wrapText="1"/>
    </xf>
    <xf numFmtId="0" fontId="53" fillId="3" borderId="12" xfId="143" applyFill="1" applyBorder="1" applyAlignment="1">
      <alignment horizontal="center" vertical="center" wrapText="1"/>
    </xf>
    <xf numFmtId="0" fontId="53" fillId="3" borderId="13" xfId="143" applyFill="1" applyBorder="1" applyAlignment="1">
      <alignment horizontal="center" vertical="center" wrapText="1"/>
    </xf>
    <xf numFmtId="20" fontId="69" fillId="0" borderId="11" xfId="143" applyNumberFormat="1" applyFont="1" applyFill="1" applyBorder="1" applyAlignment="1">
      <alignment horizontal="center" vertical="center" wrapText="1"/>
    </xf>
    <xf numFmtId="179" fontId="58" fillId="0" borderId="8" xfId="169" applyNumberFormat="1" applyFont="1" applyFill="1" applyBorder="1" applyAlignment="1">
      <alignment horizontal="center" vertical="center" wrapText="1"/>
    </xf>
    <xf numFmtId="0" fontId="69" fillId="3" borderId="2" xfId="143" applyFont="1" applyFill="1" applyBorder="1" applyAlignment="1">
      <alignment horizontal="center" vertical="center" wrapText="1"/>
    </xf>
    <xf numFmtId="0" fontId="69" fillId="3" borderId="1" xfId="143" applyFont="1" applyFill="1" applyBorder="1" applyAlignment="1">
      <alignment horizontal="center" vertical="center" wrapText="1"/>
    </xf>
    <xf numFmtId="0" fontId="69" fillId="3" borderId="9" xfId="143" applyFont="1" applyFill="1" applyBorder="1" applyAlignment="1">
      <alignment horizontal="center" vertical="center" wrapText="1"/>
    </xf>
    <xf numFmtId="0" fontId="69" fillId="3" borderId="3" xfId="143" applyFont="1" applyFill="1" applyBorder="1" applyAlignment="1">
      <alignment horizontal="center" vertical="center" wrapText="1"/>
    </xf>
    <xf numFmtId="0" fontId="69" fillId="3" borderId="0" xfId="143" applyFont="1" applyFill="1" applyBorder="1" applyAlignment="1">
      <alignment horizontal="center" vertical="center" wrapText="1"/>
    </xf>
    <xf numFmtId="0" fontId="69" fillId="3" borderId="35" xfId="143" applyFont="1" applyFill="1" applyBorder="1" applyAlignment="1">
      <alignment horizontal="center" vertical="center" wrapText="1"/>
    </xf>
    <xf numFmtId="20" fontId="69" fillId="3" borderId="11" xfId="143" applyNumberFormat="1" applyFont="1" applyFill="1" applyBorder="1" applyAlignment="1">
      <alignment horizontal="center" vertical="center" wrapText="1"/>
    </xf>
    <xf numFmtId="0" fontId="69" fillId="3" borderId="12" xfId="143" applyFont="1" applyFill="1" applyBorder="1" applyAlignment="1">
      <alignment horizontal="center" vertical="center" wrapText="1"/>
    </xf>
    <xf numFmtId="0" fontId="69" fillId="3" borderId="13" xfId="143" applyFont="1" applyFill="1" applyBorder="1" applyAlignment="1">
      <alignment horizontal="center" vertical="center" wrapText="1"/>
    </xf>
    <xf numFmtId="179" fontId="75" fillId="0" borderId="8" xfId="169" applyNumberFormat="1" applyFont="1" applyFill="1" applyBorder="1" applyAlignment="1">
      <alignment horizontal="center" vertical="center" wrapText="1"/>
    </xf>
    <xf numFmtId="0" fontId="69" fillId="3" borderId="5" xfId="143" applyFont="1" applyFill="1" applyBorder="1" applyAlignment="1">
      <alignment horizontal="center" vertical="center" wrapText="1"/>
    </xf>
    <xf numFmtId="0" fontId="69" fillId="3" borderId="4" xfId="143" applyFont="1" applyFill="1" applyBorder="1" applyAlignment="1">
      <alignment horizontal="center" vertical="center" wrapText="1"/>
    </xf>
    <xf numFmtId="0" fontId="69" fillId="3" borderId="10" xfId="143" applyFont="1" applyFill="1" applyBorder="1" applyAlignment="1">
      <alignment horizontal="center" vertical="center" wrapText="1"/>
    </xf>
    <xf numFmtId="20" fontId="58" fillId="0" borderId="8" xfId="169" applyNumberFormat="1" applyFont="1" applyFill="1" applyBorder="1" applyAlignment="1">
      <alignment horizontal="center" vertical="center" wrapText="1"/>
    </xf>
    <xf numFmtId="0" fontId="58" fillId="0" borderId="8" xfId="169" applyFont="1" applyFill="1" applyBorder="1" applyAlignment="1">
      <alignment horizontal="center" vertical="center" wrapText="1"/>
    </xf>
    <xf numFmtId="0" fontId="72" fillId="0" borderId="0" xfId="171" applyFont="1" applyFill="1" applyAlignment="1">
      <alignment horizontal="left" vertical="top" wrapText="1"/>
    </xf>
    <xf numFmtId="0" fontId="72" fillId="0" borderId="0" xfId="174" applyFont="1" applyFill="1" applyAlignment="1">
      <alignment horizontal="right" vertical="top" wrapText="1"/>
    </xf>
    <xf numFmtId="0" fontId="71" fillId="0" borderId="0" xfId="147" applyFont="1" applyFill="1" applyAlignment="1">
      <alignment horizontal="center" vertical="center" wrapText="1"/>
    </xf>
    <xf numFmtId="20" fontId="58" fillId="0" borderId="2" xfId="169" applyNumberFormat="1" applyFont="1" applyFill="1" applyBorder="1" applyAlignment="1">
      <alignment horizontal="center" vertical="center" wrapText="1"/>
    </xf>
    <xf numFmtId="0" fontId="58" fillId="0" borderId="1" xfId="169" applyFont="1" applyFill="1" applyBorder="1" applyAlignment="1">
      <alignment horizontal="center" vertical="center" wrapText="1"/>
    </xf>
    <xf numFmtId="0" fontId="58" fillId="0" borderId="9" xfId="169" applyFont="1" applyFill="1" applyBorder="1" applyAlignment="1">
      <alignment horizontal="center" vertical="center" wrapText="1"/>
    </xf>
  </cellXfs>
  <cellStyles count="179">
    <cellStyle name="20% - Accent1 2" xfId="18" xr:uid="{00000000-0005-0000-0000-000000000000}"/>
    <cellStyle name="20% - Accent1 3" xfId="19" xr:uid="{00000000-0005-0000-0000-000001000000}"/>
    <cellStyle name="20% - Accent2 2" xfId="20" xr:uid="{00000000-0005-0000-0000-000002000000}"/>
    <cellStyle name="20% - Accent2 3" xfId="21" xr:uid="{00000000-0005-0000-0000-000003000000}"/>
    <cellStyle name="20% - Accent3 2" xfId="22" xr:uid="{00000000-0005-0000-0000-000004000000}"/>
    <cellStyle name="20% - Accent3 3" xfId="23" xr:uid="{00000000-0005-0000-0000-000005000000}"/>
    <cellStyle name="20% - Accent4 2" xfId="24" xr:uid="{00000000-0005-0000-0000-000006000000}"/>
    <cellStyle name="20% - Accent4 3" xfId="25" xr:uid="{00000000-0005-0000-0000-000007000000}"/>
    <cellStyle name="20% - Accent5 2" xfId="26" xr:uid="{00000000-0005-0000-0000-000008000000}"/>
    <cellStyle name="20% - Accent5 3" xfId="27" xr:uid="{00000000-0005-0000-0000-000009000000}"/>
    <cellStyle name="20% - Accent6 2" xfId="28" xr:uid="{00000000-0005-0000-0000-00000A000000}"/>
    <cellStyle name="20% - Accent6 3" xfId="29" xr:uid="{00000000-0005-0000-0000-00000B000000}"/>
    <cellStyle name="40% - Accent1 2" xfId="30" xr:uid="{00000000-0005-0000-0000-00000C000000}"/>
    <cellStyle name="40% - Accent1 3" xfId="31" xr:uid="{00000000-0005-0000-0000-00000D000000}"/>
    <cellStyle name="40% - Accent2 2" xfId="32" xr:uid="{00000000-0005-0000-0000-00000E000000}"/>
    <cellStyle name="40% - Accent2 3" xfId="33" xr:uid="{00000000-0005-0000-0000-00000F000000}"/>
    <cellStyle name="40% - Accent3 2" xfId="34" xr:uid="{00000000-0005-0000-0000-000010000000}"/>
    <cellStyle name="40% - Accent3 3" xfId="35" xr:uid="{00000000-0005-0000-0000-000011000000}"/>
    <cellStyle name="40% - Accent4 2" xfId="36" xr:uid="{00000000-0005-0000-0000-000012000000}"/>
    <cellStyle name="40% - Accent4 3" xfId="37" xr:uid="{00000000-0005-0000-0000-000013000000}"/>
    <cellStyle name="40% - Accent5 2" xfId="38" xr:uid="{00000000-0005-0000-0000-000014000000}"/>
    <cellStyle name="40% - Accent5 3" xfId="39" xr:uid="{00000000-0005-0000-0000-000015000000}"/>
    <cellStyle name="40% - Accent6 2" xfId="40" xr:uid="{00000000-0005-0000-0000-000016000000}"/>
    <cellStyle name="40% - Accent6 3" xfId="41" xr:uid="{00000000-0005-0000-0000-000017000000}"/>
    <cellStyle name="60% - Accent1 2" xfId="42" xr:uid="{00000000-0005-0000-0000-000018000000}"/>
    <cellStyle name="60% - Accent2 2" xfId="43" xr:uid="{00000000-0005-0000-0000-000019000000}"/>
    <cellStyle name="60% - Accent3 2" xfId="44" xr:uid="{00000000-0005-0000-0000-00001A000000}"/>
    <cellStyle name="60% - Accent4 2" xfId="45" xr:uid="{00000000-0005-0000-0000-00001B000000}"/>
    <cellStyle name="60% - Accent5 2" xfId="46" xr:uid="{00000000-0005-0000-0000-00001C000000}"/>
    <cellStyle name="60% - Accent6 2" xfId="47" xr:uid="{00000000-0005-0000-0000-00001D000000}"/>
    <cellStyle name="Accent1 2" xfId="48" xr:uid="{00000000-0005-0000-0000-00001E000000}"/>
    <cellStyle name="Accent2 2" xfId="49" xr:uid="{00000000-0005-0000-0000-00001F000000}"/>
    <cellStyle name="Accent3 2" xfId="50" xr:uid="{00000000-0005-0000-0000-000020000000}"/>
    <cellStyle name="Accent4 2" xfId="51" xr:uid="{00000000-0005-0000-0000-000021000000}"/>
    <cellStyle name="Accent5 2" xfId="52" xr:uid="{00000000-0005-0000-0000-000022000000}"/>
    <cellStyle name="Accent6 2" xfId="53" xr:uid="{00000000-0005-0000-0000-000023000000}"/>
    <cellStyle name="Bad 2" xfId="54" xr:uid="{00000000-0005-0000-0000-000024000000}"/>
    <cellStyle name="Calculation 2" xfId="55" xr:uid="{00000000-0005-0000-0000-000025000000}"/>
    <cellStyle name="Check Cell 2" xfId="56" xr:uid="{00000000-0005-0000-0000-000026000000}"/>
    <cellStyle name="Comma" xfId="1" builtinId="3"/>
    <cellStyle name="Comma [0] 2" xfId="16" xr:uid="{00000000-0005-0000-0000-000029000000}"/>
    <cellStyle name="Comma [0] 2 2" xfId="57" xr:uid="{00000000-0005-0000-0000-00002A000000}"/>
    <cellStyle name="Comma [0] 2 3" xfId="58" xr:uid="{00000000-0005-0000-0000-00002B000000}"/>
    <cellStyle name="Comma [0] 2 4" xfId="59" xr:uid="{00000000-0005-0000-0000-00002C000000}"/>
    <cellStyle name="Comma [0] 2 5" xfId="60" xr:uid="{00000000-0005-0000-0000-00002D000000}"/>
    <cellStyle name="Comma [0] 2 6" xfId="61" xr:uid="{00000000-0005-0000-0000-00002E000000}"/>
    <cellStyle name="Comma [0] 3" xfId="62" xr:uid="{00000000-0005-0000-0000-00002F000000}"/>
    <cellStyle name="Comma [0] 3 2" xfId="63" xr:uid="{00000000-0005-0000-0000-000030000000}"/>
    <cellStyle name="Comma [0] 4" xfId="64" xr:uid="{00000000-0005-0000-0000-000031000000}"/>
    <cellStyle name="Comma [0] 4 2" xfId="65" xr:uid="{00000000-0005-0000-0000-000032000000}"/>
    <cellStyle name="Comma [0] 5" xfId="66" xr:uid="{00000000-0005-0000-0000-000033000000}"/>
    <cellStyle name="Comma [0] 6" xfId="67" xr:uid="{00000000-0005-0000-0000-000034000000}"/>
    <cellStyle name="Comma [0] 7" xfId="68" xr:uid="{00000000-0005-0000-0000-000035000000}"/>
    <cellStyle name="Comma 10" xfId="69" xr:uid="{00000000-0005-0000-0000-000036000000}"/>
    <cellStyle name="Comma 11" xfId="70" xr:uid="{00000000-0005-0000-0000-000037000000}"/>
    <cellStyle name="Comma 12" xfId="71" xr:uid="{00000000-0005-0000-0000-000038000000}"/>
    <cellStyle name="Comma 13" xfId="72" xr:uid="{00000000-0005-0000-0000-000039000000}"/>
    <cellStyle name="Comma 14" xfId="73" xr:uid="{00000000-0005-0000-0000-00003A000000}"/>
    <cellStyle name="Comma 15" xfId="144" xr:uid="{00000000-0005-0000-0000-00003B000000}"/>
    <cellStyle name="Comma 16" xfId="145" xr:uid="{00000000-0005-0000-0000-00003C000000}"/>
    <cellStyle name="Comma 2" xfId="2" xr:uid="{00000000-0005-0000-0000-00003D000000}"/>
    <cellStyle name="Comma 2 2" xfId="74" xr:uid="{00000000-0005-0000-0000-00003E000000}"/>
    <cellStyle name="Comma 2 2 2" xfId="75" xr:uid="{00000000-0005-0000-0000-00003F000000}"/>
    <cellStyle name="Comma 2 3" xfId="76" xr:uid="{00000000-0005-0000-0000-000040000000}"/>
    <cellStyle name="Comma 2 4" xfId="77" xr:uid="{00000000-0005-0000-0000-000041000000}"/>
    <cellStyle name="Comma 2 5" xfId="78" xr:uid="{00000000-0005-0000-0000-000042000000}"/>
    <cellStyle name="Comma 3" xfId="3" xr:uid="{00000000-0005-0000-0000-000043000000}"/>
    <cellStyle name="Comma 4" xfId="4" xr:uid="{00000000-0005-0000-0000-000044000000}"/>
    <cellStyle name="Comma 4 2" xfId="79" xr:uid="{00000000-0005-0000-0000-000045000000}"/>
    <cellStyle name="Comma 4 2 2" xfId="80" xr:uid="{00000000-0005-0000-0000-000046000000}"/>
    <cellStyle name="Comma 4 3" xfId="81" xr:uid="{00000000-0005-0000-0000-000047000000}"/>
    <cellStyle name="Comma 5" xfId="82" xr:uid="{00000000-0005-0000-0000-000048000000}"/>
    <cellStyle name="Comma 6" xfId="83" xr:uid="{00000000-0005-0000-0000-000049000000}"/>
    <cellStyle name="Comma 7" xfId="84" xr:uid="{00000000-0005-0000-0000-00004A000000}"/>
    <cellStyle name="Comma 8" xfId="85" xr:uid="{00000000-0005-0000-0000-00004B000000}"/>
    <cellStyle name="Comma 8 2" xfId="86" xr:uid="{00000000-0005-0000-0000-00004C000000}"/>
    <cellStyle name="Comma 9" xfId="87" xr:uid="{00000000-0005-0000-0000-00004D000000}"/>
    <cellStyle name="Comma_SAY" xfId="5" xr:uid="{00000000-0005-0000-0000-00004E000000}"/>
    <cellStyle name="Excel Built-in Normal" xfId="88" xr:uid="{00000000-0005-0000-0000-00004F000000}"/>
    <cellStyle name="Explanatory Text 2" xfId="89" xr:uid="{00000000-0005-0000-0000-000050000000}"/>
    <cellStyle name="Good 2" xfId="90" xr:uid="{00000000-0005-0000-0000-000051000000}"/>
    <cellStyle name="Grey" xfId="91" xr:uid="{00000000-0005-0000-0000-000052000000}"/>
    <cellStyle name="Heading 1 2" xfId="92" xr:uid="{00000000-0005-0000-0000-000053000000}"/>
    <cellStyle name="Heading 2 2" xfId="93" xr:uid="{00000000-0005-0000-0000-000054000000}"/>
    <cellStyle name="Heading 3 2" xfId="94" xr:uid="{00000000-0005-0000-0000-000055000000}"/>
    <cellStyle name="Heading 4 2" xfId="95" xr:uid="{00000000-0005-0000-0000-000056000000}"/>
    <cellStyle name="Hyperlink" xfId="178" builtinId="8"/>
    <cellStyle name="Hyperlink 2" xfId="96" xr:uid="{00000000-0005-0000-0000-000057000000}"/>
    <cellStyle name="Input [yellow]" xfId="97" xr:uid="{00000000-0005-0000-0000-000058000000}"/>
    <cellStyle name="Input 2" xfId="98" xr:uid="{00000000-0005-0000-0000-000059000000}"/>
    <cellStyle name="Linked Cell 2" xfId="99" xr:uid="{00000000-0005-0000-0000-00005A000000}"/>
    <cellStyle name="Neutral 2" xfId="100" xr:uid="{00000000-0005-0000-0000-00005B000000}"/>
    <cellStyle name="Normal" xfId="0" builtinId="0"/>
    <cellStyle name="Normal - Style1" xfId="101" xr:uid="{00000000-0005-0000-0000-00005D000000}"/>
    <cellStyle name="Normal 16 2" xfId="102" xr:uid="{00000000-0005-0000-0000-00005E000000}"/>
    <cellStyle name="Normal 2" xfId="6" xr:uid="{00000000-0005-0000-0000-00005F000000}"/>
    <cellStyle name="Normal 2 2" xfId="7" xr:uid="{00000000-0005-0000-0000-000060000000}"/>
    <cellStyle name="Normal 2 2 2" xfId="103" xr:uid="{00000000-0005-0000-0000-000061000000}"/>
    <cellStyle name="Normal 2 3" xfId="104" xr:uid="{00000000-0005-0000-0000-000062000000}"/>
    <cellStyle name="Normal 2 3 2" xfId="105" xr:uid="{00000000-0005-0000-0000-000063000000}"/>
    <cellStyle name="Normal 2 3_Book1" xfId="106" xr:uid="{00000000-0005-0000-0000-000064000000}"/>
    <cellStyle name="Normal 2 4" xfId="107" xr:uid="{00000000-0005-0000-0000-000065000000}"/>
    <cellStyle name="Normal 2 5" xfId="108" xr:uid="{00000000-0005-0000-0000-000066000000}"/>
    <cellStyle name="Normal 2 6" xfId="109" xr:uid="{00000000-0005-0000-0000-000067000000}"/>
    <cellStyle name="Normal 2 7" xfId="146" xr:uid="{00000000-0005-0000-0000-000068000000}"/>
    <cellStyle name="Normal 2 8" xfId="177" xr:uid="{00000000-0005-0000-0000-000069000000}"/>
    <cellStyle name="Normal 2_Book1" xfId="110" xr:uid="{00000000-0005-0000-0000-00006A000000}"/>
    <cellStyle name="Normal 3" xfId="10" xr:uid="{00000000-0005-0000-0000-00006B000000}"/>
    <cellStyle name="Normal 3 2" xfId="111" xr:uid="{00000000-0005-0000-0000-00006C000000}"/>
    <cellStyle name="Normal 3 3" xfId="112" xr:uid="{00000000-0005-0000-0000-00006D000000}"/>
    <cellStyle name="Normal 3 4" xfId="113" xr:uid="{00000000-0005-0000-0000-00006E000000}"/>
    <cellStyle name="Normal 3_Cyclect - Monthly Employee Payroll Calculation - JAN" xfId="114" xr:uid="{00000000-0005-0000-0000-00006F000000}"/>
    <cellStyle name="Normal 4" xfId="8" xr:uid="{00000000-0005-0000-0000-000070000000}"/>
    <cellStyle name="Normal 4 2" xfId="115" xr:uid="{00000000-0005-0000-0000-000071000000}"/>
    <cellStyle name="Normal 4 2 2" xfId="116" xr:uid="{00000000-0005-0000-0000-000072000000}"/>
    <cellStyle name="Normal 4 2 2 2 2" xfId="117" xr:uid="{00000000-0005-0000-0000-000073000000}"/>
    <cellStyle name="Normal 4 2 2 3 2" xfId="118" xr:uid="{00000000-0005-0000-0000-000074000000}"/>
    <cellStyle name="Normal 4 2 3" xfId="119" xr:uid="{00000000-0005-0000-0000-000075000000}"/>
    <cellStyle name="Normal 4 2 4" xfId="120" xr:uid="{00000000-0005-0000-0000-000076000000}"/>
    <cellStyle name="Normal 4 3" xfId="121" xr:uid="{00000000-0005-0000-0000-000077000000}"/>
    <cellStyle name="Normal 4 4" xfId="122" xr:uid="{00000000-0005-0000-0000-000078000000}"/>
    <cellStyle name="Normal 4_Cyclect - Monthly Employee Payroll Calculation - JAN" xfId="123" xr:uid="{00000000-0005-0000-0000-000079000000}"/>
    <cellStyle name="Normal 5" xfId="15" xr:uid="{00000000-0005-0000-0000-00007A000000}"/>
    <cellStyle name="Normal 5 2" xfId="124" xr:uid="{00000000-0005-0000-0000-00007B000000}"/>
    <cellStyle name="Normal 6" xfId="11" xr:uid="{00000000-0005-0000-0000-00007C000000}"/>
    <cellStyle name="Normal 6 2" xfId="125" xr:uid="{00000000-0005-0000-0000-00007D000000}"/>
    <cellStyle name="Normal 7" xfId="126" xr:uid="{00000000-0005-0000-0000-00007E000000}"/>
    <cellStyle name="Normal 8" xfId="127" xr:uid="{00000000-0005-0000-0000-00007F000000}"/>
    <cellStyle name="Normal 9" xfId="128" xr:uid="{00000000-0005-0000-0000-000080000000}"/>
    <cellStyle name="Normal_SAY" xfId="9" xr:uid="{00000000-0005-0000-0000-000081000000}"/>
    <cellStyle name="Note 2" xfId="129" xr:uid="{00000000-0005-0000-0000-000082000000}"/>
    <cellStyle name="Note 3" xfId="130" xr:uid="{00000000-0005-0000-0000-000083000000}"/>
    <cellStyle name="Output 2" xfId="131" xr:uid="{00000000-0005-0000-0000-000084000000}"/>
    <cellStyle name="Percent" xfId="14" builtinId="5"/>
    <cellStyle name="Percent [2]" xfId="132" xr:uid="{00000000-0005-0000-0000-000086000000}"/>
    <cellStyle name="Percent 2" xfId="17" xr:uid="{00000000-0005-0000-0000-000087000000}"/>
    <cellStyle name="Percent 2 2" xfId="133" xr:uid="{00000000-0005-0000-0000-000088000000}"/>
    <cellStyle name="Percent 3" xfId="134" xr:uid="{00000000-0005-0000-0000-000089000000}"/>
    <cellStyle name="S0" xfId="147" xr:uid="{00000000-0005-0000-0000-00008A000000}"/>
    <cellStyle name="S0 2" xfId="148" xr:uid="{00000000-0005-0000-0000-00008B000000}"/>
    <cellStyle name="S0 3" xfId="149" xr:uid="{00000000-0005-0000-0000-00008C000000}"/>
    <cellStyle name="S1" xfId="150" xr:uid="{00000000-0005-0000-0000-00008D000000}"/>
    <cellStyle name="S1 2" xfId="151" xr:uid="{00000000-0005-0000-0000-00008E000000}"/>
    <cellStyle name="S1 3" xfId="152" xr:uid="{00000000-0005-0000-0000-00008F000000}"/>
    <cellStyle name="S2" xfId="153" xr:uid="{00000000-0005-0000-0000-000090000000}"/>
    <cellStyle name="S2 2" xfId="154" xr:uid="{00000000-0005-0000-0000-000091000000}"/>
    <cellStyle name="S2 3" xfId="155" xr:uid="{00000000-0005-0000-0000-000092000000}"/>
    <cellStyle name="S3" xfId="12" xr:uid="{00000000-0005-0000-0000-000093000000}"/>
    <cellStyle name="S3 2" xfId="157" xr:uid="{00000000-0005-0000-0000-000094000000}"/>
    <cellStyle name="S3 3" xfId="158" xr:uid="{00000000-0005-0000-0000-000095000000}"/>
    <cellStyle name="S3 4" xfId="156" xr:uid="{00000000-0005-0000-0000-000096000000}"/>
    <cellStyle name="S4" xfId="159" xr:uid="{00000000-0005-0000-0000-000097000000}"/>
    <cellStyle name="S4 2" xfId="160" xr:uid="{00000000-0005-0000-0000-000098000000}"/>
    <cellStyle name="S4 3" xfId="161" xr:uid="{00000000-0005-0000-0000-000099000000}"/>
    <cellStyle name="S5" xfId="162" xr:uid="{00000000-0005-0000-0000-00009A000000}"/>
    <cellStyle name="S5 2" xfId="163" xr:uid="{00000000-0005-0000-0000-00009B000000}"/>
    <cellStyle name="S5 3" xfId="164" xr:uid="{00000000-0005-0000-0000-00009C000000}"/>
    <cellStyle name="S6" xfId="165" xr:uid="{00000000-0005-0000-0000-00009D000000}"/>
    <cellStyle name="S6 2" xfId="166" xr:uid="{00000000-0005-0000-0000-00009E000000}"/>
    <cellStyle name="S6 3" xfId="167" xr:uid="{00000000-0005-0000-0000-00009F000000}"/>
    <cellStyle name="S7" xfId="13" xr:uid="{00000000-0005-0000-0000-0000A0000000}"/>
    <cellStyle name="S7 2" xfId="143" xr:uid="{00000000-0005-0000-0000-0000A1000000}"/>
    <cellStyle name="S7 2 2" xfId="169" xr:uid="{00000000-0005-0000-0000-0000A2000000}"/>
    <cellStyle name="S7 3" xfId="170" xr:uid="{00000000-0005-0000-0000-0000A3000000}"/>
    <cellStyle name="S7 4" xfId="168" xr:uid="{00000000-0005-0000-0000-0000A4000000}"/>
    <cellStyle name="S8" xfId="171" xr:uid="{00000000-0005-0000-0000-0000A5000000}"/>
    <cellStyle name="S8 2" xfId="172" xr:uid="{00000000-0005-0000-0000-0000A6000000}"/>
    <cellStyle name="S8 3" xfId="173" xr:uid="{00000000-0005-0000-0000-0000A7000000}"/>
    <cellStyle name="S9" xfId="174" xr:uid="{00000000-0005-0000-0000-0000A8000000}"/>
    <cellStyle name="S9 2" xfId="175" xr:uid="{00000000-0005-0000-0000-0000A9000000}"/>
    <cellStyle name="S9 3" xfId="176" xr:uid="{00000000-0005-0000-0000-0000AA000000}"/>
    <cellStyle name="Title 2" xfId="135" xr:uid="{00000000-0005-0000-0000-0000AB000000}"/>
    <cellStyle name="Total 2" xfId="136" xr:uid="{00000000-0005-0000-0000-0000AC000000}"/>
    <cellStyle name="Warning Text 2" xfId="137" xr:uid="{00000000-0005-0000-0000-0000AD000000}"/>
    <cellStyle name="桁区切り [0.00]_NEGS" xfId="138" xr:uid="{00000000-0005-0000-0000-0000AE000000}"/>
    <cellStyle name="桁区切り_NEGS" xfId="139" xr:uid="{00000000-0005-0000-0000-0000AF000000}"/>
    <cellStyle name="標準_NEGS" xfId="140" xr:uid="{00000000-0005-0000-0000-0000B0000000}"/>
    <cellStyle name="通貨 [0.00]_NEGS" xfId="141" xr:uid="{00000000-0005-0000-0000-0000B1000000}"/>
    <cellStyle name="通貨_NEGS" xfId="142" xr:uid="{00000000-0005-0000-0000-0000B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PTSB1\AppData\Roaming\Microsoft\Excel\Users\ASUS\AppData\Roaming\Microsoft\Excel\data%20yon's\PPh\Laporan%20Bulanan\TAG%202006\APRIL\SPT%2021\PPH%20PS%2021\2005\PPH2111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WINDOWS\TEMP\europe%2004%20pri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My%20Documents\Downloads\SSP-BAD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ing\shareddocs\Documents%20and%20Settings\User\My%20Documents\PERFECT\Tahunan\PPh%20Pasal%2029\PPh%20Pasal%2025\SPT%20TAHUNAN%20PPh%20PASAL%20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PTSB1\AppData\Roaming\Microsoft\Excel\Users\user\AppData\Local\Temp\akt-exc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ata%20yon's\Lap%20PPNK_PPNM\Lap.%20Pajak%20Keluaran\PK%202004\1204PPN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Users\DELL\Desktop\Data\Cipta%20Megah%20Properti\2016\CTH%20LAP\Repot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PERSIAPAN%20BUKU\PERSIAPAN%20BUKU-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. GAJI"/>
      <sheetName val="GAJI"/>
      <sheetName val="BYPST"/>
      <sheetName val="REK.MP.GAJI"/>
      <sheetName val="REK.POT.PPH"/>
      <sheetName val="REK.T.AHLI"/>
      <sheetName val="REK.T.HARIAN"/>
      <sheetName val="UPAH BORONG"/>
      <sheetName val="BON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_Rp"/>
      <sheetName val="Kas $"/>
      <sheetName val="Bank_Rp"/>
      <sheetName val="Bank_$"/>
      <sheetName val="JU"/>
      <sheetName val="tb"/>
      <sheetName val="adj"/>
      <sheetName val="N"/>
      <sheetName val="Sheet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71a"/>
      <sheetName val="1771b"/>
      <sheetName val="1771_I"/>
      <sheetName val="1771_ II"/>
      <sheetName val="1771_III"/>
      <sheetName val="1771_IV"/>
      <sheetName val="1771_V"/>
      <sheetName val="1771_VI"/>
      <sheetName val="Aktiva Tetap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Awal"/>
      <sheetName val="Menu"/>
      <sheetName val="Akun"/>
      <sheetName val="Customer&amp;Suplier"/>
      <sheetName val="Stok"/>
      <sheetName val="Aset Tetap"/>
      <sheetName val="Jurnal"/>
      <sheetName val="BB"/>
      <sheetName val="BBP"/>
      <sheetName val="BBH"/>
      <sheetName val="Neraca Saldo"/>
      <sheetName val="Rekonsiliasi"/>
      <sheetName val="AJP"/>
      <sheetName val="L-R"/>
      <sheetName val="Ekuitas"/>
      <sheetName val="Neraca"/>
      <sheetName val="arus-kas (1)"/>
      <sheetName val="arus-kas (2)"/>
      <sheetName val="J-Penutup"/>
      <sheetName val="NSSP"/>
    </sheetNames>
    <sheetDataSet>
      <sheetData sheetId="0" refreshError="1"/>
      <sheetData sheetId="1"/>
      <sheetData sheetId="2">
        <row r="9">
          <cell r="B9">
            <v>1110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DE"/>
      <sheetName val="A1"/>
      <sheetName val="A2"/>
      <sheetName val="A3"/>
      <sheetName val="REKAP"/>
      <sheetName val="POLRES"/>
      <sheetName val="UEASSA"/>
    </sheetNames>
    <sheetDataSet>
      <sheetData sheetId="0">
        <row r="1">
          <cell r="A1" t="str">
            <v>KODE KPP</v>
          </cell>
          <cell r="B1" t="str">
            <v>NAMA KPP</v>
          </cell>
        </row>
        <row r="2">
          <cell r="A2">
            <v>1</v>
          </cell>
          <cell r="B2" t="str">
            <v>JKT MATRAMAN</v>
          </cell>
        </row>
        <row r="3">
          <cell r="A3">
            <v>2</v>
          </cell>
          <cell r="B3" t="str">
            <v>JKT JATINEGARA</v>
          </cell>
        </row>
        <row r="4">
          <cell r="A4">
            <v>3</v>
          </cell>
          <cell r="B4" t="str">
            <v>JKT PULO GADUNG</v>
          </cell>
        </row>
        <row r="5">
          <cell r="A5">
            <v>4</v>
          </cell>
          <cell r="B5" t="str">
            <v>JKT CAKUNG SATU</v>
          </cell>
        </row>
        <row r="6">
          <cell r="A6">
            <v>5</v>
          </cell>
          <cell r="B6" t="str">
            <v>JKT KRAMATJATI</v>
          </cell>
        </row>
        <row r="7">
          <cell r="A7">
            <v>6</v>
          </cell>
          <cell r="B7" t="str">
            <v>JKT CAKUNG DUA</v>
          </cell>
        </row>
        <row r="8">
          <cell r="A8">
            <v>10</v>
          </cell>
          <cell r="B8" t="str">
            <v>KANWIL I DJP MEDAN</v>
          </cell>
        </row>
        <row r="9">
          <cell r="A9">
            <v>11</v>
          </cell>
          <cell r="B9" t="str">
            <v>JKT SETIABUDI SATU</v>
          </cell>
        </row>
        <row r="10">
          <cell r="A10">
            <v>12</v>
          </cell>
          <cell r="B10" t="str">
            <v>JKT KEB. BARU SATU</v>
          </cell>
        </row>
        <row r="11">
          <cell r="A11">
            <v>13</v>
          </cell>
          <cell r="B11" t="str">
            <v>JKT KEB. LAMA</v>
          </cell>
        </row>
        <row r="12">
          <cell r="A12">
            <v>14</v>
          </cell>
          <cell r="B12" t="str">
            <v>JKT MAMPANG PRAPATAN</v>
          </cell>
        </row>
        <row r="13">
          <cell r="A13">
            <v>15</v>
          </cell>
          <cell r="B13" t="str">
            <v>JKT TEBET</v>
          </cell>
        </row>
        <row r="14">
          <cell r="A14">
            <v>16</v>
          </cell>
          <cell r="B14" t="str">
            <v>JKT CILANDAK</v>
          </cell>
        </row>
        <row r="15">
          <cell r="A15">
            <v>17</v>
          </cell>
          <cell r="B15" t="str">
            <v>JKT PASAR MINGGU</v>
          </cell>
        </row>
        <row r="16">
          <cell r="A16">
            <v>18</v>
          </cell>
          <cell r="B16" t="str">
            <v>JKT SETIABUDI DUA</v>
          </cell>
        </row>
        <row r="17">
          <cell r="A17">
            <v>19</v>
          </cell>
          <cell r="B17" t="str">
            <v>JKT KEB. BARU DUA</v>
          </cell>
        </row>
        <row r="18">
          <cell r="A18">
            <v>20</v>
          </cell>
          <cell r="B18" t="str">
            <v>KANWIL II DJP PEKANBARU</v>
          </cell>
        </row>
        <row r="19">
          <cell r="A19">
            <v>21</v>
          </cell>
          <cell r="B19" t="str">
            <v>JKT MENTENG SATU</v>
          </cell>
        </row>
        <row r="20">
          <cell r="A20">
            <v>22</v>
          </cell>
          <cell r="B20" t="str">
            <v>JKT TANAH ABANG SATU</v>
          </cell>
        </row>
        <row r="21">
          <cell r="A21">
            <v>23</v>
          </cell>
          <cell r="B21" t="str">
            <v>JKT SENEN</v>
          </cell>
        </row>
        <row r="22">
          <cell r="A22">
            <v>24</v>
          </cell>
          <cell r="B22" t="str">
            <v>JKT CEMPAKA PUTIH</v>
          </cell>
        </row>
        <row r="23">
          <cell r="A23">
            <v>25</v>
          </cell>
          <cell r="B23" t="str">
            <v>JKT GAMBIR SATU</v>
          </cell>
        </row>
        <row r="24">
          <cell r="A24">
            <v>26</v>
          </cell>
          <cell r="B24" t="str">
            <v>JKT SAWAH BESAR</v>
          </cell>
        </row>
        <row r="25">
          <cell r="A25">
            <v>27</v>
          </cell>
          <cell r="B25" t="str">
            <v>JKT KEMAYORAN</v>
          </cell>
        </row>
        <row r="26">
          <cell r="A26">
            <v>28</v>
          </cell>
          <cell r="B26" t="str">
            <v>JKT GAMBIR DUA</v>
          </cell>
        </row>
        <row r="27">
          <cell r="A27">
            <v>29</v>
          </cell>
          <cell r="B27" t="str">
            <v>JKT GAMBIR TIGA</v>
          </cell>
        </row>
        <row r="28">
          <cell r="A28">
            <v>30</v>
          </cell>
          <cell r="B28" t="str">
            <v>KANWIL III DJP PALEMBANG</v>
          </cell>
        </row>
        <row r="29">
          <cell r="A29">
            <v>31</v>
          </cell>
          <cell r="B29" t="str">
            <v>JKT PALMERAH</v>
          </cell>
        </row>
        <row r="30">
          <cell r="A30">
            <v>32</v>
          </cell>
          <cell r="B30" t="str">
            <v>JKT TAMANSARI SATU</v>
          </cell>
        </row>
        <row r="31">
          <cell r="A31">
            <v>33</v>
          </cell>
          <cell r="B31" t="str">
            <v>JKT TAMBORA</v>
          </cell>
        </row>
        <row r="32">
          <cell r="A32">
            <v>34</v>
          </cell>
          <cell r="B32" t="str">
            <v>JKT CENGKARENG</v>
          </cell>
        </row>
        <row r="33">
          <cell r="A33">
            <v>35</v>
          </cell>
          <cell r="B33" t="str">
            <v>JKT KEBON JERUK</v>
          </cell>
        </row>
        <row r="34">
          <cell r="A34">
            <v>36</v>
          </cell>
          <cell r="B34" t="str">
            <v>JKT GROGOL PETAMBURAN</v>
          </cell>
        </row>
        <row r="35">
          <cell r="A35">
            <v>37</v>
          </cell>
          <cell r="B35" t="str">
            <v>JKT TAMANSARI DUA</v>
          </cell>
        </row>
        <row r="36">
          <cell r="A36">
            <v>40</v>
          </cell>
          <cell r="B36" t="str">
            <v>KANWIL IV JAYA I DJP JKT</v>
          </cell>
        </row>
        <row r="37">
          <cell r="A37">
            <v>41</v>
          </cell>
          <cell r="B37" t="str">
            <v>JKT PENJARINGAN</v>
          </cell>
        </row>
        <row r="38">
          <cell r="A38">
            <v>42</v>
          </cell>
          <cell r="B38" t="str">
            <v>JKT TANJUNG PRIOK</v>
          </cell>
        </row>
        <row r="39">
          <cell r="A39">
            <v>43</v>
          </cell>
          <cell r="B39" t="str">
            <v>JKT KELAPA GADING</v>
          </cell>
        </row>
        <row r="40">
          <cell r="A40">
            <v>44</v>
          </cell>
          <cell r="B40" t="str">
            <v>JKT PADEMANGAN</v>
          </cell>
        </row>
        <row r="41">
          <cell r="A41">
            <v>45</v>
          </cell>
          <cell r="B41" t="str">
            <v>JKT KOJA</v>
          </cell>
        </row>
        <row r="42">
          <cell r="A42">
            <v>50</v>
          </cell>
          <cell r="B42" t="str">
            <v>KANWIL V JAYA II DJP JKT</v>
          </cell>
        </row>
        <row r="43">
          <cell r="A43">
            <v>51</v>
          </cell>
          <cell r="B43" t="str">
            <v>BADAN USAHA MILIK NEGARA</v>
          </cell>
        </row>
        <row r="44">
          <cell r="A44">
            <v>52</v>
          </cell>
          <cell r="B44" t="str">
            <v>PMA SATU</v>
          </cell>
        </row>
        <row r="45">
          <cell r="A45">
            <v>53</v>
          </cell>
          <cell r="B45" t="str">
            <v>BADORA</v>
          </cell>
        </row>
        <row r="46">
          <cell r="A46">
            <v>54</v>
          </cell>
          <cell r="B46" t="str">
            <v>PERUSAHAAN MASUK BURSA</v>
          </cell>
        </row>
        <row r="47">
          <cell r="A47">
            <v>55</v>
          </cell>
          <cell r="B47" t="str">
            <v>PMA DUA</v>
          </cell>
        </row>
        <row r="48">
          <cell r="A48">
            <v>56</v>
          </cell>
          <cell r="B48" t="str">
            <v>PMA TIGA</v>
          </cell>
        </row>
        <row r="49">
          <cell r="A49">
            <v>57</v>
          </cell>
          <cell r="B49" t="str">
            <v>PMA EMPAT</v>
          </cell>
        </row>
        <row r="50">
          <cell r="A50">
            <v>58</v>
          </cell>
          <cell r="B50" t="str">
            <v>PMA LIMA</v>
          </cell>
        </row>
        <row r="51">
          <cell r="A51">
            <v>59</v>
          </cell>
          <cell r="B51" t="str">
            <v>PMA ENAM</v>
          </cell>
        </row>
        <row r="52">
          <cell r="A52">
            <v>60</v>
          </cell>
          <cell r="B52" t="str">
            <v>KANWIL VI JAYA III DJP JKT</v>
          </cell>
        </row>
        <row r="53">
          <cell r="A53">
            <v>61</v>
          </cell>
          <cell r="B53" t="str">
            <v>JKT PANCORAN</v>
          </cell>
        </row>
        <row r="54">
          <cell r="A54">
            <v>70</v>
          </cell>
          <cell r="B54" t="str">
            <v>KANWIL VII JAYA KHUSUS DJP JKT</v>
          </cell>
        </row>
        <row r="55">
          <cell r="A55">
            <v>71</v>
          </cell>
          <cell r="B55" t="str">
            <v>JKT MENTENG DUA</v>
          </cell>
        </row>
        <row r="56">
          <cell r="A56">
            <v>72</v>
          </cell>
          <cell r="B56" t="str">
            <v>JKT TANAH ABANG DUA</v>
          </cell>
        </row>
        <row r="57">
          <cell r="A57">
            <v>80</v>
          </cell>
          <cell r="B57" t="str">
            <v>KANWIL VIII DJP SERANG</v>
          </cell>
        </row>
        <row r="58">
          <cell r="A58">
            <v>90</v>
          </cell>
          <cell r="B58" t="str">
            <v>KANWIL IX DJP BANDUNG</v>
          </cell>
        </row>
        <row r="59">
          <cell r="A59">
            <v>91</v>
          </cell>
          <cell r="B59" t="str">
            <v>WAJIB PAJAK BESAR SATU</v>
          </cell>
        </row>
        <row r="60">
          <cell r="A60">
            <v>92</v>
          </cell>
          <cell r="B60" t="str">
            <v>WAJIB PAJAK BESAR DUA</v>
          </cell>
        </row>
        <row r="61">
          <cell r="A61">
            <v>100</v>
          </cell>
          <cell r="B61" t="str">
            <v>KANWIL X DJP SEMARANG</v>
          </cell>
        </row>
        <row r="62">
          <cell r="A62">
            <v>101</v>
          </cell>
          <cell r="B62" t="str">
            <v>BANDA ACEH</v>
          </cell>
        </row>
        <row r="63">
          <cell r="A63">
            <v>102</v>
          </cell>
          <cell r="B63" t="str">
            <v>LHOKSEUMAWE</v>
          </cell>
        </row>
        <row r="64">
          <cell r="A64">
            <v>103</v>
          </cell>
          <cell r="B64" t="str">
            <v>MEULABOH</v>
          </cell>
        </row>
        <row r="65">
          <cell r="A65">
            <v>110</v>
          </cell>
          <cell r="B65" t="str">
            <v>KANWIL XI DJP SURABYA</v>
          </cell>
        </row>
        <row r="66">
          <cell r="A66">
            <v>111</v>
          </cell>
          <cell r="B66" t="str">
            <v>MEDAN BARAT</v>
          </cell>
        </row>
        <row r="67">
          <cell r="A67">
            <v>112</v>
          </cell>
          <cell r="B67" t="str">
            <v>MEDAN BELAWAN</v>
          </cell>
        </row>
        <row r="68">
          <cell r="A68">
            <v>113</v>
          </cell>
          <cell r="B68" t="str">
            <v>MEDAN TIMUR</v>
          </cell>
        </row>
        <row r="69">
          <cell r="A69">
            <v>114</v>
          </cell>
          <cell r="B69" t="str">
            <v>TEBING TINGGI</v>
          </cell>
        </row>
        <row r="70">
          <cell r="A70">
            <v>115</v>
          </cell>
          <cell r="B70" t="str">
            <v>KISARAN</v>
          </cell>
        </row>
        <row r="71">
          <cell r="A71">
            <v>116</v>
          </cell>
          <cell r="B71" t="str">
            <v>RANTAU PRAPAT</v>
          </cell>
        </row>
        <row r="72">
          <cell r="A72">
            <v>117</v>
          </cell>
          <cell r="B72" t="str">
            <v>PEMATANG SIANTAR</v>
          </cell>
        </row>
        <row r="73">
          <cell r="A73">
            <v>118</v>
          </cell>
          <cell r="B73" t="str">
            <v>PADANG SIDEMPUAN</v>
          </cell>
        </row>
        <row r="74">
          <cell r="A74">
            <v>119</v>
          </cell>
          <cell r="B74" t="str">
            <v>BINJAI</v>
          </cell>
        </row>
        <row r="75">
          <cell r="A75">
            <v>120</v>
          </cell>
          <cell r="B75" t="str">
            <v>KANWIL XII DJP MALANG</v>
          </cell>
        </row>
        <row r="76">
          <cell r="A76">
            <v>121</v>
          </cell>
          <cell r="B76" t="str">
            <v>MEDAN POLONIA</v>
          </cell>
        </row>
        <row r="77">
          <cell r="A77">
            <v>122</v>
          </cell>
          <cell r="B77" t="str">
            <v>MEDAN KOTA</v>
          </cell>
        </row>
        <row r="78">
          <cell r="A78">
            <v>130</v>
          </cell>
          <cell r="B78" t="str">
            <v>KANWIL XIII DJP PONTIANAK</v>
          </cell>
        </row>
        <row r="79">
          <cell r="A79">
            <v>140</v>
          </cell>
          <cell r="B79" t="str">
            <v>KANWIL XIV DJP BALIKPAPAN</v>
          </cell>
        </row>
        <row r="80">
          <cell r="A80">
            <v>150</v>
          </cell>
          <cell r="B80" t="str">
            <v>KANWIL XV DJP MAKASSAR</v>
          </cell>
        </row>
        <row r="81">
          <cell r="A81">
            <v>160</v>
          </cell>
          <cell r="B81" t="str">
            <v>KANWIL XVI DJP MANADO</v>
          </cell>
        </row>
        <row r="82">
          <cell r="A82">
            <v>170</v>
          </cell>
          <cell r="B82" t="str">
            <v>KANWIL XVII DJP DENPASAR</v>
          </cell>
        </row>
        <row r="83">
          <cell r="A83">
            <v>180</v>
          </cell>
          <cell r="B83" t="str">
            <v>KANWIL XVIII DJP JAYAPURA</v>
          </cell>
        </row>
        <row r="84">
          <cell r="A84">
            <v>201</v>
          </cell>
          <cell r="B84" t="str">
            <v>PADANG</v>
          </cell>
        </row>
        <row r="85">
          <cell r="A85">
            <v>202</v>
          </cell>
          <cell r="B85" t="str">
            <v>BUKITTINGGI</v>
          </cell>
        </row>
        <row r="86">
          <cell r="A86">
            <v>211</v>
          </cell>
          <cell r="B86" t="str">
            <v>PEKANBARU SENAPELAN</v>
          </cell>
        </row>
        <row r="87">
          <cell r="A87">
            <v>212</v>
          </cell>
          <cell r="B87" t="str">
            <v>DUMAI</v>
          </cell>
        </row>
        <row r="88">
          <cell r="A88">
            <v>213</v>
          </cell>
          <cell r="B88" t="str">
            <v>RENGAT</v>
          </cell>
        </row>
        <row r="89">
          <cell r="A89">
            <v>214</v>
          </cell>
          <cell r="B89" t="str">
            <v>TANJUNG PINANG</v>
          </cell>
        </row>
        <row r="90">
          <cell r="A90">
            <v>215</v>
          </cell>
          <cell r="B90" t="str">
            <v>BATAM</v>
          </cell>
        </row>
        <row r="91">
          <cell r="A91">
            <v>216</v>
          </cell>
          <cell r="B91" t="str">
            <v>PEKANBARU TAMPAN</v>
          </cell>
        </row>
        <row r="92">
          <cell r="A92">
            <v>301</v>
          </cell>
          <cell r="B92" t="str">
            <v>PALEMBANG ILIR TIMUR</v>
          </cell>
        </row>
        <row r="93">
          <cell r="A93">
            <v>302</v>
          </cell>
          <cell r="B93" t="str">
            <v>BATURAJA</v>
          </cell>
        </row>
        <row r="94">
          <cell r="A94">
            <v>303</v>
          </cell>
          <cell r="B94" t="str">
            <v>LUBUK LINGGAU</v>
          </cell>
        </row>
        <row r="95">
          <cell r="A95">
            <v>304</v>
          </cell>
          <cell r="B95" t="str">
            <v>PANGKALPINANG</v>
          </cell>
        </row>
        <row r="96">
          <cell r="A96">
            <v>305</v>
          </cell>
          <cell r="B96" t="str">
            <v>TANJUNG PANDAN</v>
          </cell>
        </row>
        <row r="97">
          <cell r="A97">
            <v>306</v>
          </cell>
          <cell r="B97" t="str">
            <v>PALEMBANG SEBERANG ULU</v>
          </cell>
        </row>
        <row r="98">
          <cell r="A98">
            <v>307</v>
          </cell>
          <cell r="B98" t="str">
            <v>PALEMBANG ILIR BARAT</v>
          </cell>
        </row>
        <row r="99">
          <cell r="A99">
            <v>311</v>
          </cell>
          <cell r="B99" t="str">
            <v>BENGKULU</v>
          </cell>
        </row>
        <row r="100">
          <cell r="A100">
            <v>321</v>
          </cell>
          <cell r="B100" t="str">
            <v>METRO</v>
          </cell>
        </row>
        <row r="101">
          <cell r="A101">
            <v>322</v>
          </cell>
          <cell r="B101" t="str">
            <v>BANDAR LAMPUNG</v>
          </cell>
        </row>
        <row r="102">
          <cell r="A102">
            <v>331</v>
          </cell>
          <cell r="B102" t="str">
            <v>JAMBI</v>
          </cell>
        </row>
        <row r="103">
          <cell r="A103">
            <v>332</v>
          </cell>
          <cell r="B103" t="str">
            <v>MUARA BUNGO</v>
          </cell>
        </row>
        <row r="104">
          <cell r="A104">
            <v>401</v>
          </cell>
          <cell r="B104" t="str">
            <v>SERANG</v>
          </cell>
        </row>
        <row r="105">
          <cell r="A105">
            <v>402</v>
          </cell>
          <cell r="B105" t="str">
            <v>TANGERANG</v>
          </cell>
        </row>
        <row r="106">
          <cell r="A106">
            <v>403</v>
          </cell>
          <cell r="B106" t="str">
            <v>CIBINONG</v>
          </cell>
        </row>
        <row r="107">
          <cell r="A107">
            <v>404</v>
          </cell>
          <cell r="B107" t="str">
            <v>BOGOR</v>
          </cell>
        </row>
        <row r="108">
          <cell r="A108">
            <v>405</v>
          </cell>
          <cell r="B108" t="str">
            <v>SUKABUMI</v>
          </cell>
        </row>
        <row r="109">
          <cell r="A109">
            <v>406</v>
          </cell>
          <cell r="B109" t="str">
            <v>CIANJUR</v>
          </cell>
        </row>
        <row r="110">
          <cell r="A110">
            <v>407</v>
          </cell>
          <cell r="B110" t="str">
            <v>BEKASI</v>
          </cell>
        </row>
        <row r="111">
          <cell r="A111">
            <v>408</v>
          </cell>
          <cell r="B111" t="str">
            <v>KARAWANG</v>
          </cell>
        </row>
        <row r="112">
          <cell r="A112">
            <v>409</v>
          </cell>
          <cell r="B112" t="str">
            <v>PURWAKARTA</v>
          </cell>
        </row>
        <row r="113">
          <cell r="A113">
            <v>411</v>
          </cell>
          <cell r="B113" t="str">
            <v>SERPONG</v>
          </cell>
        </row>
        <row r="114">
          <cell r="A114">
            <v>412</v>
          </cell>
          <cell r="B114" t="str">
            <v>DEPOK</v>
          </cell>
        </row>
        <row r="115">
          <cell r="A115">
            <v>413</v>
          </cell>
          <cell r="B115" t="str">
            <v>CIKARANG SATU</v>
          </cell>
        </row>
        <row r="116">
          <cell r="A116">
            <v>414</v>
          </cell>
          <cell r="B116" t="str">
            <v>CIKARANG DUA</v>
          </cell>
        </row>
        <row r="117">
          <cell r="A117">
            <v>421</v>
          </cell>
          <cell r="B117" t="str">
            <v>CIMAHI</v>
          </cell>
        </row>
        <row r="118">
          <cell r="A118">
            <v>422</v>
          </cell>
          <cell r="B118" t="str">
            <v>BANDUNG TEGALLEGA</v>
          </cell>
        </row>
        <row r="119">
          <cell r="A119">
            <v>423</v>
          </cell>
          <cell r="B119" t="str">
            <v>BANDUNG CIBEUNYING</v>
          </cell>
        </row>
        <row r="120">
          <cell r="A120">
            <v>424</v>
          </cell>
          <cell r="B120" t="str">
            <v>BANDUNG KAREES</v>
          </cell>
        </row>
        <row r="121">
          <cell r="A121">
            <v>425</v>
          </cell>
          <cell r="B121" t="str">
            <v>TASIKMALAYA</v>
          </cell>
        </row>
        <row r="122">
          <cell r="A122">
            <v>426</v>
          </cell>
          <cell r="B122" t="str">
            <v>CIREBON</v>
          </cell>
        </row>
        <row r="123">
          <cell r="A123">
            <v>428</v>
          </cell>
          <cell r="B123" t="str">
            <v>BANDUNG BOJONEGARA</v>
          </cell>
        </row>
        <row r="124">
          <cell r="A124">
            <v>429</v>
          </cell>
          <cell r="B124" t="str">
            <v>BANDUNG CICADAS</v>
          </cell>
        </row>
        <row r="125">
          <cell r="A125">
            <v>501</v>
          </cell>
          <cell r="B125" t="str">
            <v>TEGAL</v>
          </cell>
        </row>
        <row r="126">
          <cell r="A126">
            <v>502</v>
          </cell>
          <cell r="B126" t="str">
            <v>PEKALONGAN</v>
          </cell>
        </row>
        <row r="127">
          <cell r="A127">
            <v>503</v>
          </cell>
          <cell r="B127" t="str">
            <v>SEMARANG BARAT</v>
          </cell>
        </row>
        <row r="128">
          <cell r="A128">
            <v>504</v>
          </cell>
          <cell r="B128" t="str">
            <v>SEMARANG TIMUR</v>
          </cell>
        </row>
        <row r="129">
          <cell r="A129">
            <v>505</v>
          </cell>
          <cell r="B129" t="str">
            <v>SALATIGA</v>
          </cell>
        </row>
        <row r="130">
          <cell r="A130">
            <v>506</v>
          </cell>
          <cell r="B130" t="str">
            <v>KUDUS</v>
          </cell>
        </row>
        <row r="131">
          <cell r="A131">
            <v>507</v>
          </cell>
          <cell r="B131" t="str">
            <v>PATI</v>
          </cell>
        </row>
        <row r="132">
          <cell r="A132">
            <v>508</v>
          </cell>
          <cell r="B132" t="str">
            <v>SEMARANG SELATAN</v>
          </cell>
        </row>
        <row r="133">
          <cell r="A133">
            <v>509</v>
          </cell>
          <cell r="B133" t="str">
            <v>SEMARANG TENGAH</v>
          </cell>
        </row>
        <row r="134">
          <cell r="A134">
            <v>521</v>
          </cell>
          <cell r="B134" t="str">
            <v>PURWOKERTO</v>
          </cell>
        </row>
        <row r="135">
          <cell r="A135">
            <v>522</v>
          </cell>
          <cell r="B135" t="str">
            <v>CILACAP</v>
          </cell>
        </row>
        <row r="136">
          <cell r="A136">
            <v>523</v>
          </cell>
          <cell r="B136" t="str">
            <v>KEBUMEN</v>
          </cell>
        </row>
        <row r="137">
          <cell r="A137">
            <v>524</v>
          </cell>
          <cell r="B137" t="str">
            <v>MAGELANG</v>
          </cell>
        </row>
        <row r="138">
          <cell r="A138">
            <v>525</v>
          </cell>
          <cell r="B138" t="str">
            <v>KLATEN</v>
          </cell>
        </row>
        <row r="139">
          <cell r="A139">
            <v>526</v>
          </cell>
          <cell r="B139" t="str">
            <v>SURAKARTA</v>
          </cell>
        </row>
        <row r="140">
          <cell r="A140">
            <v>541</v>
          </cell>
          <cell r="B140" t="str">
            <v>YOGYAKARTA SATU</v>
          </cell>
        </row>
        <row r="141">
          <cell r="A141">
            <v>542</v>
          </cell>
          <cell r="B141" t="str">
            <v>YOGYAKARTA DUA</v>
          </cell>
        </row>
        <row r="142">
          <cell r="A142">
            <v>601</v>
          </cell>
          <cell r="B142" t="str">
            <v>BOJONEGORO</v>
          </cell>
        </row>
        <row r="143">
          <cell r="A143">
            <v>602</v>
          </cell>
          <cell r="B143" t="str">
            <v>MOJOKERTO</v>
          </cell>
        </row>
        <row r="144">
          <cell r="A144">
            <v>603</v>
          </cell>
          <cell r="B144" t="str">
            <v>SIDOARJO BARAT</v>
          </cell>
        </row>
        <row r="145">
          <cell r="A145">
            <v>604</v>
          </cell>
          <cell r="B145" t="str">
            <v>SURABAYA SUKOMANUNGGAL</v>
          </cell>
        </row>
        <row r="146">
          <cell r="A146">
            <v>605</v>
          </cell>
          <cell r="B146" t="str">
            <v>SURABAYA KREMBANGAN</v>
          </cell>
        </row>
        <row r="147">
          <cell r="A147">
            <v>606</v>
          </cell>
          <cell r="B147" t="str">
            <v>SURABAYA GUBENG</v>
          </cell>
        </row>
        <row r="148">
          <cell r="A148">
            <v>607</v>
          </cell>
          <cell r="B148" t="str">
            <v>SURABAYA TEGALSARI</v>
          </cell>
        </row>
        <row r="149">
          <cell r="A149">
            <v>608</v>
          </cell>
          <cell r="B149" t="str">
            <v>PAMEKASAN</v>
          </cell>
        </row>
        <row r="150">
          <cell r="A150">
            <v>609</v>
          </cell>
          <cell r="B150" t="str">
            <v>SURABAYA WONOCOLO</v>
          </cell>
        </row>
        <row r="151">
          <cell r="A151">
            <v>611</v>
          </cell>
          <cell r="B151" t="str">
            <v>SURABAYA GENTENG</v>
          </cell>
        </row>
        <row r="152">
          <cell r="A152">
            <v>612</v>
          </cell>
          <cell r="B152" t="str">
            <v>GRESIK</v>
          </cell>
        </row>
        <row r="153">
          <cell r="A153">
            <v>613</v>
          </cell>
          <cell r="B153" t="str">
            <v>SURABAYA PABEAN CANTIKAN</v>
          </cell>
        </row>
        <row r="154">
          <cell r="A154">
            <v>614</v>
          </cell>
          <cell r="B154" t="str">
            <v>SURABAYA SAWAHAN</v>
          </cell>
        </row>
        <row r="155">
          <cell r="A155">
            <v>615</v>
          </cell>
          <cell r="B155" t="str">
            <v>SURABAYA RUNGKUT</v>
          </cell>
        </row>
        <row r="156">
          <cell r="A156">
            <v>616</v>
          </cell>
          <cell r="B156" t="str">
            <v>SURABAYA SIMOKERTO</v>
          </cell>
        </row>
        <row r="157">
          <cell r="A157">
            <v>617</v>
          </cell>
          <cell r="B157" t="str">
            <v>SIDOARJO TIMUR</v>
          </cell>
        </row>
        <row r="158">
          <cell r="A158">
            <v>621</v>
          </cell>
          <cell r="B158" t="str">
            <v>MADIUN</v>
          </cell>
        </row>
        <row r="159">
          <cell r="A159">
            <v>622</v>
          </cell>
          <cell r="B159" t="str">
            <v>KEDIRI</v>
          </cell>
        </row>
        <row r="160">
          <cell r="A160">
            <v>623</v>
          </cell>
          <cell r="B160" t="str">
            <v>MALANG</v>
          </cell>
        </row>
        <row r="161">
          <cell r="A161">
            <v>624</v>
          </cell>
          <cell r="B161" t="str">
            <v>PASURUAN</v>
          </cell>
        </row>
        <row r="162">
          <cell r="A162">
            <v>625</v>
          </cell>
          <cell r="B162" t="str">
            <v>PROBOLINGGO</v>
          </cell>
        </row>
        <row r="163">
          <cell r="A163">
            <v>626</v>
          </cell>
          <cell r="B163" t="str">
            <v>JEMBER</v>
          </cell>
        </row>
        <row r="164">
          <cell r="A164">
            <v>627</v>
          </cell>
          <cell r="B164" t="str">
            <v>BANYUWANGI</v>
          </cell>
        </row>
        <row r="165">
          <cell r="A165">
            <v>629</v>
          </cell>
          <cell r="B165" t="str">
            <v>TULUNGAGUNG</v>
          </cell>
        </row>
        <row r="166">
          <cell r="A166">
            <v>701</v>
          </cell>
          <cell r="B166" t="str">
            <v>PONTIANAK</v>
          </cell>
        </row>
        <row r="167">
          <cell r="A167">
            <v>702</v>
          </cell>
          <cell r="B167" t="str">
            <v>SINGKAWANG</v>
          </cell>
        </row>
        <row r="168">
          <cell r="A168">
            <v>711</v>
          </cell>
          <cell r="B168" t="str">
            <v>PALANGKARAYA</v>
          </cell>
        </row>
        <row r="169">
          <cell r="A169">
            <v>712</v>
          </cell>
          <cell r="B169" t="str">
            <v>SAMPIT</v>
          </cell>
        </row>
        <row r="170">
          <cell r="A170">
            <v>721</v>
          </cell>
          <cell r="B170" t="str">
            <v>BALIKPAPAN</v>
          </cell>
        </row>
        <row r="171">
          <cell r="A171">
            <v>722</v>
          </cell>
          <cell r="B171" t="str">
            <v>SAMARINDA</v>
          </cell>
        </row>
        <row r="172">
          <cell r="A172">
            <v>723</v>
          </cell>
          <cell r="B172" t="str">
            <v>TARAKAN</v>
          </cell>
        </row>
        <row r="173">
          <cell r="A173">
            <v>724</v>
          </cell>
          <cell r="B173" t="str">
            <v>BONTANG</v>
          </cell>
        </row>
        <row r="174">
          <cell r="A174">
            <v>731</v>
          </cell>
          <cell r="B174" t="str">
            <v>BANJARMASIN</v>
          </cell>
        </row>
        <row r="175">
          <cell r="A175">
            <v>732</v>
          </cell>
          <cell r="B175" t="str">
            <v>BANJARBARU</v>
          </cell>
        </row>
        <row r="176">
          <cell r="A176">
            <v>801</v>
          </cell>
          <cell r="B176" t="str">
            <v>MAKASSAR UTARA</v>
          </cell>
        </row>
        <row r="177">
          <cell r="A177">
            <v>802</v>
          </cell>
          <cell r="B177" t="str">
            <v>PAREPARE</v>
          </cell>
        </row>
        <row r="178">
          <cell r="A178">
            <v>803</v>
          </cell>
          <cell r="B178" t="str">
            <v>PALOPO</v>
          </cell>
        </row>
        <row r="179">
          <cell r="A179">
            <v>805</v>
          </cell>
          <cell r="B179" t="str">
            <v>MAKASSAR SELATAN</v>
          </cell>
        </row>
        <row r="180">
          <cell r="A180">
            <v>811</v>
          </cell>
          <cell r="B180" t="str">
            <v>KENDARI</v>
          </cell>
        </row>
        <row r="181">
          <cell r="A181">
            <v>821</v>
          </cell>
          <cell r="B181" t="str">
            <v>MANADO</v>
          </cell>
        </row>
        <row r="182">
          <cell r="A182">
            <v>822</v>
          </cell>
          <cell r="B182" t="str">
            <v>GORONTALO</v>
          </cell>
        </row>
        <row r="183">
          <cell r="A183">
            <v>831</v>
          </cell>
          <cell r="B183" t="str">
            <v>PALU</v>
          </cell>
        </row>
        <row r="184">
          <cell r="A184">
            <v>832</v>
          </cell>
          <cell r="B184" t="str">
            <v>LUWUK</v>
          </cell>
        </row>
        <row r="185">
          <cell r="A185">
            <v>901</v>
          </cell>
          <cell r="B185" t="str">
            <v>DENPASAR BARAT</v>
          </cell>
        </row>
        <row r="186">
          <cell r="A186">
            <v>902</v>
          </cell>
          <cell r="B186" t="str">
            <v>SINGARAJA</v>
          </cell>
        </row>
        <row r="187">
          <cell r="A187">
            <v>903</v>
          </cell>
          <cell r="B187" t="str">
            <v>DENPASAR TIMUR</v>
          </cell>
        </row>
        <row r="188">
          <cell r="A188">
            <v>911</v>
          </cell>
          <cell r="B188" t="str">
            <v>MATARAM</v>
          </cell>
        </row>
        <row r="189">
          <cell r="A189">
            <v>912</v>
          </cell>
          <cell r="B189" t="str">
            <v>RABA BIMA</v>
          </cell>
        </row>
        <row r="190">
          <cell r="A190">
            <v>921</v>
          </cell>
          <cell r="B190" t="str">
            <v>MAUMERE</v>
          </cell>
        </row>
        <row r="191">
          <cell r="A191">
            <v>922</v>
          </cell>
          <cell r="B191" t="str">
            <v>KUPANG</v>
          </cell>
        </row>
        <row r="192">
          <cell r="A192">
            <v>928</v>
          </cell>
          <cell r="B192" t="str">
            <v>BATU</v>
          </cell>
        </row>
        <row r="193">
          <cell r="A193">
            <v>941</v>
          </cell>
          <cell r="B193" t="str">
            <v>AMBON</v>
          </cell>
        </row>
        <row r="194">
          <cell r="A194">
            <v>942</v>
          </cell>
          <cell r="B194" t="str">
            <v>TERNATE</v>
          </cell>
        </row>
        <row r="195">
          <cell r="A195">
            <v>951</v>
          </cell>
          <cell r="B195" t="str">
            <v>SORONG</v>
          </cell>
        </row>
        <row r="196">
          <cell r="A196">
            <v>952</v>
          </cell>
          <cell r="B196" t="str">
            <v>JAYAPURA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raca"/>
      <sheetName val="Jurnal"/>
      <sheetName val="Jurnal_BukuBesar"/>
    </sheetNames>
    <sheetDataSet>
      <sheetData sheetId="0">
        <row r="6">
          <cell r="B6" t="str">
            <v>01.000</v>
          </cell>
          <cell r="C6" t="str">
            <v>Kas</v>
          </cell>
          <cell r="D6">
            <v>33350751</v>
          </cell>
          <cell r="G6">
            <v>33350751</v>
          </cell>
          <cell r="H6">
            <v>29633800</v>
          </cell>
          <cell r="I6">
            <v>29633800</v>
          </cell>
        </row>
        <row r="7">
          <cell r="B7" t="str">
            <v>02.000</v>
          </cell>
          <cell r="C7" t="str">
            <v>Piutang Usaha (Elite Packaging Pte Ltd)</v>
          </cell>
          <cell r="D7">
            <v>138365534</v>
          </cell>
          <cell r="G7">
            <v>138365534</v>
          </cell>
          <cell r="H7">
            <v>145316721</v>
          </cell>
          <cell r="I7">
            <v>145316721</v>
          </cell>
        </row>
        <row r="8">
          <cell r="B8" t="str">
            <v>04.000</v>
          </cell>
          <cell r="C8" t="str">
            <v>Pajak dibayar muka</v>
          </cell>
          <cell r="G8">
            <v>0</v>
          </cell>
          <cell r="H8">
            <v>0</v>
          </cell>
          <cell r="I8">
            <v>0</v>
          </cell>
        </row>
        <row r="9">
          <cell r="B9" t="str">
            <v>04.001</v>
          </cell>
          <cell r="C9" t="str">
            <v>PPh Ps 25 dibayar muka</v>
          </cell>
          <cell r="D9">
            <v>1060000</v>
          </cell>
          <cell r="G9">
            <v>1060000</v>
          </cell>
          <cell r="H9">
            <v>1346000</v>
          </cell>
          <cell r="I9">
            <v>1346000</v>
          </cell>
        </row>
        <row r="10">
          <cell r="B10" t="str">
            <v>05.000</v>
          </cell>
          <cell r="C10" t="str">
            <v>Aktiva tetap</v>
          </cell>
          <cell r="G10">
            <v>0</v>
          </cell>
          <cell r="H10">
            <v>0</v>
          </cell>
          <cell r="I10">
            <v>0</v>
          </cell>
        </row>
        <row r="11">
          <cell r="B11" t="str">
            <v>05.001</v>
          </cell>
          <cell r="C11" t="str">
            <v>Inventaris Kantor</v>
          </cell>
          <cell r="D11">
            <v>16955000</v>
          </cell>
          <cell r="G11">
            <v>16955000</v>
          </cell>
          <cell r="H11">
            <v>16955000</v>
          </cell>
          <cell r="I11">
            <v>16955000</v>
          </cell>
        </row>
        <row r="12">
          <cell r="B12" t="str">
            <v>05.002</v>
          </cell>
          <cell r="C12" t="str">
            <v>Truck</v>
          </cell>
          <cell r="D12">
            <v>45000000</v>
          </cell>
          <cell r="G12">
            <v>45000000</v>
          </cell>
          <cell r="H12">
            <v>45000000</v>
          </cell>
          <cell r="I12">
            <v>45000000</v>
          </cell>
        </row>
        <row r="13">
          <cell r="B13" t="str">
            <v>05.003</v>
          </cell>
          <cell r="C13" t="str">
            <v>Akumulasi Penyusutan</v>
          </cell>
          <cell r="E13">
            <v>54196407</v>
          </cell>
          <cell r="G13">
            <v>-54196407</v>
          </cell>
          <cell r="H13">
            <v>-56076055</v>
          </cell>
          <cell r="I13">
            <v>-56076055</v>
          </cell>
        </row>
        <row r="14">
          <cell r="B14" t="str">
            <v>07.000</v>
          </cell>
          <cell r="C14" t="str">
            <v>Hutang</v>
          </cell>
          <cell r="G14">
            <v>0</v>
          </cell>
          <cell r="H14">
            <v>0</v>
          </cell>
          <cell r="I14">
            <v>0</v>
          </cell>
        </row>
        <row r="15">
          <cell r="B15" t="str">
            <v>07.001</v>
          </cell>
          <cell r="C15" t="str">
            <v>Hutang Usaha</v>
          </cell>
          <cell r="E15">
            <v>12505600</v>
          </cell>
          <cell r="G15">
            <v>-12505600</v>
          </cell>
          <cell r="H15">
            <v>0</v>
          </cell>
          <cell r="I15">
            <v>0</v>
          </cell>
        </row>
        <row r="16">
          <cell r="B16" t="str">
            <v>07.002</v>
          </cell>
          <cell r="C16" t="str">
            <v>Hutang Pajak Tahunan</v>
          </cell>
          <cell r="E16">
            <v>1380453</v>
          </cell>
          <cell r="G16">
            <v>-1380453</v>
          </cell>
          <cell r="H16">
            <v>-1552664</v>
          </cell>
          <cell r="I16">
            <v>-1552664</v>
          </cell>
        </row>
        <row r="17">
          <cell r="B17" t="str">
            <v>07.003</v>
          </cell>
          <cell r="C17" t="str">
            <v>Hutang Pajak PPh Ps 21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>07.004</v>
          </cell>
          <cell r="C18" t="str">
            <v>Hutang Pajak PPh Ps 4 (2)</v>
          </cell>
          <cell r="G18">
            <v>0</v>
          </cell>
          <cell r="H18">
            <v>0</v>
          </cell>
          <cell r="I18">
            <v>0</v>
          </cell>
        </row>
        <row r="19">
          <cell r="B19" t="str">
            <v>07.005</v>
          </cell>
          <cell r="C19" t="str">
            <v>Hutang Pajak PPh Ps 23</v>
          </cell>
          <cell r="G19">
            <v>0</v>
          </cell>
          <cell r="H19">
            <v>0</v>
          </cell>
          <cell r="I19">
            <v>0</v>
          </cell>
        </row>
        <row r="20">
          <cell r="B20" t="str">
            <v>08.000</v>
          </cell>
          <cell r="C20" t="str">
            <v>Modal</v>
          </cell>
          <cell r="G20">
            <v>0</v>
          </cell>
          <cell r="H20">
            <v>0</v>
          </cell>
          <cell r="I20">
            <v>0</v>
          </cell>
        </row>
        <row r="21">
          <cell r="B21" t="str">
            <v>08.001</v>
          </cell>
          <cell r="C21" t="str">
            <v>Modal yang Disetor</v>
          </cell>
          <cell r="E21">
            <v>100000000</v>
          </cell>
          <cell r="G21">
            <v>-100000000</v>
          </cell>
          <cell r="H21">
            <v>-100000000</v>
          </cell>
          <cell r="I21">
            <v>-100000000</v>
          </cell>
        </row>
        <row r="22">
          <cell r="B22" t="str">
            <v>08.002</v>
          </cell>
          <cell r="C22" t="str">
            <v>Laba Ditahan</v>
          </cell>
          <cell r="E22">
            <v>54224747</v>
          </cell>
          <cell r="G22">
            <v>-54224747</v>
          </cell>
          <cell r="H22">
            <v>-66648825</v>
          </cell>
          <cell r="I22">
            <v>-66648825</v>
          </cell>
        </row>
        <row r="23">
          <cell r="B23" t="str">
            <v>08.003</v>
          </cell>
          <cell r="C23" t="str">
            <v>Laba Berjalan</v>
          </cell>
          <cell r="E23">
            <v>12424078</v>
          </cell>
          <cell r="G23">
            <v>-12424078</v>
          </cell>
          <cell r="H23">
            <v>0</v>
          </cell>
          <cell r="I23">
            <v>-13973977</v>
          </cell>
        </row>
        <row r="24">
          <cell r="B24" t="str">
            <v>09.000</v>
          </cell>
          <cell r="C24" t="str">
            <v>Pendapatan Usaha</v>
          </cell>
          <cell r="G24">
            <v>0</v>
          </cell>
          <cell r="H24">
            <v>-466400000</v>
          </cell>
          <cell r="I24">
            <v>0</v>
          </cell>
        </row>
        <row r="25">
          <cell r="B25" t="str">
            <v>10.000</v>
          </cell>
          <cell r="C25" t="str">
            <v>Biaya-Biaya Operasi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10.001</v>
          </cell>
          <cell r="C26" t="str">
            <v>Biaya Gaji</v>
          </cell>
          <cell r="G26">
            <v>0</v>
          </cell>
          <cell r="H26">
            <v>152490000</v>
          </cell>
          <cell r="I26">
            <v>0</v>
          </cell>
        </row>
        <row r="27">
          <cell r="B27" t="str">
            <v>10.002</v>
          </cell>
          <cell r="C27" t="str">
            <v>Adiministrasi Kantor</v>
          </cell>
          <cell r="G27">
            <v>0</v>
          </cell>
          <cell r="H27">
            <v>8421657</v>
          </cell>
          <cell r="I27">
            <v>0</v>
          </cell>
        </row>
        <row r="28">
          <cell r="B28" t="str">
            <v>10.003</v>
          </cell>
          <cell r="C28" t="str">
            <v>Sewa Gedung</v>
          </cell>
          <cell r="G28">
            <v>0</v>
          </cell>
          <cell r="H28">
            <v>150050768</v>
          </cell>
          <cell r="I28">
            <v>0</v>
          </cell>
        </row>
        <row r="29">
          <cell r="B29" t="str">
            <v>10.004</v>
          </cell>
          <cell r="C29" t="str">
            <v>Biaya Air, Listrik dan Telp</v>
          </cell>
          <cell r="G29">
            <v>0</v>
          </cell>
          <cell r="H29">
            <v>29822318</v>
          </cell>
          <cell r="I29">
            <v>0</v>
          </cell>
        </row>
        <row r="30">
          <cell r="B30" t="str">
            <v>10.005</v>
          </cell>
          <cell r="C30" t="str">
            <v>Biaya Transport</v>
          </cell>
          <cell r="G30">
            <v>0</v>
          </cell>
          <cell r="H30">
            <v>55854700</v>
          </cell>
          <cell r="I30">
            <v>0</v>
          </cell>
        </row>
        <row r="31">
          <cell r="B31" t="str">
            <v>10.006</v>
          </cell>
          <cell r="C31" t="str">
            <v>Biaya Pemeliharaan&amp;Perbaikan kendaraan</v>
          </cell>
          <cell r="G31">
            <v>0</v>
          </cell>
          <cell r="H31">
            <v>18622268</v>
          </cell>
          <cell r="I31">
            <v>0</v>
          </cell>
        </row>
        <row r="32">
          <cell r="B32" t="str">
            <v>10.007</v>
          </cell>
          <cell r="C32" t="str">
            <v>Biaya Pemeliharaan Gedung</v>
          </cell>
          <cell r="G32">
            <v>0</v>
          </cell>
          <cell r="H32">
            <v>33672000</v>
          </cell>
          <cell r="I32">
            <v>0</v>
          </cell>
        </row>
        <row r="33">
          <cell r="B33" t="str">
            <v>10.008</v>
          </cell>
          <cell r="C33" t="str">
            <v>Biaya Akumulasi Penyusutan</v>
          </cell>
          <cell r="G33">
            <v>0</v>
          </cell>
          <cell r="H33">
            <v>1939648</v>
          </cell>
          <cell r="I33">
            <v>0</v>
          </cell>
        </row>
        <row r="34">
          <cell r="B34" t="str">
            <v>11.000</v>
          </cell>
          <cell r="C34" t="str">
            <v>Biaya Pajak</v>
          </cell>
          <cell r="G34">
            <v>0</v>
          </cell>
          <cell r="H34">
            <v>1552664</v>
          </cell>
          <cell r="I34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</sheetNames>
    <sheetDataSet>
      <sheetData sheetId="0">
        <row r="1">
          <cell r="T1">
            <v>1</v>
          </cell>
          <cell r="U1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 t="str">
            <v/>
          </cell>
          <cell r="V6" t="str">
            <v/>
          </cell>
        </row>
        <row r="7">
          <cell r="V7" t="str">
            <v/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rliana_81@yahoo.co.id" TargetMode="External"/><Relationship Id="rId2" Type="http://schemas.openxmlformats.org/officeDocument/2006/relationships/hyperlink" Target="mailto:herliana_81@yahoo.co.id" TargetMode="External"/><Relationship Id="rId1" Type="http://schemas.openxmlformats.org/officeDocument/2006/relationships/hyperlink" Target="mailto:herliana_81@yahoo.co.id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L32"/>
  <sheetViews>
    <sheetView zoomScaleNormal="100" workbookViewId="0">
      <pane xSplit="8" ySplit="5" topLeftCell="I6" activePane="bottomRight" state="frozen"/>
      <selection pane="topRight" activeCell="E1" sqref="E1"/>
      <selection pane="bottomLeft" activeCell="A7" sqref="A7"/>
      <selection pane="bottomRight" activeCell="C8" sqref="C8"/>
    </sheetView>
  </sheetViews>
  <sheetFormatPr defaultColWidth="9.140625" defaultRowHeight="12"/>
  <cols>
    <col min="1" max="1" width="4" style="86" customWidth="1"/>
    <col min="2" max="2" width="26.28515625" style="148" customWidth="1"/>
    <col min="3" max="4" width="18.140625" style="148" customWidth="1"/>
    <col min="5" max="5" width="15.42578125" style="148" customWidth="1"/>
    <col min="6" max="7" width="10" style="148" customWidth="1"/>
    <col min="8" max="8" width="3.5703125" style="148" customWidth="1"/>
    <col min="9" max="10" width="3" style="148" customWidth="1"/>
    <col min="11" max="11" width="12.28515625" style="49" customWidth="1"/>
    <col min="12" max="12" width="11.28515625" style="49" customWidth="1"/>
    <col min="13" max="13" width="12" style="49" customWidth="1"/>
    <col min="14" max="14" width="12.140625" style="49" customWidth="1"/>
    <col min="15" max="15" width="11.5703125" style="49" customWidth="1"/>
    <col min="16" max="16" width="10.28515625" style="49" customWidth="1"/>
    <col min="17" max="18" width="11.42578125" style="49" customWidth="1"/>
    <col min="19" max="19" width="10.28515625" style="49" customWidth="1"/>
    <col min="20" max="23" width="11.5703125" style="49" customWidth="1"/>
    <col min="24" max="24" width="4.42578125" style="49" customWidth="1"/>
    <col min="25" max="26" width="9.5703125" style="49" customWidth="1"/>
    <col min="27" max="27" width="10.42578125" style="86" customWidth="1"/>
    <col min="28" max="28" width="11.5703125" style="86" customWidth="1"/>
    <col min="29" max="29" width="3" style="86" customWidth="1"/>
    <col min="30" max="30" width="12.140625" style="86" customWidth="1"/>
    <col min="31" max="31" width="10.140625" style="86" customWidth="1"/>
    <col min="32" max="32" width="17.42578125" style="86" customWidth="1"/>
    <col min="33" max="33" width="12.7109375" style="86" customWidth="1"/>
    <col min="34" max="34" width="12" style="86" bestFit="1" customWidth="1"/>
    <col min="35" max="35" width="16.140625" style="105" customWidth="1"/>
    <col min="36" max="36" width="13.42578125" style="105" customWidth="1"/>
    <col min="37" max="37" width="9.85546875" style="86" bestFit="1" customWidth="1"/>
    <col min="38" max="38" width="15.7109375" style="86" bestFit="1" customWidth="1"/>
    <col min="39" max="16384" width="9.140625" style="86"/>
  </cols>
  <sheetData>
    <row r="1" spans="1:38">
      <c r="A1" s="148" t="s">
        <v>22</v>
      </c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86"/>
      <c r="Z1" s="86"/>
    </row>
    <row r="2" spans="1:38">
      <c r="A2" s="174"/>
      <c r="F2" s="159"/>
      <c r="G2" s="160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94"/>
      <c r="Z2" s="94"/>
    </row>
    <row r="3" spans="1:38">
      <c r="A3" s="148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86"/>
      <c r="Z3" s="86"/>
    </row>
    <row r="4" spans="1:38" ht="12.75" customHeight="1">
      <c r="A4" s="237" t="s">
        <v>23</v>
      </c>
      <c r="B4" s="237" t="s">
        <v>24</v>
      </c>
      <c r="C4" s="223" t="s">
        <v>475</v>
      </c>
      <c r="D4" s="238" t="s">
        <v>25</v>
      </c>
      <c r="E4" s="238" t="s">
        <v>331</v>
      </c>
      <c r="F4" s="238" t="s">
        <v>332</v>
      </c>
      <c r="G4" s="238" t="s">
        <v>333</v>
      </c>
      <c r="H4" s="238" t="s">
        <v>26</v>
      </c>
      <c r="I4" s="231" t="s">
        <v>207</v>
      </c>
      <c r="J4" s="232"/>
      <c r="K4" s="229" t="s">
        <v>27</v>
      </c>
      <c r="L4" s="229" t="s">
        <v>28</v>
      </c>
      <c r="M4" s="229" t="s">
        <v>29</v>
      </c>
      <c r="N4" s="229" t="s">
        <v>43</v>
      </c>
      <c r="O4" s="172" t="s">
        <v>30</v>
      </c>
      <c r="P4" s="172" t="s">
        <v>31</v>
      </c>
      <c r="Q4" s="172" t="s">
        <v>32</v>
      </c>
      <c r="R4" s="229" t="s">
        <v>330</v>
      </c>
      <c r="S4" s="172" t="s">
        <v>202</v>
      </c>
      <c r="T4" s="235" t="s">
        <v>33</v>
      </c>
      <c r="U4" s="235" t="s">
        <v>327</v>
      </c>
      <c r="V4" s="235" t="s">
        <v>328</v>
      </c>
      <c r="W4" s="235" t="s">
        <v>329</v>
      </c>
      <c r="X4" s="62"/>
      <c r="Y4" s="103" t="s">
        <v>202</v>
      </c>
      <c r="Z4" s="103" t="s">
        <v>31</v>
      </c>
      <c r="AA4" s="227" t="s">
        <v>34</v>
      </c>
      <c r="AB4" s="227" t="s">
        <v>35</v>
      </c>
      <c r="AD4" s="87" t="s">
        <v>36</v>
      </c>
      <c r="AE4" s="227" t="s">
        <v>45</v>
      </c>
      <c r="AF4" s="226" t="s">
        <v>44</v>
      </c>
    </row>
    <row r="5" spans="1:38" ht="12" customHeight="1">
      <c r="A5" s="237"/>
      <c r="B5" s="237"/>
      <c r="C5" s="224"/>
      <c r="D5" s="239"/>
      <c r="E5" s="239"/>
      <c r="F5" s="239"/>
      <c r="G5" s="239"/>
      <c r="H5" s="239"/>
      <c r="I5" s="233"/>
      <c r="J5" s="234"/>
      <c r="K5" s="230"/>
      <c r="L5" s="230"/>
      <c r="M5" s="230"/>
      <c r="N5" s="230"/>
      <c r="O5" s="53">
        <v>8.8999999999999999E-3</v>
      </c>
      <c r="P5" s="54" t="s">
        <v>195</v>
      </c>
      <c r="Q5" s="54" t="s">
        <v>37</v>
      </c>
      <c r="R5" s="230"/>
      <c r="S5" s="54" t="s">
        <v>203</v>
      </c>
      <c r="T5" s="236"/>
      <c r="U5" s="236"/>
      <c r="V5" s="236"/>
      <c r="W5" s="236"/>
      <c r="Y5" s="54" t="s">
        <v>204</v>
      </c>
      <c r="Z5" s="54" t="s">
        <v>205</v>
      </c>
      <c r="AA5" s="228"/>
      <c r="AB5" s="228"/>
      <c r="AC5" s="88"/>
      <c r="AD5" s="89" t="s">
        <v>38</v>
      </c>
      <c r="AE5" s="228"/>
      <c r="AF5" s="226"/>
    </row>
    <row r="6" spans="1:38" ht="15">
      <c r="A6" s="173">
        <v>1</v>
      </c>
      <c r="B6" s="154" t="s">
        <v>41</v>
      </c>
      <c r="C6" s="225" t="s">
        <v>476</v>
      </c>
      <c r="D6" s="142" t="s">
        <v>200</v>
      </c>
      <c r="E6" s="142" t="s">
        <v>378</v>
      </c>
      <c r="F6" s="142" t="s">
        <v>334</v>
      </c>
      <c r="G6" s="142" t="s">
        <v>179</v>
      </c>
      <c r="H6" s="161" t="s">
        <v>189</v>
      </c>
      <c r="I6" s="173">
        <v>1</v>
      </c>
      <c r="J6" s="173">
        <v>12</v>
      </c>
      <c r="K6" s="50">
        <f>wawan!E14</f>
        <v>5000000</v>
      </c>
      <c r="L6" s="50">
        <f>wawan!E15+wawan!E16+wawan!E21</f>
        <v>570000</v>
      </c>
      <c r="M6" s="50">
        <f>SUM(wawan!E17:F20)</f>
        <v>3065895.9537572255</v>
      </c>
      <c r="N6" s="50">
        <f>-(wawan!K14+wawan!K18)</f>
        <v>0</v>
      </c>
      <c r="O6" s="50">
        <f>0.89%*10164000</f>
        <v>90459.6</v>
      </c>
      <c r="P6" s="187">
        <f>4%*10164000</f>
        <v>406560</v>
      </c>
      <c r="Q6" s="50">
        <f>0.3%*10164000</f>
        <v>30492</v>
      </c>
      <c r="R6" s="50"/>
      <c r="S6" s="50">
        <f>5.7%*10164000</f>
        <v>579348</v>
      </c>
      <c r="T6" s="50">
        <f t="shared" ref="T6:T8" si="0">ROUND(SUM(K6:R6),0)</f>
        <v>9163408</v>
      </c>
      <c r="U6" s="83" t="str">
        <f>IFERROR(VLOOKUP(H6,TER!$B$4:$D$15,2,FALSE),"")</f>
        <v>B</v>
      </c>
      <c r="V6" s="84">
        <f>SUMPRODUCT(TER!$K$4:$K$130*(TER!$G$4:$G$130=U6)*(TER!$H$4:$H$130&lt;T6)*((TER!$J$4:$J$130&gt;=T6)+(TER!$J$4:$J$130="")))</f>
        <v>0.01</v>
      </c>
      <c r="W6" s="50">
        <f t="shared" ref="W6:W8" si="1">IFERROR(ROUND(T6*V6,0),"")</f>
        <v>91634</v>
      </c>
      <c r="X6" s="63"/>
      <c r="Y6" s="56">
        <f>wawan!K16</f>
        <v>304920</v>
      </c>
      <c r="Z6" s="50">
        <f>wawan!K19</f>
        <v>101640</v>
      </c>
      <c r="AA6" s="90">
        <f t="shared" ref="AA6:AA8" si="2">W6</f>
        <v>91634</v>
      </c>
      <c r="AB6" s="91">
        <f t="shared" ref="AB6:AB8" si="3">T6-SUM(O6:Q6)-Y6-AA6-Z6</f>
        <v>8137702.4000000004</v>
      </c>
      <c r="AC6" s="92"/>
      <c r="AD6" s="91">
        <f t="shared" ref="AD6:AD7" si="4">ROUNDUP(AB6,-3)</f>
        <v>8138000</v>
      </c>
      <c r="AE6" s="55">
        <f>wawan!K17</f>
        <v>0</v>
      </c>
      <c r="AF6" s="222">
        <f t="shared" ref="AF6:AF8" si="5">SUM(AD6:AE6)</f>
        <v>8138000</v>
      </c>
      <c r="AG6" s="150">
        <f t="shared" ref="AG6:AG8" si="6">AF6-R6</f>
        <v>8138000</v>
      </c>
      <c r="AH6" s="92"/>
      <c r="AL6" s="104"/>
    </row>
    <row r="7" spans="1:38" ht="15">
      <c r="A7" s="213">
        <v>2</v>
      </c>
      <c r="B7" s="154" t="s">
        <v>42</v>
      </c>
      <c r="C7" s="225" t="s">
        <v>476</v>
      </c>
      <c r="D7" s="142" t="s">
        <v>256</v>
      </c>
      <c r="E7" s="142" t="s">
        <v>379</v>
      </c>
      <c r="F7" s="142" t="s">
        <v>334</v>
      </c>
      <c r="G7" s="142" t="s">
        <v>214</v>
      </c>
      <c r="H7" s="161" t="s">
        <v>190</v>
      </c>
      <c r="I7" s="173">
        <v>1</v>
      </c>
      <c r="J7" s="173">
        <v>12</v>
      </c>
      <c r="K7" s="50">
        <f>harjono!E14</f>
        <v>3000000</v>
      </c>
      <c r="L7" s="50">
        <f>harjono!E15+harjono!E16+harjono!E21</f>
        <v>570000</v>
      </c>
      <c r="M7" s="50">
        <f>SUM(harjono!E17:F20)</f>
        <v>358381.50289017346</v>
      </c>
      <c r="N7" s="50">
        <f>-(harjono!K14+harjono!K18)</f>
        <v>0</v>
      </c>
      <c r="O7" s="50">
        <f>0.89%*K7</f>
        <v>26700</v>
      </c>
      <c r="P7" s="187">
        <f>4%*K7</f>
        <v>120000</v>
      </c>
      <c r="Q7" s="50">
        <f>0.3%*K7</f>
        <v>9000</v>
      </c>
      <c r="R7" s="50"/>
      <c r="S7" s="50">
        <f>5.7%*K7</f>
        <v>171000</v>
      </c>
      <c r="T7" s="50">
        <f t="shared" si="0"/>
        <v>4084082</v>
      </c>
      <c r="U7" s="83" t="str">
        <f>IFERROR(VLOOKUP(H7,TER!$B$4:$D$15,2,FALSE),"")</f>
        <v>B</v>
      </c>
      <c r="V7" s="84">
        <f>SUMPRODUCT(TER!$K$4:$K$130*(TER!$G$4:$G$130=U7)*(TER!$H$4:$H$130&lt;T7)*((TER!$J$4:$J$130&gt;=T7)+(TER!$J$4:$J$130="")))</f>
        <v>0</v>
      </c>
      <c r="W7" s="50">
        <f t="shared" si="1"/>
        <v>0</v>
      </c>
      <c r="X7" s="63"/>
      <c r="Y7" s="50">
        <f>harjono!K16</f>
        <v>90000</v>
      </c>
      <c r="Z7" s="50">
        <f>harjono!K19</f>
        <v>30000</v>
      </c>
      <c r="AA7" s="90">
        <f t="shared" si="2"/>
        <v>0</v>
      </c>
      <c r="AB7" s="91">
        <f t="shared" si="3"/>
        <v>3808382</v>
      </c>
      <c r="AC7" s="92"/>
      <c r="AD7" s="91">
        <f t="shared" si="4"/>
        <v>3809000</v>
      </c>
      <c r="AE7" s="55">
        <f>-harjono!K17</f>
        <v>0</v>
      </c>
      <c r="AF7" s="222">
        <f t="shared" si="5"/>
        <v>3809000</v>
      </c>
      <c r="AG7" s="150">
        <f t="shared" si="6"/>
        <v>3809000</v>
      </c>
      <c r="AH7" s="92"/>
      <c r="AL7" s="104"/>
    </row>
    <row r="8" spans="1:38" ht="15">
      <c r="A8" s="213">
        <v>3</v>
      </c>
      <c r="B8" s="154" t="s">
        <v>46</v>
      </c>
      <c r="C8" s="225" t="s">
        <v>476</v>
      </c>
      <c r="D8" s="162" t="s">
        <v>257</v>
      </c>
      <c r="E8" s="162" t="s">
        <v>380</v>
      </c>
      <c r="F8" s="142" t="s">
        <v>334</v>
      </c>
      <c r="G8" s="162" t="s">
        <v>192</v>
      </c>
      <c r="H8" s="161" t="s">
        <v>189</v>
      </c>
      <c r="I8" s="173">
        <v>1</v>
      </c>
      <c r="J8" s="173">
        <v>12</v>
      </c>
      <c r="K8" s="50">
        <f>rahmat!E14</f>
        <v>2000000</v>
      </c>
      <c r="L8" s="50">
        <f>rahmat!E15+rahmat!E17+rahmat!E22+rahmat!E16</f>
        <v>250000</v>
      </c>
      <c r="M8" s="50">
        <f>SUM(rahmat!E18:F21)</f>
        <v>0</v>
      </c>
      <c r="N8" s="50">
        <f>-(rahmat!K14+rahmat!K19)</f>
        <v>-86000</v>
      </c>
      <c r="O8" s="50">
        <f>0.89%*K8</f>
        <v>17800</v>
      </c>
      <c r="P8" s="187">
        <f>4%*K8</f>
        <v>80000</v>
      </c>
      <c r="Q8" s="50">
        <f>0.3%*K8</f>
        <v>6000</v>
      </c>
      <c r="R8" s="50"/>
      <c r="S8" s="50">
        <f>5.7%*K8</f>
        <v>114000</v>
      </c>
      <c r="T8" s="50">
        <f t="shared" si="0"/>
        <v>2267800</v>
      </c>
      <c r="U8" s="83" t="str">
        <f>IFERROR(VLOOKUP(H8,TER!$B$4:$D$15,2,FALSE),"")</f>
        <v>B</v>
      </c>
      <c r="V8" s="84">
        <f>SUMPRODUCT(TER!$K$4:$K$130*(TER!$G$4:$G$130=U8)*(TER!$H$4:$H$130&lt;T8)*((TER!$J$4:$J$130&gt;=T8)+(TER!$J$4:$J$130="")))</f>
        <v>0</v>
      </c>
      <c r="W8" s="50">
        <f t="shared" si="1"/>
        <v>0</v>
      </c>
      <c r="X8" s="63"/>
      <c r="Y8" s="50">
        <f>rahmat!K17</f>
        <v>60000</v>
      </c>
      <c r="Z8" s="50">
        <f>rahmat!K20</f>
        <v>20000</v>
      </c>
      <c r="AA8" s="90">
        <f t="shared" si="2"/>
        <v>0</v>
      </c>
      <c r="AB8" s="91">
        <f t="shared" si="3"/>
        <v>2084000</v>
      </c>
      <c r="AD8" s="91">
        <f>ROUNDUP(AB8,-3)</f>
        <v>2084000</v>
      </c>
      <c r="AE8" s="55">
        <f>-rahmat!K18</f>
        <v>0</v>
      </c>
      <c r="AF8" s="222">
        <f t="shared" si="5"/>
        <v>2084000</v>
      </c>
      <c r="AG8" s="150">
        <f t="shared" si="6"/>
        <v>2084000</v>
      </c>
      <c r="AH8" s="92"/>
      <c r="AL8" s="104"/>
    </row>
    <row r="9" spans="1:38" s="148" customFormat="1" ht="12.75">
      <c r="A9" s="139"/>
      <c r="B9" s="126"/>
      <c r="C9" s="140"/>
      <c r="D9" s="140"/>
      <c r="E9" s="141"/>
      <c r="F9" s="142"/>
      <c r="G9" s="143"/>
      <c r="H9" s="144"/>
      <c r="I9" s="145"/>
      <c r="J9" s="145"/>
      <c r="K9" s="48"/>
      <c r="L9" s="48"/>
      <c r="M9" s="48"/>
      <c r="N9" s="48"/>
      <c r="O9" s="50"/>
      <c r="P9" s="61"/>
      <c r="Q9" s="50"/>
      <c r="R9" s="48"/>
      <c r="S9" s="50"/>
      <c r="T9" s="50"/>
      <c r="U9" s="83"/>
      <c r="V9" s="84"/>
      <c r="W9" s="50"/>
      <c r="X9" s="63"/>
      <c r="Y9" s="61"/>
      <c r="Z9" s="61"/>
      <c r="AA9" s="146"/>
      <c r="AB9" s="147"/>
      <c r="AD9" s="147"/>
      <c r="AE9" s="149"/>
      <c r="AF9" s="147"/>
      <c r="AG9" s="150"/>
      <c r="AH9" s="151"/>
      <c r="AI9" s="113"/>
      <c r="AJ9" s="113"/>
      <c r="AL9" s="150"/>
    </row>
    <row r="10" spans="1:38">
      <c r="A10" s="93"/>
      <c r="B10" s="149"/>
      <c r="C10" s="149"/>
      <c r="D10" s="149"/>
      <c r="E10" s="149"/>
      <c r="F10" s="149"/>
      <c r="G10" s="149"/>
      <c r="H10" s="149"/>
      <c r="I10" s="149"/>
      <c r="J10" s="149"/>
      <c r="K10" s="48">
        <f t="shared" ref="K10:T10" si="7">SUM(K6:K9)</f>
        <v>10000000</v>
      </c>
      <c r="L10" s="48">
        <f t="shared" si="7"/>
        <v>1390000</v>
      </c>
      <c r="M10" s="48">
        <f t="shared" si="7"/>
        <v>3424277.4566473989</v>
      </c>
      <c r="N10" s="48">
        <f t="shared" si="7"/>
        <v>-86000</v>
      </c>
      <c r="O10" s="48">
        <f t="shared" si="7"/>
        <v>134959.6</v>
      </c>
      <c r="P10" s="48">
        <f t="shared" si="7"/>
        <v>606560</v>
      </c>
      <c r="Q10" s="48">
        <f t="shared" si="7"/>
        <v>45492</v>
      </c>
      <c r="R10" s="48">
        <f t="shared" si="7"/>
        <v>0</v>
      </c>
      <c r="S10" s="48">
        <f t="shared" si="7"/>
        <v>864348</v>
      </c>
      <c r="T10" s="48">
        <f t="shared" si="7"/>
        <v>15515290</v>
      </c>
      <c r="U10" s="48"/>
      <c r="V10" s="85">
        <f>SUM(V6:V9)</f>
        <v>0.01</v>
      </c>
      <c r="W10" s="48">
        <f>SUM(W6:W9)</f>
        <v>91634</v>
      </c>
      <c r="X10" s="63"/>
      <c r="Y10" s="48">
        <f>SUM(Y6:Y9)</f>
        <v>454920</v>
      </c>
      <c r="Z10" s="48">
        <f>SUM(Z6:Z9)</f>
        <v>151640</v>
      </c>
      <c r="AA10" s="48">
        <f>SUM(AA6:AA9)</f>
        <v>91634</v>
      </c>
      <c r="AB10" s="48">
        <f>SUM(AB6:AB9)</f>
        <v>14030084.4</v>
      </c>
      <c r="AD10" s="95">
        <f>SUM(AD6:AD9)</f>
        <v>14031000</v>
      </c>
      <c r="AE10" s="48">
        <f>SUM(AE6:AE9)</f>
        <v>0</v>
      </c>
      <c r="AF10" s="102">
        <f>SUM(AF6:AF9)</f>
        <v>14031000</v>
      </c>
      <c r="AG10" s="92"/>
      <c r="AH10" s="96"/>
      <c r="AI10" s="112"/>
      <c r="AJ10" s="112"/>
      <c r="AK10" s="109"/>
      <c r="AL10" s="114"/>
    </row>
    <row r="11" spans="1:38">
      <c r="AD11" s="92"/>
      <c r="AF11" s="92"/>
      <c r="AG11" s="92"/>
      <c r="AH11" s="101"/>
      <c r="AL11" s="106"/>
    </row>
    <row r="12" spans="1:38">
      <c r="AL12" s="106"/>
    </row>
    <row r="13" spans="1:38">
      <c r="AD13" s="59"/>
      <c r="AF13" s="57"/>
      <c r="AG13" s="92"/>
      <c r="AH13" s="107"/>
      <c r="AL13" s="106"/>
    </row>
    <row r="14" spans="1:38" ht="13.5">
      <c r="B14" s="155"/>
      <c r="C14" s="150"/>
      <c r="D14" s="150"/>
      <c r="E14" s="150"/>
      <c r="F14" s="150"/>
      <c r="G14" s="150"/>
      <c r="AD14" s="59"/>
      <c r="AF14" s="49"/>
      <c r="AG14" s="97"/>
      <c r="AH14" s="107"/>
      <c r="AL14" s="106"/>
    </row>
    <row r="15" spans="1:38" ht="14.25">
      <c r="B15" s="156"/>
      <c r="C15" s="165"/>
      <c r="D15" s="165"/>
      <c r="E15" s="164"/>
      <c r="F15" s="167"/>
      <c r="G15" s="163"/>
      <c r="M15" s="58"/>
      <c r="AD15" s="98"/>
      <c r="AE15" s="98"/>
      <c r="AF15" s="100"/>
      <c r="AG15" s="92"/>
      <c r="AH15" s="107"/>
    </row>
    <row r="16" spans="1:38" ht="12" customHeight="1">
      <c r="B16" s="156"/>
      <c r="C16" s="165"/>
      <c r="D16" s="165"/>
      <c r="E16" s="166"/>
      <c r="F16" s="160"/>
      <c r="G16" s="165"/>
      <c r="O16" s="51"/>
      <c r="Y16" s="60"/>
      <c r="Z16" s="60"/>
      <c r="AA16" s="49"/>
      <c r="AD16" s="98"/>
      <c r="AE16" s="98"/>
      <c r="AH16" s="108"/>
      <c r="AI16" s="110"/>
    </row>
    <row r="17" spans="1:35" ht="12" customHeight="1">
      <c r="B17" s="156"/>
      <c r="C17" s="165"/>
      <c r="D17" s="165"/>
      <c r="E17" s="164"/>
      <c r="F17" s="160"/>
      <c r="G17" s="165"/>
      <c r="O17" s="51"/>
      <c r="Y17" s="60"/>
      <c r="Z17" s="60"/>
      <c r="AA17" s="49"/>
      <c r="AD17" s="98"/>
      <c r="AE17" s="98"/>
    </row>
    <row r="18" spans="1:35" ht="12" customHeight="1">
      <c r="B18" s="156"/>
      <c r="C18" s="165"/>
      <c r="D18" s="165"/>
      <c r="E18" s="166"/>
      <c r="F18" s="160"/>
      <c r="G18" s="165"/>
      <c r="O18" s="51"/>
      <c r="Y18" s="60"/>
      <c r="Z18" s="60"/>
      <c r="AA18" s="49"/>
      <c r="AD18" s="99"/>
      <c r="AE18" s="99"/>
      <c r="AI18" s="111"/>
    </row>
    <row r="19" spans="1:35" ht="12" customHeight="1">
      <c r="B19" s="157"/>
      <c r="C19" s="165"/>
      <c r="D19" s="165"/>
      <c r="E19" s="168"/>
      <c r="F19" s="160"/>
      <c r="G19" s="165"/>
      <c r="O19" s="51"/>
      <c r="Y19" s="60"/>
      <c r="Z19" s="60"/>
      <c r="AA19" s="49"/>
      <c r="AD19" s="99"/>
      <c r="AE19" s="99"/>
    </row>
    <row r="20" spans="1:35" ht="12" customHeight="1">
      <c r="B20" s="157"/>
      <c r="C20" s="165"/>
      <c r="D20" s="165"/>
      <c r="E20" s="169"/>
      <c r="F20" s="160"/>
      <c r="G20" s="165"/>
      <c r="O20" s="51"/>
      <c r="Y20" s="60"/>
      <c r="Z20" s="60"/>
      <c r="AA20" s="49"/>
      <c r="AD20" s="99"/>
      <c r="AE20" s="99"/>
    </row>
    <row r="21" spans="1:35" ht="12" customHeight="1">
      <c r="B21" s="157"/>
      <c r="C21" s="165"/>
      <c r="D21" s="165"/>
      <c r="E21" s="169"/>
      <c r="F21" s="160"/>
      <c r="G21" s="165"/>
      <c r="O21" s="51"/>
      <c r="Y21" s="60"/>
      <c r="Z21" s="60"/>
      <c r="AA21" s="49"/>
      <c r="AD21" s="99"/>
      <c r="AE21" s="99"/>
    </row>
    <row r="22" spans="1:35" ht="12" customHeight="1">
      <c r="B22" s="157"/>
      <c r="C22" s="165"/>
      <c r="D22" s="165"/>
      <c r="E22" s="168"/>
      <c r="F22" s="160"/>
      <c r="G22" s="165"/>
      <c r="O22" s="51"/>
      <c r="Y22" s="60"/>
      <c r="Z22" s="60"/>
      <c r="AA22" s="49"/>
      <c r="AD22" s="99"/>
      <c r="AE22" s="99"/>
    </row>
    <row r="23" spans="1:35" ht="12" customHeight="1">
      <c r="B23" s="156"/>
      <c r="C23" s="165"/>
      <c r="D23" s="165"/>
      <c r="E23" s="164"/>
      <c r="F23" s="160"/>
      <c r="G23" s="165"/>
      <c r="O23" s="51"/>
      <c r="Y23" s="60"/>
      <c r="Z23" s="60"/>
      <c r="AA23" s="49"/>
      <c r="AD23" s="99"/>
      <c r="AE23" s="99"/>
    </row>
    <row r="24" spans="1:35" ht="12" customHeight="1">
      <c r="B24" s="156"/>
      <c r="C24" s="165"/>
      <c r="D24" s="165"/>
      <c r="E24" s="166"/>
      <c r="F24" s="160"/>
      <c r="G24" s="165"/>
      <c r="O24" s="51"/>
      <c r="Y24" s="60"/>
      <c r="Z24" s="60"/>
      <c r="AA24" s="49"/>
      <c r="AD24" s="99"/>
      <c r="AE24" s="99"/>
    </row>
    <row r="25" spans="1:35" ht="12" customHeight="1">
      <c r="B25" s="156"/>
      <c r="C25" s="165"/>
      <c r="D25" s="165"/>
      <c r="E25" s="164"/>
      <c r="F25" s="160"/>
      <c r="G25" s="165"/>
      <c r="O25" s="51"/>
      <c r="Y25" s="60"/>
      <c r="Z25" s="60"/>
      <c r="AA25" s="49"/>
      <c r="AD25" s="99"/>
      <c r="AE25" s="99"/>
    </row>
    <row r="26" spans="1:35" ht="13.5">
      <c r="AD26" s="99"/>
      <c r="AE26" s="99"/>
    </row>
    <row r="28" spans="1:35">
      <c r="A28" s="86" t="s">
        <v>40</v>
      </c>
      <c r="B28" s="158">
        <v>54000000</v>
      </c>
    </row>
    <row r="29" spans="1:35">
      <c r="A29" s="86" t="s">
        <v>191</v>
      </c>
      <c r="B29" s="158">
        <f>+B28+4500000</f>
        <v>58500000</v>
      </c>
    </row>
    <row r="30" spans="1:35">
      <c r="A30" s="86" t="s">
        <v>189</v>
      </c>
      <c r="B30" s="158">
        <f>+B29+4500000</f>
        <v>63000000</v>
      </c>
    </row>
    <row r="31" spans="1:35">
      <c r="A31" s="86" t="s">
        <v>190</v>
      </c>
      <c r="B31" s="158">
        <f>+B30+4500000</f>
        <v>67500000</v>
      </c>
    </row>
    <row r="32" spans="1:35">
      <c r="A32" s="86" t="s">
        <v>194</v>
      </c>
      <c r="B32" s="158">
        <f>+B31+4500000</f>
        <v>72000000</v>
      </c>
    </row>
  </sheetData>
  <autoFilter ref="A1:AF32" xr:uid="{00000000-0009-0000-0000-000000000000}"/>
  <mergeCells count="21">
    <mergeCell ref="A4:A5"/>
    <mergeCell ref="B4:B5"/>
    <mergeCell ref="D4:D5"/>
    <mergeCell ref="H4:H5"/>
    <mergeCell ref="K4:K5"/>
    <mergeCell ref="E4:E5"/>
    <mergeCell ref="F4:F5"/>
    <mergeCell ref="G4:G5"/>
    <mergeCell ref="AF4:AF5"/>
    <mergeCell ref="AE4:AE5"/>
    <mergeCell ref="AB4:AB5"/>
    <mergeCell ref="M4:M5"/>
    <mergeCell ref="I4:J5"/>
    <mergeCell ref="N4:N5"/>
    <mergeCell ref="L4:L5"/>
    <mergeCell ref="R4:R5"/>
    <mergeCell ref="AA4:AA5"/>
    <mergeCell ref="U4:U5"/>
    <mergeCell ref="V4:V5"/>
    <mergeCell ref="W4:W5"/>
    <mergeCell ref="T4:T5"/>
  </mergeCells>
  <phoneticPr fontId="20" type="noConversion"/>
  <hyperlinks>
    <hyperlink ref="C6" r:id="rId1" xr:uid="{419E2C11-717F-4955-83F5-A39E99C648A9}"/>
    <hyperlink ref="C7" r:id="rId2" xr:uid="{59BA2815-3095-4C61-B896-A3D7CBB462BC}"/>
    <hyperlink ref="C8" r:id="rId3" xr:uid="{B998EA4F-9052-4398-AEE1-05AA8FBD9FAC}"/>
  </hyperlinks>
  <printOptions horizontalCentered="1"/>
  <pageMargins left="0.17" right="0.2" top="0.5" bottom="0.75" header="0.5" footer="0.5"/>
  <pageSetup paperSize="9" orientation="landscape" horizontalDpi="4294967294" verticalDpi="4294967294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F203"/>
  <sheetViews>
    <sheetView tabSelected="1" topLeftCell="A7" workbookViewId="0">
      <selection activeCell="O22" sqref="O22"/>
    </sheetView>
  </sheetViews>
  <sheetFormatPr defaultColWidth="9.140625" defaultRowHeight="12"/>
  <cols>
    <col min="1" max="1" width="10.85546875" style="2" customWidth="1"/>
    <col min="2" max="2" width="1.85546875" style="2" bestFit="1" customWidth="1"/>
    <col min="3" max="3" width="4.140625" style="2" customWidth="1"/>
    <col min="4" max="4" width="12.28515625" style="2" customWidth="1"/>
    <col min="5" max="5" width="7.28515625" style="2" bestFit="1" customWidth="1"/>
    <col min="6" max="6" width="9.140625" style="2"/>
    <col min="7" max="7" width="10.28515625" style="2" customWidth="1"/>
    <col min="8" max="8" width="1.85546875" style="2" customWidth="1"/>
    <col min="9" max="9" width="2.85546875" style="2" customWidth="1"/>
    <col min="10" max="10" width="14" style="2" customWidth="1"/>
    <col min="11" max="11" width="7.28515625" style="2" customWidth="1"/>
    <col min="12" max="13" width="9.140625" style="2"/>
    <col min="14" max="14" width="12.7109375" style="2" customWidth="1"/>
    <col min="15" max="15" width="13.28515625" style="2" bestFit="1" customWidth="1"/>
    <col min="16" max="16" width="14.140625" style="2" bestFit="1" customWidth="1"/>
    <col min="17" max="18" width="9.140625" style="2"/>
    <col min="19" max="19" width="13.7109375" style="2" customWidth="1"/>
    <col min="20" max="21" width="9.140625" style="2"/>
    <col min="22" max="22" width="13.28515625" style="2" customWidth="1"/>
    <col min="23" max="16384" width="9.140625" style="2"/>
  </cols>
  <sheetData>
    <row r="1" spans="1:32">
      <c r="A1" s="1" t="s">
        <v>0</v>
      </c>
    </row>
    <row r="2" spans="1:32" ht="15.75">
      <c r="A2" s="188" t="s">
        <v>455</v>
      </c>
      <c r="S2" s="19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>
      <c r="A3" s="188" t="s">
        <v>456</v>
      </c>
      <c r="S3" s="17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5.75">
      <c r="S4" s="16"/>
      <c r="T4" s="16"/>
      <c r="U4" s="16"/>
      <c r="V4" s="16"/>
      <c r="W4" s="16"/>
      <c r="X4" s="16"/>
      <c r="Y4" s="16"/>
      <c r="Z4" s="16"/>
      <c r="AA4" s="16"/>
      <c r="AB4" s="16"/>
      <c r="AC4" s="18"/>
      <c r="AD4" s="16"/>
      <c r="AE4" s="16"/>
      <c r="AF4" s="16"/>
    </row>
    <row r="5" spans="1:32" ht="15.75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S5" s="19"/>
      <c r="T5" s="16"/>
      <c r="U5" s="16"/>
      <c r="V5" s="16"/>
      <c r="W5" s="16"/>
      <c r="X5" s="16"/>
      <c r="Y5" s="16"/>
      <c r="Z5" s="16"/>
      <c r="AA5" s="16"/>
      <c r="AB5" s="16"/>
      <c r="AC5" s="18"/>
      <c r="AD5" s="16"/>
      <c r="AE5" s="16"/>
      <c r="AF5" s="16"/>
    </row>
    <row r="6" spans="1:32" ht="15.75">
      <c r="E6" s="244" t="s">
        <v>469</v>
      </c>
      <c r="F6" s="244"/>
      <c r="G6" s="244"/>
      <c r="H6" s="244"/>
      <c r="I6" s="244"/>
      <c r="S6" s="242"/>
      <c r="T6" s="242"/>
      <c r="U6" s="242"/>
      <c r="V6" s="242"/>
      <c r="W6" s="21"/>
      <c r="X6" s="22"/>
      <c r="Y6" s="16"/>
      <c r="Z6" s="16"/>
      <c r="AA6" s="16"/>
      <c r="AB6" s="16"/>
      <c r="AC6" s="18"/>
      <c r="AD6" s="16"/>
      <c r="AE6" s="16"/>
      <c r="AF6" s="16"/>
    </row>
    <row r="7" spans="1:32" ht="15.75">
      <c r="S7" s="20"/>
      <c r="T7" s="20"/>
      <c r="U7" s="20"/>
      <c r="V7" s="20"/>
      <c r="W7" s="21"/>
      <c r="X7" s="22"/>
      <c r="Y7" s="16"/>
      <c r="Z7" s="16"/>
      <c r="AA7" s="16"/>
      <c r="AB7" s="16"/>
      <c r="AC7" s="18"/>
      <c r="AD7" s="16"/>
      <c r="AE7" s="16"/>
      <c r="AF7" s="16"/>
    </row>
    <row r="8" spans="1:32" ht="15.75">
      <c r="A8" s="2" t="s">
        <v>2</v>
      </c>
      <c r="B8" s="2" t="s">
        <v>3</v>
      </c>
      <c r="C8" s="2" t="s">
        <v>4</v>
      </c>
      <c r="E8" s="2" t="s">
        <v>184</v>
      </c>
      <c r="G8" s="2" t="s">
        <v>5</v>
      </c>
      <c r="H8" s="2" t="s">
        <v>3</v>
      </c>
      <c r="J8" s="5">
        <f>(E14+E15)/25</f>
        <v>204000</v>
      </c>
      <c r="S8" s="20"/>
      <c r="T8" s="20"/>
      <c r="U8" s="20"/>
      <c r="V8" s="20"/>
      <c r="W8" s="16"/>
      <c r="X8" s="16"/>
      <c r="Y8" s="16"/>
      <c r="Z8" s="16"/>
      <c r="AA8" s="16"/>
      <c r="AB8" s="16"/>
      <c r="AC8" s="18"/>
      <c r="AD8" s="16"/>
      <c r="AE8" s="16"/>
      <c r="AF8" s="16"/>
    </row>
    <row r="9" spans="1:32" ht="15.75">
      <c r="A9" s="2" t="s">
        <v>6</v>
      </c>
      <c r="B9" s="2" t="s">
        <v>3</v>
      </c>
      <c r="C9" s="2" t="s">
        <v>183</v>
      </c>
      <c r="G9" s="2" t="s">
        <v>7</v>
      </c>
      <c r="H9" s="2" t="s">
        <v>3</v>
      </c>
      <c r="J9" s="5">
        <f>(E14+E15)/173</f>
        <v>29479.768786127166</v>
      </c>
      <c r="O9" s="5"/>
      <c r="S9" s="242"/>
      <c r="T9" s="242"/>
      <c r="U9" s="242"/>
      <c r="V9" s="242"/>
      <c r="W9" s="21"/>
      <c r="X9" s="22"/>
      <c r="Y9" s="16"/>
      <c r="Z9" s="16"/>
      <c r="AA9" s="16"/>
      <c r="AB9" s="16"/>
      <c r="AC9" s="18"/>
      <c r="AD9" s="16"/>
      <c r="AE9" s="16"/>
      <c r="AF9" s="16"/>
    </row>
    <row r="10" spans="1:32" ht="15.75">
      <c r="A10" s="2" t="s">
        <v>8</v>
      </c>
      <c r="B10" s="2" t="s">
        <v>3</v>
      </c>
      <c r="C10" s="2" t="s">
        <v>179</v>
      </c>
      <c r="G10" s="2" t="s">
        <v>443</v>
      </c>
      <c r="H10" s="2" t="s">
        <v>3</v>
      </c>
      <c r="J10" s="5">
        <v>10000</v>
      </c>
      <c r="S10" s="21"/>
      <c r="T10" s="21"/>
      <c r="U10" s="21"/>
      <c r="V10" s="21"/>
      <c r="W10" s="21"/>
      <c r="X10" s="22"/>
      <c r="Y10" s="16"/>
      <c r="Z10" s="16"/>
      <c r="AA10" s="16"/>
      <c r="AB10" s="16"/>
      <c r="AC10" s="18"/>
      <c r="AD10" s="16"/>
      <c r="AE10" s="16"/>
      <c r="AF10" s="16"/>
    </row>
    <row r="11" spans="1:32" ht="15.75">
      <c r="O11" s="5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8"/>
      <c r="AD11" s="16"/>
      <c r="AE11" s="16"/>
      <c r="AF11" s="16"/>
    </row>
    <row r="12" spans="1:32" s="1" customFormat="1" ht="15.75">
      <c r="A12" s="6" t="s">
        <v>9</v>
      </c>
      <c r="B12" s="6"/>
      <c r="C12" s="6"/>
      <c r="D12" s="6"/>
      <c r="E12" s="6"/>
      <c r="F12" s="6"/>
      <c r="G12" s="7" t="s">
        <v>10</v>
      </c>
      <c r="H12" s="6"/>
      <c r="I12" s="6"/>
      <c r="J12" s="6"/>
      <c r="K12" s="6"/>
      <c r="L12" s="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8"/>
      <c r="AD12" s="16"/>
      <c r="AE12" s="16"/>
      <c r="AF12" s="16"/>
    </row>
    <row r="13" spans="1:32" ht="15.75">
      <c r="G13" s="8"/>
      <c r="S13" s="23"/>
      <c r="T13" s="16"/>
      <c r="U13" s="16"/>
      <c r="V13" s="16"/>
      <c r="W13" s="16"/>
      <c r="X13" s="16"/>
      <c r="Y13" s="16"/>
      <c r="Z13" s="16"/>
      <c r="AA13" s="16"/>
      <c r="AB13" s="16"/>
      <c r="AC13" s="18"/>
      <c r="AD13" s="16"/>
      <c r="AE13" s="16"/>
      <c r="AF13" s="16"/>
    </row>
    <row r="14" spans="1:32" ht="15.75">
      <c r="A14" s="2" t="s">
        <v>11</v>
      </c>
      <c r="B14" s="2" t="s">
        <v>3</v>
      </c>
      <c r="E14" s="241">
        <v>5000000</v>
      </c>
      <c r="F14" s="241"/>
      <c r="G14" s="8" t="s">
        <v>211</v>
      </c>
      <c r="H14" s="2" t="s">
        <v>3</v>
      </c>
      <c r="I14" s="46">
        <f>PRD!AJ140</f>
        <v>0</v>
      </c>
      <c r="J14" s="2" t="s">
        <v>212</v>
      </c>
      <c r="K14" s="241">
        <f>J8*I14</f>
        <v>0</v>
      </c>
      <c r="L14" s="241"/>
      <c r="O14" s="5"/>
      <c r="S14" s="16"/>
      <c r="T14" s="24"/>
      <c r="U14" s="16"/>
      <c r="V14" s="16"/>
      <c r="W14" s="16"/>
      <c r="X14" s="16"/>
      <c r="Y14" s="16"/>
      <c r="Z14" s="16"/>
      <c r="AA14" s="16"/>
      <c r="AB14" s="16"/>
      <c r="AC14" s="18"/>
      <c r="AD14" s="16"/>
      <c r="AE14" s="16"/>
      <c r="AF14" s="16"/>
    </row>
    <row r="15" spans="1:32" ht="15.75">
      <c r="A15" s="2" t="s">
        <v>210</v>
      </c>
      <c r="B15" s="2" t="s">
        <v>3</v>
      </c>
      <c r="E15" s="241">
        <v>100000</v>
      </c>
      <c r="F15" s="241"/>
      <c r="G15" s="8" t="s">
        <v>13</v>
      </c>
      <c r="H15" s="2" t="s">
        <v>3</v>
      </c>
      <c r="K15" s="241">
        <f>'Daftar Gaji'!AA6</f>
        <v>91634</v>
      </c>
      <c r="L15" s="241"/>
      <c r="S15" s="16"/>
      <c r="T15" s="24"/>
      <c r="U15" s="16"/>
      <c r="V15" s="16"/>
      <c r="W15" s="16"/>
      <c r="X15" s="16"/>
      <c r="Y15" s="16"/>
      <c r="Z15" s="16"/>
      <c r="AA15" s="16"/>
      <c r="AB15" s="16"/>
      <c r="AC15" s="18"/>
      <c r="AD15" s="16"/>
      <c r="AE15" s="16"/>
      <c r="AF15" s="16"/>
    </row>
    <row r="16" spans="1:32" ht="15.75">
      <c r="A16" s="184" t="s">
        <v>443</v>
      </c>
      <c r="B16" s="2" t="s">
        <v>3</v>
      </c>
      <c r="C16" s="9">
        <v>27</v>
      </c>
      <c r="E16" s="241">
        <f>($J$10*C16)</f>
        <v>270000</v>
      </c>
      <c r="F16" s="241"/>
      <c r="G16" s="8" t="s">
        <v>201</v>
      </c>
      <c r="K16" s="241">
        <f>3%*10164000</f>
        <v>304920</v>
      </c>
      <c r="L16" s="241"/>
      <c r="S16" s="16"/>
      <c r="T16" s="24"/>
      <c r="U16" s="16"/>
      <c r="V16" s="16"/>
      <c r="W16" s="16"/>
      <c r="X16" s="16"/>
      <c r="Y16" s="16"/>
      <c r="Z16" s="16"/>
      <c r="AA16" s="16"/>
      <c r="AB16" s="16"/>
      <c r="AC16" s="18"/>
      <c r="AD16" s="16"/>
      <c r="AE16" s="16"/>
      <c r="AF16" s="16"/>
    </row>
    <row r="17" spans="1:32" ht="15.75">
      <c r="A17" s="2" t="s">
        <v>180</v>
      </c>
      <c r="B17" s="2" t="s">
        <v>3</v>
      </c>
      <c r="C17" s="14">
        <f>PRD!AD140</f>
        <v>36</v>
      </c>
      <c r="E17" s="241">
        <f>$J$9*C17</f>
        <v>1061271.6763005781</v>
      </c>
      <c r="F17" s="241"/>
      <c r="G17" s="8"/>
      <c r="K17" s="241"/>
      <c r="L17" s="241"/>
      <c r="S17" s="18"/>
      <c r="T17" s="25"/>
      <c r="U17" s="16"/>
      <c r="V17" s="16"/>
      <c r="W17" s="16"/>
      <c r="X17" s="16"/>
      <c r="Y17" s="16"/>
      <c r="Z17" s="16"/>
      <c r="AA17" s="16"/>
      <c r="AB17" s="16"/>
      <c r="AC17" s="18"/>
      <c r="AD17" s="16"/>
      <c r="AE17" s="16"/>
      <c r="AF17" s="16"/>
    </row>
    <row r="18" spans="1:32" ht="15.75">
      <c r="A18" s="2" t="s">
        <v>14</v>
      </c>
      <c r="B18" s="2" t="s">
        <v>3</v>
      </c>
      <c r="C18" s="9">
        <f>PRD!AE140</f>
        <v>68</v>
      </c>
      <c r="E18" s="241">
        <f>$J$9*C18</f>
        <v>2004624.2774566473</v>
      </c>
      <c r="F18" s="241"/>
      <c r="G18" s="8"/>
      <c r="K18" s="241"/>
      <c r="L18" s="241"/>
      <c r="P18" s="5"/>
      <c r="S18" s="18"/>
      <c r="T18" s="25"/>
      <c r="U18" s="16"/>
      <c r="V18" s="16"/>
      <c r="W18" s="16"/>
      <c r="X18" s="16"/>
      <c r="Y18" s="16"/>
      <c r="Z18" s="16"/>
      <c r="AA18" s="16"/>
      <c r="AB18" s="16"/>
      <c r="AC18" s="18"/>
      <c r="AD18" s="16"/>
      <c r="AE18" s="16"/>
      <c r="AF18" s="16"/>
    </row>
    <row r="19" spans="1:32" ht="15.75">
      <c r="A19" s="2" t="s">
        <v>15</v>
      </c>
      <c r="B19" s="2" t="s">
        <v>3</v>
      </c>
      <c r="C19" s="9">
        <f>PRD!AF140</f>
        <v>0</v>
      </c>
      <c r="E19" s="241">
        <f>$J$9*C19</f>
        <v>0</v>
      </c>
      <c r="F19" s="241"/>
      <c r="G19" s="8" t="s">
        <v>206</v>
      </c>
      <c r="K19" s="241">
        <f>1%*10164000</f>
        <v>101640</v>
      </c>
      <c r="L19" s="241"/>
      <c r="O19" s="5"/>
      <c r="P19" s="5"/>
      <c r="S19" s="18"/>
      <c r="T19" s="26"/>
      <c r="U19" s="27"/>
      <c r="V19" s="16"/>
      <c r="W19" s="16"/>
      <c r="X19" s="16"/>
      <c r="Y19" s="16"/>
      <c r="Z19" s="16"/>
      <c r="AA19" s="16"/>
      <c r="AB19" s="16"/>
      <c r="AC19" s="18"/>
      <c r="AD19" s="16"/>
      <c r="AE19" s="16"/>
      <c r="AF19" s="16"/>
    </row>
    <row r="20" spans="1:32" ht="15.75">
      <c r="A20" s="2" t="s">
        <v>16</v>
      </c>
      <c r="B20" s="2" t="s">
        <v>3</v>
      </c>
      <c r="C20" s="9">
        <f>PRD!AG140</f>
        <v>0</v>
      </c>
      <c r="E20" s="241">
        <f>$J$9*C20</f>
        <v>0</v>
      </c>
      <c r="F20" s="241"/>
      <c r="G20" s="8"/>
      <c r="S20" s="18"/>
      <c r="T20" s="25"/>
      <c r="U20" s="16"/>
      <c r="V20" s="28"/>
      <c r="W20" s="16"/>
      <c r="X20" s="16"/>
      <c r="Y20" s="16"/>
      <c r="Z20" s="16"/>
      <c r="AA20" s="16"/>
      <c r="AB20" s="16"/>
      <c r="AC20" s="18"/>
      <c r="AD20" s="16"/>
      <c r="AE20" s="16"/>
      <c r="AF20" s="16"/>
    </row>
    <row r="21" spans="1:32" ht="15.75">
      <c r="A21" s="184" t="s">
        <v>259</v>
      </c>
      <c r="D21" s="2">
        <v>0</v>
      </c>
      <c r="E21" s="241">
        <v>200000</v>
      </c>
      <c r="F21" s="241"/>
      <c r="G21" s="8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8"/>
      <c r="AD21" s="16"/>
      <c r="AE21" s="16"/>
      <c r="AF21" s="16"/>
    </row>
    <row r="22" spans="1:32" s="1" customFormat="1" ht="15.75">
      <c r="A22" s="10" t="s">
        <v>17</v>
      </c>
      <c r="B22" s="10"/>
      <c r="C22" s="10"/>
      <c r="D22" s="10"/>
      <c r="E22" s="243">
        <f>SUM(E14:F21)</f>
        <v>8635895.9537572246</v>
      </c>
      <c r="F22" s="243"/>
      <c r="G22" s="11" t="s">
        <v>17</v>
      </c>
      <c r="H22" s="12" t="s">
        <v>3</v>
      </c>
      <c r="I22" s="10"/>
      <c r="J22" s="10"/>
      <c r="K22" s="243">
        <f>SUM(K14:L19)</f>
        <v>498194</v>
      </c>
      <c r="L22" s="243"/>
      <c r="S22" s="29"/>
      <c r="T22" s="16"/>
      <c r="U22" s="16"/>
      <c r="V22" s="16"/>
      <c r="W22" s="16"/>
      <c r="X22" s="16"/>
      <c r="Y22" s="16"/>
      <c r="Z22" s="16"/>
      <c r="AA22" s="16"/>
      <c r="AB22" s="16"/>
      <c r="AC22" s="18"/>
      <c r="AD22" s="16"/>
      <c r="AE22" s="16"/>
      <c r="AF22" s="16"/>
    </row>
    <row r="23" spans="1:32" ht="15.75">
      <c r="G23" s="2" t="s">
        <v>18</v>
      </c>
      <c r="K23" s="241">
        <f>E22-K22</f>
        <v>8137701.9537572246</v>
      </c>
      <c r="L23" s="241"/>
      <c r="S23" s="23"/>
      <c r="T23" s="16"/>
      <c r="U23" s="16"/>
      <c r="V23" s="16"/>
      <c r="W23" s="16"/>
      <c r="X23" s="16"/>
      <c r="Y23" s="16"/>
      <c r="Z23" s="16"/>
      <c r="AA23" s="16"/>
      <c r="AB23" s="16"/>
      <c r="AC23" s="18"/>
      <c r="AD23" s="16"/>
      <c r="AE23" s="16"/>
      <c r="AF23" s="16"/>
    </row>
    <row r="24" spans="1:32" ht="15.75">
      <c r="G24" s="1" t="s">
        <v>19</v>
      </c>
      <c r="K24" s="245">
        <f>ROUNDUP(K23,-3)</f>
        <v>8138000</v>
      </c>
      <c r="L24" s="245"/>
      <c r="S24" s="16"/>
      <c r="T24" s="24"/>
      <c r="U24" s="16"/>
      <c r="V24" s="16"/>
      <c r="W24" s="16"/>
      <c r="X24" s="16"/>
      <c r="Y24" s="16"/>
      <c r="Z24" s="16"/>
      <c r="AA24" s="16"/>
      <c r="AB24" s="16"/>
      <c r="AC24" s="18"/>
      <c r="AD24" s="16"/>
      <c r="AE24" s="16"/>
      <c r="AF24" s="16"/>
    </row>
    <row r="25" spans="1:32" ht="15.75">
      <c r="K25" s="240"/>
      <c r="L25" s="240"/>
      <c r="S25" s="16"/>
      <c r="T25" s="24"/>
      <c r="U25" s="16"/>
      <c r="V25" s="16"/>
      <c r="W25" s="16"/>
      <c r="X25" s="16"/>
      <c r="Y25" s="16"/>
      <c r="Z25" s="16"/>
      <c r="AA25" s="16"/>
      <c r="AB25" s="16"/>
      <c r="AC25" s="18"/>
      <c r="AD25" s="16"/>
      <c r="AE25" s="16"/>
      <c r="AF25" s="16"/>
    </row>
    <row r="26" spans="1:32" ht="15.75">
      <c r="A26" s="2" t="s">
        <v>20</v>
      </c>
      <c r="B26" s="2" t="s">
        <v>3</v>
      </c>
      <c r="C26" s="45" t="str">
        <f>Inword!A8</f>
        <v>Delapan Juta Seratus Tiga Puluh Delapan Ribu Rupiah</v>
      </c>
      <c r="S26" s="16"/>
      <c r="T26" s="24"/>
      <c r="U26" s="16"/>
      <c r="V26" s="16"/>
      <c r="W26" s="16"/>
      <c r="X26" s="16"/>
      <c r="Y26" s="16"/>
      <c r="Z26" s="16"/>
      <c r="AA26" s="16"/>
      <c r="AB26" s="16"/>
      <c r="AC26" s="18"/>
      <c r="AD26" s="16"/>
      <c r="AE26" s="16"/>
      <c r="AF26" s="16"/>
    </row>
    <row r="27" spans="1:32" ht="15.75">
      <c r="S27" s="18"/>
      <c r="T27" s="25"/>
      <c r="U27" s="16"/>
      <c r="V27" s="16"/>
      <c r="W27" s="16"/>
      <c r="X27" s="16"/>
      <c r="Y27" s="16"/>
      <c r="Z27" s="16"/>
      <c r="AA27" s="16"/>
      <c r="AB27" s="16"/>
      <c r="AC27" s="18"/>
      <c r="AD27" s="16"/>
      <c r="AE27" s="16"/>
      <c r="AF27" s="16"/>
    </row>
    <row r="28" spans="1:32" ht="15.75">
      <c r="G28" s="2" t="s">
        <v>470</v>
      </c>
      <c r="S28" s="18"/>
      <c r="T28" s="25"/>
      <c r="U28" s="16"/>
      <c r="V28" s="16"/>
      <c r="W28" s="16"/>
      <c r="X28" s="16"/>
      <c r="Y28" s="16"/>
      <c r="Z28" s="16"/>
      <c r="AA28" s="16"/>
      <c r="AB28" s="16"/>
      <c r="AC28" s="18"/>
      <c r="AD28" s="16"/>
      <c r="AE28" s="16"/>
      <c r="AF28" s="16"/>
    </row>
    <row r="29" spans="1:32" ht="15.75">
      <c r="G29" s="9" t="s">
        <v>258</v>
      </c>
      <c r="S29" s="18"/>
      <c r="T29" s="26"/>
      <c r="U29" s="27"/>
      <c r="V29" s="16"/>
      <c r="W29" s="16"/>
      <c r="X29" s="16"/>
      <c r="Y29" s="16"/>
      <c r="Z29" s="16"/>
      <c r="AA29" s="16"/>
      <c r="AB29" s="16"/>
      <c r="AC29" s="18"/>
      <c r="AD29" s="16"/>
      <c r="AE29" s="16"/>
      <c r="AF29" s="16"/>
    </row>
    <row r="30" spans="1:32" ht="15.75">
      <c r="G30" s="9" t="s">
        <v>182</v>
      </c>
      <c r="S30" s="18"/>
      <c r="T30" s="25"/>
      <c r="U30" s="16"/>
      <c r="V30" s="16"/>
      <c r="W30" s="16"/>
      <c r="X30" s="16"/>
      <c r="Y30" s="16"/>
      <c r="Z30" s="16"/>
      <c r="AA30" s="16"/>
      <c r="AB30" s="16"/>
      <c r="AC30" s="18"/>
      <c r="AD30" s="16"/>
      <c r="AE30" s="16"/>
      <c r="AF30" s="16"/>
    </row>
    <row r="31" spans="1:32" ht="15.75">
      <c r="G31" s="9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8"/>
      <c r="AD31" s="16"/>
      <c r="AE31" s="16"/>
      <c r="AF31" s="16"/>
    </row>
    <row r="32" spans="1:32" ht="15.75"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8"/>
      <c r="AD32" s="16"/>
      <c r="AE32" s="16"/>
      <c r="AF32" s="16"/>
    </row>
    <row r="33" spans="1:32" ht="15.75">
      <c r="A33" s="13"/>
      <c r="G33" s="13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8"/>
      <c r="AD33" s="16"/>
      <c r="AE33" s="16"/>
      <c r="AF33" s="16"/>
    </row>
    <row r="34" spans="1:32" ht="15.75"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8"/>
      <c r="AD34" s="16"/>
      <c r="AE34" s="16"/>
      <c r="AF34" s="16"/>
    </row>
    <row r="35" spans="1:32" ht="15.75"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8"/>
      <c r="AD35" s="16"/>
      <c r="AE35" s="16"/>
      <c r="AF35" s="16"/>
    </row>
    <row r="36" spans="1:32" ht="15.75"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8"/>
      <c r="AD36" s="16"/>
      <c r="AE36" s="16"/>
      <c r="AF36" s="16"/>
    </row>
    <row r="37" spans="1:32" ht="15.75"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8"/>
      <c r="AD37" s="16"/>
      <c r="AE37" s="16"/>
      <c r="AF37" s="16"/>
    </row>
    <row r="38" spans="1:32" ht="15.75">
      <c r="A38" s="1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8"/>
      <c r="AD38" s="16"/>
      <c r="AE38" s="16"/>
      <c r="AF38" s="16"/>
    </row>
    <row r="39" spans="1:32" ht="15.75"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8"/>
      <c r="AD39" s="16"/>
      <c r="AE39" s="16"/>
      <c r="AF39" s="16"/>
    </row>
    <row r="40" spans="1:32" ht="15.75"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8"/>
      <c r="AD40" s="16"/>
      <c r="AE40" s="16"/>
      <c r="AF40" s="16"/>
    </row>
    <row r="41" spans="1:32" ht="15.75"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8"/>
      <c r="AD41" s="16"/>
      <c r="AE41" s="16"/>
      <c r="AF41" s="16"/>
    </row>
    <row r="42" spans="1:32" ht="15.7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8"/>
      <c r="AD42" s="16"/>
      <c r="AE42" s="16"/>
      <c r="AF42" s="16"/>
    </row>
    <row r="43" spans="1:32" ht="15.75">
      <c r="E43" s="244"/>
      <c r="F43" s="244"/>
      <c r="G43" s="244"/>
      <c r="H43" s="244"/>
      <c r="I43" s="244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8"/>
      <c r="AD43" s="16"/>
      <c r="AE43" s="16"/>
      <c r="AF43" s="16"/>
    </row>
    <row r="44" spans="1:32" ht="15.75">
      <c r="S44" s="16"/>
      <c r="T44" s="21"/>
      <c r="U44" s="21"/>
      <c r="V44" s="21"/>
      <c r="W44" s="16"/>
      <c r="X44" s="16"/>
      <c r="Y44" s="16"/>
      <c r="Z44" s="16"/>
      <c r="AA44" s="16"/>
      <c r="AB44" s="16"/>
      <c r="AC44" s="18"/>
      <c r="AD44" s="16"/>
      <c r="AE44" s="16"/>
      <c r="AF44" s="16"/>
    </row>
    <row r="45" spans="1:32" ht="15.75">
      <c r="J45" s="5"/>
      <c r="S45" s="21"/>
      <c r="T45" s="21"/>
      <c r="U45" s="21"/>
      <c r="V45" s="21"/>
      <c r="W45" s="16"/>
      <c r="X45" s="16"/>
      <c r="Y45" s="16"/>
      <c r="Z45" s="16"/>
      <c r="AA45" s="16"/>
      <c r="AB45" s="16"/>
      <c r="AC45" s="18"/>
      <c r="AD45" s="16"/>
      <c r="AE45" s="16"/>
      <c r="AF45" s="16"/>
    </row>
    <row r="46" spans="1:32" ht="15.75">
      <c r="J46" s="5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8"/>
      <c r="AD46" s="16"/>
      <c r="AE46" s="16"/>
      <c r="AF46" s="16"/>
    </row>
    <row r="47" spans="1:32" ht="15.75">
      <c r="J47" s="5"/>
      <c r="S47" s="23"/>
      <c r="T47" s="16"/>
      <c r="U47" s="16"/>
      <c r="V47" s="16"/>
      <c r="W47" s="16"/>
      <c r="X47" s="16"/>
      <c r="Y47" s="16"/>
      <c r="Z47" s="16"/>
      <c r="AA47" s="16"/>
      <c r="AB47" s="16"/>
      <c r="AC47" s="18"/>
      <c r="AD47" s="16"/>
      <c r="AE47" s="16"/>
      <c r="AF47" s="16"/>
    </row>
    <row r="48" spans="1:32" ht="15.75"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8"/>
      <c r="AD48" s="16"/>
      <c r="AE48" s="16"/>
      <c r="AF48" s="16"/>
    </row>
    <row r="49" spans="1:32" s="1" customFormat="1" ht="15.75">
      <c r="A49" s="6"/>
      <c r="B49" s="6"/>
      <c r="C49" s="6"/>
      <c r="D49" s="6"/>
      <c r="E49" s="6"/>
      <c r="F49" s="6"/>
      <c r="G49" s="7"/>
      <c r="H49" s="6"/>
      <c r="I49" s="6"/>
      <c r="J49" s="6"/>
      <c r="K49" s="6"/>
      <c r="L49" s="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8"/>
      <c r="AD49" s="16"/>
      <c r="AE49" s="16"/>
      <c r="AF49" s="16"/>
    </row>
    <row r="50" spans="1:32" ht="15.75">
      <c r="G50" s="8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8"/>
      <c r="AD50" s="16"/>
      <c r="AE50" s="16"/>
      <c r="AF50" s="16"/>
    </row>
    <row r="51" spans="1:32" ht="15.75">
      <c r="E51" s="241"/>
      <c r="F51" s="241"/>
      <c r="G51" s="8"/>
      <c r="K51" s="241"/>
      <c r="L51" s="241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8"/>
      <c r="AD51" s="16"/>
      <c r="AE51" s="16"/>
      <c r="AF51" s="16"/>
    </row>
    <row r="52" spans="1:32" ht="15.75">
      <c r="E52" s="241"/>
      <c r="F52" s="241"/>
      <c r="G52" s="8"/>
      <c r="K52" s="241"/>
      <c r="L52" s="241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8"/>
      <c r="AD52" s="16"/>
      <c r="AE52" s="16"/>
      <c r="AF52" s="16"/>
    </row>
    <row r="53" spans="1:32" ht="15.75">
      <c r="E53" s="241"/>
      <c r="F53" s="241"/>
      <c r="G53" s="8"/>
      <c r="K53" s="241"/>
      <c r="L53" s="241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8"/>
      <c r="AD53" s="16"/>
      <c r="AE53" s="16"/>
      <c r="AF53" s="16"/>
    </row>
    <row r="54" spans="1:32" ht="15.75">
      <c r="E54" s="241"/>
      <c r="F54" s="241"/>
      <c r="G54" s="8"/>
      <c r="K54" s="241"/>
      <c r="L54" s="241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8"/>
      <c r="AD54" s="16"/>
      <c r="AE54" s="16"/>
      <c r="AF54" s="16"/>
    </row>
    <row r="55" spans="1:32" ht="15.75">
      <c r="E55" s="241"/>
      <c r="F55" s="241"/>
      <c r="G55" s="8"/>
      <c r="K55" s="246"/>
      <c r="L55" s="24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8"/>
      <c r="AD55" s="16"/>
      <c r="AE55" s="16"/>
      <c r="AF55" s="16"/>
    </row>
    <row r="56" spans="1:32" ht="15.75">
      <c r="E56" s="241"/>
      <c r="F56" s="241"/>
      <c r="G56" s="8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8"/>
      <c r="AD56" s="16"/>
      <c r="AE56" s="16"/>
      <c r="AF56" s="16"/>
    </row>
    <row r="57" spans="1:32" ht="15.75">
      <c r="E57" s="241"/>
      <c r="F57" s="241"/>
      <c r="G57" s="8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8"/>
      <c r="AD57" s="16"/>
      <c r="AE57" s="16"/>
      <c r="AF57" s="16"/>
    </row>
    <row r="58" spans="1:32" ht="15.75">
      <c r="E58" s="241"/>
      <c r="F58" s="241"/>
      <c r="G58" s="8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8"/>
      <c r="AD58" s="16"/>
      <c r="AE58" s="16"/>
      <c r="AF58" s="16"/>
    </row>
    <row r="59" spans="1:32" s="1" customFormat="1" ht="15.75">
      <c r="A59" s="10"/>
      <c r="B59" s="10"/>
      <c r="C59" s="10"/>
      <c r="D59" s="10"/>
      <c r="E59" s="243"/>
      <c r="F59" s="243"/>
      <c r="G59" s="11"/>
      <c r="H59" s="12"/>
      <c r="I59" s="10"/>
      <c r="J59" s="10"/>
      <c r="K59" s="243"/>
      <c r="L59" s="243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8"/>
      <c r="AD59" s="16"/>
      <c r="AE59" s="16"/>
      <c r="AF59" s="16"/>
    </row>
    <row r="60" spans="1:32" ht="15.75">
      <c r="K60" s="241"/>
      <c r="L60" s="241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8"/>
      <c r="AD60" s="16"/>
      <c r="AE60" s="16"/>
      <c r="AF60" s="16"/>
    </row>
    <row r="61" spans="1:32" ht="15.75">
      <c r="G61" s="1"/>
      <c r="K61" s="245"/>
      <c r="L61" s="245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8"/>
      <c r="AD61" s="16"/>
      <c r="AE61" s="16"/>
      <c r="AF61" s="16"/>
    </row>
    <row r="62" spans="1:32" ht="15.75"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8"/>
      <c r="AD62" s="16"/>
      <c r="AE62" s="16"/>
      <c r="AF62" s="16"/>
    </row>
    <row r="63" spans="1:32" ht="15.75"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8"/>
      <c r="AD63" s="16"/>
      <c r="AE63" s="16"/>
      <c r="AF63" s="16"/>
    </row>
    <row r="64" spans="1:32" ht="15.75"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8"/>
      <c r="AD64" s="16"/>
      <c r="AE64" s="16"/>
      <c r="AF64" s="16"/>
    </row>
    <row r="65" spans="1:32" ht="15.75"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8"/>
      <c r="AD65" s="16"/>
      <c r="AE65" s="16"/>
      <c r="AF65" s="16"/>
    </row>
    <row r="66" spans="1:32" ht="15.75"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8"/>
      <c r="AD66" s="16"/>
      <c r="AE66" s="16"/>
      <c r="AF66" s="16"/>
    </row>
    <row r="67" spans="1:32" ht="15.75"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8"/>
      <c r="AD67" s="16"/>
      <c r="AE67" s="16"/>
      <c r="AF67" s="16"/>
    </row>
    <row r="68" spans="1:32" ht="15.75"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8"/>
      <c r="AD68" s="16"/>
      <c r="AE68" s="16"/>
      <c r="AF68" s="16"/>
    </row>
    <row r="69" spans="1:32" ht="15.75"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8"/>
      <c r="AD69" s="16"/>
      <c r="AE69" s="16"/>
      <c r="AF69" s="16"/>
    </row>
    <row r="70" spans="1:32" ht="15.75">
      <c r="A70" s="13"/>
      <c r="G70" s="13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8"/>
      <c r="AD70" s="16"/>
      <c r="AE70" s="16"/>
      <c r="AF70" s="16"/>
    </row>
    <row r="71" spans="1:32" ht="15.75"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8"/>
      <c r="AD71" s="16"/>
      <c r="AE71" s="16"/>
      <c r="AF71" s="16"/>
    </row>
    <row r="72" spans="1:32" ht="15.75"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8"/>
      <c r="AD72" s="16"/>
      <c r="AE72" s="16"/>
      <c r="AF72" s="16"/>
    </row>
    <row r="73" spans="1:32" ht="15.75"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8"/>
      <c r="AD73" s="16"/>
      <c r="AE73" s="16"/>
      <c r="AF73" s="16"/>
    </row>
    <row r="74" spans="1:32" ht="15.75"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8"/>
      <c r="AD74" s="16"/>
      <c r="AE74" s="16"/>
      <c r="AF74" s="16"/>
    </row>
    <row r="75" spans="1:32" ht="15.75"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8"/>
      <c r="AD75" s="16"/>
      <c r="AE75" s="16"/>
      <c r="AF75" s="16"/>
    </row>
    <row r="76" spans="1:32" ht="15.75"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8"/>
      <c r="AD76" s="16"/>
      <c r="AE76" s="16"/>
      <c r="AF76" s="16"/>
    </row>
    <row r="77" spans="1:32" ht="15.75"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8"/>
      <c r="AD77" s="16"/>
      <c r="AE77" s="16"/>
      <c r="AF77" s="16"/>
    </row>
    <row r="78" spans="1:32" ht="15.75"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8"/>
      <c r="AD78" s="16"/>
      <c r="AE78" s="16"/>
      <c r="AF78" s="16"/>
    </row>
    <row r="79" spans="1:32" ht="15.75"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8"/>
      <c r="AD79" s="16"/>
      <c r="AE79" s="16"/>
      <c r="AF79" s="16"/>
    </row>
    <row r="80" spans="1:32" ht="15.75"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8"/>
      <c r="AD80" s="16"/>
      <c r="AE80" s="16"/>
      <c r="AF80" s="16"/>
    </row>
    <row r="81" spans="19:32" ht="15.75"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8"/>
      <c r="AD81" s="16"/>
      <c r="AE81" s="16"/>
      <c r="AF81" s="16"/>
    </row>
    <row r="82" spans="19:32" ht="15.75"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8"/>
      <c r="AD82" s="16"/>
      <c r="AE82" s="16"/>
      <c r="AF82" s="16"/>
    </row>
    <row r="83" spans="19:32" ht="15.75"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8"/>
      <c r="AD83" s="16"/>
      <c r="AE83" s="16"/>
      <c r="AF83" s="16"/>
    </row>
    <row r="84" spans="19:32" ht="15.75"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8"/>
      <c r="AD84" s="16"/>
      <c r="AE84" s="16"/>
      <c r="AF84" s="16"/>
    </row>
    <row r="85" spans="19:32" ht="15.75"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8"/>
      <c r="AD85" s="16"/>
      <c r="AE85" s="16"/>
      <c r="AF85" s="16"/>
    </row>
    <row r="86" spans="19:32" ht="15.75"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8"/>
      <c r="AD86" s="16"/>
      <c r="AE86" s="16"/>
      <c r="AF86" s="16"/>
    </row>
    <row r="87" spans="19:32" ht="15.75"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8"/>
      <c r="AD87" s="16"/>
      <c r="AE87" s="16"/>
      <c r="AF87" s="16"/>
    </row>
    <row r="88" spans="19:32" ht="15.75"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8"/>
      <c r="AD88" s="16"/>
      <c r="AE88" s="16"/>
      <c r="AF88" s="16"/>
    </row>
    <row r="89" spans="19:32" ht="15.75"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8"/>
      <c r="AD89" s="16"/>
      <c r="AE89" s="16"/>
      <c r="AF89" s="16"/>
    </row>
    <row r="90" spans="19:32" ht="15.75"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8"/>
      <c r="AD90" s="16"/>
      <c r="AE90" s="16"/>
      <c r="AF90" s="16"/>
    </row>
    <row r="91" spans="19:32" ht="15.75"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8"/>
      <c r="AD91" s="16"/>
      <c r="AE91" s="16"/>
      <c r="AF91" s="16"/>
    </row>
    <row r="92" spans="19:32" ht="15.75"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8"/>
      <c r="AD92" s="16"/>
      <c r="AE92" s="16"/>
      <c r="AF92" s="16"/>
    </row>
    <row r="93" spans="19:32" ht="15.75"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8"/>
      <c r="AD93" s="16"/>
      <c r="AE93" s="16"/>
      <c r="AF93" s="16"/>
    </row>
    <row r="94" spans="19:32" ht="15.75"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8"/>
      <c r="AD94" s="16"/>
      <c r="AE94" s="16"/>
      <c r="AF94" s="16"/>
    </row>
    <row r="95" spans="19:32" ht="15.75"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8"/>
      <c r="AD95" s="16"/>
      <c r="AE95" s="16"/>
      <c r="AF95" s="16"/>
    </row>
    <row r="96" spans="19:32" ht="15.75"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8"/>
      <c r="AD96" s="16"/>
      <c r="AE96" s="16"/>
      <c r="AF96" s="16"/>
    </row>
    <row r="97" spans="4:32" ht="15.75"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8"/>
      <c r="AD97" s="16"/>
      <c r="AE97" s="16"/>
      <c r="AF97" s="16"/>
    </row>
    <row r="98" spans="4:32" ht="15.75"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8"/>
      <c r="AD98" s="16"/>
      <c r="AE98" s="16"/>
      <c r="AF98" s="16"/>
    </row>
    <row r="99" spans="4:32" ht="15.75">
      <c r="D99" s="247"/>
      <c r="E99" s="247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8"/>
      <c r="AD99" s="16"/>
      <c r="AE99" s="16"/>
      <c r="AF99" s="16"/>
    </row>
    <row r="100" spans="4:32" ht="15.75"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8"/>
      <c r="AD100" s="16"/>
      <c r="AE100" s="16"/>
      <c r="AF100" s="16"/>
    </row>
    <row r="101" spans="4:32" ht="15.75"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8"/>
      <c r="O101" s="16"/>
      <c r="P101" s="16"/>
      <c r="Q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8"/>
      <c r="AD101" s="16"/>
      <c r="AE101" s="16"/>
      <c r="AF101" s="16"/>
    </row>
    <row r="102" spans="4:32" ht="15.75">
      <c r="D102" s="19"/>
      <c r="E102" s="16"/>
      <c r="F102" s="16"/>
      <c r="G102" s="16"/>
      <c r="H102" s="16"/>
      <c r="I102" s="16"/>
      <c r="J102" s="16"/>
      <c r="K102" s="16"/>
      <c r="L102" s="16"/>
      <c r="M102" s="16"/>
      <c r="N102" s="18"/>
      <c r="O102" s="16"/>
      <c r="P102" s="16"/>
      <c r="Q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8"/>
      <c r="AD102" s="16"/>
      <c r="AE102" s="16"/>
      <c r="AF102" s="16"/>
    </row>
    <row r="103" spans="4:32" ht="15.75">
      <c r="D103" s="21"/>
      <c r="E103" s="21"/>
      <c r="F103" s="21"/>
      <c r="G103" s="21"/>
      <c r="H103" s="21"/>
      <c r="I103" s="22"/>
      <c r="J103" s="16"/>
      <c r="K103" s="16"/>
      <c r="L103" s="16"/>
      <c r="M103" s="16"/>
      <c r="N103" s="18"/>
      <c r="O103" s="16"/>
      <c r="P103" s="16"/>
      <c r="Q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8"/>
      <c r="AD103" s="16"/>
      <c r="AE103" s="16"/>
      <c r="AF103" s="16"/>
    </row>
    <row r="104" spans="4:32" ht="15.75">
      <c r="D104" s="20"/>
      <c r="E104" s="20"/>
      <c r="F104" s="20"/>
      <c r="G104" s="20"/>
      <c r="H104" s="21"/>
      <c r="I104" s="22"/>
      <c r="J104" s="16"/>
      <c r="K104" s="16"/>
      <c r="L104" s="16"/>
      <c r="M104" s="16"/>
      <c r="N104" s="18"/>
      <c r="O104" s="16"/>
      <c r="P104" s="16"/>
      <c r="Q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spans="4:32" ht="15.75">
      <c r="D105" s="20"/>
      <c r="E105" s="20"/>
      <c r="F105" s="20"/>
      <c r="G105" s="20"/>
      <c r="H105" s="16"/>
      <c r="I105" s="16"/>
      <c r="J105" s="16"/>
      <c r="K105" s="16"/>
      <c r="L105" s="16"/>
      <c r="M105" s="16"/>
      <c r="N105" s="18"/>
      <c r="O105" s="16"/>
      <c r="P105" s="16"/>
      <c r="Q105" s="16"/>
    </row>
    <row r="106" spans="4:32" ht="15.75">
      <c r="D106" s="242"/>
      <c r="E106" s="242"/>
      <c r="F106" s="242"/>
      <c r="G106" s="242"/>
      <c r="H106" s="21"/>
      <c r="I106" s="22"/>
      <c r="J106" s="16"/>
      <c r="K106" s="16"/>
      <c r="L106" s="16"/>
      <c r="M106" s="16"/>
      <c r="N106" s="18"/>
      <c r="O106" s="16"/>
      <c r="P106" s="16"/>
      <c r="Q106" s="16"/>
    </row>
    <row r="107" spans="4:32" ht="15.75">
      <c r="D107" s="21"/>
      <c r="E107" s="21"/>
      <c r="F107" s="21"/>
      <c r="G107" s="21"/>
      <c r="H107" s="21"/>
      <c r="I107" s="22"/>
      <c r="J107" s="16"/>
      <c r="K107" s="16"/>
      <c r="L107" s="16"/>
      <c r="M107" s="16"/>
      <c r="N107" s="18"/>
      <c r="O107" s="16"/>
      <c r="P107" s="16"/>
      <c r="Q107" s="16"/>
    </row>
    <row r="108" spans="4:32" ht="15.75"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8"/>
      <c r="O108" s="16"/>
      <c r="P108" s="16"/>
      <c r="Q108" s="16"/>
    </row>
    <row r="109" spans="4:32" ht="15.75"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8"/>
      <c r="O109" s="16"/>
      <c r="P109" s="16"/>
      <c r="Q109" s="16"/>
    </row>
    <row r="110" spans="4:32" ht="15.75">
      <c r="D110" s="23"/>
      <c r="E110" s="16"/>
      <c r="F110" s="16"/>
      <c r="G110" s="16"/>
      <c r="H110" s="16"/>
      <c r="I110" s="16"/>
      <c r="J110" s="16"/>
      <c r="K110" s="16"/>
      <c r="L110" s="16"/>
      <c r="M110" s="16"/>
      <c r="N110" s="18"/>
      <c r="O110" s="16"/>
      <c r="P110" s="16"/>
      <c r="Q110" s="16"/>
    </row>
    <row r="111" spans="4:32" ht="15.75">
      <c r="D111" s="16"/>
      <c r="E111" s="24"/>
      <c r="F111" s="16"/>
      <c r="G111" s="16"/>
      <c r="H111" s="16"/>
      <c r="I111" s="16"/>
      <c r="J111" s="16"/>
      <c r="K111" s="16"/>
      <c r="L111" s="16"/>
      <c r="M111" s="16"/>
      <c r="N111" s="18"/>
      <c r="O111" s="16"/>
      <c r="P111" s="16"/>
      <c r="Q111" s="16"/>
    </row>
    <row r="112" spans="4:32" ht="15.75">
      <c r="D112" s="16"/>
      <c r="E112" s="24"/>
      <c r="F112" s="16"/>
      <c r="G112" s="16"/>
      <c r="H112" s="16"/>
      <c r="I112" s="16"/>
      <c r="J112" s="16"/>
      <c r="K112" s="16"/>
      <c r="L112" s="16"/>
      <c r="M112" s="16"/>
      <c r="N112" s="18"/>
      <c r="O112" s="16"/>
      <c r="P112" s="16"/>
      <c r="Q112" s="16"/>
    </row>
    <row r="113" spans="4:17" ht="15.75">
      <c r="D113" s="16"/>
      <c r="E113" s="24"/>
      <c r="F113" s="16"/>
      <c r="G113" s="16"/>
      <c r="H113" s="16"/>
      <c r="I113" s="16"/>
      <c r="J113" s="16"/>
      <c r="K113" s="16"/>
      <c r="L113" s="16"/>
      <c r="M113" s="16"/>
      <c r="N113" s="18"/>
      <c r="O113" s="16"/>
      <c r="P113" s="16"/>
      <c r="Q113" s="16"/>
    </row>
    <row r="114" spans="4:17" ht="15.75">
      <c r="D114" s="18"/>
      <c r="E114" s="25"/>
      <c r="F114" s="16"/>
      <c r="G114" s="16"/>
      <c r="H114" s="16"/>
      <c r="I114" s="16"/>
      <c r="J114" s="16"/>
      <c r="K114" s="16"/>
      <c r="L114" s="16"/>
      <c r="M114" s="16"/>
      <c r="N114" s="18"/>
      <c r="O114" s="16"/>
      <c r="P114" s="16"/>
      <c r="Q114" s="16"/>
    </row>
    <row r="115" spans="4:17" ht="15.75">
      <c r="D115" s="18"/>
      <c r="E115" s="25"/>
      <c r="F115" s="16"/>
      <c r="G115" s="16"/>
      <c r="H115" s="16"/>
      <c r="I115" s="16"/>
      <c r="J115" s="16"/>
      <c r="K115" s="16"/>
      <c r="L115" s="16"/>
      <c r="M115" s="16"/>
      <c r="N115" s="18"/>
      <c r="O115" s="16"/>
      <c r="P115" s="16"/>
      <c r="Q115" s="16"/>
    </row>
    <row r="116" spans="4:17" ht="15.75">
      <c r="D116" s="18"/>
      <c r="E116" s="26"/>
      <c r="F116" s="27"/>
      <c r="G116" s="16"/>
      <c r="H116" s="16"/>
      <c r="I116" s="16"/>
      <c r="J116" s="16"/>
      <c r="K116" s="16"/>
      <c r="L116" s="16"/>
      <c r="M116" s="16"/>
      <c r="N116" s="18"/>
      <c r="O116" s="16"/>
      <c r="P116" s="16"/>
      <c r="Q116" s="16"/>
    </row>
    <row r="117" spans="4:17" ht="15.75">
      <c r="D117" s="18"/>
      <c r="E117" s="25"/>
      <c r="F117" s="16"/>
      <c r="G117" s="28"/>
      <c r="H117" s="16"/>
      <c r="I117" s="16"/>
      <c r="J117" s="16"/>
      <c r="K117" s="16"/>
      <c r="L117" s="16"/>
      <c r="M117" s="16"/>
      <c r="N117" s="18"/>
      <c r="O117" s="16"/>
      <c r="P117" s="16"/>
      <c r="Q117" s="16"/>
    </row>
    <row r="118" spans="4:17" ht="15.75"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8"/>
      <c r="O118" s="16"/>
      <c r="P118" s="16"/>
      <c r="Q118" s="16"/>
    </row>
    <row r="119" spans="4:17" ht="15.75">
      <c r="D119" s="29"/>
      <c r="E119" s="16"/>
      <c r="F119" s="16"/>
      <c r="G119" s="16"/>
      <c r="H119" s="16"/>
      <c r="I119" s="16"/>
      <c r="J119" s="16"/>
      <c r="K119" s="16"/>
      <c r="L119" s="16"/>
      <c r="M119" s="16"/>
      <c r="N119" s="18"/>
      <c r="O119" s="16"/>
      <c r="P119" s="16"/>
      <c r="Q119" s="16"/>
    </row>
    <row r="120" spans="4:17" ht="15.75">
      <c r="D120" s="23"/>
      <c r="E120" s="16"/>
      <c r="F120" s="16"/>
      <c r="G120" s="16"/>
      <c r="H120" s="16"/>
      <c r="I120" s="16"/>
      <c r="J120" s="16"/>
      <c r="K120" s="16"/>
      <c r="L120" s="16"/>
      <c r="M120" s="16"/>
      <c r="N120" s="18"/>
      <c r="O120" s="16"/>
      <c r="P120" s="16"/>
      <c r="Q120" s="16"/>
    </row>
    <row r="121" spans="4:17" ht="15.75">
      <c r="D121" s="16"/>
      <c r="E121" s="24"/>
      <c r="F121" s="16"/>
      <c r="G121" s="16"/>
      <c r="H121" s="16"/>
      <c r="I121" s="16"/>
      <c r="J121" s="16"/>
      <c r="K121" s="16"/>
      <c r="L121" s="16"/>
      <c r="M121" s="16"/>
      <c r="N121" s="18"/>
      <c r="O121" s="16"/>
      <c r="P121" s="16"/>
      <c r="Q121" s="16"/>
    </row>
    <row r="122" spans="4:17" ht="15.75">
      <c r="D122" s="16"/>
      <c r="E122" s="24"/>
      <c r="F122" s="16"/>
      <c r="G122" s="16"/>
      <c r="H122" s="16"/>
      <c r="I122" s="16"/>
      <c r="J122" s="16"/>
      <c r="K122" s="16"/>
      <c r="L122" s="16"/>
      <c r="M122" s="16"/>
      <c r="N122" s="18"/>
      <c r="O122" s="16"/>
      <c r="P122" s="16"/>
      <c r="Q122" s="16"/>
    </row>
    <row r="123" spans="4:17" ht="15.75">
      <c r="D123" s="16"/>
      <c r="E123" s="24"/>
      <c r="F123" s="16"/>
      <c r="G123" s="16"/>
      <c r="H123" s="16"/>
      <c r="I123" s="16"/>
      <c r="J123" s="16"/>
      <c r="K123" s="16"/>
      <c r="L123" s="16"/>
      <c r="M123" s="16"/>
      <c r="N123" s="18"/>
      <c r="O123" s="16"/>
      <c r="P123" s="16"/>
      <c r="Q123" s="16"/>
    </row>
    <row r="124" spans="4:17" ht="15.75">
      <c r="D124" s="18"/>
      <c r="E124" s="25"/>
      <c r="F124" s="16"/>
      <c r="G124" s="16"/>
      <c r="H124" s="16"/>
      <c r="I124" s="16"/>
      <c r="J124" s="16"/>
      <c r="K124" s="16"/>
      <c r="L124" s="16"/>
      <c r="M124" s="16"/>
      <c r="N124" s="18"/>
      <c r="O124" s="16"/>
      <c r="P124" s="16"/>
      <c r="Q124" s="16"/>
    </row>
    <row r="125" spans="4:17" ht="15.75">
      <c r="D125" s="18"/>
      <c r="E125" s="25"/>
      <c r="F125" s="16"/>
      <c r="G125" s="16"/>
      <c r="H125" s="16"/>
      <c r="I125" s="16"/>
      <c r="J125" s="16"/>
      <c r="K125" s="16"/>
      <c r="L125" s="16"/>
      <c r="M125" s="16"/>
      <c r="N125" s="18"/>
      <c r="O125" s="16"/>
      <c r="P125" s="16"/>
      <c r="Q125" s="16"/>
    </row>
    <row r="126" spans="4:17" ht="15.75">
      <c r="D126" s="18"/>
      <c r="E126" s="26"/>
      <c r="F126" s="27"/>
      <c r="G126" s="16"/>
      <c r="H126" s="16"/>
      <c r="I126" s="16"/>
      <c r="J126" s="16"/>
      <c r="K126" s="16"/>
      <c r="L126" s="16"/>
      <c r="M126" s="16"/>
      <c r="N126" s="18"/>
      <c r="O126" s="16"/>
      <c r="P126" s="16"/>
      <c r="Q126" s="16"/>
    </row>
    <row r="127" spans="4:17" ht="15.75">
      <c r="D127" s="18"/>
      <c r="E127" s="25"/>
      <c r="F127" s="16"/>
      <c r="G127" s="16"/>
      <c r="H127" s="16"/>
      <c r="I127" s="16"/>
      <c r="J127" s="16"/>
      <c r="K127" s="16"/>
      <c r="L127" s="16"/>
      <c r="M127" s="16"/>
      <c r="N127" s="18"/>
      <c r="O127" s="16"/>
      <c r="P127" s="16"/>
      <c r="Q127" s="16"/>
    </row>
    <row r="128" spans="4:17" ht="15.75"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8"/>
      <c r="O128" s="16"/>
      <c r="P128" s="16"/>
      <c r="Q128" s="16"/>
    </row>
    <row r="129" spans="4:17" ht="15.75"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8"/>
      <c r="O129" s="16"/>
      <c r="P129" s="16"/>
      <c r="Q129" s="16"/>
    </row>
    <row r="130" spans="4:17" ht="15.75"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8"/>
      <c r="O130" s="16"/>
      <c r="P130" s="16"/>
      <c r="Q130" s="16"/>
    </row>
    <row r="131" spans="4:17" ht="15.75"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8"/>
      <c r="O131" s="16"/>
      <c r="P131" s="16"/>
      <c r="Q131" s="16"/>
    </row>
    <row r="132" spans="4:17" ht="15.75"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8"/>
      <c r="O132" s="16"/>
      <c r="P132" s="16"/>
      <c r="Q132" s="16"/>
    </row>
    <row r="133" spans="4:17" ht="15.75"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8"/>
      <c r="O133" s="16"/>
      <c r="P133" s="16"/>
      <c r="Q133" s="16"/>
    </row>
    <row r="134" spans="4:17" ht="15.75"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8"/>
      <c r="O134" s="16"/>
      <c r="P134" s="16"/>
      <c r="Q134" s="16"/>
    </row>
    <row r="135" spans="4:17" ht="15.75"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8"/>
      <c r="O135" s="16"/>
      <c r="P135" s="16"/>
      <c r="Q135" s="16"/>
    </row>
    <row r="136" spans="4:17" ht="15.75"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8"/>
      <c r="O136" s="16"/>
      <c r="P136" s="16"/>
      <c r="Q136" s="16"/>
    </row>
    <row r="137" spans="4:17" ht="15.75"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8"/>
      <c r="O137" s="16"/>
      <c r="P137" s="16"/>
      <c r="Q137" s="16"/>
    </row>
    <row r="138" spans="4:17" ht="15.75"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8"/>
      <c r="O138" s="16"/>
      <c r="P138" s="16"/>
      <c r="Q138" s="16"/>
    </row>
    <row r="139" spans="4:17" ht="15.75"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8"/>
      <c r="O139" s="16"/>
      <c r="P139" s="16"/>
      <c r="Q139" s="16"/>
    </row>
    <row r="140" spans="4:17" ht="15.75"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8"/>
      <c r="O140" s="16"/>
      <c r="P140" s="16"/>
      <c r="Q140" s="16"/>
    </row>
    <row r="141" spans="4:17" ht="15.75">
      <c r="D141" s="16"/>
      <c r="E141" s="21"/>
      <c r="F141" s="21"/>
      <c r="G141" s="21"/>
      <c r="H141" s="16"/>
      <c r="I141" s="16"/>
      <c r="J141" s="16"/>
      <c r="K141" s="16"/>
      <c r="L141" s="16"/>
      <c r="M141" s="16"/>
      <c r="N141" s="18"/>
      <c r="O141" s="16"/>
      <c r="P141" s="16"/>
      <c r="Q141" s="16"/>
    </row>
    <row r="142" spans="4:17" ht="15.75">
      <c r="D142" s="21"/>
      <c r="E142" s="21"/>
      <c r="F142" s="21"/>
      <c r="G142" s="21"/>
      <c r="H142" s="16"/>
      <c r="I142" s="16"/>
      <c r="J142" s="16"/>
      <c r="K142" s="16"/>
      <c r="L142" s="16"/>
      <c r="M142" s="16"/>
      <c r="N142" s="18"/>
      <c r="O142" s="16"/>
      <c r="P142" s="16"/>
      <c r="Q142" s="16"/>
    </row>
    <row r="143" spans="4:17" ht="15.75"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8"/>
      <c r="O143" s="16"/>
      <c r="P143" s="16"/>
      <c r="Q143" s="16"/>
    </row>
    <row r="144" spans="4:17" ht="15.75">
      <c r="D144" s="23"/>
      <c r="E144" s="16"/>
      <c r="F144" s="16"/>
      <c r="G144" s="16"/>
      <c r="H144" s="16"/>
      <c r="I144" s="16"/>
      <c r="J144" s="16"/>
      <c r="K144" s="16"/>
      <c r="L144" s="16"/>
      <c r="M144" s="16"/>
      <c r="N144" s="18"/>
      <c r="O144" s="16"/>
      <c r="P144" s="16"/>
      <c r="Q144" s="16"/>
    </row>
    <row r="145" spans="4:17" ht="15.75"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8"/>
      <c r="O145" s="16"/>
      <c r="P145" s="16"/>
      <c r="Q145" s="16"/>
    </row>
    <row r="146" spans="4:17" ht="15.75"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8"/>
      <c r="O146" s="16"/>
      <c r="P146" s="16"/>
      <c r="Q146" s="16"/>
    </row>
    <row r="147" spans="4:17" ht="15.75"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8"/>
      <c r="O147" s="16"/>
      <c r="P147" s="16"/>
      <c r="Q147" s="16"/>
    </row>
    <row r="148" spans="4:17" ht="15.75"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8"/>
      <c r="O148" s="16"/>
      <c r="P148" s="16"/>
      <c r="Q148" s="16"/>
    </row>
    <row r="149" spans="4:17" ht="15.75"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8"/>
      <c r="O149" s="16"/>
      <c r="P149" s="16"/>
      <c r="Q149" s="16"/>
    </row>
    <row r="150" spans="4:17" ht="15.75"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8"/>
      <c r="O150" s="16"/>
      <c r="P150" s="16"/>
      <c r="Q150" s="16"/>
    </row>
    <row r="151" spans="4:17" ht="15.75"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8"/>
      <c r="O151" s="16"/>
      <c r="P151" s="16"/>
      <c r="Q151" s="16"/>
    </row>
    <row r="152" spans="4:17" ht="15.75"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8"/>
      <c r="O152" s="16"/>
      <c r="P152" s="16"/>
      <c r="Q152" s="16"/>
    </row>
    <row r="153" spans="4:17" ht="15.75"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8"/>
      <c r="O153" s="16"/>
      <c r="P153" s="16"/>
      <c r="Q153" s="16"/>
    </row>
    <row r="154" spans="4:17" ht="15.75"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8"/>
      <c r="O154" s="16"/>
      <c r="P154" s="16"/>
      <c r="Q154" s="16"/>
    </row>
    <row r="155" spans="4:17" ht="15.75"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8"/>
      <c r="O155" s="16"/>
      <c r="P155" s="16"/>
      <c r="Q155" s="16"/>
    </row>
    <row r="156" spans="4:17" ht="15.75"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8"/>
      <c r="O156" s="16"/>
      <c r="P156" s="16"/>
      <c r="Q156" s="16"/>
    </row>
    <row r="157" spans="4:17" ht="15.75"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8"/>
      <c r="O157" s="16"/>
      <c r="P157" s="16"/>
      <c r="Q157" s="16"/>
    </row>
    <row r="158" spans="4:17" ht="15.75"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8"/>
      <c r="O158" s="16"/>
      <c r="P158" s="16"/>
      <c r="Q158" s="16"/>
    </row>
    <row r="159" spans="4:17" ht="15.75"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8"/>
      <c r="O159" s="16"/>
      <c r="P159" s="16"/>
      <c r="Q159" s="16"/>
    </row>
    <row r="160" spans="4:17" ht="15.75"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8"/>
      <c r="O160" s="16"/>
      <c r="P160" s="16"/>
      <c r="Q160" s="16"/>
    </row>
    <row r="161" spans="4:17" ht="15.75"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8"/>
      <c r="O161" s="16"/>
      <c r="P161" s="16"/>
      <c r="Q161" s="16"/>
    </row>
    <row r="162" spans="4:17" ht="15.75"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8"/>
      <c r="O162" s="16"/>
      <c r="P162" s="16"/>
      <c r="Q162" s="16"/>
    </row>
    <row r="163" spans="4:17" ht="15.75"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8"/>
      <c r="O163" s="16"/>
      <c r="P163" s="16"/>
      <c r="Q163" s="16"/>
    </row>
    <row r="164" spans="4:17" ht="15.75"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8"/>
      <c r="O164" s="16"/>
      <c r="P164" s="16"/>
      <c r="Q164" s="16"/>
    </row>
    <row r="165" spans="4:17" ht="15.75"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8"/>
      <c r="O165" s="16"/>
      <c r="P165" s="16"/>
      <c r="Q165" s="16"/>
    </row>
    <row r="166" spans="4:17" ht="15.75"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8"/>
      <c r="O166" s="16"/>
      <c r="P166" s="16"/>
      <c r="Q166" s="16"/>
    </row>
    <row r="167" spans="4:17" ht="15.75"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8"/>
      <c r="O167" s="16"/>
      <c r="P167" s="16"/>
      <c r="Q167" s="16"/>
    </row>
    <row r="168" spans="4:17" ht="15.75"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8"/>
      <c r="O168" s="16"/>
      <c r="P168" s="16"/>
      <c r="Q168" s="16"/>
    </row>
    <row r="169" spans="4:17" ht="15.75"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8"/>
      <c r="O169" s="16"/>
      <c r="P169" s="16"/>
      <c r="Q169" s="16"/>
    </row>
    <row r="170" spans="4:17" ht="15.75"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8"/>
      <c r="O170" s="16"/>
      <c r="P170" s="16"/>
      <c r="Q170" s="16"/>
    </row>
    <row r="171" spans="4:17" ht="15.75"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8"/>
      <c r="O171" s="16"/>
      <c r="P171" s="16"/>
      <c r="Q171" s="16"/>
    </row>
    <row r="172" spans="4:17" ht="15.75"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8"/>
      <c r="O172" s="16"/>
      <c r="P172" s="16"/>
      <c r="Q172" s="16"/>
    </row>
    <row r="173" spans="4:17" ht="15.75"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8"/>
      <c r="O173" s="16"/>
      <c r="P173" s="16"/>
      <c r="Q173" s="16"/>
    </row>
    <row r="174" spans="4:17" ht="15.75"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8"/>
      <c r="O174" s="16"/>
      <c r="P174" s="16"/>
      <c r="Q174" s="16"/>
    </row>
    <row r="175" spans="4:17" ht="15.75"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8"/>
      <c r="O175" s="16"/>
      <c r="P175" s="16"/>
      <c r="Q175" s="16"/>
    </row>
    <row r="176" spans="4:17" ht="15.75"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8"/>
      <c r="O176" s="16"/>
      <c r="P176" s="16"/>
      <c r="Q176" s="16"/>
    </row>
    <row r="177" spans="4:17" ht="15.75"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8"/>
      <c r="O177" s="16"/>
      <c r="P177" s="16"/>
      <c r="Q177" s="16"/>
    </row>
    <row r="178" spans="4:17" ht="15.75"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8"/>
      <c r="O178" s="16"/>
      <c r="P178" s="16"/>
      <c r="Q178" s="16"/>
    </row>
    <row r="179" spans="4:17" ht="15.75"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8"/>
      <c r="O179" s="16"/>
      <c r="P179" s="16"/>
      <c r="Q179" s="16"/>
    </row>
    <row r="180" spans="4:17" ht="15.75"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8"/>
      <c r="O180" s="16"/>
      <c r="P180" s="16"/>
      <c r="Q180" s="16"/>
    </row>
    <row r="181" spans="4:17" ht="15.75"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8"/>
      <c r="O181" s="16"/>
      <c r="P181" s="16"/>
      <c r="Q181" s="16"/>
    </row>
    <row r="182" spans="4:17" ht="15.75"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8"/>
      <c r="O182" s="16"/>
      <c r="P182" s="16"/>
      <c r="Q182" s="16"/>
    </row>
    <row r="183" spans="4:17" ht="15.75"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8"/>
      <c r="O183" s="16"/>
      <c r="P183" s="16"/>
      <c r="Q183" s="16"/>
    </row>
    <row r="184" spans="4:17" ht="15.75"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8"/>
      <c r="O184" s="16"/>
      <c r="P184" s="16"/>
      <c r="Q184" s="16"/>
    </row>
    <row r="185" spans="4:17" ht="15.75"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8"/>
      <c r="O185" s="16"/>
      <c r="P185" s="16"/>
      <c r="Q185" s="16"/>
    </row>
    <row r="186" spans="4:17" ht="15.75"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8"/>
      <c r="O186" s="16"/>
      <c r="P186" s="16"/>
      <c r="Q186" s="16"/>
    </row>
    <row r="187" spans="4:17" ht="15.75"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8"/>
      <c r="O187" s="16"/>
      <c r="P187" s="16"/>
      <c r="Q187" s="16"/>
    </row>
    <row r="188" spans="4:17" ht="15.75"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8"/>
      <c r="O188" s="16"/>
      <c r="P188" s="16"/>
      <c r="Q188" s="16"/>
    </row>
    <row r="189" spans="4:17" ht="15.75"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8"/>
      <c r="O189" s="16"/>
      <c r="P189" s="16"/>
      <c r="Q189" s="16"/>
    </row>
    <row r="190" spans="4:17" ht="15.75"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8"/>
      <c r="O190" s="16"/>
      <c r="P190" s="16"/>
      <c r="Q190" s="16"/>
    </row>
    <row r="191" spans="4:17" ht="15.75"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8"/>
      <c r="O191" s="16"/>
      <c r="P191" s="16"/>
      <c r="Q191" s="16"/>
    </row>
    <row r="192" spans="4:17" ht="15.75"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8"/>
      <c r="O192" s="16"/>
      <c r="P192" s="16"/>
      <c r="Q192" s="16"/>
    </row>
    <row r="193" spans="4:17" ht="15.75"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8"/>
      <c r="O193" s="16"/>
      <c r="P193" s="16"/>
      <c r="Q193" s="16"/>
    </row>
    <row r="194" spans="4:17" ht="15.75"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8"/>
      <c r="O194" s="16"/>
      <c r="P194" s="16"/>
      <c r="Q194" s="16"/>
    </row>
    <row r="195" spans="4:17" ht="15.75"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8"/>
      <c r="O195" s="16"/>
      <c r="P195" s="16"/>
      <c r="Q195" s="16"/>
    </row>
    <row r="196" spans="4:17" ht="15.75"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8"/>
      <c r="O196" s="16"/>
      <c r="P196" s="16"/>
      <c r="Q196" s="16"/>
    </row>
    <row r="197" spans="4:17" ht="15.75"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8"/>
      <c r="O197" s="16"/>
      <c r="P197" s="16"/>
      <c r="Q197" s="16"/>
    </row>
    <row r="198" spans="4:17" ht="15.75"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8"/>
      <c r="O198" s="16"/>
      <c r="P198" s="16"/>
      <c r="Q198" s="16"/>
    </row>
    <row r="199" spans="4:17" ht="15.75"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8"/>
      <c r="O199" s="16"/>
      <c r="P199" s="16"/>
      <c r="Q199" s="16"/>
    </row>
    <row r="200" spans="4:17" ht="15.75"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8"/>
      <c r="O200" s="16"/>
      <c r="P200" s="16"/>
      <c r="Q200" s="16"/>
    </row>
    <row r="201" spans="4:17" ht="15.75"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 spans="4:17" ht="15.75"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  <row r="203" spans="4:17" ht="15.75"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</row>
  </sheetData>
  <mergeCells count="42">
    <mergeCell ref="D106:G106"/>
    <mergeCell ref="D99:E99"/>
    <mergeCell ref="E16:F16"/>
    <mergeCell ref="E18:F18"/>
    <mergeCell ref="E54:F54"/>
    <mergeCell ref="E21:F21"/>
    <mergeCell ref="E52:F52"/>
    <mergeCell ref="E59:F59"/>
    <mergeCell ref="E56:F56"/>
    <mergeCell ref="K61:L61"/>
    <mergeCell ref="K14:L14"/>
    <mergeCell ref="E15:F15"/>
    <mergeCell ref="K15:L15"/>
    <mergeCell ref="K51:L51"/>
    <mergeCell ref="K59:L59"/>
    <mergeCell ref="E57:F57"/>
    <mergeCell ref="K55:L55"/>
    <mergeCell ref="K16:L16"/>
    <mergeCell ref="E51:F51"/>
    <mergeCell ref="E58:F58"/>
    <mergeCell ref="K23:L23"/>
    <mergeCell ref="K24:L24"/>
    <mergeCell ref="E43:I43"/>
    <mergeCell ref="K54:L54"/>
    <mergeCell ref="K60:L60"/>
    <mergeCell ref="S6:V6"/>
    <mergeCell ref="S9:V9"/>
    <mergeCell ref="K22:L22"/>
    <mergeCell ref="K18:L18"/>
    <mergeCell ref="E6:I6"/>
    <mergeCell ref="E14:F14"/>
    <mergeCell ref="E19:F19"/>
    <mergeCell ref="E22:F22"/>
    <mergeCell ref="E20:F20"/>
    <mergeCell ref="E17:F17"/>
    <mergeCell ref="K19:L19"/>
    <mergeCell ref="K17:L17"/>
    <mergeCell ref="K25:L25"/>
    <mergeCell ref="K52:L52"/>
    <mergeCell ref="E53:F53"/>
    <mergeCell ref="K53:L53"/>
    <mergeCell ref="E55:F55"/>
  </mergeCells>
  <phoneticPr fontId="9" type="noConversion"/>
  <printOptions horizontalCentered="1" verticalCentered="1"/>
  <pageMargins left="0.13" right="0.23" top="0.25" bottom="0.25" header="0.3" footer="0.19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69"/>
  <sheetViews>
    <sheetView zoomScaleNormal="100" workbookViewId="0">
      <selection activeCell="N9" sqref="N9"/>
    </sheetView>
  </sheetViews>
  <sheetFormatPr defaultColWidth="9.140625" defaultRowHeight="12"/>
  <cols>
    <col min="1" max="1" width="10.7109375" style="2" customWidth="1"/>
    <col min="2" max="2" width="1.85546875" style="2" bestFit="1" customWidth="1"/>
    <col min="3" max="3" width="4.5703125" style="2" customWidth="1"/>
    <col min="4" max="4" width="12.28515625" style="2" customWidth="1"/>
    <col min="5" max="5" width="7.28515625" style="2" bestFit="1" customWidth="1"/>
    <col min="6" max="6" width="9.140625" style="2"/>
    <col min="7" max="7" width="10.28515625" style="2" customWidth="1"/>
    <col min="8" max="8" width="1.85546875" style="2" customWidth="1"/>
    <col min="9" max="9" width="3.28515625" style="2" customWidth="1"/>
    <col min="10" max="10" width="12.140625" style="2" customWidth="1"/>
    <col min="11" max="11" width="7.28515625" style="2" customWidth="1"/>
    <col min="12" max="16384" width="9.140625" style="2"/>
  </cols>
  <sheetData>
    <row r="1" spans="1:14">
      <c r="A1" s="1" t="s">
        <v>0</v>
      </c>
    </row>
    <row r="2" spans="1:14" ht="12.75">
      <c r="A2" s="188" t="s">
        <v>455</v>
      </c>
    </row>
    <row r="3" spans="1:14" ht="12.75">
      <c r="A3" s="188" t="s">
        <v>456</v>
      </c>
    </row>
    <row r="5" spans="1:14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4">
      <c r="E6" s="244" t="str">
        <f>wawan!E6</f>
        <v>Periode :  Juli 2026</v>
      </c>
      <c r="F6" s="244"/>
      <c r="G6" s="244"/>
      <c r="H6" s="244"/>
      <c r="I6" s="244"/>
    </row>
    <row r="8" spans="1:14">
      <c r="A8" s="2" t="s">
        <v>2</v>
      </c>
      <c r="B8" s="2" t="s">
        <v>3</v>
      </c>
      <c r="C8" s="2" t="s">
        <v>21</v>
      </c>
      <c r="E8" s="2" t="s">
        <v>185</v>
      </c>
      <c r="G8" s="2" t="s">
        <v>5</v>
      </c>
      <c r="H8" s="2" t="s">
        <v>3</v>
      </c>
      <c r="J8" s="5">
        <f>(E14+E15)/25</f>
        <v>124000</v>
      </c>
    </row>
    <row r="9" spans="1:14">
      <c r="A9" s="2" t="s">
        <v>6</v>
      </c>
      <c r="B9" s="2" t="s">
        <v>3</v>
      </c>
      <c r="C9" s="2" t="s">
        <v>183</v>
      </c>
      <c r="G9" s="2" t="s">
        <v>7</v>
      </c>
      <c r="H9" s="2" t="s">
        <v>3</v>
      </c>
      <c r="J9" s="5">
        <f>(E14+E15)/173</f>
        <v>17919.075144508672</v>
      </c>
    </row>
    <row r="10" spans="1:14">
      <c r="A10" s="2" t="s">
        <v>8</v>
      </c>
      <c r="B10" s="2" t="s">
        <v>3</v>
      </c>
      <c r="C10" s="2" t="s">
        <v>214</v>
      </c>
      <c r="G10" s="184" t="s">
        <v>443</v>
      </c>
      <c r="H10" s="2" t="s">
        <v>3</v>
      </c>
      <c r="J10" s="5">
        <v>10000</v>
      </c>
    </row>
    <row r="12" spans="1:14" s="1" customFormat="1">
      <c r="A12" s="6" t="s">
        <v>9</v>
      </c>
      <c r="B12" s="6"/>
      <c r="C12" s="6"/>
      <c r="D12" s="6"/>
      <c r="E12" s="6"/>
      <c r="F12" s="6"/>
      <c r="G12" s="7" t="s">
        <v>10</v>
      </c>
      <c r="H12" s="6"/>
      <c r="I12" s="6"/>
      <c r="J12" s="6"/>
      <c r="K12" s="6"/>
      <c r="L12" s="6"/>
    </row>
    <row r="13" spans="1:14">
      <c r="G13" s="8"/>
    </row>
    <row r="14" spans="1:14">
      <c r="A14" s="2" t="s">
        <v>11</v>
      </c>
      <c r="B14" s="2" t="s">
        <v>3</v>
      </c>
      <c r="E14" s="241">
        <v>3000000</v>
      </c>
      <c r="F14" s="241"/>
      <c r="G14" s="8" t="s">
        <v>211</v>
      </c>
      <c r="H14" s="2" t="s">
        <v>3</v>
      </c>
      <c r="I14" s="47">
        <f>PRD!AJ47</f>
        <v>0</v>
      </c>
      <c r="J14" s="2" t="s">
        <v>212</v>
      </c>
      <c r="K14" s="241">
        <f>J8*I14</f>
        <v>0</v>
      </c>
      <c r="L14" s="241"/>
      <c r="N14" s="5"/>
    </row>
    <row r="15" spans="1:14">
      <c r="A15" s="2" t="s">
        <v>210</v>
      </c>
      <c r="C15" s="9"/>
      <c r="E15" s="241">
        <v>100000</v>
      </c>
      <c r="F15" s="241"/>
      <c r="G15" s="8" t="s">
        <v>13</v>
      </c>
      <c r="H15" s="2" t="s">
        <v>3</v>
      </c>
      <c r="K15" s="241">
        <f>'Daftar Gaji'!AA7</f>
        <v>0</v>
      </c>
      <c r="L15" s="241"/>
    </row>
    <row r="16" spans="1:14">
      <c r="A16" s="184" t="s">
        <v>443</v>
      </c>
      <c r="B16" s="2" t="s">
        <v>3</v>
      </c>
      <c r="C16" s="9">
        <v>27</v>
      </c>
      <c r="E16" s="241">
        <f>($J$10*C16)</f>
        <v>270000</v>
      </c>
      <c r="F16" s="241"/>
      <c r="G16" s="8" t="s">
        <v>201</v>
      </c>
      <c r="K16" s="241">
        <f>3%*E14</f>
        <v>90000</v>
      </c>
      <c r="L16" s="241"/>
    </row>
    <row r="17" spans="1:12">
      <c r="A17" s="2" t="s">
        <v>180</v>
      </c>
      <c r="B17" s="2" t="s">
        <v>3</v>
      </c>
      <c r="C17" s="9">
        <f>PRD!AD47</f>
        <v>12</v>
      </c>
      <c r="E17" s="241">
        <f>$J$9*C17</f>
        <v>215028.90173410406</v>
      </c>
      <c r="F17" s="241"/>
      <c r="G17" s="8" t="s">
        <v>47</v>
      </c>
      <c r="H17" s="2" t="s">
        <v>3</v>
      </c>
      <c r="I17" s="9"/>
      <c r="K17" s="241">
        <v>0</v>
      </c>
      <c r="L17" s="241"/>
    </row>
    <row r="18" spans="1:12">
      <c r="A18" s="2" t="s">
        <v>14</v>
      </c>
      <c r="B18" s="2" t="s">
        <v>3</v>
      </c>
      <c r="C18" s="9">
        <f>PRD!AE47</f>
        <v>8</v>
      </c>
      <c r="E18" s="241">
        <f>$J$9*C18</f>
        <v>143352.60115606937</v>
      </c>
      <c r="F18" s="241"/>
      <c r="G18" s="8" t="s">
        <v>211</v>
      </c>
      <c r="H18" s="2" t="s">
        <v>3</v>
      </c>
      <c r="I18" s="2">
        <f>PRD!AI47</f>
        <v>0</v>
      </c>
      <c r="J18" s="2" t="s">
        <v>213</v>
      </c>
      <c r="K18" s="241">
        <f>J9*I18</f>
        <v>0</v>
      </c>
      <c r="L18" s="241"/>
    </row>
    <row r="19" spans="1:12">
      <c r="A19" s="2" t="s">
        <v>15</v>
      </c>
      <c r="B19" s="2" t="s">
        <v>3</v>
      </c>
      <c r="C19" s="9">
        <f>PRD!AF47</f>
        <v>0</v>
      </c>
      <c r="E19" s="241">
        <f>$J$9*C19</f>
        <v>0</v>
      </c>
      <c r="F19" s="241"/>
      <c r="G19" s="8" t="s">
        <v>206</v>
      </c>
      <c r="K19" s="241">
        <f>1%*E14</f>
        <v>30000</v>
      </c>
      <c r="L19" s="241"/>
    </row>
    <row r="20" spans="1:12">
      <c r="A20" s="2" t="s">
        <v>16</v>
      </c>
      <c r="B20" s="2" t="s">
        <v>3</v>
      </c>
      <c r="C20" s="9">
        <f>PRD!AG47</f>
        <v>0</v>
      </c>
      <c r="E20" s="241">
        <f>$J$9*C20</f>
        <v>0</v>
      </c>
      <c r="F20" s="241"/>
      <c r="G20" s="8"/>
    </row>
    <row r="21" spans="1:12">
      <c r="A21" s="2" t="s">
        <v>259</v>
      </c>
      <c r="D21" s="2">
        <v>0</v>
      </c>
      <c r="E21" s="241">
        <v>200000</v>
      </c>
      <c r="F21" s="241"/>
      <c r="G21" s="8"/>
    </row>
    <row r="22" spans="1:12" s="1" customFormat="1">
      <c r="A22" s="10" t="s">
        <v>17</v>
      </c>
      <c r="B22" s="10"/>
      <c r="C22" s="10"/>
      <c r="D22" s="10"/>
      <c r="E22" s="243">
        <f>SUM(E14:F21)</f>
        <v>3928381.5028901733</v>
      </c>
      <c r="F22" s="243"/>
      <c r="G22" s="11" t="s">
        <v>17</v>
      </c>
      <c r="H22" s="12" t="s">
        <v>3</v>
      </c>
      <c r="I22" s="10"/>
      <c r="J22" s="10"/>
      <c r="K22" s="243">
        <f>SUM(K14:L19)</f>
        <v>120000</v>
      </c>
      <c r="L22" s="243"/>
    </row>
    <row r="23" spans="1:12">
      <c r="G23" s="2" t="s">
        <v>18</v>
      </c>
      <c r="K23" s="241">
        <f>E22-K22</f>
        <v>3808381.5028901733</v>
      </c>
      <c r="L23" s="241"/>
    </row>
    <row r="24" spans="1:12">
      <c r="G24" s="1" t="s">
        <v>19</v>
      </c>
      <c r="K24" s="245">
        <f>ROUNDUP(K23,-3)</f>
        <v>3809000</v>
      </c>
      <c r="L24" s="245"/>
    </row>
    <row r="25" spans="1:12">
      <c r="K25" s="250"/>
      <c r="L25" s="244"/>
    </row>
    <row r="26" spans="1:12">
      <c r="A26" s="2" t="s">
        <v>20</v>
      </c>
      <c r="B26" s="2" t="s">
        <v>3</v>
      </c>
      <c r="C26" s="45" t="str">
        <f>Inword!A110</f>
        <v>Tiga Juta Delapan Ratus Sembilan Ribu Rupiah</v>
      </c>
    </row>
    <row r="28" spans="1:12">
      <c r="G28" s="2" t="str">
        <f>wawan!G28</f>
        <v>Batam, 5 Agustus 2026</v>
      </c>
    </row>
    <row r="29" spans="1:12">
      <c r="G29" s="9" t="s">
        <v>258</v>
      </c>
    </row>
    <row r="30" spans="1:12">
      <c r="G30" s="9" t="s">
        <v>182</v>
      </c>
    </row>
    <row r="31" spans="1:12">
      <c r="G31" s="9"/>
    </row>
    <row r="32" spans="1:12">
      <c r="G32" s="9"/>
    </row>
    <row r="33" spans="1:12">
      <c r="A33" s="13"/>
      <c r="G33" s="13"/>
    </row>
    <row r="37" spans="1:12">
      <c r="A37" s="1"/>
    </row>
    <row r="41" spans="1:12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E42" s="244"/>
      <c r="F42" s="244"/>
      <c r="G42" s="244"/>
      <c r="H42" s="244"/>
      <c r="I42" s="244"/>
    </row>
    <row r="44" spans="1:12">
      <c r="J44" s="5"/>
    </row>
    <row r="45" spans="1:12">
      <c r="J45" s="5"/>
    </row>
    <row r="46" spans="1:12">
      <c r="J46" s="5"/>
    </row>
    <row r="48" spans="1:12" s="1" customFormat="1"/>
    <row r="50" spans="1:12">
      <c r="E50" s="248"/>
      <c r="F50" s="248"/>
      <c r="K50" s="248"/>
      <c r="L50" s="248"/>
    </row>
    <row r="51" spans="1:12">
      <c r="A51" s="251"/>
      <c r="B51" s="251"/>
      <c r="C51" s="251"/>
      <c r="E51" s="248"/>
      <c r="F51" s="248"/>
      <c r="K51" s="248"/>
      <c r="L51" s="248"/>
    </row>
    <row r="52" spans="1:12">
      <c r="E52" s="248"/>
      <c r="F52" s="248"/>
      <c r="K52" s="248"/>
      <c r="L52" s="248"/>
    </row>
    <row r="53" spans="1:12">
      <c r="E53" s="248"/>
      <c r="F53" s="248"/>
      <c r="K53" s="248"/>
      <c r="L53" s="248"/>
    </row>
    <row r="54" spans="1:12">
      <c r="E54" s="248"/>
      <c r="F54" s="248"/>
      <c r="K54" s="250"/>
      <c r="L54" s="250"/>
    </row>
    <row r="55" spans="1:12">
      <c r="E55" s="248"/>
      <c r="F55" s="248"/>
    </row>
    <row r="56" spans="1:12">
      <c r="E56" s="248"/>
      <c r="F56" s="248"/>
    </row>
    <row r="57" spans="1:12">
      <c r="E57" s="248"/>
      <c r="F57" s="248"/>
    </row>
    <row r="58" spans="1:12" s="1" customFormat="1">
      <c r="E58" s="248"/>
      <c r="F58" s="248"/>
      <c r="H58" s="2"/>
      <c r="K58" s="248"/>
      <c r="L58" s="248"/>
    </row>
    <row r="59" spans="1:12">
      <c r="K59" s="248"/>
      <c r="L59" s="248"/>
    </row>
    <row r="60" spans="1:12">
      <c r="G60" s="1"/>
      <c r="K60" s="249"/>
      <c r="L60" s="249"/>
    </row>
    <row r="69" spans="1:7">
      <c r="A69" s="13"/>
      <c r="G69" s="13"/>
    </row>
  </sheetData>
  <mergeCells count="39">
    <mergeCell ref="K22:L22"/>
    <mergeCell ref="K18:L18"/>
    <mergeCell ref="E42:I42"/>
    <mergeCell ref="E6:I6"/>
    <mergeCell ref="E14:F14"/>
    <mergeCell ref="K14:L14"/>
    <mergeCell ref="E15:F15"/>
    <mergeCell ref="K15:L15"/>
    <mergeCell ref="K25:L25"/>
    <mergeCell ref="A51:C51"/>
    <mergeCell ref="E51:F51"/>
    <mergeCell ref="K51:L51"/>
    <mergeCell ref="E16:F16"/>
    <mergeCell ref="K16:L16"/>
    <mergeCell ref="E50:F50"/>
    <mergeCell ref="E17:F17"/>
    <mergeCell ref="K17:L17"/>
    <mergeCell ref="E18:F18"/>
    <mergeCell ref="E19:F19"/>
    <mergeCell ref="E21:F21"/>
    <mergeCell ref="K23:L23"/>
    <mergeCell ref="K24:L24"/>
    <mergeCell ref="K19:L19"/>
    <mergeCell ref="E20:F20"/>
    <mergeCell ref="E22:F22"/>
    <mergeCell ref="K50:L50"/>
    <mergeCell ref="K59:L59"/>
    <mergeCell ref="E57:F57"/>
    <mergeCell ref="K60:L60"/>
    <mergeCell ref="E52:F52"/>
    <mergeCell ref="K52:L52"/>
    <mergeCell ref="E53:F53"/>
    <mergeCell ref="K53:L53"/>
    <mergeCell ref="E54:F54"/>
    <mergeCell ref="E58:F58"/>
    <mergeCell ref="E55:F55"/>
    <mergeCell ref="K54:L54"/>
    <mergeCell ref="K58:L58"/>
    <mergeCell ref="E56:F56"/>
  </mergeCells>
  <phoneticPr fontId="9" type="noConversion"/>
  <printOptions horizontalCentered="1" verticalCentered="1"/>
  <pageMargins left="0.7" right="0.7" top="0.25" bottom="0.25" header="0.3" footer="0.3"/>
  <pageSetup paperSize="9" scale="95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O70"/>
  <sheetViews>
    <sheetView topLeftCell="A7" zoomScaleNormal="100" workbookViewId="0">
      <selection activeCell="I15" sqref="I15"/>
    </sheetView>
  </sheetViews>
  <sheetFormatPr defaultColWidth="9.140625" defaultRowHeight="12"/>
  <cols>
    <col min="1" max="1" width="10.5703125" style="2" customWidth="1"/>
    <col min="2" max="2" width="1.85546875" style="2" bestFit="1" customWidth="1"/>
    <col min="3" max="3" width="4.7109375" style="2" customWidth="1"/>
    <col min="4" max="4" width="12.28515625" style="2" customWidth="1"/>
    <col min="5" max="5" width="7.28515625" style="2" bestFit="1" customWidth="1"/>
    <col min="6" max="6" width="9.140625" style="2"/>
    <col min="7" max="7" width="10.28515625" style="2" customWidth="1"/>
    <col min="8" max="8" width="1.85546875" style="2" customWidth="1"/>
    <col min="9" max="9" width="3.85546875" style="2" customWidth="1"/>
    <col min="10" max="10" width="12.140625" style="2" customWidth="1"/>
    <col min="11" max="11" width="7.28515625" style="2" customWidth="1"/>
    <col min="12" max="13" width="9.140625" style="2"/>
    <col min="14" max="14" width="13.28515625" style="2" bestFit="1" customWidth="1"/>
    <col min="15" max="15" width="11" style="2" bestFit="1" customWidth="1"/>
    <col min="16" max="16384" width="9.140625" style="2"/>
  </cols>
  <sheetData>
    <row r="1" spans="1:14">
      <c r="A1" s="1" t="s">
        <v>0</v>
      </c>
    </row>
    <row r="2" spans="1:14" ht="12.75">
      <c r="A2" s="188" t="s">
        <v>455</v>
      </c>
    </row>
    <row r="3" spans="1:14" ht="12.75">
      <c r="A3" s="188" t="s">
        <v>456</v>
      </c>
    </row>
    <row r="5" spans="1:14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4">
      <c r="E6" s="244" t="str">
        <f>wawan!E6</f>
        <v>Periode :  Juli 2026</v>
      </c>
      <c r="F6" s="244"/>
      <c r="G6" s="244"/>
      <c r="H6" s="244"/>
      <c r="I6" s="244"/>
    </row>
    <row r="8" spans="1:14">
      <c r="A8" s="2" t="s">
        <v>2</v>
      </c>
      <c r="B8" s="2" t="s">
        <v>3</v>
      </c>
      <c r="C8" s="2" t="s">
        <v>255</v>
      </c>
      <c r="E8" s="2" t="s">
        <v>186</v>
      </c>
      <c r="G8" s="2" t="s">
        <v>5</v>
      </c>
      <c r="H8" s="2" t="s">
        <v>3</v>
      </c>
      <c r="J8" s="5">
        <f>(E14+E15)/25</f>
        <v>86000</v>
      </c>
    </row>
    <row r="9" spans="1:14">
      <c r="A9" s="2" t="s">
        <v>6</v>
      </c>
      <c r="B9" s="2" t="s">
        <v>3</v>
      </c>
      <c r="C9" s="2" t="s">
        <v>183</v>
      </c>
      <c r="G9" s="2" t="s">
        <v>7</v>
      </c>
      <c r="H9" s="2" t="s">
        <v>3</v>
      </c>
      <c r="J9" s="5">
        <f>(E14+E15)/173</f>
        <v>12427.745664739885</v>
      </c>
    </row>
    <row r="10" spans="1:14">
      <c r="A10" s="2" t="s">
        <v>8</v>
      </c>
      <c r="B10" s="2" t="s">
        <v>3</v>
      </c>
      <c r="C10" s="2" t="s">
        <v>192</v>
      </c>
      <c r="G10" s="2" t="s">
        <v>443</v>
      </c>
      <c r="H10" s="2" t="s">
        <v>3</v>
      </c>
      <c r="J10" s="5">
        <v>10000</v>
      </c>
    </row>
    <row r="11" spans="1:14">
      <c r="G11" s="2" t="s">
        <v>406</v>
      </c>
      <c r="H11" s="171" t="s">
        <v>3</v>
      </c>
      <c r="I11" s="171"/>
      <c r="J11" s="5">
        <v>10000</v>
      </c>
    </row>
    <row r="12" spans="1:14" s="1" customFormat="1">
      <c r="A12" s="6" t="s">
        <v>9</v>
      </c>
      <c r="B12" s="6"/>
      <c r="C12" s="6"/>
      <c r="D12" s="6"/>
      <c r="E12" s="6"/>
      <c r="F12" s="6"/>
      <c r="G12" s="7" t="s">
        <v>10</v>
      </c>
      <c r="H12" s="6"/>
      <c r="I12" s="6"/>
      <c r="J12" s="6"/>
      <c r="K12" s="6"/>
      <c r="L12" s="6"/>
    </row>
    <row r="13" spans="1:14">
      <c r="G13" s="8"/>
      <c r="N13" s="1"/>
    </row>
    <row r="14" spans="1:14">
      <c r="A14" s="2" t="s">
        <v>11</v>
      </c>
      <c r="B14" s="2" t="s">
        <v>3</v>
      </c>
      <c r="C14" s="15"/>
      <c r="E14" s="241">
        <v>2000000</v>
      </c>
      <c r="F14" s="241"/>
      <c r="G14" s="8" t="s">
        <v>211</v>
      </c>
      <c r="H14" s="2" t="s">
        <v>3</v>
      </c>
      <c r="I14" s="47">
        <v>1</v>
      </c>
      <c r="J14" s="2" t="s">
        <v>212</v>
      </c>
      <c r="K14" s="241">
        <f>J8*I14</f>
        <v>86000</v>
      </c>
      <c r="L14" s="241"/>
      <c r="N14" s="5"/>
    </row>
    <row r="15" spans="1:14">
      <c r="A15" s="2" t="s">
        <v>210</v>
      </c>
      <c r="B15" s="132" t="s">
        <v>3</v>
      </c>
      <c r="C15" s="9"/>
      <c r="E15" s="241">
        <v>150000</v>
      </c>
      <c r="F15" s="241"/>
      <c r="G15" s="8" t="s">
        <v>13</v>
      </c>
      <c r="H15" s="2" t="s">
        <v>3</v>
      </c>
      <c r="K15" s="241">
        <f>'Daftar Gaji'!AA8</f>
        <v>0</v>
      </c>
      <c r="L15" s="241"/>
    </row>
    <row r="16" spans="1:14" s="132" customFormat="1">
      <c r="A16" s="132" t="s">
        <v>406</v>
      </c>
      <c r="B16" s="132" t="s">
        <v>3</v>
      </c>
      <c r="C16" s="131">
        <v>5</v>
      </c>
      <c r="E16" s="241">
        <f>C16*J11</f>
        <v>50000</v>
      </c>
      <c r="F16" s="241"/>
      <c r="G16" s="8"/>
      <c r="K16" s="130"/>
      <c r="L16" s="130"/>
    </row>
    <row r="17" spans="1:15">
      <c r="A17" s="2" t="s">
        <v>443</v>
      </c>
      <c r="B17" s="2" t="s">
        <v>3</v>
      </c>
      <c r="C17" s="9">
        <v>5</v>
      </c>
      <c r="E17" s="241">
        <f>C17*J10</f>
        <v>50000</v>
      </c>
      <c r="F17" s="241"/>
      <c r="G17" s="8" t="s">
        <v>201</v>
      </c>
      <c r="K17" s="241">
        <f>3%*E14</f>
        <v>60000</v>
      </c>
      <c r="L17" s="241"/>
      <c r="N17" s="5"/>
    </row>
    <row r="18" spans="1:15">
      <c r="A18" s="2" t="s">
        <v>180</v>
      </c>
      <c r="B18" s="2" t="s">
        <v>3</v>
      </c>
      <c r="C18" s="9">
        <f>PRD!AD94</f>
        <v>0</v>
      </c>
      <c r="E18" s="241">
        <f>$J$9*C18</f>
        <v>0</v>
      </c>
      <c r="F18" s="241"/>
      <c r="G18" s="8"/>
      <c r="I18" s="9"/>
      <c r="K18" s="241"/>
      <c r="L18" s="241"/>
    </row>
    <row r="19" spans="1:15">
      <c r="A19" s="2" t="s">
        <v>14</v>
      </c>
      <c r="B19" s="2" t="s">
        <v>3</v>
      </c>
      <c r="C19" s="9">
        <f>PRD!AE94</f>
        <v>0</v>
      </c>
      <c r="E19" s="241">
        <f>$J$9*C19</f>
        <v>0</v>
      </c>
      <c r="F19" s="241"/>
      <c r="G19" s="8" t="s">
        <v>211</v>
      </c>
      <c r="H19" s="2" t="s">
        <v>3</v>
      </c>
      <c r="I19" s="2">
        <f>PRD!AI94</f>
        <v>0</v>
      </c>
      <c r="J19" s="2" t="s">
        <v>213</v>
      </c>
      <c r="K19" s="241">
        <f>J9*I19</f>
        <v>0</v>
      </c>
      <c r="L19" s="241"/>
      <c r="O19" s="5"/>
    </row>
    <row r="20" spans="1:15">
      <c r="A20" s="2" t="s">
        <v>15</v>
      </c>
      <c r="B20" s="2" t="s">
        <v>3</v>
      </c>
      <c r="C20" s="9">
        <f>PRD!AF94</f>
        <v>0</v>
      </c>
      <c r="E20" s="241">
        <f>$J$9*C20</f>
        <v>0</v>
      </c>
      <c r="F20" s="241"/>
      <c r="G20" s="8" t="s">
        <v>206</v>
      </c>
      <c r="K20" s="241">
        <f>1%*E14</f>
        <v>20000</v>
      </c>
      <c r="L20" s="241"/>
    </row>
    <row r="21" spans="1:15">
      <c r="A21" s="2" t="s">
        <v>16</v>
      </c>
      <c r="B21" s="2" t="s">
        <v>3</v>
      </c>
      <c r="C21" s="9">
        <f>PRD!AG94</f>
        <v>0</v>
      </c>
      <c r="E21" s="241">
        <f>$J$9*C21</f>
        <v>0</v>
      </c>
      <c r="F21" s="241"/>
      <c r="G21" s="8"/>
    </row>
    <row r="22" spans="1:15">
      <c r="A22" s="2" t="s">
        <v>259</v>
      </c>
      <c r="D22" s="2">
        <v>0</v>
      </c>
      <c r="E22" s="241">
        <v>0</v>
      </c>
      <c r="F22" s="241"/>
      <c r="G22" s="8"/>
    </row>
    <row r="23" spans="1:15" s="1" customFormat="1">
      <c r="A23" s="10" t="s">
        <v>17</v>
      </c>
      <c r="B23" s="10"/>
      <c r="C23" s="10"/>
      <c r="D23" s="10"/>
      <c r="E23" s="243">
        <f>SUM(E14:F22)</f>
        <v>2250000</v>
      </c>
      <c r="F23" s="243"/>
      <c r="G23" s="11" t="s">
        <v>17</v>
      </c>
      <c r="H23" s="12" t="s">
        <v>3</v>
      </c>
      <c r="I23" s="10"/>
      <c r="J23" s="10"/>
      <c r="K23" s="243">
        <f>SUM(K14:L20)</f>
        <v>166000</v>
      </c>
      <c r="L23" s="243"/>
    </row>
    <row r="24" spans="1:15">
      <c r="G24" s="2" t="s">
        <v>18</v>
      </c>
      <c r="K24" s="241">
        <f>E23-K23</f>
        <v>2084000</v>
      </c>
      <c r="L24" s="241"/>
    </row>
    <row r="25" spans="1:15">
      <c r="E25" s="5"/>
      <c r="G25" s="1" t="s">
        <v>19</v>
      </c>
      <c r="K25" s="245">
        <f>ROUNDUP(K24,-3)</f>
        <v>2084000</v>
      </c>
      <c r="L25" s="245"/>
    </row>
    <row r="26" spans="1:15">
      <c r="K26" s="250"/>
      <c r="L26" s="244"/>
    </row>
    <row r="27" spans="1:15">
      <c r="A27" s="2" t="s">
        <v>20</v>
      </c>
      <c r="B27" s="2" t="s">
        <v>3</v>
      </c>
      <c r="C27" s="2" t="str">
        <f>Inword!A620</f>
        <v>Dua Juta Delapan Puluh Empat Ribu Rupiah</v>
      </c>
    </row>
    <row r="29" spans="1:15">
      <c r="G29" s="2" t="str">
        <f>wawan!G28</f>
        <v>Batam, 5 Agustus 2026</v>
      </c>
    </row>
    <row r="30" spans="1:15">
      <c r="G30" s="9" t="s">
        <v>258</v>
      </c>
    </row>
    <row r="31" spans="1:15">
      <c r="G31" s="9" t="s">
        <v>182</v>
      </c>
    </row>
    <row r="32" spans="1:15">
      <c r="G32" s="9"/>
    </row>
    <row r="33" spans="1:12">
      <c r="G33" s="9"/>
    </row>
    <row r="34" spans="1:12">
      <c r="A34" s="13"/>
      <c r="G34" s="13"/>
    </row>
    <row r="38" spans="1:12">
      <c r="A38" s="1"/>
    </row>
    <row r="42" spans="1:12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E43" s="244"/>
      <c r="F43" s="244"/>
      <c r="G43" s="244"/>
      <c r="H43" s="244"/>
      <c r="I43" s="244"/>
    </row>
    <row r="45" spans="1:12">
      <c r="J45" s="5"/>
    </row>
    <row r="46" spans="1:12">
      <c r="J46" s="5"/>
    </row>
    <row r="47" spans="1:12">
      <c r="J47" s="5"/>
    </row>
    <row r="49" spans="5:12" s="1" customFormat="1"/>
    <row r="51" spans="5:12">
      <c r="E51" s="248"/>
      <c r="F51" s="248"/>
      <c r="K51" s="248"/>
      <c r="L51" s="248"/>
    </row>
    <row r="52" spans="5:12">
      <c r="E52" s="248"/>
      <c r="F52" s="248"/>
      <c r="K52" s="248"/>
      <c r="L52" s="248"/>
    </row>
    <row r="53" spans="5:12">
      <c r="E53" s="248"/>
      <c r="F53" s="248"/>
      <c r="K53" s="248"/>
      <c r="L53" s="248"/>
    </row>
    <row r="54" spans="5:12">
      <c r="E54" s="248"/>
      <c r="F54" s="248"/>
      <c r="K54" s="248"/>
      <c r="L54" s="248"/>
    </row>
    <row r="55" spans="5:12">
      <c r="E55" s="248"/>
      <c r="F55" s="248"/>
      <c r="K55" s="250"/>
      <c r="L55" s="244"/>
    </row>
    <row r="56" spans="5:12">
      <c r="E56" s="248"/>
      <c r="F56" s="248"/>
    </row>
    <row r="57" spans="5:12">
      <c r="E57" s="248"/>
      <c r="F57" s="248"/>
    </row>
    <row r="58" spans="5:12">
      <c r="E58" s="248"/>
      <c r="F58" s="248"/>
    </row>
    <row r="59" spans="5:12" s="1" customFormat="1">
      <c r="E59" s="248"/>
      <c r="F59" s="248"/>
      <c r="H59" s="2"/>
      <c r="K59" s="248"/>
      <c r="L59" s="248"/>
    </row>
    <row r="60" spans="5:12">
      <c r="K60" s="248"/>
      <c r="L60" s="248"/>
    </row>
    <row r="61" spans="5:12">
      <c r="G61" s="1"/>
      <c r="K61" s="249"/>
      <c r="L61" s="249"/>
    </row>
    <row r="70" spans="1:7">
      <c r="A70" s="13"/>
      <c r="G70" s="13"/>
    </row>
  </sheetData>
  <mergeCells count="39">
    <mergeCell ref="E17:F17"/>
    <mergeCell ref="K17:L17"/>
    <mergeCell ref="E18:F18"/>
    <mergeCell ref="E6:I6"/>
    <mergeCell ref="E14:F14"/>
    <mergeCell ref="K14:L14"/>
    <mergeCell ref="E15:F15"/>
    <mergeCell ref="K15:L15"/>
    <mergeCell ref="K18:L18"/>
    <mergeCell ref="E16:F16"/>
    <mergeCell ref="K61:L61"/>
    <mergeCell ref="E58:F58"/>
    <mergeCell ref="E56:F56"/>
    <mergeCell ref="K24:L24"/>
    <mergeCell ref="K25:L25"/>
    <mergeCell ref="E43:I43"/>
    <mergeCell ref="E51:F51"/>
    <mergeCell ref="K51:L51"/>
    <mergeCell ref="E52:F52"/>
    <mergeCell ref="K54:L54"/>
    <mergeCell ref="E55:F55"/>
    <mergeCell ref="K52:L52"/>
    <mergeCell ref="K26:L26"/>
    <mergeCell ref="E19:F19"/>
    <mergeCell ref="K19:L19"/>
    <mergeCell ref="K60:L60"/>
    <mergeCell ref="E23:F23"/>
    <mergeCell ref="K23:L23"/>
    <mergeCell ref="E20:F20"/>
    <mergeCell ref="E21:F21"/>
    <mergeCell ref="E22:F22"/>
    <mergeCell ref="K55:L55"/>
    <mergeCell ref="E53:F53"/>
    <mergeCell ref="K53:L53"/>
    <mergeCell ref="E54:F54"/>
    <mergeCell ref="K20:L20"/>
    <mergeCell ref="E57:F57"/>
    <mergeCell ref="E59:F59"/>
    <mergeCell ref="K59:L59"/>
  </mergeCells>
  <phoneticPr fontId="9" type="noConversion"/>
  <pageMargins left="0.7" right="0.7" top="0.47" bottom="0.41" header="0.3" footer="0.3"/>
  <pageSetup paperSize="9" scale="90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103"/>
  <dimension ref="B2:K128"/>
  <sheetViews>
    <sheetView topLeftCell="A52" workbookViewId="0">
      <selection activeCell="E68" sqref="E68"/>
    </sheetView>
  </sheetViews>
  <sheetFormatPr defaultColWidth="9.140625" defaultRowHeight="12.75"/>
  <cols>
    <col min="1" max="2" width="9.140625" style="64"/>
    <col min="3" max="3" width="10.28515625" style="64" bestFit="1" customWidth="1"/>
    <col min="4" max="4" width="12.42578125" style="64" bestFit="1" customWidth="1"/>
    <col min="5" max="5" width="10.42578125" style="64" bestFit="1" customWidth="1"/>
    <col min="6" max="7" width="9.140625" style="64"/>
    <col min="8" max="8" width="13.85546875" style="64" bestFit="1" customWidth="1"/>
    <col min="9" max="9" width="3.28515625" style="64" bestFit="1" customWidth="1"/>
    <col min="10" max="10" width="13.85546875" style="64" bestFit="1" customWidth="1"/>
    <col min="11" max="16384" width="9.140625" style="64"/>
  </cols>
  <sheetData>
    <row r="2" spans="2:11" ht="13.5" thickBot="1"/>
    <row r="3" spans="2:11" ht="15.75" thickBot="1">
      <c r="B3" s="65" t="s">
        <v>313</v>
      </c>
      <c r="C3" s="65" t="s">
        <v>314</v>
      </c>
      <c r="D3" s="65" t="s">
        <v>315</v>
      </c>
      <c r="E3" s="65" t="s">
        <v>316</v>
      </c>
      <c r="G3" s="66" t="s">
        <v>317</v>
      </c>
      <c r="H3" s="252" t="s">
        <v>318</v>
      </c>
      <c r="I3" s="253"/>
      <c r="J3" s="254"/>
      <c r="K3" s="67" t="s">
        <v>319</v>
      </c>
    </row>
    <row r="4" spans="2:11" ht="15">
      <c r="B4" s="68" t="s">
        <v>40</v>
      </c>
      <c r="C4" s="68" t="s">
        <v>320</v>
      </c>
      <c r="D4" s="69">
        <f>E4*12</f>
        <v>54000000</v>
      </c>
      <c r="E4" s="70">
        <v>4500000</v>
      </c>
      <c r="G4" s="71" t="s">
        <v>320</v>
      </c>
      <c r="H4" s="72">
        <v>0</v>
      </c>
      <c r="I4" s="73" t="s">
        <v>321</v>
      </c>
      <c r="J4" s="74">
        <v>5400000</v>
      </c>
      <c r="K4" s="75">
        <v>0</v>
      </c>
    </row>
    <row r="5" spans="2:11" ht="15">
      <c r="B5" s="68" t="s">
        <v>322</v>
      </c>
      <c r="C5" s="68" t="s">
        <v>320</v>
      </c>
      <c r="D5" s="69">
        <f>D4+$E$4</f>
        <v>58500000</v>
      </c>
      <c r="E5" s="76"/>
      <c r="G5" s="71" t="s">
        <v>320</v>
      </c>
      <c r="H5" s="72">
        <f t="shared" ref="H5:H46" si="0">J4</f>
        <v>5400000</v>
      </c>
      <c r="I5" s="73" t="s">
        <v>321</v>
      </c>
      <c r="J5" s="74">
        <v>5650000</v>
      </c>
      <c r="K5" s="75">
        <v>2.5000000000000001E-3</v>
      </c>
    </row>
    <row r="6" spans="2:11" ht="15">
      <c r="B6" s="68" t="s">
        <v>323</v>
      </c>
      <c r="C6" s="68" t="s">
        <v>324</v>
      </c>
      <c r="D6" s="69">
        <f>D5+$E$4</f>
        <v>63000000</v>
      </c>
      <c r="E6" s="76"/>
      <c r="G6" s="71" t="s">
        <v>320</v>
      </c>
      <c r="H6" s="72">
        <f t="shared" si="0"/>
        <v>5650000</v>
      </c>
      <c r="I6" s="73" t="s">
        <v>321</v>
      </c>
      <c r="J6" s="74">
        <v>5950000</v>
      </c>
      <c r="K6" s="75">
        <v>5.0000000000000001E-3</v>
      </c>
    </row>
    <row r="7" spans="2:11" ht="15">
      <c r="B7" s="68" t="s">
        <v>325</v>
      </c>
      <c r="C7" s="68" t="s">
        <v>324</v>
      </c>
      <c r="D7" s="69">
        <f>D6+$E$4</f>
        <v>67500000</v>
      </c>
      <c r="E7" s="76"/>
      <c r="G7" s="71" t="s">
        <v>320</v>
      </c>
      <c r="H7" s="72">
        <f t="shared" si="0"/>
        <v>5950000</v>
      </c>
      <c r="I7" s="73" t="s">
        <v>321</v>
      </c>
      <c r="J7" s="74">
        <v>6300000</v>
      </c>
      <c r="K7" s="75">
        <v>7.4999999999999997E-3</v>
      </c>
    </row>
    <row r="8" spans="2:11" ht="15">
      <c r="B8" s="68" t="s">
        <v>191</v>
      </c>
      <c r="C8" s="68" t="s">
        <v>320</v>
      </c>
      <c r="D8" s="69">
        <f>D5</f>
        <v>58500000</v>
      </c>
      <c r="E8" s="76"/>
      <c r="G8" s="71" t="s">
        <v>320</v>
      </c>
      <c r="H8" s="72">
        <f t="shared" si="0"/>
        <v>6300000</v>
      </c>
      <c r="I8" s="73" t="s">
        <v>321</v>
      </c>
      <c r="J8" s="74">
        <v>6750000</v>
      </c>
      <c r="K8" s="75">
        <v>0.01</v>
      </c>
    </row>
    <row r="9" spans="2:11" ht="15">
      <c r="B9" s="68" t="s">
        <v>189</v>
      </c>
      <c r="C9" s="68" t="s">
        <v>324</v>
      </c>
      <c r="D9" s="69">
        <f>D8+$E$4</f>
        <v>63000000</v>
      </c>
      <c r="E9" s="76"/>
      <c r="G9" s="71" t="s">
        <v>320</v>
      </c>
      <c r="H9" s="72">
        <f t="shared" si="0"/>
        <v>6750000</v>
      </c>
      <c r="I9" s="73" t="s">
        <v>321</v>
      </c>
      <c r="J9" s="74">
        <v>7500000</v>
      </c>
      <c r="K9" s="75">
        <v>1.2500000000000001E-2</v>
      </c>
    </row>
    <row r="10" spans="2:11" ht="15">
      <c r="B10" s="68" t="s">
        <v>190</v>
      </c>
      <c r="C10" s="68" t="s">
        <v>324</v>
      </c>
      <c r="D10" s="69">
        <f>D9+$E$4</f>
        <v>67500000</v>
      </c>
      <c r="E10" s="76"/>
      <c r="G10" s="71" t="s">
        <v>320</v>
      </c>
      <c r="H10" s="72">
        <f t="shared" si="0"/>
        <v>7500000</v>
      </c>
      <c r="I10" s="73" t="s">
        <v>321</v>
      </c>
      <c r="J10" s="74">
        <v>8550000</v>
      </c>
      <c r="K10" s="75">
        <v>1.4999999999999999E-2</v>
      </c>
    </row>
    <row r="11" spans="2:11" ht="15">
      <c r="B11" s="68" t="s">
        <v>194</v>
      </c>
      <c r="C11" s="68" t="s">
        <v>326</v>
      </c>
      <c r="D11" s="69">
        <f>D10+$E$4</f>
        <v>72000000</v>
      </c>
      <c r="G11" s="71" t="s">
        <v>320</v>
      </c>
      <c r="H11" s="72">
        <f t="shared" si="0"/>
        <v>8550000</v>
      </c>
      <c r="I11" s="73" t="s">
        <v>321</v>
      </c>
      <c r="J11" s="74">
        <v>9650000</v>
      </c>
      <c r="K11" s="75">
        <v>1.7500000000000002E-2</v>
      </c>
    </row>
    <row r="12" spans="2:11" ht="15">
      <c r="B12" s="68"/>
      <c r="C12" s="77"/>
      <c r="D12" s="69"/>
      <c r="G12" s="71" t="s">
        <v>320</v>
      </c>
      <c r="H12" s="72">
        <f t="shared" si="0"/>
        <v>9650000</v>
      </c>
      <c r="I12" s="73" t="s">
        <v>321</v>
      </c>
      <c r="J12" s="74">
        <v>10050000</v>
      </c>
      <c r="K12" s="75">
        <v>0.02</v>
      </c>
    </row>
    <row r="13" spans="2:11" ht="15">
      <c r="B13" s="68"/>
      <c r="C13" s="77"/>
      <c r="D13" s="69"/>
      <c r="G13" s="71" t="s">
        <v>320</v>
      </c>
      <c r="H13" s="72">
        <f t="shared" si="0"/>
        <v>10050000</v>
      </c>
      <c r="I13" s="73" t="s">
        <v>321</v>
      </c>
      <c r="J13" s="74">
        <v>10350000</v>
      </c>
      <c r="K13" s="75">
        <v>2.2499999999999999E-2</v>
      </c>
    </row>
    <row r="14" spans="2:11" ht="15">
      <c r="B14" s="68"/>
      <c r="C14" s="77"/>
      <c r="D14" s="69"/>
      <c r="G14" s="71" t="s">
        <v>320</v>
      </c>
      <c r="H14" s="72">
        <f t="shared" si="0"/>
        <v>10350000</v>
      </c>
      <c r="I14" s="73" t="s">
        <v>321</v>
      </c>
      <c r="J14" s="74">
        <v>10700000</v>
      </c>
      <c r="K14" s="75">
        <v>2.5000000000000001E-2</v>
      </c>
    </row>
    <row r="15" spans="2:11" ht="15">
      <c r="B15" s="68"/>
      <c r="C15" s="77"/>
      <c r="D15" s="69"/>
      <c r="G15" s="71" t="s">
        <v>320</v>
      </c>
      <c r="H15" s="72">
        <f t="shared" si="0"/>
        <v>10700000</v>
      </c>
      <c r="I15" s="73" t="s">
        <v>321</v>
      </c>
      <c r="J15" s="74">
        <v>11050000</v>
      </c>
      <c r="K15" s="75">
        <v>0.03</v>
      </c>
    </row>
    <row r="16" spans="2:11" ht="15">
      <c r="G16" s="71" t="s">
        <v>320</v>
      </c>
      <c r="H16" s="72">
        <f t="shared" si="0"/>
        <v>11050000</v>
      </c>
      <c r="I16" s="73" t="s">
        <v>321</v>
      </c>
      <c r="J16" s="74">
        <v>11600000</v>
      </c>
      <c r="K16" s="75">
        <v>3.5000000000000003E-2</v>
      </c>
    </row>
    <row r="17" spans="7:11" ht="15">
      <c r="G17" s="71" t="s">
        <v>320</v>
      </c>
      <c r="H17" s="72">
        <f t="shared" si="0"/>
        <v>11600000</v>
      </c>
      <c r="I17" s="73" t="s">
        <v>321</v>
      </c>
      <c r="J17" s="74">
        <v>12500000</v>
      </c>
      <c r="K17" s="75">
        <v>0.04</v>
      </c>
    </row>
    <row r="18" spans="7:11" ht="15">
      <c r="G18" s="71" t="s">
        <v>320</v>
      </c>
      <c r="H18" s="72">
        <f t="shared" si="0"/>
        <v>12500000</v>
      </c>
      <c r="I18" s="73" t="s">
        <v>321</v>
      </c>
      <c r="J18" s="74">
        <v>13750000</v>
      </c>
      <c r="K18" s="75">
        <v>0.05</v>
      </c>
    </row>
    <row r="19" spans="7:11" ht="15">
      <c r="G19" s="71" t="s">
        <v>320</v>
      </c>
      <c r="H19" s="72">
        <f t="shared" si="0"/>
        <v>13750000</v>
      </c>
      <c r="I19" s="73" t="s">
        <v>321</v>
      </c>
      <c r="J19" s="74">
        <v>15100000</v>
      </c>
      <c r="K19" s="75">
        <v>0.06</v>
      </c>
    </row>
    <row r="20" spans="7:11" ht="15">
      <c r="G20" s="71" t="s">
        <v>320</v>
      </c>
      <c r="H20" s="72">
        <f t="shared" si="0"/>
        <v>15100000</v>
      </c>
      <c r="I20" s="73" t="s">
        <v>321</v>
      </c>
      <c r="J20" s="74">
        <v>16950000</v>
      </c>
      <c r="K20" s="75">
        <v>7.0000000000000007E-2</v>
      </c>
    </row>
    <row r="21" spans="7:11" ht="15">
      <c r="G21" s="71" t="s">
        <v>320</v>
      </c>
      <c r="H21" s="72">
        <f t="shared" si="0"/>
        <v>16950000</v>
      </c>
      <c r="I21" s="73" t="s">
        <v>321</v>
      </c>
      <c r="J21" s="74">
        <v>19750000</v>
      </c>
      <c r="K21" s="75">
        <v>0.08</v>
      </c>
    </row>
    <row r="22" spans="7:11" ht="15">
      <c r="G22" s="71" t="s">
        <v>320</v>
      </c>
      <c r="H22" s="72">
        <f t="shared" si="0"/>
        <v>19750000</v>
      </c>
      <c r="I22" s="73" t="s">
        <v>321</v>
      </c>
      <c r="J22" s="74">
        <v>24150000</v>
      </c>
      <c r="K22" s="75">
        <v>0.09</v>
      </c>
    </row>
    <row r="23" spans="7:11" ht="15">
      <c r="G23" s="71" t="s">
        <v>320</v>
      </c>
      <c r="H23" s="72">
        <f t="shared" si="0"/>
        <v>24150000</v>
      </c>
      <c r="I23" s="73" t="s">
        <v>321</v>
      </c>
      <c r="J23" s="74">
        <v>26450000</v>
      </c>
      <c r="K23" s="75">
        <v>0.1</v>
      </c>
    </row>
    <row r="24" spans="7:11" ht="15">
      <c r="G24" s="71" t="s">
        <v>320</v>
      </c>
      <c r="H24" s="72">
        <f t="shared" si="0"/>
        <v>26450000</v>
      </c>
      <c r="I24" s="73" t="s">
        <v>321</v>
      </c>
      <c r="J24" s="74">
        <v>28000000</v>
      </c>
      <c r="K24" s="75">
        <v>0.11</v>
      </c>
    </row>
    <row r="25" spans="7:11" ht="15">
      <c r="G25" s="71" t="s">
        <v>320</v>
      </c>
      <c r="H25" s="72">
        <f t="shared" si="0"/>
        <v>28000000</v>
      </c>
      <c r="I25" s="73" t="s">
        <v>321</v>
      </c>
      <c r="J25" s="74">
        <v>30050000</v>
      </c>
      <c r="K25" s="75">
        <v>0.12</v>
      </c>
    </row>
    <row r="26" spans="7:11" ht="15">
      <c r="G26" s="71" t="s">
        <v>320</v>
      </c>
      <c r="H26" s="72">
        <f t="shared" si="0"/>
        <v>30050000</v>
      </c>
      <c r="I26" s="73" t="s">
        <v>321</v>
      </c>
      <c r="J26" s="74">
        <v>32400000</v>
      </c>
      <c r="K26" s="75">
        <v>0.13</v>
      </c>
    </row>
    <row r="27" spans="7:11" ht="15">
      <c r="G27" s="71" t="s">
        <v>320</v>
      </c>
      <c r="H27" s="72">
        <f t="shared" si="0"/>
        <v>32400000</v>
      </c>
      <c r="I27" s="73" t="s">
        <v>321</v>
      </c>
      <c r="J27" s="74">
        <v>35400000</v>
      </c>
      <c r="K27" s="75">
        <v>0.14000000000000001</v>
      </c>
    </row>
    <row r="28" spans="7:11" ht="15">
      <c r="G28" s="71" t="s">
        <v>320</v>
      </c>
      <c r="H28" s="72">
        <f t="shared" si="0"/>
        <v>35400000</v>
      </c>
      <c r="I28" s="73" t="s">
        <v>321</v>
      </c>
      <c r="J28" s="74">
        <v>39100000</v>
      </c>
      <c r="K28" s="75">
        <v>0.15</v>
      </c>
    </row>
    <row r="29" spans="7:11" ht="15">
      <c r="G29" s="71" t="s">
        <v>320</v>
      </c>
      <c r="H29" s="72">
        <f t="shared" si="0"/>
        <v>39100000</v>
      </c>
      <c r="I29" s="73" t="s">
        <v>321</v>
      </c>
      <c r="J29" s="74">
        <v>43850000</v>
      </c>
      <c r="K29" s="75">
        <v>0.16</v>
      </c>
    </row>
    <row r="30" spans="7:11" ht="15">
      <c r="G30" s="71" t="s">
        <v>320</v>
      </c>
      <c r="H30" s="72">
        <f t="shared" si="0"/>
        <v>43850000</v>
      </c>
      <c r="I30" s="73" t="s">
        <v>321</v>
      </c>
      <c r="J30" s="74">
        <v>47800000</v>
      </c>
      <c r="K30" s="75">
        <v>0.17</v>
      </c>
    </row>
    <row r="31" spans="7:11" ht="15">
      <c r="G31" s="71" t="s">
        <v>320</v>
      </c>
      <c r="H31" s="72">
        <f t="shared" si="0"/>
        <v>47800000</v>
      </c>
      <c r="I31" s="73" t="s">
        <v>321</v>
      </c>
      <c r="J31" s="74">
        <v>51400000</v>
      </c>
      <c r="K31" s="75">
        <v>0.18</v>
      </c>
    </row>
    <row r="32" spans="7:11" ht="15">
      <c r="G32" s="71" t="s">
        <v>320</v>
      </c>
      <c r="H32" s="72">
        <f t="shared" si="0"/>
        <v>51400000</v>
      </c>
      <c r="I32" s="73" t="s">
        <v>321</v>
      </c>
      <c r="J32" s="74">
        <v>56300000</v>
      </c>
      <c r="K32" s="75">
        <v>0.19</v>
      </c>
    </row>
    <row r="33" spans="7:11" ht="15">
      <c r="G33" s="71" t="s">
        <v>320</v>
      </c>
      <c r="H33" s="72">
        <f t="shared" si="0"/>
        <v>56300000</v>
      </c>
      <c r="I33" s="73" t="s">
        <v>321</v>
      </c>
      <c r="J33" s="74">
        <v>62200000</v>
      </c>
      <c r="K33" s="75">
        <v>0.2</v>
      </c>
    </row>
    <row r="34" spans="7:11" ht="15">
      <c r="G34" s="71" t="s">
        <v>320</v>
      </c>
      <c r="H34" s="72">
        <f t="shared" si="0"/>
        <v>62200000</v>
      </c>
      <c r="I34" s="73" t="s">
        <v>321</v>
      </c>
      <c r="J34" s="74">
        <v>68600000</v>
      </c>
      <c r="K34" s="75">
        <v>0.21</v>
      </c>
    </row>
    <row r="35" spans="7:11" ht="15">
      <c r="G35" s="71" t="s">
        <v>320</v>
      </c>
      <c r="H35" s="72">
        <f t="shared" si="0"/>
        <v>68600000</v>
      </c>
      <c r="I35" s="73" t="s">
        <v>321</v>
      </c>
      <c r="J35" s="74">
        <v>77500000</v>
      </c>
      <c r="K35" s="75">
        <v>0.22</v>
      </c>
    </row>
    <row r="36" spans="7:11" ht="15">
      <c r="G36" s="71" t="s">
        <v>320</v>
      </c>
      <c r="H36" s="72">
        <f t="shared" si="0"/>
        <v>77500000</v>
      </c>
      <c r="I36" s="73" t="s">
        <v>321</v>
      </c>
      <c r="J36" s="74">
        <v>89000000</v>
      </c>
      <c r="K36" s="75">
        <v>0.23</v>
      </c>
    </row>
    <row r="37" spans="7:11" ht="15">
      <c r="G37" s="71" t="s">
        <v>320</v>
      </c>
      <c r="H37" s="72">
        <f t="shared" si="0"/>
        <v>89000000</v>
      </c>
      <c r="I37" s="73" t="s">
        <v>321</v>
      </c>
      <c r="J37" s="74">
        <v>103000000</v>
      </c>
      <c r="K37" s="75">
        <v>0.24</v>
      </c>
    </row>
    <row r="38" spans="7:11" ht="15">
      <c r="G38" s="71" t="s">
        <v>320</v>
      </c>
      <c r="H38" s="72">
        <f t="shared" si="0"/>
        <v>103000000</v>
      </c>
      <c r="I38" s="73" t="s">
        <v>321</v>
      </c>
      <c r="J38" s="74">
        <v>125000000</v>
      </c>
      <c r="K38" s="75">
        <v>0.25</v>
      </c>
    </row>
    <row r="39" spans="7:11" ht="15">
      <c r="G39" s="71" t="s">
        <v>320</v>
      </c>
      <c r="H39" s="72">
        <f t="shared" si="0"/>
        <v>125000000</v>
      </c>
      <c r="I39" s="73" t="s">
        <v>321</v>
      </c>
      <c r="J39" s="74">
        <v>157000000</v>
      </c>
      <c r="K39" s="75">
        <v>0.26</v>
      </c>
    </row>
    <row r="40" spans="7:11" ht="15">
      <c r="G40" s="71" t="s">
        <v>320</v>
      </c>
      <c r="H40" s="72">
        <f t="shared" si="0"/>
        <v>157000000</v>
      </c>
      <c r="I40" s="73" t="s">
        <v>321</v>
      </c>
      <c r="J40" s="74">
        <v>206000000</v>
      </c>
      <c r="K40" s="75">
        <v>0.27</v>
      </c>
    </row>
    <row r="41" spans="7:11" ht="15">
      <c r="G41" s="71" t="s">
        <v>320</v>
      </c>
      <c r="H41" s="72">
        <f t="shared" si="0"/>
        <v>206000000</v>
      </c>
      <c r="I41" s="73" t="s">
        <v>321</v>
      </c>
      <c r="J41" s="74">
        <v>337000000</v>
      </c>
      <c r="K41" s="75">
        <v>0.28000000000000003</v>
      </c>
    </row>
    <row r="42" spans="7:11" ht="15">
      <c r="G42" s="71" t="s">
        <v>320</v>
      </c>
      <c r="H42" s="72">
        <f t="shared" si="0"/>
        <v>337000000</v>
      </c>
      <c r="I42" s="73" t="s">
        <v>321</v>
      </c>
      <c r="J42" s="74">
        <v>454000000</v>
      </c>
      <c r="K42" s="75">
        <v>0.28999999999999998</v>
      </c>
    </row>
    <row r="43" spans="7:11" ht="15">
      <c r="G43" s="71" t="s">
        <v>320</v>
      </c>
      <c r="H43" s="72">
        <f t="shared" si="0"/>
        <v>454000000</v>
      </c>
      <c r="I43" s="73" t="s">
        <v>321</v>
      </c>
      <c r="J43" s="74">
        <v>550000000</v>
      </c>
      <c r="K43" s="75">
        <v>0.3</v>
      </c>
    </row>
    <row r="44" spans="7:11" ht="15">
      <c r="G44" s="71" t="s">
        <v>320</v>
      </c>
      <c r="H44" s="72">
        <f t="shared" si="0"/>
        <v>550000000</v>
      </c>
      <c r="I44" s="73" t="s">
        <v>321</v>
      </c>
      <c r="J44" s="74">
        <v>695000000</v>
      </c>
      <c r="K44" s="75">
        <v>0.31</v>
      </c>
    </row>
    <row r="45" spans="7:11" ht="15">
      <c r="G45" s="71" t="s">
        <v>320</v>
      </c>
      <c r="H45" s="72">
        <f t="shared" si="0"/>
        <v>695000000</v>
      </c>
      <c r="I45" s="73" t="s">
        <v>321</v>
      </c>
      <c r="J45" s="74">
        <v>910000000</v>
      </c>
      <c r="K45" s="75">
        <v>0.32</v>
      </c>
    </row>
    <row r="46" spans="7:11" ht="15">
      <c r="G46" s="71" t="s">
        <v>320</v>
      </c>
      <c r="H46" s="72">
        <f t="shared" si="0"/>
        <v>910000000</v>
      </c>
      <c r="I46" s="73" t="s">
        <v>321</v>
      </c>
      <c r="J46" s="74">
        <v>1400000000</v>
      </c>
      <c r="K46" s="75">
        <v>0.33</v>
      </c>
    </row>
    <row r="47" spans="7:11" ht="15">
      <c r="G47" s="71" t="s">
        <v>320</v>
      </c>
      <c r="H47" s="72">
        <v>1400000000</v>
      </c>
      <c r="I47" s="73"/>
      <c r="J47" s="74"/>
      <c r="K47" s="75">
        <v>0.34</v>
      </c>
    </row>
    <row r="48" spans="7:11" ht="15">
      <c r="G48" s="71" t="s">
        <v>324</v>
      </c>
      <c r="H48" s="72">
        <v>0</v>
      </c>
      <c r="I48" s="73" t="s">
        <v>321</v>
      </c>
      <c r="J48" s="74">
        <v>6200000</v>
      </c>
      <c r="K48" s="75">
        <v>0</v>
      </c>
    </row>
    <row r="49" spans="7:11" ht="15">
      <c r="G49" s="71" t="s">
        <v>324</v>
      </c>
      <c r="H49" s="72">
        <f t="shared" ref="H49:H86" si="1">J48</f>
        <v>6200000</v>
      </c>
      <c r="I49" s="73" t="s">
        <v>321</v>
      </c>
      <c r="J49" s="74">
        <v>6500000</v>
      </c>
      <c r="K49" s="75">
        <v>2.5000000000000001E-3</v>
      </c>
    </row>
    <row r="50" spans="7:11" ht="15">
      <c r="G50" s="71" t="s">
        <v>324</v>
      </c>
      <c r="H50" s="72">
        <f t="shared" si="1"/>
        <v>6500000</v>
      </c>
      <c r="I50" s="73" t="s">
        <v>321</v>
      </c>
      <c r="J50" s="74">
        <v>6850000</v>
      </c>
      <c r="K50" s="75">
        <v>5.0000000000000001E-3</v>
      </c>
    </row>
    <row r="51" spans="7:11" ht="15">
      <c r="G51" s="71" t="s">
        <v>324</v>
      </c>
      <c r="H51" s="72">
        <f t="shared" si="1"/>
        <v>6850000</v>
      </c>
      <c r="I51" s="73" t="s">
        <v>321</v>
      </c>
      <c r="J51" s="74">
        <v>7300000</v>
      </c>
      <c r="K51" s="75">
        <v>7.4999999999999997E-3</v>
      </c>
    </row>
    <row r="52" spans="7:11" ht="15">
      <c r="G52" s="71" t="s">
        <v>324</v>
      </c>
      <c r="H52" s="72">
        <f t="shared" si="1"/>
        <v>7300000</v>
      </c>
      <c r="I52" s="73" t="s">
        <v>321</v>
      </c>
      <c r="J52" s="74">
        <v>9200000</v>
      </c>
      <c r="K52" s="75">
        <v>0.01</v>
      </c>
    </row>
    <row r="53" spans="7:11" ht="15">
      <c r="G53" s="71" t="s">
        <v>324</v>
      </c>
      <c r="H53" s="72">
        <f t="shared" si="1"/>
        <v>9200000</v>
      </c>
      <c r="I53" s="73" t="s">
        <v>321</v>
      </c>
      <c r="J53" s="74">
        <v>10750000</v>
      </c>
      <c r="K53" s="75">
        <v>1.4999999999999999E-2</v>
      </c>
    </row>
    <row r="54" spans="7:11" ht="15">
      <c r="G54" s="71" t="s">
        <v>324</v>
      </c>
      <c r="H54" s="72">
        <f t="shared" si="1"/>
        <v>10750000</v>
      </c>
      <c r="I54" s="73" t="s">
        <v>321</v>
      </c>
      <c r="J54" s="74">
        <v>11250000</v>
      </c>
      <c r="K54" s="75">
        <v>0.02</v>
      </c>
    </row>
    <row r="55" spans="7:11" ht="15">
      <c r="G55" s="71" t="s">
        <v>324</v>
      </c>
      <c r="H55" s="72">
        <f t="shared" si="1"/>
        <v>11250000</v>
      </c>
      <c r="I55" s="73" t="s">
        <v>321</v>
      </c>
      <c r="J55" s="74">
        <v>11600000</v>
      </c>
      <c r="K55" s="75">
        <v>2.5000000000000001E-2</v>
      </c>
    </row>
    <row r="56" spans="7:11" ht="15">
      <c r="G56" s="71" t="s">
        <v>324</v>
      </c>
      <c r="H56" s="72">
        <f t="shared" si="1"/>
        <v>11600000</v>
      </c>
      <c r="I56" s="73" t="s">
        <v>321</v>
      </c>
      <c r="J56" s="74">
        <v>12600000</v>
      </c>
      <c r="K56" s="75">
        <v>0.03</v>
      </c>
    </row>
    <row r="57" spans="7:11" ht="15">
      <c r="G57" s="71" t="s">
        <v>324</v>
      </c>
      <c r="H57" s="72">
        <f t="shared" si="1"/>
        <v>12600000</v>
      </c>
      <c r="I57" s="73" t="s">
        <v>321</v>
      </c>
      <c r="J57" s="74">
        <v>13600000</v>
      </c>
      <c r="K57" s="75">
        <v>0.04</v>
      </c>
    </row>
    <row r="58" spans="7:11" ht="15">
      <c r="G58" s="71" t="s">
        <v>324</v>
      </c>
      <c r="H58" s="72">
        <f t="shared" si="1"/>
        <v>13600000</v>
      </c>
      <c r="I58" s="73" t="s">
        <v>321</v>
      </c>
      <c r="J58" s="74">
        <v>14950000</v>
      </c>
      <c r="K58" s="75">
        <v>0.05</v>
      </c>
    </row>
    <row r="59" spans="7:11" ht="15">
      <c r="G59" s="71" t="s">
        <v>324</v>
      </c>
      <c r="H59" s="72">
        <f t="shared" si="1"/>
        <v>14950000</v>
      </c>
      <c r="I59" s="73" t="s">
        <v>321</v>
      </c>
      <c r="J59" s="74">
        <v>16400000</v>
      </c>
      <c r="K59" s="75">
        <v>0.06</v>
      </c>
    </row>
    <row r="60" spans="7:11" ht="15">
      <c r="G60" s="71" t="s">
        <v>324</v>
      </c>
      <c r="H60" s="72">
        <f t="shared" si="1"/>
        <v>16400000</v>
      </c>
      <c r="I60" s="73" t="s">
        <v>321</v>
      </c>
      <c r="J60" s="74">
        <v>18450000</v>
      </c>
      <c r="K60" s="75">
        <v>7.0000000000000007E-2</v>
      </c>
    </row>
    <row r="61" spans="7:11" ht="15">
      <c r="G61" s="71" t="s">
        <v>324</v>
      </c>
      <c r="H61" s="72">
        <f t="shared" si="1"/>
        <v>18450000</v>
      </c>
      <c r="I61" s="73" t="s">
        <v>321</v>
      </c>
      <c r="J61" s="74">
        <v>21850000</v>
      </c>
      <c r="K61" s="75">
        <v>0.08</v>
      </c>
    </row>
    <row r="62" spans="7:11" ht="15">
      <c r="G62" s="71" t="s">
        <v>324</v>
      </c>
      <c r="H62" s="72">
        <f t="shared" si="1"/>
        <v>21850000</v>
      </c>
      <c r="I62" s="73" t="s">
        <v>321</v>
      </c>
      <c r="J62" s="74">
        <v>26000000</v>
      </c>
      <c r="K62" s="75">
        <v>0.09</v>
      </c>
    </row>
    <row r="63" spans="7:11" ht="15">
      <c r="G63" s="71" t="s">
        <v>324</v>
      </c>
      <c r="H63" s="72">
        <f t="shared" si="1"/>
        <v>26000000</v>
      </c>
      <c r="I63" s="73" t="s">
        <v>321</v>
      </c>
      <c r="J63" s="74">
        <v>27700000</v>
      </c>
      <c r="K63" s="75">
        <v>0.1</v>
      </c>
    </row>
    <row r="64" spans="7:11" ht="15">
      <c r="G64" s="71" t="s">
        <v>324</v>
      </c>
      <c r="H64" s="72">
        <f t="shared" si="1"/>
        <v>27700000</v>
      </c>
      <c r="I64" s="73" t="s">
        <v>321</v>
      </c>
      <c r="J64" s="74">
        <v>29350000</v>
      </c>
      <c r="K64" s="75">
        <v>0.11</v>
      </c>
    </row>
    <row r="65" spans="7:11" ht="15">
      <c r="G65" s="71" t="s">
        <v>324</v>
      </c>
      <c r="H65" s="72">
        <f t="shared" si="1"/>
        <v>29350000</v>
      </c>
      <c r="I65" s="73" t="s">
        <v>321</v>
      </c>
      <c r="J65" s="74">
        <v>31450000</v>
      </c>
      <c r="K65" s="75">
        <v>0.12</v>
      </c>
    </row>
    <row r="66" spans="7:11" ht="15">
      <c r="G66" s="71" t="s">
        <v>324</v>
      </c>
      <c r="H66" s="72">
        <f t="shared" si="1"/>
        <v>31450000</v>
      </c>
      <c r="I66" s="73" t="s">
        <v>321</v>
      </c>
      <c r="J66" s="74">
        <v>33950000</v>
      </c>
      <c r="K66" s="75">
        <v>0.13</v>
      </c>
    </row>
    <row r="67" spans="7:11" ht="15">
      <c r="G67" s="71" t="s">
        <v>324</v>
      </c>
      <c r="H67" s="72">
        <f t="shared" si="1"/>
        <v>33950000</v>
      </c>
      <c r="I67" s="73" t="s">
        <v>321</v>
      </c>
      <c r="J67" s="74">
        <v>37100000</v>
      </c>
      <c r="K67" s="75">
        <v>0.14000000000000001</v>
      </c>
    </row>
    <row r="68" spans="7:11" ht="15">
      <c r="G68" s="71" t="s">
        <v>324</v>
      </c>
      <c r="H68" s="72">
        <f t="shared" si="1"/>
        <v>37100000</v>
      </c>
      <c r="I68" s="73" t="s">
        <v>321</v>
      </c>
      <c r="J68" s="74">
        <v>41100000</v>
      </c>
      <c r="K68" s="75">
        <v>0.15</v>
      </c>
    </row>
    <row r="69" spans="7:11" ht="15">
      <c r="G69" s="71" t="s">
        <v>324</v>
      </c>
      <c r="H69" s="72">
        <f t="shared" si="1"/>
        <v>41100000</v>
      </c>
      <c r="I69" s="73" t="s">
        <v>321</v>
      </c>
      <c r="J69" s="74">
        <v>45800000</v>
      </c>
      <c r="K69" s="75">
        <v>0.16</v>
      </c>
    </row>
    <row r="70" spans="7:11" ht="15">
      <c r="G70" s="71" t="s">
        <v>324</v>
      </c>
      <c r="H70" s="72">
        <f t="shared" si="1"/>
        <v>45800000</v>
      </c>
      <c r="I70" s="73" t="s">
        <v>321</v>
      </c>
      <c r="J70" s="74">
        <v>49500000</v>
      </c>
      <c r="K70" s="75">
        <v>0.17</v>
      </c>
    </row>
    <row r="71" spans="7:11" ht="15">
      <c r="G71" s="71" t="s">
        <v>324</v>
      </c>
      <c r="H71" s="72">
        <f t="shared" si="1"/>
        <v>49500000</v>
      </c>
      <c r="I71" s="73" t="s">
        <v>321</v>
      </c>
      <c r="J71" s="74">
        <v>53800000</v>
      </c>
      <c r="K71" s="75">
        <v>0.18</v>
      </c>
    </row>
    <row r="72" spans="7:11" ht="15">
      <c r="G72" s="71" t="s">
        <v>324</v>
      </c>
      <c r="H72" s="72">
        <f t="shared" si="1"/>
        <v>53800000</v>
      </c>
      <c r="I72" s="73" t="s">
        <v>321</v>
      </c>
      <c r="J72" s="74">
        <v>58500000</v>
      </c>
      <c r="K72" s="75">
        <v>0.19</v>
      </c>
    </row>
    <row r="73" spans="7:11" ht="15">
      <c r="G73" s="71" t="s">
        <v>324</v>
      </c>
      <c r="H73" s="72">
        <f t="shared" si="1"/>
        <v>58500000</v>
      </c>
      <c r="I73" s="73" t="s">
        <v>321</v>
      </c>
      <c r="J73" s="74">
        <v>64000000</v>
      </c>
      <c r="K73" s="75">
        <v>0.2</v>
      </c>
    </row>
    <row r="74" spans="7:11" ht="15">
      <c r="G74" s="71" t="s">
        <v>324</v>
      </c>
      <c r="H74" s="72">
        <f t="shared" si="1"/>
        <v>64000000</v>
      </c>
      <c r="I74" s="73" t="s">
        <v>321</v>
      </c>
      <c r="J74" s="74">
        <v>71000000</v>
      </c>
      <c r="K74" s="75">
        <v>0.21</v>
      </c>
    </row>
    <row r="75" spans="7:11" ht="15">
      <c r="G75" s="71" t="s">
        <v>324</v>
      </c>
      <c r="H75" s="72">
        <f t="shared" si="1"/>
        <v>71000000</v>
      </c>
      <c r="I75" s="73" t="s">
        <v>321</v>
      </c>
      <c r="J75" s="74">
        <v>80000000</v>
      </c>
      <c r="K75" s="75">
        <v>0.22</v>
      </c>
    </row>
    <row r="76" spans="7:11" ht="15">
      <c r="G76" s="71" t="s">
        <v>324</v>
      </c>
      <c r="H76" s="72">
        <f t="shared" si="1"/>
        <v>80000000</v>
      </c>
      <c r="I76" s="73" t="s">
        <v>321</v>
      </c>
      <c r="J76" s="74">
        <v>93000000</v>
      </c>
      <c r="K76" s="75">
        <v>0.23</v>
      </c>
    </row>
    <row r="77" spans="7:11" ht="15">
      <c r="G77" s="71" t="s">
        <v>324</v>
      </c>
      <c r="H77" s="72">
        <f t="shared" si="1"/>
        <v>93000000</v>
      </c>
      <c r="I77" s="73" t="s">
        <v>321</v>
      </c>
      <c r="J77" s="74">
        <v>109000000</v>
      </c>
      <c r="K77" s="75">
        <v>0.24</v>
      </c>
    </row>
    <row r="78" spans="7:11" ht="15">
      <c r="G78" s="71" t="s">
        <v>324</v>
      </c>
      <c r="H78" s="72">
        <f t="shared" si="1"/>
        <v>109000000</v>
      </c>
      <c r="I78" s="73" t="s">
        <v>321</v>
      </c>
      <c r="J78" s="74">
        <v>129000000</v>
      </c>
      <c r="K78" s="75">
        <v>0.25</v>
      </c>
    </row>
    <row r="79" spans="7:11" ht="15">
      <c r="G79" s="71" t="s">
        <v>324</v>
      </c>
      <c r="H79" s="72">
        <f t="shared" si="1"/>
        <v>129000000</v>
      </c>
      <c r="I79" s="73" t="s">
        <v>321</v>
      </c>
      <c r="J79" s="74">
        <v>163000000</v>
      </c>
      <c r="K79" s="75">
        <v>0.26</v>
      </c>
    </row>
    <row r="80" spans="7:11" ht="15">
      <c r="G80" s="71" t="s">
        <v>324</v>
      </c>
      <c r="H80" s="72">
        <f t="shared" si="1"/>
        <v>163000000</v>
      </c>
      <c r="I80" s="73" t="s">
        <v>321</v>
      </c>
      <c r="J80" s="74">
        <v>211000000</v>
      </c>
      <c r="K80" s="75">
        <v>0.27</v>
      </c>
    </row>
    <row r="81" spans="7:11" ht="15">
      <c r="G81" s="71" t="s">
        <v>324</v>
      </c>
      <c r="H81" s="72">
        <f t="shared" si="1"/>
        <v>211000000</v>
      </c>
      <c r="I81" s="73" t="s">
        <v>321</v>
      </c>
      <c r="J81" s="74">
        <v>374000000</v>
      </c>
      <c r="K81" s="75">
        <v>0.28000000000000003</v>
      </c>
    </row>
    <row r="82" spans="7:11" ht="15">
      <c r="G82" s="71" t="s">
        <v>324</v>
      </c>
      <c r="H82" s="72">
        <f t="shared" si="1"/>
        <v>374000000</v>
      </c>
      <c r="I82" s="73" t="s">
        <v>321</v>
      </c>
      <c r="J82" s="74">
        <v>459000000</v>
      </c>
      <c r="K82" s="75">
        <v>0.28999999999999998</v>
      </c>
    </row>
    <row r="83" spans="7:11" ht="15">
      <c r="G83" s="71" t="s">
        <v>324</v>
      </c>
      <c r="H83" s="72">
        <f t="shared" si="1"/>
        <v>459000000</v>
      </c>
      <c r="I83" s="73" t="s">
        <v>321</v>
      </c>
      <c r="J83" s="74">
        <v>555000000</v>
      </c>
      <c r="K83" s="75">
        <v>0.3</v>
      </c>
    </row>
    <row r="84" spans="7:11" ht="15">
      <c r="G84" s="71" t="s">
        <v>324</v>
      </c>
      <c r="H84" s="72">
        <f t="shared" si="1"/>
        <v>555000000</v>
      </c>
      <c r="I84" s="73" t="s">
        <v>321</v>
      </c>
      <c r="J84" s="74">
        <v>704000000</v>
      </c>
      <c r="K84" s="75">
        <v>0.31</v>
      </c>
    </row>
    <row r="85" spans="7:11" ht="15">
      <c r="G85" s="71" t="s">
        <v>324</v>
      </c>
      <c r="H85" s="72">
        <f t="shared" si="1"/>
        <v>704000000</v>
      </c>
      <c r="I85" s="73" t="s">
        <v>321</v>
      </c>
      <c r="J85" s="74">
        <v>957000000</v>
      </c>
      <c r="K85" s="75">
        <v>0.32</v>
      </c>
    </row>
    <row r="86" spans="7:11" ht="15">
      <c r="G86" s="71" t="s">
        <v>324</v>
      </c>
      <c r="H86" s="72">
        <f t="shared" si="1"/>
        <v>957000000</v>
      </c>
      <c r="I86" s="73" t="s">
        <v>321</v>
      </c>
      <c r="J86" s="74">
        <v>1405000000</v>
      </c>
      <c r="K86" s="75">
        <v>0.33</v>
      </c>
    </row>
    <row r="87" spans="7:11" ht="15">
      <c r="G87" s="71" t="s">
        <v>324</v>
      </c>
      <c r="H87" s="72">
        <v>1405000000</v>
      </c>
      <c r="I87" s="73"/>
      <c r="J87" s="74"/>
      <c r="K87" s="75">
        <v>0.34</v>
      </c>
    </row>
    <row r="88" spans="7:11" ht="15">
      <c r="G88" s="71" t="s">
        <v>326</v>
      </c>
      <c r="H88" s="72">
        <v>0</v>
      </c>
      <c r="I88" s="73" t="s">
        <v>321</v>
      </c>
      <c r="J88" s="74">
        <v>6600000</v>
      </c>
      <c r="K88" s="75">
        <v>0</v>
      </c>
    </row>
    <row r="89" spans="7:11" ht="15">
      <c r="G89" s="71" t="s">
        <v>326</v>
      </c>
      <c r="H89" s="72">
        <f t="shared" ref="H89:H127" si="2">J88</f>
        <v>6600000</v>
      </c>
      <c r="I89" s="73" t="s">
        <v>321</v>
      </c>
      <c r="J89" s="74">
        <v>6950000</v>
      </c>
      <c r="K89" s="75">
        <v>2.5000000000000001E-3</v>
      </c>
    </row>
    <row r="90" spans="7:11" ht="15">
      <c r="G90" s="71" t="s">
        <v>326</v>
      </c>
      <c r="H90" s="72">
        <f t="shared" si="2"/>
        <v>6950000</v>
      </c>
      <c r="I90" s="73" t="s">
        <v>321</v>
      </c>
      <c r="J90" s="74">
        <v>7350000</v>
      </c>
      <c r="K90" s="75">
        <v>5.0000000000000001E-3</v>
      </c>
    </row>
    <row r="91" spans="7:11" ht="15">
      <c r="G91" s="71" t="s">
        <v>326</v>
      </c>
      <c r="H91" s="72">
        <f t="shared" si="2"/>
        <v>7350000</v>
      </c>
      <c r="I91" s="73" t="s">
        <v>321</v>
      </c>
      <c r="J91" s="74">
        <v>7800000</v>
      </c>
      <c r="K91" s="75">
        <v>7.4999999999999997E-3</v>
      </c>
    </row>
    <row r="92" spans="7:11" ht="15">
      <c r="G92" s="71" t="s">
        <v>326</v>
      </c>
      <c r="H92" s="72">
        <f t="shared" si="2"/>
        <v>7800000</v>
      </c>
      <c r="I92" s="73" t="s">
        <v>321</v>
      </c>
      <c r="J92" s="74">
        <v>8850000</v>
      </c>
      <c r="K92" s="75">
        <v>0.01</v>
      </c>
    </row>
    <row r="93" spans="7:11" ht="15">
      <c r="G93" s="71" t="s">
        <v>326</v>
      </c>
      <c r="H93" s="72">
        <f t="shared" si="2"/>
        <v>8850000</v>
      </c>
      <c r="I93" s="73" t="s">
        <v>321</v>
      </c>
      <c r="J93" s="74">
        <v>9800000</v>
      </c>
      <c r="K93" s="75">
        <v>1.2500000000000001E-2</v>
      </c>
    </row>
    <row r="94" spans="7:11" ht="15">
      <c r="G94" s="71" t="s">
        <v>326</v>
      </c>
      <c r="H94" s="72">
        <f t="shared" si="2"/>
        <v>9800000</v>
      </c>
      <c r="I94" s="73" t="s">
        <v>321</v>
      </c>
      <c r="J94" s="74">
        <v>10950000</v>
      </c>
      <c r="K94" s="75">
        <v>1.4999999999999999E-2</v>
      </c>
    </row>
    <row r="95" spans="7:11" ht="15">
      <c r="G95" s="71" t="s">
        <v>326</v>
      </c>
      <c r="H95" s="72">
        <f t="shared" si="2"/>
        <v>10950000</v>
      </c>
      <c r="I95" s="73" t="s">
        <v>321</v>
      </c>
      <c r="J95" s="74">
        <v>11200000</v>
      </c>
      <c r="K95" s="75">
        <v>1.7500000000000002E-2</v>
      </c>
    </row>
    <row r="96" spans="7:11" ht="15">
      <c r="G96" s="71" t="s">
        <v>326</v>
      </c>
      <c r="H96" s="72">
        <f t="shared" si="2"/>
        <v>11200000</v>
      </c>
      <c r="I96" s="73" t="s">
        <v>321</v>
      </c>
      <c r="J96" s="74">
        <v>12050000</v>
      </c>
      <c r="K96" s="75">
        <v>0.02</v>
      </c>
    </row>
    <row r="97" spans="7:11" ht="15">
      <c r="G97" s="71" t="s">
        <v>326</v>
      </c>
      <c r="H97" s="72">
        <f t="shared" si="2"/>
        <v>12050000</v>
      </c>
      <c r="I97" s="73" t="s">
        <v>321</v>
      </c>
      <c r="J97" s="74">
        <v>12950000</v>
      </c>
      <c r="K97" s="75">
        <v>0.03</v>
      </c>
    </row>
    <row r="98" spans="7:11" ht="15">
      <c r="G98" s="71" t="s">
        <v>326</v>
      </c>
      <c r="H98" s="72">
        <f t="shared" si="2"/>
        <v>12950000</v>
      </c>
      <c r="I98" s="73" t="s">
        <v>321</v>
      </c>
      <c r="J98" s="74">
        <v>14150000</v>
      </c>
      <c r="K98" s="75">
        <v>0.04</v>
      </c>
    </row>
    <row r="99" spans="7:11" ht="15">
      <c r="G99" s="71" t="s">
        <v>326</v>
      </c>
      <c r="H99" s="72">
        <f t="shared" si="2"/>
        <v>14150000</v>
      </c>
      <c r="I99" s="73" t="s">
        <v>321</v>
      </c>
      <c r="J99" s="74">
        <v>15550000</v>
      </c>
      <c r="K99" s="75">
        <v>0.05</v>
      </c>
    </row>
    <row r="100" spans="7:11" ht="15">
      <c r="G100" s="71" t="s">
        <v>326</v>
      </c>
      <c r="H100" s="72">
        <f t="shared" si="2"/>
        <v>15550000</v>
      </c>
      <c r="I100" s="73" t="s">
        <v>321</v>
      </c>
      <c r="J100" s="74">
        <v>17050000</v>
      </c>
      <c r="K100" s="75">
        <v>0.06</v>
      </c>
    </row>
    <row r="101" spans="7:11" ht="15">
      <c r="G101" s="71" t="s">
        <v>326</v>
      </c>
      <c r="H101" s="72">
        <f t="shared" si="2"/>
        <v>17050000</v>
      </c>
      <c r="I101" s="73" t="s">
        <v>321</v>
      </c>
      <c r="J101" s="74">
        <v>19500000</v>
      </c>
      <c r="K101" s="75">
        <v>7.0000000000000007E-2</v>
      </c>
    </row>
    <row r="102" spans="7:11" ht="15">
      <c r="G102" s="71" t="s">
        <v>326</v>
      </c>
      <c r="H102" s="72">
        <f t="shared" si="2"/>
        <v>19500000</v>
      </c>
      <c r="I102" s="73" t="s">
        <v>321</v>
      </c>
      <c r="J102" s="74">
        <v>22700000</v>
      </c>
      <c r="K102" s="75">
        <v>0.08</v>
      </c>
    </row>
    <row r="103" spans="7:11" ht="15">
      <c r="G103" s="71" t="s">
        <v>326</v>
      </c>
      <c r="H103" s="72">
        <f t="shared" si="2"/>
        <v>22700000</v>
      </c>
      <c r="I103" s="73" t="s">
        <v>321</v>
      </c>
      <c r="J103" s="74">
        <v>26600000</v>
      </c>
      <c r="K103" s="75">
        <v>0.09</v>
      </c>
    </row>
    <row r="104" spans="7:11" ht="15">
      <c r="G104" s="71" t="s">
        <v>326</v>
      </c>
      <c r="H104" s="72">
        <f t="shared" si="2"/>
        <v>26600000</v>
      </c>
      <c r="I104" s="73" t="s">
        <v>321</v>
      </c>
      <c r="J104" s="74">
        <v>28100000</v>
      </c>
      <c r="K104" s="75">
        <v>0.1</v>
      </c>
    </row>
    <row r="105" spans="7:11" ht="15">
      <c r="G105" s="71" t="s">
        <v>326</v>
      </c>
      <c r="H105" s="72">
        <f t="shared" si="2"/>
        <v>28100000</v>
      </c>
      <c r="I105" s="73" t="s">
        <v>321</v>
      </c>
      <c r="J105" s="74">
        <v>30100000</v>
      </c>
      <c r="K105" s="75">
        <v>0.11</v>
      </c>
    </row>
    <row r="106" spans="7:11" ht="15">
      <c r="G106" s="71" t="s">
        <v>326</v>
      </c>
      <c r="H106" s="72">
        <f t="shared" si="2"/>
        <v>30100000</v>
      </c>
      <c r="I106" s="73" t="s">
        <v>321</v>
      </c>
      <c r="J106" s="74">
        <v>32600000</v>
      </c>
      <c r="K106" s="75">
        <v>0.12</v>
      </c>
    </row>
    <row r="107" spans="7:11" ht="15">
      <c r="G107" s="71" t="s">
        <v>326</v>
      </c>
      <c r="H107" s="72">
        <f t="shared" si="2"/>
        <v>32600000</v>
      </c>
      <c r="I107" s="73" t="s">
        <v>321</v>
      </c>
      <c r="J107" s="74">
        <v>35400000</v>
      </c>
      <c r="K107" s="75">
        <v>0.13</v>
      </c>
    </row>
    <row r="108" spans="7:11" ht="15">
      <c r="G108" s="71" t="s">
        <v>326</v>
      </c>
      <c r="H108" s="72">
        <f t="shared" si="2"/>
        <v>35400000</v>
      </c>
      <c r="I108" s="73" t="s">
        <v>321</v>
      </c>
      <c r="J108" s="74">
        <v>38900000</v>
      </c>
      <c r="K108" s="75">
        <v>0.14000000000000001</v>
      </c>
    </row>
    <row r="109" spans="7:11" ht="15">
      <c r="G109" s="71" t="s">
        <v>326</v>
      </c>
      <c r="H109" s="72">
        <f t="shared" si="2"/>
        <v>38900000</v>
      </c>
      <c r="I109" s="73" t="s">
        <v>321</v>
      </c>
      <c r="J109" s="74">
        <v>43000000</v>
      </c>
      <c r="K109" s="75">
        <v>0.15</v>
      </c>
    </row>
    <row r="110" spans="7:11" ht="15">
      <c r="G110" s="71" t="s">
        <v>326</v>
      </c>
      <c r="H110" s="72">
        <f t="shared" si="2"/>
        <v>43000000</v>
      </c>
      <c r="I110" s="73" t="s">
        <v>321</v>
      </c>
      <c r="J110" s="74">
        <v>47400000</v>
      </c>
      <c r="K110" s="75">
        <v>0.16</v>
      </c>
    </row>
    <row r="111" spans="7:11" ht="15">
      <c r="G111" s="71" t="s">
        <v>326</v>
      </c>
      <c r="H111" s="72">
        <f t="shared" si="2"/>
        <v>47400000</v>
      </c>
      <c r="I111" s="73" t="s">
        <v>321</v>
      </c>
      <c r="J111" s="74">
        <v>51200000</v>
      </c>
      <c r="K111" s="75">
        <v>0.17</v>
      </c>
    </row>
    <row r="112" spans="7:11" ht="15">
      <c r="G112" s="71" t="s">
        <v>326</v>
      </c>
      <c r="H112" s="72">
        <f t="shared" si="2"/>
        <v>51200000</v>
      </c>
      <c r="I112" s="73" t="s">
        <v>321</v>
      </c>
      <c r="J112" s="74">
        <v>55800000</v>
      </c>
      <c r="K112" s="75">
        <v>0.18</v>
      </c>
    </row>
    <row r="113" spans="7:11" ht="15">
      <c r="G113" s="71" t="s">
        <v>326</v>
      </c>
      <c r="H113" s="72">
        <f t="shared" si="2"/>
        <v>55800000</v>
      </c>
      <c r="I113" s="73" t="s">
        <v>321</v>
      </c>
      <c r="J113" s="74">
        <v>60400000</v>
      </c>
      <c r="K113" s="75">
        <v>0.19</v>
      </c>
    </row>
    <row r="114" spans="7:11" ht="15">
      <c r="G114" s="71" t="s">
        <v>326</v>
      </c>
      <c r="H114" s="72">
        <f t="shared" si="2"/>
        <v>60400000</v>
      </c>
      <c r="I114" s="73" t="s">
        <v>321</v>
      </c>
      <c r="J114" s="74">
        <v>66700000</v>
      </c>
      <c r="K114" s="75">
        <v>0.2</v>
      </c>
    </row>
    <row r="115" spans="7:11" ht="15">
      <c r="G115" s="71" t="s">
        <v>326</v>
      </c>
      <c r="H115" s="72">
        <f t="shared" si="2"/>
        <v>66700000</v>
      </c>
      <c r="I115" s="73" t="s">
        <v>321</v>
      </c>
      <c r="J115" s="74">
        <v>74500000</v>
      </c>
      <c r="K115" s="75">
        <v>0.21</v>
      </c>
    </row>
    <row r="116" spans="7:11" ht="15">
      <c r="G116" s="71" t="s">
        <v>326</v>
      </c>
      <c r="H116" s="72">
        <f t="shared" si="2"/>
        <v>74500000</v>
      </c>
      <c r="I116" s="73" t="s">
        <v>321</v>
      </c>
      <c r="J116" s="74">
        <v>83200000</v>
      </c>
      <c r="K116" s="75">
        <v>0.22</v>
      </c>
    </row>
    <row r="117" spans="7:11" ht="15">
      <c r="G117" s="71" t="s">
        <v>326</v>
      </c>
      <c r="H117" s="72">
        <f t="shared" si="2"/>
        <v>83200000</v>
      </c>
      <c r="I117" s="73" t="s">
        <v>321</v>
      </c>
      <c r="J117" s="74">
        <v>95600000</v>
      </c>
      <c r="K117" s="75">
        <v>0.23</v>
      </c>
    </row>
    <row r="118" spans="7:11" ht="15">
      <c r="G118" s="71" t="s">
        <v>326</v>
      </c>
      <c r="H118" s="72">
        <f t="shared" si="2"/>
        <v>95600000</v>
      </c>
      <c r="I118" s="73" t="s">
        <v>321</v>
      </c>
      <c r="J118" s="74">
        <v>110000000</v>
      </c>
      <c r="K118" s="75">
        <v>0.24</v>
      </c>
    </row>
    <row r="119" spans="7:11" ht="15">
      <c r="G119" s="71" t="s">
        <v>326</v>
      </c>
      <c r="H119" s="72">
        <f t="shared" si="2"/>
        <v>110000000</v>
      </c>
      <c r="I119" s="73" t="s">
        <v>321</v>
      </c>
      <c r="J119" s="74">
        <v>134000000</v>
      </c>
      <c r="K119" s="75">
        <v>0.25</v>
      </c>
    </row>
    <row r="120" spans="7:11" ht="15">
      <c r="G120" s="71" t="s">
        <v>326</v>
      </c>
      <c r="H120" s="72">
        <f t="shared" si="2"/>
        <v>134000000</v>
      </c>
      <c r="I120" s="73" t="s">
        <v>321</v>
      </c>
      <c r="J120" s="74">
        <v>169000000</v>
      </c>
      <c r="K120" s="75">
        <v>0.26</v>
      </c>
    </row>
    <row r="121" spans="7:11" ht="15">
      <c r="G121" s="71" t="s">
        <v>326</v>
      </c>
      <c r="H121" s="72">
        <f t="shared" si="2"/>
        <v>169000000</v>
      </c>
      <c r="I121" s="73" t="s">
        <v>321</v>
      </c>
      <c r="J121" s="74">
        <v>221000000</v>
      </c>
      <c r="K121" s="75">
        <v>0.27</v>
      </c>
    </row>
    <row r="122" spans="7:11" ht="15">
      <c r="G122" s="71" t="s">
        <v>326</v>
      </c>
      <c r="H122" s="72">
        <f t="shared" si="2"/>
        <v>221000000</v>
      </c>
      <c r="I122" s="73" t="s">
        <v>321</v>
      </c>
      <c r="J122" s="74">
        <v>390000000</v>
      </c>
      <c r="K122" s="75">
        <v>0.28000000000000003</v>
      </c>
    </row>
    <row r="123" spans="7:11" ht="15">
      <c r="G123" s="71" t="s">
        <v>326</v>
      </c>
      <c r="H123" s="72">
        <f t="shared" si="2"/>
        <v>390000000</v>
      </c>
      <c r="I123" s="73" t="s">
        <v>321</v>
      </c>
      <c r="J123" s="74">
        <v>463000000</v>
      </c>
      <c r="K123" s="75">
        <v>0.28999999999999998</v>
      </c>
    </row>
    <row r="124" spans="7:11" ht="15">
      <c r="G124" s="71" t="s">
        <v>326</v>
      </c>
      <c r="H124" s="72">
        <f t="shared" si="2"/>
        <v>463000000</v>
      </c>
      <c r="I124" s="73" t="s">
        <v>321</v>
      </c>
      <c r="J124" s="74">
        <v>561000000</v>
      </c>
      <c r="K124" s="75">
        <v>0.3</v>
      </c>
    </row>
    <row r="125" spans="7:11" ht="15">
      <c r="G125" s="71" t="s">
        <v>326</v>
      </c>
      <c r="H125" s="72">
        <f t="shared" si="2"/>
        <v>561000000</v>
      </c>
      <c r="I125" s="73" t="s">
        <v>321</v>
      </c>
      <c r="J125" s="74">
        <v>709000000</v>
      </c>
      <c r="K125" s="75">
        <v>0.31</v>
      </c>
    </row>
    <row r="126" spans="7:11" ht="15">
      <c r="G126" s="71" t="s">
        <v>326</v>
      </c>
      <c r="H126" s="72">
        <f t="shared" si="2"/>
        <v>709000000</v>
      </c>
      <c r="I126" s="73" t="s">
        <v>321</v>
      </c>
      <c r="J126" s="74">
        <v>965000000</v>
      </c>
      <c r="K126" s="75">
        <v>0.32</v>
      </c>
    </row>
    <row r="127" spans="7:11" ht="15">
      <c r="G127" s="71" t="s">
        <v>326</v>
      </c>
      <c r="H127" s="72">
        <f t="shared" si="2"/>
        <v>965000000</v>
      </c>
      <c r="I127" s="73" t="s">
        <v>321</v>
      </c>
      <c r="J127" s="74">
        <v>1419000000</v>
      </c>
      <c r="K127" s="75">
        <v>0.33</v>
      </c>
    </row>
    <row r="128" spans="7:11" ht="15">
      <c r="G128" s="78" t="s">
        <v>326</v>
      </c>
      <c r="H128" s="79">
        <v>1419000000</v>
      </c>
      <c r="I128" s="80"/>
      <c r="J128" s="81"/>
      <c r="K128" s="82">
        <v>0.34</v>
      </c>
    </row>
  </sheetData>
  <mergeCells count="1">
    <mergeCell ref="H3:J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04"/>
  <dimension ref="A1:L22319"/>
  <sheetViews>
    <sheetView topLeftCell="A22212" workbookViewId="0">
      <selection activeCell="A22219" sqref="A22219"/>
    </sheetView>
  </sheetViews>
  <sheetFormatPr defaultColWidth="14.7109375" defaultRowHeight="15.75"/>
  <cols>
    <col min="1" max="1" width="20.7109375" style="31" customWidth="1"/>
    <col min="2" max="2" width="9.5703125" style="31" customWidth="1"/>
    <col min="3" max="3" width="14.7109375" style="31" customWidth="1"/>
    <col min="4" max="4" width="39.140625" style="31" customWidth="1"/>
    <col min="5" max="5" width="11.7109375" style="31" customWidth="1"/>
    <col min="6" max="6" width="12.85546875" style="31" customWidth="1"/>
    <col min="7" max="7" width="24.28515625" style="31" customWidth="1"/>
    <col min="8" max="10" width="14.7109375" style="31" customWidth="1"/>
    <col min="11" max="11" width="22.42578125" style="31" customWidth="1"/>
    <col min="12" max="16384" width="14.7109375" style="31"/>
  </cols>
  <sheetData>
    <row r="1" spans="1:12">
      <c r="A1" s="30">
        <f>wawan!K24</f>
        <v>8138000</v>
      </c>
      <c r="C1" s="31" t="s">
        <v>177</v>
      </c>
    </row>
    <row r="2" spans="1:12">
      <c r="A2" s="32"/>
    </row>
    <row r="3" spans="1:12">
      <c r="J3" s="31">
        <v>0</v>
      </c>
      <c r="K3" s="33" t="s">
        <v>48</v>
      </c>
      <c r="L3" s="31" t="s">
        <v>49</v>
      </c>
    </row>
    <row r="4" spans="1:12">
      <c r="A4" s="34"/>
      <c r="J4" s="31">
        <v>1</v>
      </c>
      <c r="K4" s="33" t="s">
        <v>50</v>
      </c>
      <c r="L4" s="31" t="s">
        <v>51</v>
      </c>
    </row>
    <row r="5" spans="1:12" ht="34.5" customHeight="1">
      <c r="A5" s="255" t="str">
        <f>TRIM(D13&amp;E13&amp;D14&amp;E14&amp;D15&amp;E15&amp;D16&amp;E16&amp;D17&amp;E17&amp;D18&amp;E18&amp;E19&amp;D19&amp;" Only")</f>
        <v>Eight Millions One Hundred Thirty Eight Thousands Only</v>
      </c>
      <c r="B5" s="255"/>
      <c r="C5" s="255"/>
      <c r="D5" s="255"/>
      <c r="E5" s="35"/>
      <c r="F5" s="36"/>
      <c r="J5" s="31">
        <v>2</v>
      </c>
      <c r="K5" s="33" t="s">
        <v>52</v>
      </c>
      <c r="L5" s="31" t="s">
        <v>53</v>
      </c>
    </row>
    <row r="6" spans="1:12">
      <c r="A6" s="37"/>
      <c r="B6" s="37"/>
      <c r="C6" s="37"/>
      <c r="D6" s="37"/>
      <c r="E6" s="35"/>
      <c r="F6" s="36"/>
      <c r="J6" s="31">
        <v>3</v>
      </c>
      <c r="K6" s="33" t="s">
        <v>54</v>
      </c>
      <c r="L6" s="31" t="s">
        <v>55</v>
      </c>
    </row>
    <row r="7" spans="1:12">
      <c r="A7" s="37"/>
      <c r="B7" s="37"/>
      <c r="C7" s="37"/>
      <c r="D7" s="37"/>
      <c r="J7" s="31">
        <v>4</v>
      </c>
      <c r="K7" s="33" t="s">
        <v>56</v>
      </c>
      <c r="L7" s="31" t="s">
        <v>57</v>
      </c>
    </row>
    <row r="8" spans="1:12" ht="31.5" customHeight="1">
      <c r="A8" s="255" t="str">
        <f>TRIM(D23&amp;E23&amp;D24&amp;E24&amp;D25&amp;E25&amp;D26&amp;E26&amp;D27&amp;E27&amp;D28&amp;E28&amp;D29&amp;E29&amp;" Rupiah")</f>
        <v>Delapan Juta Seratus Tiga Puluh Delapan Ribu Rupiah</v>
      </c>
      <c r="B8" s="255"/>
      <c r="C8" s="255"/>
      <c r="D8" s="255"/>
      <c r="E8" s="35"/>
      <c r="F8" s="36"/>
      <c r="J8" s="31">
        <v>5</v>
      </c>
      <c r="K8" s="33" t="s">
        <v>58</v>
      </c>
      <c r="L8" s="31" t="s">
        <v>59</v>
      </c>
    </row>
    <row r="9" spans="1:12">
      <c r="A9" s="35"/>
      <c r="B9" s="35"/>
      <c r="C9" s="35"/>
      <c r="D9" s="35"/>
      <c r="E9" s="35"/>
      <c r="F9" s="36"/>
      <c r="J9" s="31">
        <v>6</v>
      </c>
      <c r="K9" s="33" t="s">
        <v>60</v>
      </c>
      <c r="L9" s="31" t="s">
        <v>61</v>
      </c>
    </row>
    <row r="10" spans="1:12">
      <c r="J10" s="31">
        <v>7</v>
      </c>
      <c r="K10" s="33" t="s">
        <v>62</v>
      </c>
      <c r="L10" s="31" t="s">
        <v>63</v>
      </c>
    </row>
    <row r="11" spans="1:12">
      <c r="J11" s="31">
        <v>8</v>
      </c>
      <c r="K11" s="33" t="s">
        <v>64</v>
      </c>
      <c r="L11" s="31" t="s">
        <v>65</v>
      </c>
    </row>
    <row r="12" spans="1:12">
      <c r="A12" s="38" t="s">
        <v>66</v>
      </c>
      <c r="J12" s="31">
        <v>9</v>
      </c>
      <c r="K12" s="33" t="s">
        <v>67</v>
      </c>
      <c r="L12" s="31" t="s">
        <v>68</v>
      </c>
    </row>
    <row r="13" spans="1:12">
      <c r="A13" s="31" t="s">
        <v>69</v>
      </c>
      <c r="B13" s="39">
        <f>TRUNC(A1/100000000)</f>
        <v>0</v>
      </c>
      <c r="C13" s="31">
        <f>B13*100000000</f>
        <v>0</v>
      </c>
      <c r="D13" s="31" t="str">
        <f t="shared" ref="D13:D19" si="0">IF(B13&lt;1,"",VLOOKUP(B13,$J$3:$K$102,2))</f>
        <v/>
      </c>
      <c r="E13" s="31" t="str">
        <f>IF(B13&lt;1,"",IF(B13&gt;1," Hundreds "," Hundred "))</f>
        <v/>
      </c>
      <c r="J13" s="31">
        <v>10</v>
      </c>
      <c r="K13" s="33" t="s">
        <v>70</v>
      </c>
      <c r="L13" s="31" t="s">
        <v>71</v>
      </c>
    </row>
    <row r="14" spans="1:12">
      <c r="A14" s="31" t="s">
        <v>72</v>
      </c>
      <c r="B14" s="39">
        <f>TRUNC((A1-C13)/1000000)</f>
        <v>8</v>
      </c>
      <c r="C14" s="31">
        <f>B14*1000000</f>
        <v>8000000</v>
      </c>
      <c r="D14" s="31" t="str">
        <f t="shared" si="0"/>
        <v>Eight</v>
      </c>
      <c r="E14" s="31" t="str">
        <f>IF(B13+B14=0,"",IF(B14=1," Million "," Millions "))</f>
        <v xml:space="preserve"> Millions </v>
      </c>
      <c r="J14" s="31">
        <v>11</v>
      </c>
      <c r="K14" s="33" t="s">
        <v>73</v>
      </c>
      <c r="L14" s="31" t="s">
        <v>74</v>
      </c>
    </row>
    <row r="15" spans="1:12">
      <c r="A15" s="31" t="s">
        <v>75</v>
      </c>
      <c r="B15" s="39">
        <f>TRUNC((A1-SUM(C13:C14))/100000)</f>
        <v>1</v>
      </c>
      <c r="C15" s="31">
        <f>B15*100000</f>
        <v>100000</v>
      </c>
      <c r="D15" s="31" t="str">
        <f t="shared" si="0"/>
        <v>One</v>
      </c>
      <c r="E15" s="31" t="str">
        <f>IF(B15&lt;1,"",IF(B15&gt;1," Hundreds "," Hundred "))</f>
        <v xml:space="preserve"> Hundred </v>
      </c>
      <c r="J15" s="31">
        <v>12</v>
      </c>
      <c r="K15" s="33" t="s">
        <v>76</v>
      </c>
      <c r="L15" s="31" t="str">
        <f t="shared" ref="L15:L22" si="1">L5&amp;" Belas"</f>
        <v>Dua Belas</v>
      </c>
    </row>
    <row r="16" spans="1:12">
      <c r="A16" s="33" t="s">
        <v>77</v>
      </c>
      <c r="B16" s="40">
        <f>TRUNC((A1-SUM(C13:C15))/1000)</f>
        <v>38</v>
      </c>
      <c r="C16" s="31">
        <f>B16*1000</f>
        <v>38000</v>
      </c>
      <c r="D16" s="31" t="str">
        <f t="shared" si="0"/>
        <v>Thirty Eight</v>
      </c>
      <c r="E16" s="31" t="str">
        <f>IF(B15+B16=0,"",IF(B16=1," Thousand "," Thousands "))</f>
        <v xml:space="preserve"> Thousands </v>
      </c>
      <c r="J16" s="31">
        <v>13</v>
      </c>
      <c r="K16" s="33" t="s">
        <v>78</v>
      </c>
      <c r="L16" s="31" t="str">
        <f t="shared" si="1"/>
        <v>Tiga Belas</v>
      </c>
    </row>
    <row r="17" spans="1:12">
      <c r="A17" s="33" t="s">
        <v>79</v>
      </c>
      <c r="B17" s="40">
        <f>TRUNC((A1-SUM(C13:C16))/100)</f>
        <v>0</v>
      </c>
      <c r="C17" s="31">
        <f>B17*100</f>
        <v>0</v>
      </c>
      <c r="D17" s="31" t="str">
        <f t="shared" si="0"/>
        <v/>
      </c>
      <c r="E17" s="31" t="str">
        <f>IF(B17&lt;1,"",IF(B17&gt;1," Hundreds "," Hundred "))</f>
        <v/>
      </c>
      <c r="J17" s="31">
        <v>14</v>
      </c>
      <c r="K17" s="33" t="s">
        <v>80</v>
      </c>
      <c r="L17" s="31" t="str">
        <f t="shared" si="1"/>
        <v>Empat Belas</v>
      </c>
    </row>
    <row r="18" spans="1:12">
      <c r="A18" s="33" t="s">
        <v>81</v>
      </c>
      <c r="B18" s="41">
        <f>TRUNC((A1-SUM(C13:C17)))</f>
        <v>0</v>
      </c>
      <c r="C18" s="42">
        <f>B18</f>
        <v>0</v>
      </c>
      <c r="D18" s="31" t="str">
        <f t="shared" si="0"/>
        <v/>
      </c>
      <c r="E18" s="31" t="str">
        <f>IF(SUM(C13:C18)&lt;1,"",IF(B19&lt;1,""," And "))</f>
        <v/>
      </c>
      <c r="J18" s="31">
        <v>15</v>
      </c>
      <c r="K18" s="33" t="s">
        <v>82</v>
      </c>
      <c r="L18" s="31" t="str">
        <f t="shared" si="1"/>
        <v>Lima Belas</v>
      </c>
    </row>
    <row r="19" spans="1:12">
      <c r="A19" s="33" t="s">
        <v>83</v>
      </c>
      <c r="B19" s="40">
        <f>ROUND(A1-SUM(C13:C18),2)*100</f>
        <v>0</v>
      </c>
      <c r="D19" s="43" t="str">
        <f t="shared" si="0"/>
        <v/>
      </c>
      <c r="E19" s="31" t="str">
        <f>IF(B19&lt;1,"",IF(B19=1," Cent "," Cents "))</f>
        <v/>
      </c>
      <c r="J19" s="31">
        <v>16</v>
      </c>
      <c r="K19" s="33" t="s">
        <v>84</v>
      </c>
      <c r="L19" s="31" t="str">
        <f t="shared" si="1"/>
        <v>Enam Belas</v>
      </c>
    </row>
    <row r="20" spans="1:12">
      <c r="J20" s="31">
        <v>17</v>
      </c>
      <c r="K20" s="33" t="s">
        <v>85</v>
      </c>
      <c r="L20" s="31" t="str">
        <f t="shared" si="1"/>
        <v>Tujuh Belas</v>
      </c>
    </row>
    <row r="21" spans="1:12">
      <c r="A21" s="44"/>
      <c r="J21" s="31">
        <v>18</v>
      </c>
      <c r="K21" s="33" t="s">
        <v>86</v>
      </c>
      <c r="L21" s="31" t="str">
        <f t="shared" si="1"/>
        <v>Delapan Belas</v>
      </c>
    </row>
    <row r="22" spans="1:12">
      <c r="A22" s="38" t="s">
        <v>87</v>
      </c>
      <c r="J22" s="31">
        <v>19</v>
      </c>
      <c r="K22" s="33" t="s">
        <v>88</v>
      </c>
      <c r="L22" s="31" t="str">
        <f t="shared" si="1"/>
        <v>Sembilan Belas</v>
      </c>
    </row>
    <row r="23" spans="1:12">
      <c r="A23" s="31" t="s">
        <v>69</v>
      </c>
      <c r="B23" s="39">
        <f>TRUNC(A1/100000000)</f>
        <v>0</v>
      </c>
      <c r="C23" s="31">
        <f>B23*100000000</f>
        <v>0</v>
      </c>
      <c r="D23" s="31" t="str">
        <f>IF(B23&lt;1,"",IF(B23=1,"",VLOOKUP(B23,$J$3:$L$102,3)))</f>
        <v/>
      </c>
      <c r="E23" s="31" t="str">
        <f>IF(B23&lt;1,"",IF(B23=1,"Seratus "," Ratus "))</f>
        <v/>
      </c>
      <c r="J23" s="31">
        <v>20</v>
      </c>
      <c r="K23" s="33" t="s">
        <v>89</v>
      </c>
      <c r="L23" s="31" t="s">
        <v>90</v>
      </c>
    </row>
    <row r="24" spans="1:12">
      <c r="A24" s="31" t="s">
        <v>72</v>
      </c>
      <c r="B24" s="39">
        <f>TRUNC((A1-C23)/1000000)</f>
        <v>8</v>
      </c>
      <c r="C24" s="31">
        <f>B24*1000000</f>
        <v>8000000</v>
      </c>
      <c r="D24" s="31" t="str">
        <f>IF(B24&lt;1,"",VLOOKUP(B24,$J$3:$L$102,3))</f>
        <v>Delapan</v>
      </c>
      <c r="E24" s="31" t="str">
        <f>IF(B23+B24=0,""," Juta ")</f>
        <v xml:space="preserve"> Juta </v>
      </c>
      <c r="J24" s="31">
        <v>21</v>
      </c>
      <c r="K24" s="33" t="s">
        <v>91</v>
      </c>
      <c r="L24" s="31" t="str">
        <f t="shared" ref="L24:L32" si="2">$L$23&amp;" "&amp;L4</f>
        <v>Dua Puluh Satu</v>
      </c>
    </row>
    <row r="25" spans="1:12">
      <c r="A25" s="31" t="s">
        <v>75</v>
      </c>
      <c r="B25" s="39">
        <f>TRUNC((A1-SUM(C23:C24))/100000)</f>
        <v>1</v>
      </c>
      <c r="C25" s="31">
        <f>B25*100000</f>
        <v>100000</v>
      </c>
      <c r="D25" s="31" t="str">
        <f>IF(B25&lt;1,"",IF(B25=1,"",VLOOKUP(B25,$J$3:$L$102,3)))</f>
        <v/>
      </c>
      <c r="E25" s="31" t="str">
        <f>IF(B25&lt;1,"",IF(B25=1," Seratus "," Ratus "))</f>
        <v xml:space="preserve"> Seratus </v>
      </c>
      <c r="J25" s="31">
        <v>22</v>
      </c>
      <c r="K25" s="33" t="s">
        <v>92</v>
      </c>
      <c r="L25" s="31" t="str">
        <f t="shared" si="2"/>
        <v>Dua Puluh Dua</v>
      </c>
    </row>
    <row r="26" spans="1:12">
      <c r="A26" s="33" t="s">
        <v>77</v>
      </c>
      <c r="B26" s="40">
        <f>TRUNC((A1-SUM(C23:C25))/1000)</f>
        <v>38</v>
      </c>
      <c r="C26" s="31">
        <f>B26*1000</f>
        <v>38000</v>
      </c>
      <c r="D26" s="31" t="str">
        <f>IF(B26&lt;1,"",IF(B26=1,"",VLOOKUP(B26,$J$3:$L$102,3)))</f>
        <v>Tiga Puluh Delapan</v>
      </c>
      <c r="E26" s="31" t="str">
        <f>IF(B25+B26&lt;1,"",IF(B26=1," Seribu "," Ribu "))</f>
        <v xml:space="preserve"> Ribu </v>
      </c>
      <c r="J26" s="31">
        <v>23</v>
      </c>
      <c r="K26" s="33" t="s">
        <v>93</v>
      </c>
      <c r="L26" s="31" t="str">
        <f t="shared" si="2"/>
        <v>Dua Puluh Tiga</v>
      </c>
    </row>
    <row r="27" spans="1:12">
      <c r="A27" s="33" t="s">
        <v>79</v>
      </c>
      <c r="B27" s="40">
        <f>TRUNC((A1-SUM(C23:C26))/100)</f>
        <v>0</v>
      </c>
      <c r="C27" s="31">
        <f>B27*100</f>
        <v>0</v>
      </c>
      <c r="D27" s="31" t="str">
        <f>IF(B27&lt;1,"",IF(B27=1,"",VLOOKUP(B27,$J$3:$L$102,3)))</f>
        <v/>
      </c>
      <c r="E27" s="31" t="str">
        <f>IF(B27&lt;1,"",IF(B27=1," Seratus "," Ratus "))</f>
        <v/>
      </c>
      <c r="J27" s="31">
        <v>24</v>
      </c>
      <c r="K27" s="33" t="s">
        <v>94</v>
      </c>
      <c r="L27" s="31" t="str">
        <f t="shared" si="2"/>
        <v>Dua Puluh Empat</v>
      </c>
    </row>
    <row r="28" spans="1:12">
      <c r="A28" s="33" t="s">
        <v>81</v>
      </c>
      <c r="B28" s="41">
        <f>TRUNC((A1-SUM(C23:C27)))</f>
        <v>0</v>
      </c>
      <c r="C28" s="42">
        <f>B28</f>
        <v>0</v>
      </c>
      <c r="D28" s="31" t="str">
        <f>IF(B28&lt;1,"",VLOOKUP(B28,$J$3:$L$102,3))</f>
        <v/>
      </c>
      <c r="E28" s="31" t="str">
        <f>IF(SUM(C23:C28)&lt;1,"",IF(B29&lt;1,""," Dan "))</f>
        <v/>
      </c>
      <c r="J28" s="31">
        <v>25</v>
      </c>
      <c r="K28" s="33" t="s">
        <v>95</v>
      </c>
      <c r="L28" s="31" t="str">
        <f t="shared" si="2"/>
        <v>Dua Puluh Lima</v>
      </c>
    </row>
    <row r="29" spans="1:12">
      <c r="A29" s="33" t="s">
        <v>83</v>
      </c>
      <c r="B29" s="40">
        <f>ROUND(A1-SUM(C23:C28),2)*100</f>
        <v>0</v>
      </c>
      <c r="D29" s="31" t="str">
        <f>IF(B29&lt;1,"",VLOOKUP(B29,$J$3:$L$102,3))</f>
        <v/>
      </c>
      <c r="E29" s="31" t="str">
        <f>IF(B29&lt;1,""," Sen ")</f>
        <v/>
      </c>
      <c r="J29" s="31">
        <v>26</v>
      </c>
      <c r="K29" s="33" t="s">
        <v>96</v>
      </c>
      <c r="L29" s="31" t="str">
        <f t="shared" si="2"/>
        <v>Dua Puluh Enam</v>
      </c>
    </row>
    <row r="30" spans="1:12">
      <c r="J30" s="31">
        <v>27</v>
      </c>
      <c r="K30" s="33" t="s">
        <v>97</v>
      </c>
      <c r="L30" s="31" t="str">
        <f t="shared" si="2"/>
        <v>Dua Puluh Tujuh</v>
      </c>
    </row>
    <row r="31" spans="1:12">
      <c r="J31" s="31">
        <v>28</v>
      </c>
      <c r="K31" s="33" t="s">
        <v>98</v>
      </c>
      <c r="L31" s="31" t="str">
        <f t="shared" si="2"/>
        <v>Dua Puluh Delapan</v>
      </c>
    </row>
    <row r="32" spans="1:12">
      <c r="J32" s="31">
        <v>29</v>
      </c>
      <c r="K32" s="33" t="s">
        <v>99</v>
      </c>
      <c r="L32" s="31" t="str">
        <f t="shared" si="2"/>
        <v>Dua Puluh Sembilan</v>
      </c>
    </row>
    <row r="33" spans="1:12">
      <c r="J33" s="31">
        <v>30</v>
      </c>
      <c r="K33" s="33" t="s">
        <v>100</v>
      </c>
      <c r="L33" s="31" t="s">
        <v>101</v>
      </c>
    </row>
    <row r="34" spans="1:12">
      <c r="J34" s="31">
        <v>31</v>
      </c>
      <c r="K34" s="33" t="s">
        <v>102</v>
      </c>
      <c r="L34" s="31" t="str">
        <f t="shared" ref="L34:L42" si="3">$L$33&amp;" "&amp;L4</f>
        <v>Tiga Puluh Satu</v>
      </c>
    </row>
    <row r="35" spans="1:12">
      <c r="J35" s="31">
        <v>32</v>
      </c>
      <c r="K35" s="33" t="s">
        <v>103</v>
      </c>
      <c r="L35" s="31" t="str">
        <f t="shared" si="3"/>
        <v>Tiga Puluh Dua</v>
      </c>
    </row>
    <row r="36" spans="1:12" ht="15.75" customHeight="1">
      <c r="J36" s="31">
        <v>33</v>
      </c>
      <c r="K36" s="33" t="s">
        <v>104</v>
      </c>
      <c r="L36" s="31" t="str">
        <f t="shared" si="3"/>
        <v>Tiga Puluh Tiga</v>
      </c>
    </row>
    <row r="37" spans="1:12">
      <c r="J37" s="31">
        <v>34</v>
      </c>
      <c r="K37" s="33" t="s">
        <v>105</v>
      </c>
      <c r="L37" s="31" t="str">
        <f t="shared" si="3"/>
        <v>Tiga Puluh Empat</v>
      </c>
    </row>
    <row r="38" spans="1:12">
      <c r="J38" s="31">
        <v>35</v>
      </c>
      <c r="K38" s="33" t="s">
        <v>106</v>
      </c>
      <c r="L38" s="31" t="str">
        <f t="shared" si="3"/>
        <v>Tiga Puluh Lima</v>
      </c>
    </row>
    <row r="39" spans="1:12">
      <c r="J39" s="31">
        <v>36</v>
      </c>
      <c r="K39" s="33" t="s">
        <v>107</v>
      </c>
      <c r="L39" s="31" t="str">
        <f t="shared" si="3"/>
        <v>Tiga Puluh Enam</v>
      </c>
    </row>
    <row r="40" spans="1:12">
      <c r="J40" s="31">
        <v>37</v>
      </c>
      <c r="K40" s="33" t="s">
        <v>108</v>
      </c>
      <c r="L40" s="31" t="str">
        <f t="shared" si="3"/>
        <v>Tiga Puluh Tujuh</v>
      </c>
    </row>
    <row r="41" spans="1:12">
      <c r="J41" s="31">
        <v>38</v>
      </c>
      <c r="K41" s="33" t="s">
        <v>109</v>
      </c>
      <c r="L41" s="31" t="str">
        <f t="shared" si="3"/>
        <v>Tiga Puluh Delapan</v>
      </c>
    </row>
    <row r="42" spans="1:12">
      <c r="J42" s="31">
        <v>39</v>
      </c>
      <c r="K42" s="33" t="s">
        <v>110</v>
      </c>
      <c r="L42" s="31" t="str">
        <f t="shared" si="3"/>
        <v>Tiga Puluh Sembilan</v>
      </c>
    </row>
    <row r="43" spans="1:12">
      <c r="B43" s="35"/>
      <c r="C43" s="35"/>
      <c r="D43" s="35"/>
      <c r="J43" s="31">
        <v>40</v>
      </c>
      <c r="K43" s="33" t="s">
        <v>111</v>
      </c>
      <c r="L43" s="31" t="s">
        <v>112</v>
      </c>
    </row>
    <row r="44" spans="1:12">
      <c r="A44" s="35"/>
      <c r="B44" s="35"/>
      <c r="C44" s="35"/>
      <c r="D44" s="35"/>
      <c r="J44" s="31">
        <v>41</v>
      </c>
      <c r="K44" s="33" t="s">
        <v>113</v>
      </c>
      <c r="L44" s="31" t="str">
        <f t="shared" ref="L44:L52" si="4">$L$43&amp;" "&amp;L4</f>
        <v>Empat Puluh Satu</v>
      </c>
    </row>
    <row r="45" spans="1:12">
      <c r="J45" s="31">
        <v>42</v>
      </c>
      <c r="K45" s="33" t="s">
        <v>114</v>
      </c>
      <c r="L45" s="31" t="str">
        <f t="shared" si="4"/>
        <v>Empat Puluh Dua</v>
      </c>
    </row>
    <row r="46" spans="1:12">
      <c r="A46" s="38"/>
      <c r="J46" s="31">
        <v>43</v>
      </c>
      <c r="K46" s="33" t="s">
        <v>115</v>
      </c>
      <c r="L46" s="31" t="str">
        <f t="shared" si="4"/>
        <v>Empat Puluh Tiga</v>
      </c>
    </row>
    <row r="47" spans="1:12">
      <c r="J47" s="31">
        <v>44</v>
      </c>
      <c r="K47" s="33" t="s">
        <v>116</v>
      </c>
      <c r="L47" s="31" t="str">
        <f t="shared" si="4"/>
        <v>Empat Puluh Empat</v>
      </c>
    </row>
    <row r="48" spans="1:12">
      <c r="J48" s="31">
        <v>45</v>
      </c>
      <c r="K48" s="33" t="s">
        <v>117</v>
      </c>
      <c r="L48" s="31" t="str">
        <f t="shared" si="4"/>
        <v>Empat Puluh Lima</v>
      </c>
    </row>
    <row r="49" spans="10:12">
      <c r="J49" s="31">
        <v>46</v>
      </c>
      <c r="K49" s="33" t="s">
        <v>118</v>
      </c>
      <c r="L49" s="31" t="str">
        <f t="shared" si="4"/>
        <v>Empat Puluh Enam</v>
      </c>
    </row>
    <row r="50" spans="10:12">
      <c r="J50" s="31">
        <v>47</v>
      </c>
      <c r="K50" s="33" t="s">
        <v>119</v>
      </c>
      <c r="L50" s="31" t="str">
        <f t="shared" si="4"/>
        <v>Empat Puluh Tujuh</v>
      </c>
    </row>
    <row r="51" spans="10:12">
      <c r="J51" s="31">
        <v>48</v>
      </c>
      <c r="K51" s="33" t="s">
        <v>120</v>
      </c>
      <c r="L51" s="31" t="str">
        <f t="shared" si="4"/>
        <v>Empat Puluh Delapan</v>
      </c>
    </row>
    <row r="52" spans="10:12">
      <c r="J52" s="31">
        <v>49</v>
      </c>
      <c r="K52" s="33" t="s">
        <v>121</v>
      </c>
      <c r="L52" s="31" t="str">
        <f t="shared" si="4"/>
        <v>Empat Puluh Sembilan</v>
      </c>
    </row>
    <row r="53" spans="10:12">
      <c r="J53" s="31">
        <v>50</v>
      </c>
      <c r="K53" s="33" t="s">
        <v>122</v>
      </c>
      <c r="L53" s="31" t="s">
        <v>123</v>
      </c>
    </row>
    <row r="54" spans="10:12">
      <c r="J54" s="31">
        <v>51</v>
      </c>
      <c r="K54" s="33" t="s">
        <v>124</v>
      </c>
      <c r="L54" s="31" t="str">
        <f t="shared" ref="L54:L62" si="5">$L$53&amp;" "&amp;L4</f>
        <v>Lima Puluh Satu</v>
      </c>
    </row>
    <row r="55" spans="10:12">
      <c r="J55" s="31">
        <v>52</v>
      </c>
      <c r="K55" s="33" t="s">
        <v>125</v>
      </c>
      <c r="L55" s="31" t="str">
        <f t="shared" si="5"/>
        <v>Lima Puluh Dua</v>
      </c>
    </row>
    <row r="56" spans="10:12">
      <c r="J56" s="31">
        <v>53</v>
      </c>
      <c r="K56" s="33" t="s">
        <v>126</v>
      </c>
      <c r="L56" s="31" t="str">
        <f t="shared" si="5"/>
        <v>Lima Puluh Tiga</v>
      </c>
    </row>
    <row r="57" spans="10:12">
      <c r="J57" s="31">
        <v>54</v>
      </c>
      <c r="K57" s="33" t="s">
        <v>127</v>
      </c>
      <c r="L57" s="31" t="str">
        <f t="shared" si="5"/>
        <v>Lima Puluh Empat</v>
      </c>
    </row>
    <row r="58" spans="10:12">
      <c r="J58" s="31">
        <v>55</v>
      </c>
      <c r="K58" s="33" t="s">
        <v>128</v>
      </c>
      <c r="L58" s="31" t="str">
        <f t="shared" si="5"/>
        <v>Lima Puluh Lima</v>
      </c>
    </row>
    <row r="59" spans="10:12">
      <c r="J59" s="31">
        <v>56</v>
      </c>
      <c r="K59" s="33" t="s">
        <v>129</v>
      </c>
      <c r="L59" s="31" t="str">
        <f t="shared" si="5"/>
        <v>Lima Puluh Enam</v>
      </c>
    </row>
    <row r="60" spans="10:12">
      <c r="J60" s="31">
        <v>57</v>
      </c>
      <c r="K60" s="33" t="s">
        <v>130</v>
      </c>
      <c r="L60" s="31" t="str">
        <f t="shared" si="5"/>
        <v>Lima Puluh Tujuh</v>
      </c>
    </row>
    <row r="61" spans="10:12">
      <c r="J61" s="31">
        <v>58</v>
      </c>
      <c r="K61" s="33" t="s">
        <v>131</v>
      </c>
      <c r="L61" s="31" t="str">
        <f t="shared" si="5"/>
        <v>Lima Puluh Delapan</v>
      </c>
    </row>
    <row r="62" spans="10:12">
      <c r="J62" s="31">
        <v>59</v>
      </c>
      <c r="K62" s="33" t="s">
        <v>132</v>
      </c>
      <c r="L62" s="31" t="str">
        <f t="shared" si="5"/>
        <v>Lima Puluh Sembilan</v>
      </c>
    </row>
    <row r="63" spans="10:12">
      <c r="J63" s="31">
        <v>60</v>
      </c>
      <c r="K63" s="33" t="s">
        <v>133</v>
      </c>
      <c r="L63" s="31" t="s">
        <v>134</v>
      </c>
    </row>
    <row r="64" spans="10:12">
      <c r="J64" s="31">
        <v>61</v>
      </c>
      <c r="K64" s="33" t="s">
        <v>135</v>
      </c>
      <c r="L64" s="31" t="str">
        <f t="shared" ref="L64:L72" si="6">$L$63&amp;" "&amp;L4</f>
        <v>Enam Puluh Satu</v>
      </c>
    </row>
    <row r="65" spans="10:12">
      <c r="J65" s="31">
        <v>62</v>
      </c>
      <c r="K65" s="33" t="s">
        <v>136</v>
      </c>
      <c r="L65" s="31" t="str">
        <f t="shared" si="6"/>
        <v>Enam Puluh Dua</v>
      </c>
    </row>
    <row r="66" spans="10:12">
      <c r="J66" s="31">
        <v>63</v>
      </c>
      <c r="K66" s="33" t="s">
        <v>137</v>
      </c>
      <c r="L66" s="31" t="str">
        <f t="shared" si="6"/>
        <v>Enam Puluh Tiga</v>
      </c>
    </row>
    <row r="67" spans="10:12">
      <c r="J67" s="31">
        <v>64</v>
      </c>
      <c r="K67" s="33" t="s">
        <v>138</v>
      </c>
      <c r="L67" s="31" t="str">
        <f t="shared" si="6"/>
        <v>Enam Puluh Empat</v>
      </c>
    </row>
    <row r="68" spans="10:12">
      <c r="J68" s="31">
        <v>65</v>
      </c>
      <c r="K68" s="33" t="s">
        <v>139</v>
      </c>
      <c r="L68" s="31" t="str">
        <f t="shared" si="6"/>
        <v>Enam Puluh Lima</v>
      </c>
    </row>
    <row r="69" spans="10:12">
      <c r="J69" s="31">
        <v>66</v>
      </c>
      <c r="K69" s="33" t="s">
        <v>140</v>
      </c>
      <c r="L69" s="31" t="str">
        <f t="shared" si="6"/>
        <v>Enam Puluh Enam</v>
      </c>
    </row>
    <row r="70" spans="10:12">
      <c r="J70" s="31">
        <v>67</v>
      </c>
      <c r="K70" s="33" t="s">
        <v>141</v>
      </c>
      <c r="L70" s="31" t="str">
        <f t="shared" si="6"/>
        <v>Enam Puluh Tujuh</v>
      </c>
    </row>
    <row r="71" spans="10:12">
      <c r="J71" s="31">
        <v>68</v>
      </c>
      <c r="K71" s="33" t="s">
        <v>142</v>
      </c>
      <c r="L71" s="31" t="str">
        <f t="shared" si="6"/>
        <v>Enam Puluh Delapan</v>
      </c>
    </row>
    <row r="72" spans="10:12">
      <c r="J72" s="31">
        <v>69</v>
      </c>
      <c r="K72" s="33" t="s">
        <v>143</v>
      </c>
      <c r="L72" s="31" t="str">
        <f t="shared" si="6"/>
        <v>Enam Puluh Sembilan</v>
      </c>
    </row>
    <row r="73" spans="10:12">
      <c r="J73" s="31">
        <v>70</v>
      </c>
      <c r="K73" s="33" t="s">
        <v>144</v>
      </c>
      <c r="L73" s="31" t="s">
        <v>145</v>
      </c>
    </row>
    <row r="74" spans="10:12">
      <c r="J74" s="31">
        <v>71</v>
      </c>
      <c r="K74" s="33" t="s">
        <v>146</v>
      </c>
      <c r="L74" s="31" t="str">
        <f t="shared" ref="L74:L82" si="7">$L$73&amp;" "&amp;L4</f>
        <v>Tujuh Puluh Satu</v>
      </c>
    </row>
    <row r="75" spans="10:12">
      <c r="J75" s="31">
        <v>72</v>
      </c>
      <c r="K75" s="33" t="s">
        <v>147</v>
      </c>
      <c r="L75" s="31" t="str">
        <f t="shared" si="7"/>
        <v>Tujuh Puluh Dua</v>
      </c>
    </row>
    <row r="76" spans="10:12">
      <c r="J76" s="31">
        <v>73</v>
      </c>
      <c r="K76" s="33" t="s">
        <v>148</v>
      </c>
      <c r="L76" s="31" t="str">
        <f t="shared" si="7"/>
        <v>Tujuh Puluh Tiga</v>
      </c>
    </row>
    <row r="77" spans="10:12">
      <c r="J77" s="31">
        <v>74</v>
      </c>
      <c r="K77" s="33" t="s">
        <v>149</v>
      </c>
      <c r="L77" s="31" t="str">
        <f t="shared" si="7"/>
        <v>Tujuh Puluh Empat</v>
      </c>
    </row>
    <row r="78" spans="10:12">
      <c r="J78" s="31">
        <v>75</v>
      </c>
      <c r="K78" s="33" t="s">
        <v>150</v>
      </c>
      <c r="L78" s="31" t="str">
        <f t="shared" si="7"/>
        <v>Tujuh Puluh Lima</v>
      </c>
    </row>
    <row r="79" spans="10:12">
      <c r="J79" s="31">
        <v>76</v>
      </c>
      <c r="K79" s="33" t="s">
        <v>151</v>
      </c>
      <c r="L79" s="31" t="str">
        <f t="shared" si="7"/>
        <v>Tujuh Puluh Enam</v>
      </c>
    </row>
    <row r="80" spans="10:12">
      <c r="J80" s="31">
        <v>77</v>
      </c>
      <c r="K80" s="33" t="s">
        <v>152</v>
      </c>
      <c r="L80" s="31" t="str">
        <f t="shared" si="7"/>
        <v>Tujuh Puluh Tujuh</v>
      </c>
    </row>
    <row r="81" spans="10:12">
      <c r="J81" s="31">
        <v>78</v>
      </c>
      <c r="K81" s="33" t="s">
        <v>153</v>
      </c>
      <c r="L81" s="31" t="str">
        <f t="shared" si="7"/>
        <v>Tujuh Puluh Delapan</v>
      </c>
    </row>
    <row r="82" spans="10:12">
      <c r="J82" s="31">
        <v>79</v>
      </c>
      <c r="K82" s="33" t="s">
        <v>154</v>
      </c>
      <c r="L82" s="31" t="str">
        <f t="shared" si="7"/>
        <v>Tujuh Puluh Sembilan</v>
      </c>
    </row>
    <row r="83" spans="10:12">
      <c r="J83" s="31">
        <v>80</v>
      </c>
      <c r="K83" s="33" t="s">
        <v>155</v>
      </c>
      <c r="L83" s="31" t="s">
        <v>156</v>
      </c>
    </row>
    <row r="84" spans="10:12">
      <c r="J84" s="31">
        <v>81</v>
      </c>
      <c r="K84" s="33" t="s">
        <v>157</v>
      </c>
      <c r="L84" s="31" t="str">
        <f t="shared" ref="L84:L92" si="8">$L$83&amp;" "&amp;L4</f>
        <v>Delapan Puluh Satu</v>
      </c>
    </row>
    <row r="85" spans="10:12">
      <c r="J85" s="31">
        <v>82</v>
      </c>
      <c r="K85" s="33" t="s">
        <v>158</v>
      </c>
      <c r="L85" s="31" t="str">
        <f t="shared" si="8"/>
        <v>Delapan Puluh Dua</v>
      </c>
    </row>
    <row r="86" spans="10:12">
      <c r="J86" s="31">
        <v>83</v>
      </c>
      <c r="K86" s="33" t="s">
        <v>159</v>
      </c>
      <c r="L86" s="31" t="str">
        <f t="shared" si="8"/>
        <v>Delapan Puluh Tiga</v>
      </c>
    </row>
    <row r="87" spans="10:12">
      <c r="J87" s="31">
        <v>84</v>
      </c>
      <c r="K87" s="33" t="s">
        <v>160</v>
      </c>
      <c r="L87" s="31" t="str">
        <f t="shared" si="8"/>
        <v>Delapan Puluh Empat</v>
      </c>
    </row>
    <row r="88" spans="10:12">
      <c r="J88" s="31">
        <v>85</v>
      </c>
      <c r="K88" s="33" t="s">
        <v>161</v>
      </c>
      <c r="L88" s="31" t="str">
        <f t="shared" si="8"/>
        <v>Delapan Puluh Lima</v>
      </c>
    </row>
    <row r="89" spans="10:12">
      <c r="J89" s="31">
        <v>86</v>
      </c>
      <c r="K89" s="33" t="s">
        <v>162</v>
      </c>
      <c r="L89" s="31" t="str">
        <f t="shared" si="8"/>
        <v>Delapan Puluh Enam</v>
      </c>
    </row>
    <row r="90" spans="10:12">
      <c r="J90" s="31">
        <v>87</v>
      </c>
      <c r="K90" s="33" t="s">
        <v>163</v>
      </c>
      <c r="L90" s="31" t="str">
        <f t="shared" si="8"/>
        <v>Delapan Puluh Tujuh</v>
      </c>
    </row>
    <row r="91" spans="10:12">
      <c r="J91" s="31">
        <v>88</v>
      </c>
      <c r="K91" s="33" t="s">
        <v>164</v>
      </c>
      <c r="L91" s="31" t="str">
        <f t="shared" si="8"/>
        <v>Delapan Puluh Delapan</v>
      </c>
    </row>
    <row r="92" spans="10:12">
      <c r="J92" s="31">
        <v>89</v>
      </c>
      <c r="K92" s="33" t="s">
        <v>165</v>
      </c>
      <c r="L92" s="31" t="str">
        <f t="shared" si="8"/>
        <v>Delapan Puluh Sembilan</v>
      </c>
    </row>
    <row r="93" spans="10:12">
      <c r="J93" s="31">
        <v>90</v>
      </c>
      <c r="K93" s="33" t="s">
        <v>166</v>
      </c>
      <c r="L93" s="31" t="s">
        <v>167</v>
      </c>
    </row>
    <row r="94" spans="10:12">
      <c r="J94" s="31">
        <v>91</v>
      </c>
      <c r="K94" s="33" t="s">
        <v>168</v>
      </c>
      <c r="L94" s="31" t="str">
        <f t="shared" ref="L94:L102" si="9">$L$93&amp;" "&amp;L4</f>
        <v>Sembilan Puluh Satu</v>
      </c>
    </row>
    <row r="95" spans="10:12">
      <c r="J95" s="31">
        <v>92</v>
      </c>
      <c r="K95" s="33" t="s">
        <v>169</v>
      </c>
      <c r="L95" s="31" t="str">
        <f t="shared" si="9"/>
        <v>Sembilan Puluh Dua</v>
      </c>
    </row>
    <row r="96" spans="10:12">
      <c r="J96" s="31">
        <v>93</v>
      </c>
      <c r="K96" s="33" t="s">
        <v>170</v>
      </c>
      <c r="L96" s="31" t="str">
        <f t="shared" si="9"/>
        <v>Sembilan Puluh Tiga</v>
      </c>
    </row>
    <row r="97" spans="1:12">
      <c r="J97" s="31">
        <v>94</v>
      </c>
      <c r="K97" s="33" t="s">
        <v>171</v>
      </c>
      <c r="L97" s="31" t="str">
        <f t="shared" si="9"/>
        <v>Sembilan Puluh Empat</v>
      </c>
    </row>
    <row r="98" spans="1:12">
      <c r="J98" s="31">
        <v>95</v>
      </c>
      <c r="K98" s="33" t="s">
        <v>172</v>
      </c>
      <c r="L98" s="31" t="str">
        <f t="shared" si="9"/>
        <v>Sembilan Puluh Lima</v>
      </c>
    </row>
    <row r="99" spans="1:12">
      <c r="J99" s="31">
        <v>96</v>
      </c>
      <c r="K99" s="33" t="s">
        <v>173</v>
      </c>
      <c r="L99" s="31" t="str">
        <f t="shared" si="9"/>
        <v>Sembilan Puluh Enam</v>
      </c>
    </row>
    <row r="100" spans="1:12">
      <c r="J100" s="31">
        <v>97</v>
      </c>
      <c r="K100" s="33" t="s">
        <v>174</v>
      </c>
      <c r="L100" s="31" t="str">
        <f t="shared" si="9"/>
        <v>Sembilan Puluh Tujuh</v>
      </c>
    </row>
    <row r="101" spans="1:12">
      <c r="J101" s="31">
        <v>98</v>
      </c>
      <c r="K101" s="33" t="s">
        <v>175</v>
      </c>
      <c r="L101" s="31" t="str">
        <f t="shared" si="9"/>
        <v>Sembilan Puluh Delapan</v>
      </c>
    </row>
    <row r="102" spans="1:12">
      <c r="J102" s="31">
        <v>99</v>
      </c>
      <c r="K102" s="33" t="s">
        <v>176</v>
      </c>
      <c r="L102" s="31" t="str">
        <f t="shared" si="9"/>
        <v>Sembilan Puluh Sembilan</v>
      </c>
    </row>
    <row r="103" spans="1:12">
      <c r="A103" s="30">
        <f>harjono!K24</f>
        <v>3809000</v>
      </c>
      <c r="C103" s="31" t="s">
        <v>42</v>
      </c>
    </row>
    <row r="104" spans="1:12">
      <c r="A104" s="32"/>
    </row>
    <row r="105" spans="1:12">
      <c r="J105" s="31">
        <v>0</v>
      </c>
      <c r="K105" s="33" t="s">
        <v>48</v>
      </c>
      <c r="L105" s="31" t="s">
        <v>49</v>
      </c>
    </row>
    <row r="106" spans="1:12">
      <c r="A106" s="34"/>
      <c r="J106" s="31">
        <v>1</v>
      </c>
      <c r="K106" s="33" t="s">
        <v>50</v>
      </c>
      <c r="L106" s="31" t="s">
        <v>51</v>
      </c>
    </row>
    <row r="107" spans="1:12">
      <c r="A107" s="255" t="str">
        <f>TRIM(D115&amp;E115&amp;D116&amp;E116&amp;D117&amp;E117&amp;D118&amp;E118&amp;D119&amp;E119&amp;D120&amp;E120&amp;E121&amp;D121&amp;" Only")</f>
        <v>Three Millions Eight Hundreds Nine Thousands Only</v>
      </c>
      <c r="B107" s="255"/>
      <c r="C107" s="255"/>
      <c r="D107" s="255"/>
      <c r="E107" s="35"/>
      <c r="F107" s="36"/>
      <c r="J107" s="31">
        <v>2</v>
      </c>
      <c r="K107" s="33" t="s">
        <v>52</v>
      </c>
      <c r="L107" s="31" t="s">
        <v>53</v>
      </c>
    </row>
    <row r="108" spans="1:12">
      <c r="A108" s="37"/>
      <c r="B108" s="37"/>
      <c r="C108" s="37"/>
      <c r="D108" s="37"/>
      <c r="E108" s="35"/>
      <c r="F108" s="36"/>
      <c r="J108" s="31">
        <v>3</v>
      </c>
      <c r="K108" s="33" t="s">
        <v>54</v>
      </c>
      <c r="L108" s="31" t="s">
        <v>55</v>
      </c>
    </row>
    <row r="109" spans="1:12">
      <c r="A109" s="37"/>
      <c r="B109" s="37"/>
      <c r="C109" s="37"/>
      <c r="D109" s="37"/>
      <c r="J109" s="31">
        <v>4</v>
      </c>
      <c r="K109" s="33" t="s">
        <v>56</v>
      </c>
      <c r="L109" s="31" t="s">
        <v>57</v>
      </c>
    </row>
    <row r="110" spans="1:12">
      <c r="A110" s="255" t="str">
        <f>TRIM(D125&amp;E125&amp;D126&amp;E126&amp;D127&amp;E127&amp;D128&amp;E128&amp;D129&amp;E129&amp;D130&amp;E130&amp;D131&amp;E131&amp;" Rupiah")</f>
        <v>Tiga Juta Delapan Ratus Sembilan Ribu Rupiah</v>
      </c>
      <c r="B110" s="255"/>
      <c r="C110" s="255"/>
      <c r="D110" s="255"/>
      <c r="E110" s="35"/>
      <c r="F110" s="36"/>
      <c r="J110" s="31">
        <v>5</v>
      </c>
      <c r="K110" s="33" t="s">
        <v>58</v>
      </c>
      <c r="L110" s="31" t="s">
        <v>59</v>
      </c>
    </row>
    <row r="111" spans="1:12">
      <c r="A111" s="35"/>
      <c r="B111" s="35"/>
      <c r="C111" s="35"/>
      <c r="D111" s="35"/>
      <c r="E111" s="35"/>
      <c r="F111" s="36"/>
      <c r="J111" s="31">
        <v>6</v>
      </c>
      <c r="K111" s="33" t="s">
        <v>60</v>
      </c>
      <c r="L111" s="31" t="s">
        <v>61</v>
      </c>
    </row>
    <row r="112" spans="1:12">
      <c r="J112" s="31">
        <v>7</v>
      </c>
      <c r="K112" s="33" t="s">
        <v>62</v>
      </c>
      <c r="L112" s="31" t="s">
        <v>63</v>
      </c>
    </row>
    <row r="113" spans="1:12">
      <c r="J113" s="31">
        <v>8</v>
      </c>
      <c r="K113" s="33" t="s">
        <v>64</v>
      </c>
      <c r="L113" s="31" t="s">
        <v>65</v>
      </c>
    </row>
    <row r="114" spans="1:12">
      <c r="A114" s="38" t="s">
        <v>66</v>
      </c>
      <c r="J114" s="31">
        <v>9</v>
      </c>
      <c r="K114" s="33" t="s">
        <v>67</v>
      </c>
      <c r="L114" s="31" t="s">
        <v>68</v>
      </c>
    </row>
    <row r="115" spans="1:12">
      <c r="A115" s="31" t="s">
        <v>69</v>
      </c>
      <c r="B115" s="39">
        <f>TRUNC(A103/100000000)</f>
        <v>0</v>
      </c>
      <c r="C115" s="31">
        <f>B115*100000000</f>
        <v>0</v>
      </c>
      <c r="D115" s="31" t="str">
        <f t="shared" ref="D115:D121" si="10">IF(B115&lt;1,"",VLOOKUP(B115,$J$3:$K$102,2))</f>
        <v/>
      </c>
      <c r="E115" s="31" t="str">
        <f>IF(B115&lt;1,"",IF(B115&gt;1," Hundreds "," Hundred "))</f>
        <v/>
      </c>
      <c r="J115" s="31">
        <v>10</v>
      </c>
      <c r="K115" s="33" t="s">
        <v>70</v>
      </c>
      <c r="L115" s="31" t="s">
        <v>71</v>
      </c>
    </row>
    <row r="116" spans="1:12">
      <c r="A116" s="31" t="s">
        <v>72</v>
      </c>
      <c r="B116" s="39">
        <f>TRUNC((A103-C115)/1000000)</f>
        <v>3</v>
      </c>
      <c r="C116" s="31">
        <f>B116*1000000</f>
        <v>3000000</v>
      </c>
      <c r="D116" s="31" t="str">
        <f t="shared" si="10"/>
        <v>Three</v>
      </c>
      <c r="E116" s="31" t="str">
        <f>IF(B115+B116=0,"",IF(B116=1," Million "," Millions "))</f>
        <v xml:space="preserve"> Millions </v>
      </c>
      <c r="J116" s="31">
        <v>11</v>
      </c>
      <c r="K116" s="33" t="s">
        <v>73</v>
      </c>
      <c r="L116" s="31" t="s">
        <v>74</v>
      </c>
    </row>
    <row r="117" spans="1:12">
      <c r="A117" s="31" t="s">
        <v>75</v>
      </c>
      <c r="B117" s="39">
        <f>TRUNC((A103-SUM(C115:C116))/100000)</f>
        <v>8</v>
      </c>
      <c r="C117" s="31">
        <f>B117*100000</f>
        <v>800000</v>
      </c>
      <c r="D117" s="31" t="str">
        <f t="shared" si="10"/>
        <v>Eight</v>
      </c>
      <c r="E117" s="31" t="str">
        <f>IF(B117&lt;1,"",IF(B117&gt;1," Hundreds "," Hundred "))</f>
        <v xml:space="preserve"> Hundreds </v>
      </c>
      <c r="J117" s="31">
        <v>12</v>
      </c>
      <c r="K117" s="33" t="s">
        <v>76</v>
      </c>
      <c r="L117" s="31" t="str">
        <f t="shared" ref="L117:L124" si="11">L107&amp;" Belas"</f>
        <v>Dua Belas</v>
      </c>
    </row>
    <row r="118" spans="1:12">
      <c r="A118" s="33" t="s">
        <v>77</v>
      </c>
      <c r="B118" s="40">
        <f>TRUNC((A103-SUM(C115:C117))/1000)</f>
        <v>9</v>
      </c>
      <c r="C118" s="31">
        <f>B118*1000</f>
        <v>9000</v>
      </c>
      <c r="D118" s="31" t="str">
        <f t="shared" si="10"/>
        <v>Nine</v>
      </c>
      <c r="E118" s="31" t="str">
        <f>IF(B117+B118=0,"",IF(B118=1," Thousand "," Thousands "))</f>
        <v xml:space="preserve"> Thousands </v>
      </c>
      <c r="J118" s="31">
        <v>13</v>
      </c>
      <c r="K118" s="33" t="s">
        <v>78</v>
      </c>
      <c r="L118" s="31" t="str">
        <f t="shared" si="11"/>
        <v>Tiga Belas</v>
      </c>
    </row>
    <row r="119" spans="1:12">
      <c r="A119" s="33" t="s">
        <v>79</v>
      </c>
      <c r="B119" s="40">
        <f>TRUNC((A103-SUM(C115:C118))/100)</f>
        <v>0</v>
      </c>
      <c r="C119" s="31">
        <f>B119*100</f>
        <v>0</v>
      </c>
      <c r="D119" s="31" t="str">
        <f t="shared" si="10"/>
        <v/>
      </c>
      <c r="E119" s="31" t="str">
        <f>IF(B119&lt;1,"",IF(B119&gt;1," Hundreds "," Hundred "))</f>
        <v/>
      </c>
      <c r="J119" s="31">
        <v>14</v>
      </c>
      <c r="K119" s="33" t="s">
        <v>80</v>
      </c>
      <c r="L119" s="31" t="str">
        <f t="shared" si="11"/>
        <v>Empat Belas</v>
      </c>
    </row>
    <row r="120" spans="1:12">
      <c r="A120" s="33" t="s">
        <v>81</v>
      </c>
      <c r="B120" s="41">
        <f>TRUNC((A103-SUM(C115:C119)))</f>
        <v>0</v>
      </c>
      <c r="C120" s="42">
        <f>B120</f>
        <v>0</v>
      </c>
      <c r="D120" s="31" t="str">
        <f t="shared" si="10"/>
        <v/>
      </c>
      <c r="E120" s="31" t="str">
        <f>IF(SUM(C115:C120)&lt;1,"",IF(B121&lt;1,""," And "))</f>
        <v/>
      </c>
      <c r="J120" s="31">
        <v>15</v>
      </c>
      <c r="K120" s="33" t="s">
        <v>82</v>
      </c>
      <c r="L120" s="31" t="str">
        <f t="shared" si="11"/>
        <v>Lima Belas</v>
      </c>
    </row>
    <row r="121" spans="1:12">
      <c r="A121" s="33" t="s">
        <v>83</v>
      </c>
      <c r="B121" s="40">
        <f>ROUND(A103-SUM(C115:C120),2)*100</f>
        <v>0</v>
      </c>
      <c r="D121" s="43" t="str">
        <f t="shared" si="10"/>
        <v/>
      </c>
      <c r="E121" s="31" t="str">
        <f>IF(B121&lt;1,"",IF(B121=1," Cent "," Cents "))</f>
        <v/>
      </c>
      <c r="J121" s="31">
        <v>16</v>
      </c>
      <c r="K121" s="33" t="s">
        <v>84</v>
      </c>
      <c r="L121" s="31" t="str">
        <f t="shared" si="11"/>
        <v>Enam Belas</v>
      </c>
    </row>
    <row r="122" spans="1:12">
      <c r="J122" s="31">
        <v>17</v>
      </c>
      <c r="K122" s="33" t="s">
        <v>85</v>
      </c>
      <c r="L122" s="31" t="str">
        <f t="shared" si="11"/>
        <v>Tujuh Belas</v>
      </c>
    </row>
    <row r="123" spans="1:12">
      <c r="A123" s="44"/>
      <c r="J123" s="31">
        <v>18</v>
      </c>
      <c r="K123" s="33" t="s">
        <v>86</v>
      </c>
      <c r="L123" s="31" t="str">
        <f t="shared" si="11"/>
        <v>Delapan Belas</v>
      </c>
    </row>
    <row r="124" spans="1:12">
      <c r="A124" s="38" t="s">
        <v>87</v>
      </c>
      <c r="J124" s="31">
        <v>19</v>
      </c>
      <c r="K124" s="33" t="s">
        <v>88</v>
      </c>
      <c r="L124" s="31" t="str">
        <f t="shared" si="11"/>
        <v>Sembilan Belas</v>
      </c>
    </row>
    <row r="125" spans="1:12">
      <c r="A125" s="31" t="s">
        <v>69</v>
      </c>
      <c r="B125" s="39">
        <f>TRUNC(A103/100000000)</f>
        <v>0</v>
      </c>
      <c r="C125" s="31">
        <f>B125*100000000</f>
        <v>0</v>
      </c>
      <c r="D125" s="31" t="str">
        <f>IF(B125&lt;1,"",IF(B125=1,"",VLOOKUP(B125,$J$3:$L$102,3)))</f>
        <v/>
      </c>
      <c r="E125" s="31" t="str">
        <f>IF(B125&lt;1,"",IF(B125=1,"Seratus "," Ratus "))</f>
        <v/>
      </c>
      <c r="J125" s="31">
        <v>20</v>
      </c>
      <c r="K125" s="33" t="s">
        <v>89</v>
      </c>
      <c r="L125" s="31" t="s">
        <v>90</v>
      </c>
    </row>
    <row r="126" spans="1:12">
      <c r="A126" s="31" t="s">
        <v>72</v>
      </c>
      <c r="B126" s="39">
        <f>TRUNC((A103-C125)/1000000)</f>
        <v>3</v>
      </c>
      <c r="C126" s="31">
        <f>B126*1000000</f>
        <v>3000000</v>
      </c>
      <c r="D126" s="31" t="str">
        <f>IF(B126&lt;1,"",VLOOKUP(B126,$J$3:$L$102,3))</f>
        <v>Tiga</v>
      </c>
      <c r="E126" s="31" t="str">
        <f>IF(B125+B126=0,""," Juta ")</f>
        <v xml:space="preserve"> Juta </v>
      </c>
      <c r="J126" s="31">
        <v>21</v>
      </c>
      <c r="K126" s="33" t="s">
        <v>91</v>
      </c>
      <c r="L126" s="31" t="str">
        <f t="shared" ref="L126:L134" si="12">$L$23&amp;" "&amp;L106</f>
        <v>Dua Puluh Satu</v>
      </c>
    </row>
    <row r="127" spans="1:12">
      <c r="A127" s="31" t="s">
        <v>75</v>
      </c>
      <c r="B127" s="39">
        <f>TRUNC((A103-SUM(C125:C126))/100000)</f>
        <v>8</v>
      </c>
      <c r="C127" s="31">
        <f>B127*100000</f>
        <v>800000</v>
      </c>
      <c r="D127" s="31" t="str">
        <f>IF(B127&lt;1,"",IF(B127=1,"",VLOOKUP(B127,$J$3:$L$102,3)))</f>
        <v>Delapan</v>
      </c>
      <c r="E127" s="31" t="str">
        <f>IF(B127&lt;1,"",IF(B127=1," Seratus "," Ratus "))</f>
        <v xml:space="preserve"> Ratus </v>
      </c>
      <c r="J127" s="31">
        <v>22</v>
      </c>
      <c r="K127" s="33" t="s">
        <v>92</v>
      </c>
      <c r="L127" s="31" t="str">
        <f t="shared" si="12"/>
        <v>Dua Puluh Dua</v>
      </c>
    </row>
    <row r="128" spans="1:12">
      <c r="A128" s="33" t="s">
        <v>77</v>
      </c>
      <c r="B128" s="40">
        <f>TRUNC((A103-SUM(C125:C127))/1000)</f>
        <v>9</v>
      </c>
      <c r="C128" s="31">
        <f>B128*1000</f>
        <v>9000</v>
      </c>
      <c r="D128" s="31" t="str">
        <f>IF(B128&lt;1,"",IF(B128=1,"",VLOOKUP(B128,$J$3:$L$102,3)))</f>
        <v>Sembilan</v>
      </c>
      <c r="E128" s="31" t="str">
        <f>IF(B127+B128&lt;1,"",IF(B128=1," Seribu "," Ribu "))</f>
        <v xml:space="preserve"> Ribu </v>
      </c>
      <c r="J128" s="31">
        <v>23</v>
      </c>
      <c r="K128" s="33" t="s">
        <v>93</v>
      </c>
      <c r="L128" s="31" t="str">
        <f t="shared" si="12"/>
        <v>Dua Puluh Tiga</v>
      </c>
    </row>
    <row r="129" spans="1:12">
      <c r="A129" s="33" t="s">
        <v>79</v>
      </c>
      <c r="B129" s="40">
        <f>TRUNC((A103-SUM(C125:C128))/100)</f>
        <v>0</v>
      </c>
      <c r="C129" s="31">
        <f>B129*100</f>
        <v>0</v>
      </c>
      <c r="D129" s="31" t="str">
        <f>IF(B129&lt;1,"",IF(B129=1,"",VLOOKUP(B129,$J$3:$L$102,3)))</f>
        <v/>
      </c>
      <c r="E129" s="31" t="str">
        <f>IF(B129&lt;1,"",IF(B129=1," Seratus "," Ratus "))</f>
        <v/>
      </c>
      <c r="J129" s="31">
        <v>24</v>
      </c>
      <c r="K129" s="33" t="s">
        <v>94</v>
      </c>
      <c r="L129" s="31" t="str">
        <f t="shared" si="12"/>
        <v>Dua Puluh Empat</v>
      </c>
    </row>
    <row r="130" spans="1:12">
      <c r="A130" s="33" t="s">
        <v>81</v>
      </c>
      <c r="B130" s="41">
        <f>TRUNC((A103-SUM(C125:C129)))</f>
        <v>0</v>
      </c>
      <c r="C130" s="42">
        <f>B130</f>
        <v>0</v>
      </c>
      <c r="D130" s="31" t="str">
        <f>IF(B130&lt;1,"",VLOOKUP(B130,$J$3:$L$102,3))</f>
        <v/>
      </c>
      <c r="E130" s="31" t="str">
        <f>IF(SUM(C125:C130)&lt;1,"",IF(B131&lt;1,""," Dan "))</f>
        <v/>
      </c>
      <c r="J130" s="31">
        <v>25</v>
      </c>
      <c r="K130" s="33" t="s">
        <v>95</v>
      </c>
      <c r="L130" s="31" t="str">
        <f t="shared" si="12"/>
        <v>Dua Puluh Lima</v>
      </c>
    </row>
    <row r="131" spans="1:12">
      <c r="A131" s="33" t="s">
        <v>83</v>
      </c>
      <c r="B131" s="40">
        <f>ROUND(A103-SUM(C125:C130),2)*100</f>
        <v>0</v>
      </c>
      <c r="D131" s="31" t="str">
        <f>IF(B131&lt;1,"",VLOOKUP(B131,$J$3:$L$102,3))</f>
        <v/>
      </c>
      <c r="E131" s="31" t="str">
        <f>IF(B131&lt;1,""," Sen ")</f>
        <v/>
      </c>
      <c r="J131" s="31">
        <v>26</v>
      </c>
      <c r="K131" s="33" t="s">
        <v>96</v>
      </c>
      <c r="L131" s="31" t="str">
        <f t="shared" si="12"/>
        <v>Dua Puluh Enam</v>
      </c>
    </row>
    <row r="132" spans="1:12">
      <c r="J132" s="31">
        <v>27</v>
      </c>
      <c r="K132" s="33" t="s">
        <v>97</v>
      </c>
      <c r="L132" s="31" t="str">
        <f t="shared" si="12"/>
        <v>Dua Puluh Tujuh</v>
      </c>
    </row>
    <row r="133" spans="1:12">
      <c r="J133" s="31">
        <v>28</v>
      </c>
      <c r="K133" s="33" t="s">
        <v>98</v>
      </c>
      <c r="L133" s="31" t="str">
        <f t="shared" si="12"/>
        <v>Dua Puluh Delapan</v>
      </c>
    </row>
    <row r="134" spans="1:12">
      <c r="J134" s="31">
        <v>29</v>
      </c>
      <c r="K134" s="33" t="s">
        <v>99</v>
      </c>
      <c r="L134" s="31" t="str">
        <f t="shared" si="12"/>
        <v>Dua Puluh Sembilan</v>
      </c>
    </row>
    <row r="135" spans="1:12">
      <c r="J135" s="31">
        <v>30</v>
      </c>
      <c r="K135" s="33" t="s">
        <v>100</v>
      </c>
      <c r="L135" s="31" t="s">
        <v>101</v>
      </c>
    </row>
    <row r="136" spans="1:12">
      <c r="J136" s="31">
        <v>31</v>
      </c>
      <c r="K136" s="33" t="s">
        <v>102</v>
      </c>
      <c r="L136" s="31" t="str">
        <f t="shared" ref="L136:L144" si="13">$L$33&amp;" "&amp;L106</f>
        <v>Tiga Puluh Satu</v>
      </c>
    </row>
    <row r="137" spans="1:12">
      <c r="J137" s="31">
        <v>32</v>
      </c>
      <c r="K137" s="33" t="s">
        <v>103</v>
      </c>
      <c r="L137" s="31" t="str">
        <f t="shared" si="13"/>
        <v>Tiga Puluh Dua</v>
      </c>
    </row>
    <row r="138" spans="1:12">
      <c r="J138" s="31">
        <v>33</v>
      </c>
      <c r="K138" s="33" t="s">
        <v>104</v>
      </c>
      <c r="L138" s="31" t="str">
        <f t="shared" si="13"/>
        <v>Tiga Puluh Tiga</v>
      </c>
    </row>
    <row r="139" spans="1:12">
      <c r="J139" s="31">
        <v>34</v>
      </c>
      <c r="K139" s="33" t="s">
        <v>105</v>
      </c>
      <c r="L139" s="31" t="str">
        <f t="shared" si="13"/>
        <v>Tiga Puluh Empat</v>
      </c>
    </row>
    <row r="140" spans="1:12">
      <c r="J140" s="31">
        <v>35</v>
      </c>
      <c r="K140" s="33" t="s">
        <v>106</v>
      </c>
      <c r="L140" s="31" t="str">
        <f t="shared" si="13"/>
        <v>Tiga Puluh Lima</v>
      </c>
    </row>
    <row r="141" spans="1:12">
      <c r="J141" s="31">
        <v>36</v>
      </c>
      <c r="K141" s="33" t="s">
        <v>107</v>
      </c>
      <c r="L141" s="31" t="str">
        <f t="shared" si="13"/>
        <v>Tiga Puluh Enam</v>
      </c>
    </row>
    <row r="142" spans="1:12">
      <c r="J142" s="31">
        <v>37</v>
      </c>
      <c r="K142" s="33" t="s">
        <v>108</v>
      </c>
      <c r="L142" s="31" t="str">
        <f t="shared" si="13"/>
        <v>Tiga Puluh Tujuh</v>
      </c>
    </row>
    <row r="143" spans="1:12">
      <c r="J143" s="31">
        <v>38</v>
      </c>
      <c r="K143" s="33" t="s">
        <v>109</v>
      </c>
      <c r="L143" s="31" t="str">
        <f t="shared" si="13"/>
        <v>Tiga Puluh Delapan</v>
      </c>
    </row>
    <row r="144" spans="1:12">
      <c r="J144" s="31">
        <v>39</v>
      </c>
      <c r="K144" s="33" t="s">
        <v>110</v>
      </c>
      <c r="L144" s="31" t="str">
        <f t="shared" si="13"/>
        <v>Tiga Puluh Sembilan</v>
      </c>
    </row>
    <row r="145" spans="1:12">
      <c r="B145" s="35"/>
      <c r="C145" s="35"/>
      <c r="D145" s="35"/>
      <c r="J145" s="31">
        <v>40</v>
      </c>
      <c r="K145" s="33" t="s">
        <v>111</v>
      </c>
      <c r="L145" s="31" t="s">
        <v>112</v>
      </c>
    </row>
    <row r="146" spans="1:12">
      <c r="A146" s="35"/>
      <c r="B146" s="35"/>
      <c r="C146" s="35"/>
      <c r="D146" s="35"/>
      <c r="J146" s="31">
        <v>41</v>
      </c>
      <c r="K146" s="33" t="s">
        <v>113</v>
      </c>
      <c r="L146" s="31" t="str">
        <f t="shared" ref="L146:L154" si="14">$L$43&amp;" "&amp;L106</f>
        <v>Empat Puluh Satu</v>
      </c>
    </row>
    <row r="147" spans="1:12">
      <c r="J147" s="31">
        <v>42</v>
      </c>
      <c r="K147" s="33" t="s">
        <v>114</v>
      </c>
      <c r="L147" s="31" t="str">
        <f t="shared" si="14"/>
        <v>Empat Puluh Dua</v>
      </c>
    </row>
    <row r="148" spans="1:12">
      <c r="A148" s="38"/>
      <c r="J148" s="31">
        <v>43</v>
      </c>
      <c r="K148" s="33" t="s">
        <v>115</v>
      </c>
      <c r="L148" s="31" t="str">
        <f t="shared" si="14"/>
        <v>Empat Puluh Tiga</v>
      </c>
    </row>
    <row r="149" spans="1:12">
      <c r="J149" s="31">
        <v>44</v>
      </c>
      <c r="K149" s="33" t="s">
        <v>116</v>
      </c>
      <c r="L149" s="31" t="str">
        <f t="shared" si="14"/>
        <v>Empat Puluh Empat</v>
      </c>
    </row>
    <row r="150" spans="1:12">
      <c r="J150" s="31">
        <v>45</v>
      </c>
      <c r="K150" s="33" t="s">
        <v>117</v>
      </c>
      <c r="L150" s="31" t="str">
        <f t="shared" si="14"/>
        <v>Empat Puluh Lima</v>
      </c>
    </row>
    <row r="151" spans="1:12">
      <c r="J151" s="31">
        <v>46</v>
      </c>
      <c r="K151" s="33" t="s">
        <v>118</v>
      </c>
      <c r="L151" s="31" t="str">
        <f t="shared" si="14"/>
        <v>Empat Puluh Enam</v>
      </c>
    </row>
    <row r="152" spans="1:12">
      <c r="J152" s="31">
        <v>47</v>
      </c>
      <c r="K152" s="33" t="s">
        <v>119</v>
      </c>
      <c r="L152" s="31" t="str">
        <f t="shared" si="14"/>
        <v>Empat Puluh Tujuh</v>
      </c>
    </row>
    <row r="153" spans="1:12">
      <c r="J153" s="31">
        <v>48</v>
      </c>
      <c r="K153" s="33" t="s">
        <v>120</v>
      </c>
      <c r="L153" s="31" t="str">
        <f t="shared" si="14"/>
        <v>Empat Puluh Delapan</v>
      </c>
    </row>
    <row r="154" spans="1:12">
      <c r="J154" s="31">
        <v>49</v>
      </c>
      <c r="K154" s="33" t="s">
        <v>121</v>
      </c>
      <c r="L154" s="31" t="str">
        <f t="shared" si="14"/>
        <v>Empat Puluh Sembilan</v>
      </c>
    </row>
    <row r="155" spans="1:12">
      <c r="J155" s="31">
        <v>50</v>
      </c>
      <c r="K155" s="33" t="s">
        <v>122</v>
      </c>
      <c r="L155" s="31" t="s">
        <v>123</v>
      </c>
    </row>
    <row r="156" spans="1:12">
      <c r="J156" s="31">
        <v>51</v>
      </c>
      <c r="K156" s="33" t="s">
        <v>124</v>
      </c>
      <c r="L156" s="31" t="str">
        <f t="shared" ref="L156:L164" si="15">$L$53&amp;" "&amp;L106</f>
        <v>Lima Puluh Satu</v>
      </c>
    </row>
    <row r="157" spans="1:12">
      <c r="J157" s="31">
        <v>52</v>
      </c>
      <c r="K157" s="33" t="s">
        <v>125</v>
      </c>
      <c r="L157" s="31" t="str">
        <f t="shared" si="15"/>
        <v>Lima Puluh Dua</v>
      </c>
    </row>
    <row r="158" spans="1:12">
      <c r="J158" s="31">
        <v>53</v>
      </c>
      <c r="K158" s="33" t="s">
        <v>126</v>
      </c>
      <c r="L158" s="31" t="str">
        <f t="shared" si="15"/>
        <v>Lima Puluh Tiga</v>
      </c>
    </row>
    <row r="159" spans="1:12">
      <c r="J159" s="31">
        <v>54</v>
      </c>
      <c r="K159" s="33" t="s">
        <v>127</v>
      </c>
      <c r="L159" s="31" t="str">
        <f t="shared" si="15"/>
        <v>Lima Puluh Empat</v>
      </c>
    </row>
    <row r="160" spans="1:12">
      <c r="J160" s="31">
        <v>55</v>
      </c>
      <c r="K160" s="33" t="s">
        <v>128</v>
      </c>
      <c r="L160" s="31" t="str">
        <f t="shared" si="15"/>
        <v>Lima Puluh Lima</v>
      </c>
    </row>
    <row r="161" spans="10:12">
      <c r="J161" s="31">
        <v>56</v>
      </c>
      <c r="K161" s="33" t="s">
        <v>129</v>
      </c>
      <c r="L161" s="31" t="str">
        <f t="shared" si="15"/>
        <v>Lima Puluh Enam</v>
      </c>
    </row>
    <row r="162" spans="10:12">
      <c r="J162" s="31">
        <v>57</v>
      </c>
      <c r="K162" s="33" t="s">
        <v>130</v>
      </c>
      <c r="L162" s="31" t="str">
        <f t="shared" si="15"/>
        <v>Lima Puluh Tujuh</v>
      </c>
    </row>
    <row r="163" spans="10:12">
      <c r="J163" s="31">
        <v>58</v>
      </c>
      <c r="K163" s="33" t="s">
        <v>131</v>
      </c>
      <c r="L163" s="31" t="str">
        <f t="shared" si="15"/>
        <v>Lima Puluh Delapan</v>
      </c>
    </row>
    <row r="164" spans="10:12">
      <c r="J164" s="31">
        <v>59</v>
      </c>
      <c r="K164" s="33" t="s">
        <v>132</v>
      </c>
      <c r="L164" s="31" t="str">
        <f t="shared" si="15"/>
        <v>Lima Puluh Sembilan</v>
      </c>
    </row>
    <row r="165" spans="10:12">
      <c r="J165" s="31">
        <v>60</v>
      </c>
      <c r="K165" s="33" t="s">
        <v>133</v>
      </c>
      <c r="L165" s="31" t="s">
        <v>134</v>
      </c>
    </row>
    <row r="166" spans="10:12">
      <c r="J166" s="31">
        <v>61</v>
      </c>
      <c r="K166" s="33" t="s">
        <v>135</v>
      </c>
      <c r="L166" s="31" t="str">
        <f t="shared" ref="L166:L174" si="16">$L$63&amp;" "&amp;L106</f>
        <v>Enam Puluh Satu</v>
      </c>
    </row>
    <row r="167" spans="10:12">
      <c r="J167" s="31">
        <v>62</v>
      </c>
      <c r="K167" s="33" t="s">
        <v>136</v>
      </c>
      <c r="L167" s="31" t="str">
        <f t="shared" si="16"/>
        <v>Enam Puluh Dua</v>
      </c>
    </row>
    <row r="168" spans="10:12">
      <c r="J168" s="31">
        <v>63</v>
      </c>
      <c r="K168" s="33" t="s">
        <v>137</v>
      </c>
      <c r="L168" s="31" t="str">
        <f t="shared" si="16"/>
        <v>Enam Puluh Tiga</v>
      </c>
    </row>
    <row r="169" spans="10:12">
      <c r="J169" s="31">
        <v>64</v>
      </c>
      <c r="K169" s="33" t="s">
        <v>138</v>
      </c>
      <c r="L169" s="31" t="str">
        <f t="shared" si="16"/>
        <v>Enam Puluh Empat</v>
      </c>
    </row>
    <row r="170" spans="10:12">
      <c r="J170" s="31">
        <v>65</v>
      </c>
      <c r="K170" s="33" t="s">
        <v>139</v>
      </c>
      <c r="L170" s="31" t="str">
        <f t="shared" si="16"/>
        <v>Enam Puluh Lima</v>
      </c>
    </row>
    <row r="171" spans="10:12">
      <c r="J171" s="31">
        <v>66</v>
      </c>
      <c r="K171" s="33" t="s">
        <v>140</v>
      </c>
      <c r="L171" s="31" t="str">
        <f t="shared" si="16"/>
        <v>Enam Puluh Enam</v>
      </c>
    </row>
    <row r="172" spans="10:12">
      <c r="J172" s="31">
        <v>67</v>
      </c>
      <c r="K172" s="33" t="s">
        <v>141</v>
      </c>
      <c r="L172" s="31" t="str">
        <f t="shared" si="16"/>
        <v>Enam Puluh Tujuh</v>
      </c>
    </row>
    <row r="173" spans="10:12">
      <c r="J173" s="31">
        <v>68</v>
      </c>
      <c r="K173" s="33" t="s">
        <v>142</v>
      </c>
      <c r="L173" s="31" t="str">
        <f t="shared" si="16"/>
        <v>Enam Puluh Delapan</v>
      </c>
    </row>
    <row r="174" spans="10:12">
      <c r="J174" s="31">
        <v>69</v>
      </c>
      <c r="K174" s="33" t="s">
        <v>143</v>
      </c>
      <c r="L174" s="31" t="str">
        <f t="shared" si="16"/>
        <v>Enam Puluh Sembilan</v>
      </c>
    </row>
    <row r="175" spans="10:12">
      <c r="J175" s="31">
        <v>70</v>
      </c>
      <c r="K175" s="33" t="s">
        <v>144</v>
      </c>
      <c r="L175" s="31" t="s">
        <v>145</v>
      </c>
    </row>
    <row r="176" spans="10:12">
      <c r="J176" s="31">
        <v>71</v>
      </c>
      <c r="K176" s="33" t="s">
        <v>146</v>
      </c>
      <c r="L176" s="31" t="str">
        <f t="shared" ref="L176:L184" si="17">$L$73&amp;" "&amp;L106</f>
        <v>Tujuh Puluh Satu</v>
      </c>
    </row>
    <row r="177" spans="10:12">
      <c r="J177" s="31">
        <v>72</v>
      </c>
      <c r="K177" s="33" t="s">
        <v>147</v>
      </c>
      <c r="L177" s="31" t="str">
        <f t="shared" si="17"/>
        <v>Tujuh Puluh Dua</v>
      </c>
    </row>
    <row r="178" spans="10:12">
      <c r="J178" s="31">
        <v>73</v>
      </c>
      <c r="K178" s="33" t="s">
        <v>148</v>
      </c>
      <c r="L178" s="31" t="str">
        <f t="shared" si="17"/>
        <v>Tujuh Puluh Tiga</v>
      </c>
    </row>
    <row r="179" spans="10:12">
      <c r="J179" s="31">
        <v>74</v>
      </c>
      <c r="K179" s="33" t="s">
        <v>149</v>
      </c>
      <c r="L179" s="31" t="str">
        <f t="shared" si="17"/>
        <v>Tujuh Puluh Empat</v>
      </c>
    </row>
    <row r="180" spans="10:12">
      <c r="J180" s="31">
        <v>75</v>
      </c>
      <c r="K180" s="33" t="s">
        <v>150</v>
      </c>
      <c r="L180" s="31" t="str">
        <f t="shared" si="17"/>
        <v>Tujuh Puluh Lima</v>
      </c>
    </row>
    <row r="181" spans="10:12">
      <c r="J181" s="31">
        <v>76</v>
      </c>
      <c r="K181" s="33" t="s">
        <v>151</v>
      </c>
      <c r="L181" s="31" t="str">
        <f t="shared" si="17"/>
        <v>Tujuh Puluh Enam</v>
      </c>
    </row>
    <row r="182" spans="10:12">
      <c r="J182" s="31">
        <v>77</v>
      </c>
      <c r="K182" s="33" t="s">
        <v>152</v>
      </c>
      <c r="L182" s="31" t="str">
        <f t="shared" si="17"/>
        <v>Tujuh Puluh Tujuh</v>
      </c>
    </row>
    <row r="183" spans="10:12">
      <c r="J183" s="31">
        <v>78</v>
      </c>
      <c r="K183" s="33" t="s">
        <v>153</v>
      </c>
      <c r="L183" s="31" t="str">
        <f t="shared" si="17"/>
        <v>Tujuh Puluh Delapan</v>
      </c>
    </row>
    <row r="184" spans="10:12">
      <c r="J184" s="31">
        <v>79</v>
      </c>
      <c r="K184" s="33" t="s">
        <v>154</v>
      </c>
      <c r="L184" s="31" t="str">
        <f t="shared" si="17"/>
        <v>Tujuh Puluh Sembilan</v>
      </c>
    </row>
    <row r="185" spans="10:12">
      <c r="J185" s="31">
        <v>80</v>
      </c>
      <c r="K185" s="33" t="s">
        <v>155</v>
      </c>
      <c r="L185" s="31" t="s">
        <v>156</v>
      </c>
    </row>
    <row r="186" spans="10:12">
      <c r="J186" s="31">
        <v>81</v>
      </c>
      <c r="K186" s="33" t="s">
        <v>157</v>
      </c>
      <c r="L186" s="31" t="str">
        <f t="shared" ref="L186:L194" si="18">$L$83&amp;" "&amp;L106</f>
        <v>Delapan Puluh Satu</v>
      </c>
    </row>
    <row r="187" spans="10:12">
      <c r="J187" s="31">
        <v>82</v>
      </c>
      <c r="K187" s="33" t="s">
        <v>158</v>
      </c>
      <c r="L187" s="31" t="str">
        <f t="shared" si="18"/>
        <v>Delapan Puluh Dua</v>
      </c>
    </row>
    <row r="188" spans="10:12">
      <c r="J188" s="31">
        <v>83</v>
      </c>
      <c r="K188" s="33" t="s">
        <v>159</v>
      </c>
      <c r="L188" s="31" t="str">
        <f t="shared" si="18"/>
        <v>Delapan Puluh Tiga</v>
      </c>
    </row>
    <row r="189" spans="10:12">
      <c r="J189" s="31">
        <v>84</v>
      </c>
      <c r="K189" s="33" t="s">
        <v>160</v>
      </c>
      <c r="L189" s="31" t="str">
        <f t="shared" si="18"/>
        <v>Delapan Puluh Empat</v>
      </c>
    </row>
    <row r="190" spans="10:12">
      <c r="J190" s="31">
        <v>85</v>
      </c>
      <c r="K190" s="33" t="s">
        <v>161</v>
      </c>
      <c r="L190" s="31" t="str">
        <f t="shared" si="18"/>
        <v>Delapan Puluh Lima</v>
      </c>
    </row>
    <row r="191" spans="10:12">
      <c r="J191" s="31">
        <v>86</v>
      </c>
      <c r="K191" s="33" t="s">
        <v>162</v>
      </c>
      <c r="L191" s="31" t="str">
        <f t="shared" si="18"/>
        <v>Delapan Puluh Enam</v>
      </c>
    </row>
    <row r="192" spans="10:12">
      <c r="J192" s="31">
        <v>87</v>
      </c>
      <c r="K192" s="33" t="s">
        <v>163</v>
      </c>
      <c r="L192" s="31" t="str">
        <f t="shared" si="18"/>
        <v>Delapan Puluh Tujuh</v>
      </c>
    </row>
    <row r="193" spans="1:12">
      <c r="J193" s="31">
        <v>88</v>
      </c>
      <c r="K193" s="33" t="s">
        <v>164</v>
      </c>
      <c r="L193" s="31" t="str">
        <f t="shared" si="18"/>
        <v>Delapan Puluh Delapan</v>
      </c>
    </row>
    <row r="194" spans="1:12">
      <c r="J194" s="31">
        <v>89</v>
      </c>
      <c r="K194" s="33" t="s">
        <v>165</v>
      </c>
      <c r="L194" s="31" t="str">
        <f t="shared" si="18"/>
        <v>Delapan Puluh Sembilan</v>
      </c>
    </row>
    <row r="195" spans="1:12">
      <c r="J195" s="31">
        <v>90</v>
      </c>
      <c r="K195" s="33" t="s">
        <v>166</v>
      </c>
      <c r="L195" s="31" t="s">
        <v>167</v>
      </c>
    </row>
    <row r="196" spans="1:12">
      <c r="J196" s="31">
        <v>91</v>
      </c>
      <c r="K196" s="33" t="s">
        <v>168</v>
      </c>
      <c r="L196" s="31" t="str">
        <f t="shared" ref="L196:L204" si="19">$L$93&amp;" "&amp;L106</f>
        <v>Sembilan Puluh Satu</v>
      </c>
    </row>
    <row r="197" spans="1:12">
      <c r="J197" s="31">
        <v>92</v>
      </c>
      <c r="K197" s="33" t="s">
        <v>169</v>
      </c>
      <c r="L197" s="31" t="str">
        <f t="shared" si="19"/>
        <v>Sembilan Puluh Dua</v>
      </c>
    </row>
    <row r="198" spans="1:12">
      <c r="J198" s="31">
        <v>93</v>
      </c>
      <c r="K198" s="33" t="s">
        <v>170</v>
      </c>
      <c r="L198" s="31" t="str">
        <f t="shared" si="19"/>
        <v>Sembilan Puluh Tiga</v>
      </c>
    </row>
    <row r="199" spans="1:12">
      <c r="J199" s="31">
        <v>94</v>
      </c>
      <c r="K199" s="33" t="s">
        <v>171</v>
      </c>
      <c r="L199" s="31" t="str">
        <f t="shared" si="19"/>
        <v>Sembilan Puluh Empat</v>
      </c>
    </row>
    <row r="200" spans="1:12">
      <c r="J200" s="31">
        <v>95</v>
      </c>
      <c r="K200" s="33" t="s">
        <v>172</v>
      </c>
      <c r="L200" s="31" t="str">
        <f t="shared" si="19"/>
        <v>Sembilan Puluh Lima</v>
      </c>
    </row>
    <row r="201" spans="1:12">
      <c r="J201" s="31">
        <v>96</v>
      </c>
      <c r="K201" s="33" t="s">
        <v>173</v>
      </c>
      <c r="L201" s="31" t="str">
        <f t="shared" si="19"/>
        <v>Sembilan Puluh Enam</v>
      </c>
    </row>
    <row r="202" spans="1:12">
      <c r="J202" s="31">
        <v>97</v>
      </c>
      <c r="K202" s="33" t="s">
        <v>174</v>
      </c>
      <c r="L202" s="31" t="str">
        <f t="shared" si="19"/>
        <v>Sembilan Puluh Tujuh</v>
      </c>
    </row>
    <row r="203" spans="1:12">
      <c r="J203" s="31">
        <v>98</v>
      </c>
      <c r="K203" s="33" t="s">
        <v>175</v>
      </c>
      <c r="L203" s="31" t="str">
        <f t="shared" si="19"/>
        <v>Sembilan Puluh Delapan</v>
      </c>
    </row>
    <row r="204" spans="1:12">
      <c r="J204" s="31">
        <v>99</v>
      </c>
      <c r="K204" s="33" t="s">
        <v>176</v>
      </c>
      <c r="L204" s="31" t="str">
        <f t="shared" si="19"/>
        <v>Sembilan Puluh Sembilan</v>
      </c>
    </row>
    <row r="205" spans="1:12">
      <c r="A205" s="30" t="e">
        <f>#REF!</f>
        <v>#REF!</v>
      </c>
      <c r="C205" s="31" t="s">
        <v>237</v>
      </c>
    </row>
    <row r="206" spans="1:12">
      <c r="A206" s="32"/>
    </row>
    <row r="207" spans="1:12">
      <c r="J207" s="31">
        <v>0</v>
      </c>
      <c r="K207" s="33" t="s">
        <v>48</v>
      </c>
      <c r="L207" s="31" t="s">
        <v>49</v>
      </c>
    </row>
    <row r="208" spans="1:12">
      <c r="A208" s="34"/>
      <c r="J208" s="31">
        <v>1</v>
      </c>
      <c r="K208" s="33" t="s">
        <v>50</v>
      </c>
      <c r="L208" s="31" t="s">
        <v>51</v>
      </c>
    </row>
    <row r="209" spans="1:12">
      <c r="A209" s="255" t="e">
        <f>TRIM(D217&amp;E217&amp;D218&amp;E218&amp;D219&amp;E219&amp;D220&amp;E220&amp;D221&amp;E221&amp;D222&amp;E222&amp;E223&amp;D223&amp;" Only")</f>
        <v>#REF!</v>
      </c>
      <c r="B209" s="255"/>
      <c r="C209" s="255"/>
      <c r="D209" s="255"/>
      <c r="E209" s="35"/>
      <c r="F209" s="36"/>
      <c r="J209" s="31">
        <v>2</v>
      </c>
      <c r="K209" s="33" t="s">
        <v>52</v>
      </c>
      <c r="L209" s="31" t="s">
        <v>53</v>
      </c>
    </row>
    <row r="210" spans="1:12">
      <c r="A210" s="37"/>
      <c r="B210" s="37"/>
      <c r="C210" s="37"/>
      <c r="D210" s="37"/>
      <c r="E210" s="35"/>
      <c r="F210" s="36"/>
      <c r="J210" s="31">
        <v>3</v>
      </c>
      <c r="K210" s="33" t="s">
        <v>54</v>
      </c>
      <c r="L210" s="31" t="s">
        <v>55</v>
      </c>
    </row>
    <row r="211" spans="1:12">
      <c r="A211" s="37"/>
      <c r="B211" s="37"/>
      <c r="C211" s="37"/>
      <c r="D211" s="37"/>
      <c r="J211" s="31">
        <v>4</v>
      </c>
      <c r="K211" s="33" t="s">
        <v>56</v>
      </c>
      <c r="L211" s="31" t="s">
        <v>57</v>
      </c>
    </row>
    <row r="212" spans="1:12">
      <c r="A212" s="255" t="e">
        <f>TRIM(D227&amp;E227&amp;D228&amp;E228&amp;D229&amp;E229&amp;D230&amp;E230&amp;D231&amp;E231&amp;D232&amp;E232&amp;D233&amp;E233&amp;" Rupiah")</f>
        <v>#REF!</v>
      </c>
      <c r="B212" s="255"/>
      <c r="C212" s="255"/>
      <c r="D212" s="255"/>
      <c r="E212" s="35"/>
      <c r="F212" s="36"/>
      <c r="J212" s="31">
        <v>5</v>
      </c>
      <c r="K212" s="33" t="s">
        <v>58</v>
      </c>
      <c r="L212" s="31" t="s">
        <v>59</v>
      </c>
    </row>
    <row r="213" spans="1:12">
      <c r="A213" s="35"/>
      <c r="B213" s="35"/>
      <c r="C213" s="35"/>
      <c r="D213" s="35"/>
      <c r="E213" s="35"/>
      <c r="F213" s="36"/>
      <c r="J213" s="31">
        <v>6</v>
      </c>
      <c r="K213" s="33" t="s">
        <v>60</v>
      </c>
      <c r="L213" s="31" t="s">
        <v>61</v>
      </c>
    </row>
    <row r="214" spans="1:12">
      <c r="J214" s="31">
        <v>7</v>
      </c>
      <c r="K214" s="33" t="s">
        <v>62</v>
      </c>
      <c r="L214" s="31" t="s">
        <v>63</v>
      </c>
    </row>
    <row r="215" spans="1:12">
      <c r="J215" s="31">
        <v>8</v>
      </c>
      <c r="K215" s="33" t="s">
        <v>64</v>
      </c>
      <c r="L215" s="31" t="s">
        <v>65</v>
      </c>
    </row>
    <row r="216" spans="1:12">
      <c r="A216" s="38" t="s">
        <v>66</v>
      </c>
      <c r="J216" s="31">
        <v>9</v>
      </c>
      <c r="K216" s="33" t="s">
        <v>67</v>
      </c>
      <c r="L216" s="31" t="s">
        <v>68</v>
      </c>
    </row>
    <row r="217" spans="1:12">
      <c r="A217" s="31" t="s">
        <v>69</v>
      </c>
      <c r="B217" s="39" t="e">
        <f>TRUNC(A205/100000000)</f>
        <v>#REF!</v>
      </c>
      <c r="C217" s="31" t="e">
        <f>B217*100000000</f>
        <v>#REF!</v>
      </c>
      <c r="D217" s="31" t="e">
        <f t="shared" ref="D217:D223" si="20">IF(B217&lt;1,"",VLOOKUP(B217,$J$3:$K$102,2))</f>
        <v>#REF!</v>
      </c>
      <c r="E217" s="31" t="e">
        <f>IF(B217&lt;1,"",IF(B217&gt;1," Hundreds "," Hundred "))</f>
        <v>#REF!</v>
      </c>
      <c r="J217" s="31">
        <v>10</v>
      </c>
      <c r="K217" s="33" t="s">
        <v>70</v>
      </c>
      <c r="L217" s="31" t="s">
        <v>71</v>
      </c>
    </row>
    <row r="218" spans="1:12">
      <c r="A218" s="31" t="s">
        <v>72</v>
      </c>
      <c r="B218" s="39" t="e">
        <f>TRUNC((A205-C217)/1000000)</f>
        <v>#REF!</v>
      </c>
      <c r="C218" s="31" t="e">
        <f>B218*1000000</f>
        <v>#REF!</v>
      </c>
      <c r="D218" s="31" t="e">
        <f t="shared" si="20"/>
        <v>#REF!</v>
      </c>
      <c r="E218" s="31" t="e">
        <f>IF(B217+B218=0,"",IF(B218=1," Million "," Millions "))</f>
        <v>#REF!</v>
      </c>
      <c r="J218" s="31">
        <v>11</v>
      </c>
      <c r="K218" s="33" t="s">
        <v>73</v>
      </c>
      <c r="L218" s="31" t="s">
        <v>74</v>
      </c>
    </row>
    <row r="219" spans="1:12">
      <c r="A219" s="31" t="s">
        <v>75</v>
      </c>
      <c r="B219" s="39" t="e">
        <f>TRUNC((A205-SUM(C217:C218))/100000)</f>
        <v>#REF!</v>
      </c>
      <c r="C219" s="31" t="e">
        <f>B219*100000</f>
        <v>#REF!</v>
      </c>
      <c r="D219" s="31" t="e">
        <f t="shared" si="20"/>
        <v>#REF!</v>
      </c>
      <c r="E219" s="31" t="e">
        <f>IF(B219&lt;1,"",IF(B219&gt;1," Hundreds "," Hundred "))</f>
        <v>#REF!</v>
      </c>
      <c r="J219" s="31">
        <v>12</v>
      </c>
      <c r="K219" s="33" t="s">
        <v>76</v>
      </c>
      <c r="L219" s="31" t="str">
        <f t="shared" ref="L219:L226" si="21">L209&amp;" Belas"</f>
        <v>Dua Belas</v>
      </c>
    </row>
    <row r="220" spans="1:12">
      <c r="A220" s="33" t="s">
        <v>77</v>
      </c>
      <c r="B220" s="40" t="e">
        <f>TRUNC((A205-SUM(C217:C219))/1000)</f>
        <v>#REF!</v>
      </c>
      <c r="C220" s="31" t="e">
        <f>B220*1000</f>
        <v>#REF!</v>
      </c>
      <c r="D220" s="31" t="e">
        <f t="shared" si="20"/>
        <v>#REF!</v>
      </c>
      <c r="E220" s="31" t="e">
        <f>IF(B219+B220=0,"",IF(B220=1," Thousand "," Thousands "))</f>
        <v>#REF!</v>
      </c>
      <c r="J220" s="31">
        <v>13</v>
      </c>
      <c r="K220" s="33" t="s">
        <v>78</v>
      </c>
      <c r="L220" s="31" t="str">
        <f t="shared" si="21"/>
        <v>Tiga Belas</v>
      </c>
    </row>
    <row r="221" spans="1:12">
      <c r="A221" s="33" t="s">
        <v>79</v>
      </c>
      <c r="B221" s="40" t="e">
        <f>TRUNC((A205-SUM(C217:C220))/100)</f>
        <v>#REF!</v>
      </c>
      <c r="C221" s="31" t="e">
        <f>B221*100</f>
        <v>#REF!</v>
      </c>
      <c r="D221" s="31" t="e">
        <f t="shared" si="20"/>
        <v>#REF!</v>
      </c>
      <c r="E221" s="31" t="e">
        <f>IF(B221&lt;1,"",IF(B221&gt;1," Hundreds "," Hundred "))</f>
        <v>#REF!</v>
      </c>
      <c r="J221" s="31">
        <v>14</v>
      </c>
      <c r="K221" s="33" t="s">
        <v>80</v>
      </c>
      <c r="L221" s="31" t="str">
        <f t="shared" si="21"/>
        <v>Empat Belas</v>
      </c>
    </row>
    <row r="222" spans="1:12">
      <c r="A222" s="33" t="s">
        <v>81</v>
      </c>
      <c r="B222" s="41" t="e">
        <f>TRUNC((A205-SUM(C217:C221)))</f>
        <v>#REF!</v>
      </c>
      <c r="C222" s="42" t="e">
        <f>B222</f>
        <v>#REF!</v>
      </c>
      <c r="D222" s="31" t="e">
        <f t="shared" si="20"/>
        <v>#REF!</v>
      </c>
      <c r="E222" s="31" t="e">
        <f>IF(SUM(C217:C222)&lt;1,"",IF(B223&lt;1,""," And "))</f>
        <v>#REF!</v>
      </c>
      <c r="J222" s="31">
        <v>15</v>
      </c>
      <c r="K222" s="33" t="s">
        <v>82</v>
      </c>
      <c r="L222" s="31" t="str">
        <f t="shared" si="21"/>
        <v>Lima Belas</v>
      </c>
    </row>
    <row r="223" spans="1:12">
      <c r="A223" s="33" t="s">
        <v>83</v>
      </c>
      <c r="B223" s="40" t="e">
        <f>ROUND(A205-SUM(C217:C222),2)*100</f>
        <v>#REF!</v>
      </c>
      <c r="D223" s="43" t="e">
        <f t="shared" si="20"/>
        <v>#REF!</v>
      </c>
      <c r="E223" s="31" t="e">
        <f>IF(B223&lt;1,"",IF(B223=1," Cent "," Cents "))</f>
        <v>#REF!</v>
      </c>
      <c r="J223" s="31">
        <v>16</v>
      </c>
      <c r="K223" s="33" t="s">
        <v>84</v>
      </c>
      <c r="L223" s="31" t="str">
        <f t="shared" si="21"/>
        <v>Enam Belas</v>
      </c>
    </row>
    <row r="224" spans="1:12">
      <c r="J224" s="31">
        <v>17</v>
      </c>
      <c r="K224" s="33" t="s">
        <v>85</v>
      </c>
      <c r="L224" s="31" t="str">
        <f t="shared" si="21"/>
        <v>Tujuh Belas</v>
      </c>
    </row>
    <row r="225" spans="1:12">
      <c r="A225" s="44"/>
      <c r="J225" s="31">
        <v>18</v>
      </c>
      <c r="K225" s="33" t="s">
        <v>86</v>
      </c>
      <c r="L225" s="31" t="str">
        <f t="shared" si="21"/>
        <v>Delapan Belas</v>
      </c>
    </row>
    <row r="226" spans="1:12">
      <c r="A226" s="38" t="s">
        <v>87</v>
      </c>
      <c r="J226" s="31">
        <v>19</v>
      </c>
      <c r="K226" s="33" t="s">
        <v>88</v>
      </c>
      <c r="L226" s="31" t="str">
        <f t="shared" si="21"/>
        <v>Sembilan Belas</v>
      </c>
    </row>
    <row r="227" spans="1:12">
      <c r="A227" s="31" t="s">
        <v>69</v>
      </c>
      <c r="B227" s="39" t="e">
        <f>TRUNC(A205/100000000)</f>
        <v>#REF!</v>
      </c>
      <c r="C227" s="31" t="e">
        <f>B227*100000000</f>
        <v>#REF!</v>
      </c>
      <c r="D227" s="31" t="e">
        <f>IF(B227&lt;1,"",IF(B227=1,"",VLOOKUP(B227,$J$3:$L$102,3)))</f>
        <v>#REF!</v>
      </c>
      <c r="E227" s="31" t="e">
        <f>IF(B227&lt;1,"",IF(B227=1,"Seratus "," Ratus "))</f>
        <v>#REF!</v>
      </c>
      <c r="J227" s="31">
        <v>20</v>
      </c>
      <c r="K227" s="33" t="s">
        <v>89</v>
      </c>
      <c r="L227" s="31" t="s">
        <v>90</v>
      </c>
    </row>
    <row r="228" spans="1:12">
      <c r="A228" s="31" t="s">
        <v>72</v>
      </c>
      <c r="B228" s="39" t="e">
        <f>TRUNC((A205-C227)/1000000)</f>
        <v>#REF!</v>
      </c>
      <c r="C228" s="31" t="e">
        <f>B228*1000000</f>
        <v>#REF!</v>
      </c>
      <c r="D228" s="31" t="e">
        <f>IF(B228&lt;1,"",VLOOKUP(B228,$J$3:$L$102,3))</f>
        <v>#REF!</v>
      </c>
      <c r="E228" s="31" t="e">
        <f>IF(B227+B228=0,""," Juta ")</f>
        <v>#REF!</v>
      </c>
      <c r="J228" s="31">
        <v>21</v>
      </c>
      <c r="K228" s="33" t="s">
        <v>91</v>
      </c>
      <c r="L228" s="31" t="str">
        <f t="shared" ref="L228:L236" si="22">$L$23&amp;" "&amp;L208</f>
        <v>Dua Puluh Satu</v>
      </c>
    </row>
    <row r="229" spans="1:12">
      <c r="A229" s="31" t="s">
        <v>75</v>
      </c>
      <c r="B229" s="39" t="e">
        <f>TRUNC((A205-SUM(C227:C228))/100000)</f>
        <v>#REF!</v>
      </c>
      <c r="C229" s="31" t="e">
        <f>B229*100000</f>
        <v>#REF!</v>
      </c>
      <c r="D229" s="31" t="e">
        <f>IF(B229&lt;1,"",IF(B229=1,"",VLOOKUP(B229,$J$3:$L$102,3)))</f>
        <v>#REF!</v>
      </c>
      <c r="E229" s="31" t="e">
        <f>IF(B229&lt;1,"",IF(B229=1," Seratus "," Ratus "))</f>
        <v>#REF!</v>
      </c>
      <c r="J229" s="31">
        <v>22</v>
      </c>
      <c r="K229" s="33" t="s">
        <v>92</v>
      </c>
      <c r="L229" s="31" t="str">
        <f t="shared" si="22"/>
        <v>Dua Puluh Dua</v>
      </c>
    </row>
    <row r="230" spans="1:12">
      <c r="A230" s="33" t="s">
        <v>77</v>
      </c>
      <c r="B230" s="40" t="e">
        <f>TRUNC((A205-SUM(C227:C229))/1000)</f>
        <v>#REF!</v>
      </c>
      <c r="C230" s="31" t="e">
        <f>B230*1000</f>
        <v>#REF!</v>
      </c>
      <c r="D230" s="31" t="e">
        <f>IF(B230&lt;1,"",IF(B230=1,"",VLOOKUP(B230,$J$3:$L$102,3)))</f>
        <v>#REF!</v>
      </c>
      <c r="E230" s="31" t="e">
        <f>IF(B229+B230&lt;1,"",IF(B230=1," Seribu "," Ribu "))</f>
        <v>#REF!</v>
      </c>
      <c r="J230" s="31">
        <v>23</v>
      </c>
      <c r="K230" s="33" t="s">
        <v>93</v>
      </c>
      <c r="L230" s="31" t="str">
        <f t="shared" si="22"/>
        <v>Dua Puluh Tiga</v>
      </c>
    </row>
    <row r="231" spans="1:12">
      <c r="A231" s="33" t="s">
        <v>79</v>
      </c>
      <c r="B231" s="40" t="e">
        <f>TRUNC((A205-SUM(C227:C230))/100)</f>
        <v>#REF!</v>
      </c>
      <c r="C231" s="31" t="e">
        <f>B231*100</f>
        <v>#REF!</v>
      </c>
      <c r="D231" s="31" t="e">
        <f>IF(B231&lt;1,"",IF(B231=1,"",VLOOKUP(B231,$J$3:$L$102,3)))</f>
        <v>#REF!</v>
      </c>
      <c r="E231" s="31" t="e">
        <f>IF(B231&lt;1,"",IF(B231=1," Seratus "," Ratus "))</f>
        <v>#REF!</v>
      </c>
      <c r="J231" s="31">
        <v>24</v>
      </c>
      <c r="K231" s="33" t="s">
        <v>94</v>
      </c>
      <c r="L231" s="31" t="str">
        <f t="shared" si="22"/>
        <v>Dua Puluh Empat</v>
      </c>
    </row>
    <row r="232" spans="1:12">
      <c r="A232" s="33" t="s">
        <v>81</v>
      </c>
      <c r="B232" s="41" t="e">
        <f>TRUNC((A205-SUM(C227:C231)))</f>
        <v>#REF!</v>
      </c>
      <c r="C232" s="42" t="e">
        <f>B232</f>
        <v>#REF!</v>
      </c>
      <c r="D232" s="31" t="e">
        <f>IF(B232&lt;1,"",VLOOKUP(B232,$J$3:$L$102,3))</f>
        <v>#REF!</v>
      </c>
      <c r="E232" s="31" t="e">
        <f>IF(SUM(C227:C232)&lt;1,"",IF(B233&lt;1,""," Dan "))</f>
        <v>#REF!</v>
      </c>
      <c r="J232" s="31">
        <v>25</v>
      </c>
      <c r="K232" s="33" t="s">
        <v>95</v>
      </c>
      <c r="L232" s="31" t="str">
        <f t="shared" si="22"/>
        <v>Dua Puluh Lima</v>
      </c>
    </row>
    <row r="233" spans="1:12">
      <c r="A233" s="33" t="s">
        <v>83</v>
      </c>
      <c r="B233" s="40" t="e">
        <f>ROUND(A205-SUM(C227:C232),2)*100</f>
        <v>#REF!</v>
      </c>
      <c r="D233" s="31" t="e">
        <f>IF(B233&lt;1,"",VLOOKUP(B233,$J$3:$L$102,3))</f>
        <v>#REF!</v>
      </c>
      <c r="E233" s="31" t="e">
        <f>IF(B233&lt;1,""," Sen ")</f>
        <v>#REF!</v>
      </c>
      <c r="J233" s="31">
        <v>26</v>
      </c>
      <c r="K233" s="33" t="s">
        <v>96</v>
      </c>
      <c r="L233" s="31" t="str">
        <f t="shared" si="22"/>
        <v>Dua Puluh Enam</v>
      </c>
    </row>
    <row r="234" spans="1:12">
      <c r="J234" s="31">
        <v>27</v>
      </c>
      <c r="K234" s="33" t="s">
        <v>97</v>
      </c>
      <c r="L234" s="31" t="str">
        <f t="shared" si="22"/>
        <v>Dua Puluh Tujuh</v>
      </c>
    </row>
    <row r="235" spans="1:12">
      <c r="J235" s="31">
        <v>28</v>
      </c>
      <c r="K235" s="33" t="s">
        <v>98</v>
      </c>
      <c r="L235" s="31" t="str">
        <f t="shared" si="22"/>
        <v>Dua Puluh Delapan</v>
      </c>
    </row>
    <row r="236" spans="1:12">
      <c r="J236" s="31">
        <v>29</v>
      </c>
      <c r="K236" s="33" t="s">
        <v>99</v>
      </c>
      <c r="L236" s="31" t="str">
        <f t="shared" si="22"/>
        <v>Dua Puluh Sembilan</v>
      </c>
    </row>
    <row r="237" spans="1:12">
      <c r="J237" s="31">
        <v>30</v>
      </c>
      <c r="K237" s="33" t="s">
        <v>100</v>
      </c>
      <c r="L237" s="31" t="s">
        <v>101</v>
      </c>
    </row>
    <row r="238" spans="1:12">
      <c r="J238" s="31">
        <v>31</v>
      </c>
      <c r="K238" s="33" t="s">
        <v>102</v>
      </c>
      <c r="L238" s="31" t="str">
        <f t="shared" ref="L238:L246" si="23">$L$33&amp;" "&amp;L208</f>
        <v>Tiga Puluh Satu</v>
      </c>
    </row>
    <row r="239" spans="1:12">
      <c r="J239" s="31">
        <v>32</v>
      </c>
      <c r="K239" s="33" t="s">
        <v>103</v>
      </c>
      <c r="L239" s="31" t="str">
        <f t="shared" si="23"/>
        <v>Tiga Puluh Dua</v>
      </c>
    </row>
    <row r="240" spans="1:12">
      <c r="J240" s="31">
        <v>33</v>
      </c>
      <c r="K240" s="33" t="s">
        <v>104</v>
      </c>
      <c r="L240" s="31" t="str">
        <f t="shared" si="23"/>
        <v>Tiga Puluh Tiga</v>
      </c>
    </row>
    <row r="241" spans="1:12">
      <c r="J241" s="31">
        <v>34</v>
      </c>
      <c r="K241" s="33" t="s">
        <v>105</v>
      </c>
      <c r="L241" s="31" t="str">
        <f t="shared" si="23"/>
        <v>Tiga Puluh Empat</v>
      </c>
    </row>
    <row r="242" spans="1:12">
      <c r="J242" s="31">
        <v>35</v>
      </c>
      <c r="K242" s="33" t="s">
        <v>106</v>
      </c>
      <c r="L242" s="31" t="str">
        <f t="shared" si="23"/>
        <v>Tiga Puluh Lima</v>
      </c>
    </row>
    <row r="243" spans="1:12">
      <c r="J243" s="31">
        <v>36</v>
      </c>
      <c r="K243" s="33" t="s">
        <v>107</v>
      </c>
      <c r="L243" s="31" t="str">
        <f t="shared" si="23"/>
        <v>Tiga Puluh Enam</v>
      </c>
    </row>
    <row r="244" spans="1:12">
      <c r="J244" s="31">
        <v>37</v>
      </c>
      <c r="K244" s="33" t="s">
        <v>108</v>
      </c>
      <c r="L244" s="31" t="str">
        <f t="shared" si="23"/>
        <v>Tiga Puluh Tujuh</v>
      </c>
    </row>
    <row r="245" spans="1:12">
      <c r="J245" s="31">
        <v>38</v>
      </c>
      <c r="K245" s="33" t="s">
        <v>109</v>
      </c>
      <c r="L245" s="31" t="str">
        <f t="shared" si="23"/>
        <v>Tiga Puluh Delapan</v>
      </c>
    </row>
    <row r="246" spans="1:12">
      <c r="J246" s="31">
        <v>39</v>
      </c>
      <c r="K246" s="33" t="s">
        <v>110</v>
      </c>
      <c r="L246" s="31" t="str">
        <f t="shared" si="23"/>
        <v>Tiga Puluh Sembilan</v>
      </c>
    </row>
    <row r="247" spans="1:12">
      <c r="B247" s="35"/>
      <c r="C247" s="35"/>
      <c r="D247" s="35"/>
      <c r="J247" s="31">
        <v>40</v>
      </c>
      <c r="K247" s="33" t="s">
        <v>111</v>
      </c>
      <c r="L247" s="31" t="s">
        <v>112</v>
      </c>
    </row>
    <row r="248" spans="1:12">
      <c r="A248" s="35"/>
      <c r="B248" s="35"/>
      <c r="C248" s="35"/>
      <c r="D248" s="35"/>
      <c r="J248" s="31">
        <v>41</v>
      </c>
      <c r="K248" s="33" t="s">
        <v>113</v>
      </c>
      <c r="L248" s="31" t="str">
        <f t="shared" ref="L248:L256" si="24">$L$43&amp;" "&amp;L208</f>
        <v>Empat Puluh Satu</v>
      </c>
    </row>
    <row r="249" spans="1:12">
      <c r="J249" s="31">
        <v>42</v>
      </c>
      <c r="K249" s="33" t="s">
        <v>114</v>
      </c>
      <c r="L249" s="31" t="str">
        <f t="shared" si="24"/>
        <v>Empat Puluh Dua</v>
      </c>
    </row>
    <row r="250" spans="1:12">
      <c r="A250" s="38"/>
      <c r="J250" s="31">
        <v>43</v>
      </c>
      <c r="K250" s="33" t="s">
        <v>115</v>
      </c>
      <c r="L250" s="31" t="str">
        <f t="shared" si="24"/>
        <v>Empat Puluh Tiga</v>
      </c>
    </row>
    <row r="251" spans="1:12">
      <c r="J251" s="31">
        <v>44</v>
      </c>
      <c r="K251" s="33" t="s">
        <v>116</v>
      </c>
      <c r="L251" s="31" t="str">
        <f t="shared" si="24"/>
        <v>Empat Puluh Empat</v>
      </c>
    </row>
    <row r="252" spans="1:12">
      <c r="J252" s="31">
        <v>45</v>
      </c>
      <c r="K252" s="33" t="s">
        <v>117</v>
      </c>
      <c r="L252" s="31" t="str">
        <f t="shared" si="24"/>
        <v>Empat Puluh Lima</v>
      </c>
    </row>
    <row r="253" spans="1:12">
      <c r="J253" s="31">
        <v>46</v>
      </c>
      <c r="K253" s="33" t="s">
        <v>118</v>
      </c>
      <c r="L253" s="31" t="str">
        <f t="shared" si="24"/>
        <v>Empat Puluh Enam</v>
      </c>
    </row>
    <row r="254" spans="1:12">
      <c r="J254" s="31">
        <v>47</v>
      </c>
      <c r="K254" s="33" t="s">
        <v>119</v>
      </c>
      <c r="L254" s="31" t="str">
        <f t="shared" si="24"/>
        <v>Empat Puluh Tujuh</v>
      </c>
    </row>
    <row r="255" spans="1:12">
      <c r="J255" s="31">
        <v>48</v>
      </c>
      <c r="K255" s="33" t="s">
        <v>120</v>
      </c>
      <c r="L255" s="31" t="str">
        <f t="shared" si="24"/>
        <v>Empat Puluh Delapan</v>
      </c>
    </row>
    <row r="256" spans="1:12">
      <c r="J256" s="31">
        <v>49</v>
      </c>
      <c r="K256" s="33" t="s">
        <v>121</v>
      </c>
      <c r="L256" s="31" t="str">
        <f t="shared" si="24"/>
        <v>Empat Puluh Sembilan</v>
      </c>
    </row>
    <row r="257" spans="10:12">
      <c r="J257" s="31">
        <v>50</v>
      </c>
      <c r="K257" s="33" t="s">
        <v>122</v>
      </c>
      <c r="L257" s="31" t="s">
        <v>123</v>
      </c>
    </row>
    <row r="258" spans="10:12">
      <c r="J258" s="31">
        <v>51</v>
      </c>
      <c r="K258" s="33" t="s">
        <v>124</v>
      </c>
      <c r="L258" s="31" t="str">
        <f t="shared" ref="L258:L266" si="25">$L$53&amp;" "&amp;L208</f>
        <v>Lima Puluh Satu</v>
      </c>
    </row>
    <row r="259" spans="10:12">
      <c r="J259" s="31">
        <v>52</v>
      </c>
      <c r="K259" s="33" t="s">
        <v>125</v>
      </c>
      <c r="L259" s="31" t="str">
        <f t="shared" si="25"/>
        <v>Lima Puluh Dua</v>
      </c>
    </row>
    <row r="260" spans="10:12">
      <c r="J260" s="31">
        <v>53</v>
      </c>
      <c r="K260" s="33" t="s">
        <v>126</v>
      </c>
      <c r="L260" s="31" t="str">
        <f t="shared" si="25"/>
        <v>Lima Puluh Tiga</v>
      </c>
    </row>
    <row r="261" spans="10:12">
      <c r="J261" s="31">
        <v>54</v>
      </c>
      <c r="K261" s="33" t="s">
        <v>127</v>
      </c>
      <c r="L261" s="31" t="str">
        <f t="shared" si="25"/>
        <v>Lima Puluh Empat</v>
      </c>
    </row>
    <row r="262" spans="10:12">
      <c r="J262" s="31">
        <v>55</v>
      </c>
      <c r="K262" s="33" t="s">
        <v>128</v>
      </c>
      <c r="L262" s="31" t="str">
        <f t="shared" si="25"/>
        <v>Lima Puluh Lima</v>
      </c>
    </row>
    <row r="263" spans="10:12">
      <c r="J263" s="31">
        <v>56</v>
      </c>
      <c r="K263" s="33" t="s">
        <v>129</v>
      </c>
      <c r="L263" s="31" t="str">
        <f t="shared" si="25"/>
        <v>Lima Puluh Enam</v>
      </c>
    </row>
    <row r="264" spans="10:12">
      <c r="J264" s="31">
        <v>57</v>
      </c>
      <c r="K264" s="33" t="s">
        <v>130</v>
      </c>
      <c r="L264" s="31" t="str">
        <f t="shared" si="25"/>
        <v>Lima Puluh Tujuh</v>
      </c>
    </row>
    <row r="265" spans="10:12">
      <c r="J265" s="31">
        <v>58</v>
      </c>
      <c r="K265" s="33" t="s">
        <v>131</v>
      </c>
      <c r="L265" s="31" t="str">
        <f t="shared" si="25"/>
        <v>Lima Puluh Delapan</v>
      </c>
    </row>
    <row r="266" spans="10:12">
      <c r="J266" s="31">
        <v>59</v>
      </c>
      <c r="K266" s="33" t="s">
        <v>132</v>
      </c>
      <c r="L266" s="31" t="str">
        <f t="shared" si="25"/>
        <v>Lima Puluh Sembilan</v>
      </c>
    </row>
    <row r="267" spans="10:12">
      <c r="J267" s="31">
        <v>60</v>
      </c>
      <c r="K267" s="33" t="s">
        <v>133</v>
      </c>
      <c r="L267" s="31" t="s">
        <v>134</v>
      </c>
    </row>
    <row r="268" spans="10:12">
      <c r="J268" s="31">
        <v>61</v>
      </c>
      <c r="K268" s="33" t="s">
        <v>135</v>
      </c>
      <c r="L268" s="31" t="str">
        <f t="shared" ref="L268:L276" si="26">$L$63&amp;" "&amp;L208</f>
        <v>Enam Puluh Satu</v>
      </c>
    </row>
    <row r="269" spans="10:12">
      <c r="J269" s="31">
        <v>62</v>
      </c>
      <c r="K269" s="33" t="s">
        <v>136</v>
      </c>
      <c r="L269" s="31" t="str">
        <f t="shared" si="26"/>
        <v>Enam Puluh Dua</v>
      </c>
    </row>
    <row r="270" spans="10:12">
      <c r="J270" s="31">
        <v>63</v>
      </c>
      <c r="K270" s="33" t="s">
        <v>137</v>
      </c>
      <c r="L270" s="31" t="str">
        <f t="shared" si="26"/>
        <v>Enam Puluh Tiga</v>
      </c>
    </row>
    <row r="271" spans="10:12">
      <c r="J271" s="31">
        <v>64</v>
      </c>
      <c r="K271" s="33" t="s">
        <v>138</v>
      </c>
      <c r="L271" s="31" t="str">
        <f t="shared" si="26"/>
        <v>Enam Puluh Empat</v>
      </c>
    </row>
    <row r="272" spans="10:12">
      <c r="J272" s="31">
        <v>65</v>
      </c>
      <c r="K272" s="33" t="s">
        <v>139</v>
      </c>
      <c r="L272" s="31" t="str">
        <f t="shared" si="26"/>
        <v>Enam Puluh Lima</v>
      </c>
    </row>
    <row r="273" spans="10:12">
      <c r="J273" s="31">
        <v>66</v>
      </c>
      <c r="K273" s="33" t="s">
        <v>140</v>
      </c>
      <c r="L273" s="31" t="str">
        <f t="shared" si="26"/>
        <v>Enam Puluh Enam</v>
      </c>
    </row>
    <row r="274" spans="10:12">
      <c r="J274" s="31">
        <v>67</v>
      </c>
      <c r="K274" s="33" t="s">
        <v>141</v>
      </c>
      <c r="L274" s="31" t="str">
        <f t="shared" si="26"/>
        <v>Enam Puluh Tujuh</v>
      </c>
    </row>
    <row r="275" spans="10:12">
      <c r="J275" s="31">
        <v>68</v>
      </c>
      <c r="K275" s="33" t="s">
        <v>142</v>
      </c>
      <c r="L275" s="31" t="str">
        <f t="shared" si="26"/>
        <v>Enam Puluh Delapan</v>
      </c>
    </row>
    <row r="276" spans="10:12">
      <c r="J276" s="31">
        <v>69</v>
      </c>
      <c r="K276" s="33" t="s">
        <v>143</v>
      </c>
      <c r="L276" s="31" t="str">
        <f t="shared" si="26"/>
        <v>Enam Puluh Sembilan</v>
      </c>
    </row>
    <row r="277" spans="10:12">
      <c r="J277" s="31">
        <v>70</v>
      </c>
      <c r="K277" s="33" t="s">
        <v>144</v>
      </c>
      <c r="L277" s="31" t="s">
        <v>145</v>
      </c>
    </row>
    <row r="278" spans="10:12">
      <c r="J278" s="31">
        <v>71</v>
      </c>
      <c r="K278" s="33" t="s">
        <v>146</v>
      </c>
      <c r="L278" s="31" t="str">
        <f t="shared" ref="L278:L286" si="27">$L$73&amp;" "&amp;L208</f>
        <v>Tujuh Puluh Satu</v>
      </c>
    </row>
    <row r="279" spans="10:12">
      <c r="J279" s="31">
        <v>72</v>
      </c>
      <c r="K279" s="33" t="s">
        <v>147</v>
      </c>
      <c r="L279" s="31" t="str">
        <f t="shared" si="27"/>
        <v>Tujuh Puluh Dua</v>
      </c>
    </row>
    <row r="280" spans="10:12">
      <c r="J280" s="31">
        <v>73</v>
      </c>
      <c r="K280" s="33" t="s">
        <v>148</v>
      </c>
      <c r="L280" s="31" t="str">
        <f t="shared" si="27"/>
        <v>Tujuh Puluh Tiga</v>
      </c>
    </row>
    <row r="281" spans="10:12">
      <c r="J281" s="31">
        <v>74</v>
      </c>
      <c r="K281" s="33" t="s">
        <v>149</v>
      </c>
      <c r="L281" s="31" t="str">
        <f t="shared" si="27"/>
        <v>Tujuh Puluh Empat</v>
      </c>
    </row>
    <row r="282" spans="10:12">
      <c r="J282" s="31">
        <v>75</v>
      </c>
      <c r="K282" s="33" t="s">
        <v>150</v>
      </c>
      <c r="L282" s="31" t="str">
        <f t="shared" si="27"/>
        <v>Tujuh Puluh Lima</v>
      </c>
    </row>
    <row r="283" spans="10:12">
      <c r="J283" s="31">
        <v>76</v>
      </c>
      <c r="K283" s="33" t="s">
        <v>151</v>
      </c>
      <c r="L283" s="31" t="str">
        <f t="shared" si="27"/>
        <v>Tujuh Puluh Enam</v>
      </c>
    </row>
    <row r="284" spans="10:12">
      <c r="J284" s="31">
        <v>77</v>
      </c>
      <c r="K284" s="33" t="s">
        <v>152</v>
      </c>
      <c r="L284" s="31" t="str">
        <f t="shared" si="27"/>
        <v>Tujuh Puluh Tujuh</v>
      </c>
    </row>
    <row r="285" spans="10:12">
      <c r="J285" s="31">
        <v>78</v>
      </c>
      <c r="K285" s="33" t="s">
        <v>153</v>
      </c>
      <c r="L285" s="31" t="str">
        <f t="shared" si="27"/>
        <v>Tujuh Puluh Delapan</v>
      </c>
    </row>
    <row r="286" spans="10:12">
      <c r="J286" s="31">
        <v>79</v>
      </c>
      <c r="K286" s="33" t="s">
        <v>154</v>
      </c>
      <c r="L286" s="31" t="str">
        <f t="shared" si="27"/>
        <v>Tujuh Puluh Sembilan</v>
      </c>
    </row>
    <row r="287" spans="10:12">
      <c r="J287" s="31">
        <v>80</v>
      </c>
      <c r="K287" s="33" t="s">
        <v>155</v>
      </c>
      <c r="L287" s="31" t="s">
        <v>156</v>
      </c>
    </row>
    <row r="288" spans="10:12">
      <c r="J288" s="31">
        <v>81</v>
      </c>
      <c r="K288" s="33" t="s">
        <v>157</v>
      </c>
      <c r="L288" s="31" t="str">
        <f t="shared" ref="L288:L296" si="28">$L$83&amp;" "&amp;L208</f>
        <v>Delapan Puluh Satu</v>
      </c>
    </row>
    <row r="289" spans="10:12">
      <c r="J289" s="31">
        <v>82</v>
      </c>
      <c r="K289" s="33" t="s">
        <v>158</v>
      </c>
      <c r="L289" s="31" t="str">
        <f t="shared" si="28"/>
        <v>Delapan Puluh Dua</v>
      </c>
    </row>
    <row r="290" spans="10:12">
      <c r="J290" s="31">
        <v>83</v>
      </c>
      <c r="K290" s="33" t="s">
        <v>159</v>
      </c>
      <c r="L290" s="31" t="str">
        <f t="shared" si="28"/>
        <v>Delapan Puluh Tiga</v>
      </c>
    </row>
    <row r="291" spans="10:12">
      <c r="J291" s="31">
        <v>84</v>
      </c>
      <c r="K291" s="33" t="s">
        <v>160</v>
      </c>
      <c r="L291" s="31" t="str">
        <f t="shared" si="28"/>
        <v>Delapan Puluh Empat</v>
      </c>
    </row>
    <row r="292" spans="10:12">
      <c r="J292" s="31">
        <v>85</v>
      </c>
      <c r="K292" s="33" t="s">
        <v>161</v>
      </c>
      <c r="L292" s="31" t="str">
        <f t="shared" si="28"/>
        <v>Delapan Puluh Lima</v>
      </c>
    </row>
    <row r="293" spans="10:12">
      <c r="J293" s="31">
        <v>86</v>
      </c>
      <c r="K293" s="33" t="s">
        <v>162</v>
      </c>
      <c r="L293" s="31" t="str">
        <f t="shared" si="28"/>
        <v>Delapan Puluh Enam</v>
      </c>
    </row>
    <row r="294" spans="10:12">
      <c r="J294" s="31">
        <v>87</v>
      </c>
      <c r="K294" s="33" t="s">
        <v>163</v>
      </c>
      <c r="L294" s="31" t="str">
        <f t="shared" si="28"/>
        <v>Delapan Puluh Tujuh</v>
      </c>
    </row>
    <row r="295" spans="10:12">
      <c r="J295" s="31">
        <v>88</v>
      </c>
      <c r="K295" s="33" t="s">
        <v>164</v>
      </c>
      <c r="L295" s="31" t="str">
        <f t="shared" si="28"/>
        <v>Delapan Puluh Delapan</v>
      </c>
    </row>
    <row r="296" spans="10:12">
      <c r="J296" s="31">
        <v>89</v>
      </c>
      <c r="K296" s="33" t="s">
        <v>165</v>
      </c>
      <c r="L296" s="31" t="str">
        <f t="shared" si="28"/>
        <v>Delapan Puluh Sembilan</v>
      </c>
    </row>
    <row r="297" spans="10:12">
      <c r="J297" s="31">
        <v>90</v>
      </c>
      <c r="K297" s="33" t="s">
        <v>166</v>
      </c>
      <c r="L297" s="31" t="s">
        <v>167</v>
      </c>
    </row>
    <row r="298" spans="10:12">
      <c r="J298" s="31">
        <v>91</v>
      </c>
      <c r="K298" s="33" t="s">
        <v>168</v>
      </c>
      <c r="L298" s="31" t="str">
        <f t="shared" ref="L298:L306" si="29">$L$93&amp;" "&amp;L208</f>
        <v>Sembilan Puluh Satu</v>
      </c>
    </row>
    <row r="299" spans="10:12">
      <c r="J299" s="31">
        <v>92</v>
      </c>
      <c r="K299" s="33" t="s">
        <v>169</v>
      </c>
      <c r="L299" s="31" t="str">
        <f t="shared" si="29"/>
        <v>Sembilan Puluh Dua</v>
      </c>
    </row>
    <row r="300" spans="10:12">
      <c r="J300" s="31">
        <v>93</v>
      </c>
      <c r="K300" s="33" t="s">
        <v>170</v>
      </c>
      <c r="L300" s="31" t="str">
        <f t="shared" si="29"/>
        <v>Sembilan Puluh Tiga</v>
      </c>
    </row>
    <row r="301" spans="10:12">
      <c r="J301" s="31">
        <v>94</v>
      </c>
      <c r="K301" s="33" t="s">
        <v>171</v>
      </c>
      <c r="L301" s="31" t="str">
        <f t="shared" si="29"/>
        <v>Sembilan Puluh Empat</v>
      </c>
    </row>
    <row r="302" spans="10:12">
      <c r="J302" s="31">
        <v>95</v>
      </c>
      <c r="K302" s="33" t="s">
        <v>172</v>
      </c>
      <c r="L302" s="31" t="str">
        <f t="shared" si="29"/>
        <v>Sembilan Puluh Lima</v>
      </c>
    </row>
    <row r="303" spans="10:12">
      <c r="J303" s="31">
        <v>96</v>
      </c>
      <c r="K303" s="33" t="s">
        <v>173</v>
      </c>
      <c r="L303" s="31" t="str">
        <f t="shared" si="29"/>
        <v>Sembilan Puluh Enam</v>
      </c>
    </row>
    <row r="304" spans="10:12">
      <c r="J304" s="31">
        <v>97</v>
      </c>
      <c r="K304" s="33" t="s">
        <v>174</v>
      </c>
      <c r="L304" s="31" t="str">
        <f t="shared" si="29"/>
        <v>Sembilan Puluh Tujuh</v>
      </c>
    </row>
    <row r="305" spans="1:12">
      <c r="J305" s="31">
        <v>98</v>
      </c>
      <c r="K305" s="33" t="s">
        <v>175</v>
      </c>
      <c r="L305" s="31" t="str">
        <f t="shared" si="29"/>
        <v>Sembilan Puluh Delapan</v>
      </c>
    </row>
    <row r="306" spans="1:12">
      <c r="J306" s="31">
        <v>99</v>
      </c>
      <c r="K306" s="33" t="s">
        <v>176</v>
      </c>
      <c r="L306" s="31" t="str">
        <f t="shared" si="29"/>
        <v>Sembilan Puluh Sembilan</v>
      </c>
    </row>
    <row r="307" spans="1:12">
      <c r="A307" s="30" t="e">
        <f>#REF!</f>
        <v>#REF!</v>
      </c>
      <c r="C307" s="31" t="s">
        <v>238</v>
      </c>
    </row>
    <row r="308" spans="1:12">
      <c r="A308" s="32"/>
    </row>
    <row r="309" spans="1:12">
      <c r="J309" s="31">
        <v>0</v>
      </c>
      <c r="K309" s="33" t="s">
        <v>48</v>
      </c>
      <c r="L309" s="31" t="s">
        <v>49</v>
      </c>
    </row>
    <row r="310" spans="1:12">
      <c r="A310" s="34"/>
      <c r="J310" s="31">
        <v>1</v>
      </c>
      <c r="K310" s="33" t="s">
        <v>50</v>
      </c>
      <c r="L310" s="31" t="s">
        <v>51</v>
      </c>
    </row>
    <row r="311" spans="1:12">
      <c r="A311" s="255" t="e">
        <f>TRIM(D319&amp;E319&amp;D320&amp;E320&amp;D321&amp;E321&amp;D322&amp;E322&amp;D323&amp;E323&amp;D324&amp;E324&amp;E325&amp;D325&amp;" Only")</f>
        <v>#REF!</v>
      </c>
      <c r="B311" s="255"/>
      <c r="C311" s="255"/>
      <c r="D311" s="255"/>
      <c r="E311" s="35"/>
      <c r="F311" s="36"/>
      <c r="J311" s="31">
        <v>2</v>
      </c>
      <c r="K311" s="33" t="s">
        <v>52</v>
      </c>
      <c r="L311" s="31" t="s">
        <v>53</v>
      </c>
    </row>
    <row r="312" spans="1:12">
      <c r="A312" s="37"/>
      <c r="B312" s="37"/>
      <c r="C312" s="37"/>
      <c r="D312" s="37"/>
      <c r="E312" s="35"/>
      <c r="F312" s="36"/>
      <c r="J312" s="31">
        <v>3</v>
      </c>
      <c r="K312" s="33" t="s">
        <v>54</v>
      </c>
      <c r="L312" s="31" t="s">
        <v>55</v>
      </c>
    </row>
    <row r="313" spans="1:12">
      <c r="A313" s="37"/>
      <c r="B313" s="37"/>
      <c r="C313" s="37"/>
      <c r="D313" s="37"/>
      <c r="J313" s="31">
        <v>4</v>
      </c>
      <c r="K313" s="33" t="s">
        <v>56</v>
      </c>
      <c r="L313" s="31" t="s">
        <v>57</v>
      </c>
    </row>
    <row r="314" spans="1:12">
      <c r="A314" s="255" t="e">
        <f>TRIM(D329&amp;E329&amp;D330&amp;E330&amp;D331&amp;E331&amp;D332&amp;E332&amp;D333&amp;E333&amp;D334&amp;E334&amp;D335&amp;E335&amp;" Rupiah")</f>
        <v>#REF!</v>
      </c>
      <c r="B314" s="255"/>
      <c r="C314" s="255"/>
      <c r="D314" s="255"/>
      <c r="E314" s="35"/>
      <c r="F314" s="36"/>
      <c r="J314" s="31">
        <v>5</v>
      </c>
      <c r="K314" s="33" t="s">
        <v>58</v>
      </c>
      <c r="L314" s="31" t="s">
        <v>59</v>
      </c>
    </row>
    <row r="315" spans="1:12">
      <c r="A315" s="35"/>
      <c r="B315" s="35"/>
      <c r="C315" s="35"/>
      <c r="D315" s="35"/>
      <c r="E315" s="35"/>
      <c r="F315" s="36"/>
      <c r="J315" s="31">
        <v>6</v>
      </c>
      <c r="K315" s="33" t="s">
        <v>60</v>
      </c>
      <c r="L315" s="31" t="s">
        <v>61</v>
      </c>
    </row>
    <row r="316" spans="1:12">
      <c r="J316" s="31">
        <v>7</v>
      </c>
      <c r="K316" s="33" t="s">
        <v>62</v>
      </c>
      <c r="L316" s="31" t="s">
        <v>63</v>
      </c>
    </row>
    <row r="317" spans="1:12">
      <c r="J317" s="31">
        <v>8</v>
      </c>
      <c r="K317" s="33" t="s">
        <v>64</v>
      </c>
      <c r="L317" s="31" t="s">
        <v>65</v>
      </c>
    </row>
    <row r="318" spans="1:12">
      <c r="A318" s="38" t="s">
        <v>66</v>
      </c>
      <c r="J318" s="31">
        <v>9</v>
      </c>
      <c r="K318" s="33" t="s">
        <v>67</v>
      </c>
      <c r="L318" s="31" t="s">
        <v>68</v>
      </c>
    </row>
    <row r="319" spans="1:12">
      <c r="A319" s="31" t="s">
        <v>69</v>
      </c>
      <c r="B319" s="39" t="e">
        <f>TRUNC(A307/100000000)</f>
        <v>#REF!</v>
      </c>
      <c r="C319" s="31" t="e">
        <f>B319*100000000</f>
        <v>#REF!</v>
      </c>
      <c r="D319" s="31" t="e">
        <f t="shared" ref="D319:D325" si="30">IF(B319&lt;1,"",VLOOKUP(B319,$J$3:$K$102,2))</f>
        <v>#REF!</v>
      </c>
      <c r="E319" s="31" t="e">
        <f>IF(B319&lt;1,"",IF(B319&gt;1," Hundreds "," Hundred "))</f>
        <v>#REF!</v>
      </c>
      <c r="J319" s="31">
        <v>10</v>
      </c>
      <c r="K319" s="33" t="s">
        <v>70</v>
      </c>
      <c r="L319" s="31" t="s">
        <v>71</v>
      </c>
    </row>
    <row r="320" spans="1:12">
      <c r="A320" s="31" t="s">
        <v>72</v>
      </c>
      <c r="B320" s="39" t="e">
        <f>TRUNC((A307-C319)/1000000)</f>
        <v>#REF!</v>
      </c>
      <c r="C320" s="31" t="e">
        <f>B320*1000000</f>
        <v>#REF!</v>
      </c>
      <c r="D320" s="31" t="e">
        <f t="shared" si="30"/>
        <v>#REF!</v>
      </c>
      <c r="E320" s="31" t="e">
        <f>IF(B319+B320=0,"",IF(B320=1," Million "," Millions "))</f>
        <v>#REF!</v>
      </c>
      <c r="J320" s="31">
        <v>11</v>
      </c>
      <c r="K320" s="33" t="s">
        <v>73</v>
      </c>
      <c r="L320" s="31" t="s">
        <v>74</v>
      </c>
    </row>
    <row r="321" spans="1:12">
      <c r="A321" s="31" t="s">
        <v>75</v>
      </c>
      <c r="B321" s="39" t="e">
        <f>TRUNC((A307-SUM(C319:C320))/100000)</f>
        <v>#REF!</v>
      </c>
      <c r="C321" s="31" t="e">
        <f>B321*100000</f>
        <v>#REF!</v>
      </c>
      <c r="D321" s="31" t="e">
        <f t="shared" si="30"/>
        <v>#REF!</v>
      </c>
      <c r="E321" s="31" t="e">
        <f>IF(B321&lt;1,"",IF(B321&gt;1," Hundreds "," Hundred "))</f>
        <v>#REF!</v>
      </c>
      <c r="J321" s="31">
        <v>12</v>
      </c>
      <c r="K321" s="33" t="s">
        <v>76</v>
      </c>
      <c r="L321" s="31" t="str">
        <f t="shared" ref="L321:L328" si="31">L311&amp;" Belas"</f>
        <v>Dua Belas</v>
      </c>
    </row>
    <row r="322" spans="1:12">
      <c r="A322" s="33" t="s">
        <v>77</v>
      </c>
      <c r="B322" s="40" t="e">
        <f>TRUNC((A307-SUM(C319:C321))/1000)</f>
        <v>#REF!</v>
      </c>
      <c r="C322" s="31" t="e">
        <f>B322*1000</f>
        <v>#REF!</v>
      </c>
      <c r="D322" s="31" t="e">
        <f t="shared" si="30"/>
        <v>#REF!</v>
      </c>
      <c r="E322" s="31" t="e">
        <f>IF(B321+B322=0,"",IF(B322=1," Thousand "," Thousands "))</f>
        <v>#REF!</v>
      </c>
      <c r="J322" s="31">
        <v>13</v>
      </c>
      <c r="K322" s="33" t="s">
        <v>78</v>
      </c>
      <c r="L322" s="31" t="str">
        <f t="shared" si="31"/>
        <v>Tiga Belas</v>
      </c>
    </row>
    <row r="323" spans="1:12">
      <c r="A323" s="33" t="s">
        <v>79</v>
      </c>
      <c r="B323" s="40" t="e">
        <f>TRUNC((A307-SUM(C319:C322))/100)</f>
        <v>#REF!</v>
      </c>
      <c r="C323" s="31" t="e">
        <f>B323*100</f>
        <v>#REF!</v>
      </c>
      <c r="D323" s="31" t="e">
        <f t="shared" si="30"/>
        <v>#REF!</v>
      </c>
      <c r="E323" s="31" t="e">
        <f>IF(B323&lt;1,"",IF(B323&gt;1," Hundreds "," Hundred "))</f>
        <v>#REF!</v>
      </c>
      <c r="J323" s="31">
        <v>14</v>
      </c>
      <c r="K323" s="33" t="s">
        <v>80</v>
      </c>
      <c r="L323" s="31" t="str">
        <f t="shared" si="31"/>
        <v>Empat Belas</v>
      </c>
    </row>
    <row r="324" spans="1:12">
      <c r="A324" s="33" t="s">
        <v>81</v>
      </c>
      <c r="B324" s="41" t="e">
        <f>TRUNC((A307-SUM(C319:C323)))</f>
        <v>#REF!</v>
      </c>
      <c r="C324" s="42" t="e">
        <f>B324</f>
        <v>#REF!</v>
      </c>
      <c r="D324" s="31" t="e">
        <f t="shared" si="30"/>
        <v>#REF!</v>
      </c>
      <c r="E324" s="31" t="e">
        <f>IF(SUM(C319:C324)&lt;1,"",IF(B325&lt;1,""," And "))</f>
        <v>#REF!</v>
      </c>
      <c r="J324" s="31">
        <v>15</v>
      </c>
      <c r="K324" s="33" t="s">
        <v>82</v>
      </c>
      <c r="L324" s="31" t="str">
        <f t="shared" si="31"/>
        <v>Lima Belas</v>
      </c>
    </row>
    <row r="325" spans="1:12">
      <c r="A325" s="33" t="s">
        <v>83</v>
      </c>
      <c r="B325" s="40" t="e">
        <f>ROUND(A307-SUM(C319:C324),2)*100</f>
        <v>#REF!</v>
      </c>
      <c r="D325" s="43" t="e">
        <f t="shared" si="30"/>
        <v>#REF!</v>
      </c>
      <c r="E325" s="31" t="e">
        <f>IF(B325&lt;1,"",IF(B325=1," Cent "," Cents "))</f>
        <v>#REF!</v>
      </c>
      <c r="J325" s="31">
        <v>16</v>
      </c>
      <c r="K325" s="33" t="s">
        <v>84</v>
      </c>
      <c r="L325" s="31" t="str">
        <f t="shared" si="31"/>
        <v>Enam Belas</v>
      </c>
    </row>
    <row r="326" spans="1:12">
      <c r="J326" s="31">
        <v>17</v>
      </c>
      <c r="K326" s="33" t="s">
        <v>85</v>
      </c>
      <c r="L326" s="31" t="str">
        <f t="shared" si="31"/>
        <v>Tujuh Belas</v>
      </c>
    </row>
    <row r="327" spans="1:12">
      <c r="A327" s="44"/>
      <c r="J327" s="31">
        <v>18</v>
      </c>
      <c r="K327" s="33" t="s">
        <v>86</v>
      </c>
      <c r="L327" s="31" t="str">
        <f t="shared" si="31"/>
        <v>Delapan Belas</v>
      </c>
    </row>
    <row r="328" spans="1:12">
      <c r="A328" s="38" t="s">
        <v>87</v>
      </c>
      <c r="J328" s="31">
        <v>19</v>
      </c>
      <c r="K328" s="33" t="s">
        <v>88</v>
      </c>
      <c r="L328" s="31" t="str">
        <f t="shared" si="31"/>
        <v>Sembilan Belas</v>
      </c>
    </row>
    <row r="329" spans="1:12">
      <c r="A329" s="31" t="s">
        <v>69</v>
      </c>
      <c r="B329" s="39" t="e">
        <f>TRUNC(A307/100000000)</f>
        <v>#REF!</v>
      </c>
      <c r="C329" s="31" t="e">
        <f>B329*100000000</f>
        <v>#REF!</v>
      </c>
      <c r="D329" s="31" t="e">
        <f>IF(B329&lt;1,"",IF(B329=1,"",VLOOKUP(B329,$J$3:$L$102,3)))</f>
        <v>#REF!</v>
      </c>
      <c r="E329" s="31" t="e">
        <f>IF(B329&lt;1,"",IF(B329=1,"Seratus "," Ratus "))</f>
        <v>#REF!</v>
      </c>
      <c r="J329" s="31">
        <v>20</v>
      </c>
      <c r="K329" s="33" t="s">
        <v>89</v>
      </c>
      <c r="L329" s="31" t="s">
        <v>90</v>
      </c>
    </row>
    <row r="330" spans="1:12">
      <c r="A330" s="31" t="s">
        <v>72</v>
      </c>
      <c r="B330" s="39" t="e">
        <f>TRUNC((A307-C329)/1000000)</f>
        <v>#REF!</v>
      </c>
      <c r="C330" s="31" t="e">
        <f>B330*1000000</f>
        <v>#REF!</v>
      </c>
      <c r="D330" s="31" t="e">
        <f>IF(B330&lt;1,"",VLOOKUP(B330,$J$3:$L$102,3))</f>
        <v>#REF!</v>
      </c>
      <c r="E330" s="31" t="e">
        <f>IF(B329+B330=0,""," Juta ")</f>
        <v>#REF!</v>
      </c>
      <c r="J330" s="31">
        <v>21</v>
      </c>
      <c r="K330" s="33" t="s">
        <v>91</v>
      </c>
      <c r="L330" s="31" t="str">
        <f t="shared" ref="L330:L338" si="32">$L$23&amp;" "&amp;L310</f>
        <v>Dua Puluh Satu</v>
      </c>
    </row>
    <row r="331" spans="1:12">
      <c r="A331" s="31" t="s">
        <v>75</v>
      </c>
      <c r="B331" s="39" t="e">
        <f>TRUNC((A307-SUM(C329:C330))/100000)</f>
        <v>#REF!</v>
      </c>
      <c r="C331" s="31" t="e">
        <f>B331*100000</f>
        <v>#REF!</v>
      </c>
      <c r="D331" s="31" t="e">
        <f>IF(B331&lt;1,"",IF(B331=1,"",VLOOKUP(B331,$J$3:$L$102,3)))</f>
        <v>#REF!</v>
      </c>
      <c r="E331" s="31" t="e">
        <f>IF(B331&lt;1,"",IF(B331=1," Seratus "," Ratus "))</f>
        <v>#REF!</v>
      </c>
      <c r="J331" s="31">
        <v>22</v>
      </c>
      <c r="K331" s="33" t="s">
        <v>92</v>
      </c>
      <c r="L331" s="31" t="str">
        <f t="shared" si="32"/>
        <v>Dua Puluh Dua</v>
      </c>
    </row>
    <row r="332" spans="1:12">
      <c r="A332" s="33" t="s">
        <v>77</v>
      </c>
      <c r="B332" s="40" t="e">
        <f>TRUNC((A307-SUM(C329:C331))/1000)</f>
        <v>#REF!</v>
      </c>
      <c r="C332" s="31" t="e">
        <f>B332*1000</f>
        <v>#REF!</v>
      </c>
      <c r="D332" s="31" t="e">
        <f>IF(B332&lt;1,"",IF(B332=1,"",VLOOKUP(B332,$J$3:$L$102,3)))</f>
        <v>#REF!</v>
      </c>
      <c r="E332" s="31" t="e">
        <f>IF(B331+B332&lt;1,"",IF(B332=1," Seribu "," Ribu "))</f>
        <v>#REF!</v>
      </c>
      <c r="J332" s="31">
        <v>23</v>
      </c>
      <c r="K332" s="33" t="s">
        <v>93</v>
      </c>
      <c r="L332" s="31" t="str">
        <f t="shared" si="32"/>
        <v>Dua Puluh Tiga</v>
      </c>
    </row>
    <row r="333" spans="1:12">
      <c r="A333" s="33" t="s">
        <v>79</v>
      </c>
      <c r="B333" s="40" t="e">
        <f>TRUNC((A307-SUM(C329:C332))/100)</f>
        <v>#REF!</v>
      </c>
      <c r="C333" s="31" t="e">
        <f>B333*100</f>
        <v>#REF!</v>
      </c>
      <c r="D333" s="31" t="e">
        <f>IF(B333&lt;1,"",IF(B333=1,"",VLOOKUP(B333,$J$3:$L$102,3)))</f>
        <v>#REF!</v>
      </c>
      <c r="E333" s="31" t="e">
        <f>IF(B333&lt;1,"",IF(B333=1," Seratus "," Ratus "))</f>
        <v>#REF!</v>
      </c>
      <c r="J333" s="31">
        <v>24</v>
      </c>
      <c r="K333" s="33" t="s">
        <v>94</v>
      </c>
      <c r="L333" s="31" t="str">
        <f t="shared" si="32"/>
        <v>Dua Puluh Empat</v>
      </c>
    </row>
    <row r="334" spans="1:12">
      <c r="A334" s="33" t="s">
        <v>81</v>
      </c>
      <c r="B334" s="41" t="e">
        <f>TRUNC((A307-SUM(C329:C333)))</f>
        <v>#REF!</v>
      </c>
      <c r="C334" s="42" t="e">
        <f>B334</f>
        <v>#REF!</v>
      </c>
      <c r="D334" s="31" t="e">
        <f>IF(B334&lt;1,"",VLOOKUP(B334,$J$3:$L$102,3))</f>
        <v>#REF!</v>
      </c>
      <c r="E334" s="31" t="e">
        <f>IF(SUM(C329:C334)&lt;1,"",IF(B335&lt;1,""," Dan "))</f>
        <v>#REF!</v>
      </c>
      <c r="J334" s="31">
        <v>25</v>
      </c>
      <c r="K334" s="33" t="s">
        <v>95</v>
      </c>
      <c r="L334" s="31" t="str">
        <f t="shared" si="32"/>
        <v>Dua Puluh Lima</v>
      </c>
    </row>
    <row r="335" spans="1:12">
      <c r="A335" s="33" t="s">
        <v>83</v>
      </c>
      <c r="B335" s="40" t="e">
        <f>ROUND(A307-SUM(C329:C334),2)*100</f>
        <v>#REF!</v>
      </c>
      <c r="D335" s="31" t="e">
        <f>IF(B335&lt;1,"",VLOOKUP(B335,$J$3:$L$102,3))</f>
        <v>#REF!</v>
      </c>
      <c r="E335" s="31" t="e">
        <f>IF(B335&lt;1,""," Sen ")</f>
        <v>#REF!</v>
      </c>
      <c r="J335" s="31">
        <v>26</v>
      </c>
      <c r="K335" s="33" t="s">
        <v>96</v>
      </c>
      <c r="L335" s="31" t="str">
        <f t="shared" si="32"/>
        <v>Dua Puluh Enam</v>
      </c>
    </row>
    <row r="336" spans="1:12">
      <c r="J336" s="31">
        <v>27</v>
      </c>
      <c r="K336" s="33" t="s">
        <v>97</v>
      </c>
      <c r="L336" s="31" t="str">
        <f t="shared" si="32"/>
        <v>Dua Puluh Tujuh</v>
      </c>
    </row>
    <row r="337" spans="1:12">
      <c r="J337" s="31">
        <v>28</v>
      </c>
      <c r="K337" s="33" t="s">
        <v>98</v>
      </c>
      <c r="L337" s="31" t="str">
        <f t="shared" si="32"/>
        <v>Dua Puluh Delapan</v>
      </c>
    </row>
    <row r="338" spans="1:12">
      <c r="J338" s="31">
        <v>29</v>
      </c>
      <c r="K338" s="33" t="s">
        <v>99</v>
      </c>
      <c r="L338" s="31" t="str">
        <f t="shared" si="32"/>
        <v>Dua Puluh Sembilan</v>
      </c>
    </row>
    <row r="339" spans="1:12">
      <c r="J339" s="31">
        <v>30</v>
      </c>
      <c r="K339" s="33" t="s">
        <v>100</v>
      </c>
      <c r="L339" s="31" t="s">
        <v>101</v>
      </c>
    </row>
    <row r="340" spans="1:12">
      <c r="J340" s="31">
        <v>31</v>
      </c>
      <c r="K340" s="33" t="s">
        <v>102</v>
      </c>
      <c r="L340" s="31" t="str">
        <f t="shared" ref="L340:L348" si="33">$L$33&amp;" "&amp;L310</f>
        <v>Tiga Puluh Satu</v>
      </c>
    </row>
    <row r="341" spans="1:12">
      <c r="J341" s="31">
        <v>32</v>
      </c>
      <c r="K341" s="33" t="s">
        <v>103</v>
      </c>
      <c r="L341" s="31" t="str">
        <f t="shared" si="33"/>
        <v>Tiga Puluh Dua</v>
      </c>
    </row>
    <row r="342" spans="1:12">
      <c r="J342" s="31">
        <v>33</v>
      </c>
      <c r="K342" s="33" t="s">
        <v>104</v>
      </c>
      <c r="L342" s="31" t="str">
        <f t="shared" si="33"/>
        <v>Tiga Puluh Tiga</v>
      </c>
    </row>
    <row r="343" spans="1:12">
      <c r="J343" s="31">
        <v>34</v>
      </c>
      <c r="K343" s="33" t="s">
        <v>105</v>
      </c>
      <c r="L343" s="31" t="str">
        <f t="shared" si="33"/>
        <v>Tiga Puluh Empat</v>
      </c>
    </row>
    <row r="344" spans="1:12">
      <c r="J344" s="31">
        <v>35</v>
      </c>
      <c r="K344" s="33" t="s">
        <v>106</v>
      </c>
      <c r="L344" s="31" t="str">
        <f t="shared" si="33"/>
        <v>Tiga Puluh Lima</v>
      </c>
    </row>
    <row r="345" spans="1:12">
      <c r="J345" s="31">
        <v>36</v>
      </c>
      <c r="K345" s="33" t="s">
        <v>107</v>
      </c>
      <c r="L345" s="31" t="str">
        <f t="shared" si="33"/>
        <v>Tiga Puluh Enam</v>
      </c>
    </row>
    <row r="346" spans="1:12">
      <c r="J346" s="31">
        <v>37</v>
      </c>
      <c r="K346" s="33" t="s">
        <v>108</v>
      </c>
      <c r="L346" s="31" t="str">
        <f t="shared" si="33"/>
        <v>Tiga Puluh Tujuh</v>
      </c>
    </row>
    <row r="347" spans="1:12">
      <c r="J347" s="31">
        <v>38</v>
      </c>
      <c r="K347" s="33" t="s">
        <v>109</v>
      </c>
      <c r="L347" s="31" t="str">
        <f t="shared" si="33"/>
        <v>Tiga Puluh Delapan</v>
      </c>
    </row>
    <row r="348" spans="1:12">
      <c r="J348" s="31">
        <v>39</v>
      </c>
      <c r="K348" s="33" t="s">
        <v>110</v>
      </c>
      <c r="L348" s="31" t="str">
        <f t="shared" si="33"/>
        <v>Tiga Puluh Sembilan</v>
      </c>
    </row>
    <row r="349" spans="1:12">
      <c r="B349" s="35"/>
      <c r="C349" s="35"/>
      <c r="D349" s="35"/>
      <c r="J349" s="31">
        <v>40</v>
      </c>
      <c r="K349" s="33" t="s">
        <v>111</v>
      </c>
      <c r="L349" s="31" t="s">
        <v>112</v>
      </c>
    </row>
    <row r="350" spans="1:12">
      <c r="A350" s="35"/>
      <c r="B350" s="35"/>
      <c r="C350" s="35"/>
      <c r="D350" s="35"/>
      <c r="J350" s="31">
        <v>41</v>
      </c>
      <c r="K350" s="33" t="s">
        <v>113</v>
      </c>
      <c r="L350" s="31" t="str">
        <f t="shared" ref="L350:L358" si="34">$L$43&amp;" "&amp;L310</f>
        <v>Empat Puluh Satu</v>
      </c>
    </row>
    <row r="351" spans="1:12">
      <c r="J351" s="31">
        <v>42</v>
      </c>
      <c r="K351" s="33" t="s">
        <v>114</v>
      </c>
      <c r="L351" s="31" t="str">
        <f t="shared" si="34"/>
        <v>Empat Puluh Dua</v>
      </c>
    </row>
    <row r="352" spans="1:12">
      <c r="A352" s="38"/>
      <c r="J352" s="31">
        <v>43</v>
      </c>
      <c r="K352" s="33" t="s">
        <v>115</v>
      </c>
      <c r="L352" s="31" t="str">
        <f t="shared" si="34"/>
        <v>Empat Puluh Tiga</v>
      </c>
    </row>
    <row r="353" spans="10:12">
      <c r="J353" s="31">
        <v>44</v>
      </c>
      <c r="K353" s="33" t="s">
        <v>116</v>
      </c>
      <c r="L353" s="31" t="str">
        <f t="shared" si="34"/>
        <v>Empat Puluh Empat</v>
      </c>
    </row>
    <row r="354" spans="10:12">
      <c r="J354" s="31">
        <v>45</v>
      </c>
      <c r="K354" s="33" t="s">
        <v>117</v>
      </c>
      <c r="L354" s="31" t="str">
        <f t="shared" si="34"/>
        <v>Empat Puluh Lima</v>
      </c>
    </row>
    <row r="355" spans="10:12">
      <c r="J355" s="31">
        <v>46</v>
      </c>
      <c r="K355" s="33" t="s">
        <v>118</v>
      </c>
      <c r="L355" s="31" t="str">
        <f t="shared" si="34"/>
        <v>Empat Puluh Enam</v>
      </c>
    </row>
    <row r="356" spans="10:12">
      <c r="J356" s="31">
        <v>47</v>
      </c>
      <c r="K356" s="33" t="s">
        <v>119</v>
      </c>
      <c r="L356" s="31" t="str">
        <f t="shared" si="34"/>
        <v>Empat Puluh Tujuh</v>
      </c>
    </row>
    <row r="357" spans="10:12">
      <c r="J357" s="31">
        <v>48</v>
      </c>
      <c r="K357" s="33" t="s">
        <v>120</v>
      </c>
      <c r="L357" s="31" t="str">
        <f t="shared" si="34"/>
        <v>Empat Puluh Delapan</v>
      </c>
    </row>
    <row r="358" spans="10:12">
      <c r="J358" s="31">
        <v>49</v>
      </c>
      <c r="K358" s="33" t="s">
        <v>121</v>
      </c>
      <c r="L358" s="31" t="str">
        <f t="shared" si="34"/>
        <v>Empat Puluh Sembilan</v>
      </c>
    </row>
    <row r="359" spans="10:12">
      <c r="J359" s="31">
        <v>50</v>
      </c>
      <c r="K359" s="33" t="s">
        <v>122</v>
      </c>
      <c r="L359" s="31" t="s">
        <v>123</v>
      </c>
    </row>
    <row r="360" spans="10:12">
      <c r="J360" s="31">
        <v>51</v>
      </c>
      <c r="K360" s="33" t="s">
        <v>124</v>
      </c>
      <c r="L360" s="31" t="str">
        <f t="shared" ref="L360:L368" si="35">$L$53&amp;" "&amp;L310</f>
        <v>Lima Puluh Satu</v>
      </c>
    </row>
    <row r="361" spans="10:12">
      <c r="J361" s="31">
        <v>52</v>
      </c>
      <c r="K361" s="33" t="s">
        <v>125</v>
      </c>
      <c r="L361" s="31" t="str">
        <f t="shared" si="35"/>
        <v>Lima Puluh Dua</v>
      </c>
    </row>
    <row r="362" spans="10:12">
      <c r="J362" s="31">
        <v>53</v>
      </c>
      <c r="K362" s="33" t="s">
        <v>126</v>
      </c>
      <c r="L362" s="31" t="str">
        <f t="shared" si="35"/>
        <v>Lima Puluh Tiga</v>
      </c>
    </row>
    <row r="363" spans="10:12">
      <c r="J363" s="31">
        <v>54</v>
      </c>
      <c r="K363" s="33" t="s">
        <v>127</v>
      </c>
      <c r="L363" s="31" t="str">
        <f t="shared" si="35"/>
        <v>Lima Puluh Empat</v>
      </c>
    </row>
    <row r="364" spans="10:12">
      <c r="J364" s="31">
        <v>55</v>
      </c>
      <c r="K364" s="33" t="s">
        <v>128</v>
      </c>
      <c r="L364" s="31" t="str">
        <f t="shared" si="35"/>
        <v>Lima Puluh Lima</v>
      </c>
    </row>
    <row r="365" spans="10:12">
      <c r="J365" s="31">
        <v>56</v>
      </c>
      <c r="K365" s="33" t="s">
        <v>129</v>
      </c>
      <c r="L365" s="31" t="str">
        <f t="shared" si="35"/>
        <v>Lima Puluh Enam</v>
      </c>
    </row>
    <row r="366" spans="10:12">
      <c r="J366" s="31">
        <v>57</v>
      </c>
      <c r="K366" s="33" t="s">
        <v>130</v>
      </c>
      <c r="L366" s="31" t="str">
        <f t="shared" si="35"/>
        <v>Lima Puluh Tujuh</v>
      </c>
    </row>
    <row r="367" spans="10:12">
      <c r="J367" s="31">
        <v>58</v>
      </c>
      <c r="K367" s="33" t="s">
        <v>131</v>
      </c>
      <c r="L367" s="31" t="str">
        <f t="shared" si="35"/>
        <v>Lima Puluh Delapan</v>
      </c>
    </row>
    <row r="368" spans="10:12">
      <c r="J368" s="31">
        <v>59</v>
      </c>
      <c r="K368" s="33" t="s">
        <v>132</v>
      </c>
      <c r="L368" s="31" t="str">
        <f t="shared" si="35"/>
        <v>Lima Puluh Sembilan</v>
      </c>
    </row>
    <row r="369" spans="10:12">
      <c r="J369" s="31">
        <v>60</v>
      </c>
      <c r="K369" s="33" t="s">
        <v>133</v>
      </c>
      <c r="L369" s="31" t="s">
        <v>134</v>
      </c>
    </row>
    <row r="370" spans="10:12">
      <c r="J370" s="31">
        <v>61</v>
      </c>
      <c r="K370" s="33" t="s">
        <v>135</v>
      </c>
      <c r="L370" s="31" t="str">
        <f t="shared" ref="L370:L378" si="36">$L$63&amp;" "&amp;L310</f>
        <v>Enam Puluh Satu</v>
      </c>
    </row>
    <row r="371" spans="10:12">
      <c r="J371" s="31">
        <v>62</v>
      </c>
      <c r="K371" s="33" t="s">
        <v>136</v>
      </c>
      <c r="L371" s="31" t="str">
        <f t="shared" si="36"/>
        <v>Enam Puluh Dua</v>
      </c>
    </row>
    <row r="372" spans="10:12">
      <c r="J372" s="31">
        <v>63</v>
      </c>
      <c r="K372" s="33" t="s">
        <v>137</v>
      </c>
      <c r="L372" s="31" t="str">
        <f t="shared" si="36"/>
        <v>Enam Puluh Tiga</v>
      </c>
    </row>
    <row r="373" spans="10:12">
      <c r="J373" s="31">
        <v>64</v>
      </c>
      <c r="K373" s="33" t="s">
        <v>138</v>
      </c>
      <c r="L373" s="31" t="str">
        <f t="shared" si="36"/>
        <v>Enam Puluh Empat</v>
      </c>
    </row>
    <row r="374" spans="10:12">
      <c r="J374" s="31">
        <v>65</v>
      </c>
      <c r="K374" s="33" t="s">
        <v>139</v>
      </c>
      <c r="L374" s="31" t="str">
        <f t="shared" si="36"/>
        <v>Enam Puluh Lima</v>
      </c>
    </row>
    <row r="375" spans="10:12">
      <c r="J375" s="31">
        <v>66</v>
      </c>
      <c r="K375" s="33" t="s">
        <v>140</v>
      </c>
      <c r="L375" s="31" t="str">
        <f t="shared" si="36"/>
        <v>Enam Puluh Enam</v>
      </c>
    </row>
    <row r="376" spans="10:12">
      <c r="J376" s="31">
        <v>67</v>
      </c>
      <c r="K376" s="33" t="s">
        <v>141</v>
      </c>
      <c r="L376" s="31" t="str">
        <f t="shared" si="36"/>
        <v>Enam Puluh Tujuh</v>
      </c>
    </row>
    <row r="377" spans="10:12">
      <c r="J377" s="31">
        <v>68</v>
      </c>
      <c r="K377" s="33" t="s">
        <v>142</v>
      </c>
      <c r="L377" s="31" t="str">
        <f t="shared" si="36"/>
        <v>Enam Puluh Delapan</v>
      </c>
    </row>
    <row r="378" spans="10:12">
      <c r="J378" s="31">
        <v>69</v>
      </c>
      <c r="K378" s="33" t="s">
        <v>143</v>
      </c>
      <c r="L378" s="31" t="str">
        <f t="shared" si="36"/>
        <v>Enam Puluh Sembilan</v>
      </c>
    </row>
    <row r="379" spans="10:12">
      <c r="J379" s="31">
        <v>70</v>
      </c>
      <c r="K379" s="33" t="s">
        <v>144</v>
      </c>
      <c r="L379" s="31" t="s">
        <v>145</v>
      </c>
    </row>
    <row r="380" spans="10:12">
      <c r="J380" s="31">
        <v>71</v>
      </c>
      <c r="K380" s="33" t="s">
        <v>146</v>
      </c>
      <c r="L380" s="31" t="str">
        <f t="shared" ref="L380:L388" si="37">$L$73&amp;" "&amp;L310</f>
        <v>Tujuh Puluh Satu</v>
      </c>
    </row>
    <row r="381" spans="10:12">
      <c r="J381" s="31">
        <v>72</v>
      </c>
      <c r="K381" s="33" t="s">
        <v>147</v>
      </c>
      <c r="L381" s="31" t="str">
        <f t="shared" si="37"/>
        <v>Tujuh Puluh Dua</v>
      </c>
    </row>
    <row r="382" spans="10:12">
      <c r="J382" s="31">
        <v>73</v>
      </c>
      <c r="K382" s="33" t="s">
        <v>148</v>
      </c>
      <c r="L382" s="31" t="str">
        <f t="shared" si="37"/>
        <v>Tujuh Puluh Tiga</v>
      </c>
    </row>
    <row r="383" spans="10:12">
      <c r="J383" s="31">
        <v>74</v>
      </c>
      <c r="K383" s="33" t="s">
        <v>149</v>
      </c>
      <c r="L383" s="31" t="str">
        <f t="shared" si="37"/>
        <v>Tujuh Puluh Empat</v>
      </c>
    </row>
    <row r="384" spans="10:12">
      <c r="J384" s="31">
        <v>75</v>
      </c>
      <c r="K384" s="33" t="s">
        <v>150</v>
      </c>
      <c r="L384" s="31" t="str">
        <f t="shared" si="37"/>
        <v>Tujuh Puluh Lima</v>
      </c>
    </row>
    <row r="385" spans="10:12">
      <c r="J385" s="31">
        <v>76</v>
      </c>
      <c r="K385" s="33" t="s">
        <v>151</v>
      </c>
      <c r="L385" s="31" t="str">
        <f t="shared" si="37"/>
        <v>Tujuh Puluh Enam</v>
      </c>
    </row>
    <row r="386" spans="10:12">
      <c r="J386" s="31">
        <v>77</v>
      </c>
      <c r="K386" s="33" t="s">
        <v>152</v>
      </c>
      <c r="L386" s="31" t="str">
        <f t="shared" si="37"/>
        <v>Tujuh Puluh Tujuh</v>
      </c>
    </row>
    <row r="387" spans="10:12">
      <c r="J387" s="31">
        <v>78</v>
      </c>
      <c r="K387" s="33" t="s">
        <v>153</v>
      </c>
      <c r="L387" s="31" t="str">
        <f t="shared" si="37"/>
        <v>Tujuh Puluh Delapan</v>
      </c>
    </row>
    <row r="388" spans="10:12">
      <c r="J388" s="31">
        <v>79</v>
      </c>
      <c r="K388" s="33" t="s">
        <v>154</v>
      </c>
      <c r="L388" s="31" t="str">
        <f t="shared" si="37"/>
        <v>Tujuh Puluh Sembilan</v>
      </c>
    </row>
    <row r="389" spans="10:12">
      <c r="J389" s="31">
        <v>80</v>
      </c>
      <c r="K389" s="33" t="s">
        <v>155</v>
      </c>
      <c r="L389" s="31" t="s">
        <v>156</v>
      </c>
    </row>
    <row r="390" spans="10:12">
      <c r="J390" s="31">
        <v>81</v>
      </c>
      <c r="K390" s="33" t="s">
        <v>157</v>
      </c>
      <c r="L390" s="31" t="str">
        <f t="shared" ref="L390:L398" si="38">$L$83&amp;" "&amp;L310</f>
        <v>Delapan Puluh Satu</v>
      </c>
    </row>
    <row r="391" spans="10:12">
      <c r="J391" s="31">
        <v>82</v>
      </c>
      <c r="K391" s="33" t="s">
        <v>158</v>
      </c>
      <c r="L391" s="31" t="str">
        <f t="shared" si="38"/>
        <v>Delapan Puluh Dua</v>
      </c>
    </row>
    <row r="392" spans="10:12">
      <c r="J392" s="31">
        <v>83</v>
      </c>
      <c r="K392" s="33" t="s">
        <v>159</v>
      </c>
      <c r="L392" s="31" t="str">
        <f t="shared" si="38"/>
        <v>Delapan Puluh Tiga</v>
      </c>
    </row>
    <row r="393" spans="10:12">
      <c r="J393" s="31">
        <v>84</v>
      </c>
      <c r="K393" s="33" t="s">
        <v>160</v>
      </c>
      <c r="L393" s="31" t="str">
        <f t="shared" si="38"/>
        <v>Delapan Puluh Empat</v>
      </c>
    </row>
    <row r="394" spans="10:12">
      <c r="J394" s="31">
        <v>85</v>
      </c>
      <c r="K394" s="33" t="s">
        <v>161</v>
      </c>
      <c r="L394" s="31" t="str">
        <f t="shared" si="38"/>
        <v>Delapan Puluh Lima</v>
      </c>
    </row>
    <row r="395" spans="10:12">
      <c r="J395" s="31">
        <v>86</v>
      </c>
      <c r="K395" s="33" t="s">
        <v>162</v>
      </c>
      <c r="L395" s="31" t="str">
        <f t="shared" si="38"/>
        <v>Delapan Puluh Enam</v>
      </c>
    </row>
    <row r="396" spans="10:12">
      <c r="J396" s="31">
        <v>87</v>
      </c>
      <c r="K396" s="33" t="s">
        <v>163</v>
      </c>
      <c r="L396" s="31" t="str">
        <f t="shared" si="38"/>
        <v>Delapan Puluh Tujuh</v>
      </c>
    </row>
    <row r="397" spans="10:12">
      <c r="J397" s="31">
        <v>88</v>
      </c>
      <c r="K397" s="33" t="s">
        <v>164</v>
      </c>
      <c r="L397" s="31" t="str">
        <f t="shared" si="38"/>
        <v>Delapan Puluh Delapan</v>
      </c>
    </row>
    <row r="398" spans="10:12">
      <c r="J398" s="31">
        <v>89</v>
      </c>
      <c r="K398" s="33" t="s">
        <v>165</v>
      </c>
      <c r="L398" s="31" t="str">
        <f t="shared" si="38"/>
        <v>Delapan Puluh Sembilan</v>
      </c>
    </row>
    <row r="399" spans="10:12">
      <c r="J399" s="31">
        <v>90</v>
      </c>
      <c r="K399" s="33" t="s">
        <v>166</v>
      </c>
      <c r="L399" s="31" t="s">
        <v>167</v>
      </c>
    </row>
    <row r="400" spans="10:12">
      <c r="J400" s="31">
        <v>91</v>
      </c>
      <c r="K400" s="33" t="s">
        <v>168</v>
      </c>
      <c r="L400" s="31" t="str">
        <f t="shared" ref="L400:L408" si="39">$L$93&amp;" "&amp;L310</f>
        <v>Sembilan Puluh Satu</v>
      </c>
    </row>
    <row r="401" spans="1:12">
      <c r="J401" s="31">
        <v>92</v>
      </c>
      <c r="K401" s="33" t="s">
        <v>169</v>
      </c>
      <c r="L401" s="31" t="str">
        <f t="shared" si="39"/>
        <v>Sembilan Puluh Dua</v>
      </c>
    </row>
    <row r="402" spans="1:12">
      <c r="J402" s="31">
        <v>93</v>
      </c>
      <c r="K402" s="33" t="s">
        <v>170</v>
      </c>
      <c r="L402" s="31" t="str">
        <f t="shared" si="39"/>
        <v>Sembilan Puluh Tiga</v>
      </c>
    </row>
    <row r="403" spans="1:12">
      <c r="J403" s="31">
        <v>94</v>
      </c>
      <c r="K403" s="33" t="s">
        <v>171</v>
      </c>
      <c r="L403" s="31" t="str">
        <f t="shared" si="39"/>
        <v>Sembilan Puluh Empat</v>
      </c>
    </row>
    <row r="404" spans="1:12">
      <c r="J404" s="31">
        <v>95</v>
      </c>
      <c r="K404" s="33" t="s">
        <v>172</v>
      </c>
      <c r="L404" s="31" t="str">
        <f t="shared" si="39"/>
        <v>Sembilan Puluh Lima</v>
      </c>
    </row>
    <row r="405" spans="1:12">
      <c r="J405" s="31">
        <v>96</v>
      </c>
      <c r="K405" s="33" t="s">
        <v>173</v>
      </c>
      <c r="L405" s="31" t="str">
        <f t="shared" si="39"/>
        <v>Sembilan Puluh Enam</v>
      </c>
    </row>
    <row r="406" spans="1:12">
      <c r="J406" s="31">
        <v>97</v>
      </c>
      <c r="K406" s="33" t="s">
        <v>174</v>
      </c>
      <c r="L406" s="31" t="str">
        <f t="shared" si="39"/>
        <v>Sembilan Puluh Tujuh</v>
      </c>
    </row>
    <row r="407" spans="1:12">
      <c r="J407" s="31">
        <v>98</v>
      </c>
      <c r="K407" s="33" t="s">
        <v>175</v>
      </c>
      <c r="L407" s="31" t="str">
        <f t="shared" si="39"/>
        <v>Sembilan Puluh Delapan</v>
      </c>
    </row>
    <row r="408" spans="1:12">
      <c r="J408" s="31">
        <v>99</v>
      </c>
      <c r="K408" s="33" t="s">
        <v>176</v>
      </c>
      <c r="L408" s="31" t="str">
        <f t="shared" si="39"/>
        <v>Sembilan Puluh Sembilan</v>
      </c>
    </row>
    <row r="409" spans="1:12">
      <c r="A409" s="30" t="e">
        <f>#REF!</f>
        <v>#REF!</v>
      </c>
      <c r="C409" s="31" t="s">
        <v>284</v>
      </c>
    </row>
    <row r="410" spans="1:12">
      <c r="A410" s="32"/>
    </row>
    <row r="411" spans="1:12">
      <c r="J411" s="31">
        <v>0</v>
      </c>
      <c r="K411" s="33" t="s">
        <v>48</v>
      </c>
      <c r="L411" s="31" t="s">
        <v>49</v>
      </c>
    </row>
    <row r="412" spans="1:12">
      <c r="A412" s="34"/>
      <c r="J412" s="31">
        <v>1</v>
      </c>
      <c r="K412" s="33" t="s">
        <v>50</v>
      </c>
      <c r="L412" s="31" t="s">
        <v>51</v>
      </c>
    </row>
    <row r="413" spans="1:12">
      <c r="A413" s="255" t="e">
        <f>TRIM(D421&amp;E421&amp;D422&amp;E422&amp;D423&amp;E423&amp;D424&amp;E424&amp;D425&amp;E425&amp;D426&amp;E426&amp;E427&amp;D427&amp;" Only")</f>
        <v>#REF!</v>
      </c>
      <c r="B413" s="255"/>
      <c r="C413" s="255"/>
      <c r="D413" s="255"/>
      <c r="E413" s="35"/>
      <c r="F413" s="36"/>
      <c r="J413" s="31">
        <v>2</v>
      </c>
      <c r="K413" s="33" t="s">
        <v>52</v>
      </c>
      <c r="L413" s="31" t="s">
        <v>53</v>
      </c>
    </row>
    <row r="414" spans="1:12">
      <c r="A414" s="37"/>
      <c r="B414" s="37"/>
      <c r="C414" s="37"/>
      <c r="D414" s="37"/>
      <c r="E414" s="35"/>
      <c r="F414" s="36"/>
      <c r="J414" s="31">
        <v>3</v>
      </c>
      <c r="K414" s="33" t="s">
        <v>54</v>
      </c>
      <c r="L414" s="31" t="s">
        <v>55</v>
      </c>
    </row>
    <row r="415" spans="1:12">
      <c r="A415" s="37"/>
      <c r="B415" s="37"/>
      <c r="C415" s="37"/>
      <c r="D415" s="37"/>
      <c r="J415" s="31">
        <v>4</v>
      </c>
      <c r="K415" s="33" t="s">
        <v>56</v>
      </c>
      <c r="L415" s="31" t="s">
        <v>57</v>
      </c>
    </row>
    <row r="416" spans="1:12">
      <c r="A416" s="255" t="e">
        <f>TRIM(D431&amp;E431&amp;D432&amp;E432&amp;D433&amp;E433&amp;D434&amp;E434&amp;D435&amp;E435&amp;D436&amp;E436&amp;D437&amp;E437&amp;" Rupiah")</f>
        <v>#REF!</v>
      </c>
      <c r="B416" s="255"/>
      <c r="C416" s="255"/>
      <c r="D416" s="255"/>
      <c r="E416" s="35"/>
      <c r="F416" s="36"/>
      <c r="J416" s="31">
        <v>5</v>
      </c>
      <c r="K416" s="33" t="s">
        <v>58</v>
      </c>
      <c r="L416" s="31" t="s">
        <v>59</v>
      </c>
    </row>
    <row r="417" spans="1:12">
      <c r="A417" s="35"/>
      <c r="B417" s="35"/>
      <c r="C417" s="35"/>
      <c r="D417" s="35"/>
      <c r="E417" s="35"/>
      <c r="F417" s="36"/>
      <c r="J417" s="31">
        <v>6</v>
      </c>
      <c r="K417" s="33" t="s">
        <v>60</v>
      </c>
      <c r="L417" s="31" t="s">
        <v>61</v>
      </c>
    </row>
    <row r="418" spans="1:12">
      <c r="J418" s="31">
        <v>7</v>
      </c>
      <c r="K418" s="33" t="s">
        <v>62</v>
      </c>
      <c r="L418" s="31" t="s">
        <v>63</v>
      </c>
    </row>
    <row r="419" spans="1:12">
      <c r="J419" s="31">
        <v>8</v>
      </c>
      <c r="K419" s="33" t="s">
        <v>64</v>
      </c>
      <c r="L419" s="31" t="s">
        <v>65</v>
      </c>
    </row>
    <row r="420" spans="1:12">
      <c r="A420" s="38" t="s">
        <v>66</v>
      </c>
      <c r="J420" s="31">
        <v>9</v>
      </c>
      <c r="K420" s="33" t="s">
        <v>67</v>
      </c>
      <c r="L420" s="31" t="s">
        <v>68</v>
      </c>
    </row>
    <row r="421" spans="1:12">
      <c r="A421" s="31" t="s">
        <v>69</v>
      </c>
      <c r="B421" s="39" t="e">
        <f>TRUNC(A409/100000000)</f>
        <v>#REF!</v>
      </c>
      <c r="C421" s="31" t="e">
        <f>B421*100000000</f>
        <v>#REF!</v>
      </c>
      <c r="D421" s="31" t="e">
        <f t="shared" ref="D421:D427" si="40">IF(B421&lt;1,"",VLOOKUP(B421,$J$3:$K$102,2))</f>
        <v>#REF!</v>
      </c>
      <c r="E421" s="31" t="e">
        <f>IF(B421&lt;1,"",IF(B421&gt;1," Hundreds "," Hundred "))</f>
        <v>#REF!</v>
      </c>
      <c r="J421" s="31">
        <v>10</v>
      </c>
      <c r="K421" s="33" t="s">
        <v>70</v>
      </c>
      <c r="L421" s="31" t="s">
        <v>71</v>
      </c>
    </row>
    <row r="422" spans="1:12">
      <c r="A422" s="31" t="s">
        <v>72</v>
      </c>
      <c r="B422" s="39" t="e">
        <f>TRUNC((A409-C421)/1000000)</f>
        <v>#REF!</v>
      </c>
      <c r="C422" s="31" t="e">
        <f>B422*1000000</f>
        <v>#REF!</v>
      </c>
      <c r="D422" s="31" t="e">
        <f t="shared" si="40"/>
        <v>#REF!</v>
      </c>
      <c r="E422" s="31" t="e">
        <f>IF(B421+B422=0,"",IF(B422=1," Million "," Millions "))</f>
        <v>#REF!</v>
      </c>
      <c r="J422" s="31">
        <v>11</v>
      </c>
      <c r="K422" s="33" t="s">
        <v>73</v>
      </c>
      <c r="L422" s="31" t="s">
        <v>74</v>
      </c>
    </row>
    <row r="423" spans="1:12">
      <c r="A423" s="31" t="s">
        <v>75</v>
      </c>
      <c r="B423" s="39" t="e">
        <f>TRUNC((A409-SUM(C421:C422))/100000)</f>
        <v>#REF!</v>
      </c>
      <c r="C423" s="31" t="e">
        <f>B423*100000</f>
        <v>#REF!</v>
      </c>
      <c r="D423" s="31" t="e">
        <f t="shared" si="40"/>
        <v>#REF!</v>
      </c>
      <c r="E423" s="31" t="e">
        <f>IF(B423&lt;1,"",IF(B423&gt;1," Hundreds "," Hundred "))</f>
        <v>#REF!</v>
      </c>
      <c r="J423" s="31">
        <v>12</v>
      </c>
      <c r="K423" s="33" t="s">
        <v>76</v>
      </c>
      <c r="L423" s="31" t="str">
        <f t="shared" ref="L423:L430" si="41">L413&amp;" Belas"</f>
        <v>Dua Belas</v>
      </c>
    </row>
    <row r="424" spans="1:12">
      <c r="A424" s="33" t="s">
        <v>77</v>
      </c>
      <c r="B424" s="40" t="e">
        <f>TRUNC((A409-SUM(C421:C423))/1000)</f>
        <v>#REF!</v>
      </c>
      <c r="C424" s="31" t="e">
        <f>B424*1000</f>
        <v>#REF!</v>
      </c>
      <c r="D424" s="31" t="e">
        <f t="shared" si="40"/>
        <v>#REF!</v>
      </c>
      <c r="E424" s="31" t="e">
        <f>IF(B423+B424=0,"",IF(B424=1," Thousand "," Thousands "))</f>
        <v>#REF!</v>
      </c>
      <c r="J424" s="31">
        <v>13</v>
      </c>
      <c r="K424" s="33" t="s">
        <v>78</v>
      </c>
      <c r="L424" s="31" t="str">
        <f t="shared" si="41"/>
        <v>Tiga Belas</v>
      </c>
    </row>
    <row r="425" spans="1:12">
      <c r="A425" s="33" t="s">
        <v>79</v>
      </c>
      <c r="B425" s="40" t="e">
        <f>TRUNC((A409-SUM(C421:C424))/100)</f>
        <v>#REF!</v>
      </c>
      <c r="C425" s="31" t="e">
        <f>B425*100</f>
        <v>#REF!</v>
      </c>
      <c r="D425" s="31" t="e">
        <f t="shared" si="40"/>
        <v>#REF!</v>
      </c>
      <c r="E425" s="31" t="e">
        <f>IF(B425&lt;1,"",IF(B425&gt;1," Hundreds "," Hundred "))</f>
        <v>#REF!</v>
      </c>
      <c r="J425" s="31">
        <v>14</v>
      </c>
      <c r="K425" s="33" t="s">
        <v>80</v>
      </c>
      <c r="L425" s="31" t="str">
        <f t="shared" si="41"/>
        <v>Empat Belas</v>
      </c>
    </row>
    <row r="426" spans="1:12">
      <c r="A426" s="33" t="s">
        <v>81</v>
      </c>
      <c r="B426" s="41" t="e">
        <f>TRUNC((A409-SUM(C421:C425)))</f>
        <v>#REF!</v>
      </c>
      <c r="C426" s="42" t="e">
        <f>B426</f>
        <v>#REF!</v>
      </c>
      <c r="D426" s="31" t="e">
        <f t="shared" si="40"/>
        <v>#REF!</v>
      </c>
      <c r="E426" s="31" t="e">
        <f>IF(SUM(C421:C426)&lt;1,"",IF(B427&lt;1,""," And "))</f>
        <v>#REF!</v>
      </c>
      <c r="J426" s="31">
        <v>15</v>
      </c>
      <c r="K426" s="33" t="s">
        <v>82</v>
      </c>
      <c r="L426" s="31" t="str">
        <f t="shared" si="41"/>
        <v>Lima Belas</v>
      </c>
    </row>
    <row r="427" spans="1:12">
      <c r="A427" s="33" t="s">
        <v>83</v>
      </c>
      <c r="B427" s="40" t="e">
        <f>ROUND(A409-SUM(C421:C426),2)*100</f>
        <v>#REF!</v>
      </c>
      <c r="D427" s="43" t="e">
        <f t="shared" si="40"/>
        <v>#REF!</v>
      </c>
      <c r="E427" s="31" t="e">
        <f>IF(B427&lt;1,"",IF(B427=1," Cent "," Cents "))</f>
        <v>#REF!</v>
      </c>
      <c r="J427" s="31">
        <v>16</v>
      </c>
      <c r="K427" s="33" t="s">
        <v>84</v>
      </c>
      <c r="L427" s="31" t="str">
        <f t="shared" si="41"/>
        <v>Enam Belas</v>
      </c>
    </row>
    <row r="428" spans="1:12">
      <c r="J428" s="31">
        <v>17</v>
      </c>
      <c r="K428" s="33" t="s">
        <v>85</v>
      </c>
      <c r="L428" s="31" t="str">
        <f t="shared" si="41"/>
        <v>Tujuh Belas</v>
      </c>
    </row>
    <row r="429" spans="1:12">
      <c r="A429" s="44"/>
      <c r="J429" s="31">
        <v>18</v>
      </c>
      <c r="K429" s="33" t="s">
        <v>86</v>
      </c>
      <c r="L429" s="31" t="str">
        <f t="shared" si="41"/>
        <v>Delapan Belas</v>
      </c>
    </row>
    <row r="430" spans="1:12">
      <c r="A430" s="38" t="s">
        <v>87</v>
      </c>
      <c r="J430" s="31">
        <v>19</v>
      </c>
      <c r="K430" s="33" t="s">
        <v>88</v>
      </c>
      <c r="L430" s="31" t="str">
        <f t="shared" si="41"/>
        <v>Sembilan Belas</v>
      </c>
    </row>
    <row r="431" spans="1:12">
      <c r="A431" s="31" t="s">
        <v>69</v>
      </c>
      <c r="B431" s="39" t="e">
        <f>TRUNC(A409/100000000)</f>
        <v>#REF!</v>
      </c>
      <c r="C431" s="31" t="e">
        <f>B431*100000000</f>
        <v>#REF!</v>
      </c>
      <c r="D431" s="31" t="e">
        <f>IF(B431&lt;1,"",IF(B431=1,"",VLOOKUP(B431,$J$3:$L$102,3)))</f>
        <v>#REF!</v>
      </c>
      <c r="E431" s="31" t="e">
        <f>IF(B431&lt;1,"",IF(B431=1,"Seratus "," Ratus "))</f>
        <v>#REF!</v>
      </c>
      <c r="J431" s="31">
        <v>20</v>
      </c>
      <c r="K431" s="33" t="s">
        <v>89</v>
      </c>
      <c r="L431" s="31" t="s">
        <v>90</v>
      </c>
    </row>
    <row r="432" spans="1:12">
      <c r="A432" s="31" t="s">
        <v>72</v>
      </c>
      <c r="B432" s="39" t="e">
        <f>TRUNC((A409-C431)/1000000)</f>
        <v>#REF!</v>
      </c>
      <c r="C432" s="31" t="e">
        <f>B432*1000000</f>
        <v>#REF!</v>
      </c>
      <c r="D432" s="31" t="e">
        <f>IF(B432&lt;1,"",VLOOKUP(B432,$J$3:$L$102,3))</f>
        <v>#REF!</v>
      </c>
      <c r="E432" s="31" t="e">
        <f>IF(B431+B432=0,""," Juta ")</f>
        <v>#REF!</v>
      </c>
      <c r="J432" s="31">
        <v>21</v>
      </c>
      <c r="K432" s="33" t="s">
        <v>91</v>
      </c>
      <c r="L432" s="31" t="str">
        <f t="shared" ref="L432:L440" si="42">$L$23&amp;" "&amp;L412</f>
        <v>Dua Puluh Satu</v>
      </c>
    </row>
    <row r="433" spans="1:12">
      <c r="A433" s="31" t="s">
        <v>75</v>
      </c>
      <c r="B433" s="39" t="e">
        <f>TRUNC((A409-SUM(C431:C432))/100000)</f>
        <v>#REF!</v>
      </c>
      <c r="C433" s="31" t="e">
        <f>B433*100000</f>
        <v>#REF!</v>
      </c>
      <c r="D433" s="31" t="e">
        <f>IF(B433&lt;1,"",IF(B433=1,"",VLOOKUP(B433,$J$3:$L$102,3)))</f>
        <v>#REF!</v>
      </c>
      <c r="E433" s="31" t="e">
        <f>IF(B433&lt;1,"",IF(B433=1," Seratus "," Ratus "))</f>
        <v>#REF!</v>
      </c>
      <c r="J433" s="31">
        <v>22</v>
      </c>
      <c r="K433" s="33" t="s">
        <v>92</v>
      </c>
      <c r="L433" s="31" t="str">
        <f t="shared" si="42"/>
        <v>Dua Puluh Dua</v>
      </c>
    </row>
    <row r="434" spans="1:12">
      <c r="A434" s="33" t="s">
        <v>77</v>
      </c>
      <c r="B434" s="40" t="e">
        <f>TRUNC((A409-SUM(C431:C433))/1000)</f>
        <v>#REF!</v>
      </c>
      <c r="C434" s="31" t="e">
        <f>B434*1000</f>
        <v>#REF!</v>
      </c>
      <c r="D434" s="31" t="e">
        <f>IF(B434&lt;1,"",IF(B434=1,"",VLOOKUP(B434,$J$3:$L$102,3)))</f>
        <v>#REF!</v>
      </c>
      <c r="E434" s="31" t="e">
        <f>IF(B433+B434&lt;1,"",IF(B434=1," Seribu "," Ribu "))</f>
        <v>#REF!</v>
      </c>
      <c r="J434" s="31">
        <v>23</v>
      </c>
      <c r="K434" s="33" t="s">
        <v>93</v>
      </c>
      <c r="L434" s="31" t="str">
        <f t="shared" si="42"/>
        <v>Dua Puluh Tiga</v>
      </c>
    </row>
    <row r="435" spans="1:12">
      <c r="A435" s="33" t="s">
        <v>79</v>
      </c>
      <c r="B435" s="40" t="e">
        <f>TRUNC((A409-SUM(C431:C434))/100)</f>
        <v>#REF!</v>
      </c>
      <c r="C435" s="31" t="e">
        <f>B435*100</f>
        <v>#REF!</v>
      </c>
      <c r="D435" s="31" t="e">
        <f>IF(B435&lt;1,"",IF(B435=1,"",VLOOKUP(B435,$J$3:$L$102,3)))</f>
        <v>#REF!</v>
      </c>
      <c r="E435" s="31" t="e">
        <f>IF(B435&lt;1,"",IF(B435=1," Seratus "," Ratus "))</f>
        <v>#REF!</v>
      </c>
      <c r="J435" s="31">
        <v>24</v>
      </c>
      <c r="K435" s="33" t="s">
        <v>94</v>
      </c>
      <c r="L435" s="31" t="str">
        <f t="shared" si="42"/>
        <v>Dua Puluh Empat</v>
      </c>
    </row>
    <row r="436" spans="1:12">
      <c r="A436" s="33" t="s">
        <v>81</v>
      </c>
      <c r="B436" s="41" t="e">
        <f>TRUNC((A409-SUM(C431:C435)))</f>
        <v>#REF!</v>
      </c>
      <c r="C436" s="42" t="e">
        <f>B436</f>
        <v>#REF!</v>
      </c>
      <c r="D436" s="31" t="e">
        <f>IF(B436&lt;1,"",VLOOKUP(B436,$J$3:$L$102,3))</f>
        <v>#REF!</v>
      </c>
      <c r="E436" s="31" t="e">
        <f>IF(SUM(C431:C436)&lt;1,"",IF(B437&lt;1,""," Dan "))</f>
        <v>#REF!</v>
      </c>
      <c r="J436" s="31">
        <v>25</v>
      </c>
      <c r="K436" s="33" t="s">
        <v>95</v>
      </c>
      <c r="L436" s="31" t="str">
        <f t="shared" si="42"/>
        <v>Dua Puluh Lima</v>
      </c>
    </row>
    <row r="437" spans="1:12">
      <c r="A437" s="33" t="s">
        <v>83</v>
      </c>
      <c r="B437" s="40" t="e">
        <f>ROUND(A409-SUM(C431:C436),2)*100</f>
        <v>#REF!</v>
      </c>
      <c r="D437" s="31" t="e">
        <f>IF(B437&lt;1,"",VLOOKUP(B437,$J$3:$L$102,3))</f>
        <v>#REF!</v>
      </c>
      <c r="E437" s="31" t="e">
        <f>IF(B437&lt;1,""," Sen ")</f>
        <v>#REF!</v>
      </c>
      <c r="J437" s="31">
        <v>26</v>
      </c>
      <c r="K437" s="33" t="s">
        <v>96</v>
      </c>
      <c r="L437" s="31" t="str">
        <f t="shared" si="42"/>
        <v>Dua Puluh Enam</v>
      </c>
    </row>
    <row r="438" spans="1:12">
      <c r="J438" s="31">
        <v>27</v>
      </c>
      <c r="K438" s="33" t="s">
        <v>97</v>
      </c>
      <c r="L438" s="31" t="str">
        <f t="shared" si="42"/>
        <v>Dua Puluh Tujuh</v>
      </c>
    </row>
    <row r="439" spans="1:12">
      <c r="J439" s="31">
        <v>28</v>
      </c>
      <c r="K439" s="33" t="s">
        <v>98</v>
      </c>
      <c r="L439" s="31" t="str">
        <f t="shared" si="42"/>
        <v>Dua Puluh Delapan</v>
      </c>
    </row>
    <row r="440" spans="1:12">
      <c r="J440" s="31">
        <v>29</v>
      </c>
      <c r="K440" s="33" t="s">
        <v>99</v>
      </c>
      <c r="L440" s="31" t="str">
        <f t="shared" si="42"/>
        <v>Dua Puluh Sembilan</v>
      </c>
    </row>
    <row r="441" spans="1:12">
      <c r="J441" s="31">
        <v>30</v>
      </c>
      <c r="K441" s="33" t="s">
        <v>100</v>
      </c>
      <c r="L441" s="31" t="s">
        <v>101</v>
      </c>
    </row>
    <row r="442" spans="1:12">
      <c r="J442" s="31">
        <v>31</v>
      </c>
      <c r="K442" s="33" t="s">
        <v>102</v>
      </c>
      <c r="L442" s="31" t="str">
        <f t="shared" ref="L442:L450" si="43">$L$33&amp;" "&amp;L412</f>
        <v>Tiga Puluh Satu</v>
      </c>
    </row>
    <row r="443" spans="1:12">
      <c r="J443" s="31">
        <v>32</v>
      </c>
      <c r="K443" s="33" t="s">
        <v>103</v>
      </c>
      <c r="L443" s="31" t="str">
        <f t="shared" si="43"/>
        <v>Tiga Puluh Dua</v>
      </c>
    </row>
    <row r="444" spans="1:12">
      <c r="J444" s="31">
        <v>33</v>
      </c>
      <c r="K444" s="33" t="s">
        <v>104</v>
      </c>
      <c r="L444" s="31" t="str">
        <f t="shared" si="43"/>
        <v>Tiga Puluh Tiga</v>
      </c>
    </row>
    <row r="445" spans="1:12">
      <c r="J445" s="31">
        <v>34</v>
      </c>
      <c r="K445" s="33" t="s">
        <v>105</v>
      </c>
      <c r="L445" s="31" t="str">
        <f t="shared" si="43"/>
        <v>Tiga Puluh Empat</v>
      </c>
    </row>
    <row r="446" spans="1:12">
      <c r="J446" s="31">
        <v>35</v>
      </c>
      <c r="K446" s="33" t="s">
        <v>106</v>
      </c>
      <c r="L446" s="31" t="str">
        <f t="shared" si="43"/>
        <v>Tiga Puluh Lima</v>
      </c>
    </row>
    <row r="447" spans="1:12">
      <c r="J447" s="31">
        <v>36</v>
      </c>
      <c r="K447" s="33" t="s">
        <v>107</v>
      </c>
      <c r="L447" s="31" t="str">
        <f t="shared" si="43"/>
        <v>Tiga Puluh Enam</v>
      </c>
    </row>
    <row r="448" spans="1:12">
      <c r="J448" s="31">
        <v>37</v>
      </c>
      <c r="K448" s="33" t="s">
        <v>108</v>
      </c>
      <c r="L448" s="31" t="str">
        <f t="shared" si="43"/>
        <v>Tiga Puluh Tujuh</v>
      </c>
    </row>
    <row r="449" spans="1:12">
      <c r="J449" s="31">
        <v>38</v>
      </c>
      <c r="K449" s="33" t="s">
        <v>109</v>
      </c>
      <c r="L449" s="31" t="str">
        <f t="shared" si="43"/>
        <v>Tiga Puluh Delapan</v>
      </c>
    </row>
    <row r="450" spans="1:12">
      <c r="J450" s="31">
        <v>39</v>
      </c>
      <c r="K450" s="33" t="s">
        <v>110</v>
      </c>
      <c r="L450" s="31" t="str">
        <f t="shared" si="43"/>
        <v>Tiga Puluh Sembilan</v>
      </c>
    </row>
    <row r="451" spans="1:12">
      <c r="B451" s="35"/>
      <c r="C451" s="35"/>
      <c r="D451" s="35"/>
      <c r="J451" s="31">
        <v>40</v>
      </c>
      <c r="K451" s="33" t="s">
        <v>111</v>
      </c>
      <c r="L451" s="31" t="s">
        <v>112</v>
      </c>
    </row>
    <row r="452" spans="1:12">
      <c r="A452" s="35"/>
      <c r="B452" s="35"/>
      <c r="C452" s="35"/>
      <c r="D452" s="35"/>
      <c r="J452" s="31">
        <v>41</v>
      </c>
      <c r="K452" s="33" t="s">
        <v>113</v>
      </c>
      <c r="L452" s="31" t="str">
        <f t="shared" ref="L452:L460" si="44">$L$43&amp;" "&amp;L412</f>
        <v>Empat Puluh Satu</v>
      </c>
    </row>
    <row r="453" spans="1:12">
      <c r="J453" s="31">
        <v>42</v>
      </c>
      <c r="K453" s="33" t="s">
        <v>114</v>
      </c>
      <c r="L453" s="31" t="str">
        <f t="shared" si="44"/>
        <v>Empat Puluh Dua</v>
      </c>
    </row>
    <row r="454" spans="1:12">
      <c r="A454" s="38"/>
      <c r="J454" s="31">
        <v>43</v>
      </c>
      <c r="K454" s="33" t="s">
        <v>115</v>
      </c>
      <c r="L454" s="31" t="str">
        <f t="shared" si="44"/>
        <v>Empat Puluh Tiga</v>
      </c>
    </row>
    <row r="455" spans="1:12">
      <c r="J455" s="31">
        <v>44</v>
      </c>
      <c r="K455" s="33" t="s">
        <v>116</v>
      </c>
      <c r="L455" s="31" t="str">
        <f t="shared" si="44"/>
        <v>Empat Puluh Empat</v>
      </c>
    </row>
    <row r="456" spans="1:12">
      <c r="J456" s="31">
        <v>45</v>
      </c>
      <c r="K456" s="33" t="s">
        <v>117</v>
      </c>
      <c r="L456" s="31" t="str">
        <f t="shared" si="44"/>
        <v>Empat Puluh Lima</v>
      </c>
    </row>
    <row r="457" spans="1:12">
      <c r="J457" s="31">
        <v>46</v>
      </c>
      <c r="K457" s="33" t="s">
        <v>118</v>
      </c>
      <c r="L457" s="31" t="str">
        <f t="shared" si="44"/>
        <v>Empat Puluh Enam</v>
      </c>
    </row>
    <row r="458" spans="1:12">
      <c r="J458" s="31">
        <v>47</v>
      </c>
      <c r="K458" s="33" t="s">
        <v>119</v>
      </c>
      <c r="L458" s="31" t="str">
        <f t="shared" si="44"/>
        <v>Empat Puluh Tujuh</v>
      </c>
    </row>
    <row r="459" spans="1:12">
      <c r="J459" s="31">
        <v>48</v>
      </c>
      <c r="K459" s="33" t="s">
        <v>120</v>
      </c>
      <c r="L459" s="31" t="str">
        <f t="shared" si="44"/>
        <v>Empat Puluh Delapan</v>
      </c>
    </row>
    <row r="460" spans="1:12">
      <c r="J460" s="31">
        <v>49</v>
      </c>
      <c r="K460" s="33" t="s">
        <v>121</v>
      </c>
      <c r="L460" s="31" t="str">
        <f t="shared" si="44"/>
        <v>Empat Puluh Sembilan</v>
      </c>
    </row>
    <row r="461" spans="1:12">
      <c r="J461" s="31">
        <v>50</v>
      </c>
      <c r="K461" s="33" t="s">
        <v>122</v>
      </c>
      <c r="L461" s="31" t="s">
        <v>123</v>
      </c>
    </row>
    <row r="462" spans="1:12">
      <c r="J462" s="31">
        <v>51</v>
      </c>
      <c r="K462" s="33" t="s">
        <v>124</v>
      </c>
      <c r="L462" s="31" t="str">
        <f t="shared" ref="L462:L470" si="45">$L$53&amp;" "&amp;L412</f>
        <v>Lima Puluh Satu</v>
      </c>
    </row>
    <row r="463" spans="1:12">
      <c r="J463" s="31">
        <v>52</v>
      </c>
      <c r="K463" s="33" t="s">
        <v>125</v>
      </c>
      <c r="L463" s="31" t="str">
        <f t="shared" si="45"/>
        <v>Lima Puluh Dua</v>
      </c>
    </row>
    <row r="464" spans="1:12">
      <c r="J464" s="31">
        <v>53</v>
      </c>
      <c r="K464" s="33" t="s">
        <v>126</v>
      </c>
      <c r="L464" s="31" t="str">
        <f t="shared" si="45"/>
        <v>Lima Puluh Tiga</v>
      </c>
    </row>
    <row r="465" spans="10:12">
      <c r="J465" s="31">
        <v>54</v>
      </c>
      <c r="K465" s="33" t="s">
        <v>127</v>
      </c>
      <c r="L465" s="31" t="str">
        <f t="shared" si="45"/>
        <v>Lima Puluh Empat</v>
      </c>
    </row>
    <row r="466" spans="10:12">
      <c r="J466" s="31">
        <v>55</v>
      </c>
      <c r="K466" s="33" t="s">
        <v>128</v>
      </c>
      <c r="L466" s="31" t="str">
        <f t="shared" si="45"/>
        <v>Lima Puluh Lima</v>
      </c>
    </row>
    <row r="467" spans="10:12">
      <c r="J467" s="31">
        <v>56</v>
      </c>
      <c r="K467" s="33" t="s">
        <v>129</v>
      </c>
      <c r="L467" s="31" t="str">
        <f t="shared" si="45"/>
        <v>Lima Puluh Enam</v>
      </c>
    </row>
    <row r="468" spans="10:12">
      <c r="J468" s="31">
        <v>57</v>
      </c>
      <c r="K468" s="33" t="s">
        <v>130</v>
      </c>
      <c r="L468" s="31" t="str">
        <f t="shared" si="45"/>
        <v>Lima Puluh Tujuh</v>
      </c>
    </row>
    <row r="469" spans="10:12">
      <c r="J469" s="31">
        <v>58</v>
      </c>
      <c r="K469" s="33" t="s">
        <v>131</v>
      </c>
      <c r="L469" s="31" t="str">
        <f t="shared" si="45"/>
        <v>Lima Puluh Delapan</v>
      </c>
    </row>
    <row r="470" spans="10:12">
      <c r="J470" s="31">
        <v>59</v>
      </c>
      <c r="K470" s="33" t="s">
        <v>132</v>
      </c>
      <c r="L470" s="31" t="str">
        <f t="shared" si="45"/>
        <v>Lima Puluh Sembilan</v>
      </c>
    </row>
    <row r="471" spans="10:12">
      <c r="J471" s="31">
        <v>60</v>
      </c>
      <c r="K471" s="33" t="s">
        <v>133</v>
      </c>
      <c r="L471" s="31" t="s">
        <v>134</v>
      </c>
    </row>
    <row r="472" spans="10:12">
      <c r="J472" s="31">
        <v>61</v>
      </c>
      <c r="K472" s="33" t="s">
        <v>135</v>
      </c>
      <c r="L472" s="31" t="str">
        <f t="shared" ref="L472:L480" si="46">$L$63&amp;" "&amp;L412</f>
        <v>Enam Puluh Satu</v>
      </c>
    </row>
    <row r="473" spans="10:12">
      <c r="J473" s="31">
        <v>62</v>
      </c>
      <c r="K473" s="33" t="s">
        <v>136</v>
      </c>
      <c r="L473" s="31" t="str">
        <f t="shared" si="46"/>
        <v>Enam Puluh Dua</v>
      </c>
    </row>
    <row r="474" spans="10:12">
      <c r="J474" s="31">
        <v>63</v>
      </c>
      <c r="K474" s="33" t="s">
        <v>137</v>
      </c>
      <c r="L474" s="31" t="str">
        <f t="shared" si="46"/>
        <v>Enam Puluh Tiga</v>
      </c>
    </row>
    <row r="475" spans="10:12">
      <c r="J475" s="31">
        <v>64</v>
      </c>
      <c r="K475" s="33" t="s">
        <v>138</v>
      </c>
      <c r="L475" s="31" t="str">
        <f t="shared" si="46"/>
        <v>Enam Puluh Empat</v>
      </c>
    </row>
    <row r="476" spans="10:12">
      <c r="J476" s="31">
        <v>65</v>
      </c>
      <c r="K476" s="33" t="s">
        <v>139</v>
      </c>
      <c r="L476" s="31" t="str">
        <f t="shared" si="46"/>
        <v>Enam Puluh Lima</v>
      </c>
    </row>
    <row r="477" spans="10:12">
      <c r="J477" s="31">
        <v>66</v>
      </c>
      <c r="K477" s="33" t="s">
        <v>140</v>
      </c>
      <c r="L477" s="31" t="str">
        <f t="shared" si="46"/>
        <v>Enam Puluh Enam</v>
      </c>
    </row>
    <row r="478" spans="10:12">
      <c r="J478" s="31">
        <v>67</v>
      </c>
      <c r="K478" s="33" t="s">
        <v>141</v>
      </c>
      <c r="L478" s="31" t="str">
        <f t="shared" si="46"/>
        <v>Enam Puluh Tujuh</v>
      </c>
    </row>
    <row r="479" spans="10:12">
      <c r="J479" s="31">
        <v>68</v>
      </c>
      <c r="K479" s="33" t="s">
        <v>142</v>
      </c>
      <c r="L479" s="31" t="str">
        <f t="shared" si="46"/>
        <v>Enam Puluh Delapan</v>
      </c>
    </row>
    <row r="480" spans="10:12">
      <c r="J480" s="31">
        <v>69</v>
      </c>
      <c r="K480" s="33" t="s">
        <v>143</v>
      </c>
      <c r="L480" s="31" t="str">
        <f t="shared" si="46"/>
        <v>Enam Puluh Sembilan</v>
      </c>
    </row>
    <row r="481" spans="10:12">
      <c r="J481" s="31">
        <v>70</v>
      </c>
      <c r="K481" s="33" t="s">
        <v>144</v>
      </c>
      <c r="L481" s="31" t="s">
        <v>145</v>
      </c>
    </row>
    <row r="482" spans="10:12">
      <c r="J482" s="31">
        <v>71</v>
      </c>
      <c r="K482" s="33" t="s">
        <v>146</v>
      </c>
      <c r="L482" s="31" t="str">
        <f t="shared" ref="L482:L490" si="47">$L$73&amp;" "&amp;L412</f>
        <v>Tujuh Puluh Satu</v>
      </c>
    </row>
    <row r="483" spans="10:12">
      <c r="J483" s="31">
        <v>72</v>
      </c>
      <c r="K483" s="33" t="s">
        <v>147</v>
      </c>
      <c r="L483" s="31" t="str">
        <f t="shared" si="47"/>
        <v>Tujuh Puluh Dua</v>
      </c>
    </row>
    <row r="484" spans="10:12">
      <c r="J484" s="31">
        <v>73</v>
      </c>
      <c r="K484" s="33" t="s">
        <v>148</v>
      </c>
      <c r="L484" s="31" t="str">
        <f t="shared" si="47"/>
        <v>Tujuh Puluh Tiga</v>
      </c>
    </row>
    <row r="485" spans="10:12">
      <c r="J485" s="31">
        <v>74</v>
      </c>
      <c r="K485" s="33" t="s">
        <v>149</v>
      </c>
      <c r="L485" s="31" t="str">
        <f t="shared" si="47"/>
        <v>Tujuh Puluh Empat</v>
      </c>
    </row>
    <row r="486" spans="10:12">
      <c r="J486" s="31">
        <v>75</v>
      </c>
      <c r="K486" s="33" t="s">
        <v>150</v>
      </c>
      <c r="L486" s="31" t="str">
        <f t="shared" si="47"/>
        <v>Tujuh Puluh Lima</v>
      </c>
    </row>
    <row r="487" spans="10:12">
      <c r="J487" s="31">
        <v>76</v>
      </c>
      <c r="K487" s="33" t="s">
        <v>151</v>
      </c>
      <c r="L487" s="31" t="str">
        <f t="shared" si="47"/>
        <v>Tujuh Puluh Enam</v>
      </c>
    </row>
    <row r="488" spans="10:12">
      <c r="J488" s="31">
        <v>77</v>
      </c>
      <c r="K488" s="33" t="s">
        <v>152</v>
      </c>
      <c r="L488" s="31" t="str">
        <f t="shared" si="47"/>
        <v>Tujuh Puluh Tujuh</v>
      </c>
    </row>
    <row r="489" spans="10:12">
      <c r="J489" s="31">
        <v>78</v>
      </c>
      <c r="K489" s="33" t="s">
        <v>153</v>
      </c>
      <c r="L489" s="31" t="str">
        <f t="shared" si="47"/>
        <v>Tujuh Puluh Delapan</v>
      </c>
    </row>
    <row r="490" spans="10:12">
      <c r="J490" s="31">
        <v>79</v>
      </c>
      <c r="K490" s="33" t="s">
        <v>154</v>
      </c>
      <c r="L490" s="31" t="str">
        <f t="shared" si="47"/>
        <v>Tujuh Puluh Sembilan</v>
      </c>
    </row>
    <row r="491" spans="10:12">
      <c r="J491" s="31">
        <v>80</v>
      </c>
      <c r="K491" s="33" t="s">
        <v>155</v>
      </c>
      <c r="L491" s="31" t="s">
        <v>156</v>
      </c>
    </row>
    <row r="492" spans="10:12">
      <c r="J492" s="31">
        <v>81</v>
      </c>
      <c r="K492" s="33" t="s">
        <v>157</v>
      </c>
      <c r="L492" s="31" t="str">
        <f t="shared" ref="L492:L500" si="48">$L$83&amp;" "&amp;L412</f>
        <v>Delapan Puluh Satu</v>
      </c>
    </row>
    <row r="493" spans="10:12">
      <c r="J493" s="31">
        <v>82</v>
      </c>
      <c r="K493" s="33" t="s">
        <v>158</v>
      </c>
      <c r="L493" s="31" t="str">
        <f t="shared" si="48"/>
        <v>Delapan Puluh Dua</v>
      </c>
    </row>
    <row r="494" spans="10:12">
      <c r="J494" s="31">
        <v>83</v>
      </c>
      <c r="K494" s="33" t="s">
        <v>159</v>
      </c>
      <c r="L494" s="31" t="str">
        <f t="shared" si="48"/>
        <v>Delapan Puluh Tiga</v>
      </c>
    </row>
    <row r="495" spans="10:12">
      <c r="J495" s="31">
        <v>84</v>
      </c>
      <c r="K495" s="33" t="s">
        <v>160</v>
      </c>
      <c r="L495" s="31" t="str">
        <f t="shared" si="48"/>
        <v>Delapan Puluh Empat</v>
      </c>
    </row>
    <row r="496" spans="10:12">
      <c r="J496" s="31">
        <v>85</v>
      </c>
      <c r="K496" s="33" t="s">
        <v>161</v>
      </c>
      <c r="L496" s="31" t="str">
        <f t="shared" si="48"/>
        <v>Delapan Puluh Lima</v>
      </c>
    </row>
    <row r="497" spans="1:12">
      <c r="J497" s="31">
        <v>86</v>
      </c>
      <c r="K497" s="33" t="s">
        <v>162</v>
      </c>
      <c r="L497" s="31" t="str">
        <f t="shared" si="48"/>
        <v>Delapan Puluh Enam</v>
      </c>
    </row>
    <row r="498" spans="1:12">
      <c r="J498" s="31">
        <v>87</v>
      </c>
      <c r="K498" s="33" t="s">
        <v>163</v>
      </c>
      <c r="L498" s="31" t="str">
        <f t="shared" si="48"/>
        <v>Delapan Puluh Tujuh</v>
      </c>
    </row>
    <row r="499" spans="1:12">
      <c r="J499" s="31">
        <v>88</v>
      </c>
      <c r="K499" s="33" t="s">
        <v>164</v>
      </c>
      <c r="L499" s="31" t="str">
        <f t="shared" si="48"/>
        <v>Delapan Puluh Delapan</v>
      </c>
    </row>
    <row r="500" spans="1:12">
      <c r="J500" s="31">
        <v>89</v>
      </c>
      <c r="K500" s="33" t="s">
        <v>165</v>
      </c>
      <c r="L500" s="31" t="str">
        <f t="shared" si="48"/>
        <v>Delapan Puluh Sembilan</v>
      </c>
    </row>
    <row r="501" spans="1:12">
      <c r="J501" s="31">
        <v>90</v>
      </c>
      <c r="K501" s="33" t="s">
        <v>166</v>
      </c>
      <c r="L501" s="31" t="s">
        <v>167</v>
      </c>
    </row>
    <row r="502" spans="1:12">
      <c r="J502" s="31">
        <v>91</v>
      </c>
      <c r="K502" s="33" t="s">
        <v>168</v>
      </c>
      <c r="L502" s="31" t="str">
        <f t="shared" ref="L502:L510" si="49">$L$93&amp;" "&amp;L412</f>
        <v>Sembilan Puluh Satu</v>
      </c>
    </row>
    <row r="503" spans="1:12">
      <c r="J503" s="31">
        <v>92</v>
      </c>
      <c r="K503" s="33" t="s">
        <v>169</v>
      </c>
      <c r="L503" s="31" t="str">
        <f t="shared" si="49"/>
        <v>Sembilan Puluh Dua</v>
      </c>
    </row>
    <row r="504" spans="1:12">
      <c r="J504" s="31">
        <v>93</v>
      </c>
      <c r="K504" s="33" t="s">
        <v>170</v>
      </c>
      <c r="L504" s="31" t="str">
        <f t="shared" si="49"/>
        <v>Sembilan Puluh Tiga</v>
      </c>
    </row>
    <row r="505" spans="1:12">
      <c r="J505" s="31">
        <v>94</v>
      </c>
      <c r="K505" s="33" t="s">
        <v>171</v>
      </c>
      <c r="L505" s="31" t="str">
        <f t="shared" si="49"/>
        <v>Sembilan Puluh Empat</v>
      </c>
    </row>
    <row r="506" spans="1:12">
      <c r="J506" s="31">
        <v>95</v>
      </c>
      <c r="K506" s="33" t="s">
        <v>172</v>
      </c>
      <c r="L506" s="31" t="str">
        <f t="shared" si="49"/>
        <v>Sembilan Puluh Lima</v>
      </c>
    </row>
    <row r="507" spans="1:12">
      <c r="J507" s="31">
        <v>96</v>
      </c>
      <c r="K507" s="33" t="s">
        <v>173</v>
      </c>
      <c r="L507" s="31" t="str">
        <f t="shared" si="49"/>
        <v>Sembilan Puluh Enam</v>
      </c>
    </row>
    <row r="508" spans="1:12">
      <c r="J508" s="31">
        <v>97</v>
      </c>
      <c r="K508" s="33" t="s">
        <v>174</v>
      </c>
      <c r="L508" s="31" t="str">
        <f t="shared" si="49"/>
        <v>Sembilan Puluh Tujuh</v>
      </c>
    </row>
    <row r="509" spans="1:12">
      <c r="J509" s="31">
        <v>98</v>
      </c>
      <c r="K509" s="33" t="s">
        <v>175</v>
      </c>
      <c r="L509" s="31" t="str">
        <f t="shared" si="49"/>
        <v>Sembilan Puluh Delapan</v>
      </c>
    </row>
    <row r="510" spans="1:12">
      <c r="J510" s="31">
        <v>99</v>
      </c>
      <c r="K510" s="33" t="s">
        <v>176</v>
      </c>
      <c r="L510" s="31" t="str">
        <f t="shared" si="49"/>
        <v>Sembilan Puluh Sembilan</v>
      </c>
    </row>
    <row r="511" spans="1:12">
      <c r="A511" s="30" t="e">
        <f>#REF!</f>
        <v>#REF!</v>
      </c>
      <c r="C511" s="31" t="s">
        <v>181</v>
      </c>
    </row>
    <row r="512" spans="1:12">
      <c r="A512" s="32"/>
    </row>
    <row r="513" spans="1:12">
      <c r="J513" s="31">
        <v>0</v>
      </c>
      <c r="K513" s="33" t="s">
        <v>48</v>
      </c>
      <c r="L513" s="31" t="s">
        <v>49</v>
      </c>
    </row>
    <row r="514" spans="1:12">
      <c r="A514" s="34"/>
      <c r="J514" s="31">
        <v>1</v>
      </c>
      <c r="K514" s="33" t="s">
        <v>50</v>
      </c>
      <c r="L514" s="31" t="s">
        <v>51</v>
      </c>
    </row>
    <row r="515" spans="1:12">
      <c r="A515" s="255" t="e">
        <f>TRIM(D523&amp;E523&amp;D524&amp;E524&amp;D525&amp;E525&amp;D526&amp;E526&amp;D527&amp;E527&amp;D528&amp;E528&amp;E529&amp;D529&amp;" Only")</f>
        <v>#REF!</v>
      </c>
      <c r="B515" s="255"/>
      <c r="C515" s="255"/>
      <c r="D515" s="255"/>
      <c r="E515" s="35"/>
      <c r="F515" s="36"/>
      <c r="J515" s="31">
        <v>2</v>
      </c>
      <c r="K515" s="33" t="s">
        <v>52</v>
      </c>
      <c r="L515" s="31" t="s">
        <v>53</v>
      </c>
    </row>
    <row r="516" spans="1:12">
      <c r="A516" s="37"/>
      <c r="B516" s="37"/>
      <c r="C516" s="37"/>
      <c r="D516" s="37"/>
      <c r="E516" s="35"/>
      <c r="F516" s="36"/>
      <c r="J516" s="31">
        <v>3</v>
      </c>
      <c r="K516" s="33" t="s">
        <v>54</v>
      </c>
      <c r="L516" s="31" t="s">
        <v>55</v>
      </c>
    </row>
    <row r="517" spans="1:12">
      <c r="A517" s="37"/>
      <c r="B517" s="37"/>
      <c r="C517" s="37"/>
      <c r="D517" s="37"/>
      <c r="J517" s="31">
        <v>4</v>
      </c>
      <c r="K517" s="33" t="s">
        <v>56</v>
      </c>
      <c r="L517" s="31" t="s">
        <v>57</v>
      </c>
    </row>
    <row r="518" spans="1:12">
      <c r="A518" s="255" t="e">
        <f>TRIM(D533&amp;E533&amp;D534&amp;E534&amp;D535&amp;E535&amp;D536&amp;E536&amp;D537&amp;E537&amp;D538&amp;E538&amp;D539&amp;E539&amp;" Rupiah")</f>
        <v>#REF!</v>
      </c>
      <c r="B518" s="255"/>
      <c r="C518" s="255"/>
      <c r="D518" s="255"/>
      <c r="E518" s="35"/>
      <c r="F518" s="36"/>
      <c r="J518" s="31">
        <v>5</v>
      </c>
      <c r="K518" s="33" t="s">
        <v>58</v>
      </c>
      <c r="L518" s="31" t="s">
        <v>59</v>
      </c>
    </row>
    <row r="519" spans="1:12">
      <c r="A519" s="35"/>
      <c r="B519" s="35"/>
      <c r="C519" s="35"/>
      <c r="D519" s="35"/>
      <c r="E519" s="35"/>
      <c r="F519" s="36"/>
      <c r="J519" s="31">
        <v>6</v>
      </c>
      <c r="K519" s="33" t="s">
        <v>60</v>
      </c>
      <c r="L519" s="31" t="s">
        <v>61</v>
      </c>
    </row>
    <row r="520" spans="1:12">
      <c r="J520" s="31">
        <v>7</v>
      </c>
      <c r="K520" s="33" t="s">
        <v>62</v>
      </c>
      <c r="L520" s="31" t="s">
        <v>63</v>
      </c>
    </row>
    <row r="521" spans="1:12">
      <c r="J521" s="31">
        <v>8</v>
      </c>
      <c r="K521" s="33" t="s">
        <v>64</v>
      </c>
      <c r="L521" s="31" t="s">
        <v>65</v>
      </c>
    </row>
    <row r="522" spans="1:12">
      <c r="A522" s="38" t="s">
        <v>66</v>
      </c>
      <c r="J522" s="31">
        <v>9</v>
      </c>
      <c r="K522" s="33" t="s">
        <v>67</v>
      </c>
      <c r="L522" s="31" t="s">
        <v>68</v>
      </c>
    </row>
    <row r="523" spans="1:12">
      <c r="A523" s="31" t="s">
        <v>69</v>
      </c>
      <c r="B523" s="39" t="e">
        <f>TRUNC(A511/100000000)</f>
        <v>#REF!</v>
      </c>
      <c r="C523" s="31" t="e">
        <f>B523*100000000</f>
        <v>#REF!</v>
      </c>
      <c r="D523" s="31" t="e">
        <f t="shared" ref="D523:D529" si="50">IF(B523&lt;1,"",VLOOKUP(B523,$J$3:$K$102,2))</f>
        <v>#REF!</v>
      </c>
      <c r="E523" s="31" t="e">
        <f>IF(B523&lt;1,"",IF(B523&gt;1," Hundreds "," Hundred "))</f>
        <v>#REF!</v>
      </c>
      <c r="J523" s="31">
        <v>10</v>
      </c>
      <c r="K523" s="33" t="s">
        <v>70</v>
      </c>
      <c r="L523" s="31" t="s">
        <v>71</v>
      </c>
    </row>
    <row r="524" spans="1:12">
      <c r="A524" s="31" t="s">
        <v>72</v>
      </c>
      <c r="B524" s="39" t="e">
        <f>TRUNC((A511-C523)/1000000)</f>
        <v>#REF!</v>
      </c>
      <c r="C524" s="31" t="e">
        <f>B524*1000000</f>
        <v>#REF!</v>
      </c>
      <c r="D524" s="31" t="e">
        <f t="shared" si="50"/>
        <v>#REF!</v>
      </c>
      <c r="E524" s="31" t="e">
        <f>IF(B523+B524=0,"",IF(B524=1," Million "," Millions "))</f>
        <v>#REF!</v>
      </c>
      <c r="J524" s="31">
        <v>11</v>
      </c>
      <c r="K524" s="33" t="s">
        <v>73</v>
      </c>
      <c r="L524" s="31" t="s">
        <v>74</v>
      </c>
    </row>
    <row r="525" spans="1:12">
      <c r="A525" s="31" t="s">
        <v>75</v>
      </c>
      <c r="B525" s="39" t="e">
        <f>TRUNC((A511-SUM(C523:C524))/100000)</f>
        <v>#REF!</v>
      </c>
      <c r="C525" s="31" t="e">
        <f>B525*100000</f>
        <v>#REF!</v>
      </c>
      <c r="D525" s="31" t="e">
        <f t="shared" si="50"/>
        <v>#REF!</v>
      </c>
      <c r="E525" s="31" t="e">
        <f>IF(B525&lt;1,"",IF(B525&gt;1," Hundreds "," Hundred "))</f>
        <v>#REF!</v>
      </c>
      <c r="J525" s="31">
        <v>12</v>
      </c>
      <c r="K525" s="33" t="s">
        <v>76</v>
      </c>
      <c r="L525" s="31" t="str">
        <f t="shared" ref="L525:L532" si="51">L515&amp;" Belas"</f>
        <v>Dua Belas</v>
      </c>
    </row>
    <row r="526" spans="1:12">
      <c r="A526" s="33" t="s">
        <v>77</v>
      </c>
      <c r="B526" s="40" t="e">
        <f>TRUNC((A511-SUM(C523:C525))/1000)</f>
        <v>#REF!</v>
      </c>
      <c r="C526" s="31" t="e">
        <f>B526*1000</f>
        <v>#REF!</v>
      </c>
      <c r="D526" s="31" t="e">
        <f t="shared" si="50"/>
        <v>#REF!</v>
      </c>
      <c r="E526" s="31" t="e">
        <f>IF(B525+B526=0,"",IF(B526=1," Thousand "," Thousands "))</f>
        <v>#REF!</v>
      </c>
      <c r="J526" s="31">
        <v>13</v>
      </c>
      <c r="K526" s="33" t="s">
        <v>78</v>
      </c>
      <c r="L526" s="31" t="str">
        <f t="shared" si="51"/>
        <v>Tiga Belas</v>
      </c>
    </row>
    <row r="527" spans="1:12">
      <c r="A527" s="33" t="s">
        <v>79</v>
      </c>
      <c r="B527" s="40" t="e">
        <f>TRUNC((A511-SUM(C523:C526))/100)</f>
        <v>#REF!</v>
      </c>
      <c r="C527" s="31" t="e">
        <f>B527*100</f>
        <v>#REF!</v>
      </c>
      <c r="D527" s="31" t="e">
        <f t="shared" si="50"/>
        <v>#REF!</v>
      </c>
      <c r="E527" s="31" t="e">
        <f>IF(B527&lt;1,"",IF(B527&gt;1," Hundreds "," Hundred "))</f>
        <v>#REF!</v>
      </c>
      <c r="J527" s="31">
        <v>14</v>
      </c>
      <c r="K527" s="33" t="s">
        <v>80</v>
      </c>
      <c r="L527" s="31" t="str">
        <f t="shared" si="51"/>
        <v>Empat Belas</v>
      </c>
    </row>
    <row r="528" spans="1:12">
      <c r="A528" s="33" t="s">
        <v>81</v>
      </c>
      <c r="B528" s="41" t="e">
        <f>TRUNC((A511-SUM(C523:C527)))</f>
        <v>#REF!</v>
      </c>
      <c r="C528" s="42" t="e">
        <f>B528</f>
        <v>#REF!</v>
      </c>
      <c r="D528" s="31" t="e">
        <f t="shared" si="50"/>
        <v>#REF!</v>
      </c>
      <c r="E528" s="31" t="e">
        <f>IF(SUM(C523:C528)&lt;1,"",IF(B529&lt;1,""," And "))</f>
        <v>#REF!</v>
      </c>
      <c r="J528" s="31">
        <v>15</v>
      </c>
      <c r="K528" s="33" t="s">
        <v>82</v>
      </c>
      <c r="L528" s="31" t="str">
        <f t="shared" si="51"/>
        <v>Lima Belas</v>
      </c>
    </row>
    <row r="529" spans="1:12">
      <c r="A529" s="33" t="s">
        <v>83</v>
      </c>
      <c r="B529" s="40" t="e">
        <f>ROUND(A511-SUM(C523:C528),2)*100</f>
        <v>#REF!</v>
      </c>
      <c r="D529" s="43" t="e">
        <f t="shared" si="50"/>
        <v>#REF!</v>
      </c>
      <c r="E529" s="31" t="e">
        <f>IF(B529&lt;1,"",IF(B529=1," Cent "," Cents "))</f>
        <v>#REF!</v>
      </c>
      <c r="J529" s="31">
        <v>16</v>
      </c>
      <c r="K529" s="33" t="s">
        <v>84</v>
      </c>
      <c r="L529" s="31" t="str">
        <f t="shared" si="51"/>
        <v>Enam Belas</v>
      </c>
    </row>
    <row r="530" spans="1:12">
      <c r="J530" s="31">
        <v>17</v>
      </c>
      <c r="K530" s="33" t="s">
        <v>85</v>
      </c>
      <c r="L530" s="31" t="str">
        <f t="shared" si="51"/>
        <v>Tujuh Belas</v>
      </c>
    </row>
    <row r="531" spans="1:12">
      <c r="A531" s="44"/>
      <c r="J531" s="31">
        <v>18</v>
      </c>
      <c r="K531" s="33" t="s">
        <v>86</v>
      </c>
      <c r="L531" s="31" t="str">
        <f t="shared" si="51"/>
        <v>Delapan Belas</v>
      </c>
    </row>
    <row r="532" spans="1:12">
      <c r="A532" s="38" t="s">
        <v>87</v>
      </c>
      <c r="J532" s="31">
        <v>19</v>
      </c>
      <c r="K532" s="33" t="s">
        <v>88</v>
      </c>
      <c r="L532" s="31" t="str">
        <f t="shared" si="51"/>
        <v>Sembilan Belas</v>
      </c>
    </row>
    <row r="533" spans="1:12">
      <c r="A533" s="31" t="s">
        <v>69</v>
      </c>
      <c r="B533" s="39" t="e">
        <f>TRUNC(A511/100000000)</f>
        <v>#REF!</v>
      </c>
      <c r="C533" s="31" t="e">
        <f>B533*100000000</f>
        <v>#REF!</v>
      </c>
      <c r="D533" s="31" t="e">
        <f>IF(B533&lt;1,"",IF(B533=1,"",VLOOKUP(B533,$J$3:$L$102,3)))</f>
        <v>#REF!</v>
      </c>
      <c r="E533" s="31" t="e">
        <f>IF(B533&lt;1,"",IF(B533=1,"Seratus "," Ratus "))</f>
        <v>#REF!</v>
      </c>
      <c r="J533" s="31">
        <v>20</v>
      </c>
      <c r="K533" s="33" t="s">
        <v>89</v>
      </c>
      <c r="L533" s="31" t="s">
        <v>90</v>
      </c>
    </row>
    <row r="534" spans="1:12">
      <c r="A534" s="31" t="s">
        <v>72</v>
      </c>
      <c r="B534" s="39" t="e">
        <f>TRUNC((A511-C533)/1000000)</f>
        <v>#REF!</v>
      </c>
      <c r="C534" s="31" t="e">
        <f>B534*1000000</f>
        <v>#REF!</v>
      </c>
      <c r="D534" s="31" t="e">
        <f>IF(B534&lt;1,"",VLOOKUP(B534,$J$3:$L$102,3))</f>
        <v>#REF!</v>
      </c>
      <c r="E534" s="31" t="e">
        <f>IF(B533+B534=0,""," Juta ")</f>
        <v>#REF!</v>
      </c>
      <c r="J534" s="31">
        <v>21</v>
      </c>
      <c r="K534" s="33" t="s">
        <v>91</v>
      </c>
      <c r="L534" s="31" t="str">
        <f t="shared" ref="L534:L542" si="52">$L$23&amp;" "&amp;L514</f>
        <v>Dua Puluh Satu</v>
      </c>
    </row>
    <row r="535" spans="1:12">
      <c r="A535" s="31" t="s">
        <v>75</v>
      </c>
      <c r="B535" s="39" t="e">
        <f>TRUNC((A511-SUM(C533:C534))/100000)</f>
        <v>#REF!</v>
      </c>
      <c r="C535" s="31" t="e">
        <f>B535*100000</f>
        <v>#REF!</v>
      </c>
      <c r="D535" s="31" t="e">
        <f>IF(B535&lt;1,"",IF(B535=1,"",VLOOKUP(B535,$J$3:$L$102,3)))</f>
        <v>#REF!</v>
      </c>
      <c r="E535" s="31" t="e">
        <f>IF(B535&lt;1,"",IF(B535=1," Seratus "," Ratus "))</f>
        <v>#REF!</v>
      </c>
      <c r="J535" s="31">
        <v>22</v>
      </c>
      <c r="K535" s="33" t="s">
        <v>92</v>
      </c>
      <c r="L535" s="31" t="str">
        <f t="shared" si="52"/>
        <v>Dua Puluh Dua</v>
      </c>
    </row>
    <row r="536" spans="1:12">
      <c r="A536" s="33" t="s">
        <v>77</v>
      </c>
      <c r="B536" s="40" t="e">
        <f>TRUNC((A511-SUM(C533:C535))/1000)</f>
        <v>#REF!</v>
      </c>
      <c r="C536" s="31" t="e">
        <f>B536*1000</f>
        <v>#REF!</v>
      </c>
      <c r="D536" s="31" t="e">
        <f>IF(B536&lt;1,"",IF(B536=1,"",VLOOKUP(B536,$J$3:$L$102,3)))</f>
        <v>#REF!</v>
      </c>
      <c r="E536" s="31" t="e">
        <f>IF(B535+B536&lt;1,"",IF(B536=1," Seribu "," Ribu "))</f>
        <v>#REF!</v>
      </c>
      <c r="J536" s="31">
        <v>23</v>
      </c>
      <c r="K536" s="33" t="s">
        <v>93</v>
      </c>
      <c r="L536" s="31" t="str">
        <f t="shared" si="52"/>
        <v>Dua Puluh Tiga</v>
      </c>
    </row>
    <row r="537" spans="1:12">
      <c r="A537" s="33" t="s">
        <v>79</v>
      </c>
      <c r="B537" s="40" t="e">
        <f>TRUNC((A511-SUM(C533:C536))/100)</f>
        <v>#REF!</v>
      </c>
      <c r="C537" s="31" t="e">
        <f>B537*100</f>
        <v>#REF!</v>
      </c>
      <c r="D537" s="31" t="e">
        <f>IF(B537&lt;1,"",IF(B537=1,"",VLOOKUP(B537,$J$3:$L$102,3)))</f>
        <v>#REF!</v>
      </c>
      <c r="E537" s="31" t="e">
        <f>IF(B537&lt;1,"",IF(B537=1," Seratus "," Ratus "))</f>
        <v>#REF!</v>
      </c>
      <c r="J537" s="31">
        <v>24</v>
      </c>
      <c r="K537" s="33" t="s">
        <v>94</v>
      </c>
      <c r="L537" s="31" t="str">
        <f t="shared" si="52"/>
        <v>Dua Puluh Empat</v>
      </c>
    </row>
    <row r="538" spans="1:12">
      <c r="A538" s="33" t="s">
        <v>81</v>
      </c>
      <c r="B538" s="41" t="e">
        <f>TRUNC((A511-SUM(C533:C537)))</f>
        <v>#REF!</v>
      </c>
      <c r="C538" s="42" t="e">
        <f>B538</f>
        <v>#REF!</v>
      </c>
      <c r="D538" s="31" t="e">
        <f>IF(B538&lt;1,"",VLOOKUP(B538,$J$3:$L$102,3))</f>
        <v>#REF!</v>
      </c>
      <c r="E538" s="31" t="e">
        <f>IF(SUM(C533:C538)&lt;1,"",IF(B539&lt;1,""," Dan "))</f>
        <v>#REF!</v>
      </c>
      <c r="J538" s="31">
        <v>25</v>
      </c>
      <c r="K538" s="33" t="s">
        <v>95</v>
      </c>
      <c r="L538" s="31" t="str">
        <f t="shared" si="52"/>
        <v>Dua Puluh Lima</v>
      </c>
    </row>
    <row r="539" spans="1:12">
      <c r="A539" s="33" t="s">
        <v>83</v>
      </c>
      <c r="B539" s="40" t="e">
        <f>ROUND(A511-SUM(C533:C538),2)*100</f>
        <v>#REF!</v>
      </c>
      <c r="D539" s="31" t="e">
        <f>IF(B539&lt;1,"",VLOOKUP(B539,$J$3:$L$102,3))</f>
        <v>#REF!</v>
      </c>
      <c r="E539" s="31" t="e">
        <f>IF(B539&lt;1,""," Sen ")</f>
        <v>#REF!</v>
      </c>
      <c r="J539" s="31">
        <v>26</v>
      </c>
      <c r="K539" s="33" t="s">
        <v>96</v>
      </c>
      <c r="L539" s="31" t="str">
        <f t="shared" si="52"/>
        <v>Dua Puluh Enam</v>
      </c>
    </row>
    <row r="540" spans="1:12">
      <c r="J540" s="31">
        <v>27</v>
      </c>
      <c r="K540" s="33" t="s">
        <v>97</v>
      </c>
      <c r="L540" s="31" t="str">
        <f t="shared" si="52"/>
        <v>Dua Puluh Tujuh</v>
      </c>
    </row>
    <row r="541" spans="1:12">
      <c r="J541" s="31">
        <v>28</v>
      </c>
      <c r="K541" s="33" t="s">
        <v>98</v>
      </c>
      <c r="L541" s="31" t="str">
        <f t="shared" si="52"/>
        <v>Dua Puluh Delapan</v>
      </c>
    </row>
    <row r="542" spans="1:12">
      <c r="J542" s="31">
        <v>29</v>
      </c>
      <c r="K542" s="33" t="s">
        <v>99</v>
      </c>
      <c r="L542" s="31" t="str">
        <f t="shared" si="52"/>
        <v>Dua Puluh Sembilan</v>
      </c>
    </row>
    <row r="543" spans="1:12">
      <c r="J543" s="31">
        <v>30</v>
      </c>
      <c r="K543" s="33" t="s">
        <v>100</v>
      </c>
      <c r="L543" s="31" t="s">
        <v>101</v>
      </c>
    </row>
    <row r="544" spans="1:12">
      <c r="J544" s="31">
        <v>31</v>
      </c>
      <c r="K544" s="33" t="s">
        <v>102</v>
      </c>
      <c r="L544" s="31" t="str">
        <f t="shared" ref="L544:L552" si="53">$L$33&amp;" "&amp;L514</f>
        <v>Tiga Puluh Satu</v>
      </c>
    </row>
    <row r="545" spans="1:12">
      <c r="J545" s="31">
        <v>32</v>
      </c>
      <c r="K545" s="33" t="s">
        <v>103</v>
      </c>
      <c r="L545" s="31" t="str">
        <f t="shared" si="53"/>
        <v>Tiga Puluh Dua</v>
      </c>
    </row>
    <row r="546" spans="1:12">
      <c r="J546" s="31">
        <v>33</v>
      </c>
      <c r="K546" s="33" t="s">
        <v>104</v>
      </c>
      <c r="L546" s="31" t="str">
        <f t="shared" si="53"/>
        <v>Tiga Puluh Tiga</v>
      </c>
    </row>
    <row r="547" spans="1:12">
      <c r="J547" s="31">
        <v>34</v>
      </c>
      <c r="K547" s="33" t="s">
        <v>105</v>
      </c>
      <c r="L547" s="31" t="str">
        <f t="shared" si="53"/>
        <v>Tiga Puluh Empat</v>
      </c>
    </row>
    <row r="548" spans="1:12">
      <c r="J548" s="31">
        <v>35</v>
      </c>
      <c r="K548" s="33" t="s">
        <v>106</v>
      </c>
      <c r="L548" s="31" t="str">
        <f t="shared" si="53"/>
        <v>Tiga Puluh Lima</v>
      </c>
    </row>
    <row r="549" spans="1:12">
      <c r="J549" s="31">
        <v>36</v>
      </c>
      <c r="K549" s="33" t="s">
        <v>107</v>
      </c>
      <c r="L549" s="31" t="str">
        <f t="shared" si="53"/>
        <v>Tiga Puluh Enam</v>
      </c>
    </row>
    <row r="550" spans="1:12">
      <c r="J550" s="31">
        <v>37</v>
      </c>
      <c r="K550" s="33" t="s">
        <v>108</v>
      </c>
      <c r="L550" s="31" t="str">
        <f t="shared" si="53"/>
        <v>Tiga Puluh Tujuh</v>
      </c>
    </row>
    <row r="551" spans="1:12">
      <c r="J551" s="31">
        <v>38</v>
      </c>
      <c r="K551" s="33" t="s">
        <v>109</v>
      </c>
      <c r="L551" s="31" t="str">
        <f t="shared" si="53"/>
        <v>Tiga Puluh Delapan</v>
      </c>
    </row>
    <row r="552" spans="1:12">
      <c r="J552" s="31">
        <v>39</v>
      </c>
      <c r="K552" s="33" t="s">
        <v>110</v>
      </c>
      <c r="L552" s="31" t="str">
        <f t="shared" si="53"/>
        <v>Tiga Puluh Sembilan</v>
      </c>
    </row>
    <row r="553" spans="1:12">
      <c r="B553" s="35"/>
      <c r="C553" s="35"/>
      <c r="D553" s="35"/>
      <c r="J553" s="31">
        <v>40</v>
      </c>
      <c r="K553" s="33" t="s">
        <v>111</v>
      </c>
      <c r="L553" s="31" t="s">
        <v>112</v>
      </c>
    </row>
    <row r="554" spans="1:12">
      <c r="A554" s="35"/>
      <c r="B554" s="35"/>
      <c r="C554" s="35"/>
      <c r="D554" s="35"/>
      <c r="J554" s="31">
        <v>41</v>
      </c>
      <c r="K554" s="33" t="s">
        <v>113</v>
      </c>
      <c r="L554" s="31" t="str">
        <f t="shared" ref="L554:L562" si="54">$L$43&amp;" "&amp;L514</f>
        <v>Empat Puluh Satu</v>
      </c>
    </row>
    <row r="555" spans="1:12">
      <c r="J555" s="31">
        <v>42</v>
      </c>
      <c r="K555" s="33" t="s">
        <v>114</v>
      </c>
      <c r="L555" s="31" t="str">
        <f t="shared" si="54"/>
        <v>Empat Puluh Dua</v>
      </c>
    </row>
    <row r="556" spans="1:12">
      <c r="A556" s="38"/>
      <c r="J556" s="31">
        <v>43</v>
      </c>
      <c r="K556" s="33" t="s">
        <v>115</v>
      </c>
      <c r="L556" s="31" t="str">
        <f t="shared" si="54"/>
        <v>Empat Puluh Tiga</v>
      </c>
    </row>
    <row r="557" spans="1:12">
      <c r="J557" s="31">
        <v>44</v>
      </c>
      <c r="K557" s="33" t="s">
        <v>116</v>
      </c>
      <c r="L557" s="31" t="str">
        <f t="shared" si="54"/>
        <v>Empat Puluh Empat</v>
      </c>
    </row>
    <row r="558" spans="1:12">
      <c r="J558" s="31">
        <v>45</v>
      </c>
      <c r="K558" s="33" t="s">
        <v>117</v>
      </c>
      <c r="L558" s="31" t="str">
        <f t="shared" si="54"/>
        <v>Empat Puluh Lima</v>
      </c>
    </row>
    <row r="559" spans="1:12">
      <c r="J559" s="31">
        <v>46</v>
      </c>
      <c r="K559" s="33" t="s">
        <v>118</v>
      </c>
      <c r="L559" s="31" t="str">
        <f t="shared" si="54"/>
        <v>Empat Puluh Enam</v>
      </c>
    </row>
    <row r="560" spans="1:12">
      <c r="J560" s="31">
        <v>47</v>
      </c>
      <c r="K560" s="33" t="s">
        <v>119</v>
      </c>
      <c r="L560" s="31" t="str">
        <f t="shared" si="54"/>
        <v>Empat Puluh Tujuh</v>
      </c>
    </row>
    <row r="561" spans="10:12">
      <c r="J561" s="31">
        <v>48</v>
      </c>
      <c r="K561" s="33" t="s">
        <v>120</v>
      </c>
      <c r="L561" s="31" t="str">
        <f t="shared" si="54"/>
        <v>Empat Puluh Delapan</v>
      </c>
    </row>
    <row r="562" spans="10:12">
      <c r="J562" s="31">
        <v>49</v>
      </c>
      <c r="K562" s="33" t="s">
        <v>121</v>
      </c>
      <c r="L562" s="31" t="str">
        <f t="shared" si="54"/>
        <v>Empat Puluh Sembilan</v>
      </c>
    </row>
    <row r="563" spans="10:12">
      <c r="J563" s="31">
        <v>50</v>
      </c>
      <c r="K563" s="33" t="s">
        <v>122</v>
      </c>
      <c r="L563" s="31" t="s">
        <v>123</v>
      </c>
    </row>
    <row r="564" spans="10:12">
      <c r="J564" s="31">
        <v>51</v>
      </c>
      <c r="K564" s="33" t="s">
        <v>124</v>
      </c>
      <c r="L564" s="31" t="str">
        <f t="shared" ref="L564:L572" si="55">$L$53&amp;" "&amp;L514</f>
        <v>Lima Puluh Satu</v>
      </c>
    </row>
    <row r="565" spans="10:12">
      <c r="J565" s="31">
        <v>52</v>
      </c>
      <c r="K565" s="33" t="s">
        <v>125</v>
      </c>
      <c r="L565" s="31" t="str">
        <f t="shared" si="55"/>
        <v>Lima Puluh Dua</v>
      </c>
    </row>
    <row r="566" spans="10:12">
      <c r="J566" s="31">
        <v>53</v>
      </c>
      <c r="K566" s="33" t="s">
        <v>126</v>
      </c>
      <c r="L566" s="31" t="str">
        <f t="shared" si="55"/>
        <v>Lima Puluh Tiga</v>
      </c>
    </row>
    <row r="567" spans="10:12">
      <c r="J567" s="31">
        <v>54</v>
      </c>
      <c r="K567" s="33" t="s">
        <v>127</v>
      </c>
      <c r="L567" s="31" t="str">
        <f t="shared" si="55"/>
        <v>Lima Puluh Empat</v>
      </c>
    </row>
    <row r="568" spans="10:12">
      <c r="J568" s="31">
        <v>55</v>
      </c>
      <c r="K568" s="33" t="s">
        <v>128</v>
      </c>
      <c r="L568" s="31" t="str">
        <f t="shared" si="55"/>
        <v>Lima Puluh Lima</v>
      </c>
    </row>
    <row r="569" spans="10:12">
      <c r="J569" s="31">
        <v>56</v>
      </c>
      <c r="K569" s="33" t="s">
        <v>129</v>
      </c>
      <c r="L569" s="31" t="str">
        <f t="shared" si="55"/>
        <v>Lima Puluh Enam</v>
      </c>
    </row>
    <row r="570" spans="10:12">
      <c r="J570" s="31">
        <v>57</v>
      </c>
      <c r="K570" s="33" t="s">
        <v>130</v>
      </c>
      <c r="L570" s="31" t="str">
        <f t="shared" si="55"/>
        <v>Lima Puluh Tujuh</v>
      </c>
    </row>
    <row r="571" spans="10:12">
      <c r="J571" s="31">
        <v>58</v>
      </c>
      <c r="K571" s="33" t="s">
        <v>131</v>
      </c>
      <c r="L571" s="31" t="str">
        <f t="shared" si="55"/>
        <v>Lima Puluh Delapan</v>
      </c>
    </row>
    <row r="572" spans="10:12">
      <c r="J572" s="31">
        <v>59</v>
      </c>
      <c r="K572" s="33" t="s">
        <v>132</v>
      </c>
      <c r="L572" s="31" t="str">
        <f t="shared" si="55"/>
        <v>Lima Puluh Sembilan</v>
      </c>
    </row>
    <row r="573" spans="10:12">
      <c r="J573" s="31">
        <v>60</v>
      </c>
      <c r="K573" s="33" t="s">
        <v>133</v>
      </c>
      <c r="L573" s="31" t="s">
        <v>134</v>
      </c>
    </row>
    <row r="574" spans="10:12">
      <c r="J574" s="31">
        <v>61</v>
      </c>
      <c r="K574" s="33" t="s">
        <v>135</v>
      </c>
      <c r="L574" s="31" t="str">
        <f t="shared" ref="L574:L582" si="56">$L$63&amp;" "&amp;L514</f>
        <v>Enam Puluh Satu</v>
      </c>
    </row>
    <row r="575" spans="10:12">
      <c r="J575" s="31">
        <v>62</v>
      </c>
      <c r="K575" s="33" t="s">
        <v>136</v>
      </c>
      <c r="L575" s="31" t="str">
        <f t="shared" si="56"/>
        <v>Enam Puluh Dua</v>
      </c>
    </row>
    <row r="576" spans="10:12">
      <c r="J576" s="31">
        <v>63</v>
      </c>
      <c r="K576" s="33" t="s">
        <v>137</v>
      </c>
      <c r="L576" s="31" t="str">
        <f t="shared" si="56"/>
        <v>Enam Puluh Tiga</v>
      </c>
    </row>
    <row r="577" spans="10:12">
      <c r="J577" s="31">
        <v>64</v>
      </c>
      <c r="K577" s="33" t="s">
        <v>138</v>
      </c>
      <c r="L577" s="31" t="str">
        <f t="shared" si="56"/>
        <v>Enam Puluh Empat</v>
      </c>
    </row>
    <row r="578" spans="10:12">
      <c r="J578" s="31">
        <v>65</v>
      </c>
      <c r="K578" s="33" t="s">
        <v>139</v>
      </c>
      <c r="L578" s="31" t="str">
        <f t="shared" si="56"/>
        <v>Enam Puluh Lima</v>
      </c>
    </row>
    <row r="579" spans="10:12">
      <c r="J579" s="31">
        <v>66</v>
      </c>
      <c r="K579" s="33" t="s">
        <v>140</v>
      </c>
      <c r="L579" s="31" t="str">
        <f t="shared" si="56"/>
        <v>Enam Puluh Enam</v>
      </c>
    </row>
    <row r="580" spans="10:12">
      <c r="J580" s="31">
        <v>67</v>
      </c>
      <c r="K580" s="33" t="s">
        <v>141</v>
      </c>
      <c r="L580" s="31" t="str">
        <f t="shared" si="56"/>
        <v>Enam Puluh Tujuh</v>
      </c>
    </row>
    <row r="581" spans="10:12">
      <c r="J581" s="31">
        <v>68</v>
      </c>
      <c r="K581" s="33" t="s">
        <v>142</v>
      </c>
      <c r="L581" s="31" t="str">
        <f t="shared" si="56"/>
        <v>Enam Puluh Delapan</v>
      </c>
    </row>
    <row r="582" spans="10:12">
      <c r="J582" s="31">
        <v>69</v>
      </c>
      <c r="K582" s="33" t="s">
        <v>143</v>
      </c>
      <c r="L582" s="31" t="str">
        <f t="shared" si="56"/>
        <v>Enam Puluh Sembilan</v>
      </c>
    </row>
    <row r="583" spans="10:12">
      <c r="J583" s="31">
        <v>70</v>
      </c>
      <c r="K583" s="33" t="s">
        <v>144</v>
      </c>
      <c r="L583" s="31" t="s">
        <v>145</v>
      </c>
    </row>
    <row r="584" spans="10:12">
      <c r="J584" s="31">
        <v>71</v>
      </c>
      <c r="K584" s="33" t="s">
        <v>146</v>
      </c>
      <c r="L584" s="31" t="str">
        <f t="shared" ref="L584:L592" si="57">$L$73&amp;" "&amp;L514</f>
        <v>Tujuh Puluh Satu</v>
      </c>
    </row>
    <row r="585" spans="10:12">
      <c r="J585" s="31">
        <v>72</v>
      </c>
      <c r="K585" s="33" t="s">
        <v>147</v>
      </c>
      <c r="L585" s="31" t="str">
        <f t="shared" si="57"/>
        <v>Tujuh Puluh Dua</v>
      </c>
    </row>
    <row r="586" spans="10:12">
      <c r="J586" s="31">
        <v>73</v>
      </c>
      <c r="K586" s="33" t="s">
        <v>148</v>
      </c>
      <c r="L586" s="31" t="str">
        <f t="shared" si="57"/>
        <v>Tujuh Puluh Tiga</v>
      </c>
    </row>
    <row r="587" spans="10:12">
      <c r="J587" s="31">
        <v>74</v>
      </c>
      <c r="K587" s="33" t="s">
        <v>149</v>
      </c>
      <c r="L587" s="31" t="str">
        <f t="shared" si="57"/>
        <v>Tujuh Puluh Empat</v>
      </c>
    </row>
    <row r="588" spans="10:12">
      <c r="J588" s="31">
        <v>75</v>
      </c>
      <c r="K588" s="33" t="s">
        <v>150</v>
      </c>
      <c r="L588" s="31" t="str">
        <f t="shared" si="57"/>
        <v>Tujuh Puluh Lima</v>
      </c>
    </row>
    <row r="589" spans="10:12">
      <c r="J589" s="31">
        <v>76</v>
      </c>
      <c r="K589" s="33" t="s">
        <v>151</v>
      </c>
      <c r="L589" s="31" t="str">
        <f t="shared" si="57"/>
        <v>Tujuh Puluh Enam</v>
      </c>
    </row>
    <row r="590" spans="10:12">
      <c r="J590" s="31">
        <v>77</v>
      </c>
      <c r="K590" s="33" t="s">
        <v>152</v>
      </c>
      <c r="L590" s="31" t="str">
        <f t="shared" si="57"/>
        <v>Tujuh Puluh Tujuh</v>
      </c>
    </row>
    <row r="591" spans="10:12">
      <c r="J591" s="31">
        <v>78</v>
      </c>
      <c r="K591" s="33" t="s">
        <v>153</v>
      </c>
      <c r="L591" s="31" t="str">
        <f t="shared" si="57"/>
        <v>Tujuh Puluh Delapan</v>
      </c>
    </row>
    <row r="592" spans="10:12">
      <c r="J592" s="31">
        <v>79</v>
      </c>
      <c r="K592" s="33" t="s">
        <v>154</v>
      </c>
      <c r="L592" s="31" t="str">
        <f t="shared" si="57"/>
        <v>Tujuh Puluh Sembilan</v>
      </c>
    </row>
    <row r="593" spans="10:12">
      <c r="J593" s="31">
        <v>80</v>
      </c>
      <c r="K593" s="33" t="s">
        <v>155</v>
      </c>
      <c r="L593" s="31" t="s">
        <v>156</v>
      </c>
    </row>
    <row r="594" spans="10:12">
      <c r="J594" s="31">
        <v>81</v>
      </c>
      <c r="K594" s="33" t="s">
        <v>157</v>
      </c>
      <c r="L594" s="31" t="str">
        <f t="shared" ref="L594:L602" si="58">$L$83&amp;" "&amp;L514</f>
        <v>Delapan Puluh Satu</v>
      </c>
    </row>
    <row r="595" spans="10:12">
      <c r="J595" s="31">
        <v>82</v>
      </c>
      <c r="K595" s="33" t="s">
        <v>158</v>
      </c>
      <c r="L595" s="31" t="str">
        <f t="shared" si="58"/>
        <v>Delapan Puluh Dua</v>
      </c>
    </row>
    <row r="596" spans="10:12">
      <c r="J596" s="31">
        <v>83</v>
      </c>
      <c r="K596" s="33" t="s">
        <v>159</v>
      </c>
      <c r="L596" s="31" t="str">
        <f t="shared" si="58"/>
        <v>Delapan Puluh Tiga</v>
      </c>
    </row>
    <row r="597" spans="10:12">
      <c r="J597" s="31">
        <v>84</v>
      </c>
      <c r="K597" s="33" t="s">
        <v>160</v>
      </c>
      <c r="L597" s="31" t="str">
        <f t="shared" si="58"/>
        <v>Delapan Puluh Empat</v>
      </c>
    </row>
    <row r="598" spans="10:12">
      <c r="J598" s="31">
        <v>85</v>
      </c>
      <c r="K598" s="33" t="s">
        <v>161</v>
      </c>
      <c r="L598" s="31" t="str">
        <f t="shared" si="58"/>
        <v>Delapan Puluh Lima</v>
      </c>
    </row>
    <row r="599" spans="10:12">
      <c r="J599" s="31">
        <v>86</v>
      </c>
      <c r="K599" s="33" t="s">
        <v>162</v>
      </c>
      <c r="L599" s="31" t="str">
        <f t="shared" si="58"/>
        <v>Delapan Puluh Enam</v>
      </c>
    </row>
    <row r="600" spans="10:12">
      <c r="J600" s="31">
        <v>87</v>
      </c>
      <c r="K600" s="33" t="s">
        <v>163</v>
      </c>
      <c r="L600" s="31" t="str">
        <f t="shared" si="58"/>
        <v>Delapan Puluh Tujuh</v>
      </c>
    </row>
    <row r="601" spans="10:12">
      <c r="J601" s="31">
        <v>88</v>
      </c>
      <c r="K601" s="33" t="s">
        <v>164</v>
      </c>
      <c r="L601" s="31" t="str">
        <f t="shared" si="58"/>
        <v>Delapan Puluh Delapan</v>
      </c>
    </row>
    <row r="602" spans="10:12">
      <c r="J602" s="31">
        <v>89</v>
      </c>
      <c r="K602" s="33" t="s">
        <v>165</v>
      </c>
      <c r="L602" s="31" t="str">
        <f t="shared" si="58"/>
        <v>Delapan Puluh Sembilan</v>
      </c>
    </row>
    <row r="603" spans="10:12">
      <c r="J603" s="31">
        <v>90</v>
      </c>
      <c r="K603" s="33" t="s">
        <v>166</v>
      </c>
      <c r="L603" s="31" t="s">
        <v>167</v>
      </c>
    </row>
    <row r="604" spans="10:12">
      <c r="J604" s="31">
        <v>91</v>
      </c>
      <c r="K604" s="33" t="s">
        <v>168</v>
      </c>
      <c r="L604" s="31" t="str">
        <f t="shared" ref="L604:L612" si="59">$L$93&amp;" "&amp;L514</f>
        <v>Sembilan Puluh Satu</v>
      </c>
    </row>
    <row r="605" spans="10:12">
      <c r="J605" s="31">
        <v>92</v>
      </c>
      <c r="K605" s="33" t="s">
        <v>169</v>
      </c>
      <c r="L605" s="31" t="str">
        <f t="shared" si="59"/>
        <v>Sembilan Puluh Dua</v>
      </c>
    </row>
    <row r="606" spans="10:12">
      <c r="J606" s="31">
        <v>93</v>
      </c>
      <c r="K606" s="33" t="s">
        <v>170</v>
      </c>
      <c r="L606" s="31" t="str">
        <f t="shared" si="59"/>
        <v>Sembilan Puluh Tiga</v>
      </c>
    </row>
    <row r="607" spans="10:12">
      <c r="J607" s="31">
        <v>94</v>
      </c>
      <c r="K607" s="33" t="s">
        <v>171</v>
      </c>
      <c r="L607" s="31" t="str">
        <f t="shared" si="59"/>
        <v>Sembilan Puluh Empat</v>
      </c>
    </row>
    <row r="608" spans="10:12">
      <c r="J608" s="31">
        <v>95</v>
      </c>
      <c r="K608" s="33" t="s">
        <v>172</v>
      </c>
      <c r="L608" s="31" t="str">
        <f t="shared" si="59"/>
        <v>Sembilan Puluh Lima</v>
      </c>
    </row>
    <row r="609" spans="1:12">
      <c r="J609" s="31">
        <v>96</v>
      </c>
      <c r="K609" s="33" t="s">
        <v>173</v>
      </c>
      <c r="L609" s="31" t="str">
        <f t="shared" si="59"/>
        <v>Sembilan Puluh Enam</v>
      </c>
    </row>
    <row r="610" spans="1:12">
      <c r="J610" s="31">
        <v>97</v>
      </c>
      <c r="K610" s="33" t="s">
        <v>174</v>
      </c>
      <c r="L610" s="31" t="str">
        <f t="shared" si="59"/>
        <v>Sembilan Puluh Tujuh</v>
      </c>
    </row>
    <row r="611" spans="1:12">
      <c r="J611" s="31">
        <v>98</v>
      </c>
      <c r="K611" s="33" t="s">
        <v>175</v>
      </c>
      <c r="L611" s="31" t="str">
        <f t="shared" si="59"/>
        <v>Sembilan Puluh Delapan</v>
      </c>
    </row>
    <row r="612" spans="1:12">
      <c r="J612" s="31">
        <v>99</v>
      </c>
      <c r="K612" s="33" t="s">
        <v>176</v>
      </c>
      <c r="L612" s="31" t="str">
        <f t="shared" si="59"/>
        <v>Sembilan Puluh Sembilan</v>
      </c>
    </row>
    <row r="613" spans="1:12">
      <c r="A613" s="30">
        <f>rahmat!K25</f>
        <v>2084000</v>
      </c>
      <c r="C613" s="31" t="s">
        <v>178</v>
      </c>
    </row>
    <row r="614" spans="1:12">
      <c r="A614" s="32"/>
    </row>
    <row r="615" spans="1:12">
      <c r="J615" s="31">
        <v>0</v>
      </c>
      <c r="K615" s="33" t="s">
        <v>48</v>
      </c>
      <c r="L615" s="31" t="s">
        <v>49</v>
      </c>
    </row>
    <row r="616" spans="1:12">
      <c r="A616" s="34"/>
      <c r="J616" s="31">
        <v>1</v>
      </c>
      <c r="K616" s="33" t="s">
        <v>50</v>
      </c>
      <c r="L616" s="31" t="s">
        <v>51</v>
      </c>
    </row>
    <row r="617" spans="1:12">
      <c r="A617" s="255" t="str">
        <f>TRIM(D625&amp;E625&amp;D626&amp;E626&amp;D627&amp;E627&amp;D628&amp;E628&amp;D629&amp;E629&amp;D630&amp;E630&amp;E631&amp;D631&amp;" Only")</f>
        <v>Two Millions Eighty Four Thousands Only</v>
      </c>
      <c r="B617" s="255"/>
      <c r="C617" s="255"/>
      <c r="D617" s="255"/>
      <c r="E617" s="35"/>
      <c r="F617" s="36"/>
      <c r="J617" s="31">
        <v>2</v>
      </c>
      <c r="K617" s="33" t="s">
        <v>52</v>
      </c>
      <c r="L617" s="31" t="s">
        <v>53</v>
      </c>
    </row>
    <row r="618" spans="1:12">
      <c r="A618" s="37"/>
      <c r="B618" s="37"/>
      <c r="C618" s="37"/>
      <c r="D618" s="37"/>
      <c r="E618" s="35"/>
      <c r="F618" s="36"/>
      <c r="J618" s="31">
        <v>3</v>
      </c>
      <c r="K618" s="33" t="s">
        <v>54</v>
      </c>
      <c r="L618" s="31" t="s">
        <v>55</v>
      </c>
    </row>
    <row r="619" spans="1:12">
      <c r="A619" s="37"/>
      <c r="B619" s="37"/>
      <c r="C619" s="37"/>
      <c r="D619" s="37"/>
      <c r="J619" s="31">
        <v>4</v>
      </c>
      <c r="K619" s="33" t="s">
        <v>56</v>
      </c>
      <c r="L619" s="31" t="s">
        <v>57</v>
      </c>
    </row>
    <row r="620" spans="1:12">
      <c r="A620" s="255" t="str">
        <f>TRIM(D635&amp;E635&amp;D636&amp;E636&amp;D637&amp;E637&amp;D638&amp;E638&amp;D639&amp;E639&amp;D640&amp;E640&amp;D641&amp;E641&amp;" Rupiah")</f>
        <v>Dua Juta Delapan Puluh Empat Ribu Rupiah</v>
      </c>
      <c r="B620" s="255"/>
      <c r="C620" s="255"/>
      <c r="D620" s="255"/>
      <c r="E620" s="35"/>
      <c r="F620" s="36"/>
      <c r="J620" s="31">
        <v>5</v>
      </c>
      <c r="K620" s="33" t="s">
        <v>58</v>
      </c>
      <c r="L620" s="31" t="s">
        <v>59</v>
      </c>
    </row>
    <row r="621" spans="1:12">
      <c r="A621" s="35"/>
      <c r="B621" s="35"/>
      <c r="C621" s="35"/>
      <c r="D621" s="35"/>
      <c r="E621" s="35"/>
      <c r="F621" s="36"/>
      <c r="J621" s="31">
        <v>6</v>
      </c>
      <c r="K621" s="33" t="s">
        <v>60</v>
      </c>
      <c r="L621" s="31" t="s">
        <v>61</v>
      </c>
    </row>
    <row r="622" spans="1:12">
      <c r="J622" s="31">
        <v>7</v>
      </c>
      <c r="K622" s="33" t="s">
        <v>62</v>
      </c>
      <c r="L622" s="31" t="s">
        <v>63</v>
      </c>
    </row>
    <row r="623" spans="1:12">
      <c r="J623" s="31">
        <v>8</v>
      </c>
      <c r="K623" s="33" t="s">
        <v>64</v>
      </c>
      <c r="L623" s="31" t="s">
        <v>65</v>
      </c>
    </row>
    <row r="624" spans="1:12">
      <c r="A624" s="38" t="s">
        <v>66</v>
      </c>
      <c r="J624" s="31">
        <v>9</v>
      </c>
      <c r="K624" s="33" t="s">
        <v>67</v>
      </c>
      <c r="L624" s="31" t="s">
        <v>68</v>
      </c>
    </row>
    <row r="625" spans="1:12">
      <c r="A625" s="31" t="s">
        <v>69</v>
      </c>
      <c r="B625" s="39">
        <f>TRUNC(A613/100000000)</f>
        <v>0</v>
      </c>
      <c r="C625" s="31">
        <f>B625*100000000</f>
        <v>0</v>
      </c>
      <c r="D625" s="31" t="str">
        <f t="shared" ref="D625:D631" si="60">IF(B625&lt;1,"",VLOOKUP(B625,$J$3:$K$102,2))</f>
        <v/>
      </c>
      <c r="E625" s="31" t="str">
        <f>IF(B625&lt;1,"",IF(B625&gt;1," Hundreds "," Hundred "))</f>
        <v/>
      </c>
      <c r="J625" s="31">
        <v>10</v>
      </c>
      <c r="K625" s="33" t="s">
        <v>70</v>
      </c>
      <c r="L625" s="31" t="s">
        <v>71</v>
      </c>
    </row>
    <row r="626" spans="1:12">
      <c r="A626" s="31" t="s">
        <v>72</v>
      </c>
      <c r="B626" s="39">
        <f>TRUNC((A613-C625)/1000000)</f>
        <v>2</v>
      </c>
      <c r="C626" s="31">
        <f>B626*1000000</f>
        <v>2000000</v>
      </c>
      <c r="D626" s="31" t="str">
        <f t="shared" si="60"/>
        <v>Two</v>
      </c>
      <c r="E626" s="31" t="str">
        <f>IF(B625+B626=0,"",IF(B626=1," Million "," Millions "))</f>
        <v xml:space="preserve"> Millions </v>
      </c>
      <c r="J626" s="31">
        <v>11</v>
      </c>
      <c r="K626" s="33" t="s">
        <v>73</v>
      </c>
      <c r="L626" s="31" t="s">
        <v>74</v>
      </c>
    </row>
    <row r="627" spans="1:12">
      <c r="A627" s="31" t="s">
        <v>75</v>
      </c>
      <c r="B627" s="39">
        <f>TRUNC((A613-SUM(C625:C626))/100000)</f>
        <v>0</v>
      </c>
      <c r="C627" s="31">
        <f>B627*100000</f>
        <v>0</v>
      </c>
      <c r="D627" s="31" t="str">
        <f t="shared" si="60"/>
        <v/>
      </c>
      <c r="E627" s="31" t="str">
        <f>IF(B627&lt;1,"",IF(B627&gt;1," Hundreds "," Hundred "))</f>
        <v/>
      </c>
      <c r="J627" s="31">
        <v>12</v>
      </c>
      <c r="K627" s="33" t="s">
        <v>76</v>
      </c>
      <c r="L627" s="31" t="str">
        <f t="shared" ref="L627:L634" si="61">L617&amp;" Belas"</f>
        <v>Dua Belas</v>
      </c>
    </row>
    <row r="628" spans="1:12">
      <c r="A628" s="33" t="s">
        <v>77</v>
      </c>
      <c r="B628" s="40">
        <f>TRUNC((A613-SUM(C625:C627))/1000)</f>
        <v>84</v>
      </c>
      <c r="C628" s="31">
        <f>B628*1000</f>
        <v>84000</v>
      </c>
      <c r="D628" s="31" t="str">
        <f t="shared" si="60"/>
        <v>Eighty Four</v>
      </c>
      <c r="E628" s="31" t="str">
        <f>IF(B627+B628=0,"",IF(B628=1," Thousand "," Thousands "))</f>
        <v xml:space="preserve"> Thousands </v>
      </c>
      <c r="J628" s="31">
        <v>13</v>
      </c>
      <c r="K628" s="33" t="s">
        <v>78</v>
      </c>
      <c r="L628" s="31" t="str">
        <f t="shared" si="61"/>
        <v>Tiga Belas</v>
      </c>
    </row>
    <row r="629" spans="1:12">
      <c r="A629" s="33" t="s">
        <v>79</v>
      </c>
      <c r="B629" s="40">
        <f>TRUNC((A613-SUM(C625:C628))/100)</f>
        <v>0</v>
      </c>
      <c r="C629" s="31">
        <f>B629*100</f>
        <v>0</v>
      </c>
      <c r="D629" s="31" t="str">
        <f t="shared" si="60"/>
        <v/>
      </c>
      <c r="E629" s="31" t="str">
        <f>IF(B629&lt;1,"",IF(B629&gt;1," Hundreds "," Hundred "))</f>
        <v/>
      </c>
      <c r="J629" s="31">
        <v>14</v>
      </c>
      <c r="K629" s="33" t="s">
        <v>80</v>
      </c>
      <c r="L629" s="31" t="str">
        <f t="shared" si="61"/>
        <v>Empat Belas</v>
      </c>
    </row>
    <row r="630" spans="1:12">
      <c r="A630" s="33" t="s">
        <v>81</v>
      </c>
      <c r="B630" s="41">
        <f>TRUNC((A613-SUM(C625:C629)))</f>
        <v>0</v>
      </c>
      <c r="C630" s="42">
        <f>B630</f>
        <v>0</v>
      </c>
      <c r="D630" s="31" t="str">
        <f t="shared" si="60"/>
        <v/>
      </c>
      <c r="E630" s="31" t="str">
        <f>IF(SUM(C625:C630)&lt;1,"",IF(B631&lt;1,""," And "))</f>
        <v/>
      </c>
      <c r="J630" s="31">
        <v>15</v>
      </c>
      <c r="K630" s="33" t="s">
        <v>82</v>
      </c>
      <c r="L630" s="31" t="str">
        <f t="shared" si="61"/>
        <v>Lima Belas</v>
      </c>
    </row>
    <row r="631" spans="1:12">
      <c r="A631" s="33" t="s">
        <v>83</v>
      </c>
      <c r="B631" s="40">
        <f>ROUND(A613-SUM(C625:C630),2)*100</f>
        <v>0</v>
      </c>
      <c r="D631" s="43" t="str">
        <f t="shared" si="60"/>
        <v/>
      </c>
      <c r="E631" s="31" t="str">
        <f>IF(B631&lt;1,"",IF(B631=1," Cent "," Cents "))</f>
        <v/>
      </c>
      <c r="J631" s="31">
        <v>16</v>
      </c>
      <c r="K631" s="33" t="s">
        <v>84</v>
      </c>
      <c r="L631" s="31" t="str">
        <f t="shared" si="61"/>
        <v>Enam Belas</v>
      </c>
    </row>
    <row r="632" spans="1:12">
      <c r="J632" s="31">
        <v>17</v>
      </c>
      <c r="K632" s="33" t="s">
        <v>85</v>
      </c>
      <c r="L632" s="31" t="str">
        <f t="shared" si="61"/>
        <v>Tujuh Belas</v>
      </c>
    </row>
    <row r="633" spans="1:12">
      <c r="A633" s="44"/>
      <c r="J633" s="31">
        <v>18</v>
      </c>
      <c r="K633" s="33" t="s">
        <v>86</v>
      </c>
      <c r="L633" s="31" t="str">
        <f t="shared" si="61"/>
        <v>Delapan Belas</v>
      </c>
    </row>
    <row r="634" spans="1:12">
      <c r="A634" s="38" t="s">
        <v>87</v>
      </c>
      <c r="J634" s="31">
        <v>19</v>
      </c>
      <c r="K634" s="33" t="s">
        <v>88</v>
      </c>
      <c r="L634" s="31" t="str">
        <f t="shared" si="61"/>
        <v>Sembilan Belas</v>
      </c>
    </row>
    <row r="635" spans="1:12">
      <c r="A635" s="31" t="s">
        <v>69</v>
      </c>
      <c r="B635" s="39">
        <f>TRUNC(A613/100000000)</f>
        <v>0</v>
      </c>
      <c r="C635" s="31">
        <f>B635*100000000</f>
        <v>0</v>
      </c>
      <c r="D635" s="31" t="str">
        <f>IF(B635&lt;1,"",IF(B635=1,"",VLOOKUP(B635,$J$3:$L$102,3)))</f>
        <v/>
      </c>
      <c r="E635" s="31" t="str">
        <f>IF(B635&lt;1,"",IF(B635=1,"Seratus "," Ratus "))</f>
        <v/>
      </c>
      <c r="J635" s="31">
        <v>20</v>
      </c>
      <c r="K635" s="33" t="s">
        <v>89</v>
      </c>
      <c r="L635" s="31" t="s">
        <v>90</v>
      </c>
    </row>
    <row r="636" spans="1:12">
      <c r="A636" s="31" t="s">
        <v>72</v>
      </c>
      <c r="B636" s="39">
        <f>TRUNC((A613-C635)/1000000)</f>
        <v>2</v>
      </c>
      <c r="C636" s="31">
        <f>B636*1000000</f>
        <v>2000000</v>
      </c>
      <c r="D636" s="31" t="str">
        <f>IF(B636&lt;1,"",VLOOKUP(B636,$J$3:$L$102,3))</f>
        <v>Dua</v>
      </c>
      <c r="E636" s="31" t="str">
        <f>IF(B635+B636=0,""," Juta ")</f>
        <v xml:space="preserve"> Juta </v>
      </c>
      <c r="J636" s="31">
        <v>21</v>
      </c>
      <c r="K636" s="33" t="s">
        <v>91</v>
      </c>
      <c r="L636" s="31" t="str">
        <f t="shared" ref="L636:L644" si="62">$L$23&amp;" "&amp;L616</f>
        <v>Dua Puluh Satu</v>
      </c>
    </row>
    <row r="637" spans="1:12">
      <c r="A637" s="31" t="s">
        <v>75</v>
      </c>
      <c r="B637" s="39">
        <f>TRUNC((A613-SUM(C635:C636))/100000)</f>
        <v>0</v>
      </c>
      <c r="C637" s="31">
        <f>B637*100000</f>
        <v>0</v>
      </c>
      <c r="D637" s="31" t="str">
        <f>IF(B637&lt;1,"",IF(B637=1,"",VLOOKUP(B637,$J$3:$L$102,3)))</f>
        <v/>
      </c>
      <c r="E637" s="31" t="str">
        <f>IF(B637&lt;1,"",IF(B637=1," Seratus "," Ratus "))</f>
        <v/>
      </c>
      <c r="J637" s="31">
        <v>22</v>
      </c>
      <c r="K637" s="33" t="s">
        <v>92</v>
      </c>
      <c r="L637" s="31" t="str">
        <f t="shared" si="62"/>
        <v>Dua Puluh Dua</v>
      </c>
    </row>
    <row r="638" spans="1:12">
      <c r="A638" s="33" t="s">
        <v>77</v>
      </c>
      <c r="B638" s="40">
        <f>TRUNC((A613-SUM(C635:C637))/1000)</f>
        <v>84</v>
      </c>
      <c r="C638" s="31">
        <f>B638*1000</f>
        <v>84000</v>
      </c>
      <c r="D638" s="31" t="str">
        <f>IF(B638&lt;1,"",IF(B638=1,"",VLOOKUP(B638,$J$3:$L$102,3)))</f>
        <v>Delapan Puluh Empat</v>
      </c>
      <c r="E638" s="31" t="str">
        <f>IF(B637+B638&lt;1,"",IF(B638=1," Seribu "," Ribu "))</f>
        <v xml:space="preserve"> Ribu </v>
      </c>
      <c r="J638" s="31">
        <v>23</v>
      </c>
      <c r="K638" s="33" t="s">
        <v>93</v>
      </c>
      <c r="L638" s="31" t="str">
        <f t="shared" si="62"/>
        <v>Dua Puluh Tiga</v>
      </c>
    </row>
    <row r="639" spans="1:12">
      <c r="A639" s="33" t="s">
        <v>79</v>
      </c>
      <c r="B639" s="40">
        <f>TRUNC((A613-SUM(C635:C638))/100)</f>
        <v>0</v>
      </c>
      <c r="C639" s="31">
        <f>B639*100</f>
        <v>0</v>
      </c>
      <c r="D639" s="31" t="str">
        <f>IF(B639&lt;1,"",IF(B639=1,"",VLOOKUP(B639,$J$3:$L$102,3)))</f>
        <v/>
      </c>
      <c r="E639" s="31" t="str">
        <f>IF(B639&lt;1,"",IF(B639=1," Seratus "," Ratus "))</f>
        <v/>
      </c>
      <c r="J639" s="31">
        <v>24</v>
      </c>
      <c r="K639" s="33" t="s">
        <v>94</v>
      </c>
      <c r="L639" s="31" t="str">
        <f t="shared" si="62"/>
        <v>Dua Puluh Empat</v>
      </c>
    </row>
    <row r="640" spans="1:12">
      <c r="A640" s="33" t="s">
        <v>81</v>
      </c>
      <c r="B640" s="41">
        <f>TRUNC((A613-SUM(C635:C639)))</f>
        <v>0</v>
      </c>
      <c r="C640" s="42">
        <f>B640</f>
        <v>0</v>
      </c>
      <c r="D640" s="31" t="str">
        <f>IF(B640&lt;1,"",VLOOKUP(B640,$J$3:$L$102,3))</f>
        <v/>
      </c>
      <c r="E640" s="31" t="str">
        <f>IF(SUM(C635:C640)&lt;1,"",IF(B641&lt;1,""," Dan "))</f>
        <v/>
      </c>
      <c r="J640" s="31">
        <v>25</v>
      </c>
      <c r="K640" s="33" t="s">
        <v>95</v>
      </c>
      <c r="L640" s="31" t="str">
        <f t="shared" si="62"/>
        <v>Dua Puluh Lima</v>
      </c>
    </row>
    <row r="641" spans="1:12">
      <c r="A641" s="33" t="s">
        <v>83</v>
      </c>
      <c r="B641" s="40">
        <f>ROUND(A613-SUM(C635:C640),2)*100</f>
        <v>0</v>
      </c>
      <c r="D641" s="31" t="str">
        <f>IF(B641&lt;1,"",VLOOKUP(B641,$J$3:$L$102,3))</f>
        <v/>
      </c>
      <c r="E641" s="31" t="str">
        <f>IF(B641&lt;1,""," Sen ")</f>
        <v/>
      </c>
      <c r="J641" s="31">
        <v>26</v>
      </c>
      <c r="K641" s="33" t="s">
        <v>96</v>
      </c>
      <c r="L641" s="31" t="str">
        <f t="shared" si="62"/>
        <v>Dua Puluh Enam</v>
      </c>
    </row>
    <row r="642" spans="1:12">
      <c r="J642" s="31">
        <v>27</v>
      </c>
      <c r="K642" s="33" t="s">
        <v>97</v>
      </c>
      <c r="L642" s="31" t="str">
        <f t="shared" si="62"/>
        <v>Dua Puluh Tujuh</v>
      </c>
    </row>
    <row r="643" spans="1:12">
      <c r="J643" s="31">
        <v>28</v>
      </c>
      <c r="K643" s="33" t="s">
        <v>98</v>
      </c>
      <c r="L643" s="31" t="str">
        <f t="shared" si="62"/>
        <v>Dua Puluh Delapan</v>
      </c>
    </row>
    <row r="644" spans="1:12">
      <c r="J644" s="31">
        <v>29</v>
      </c>
      <c r="K644" s="33" t="s">
        <v>99</v>
      </c>
      <c r="L644" s="31" t="str">
        <f t="shared" si="62"/>
        <v>Dua Puluh Sembilan</v>
      </c>
    </row>
    <row r="645" spans="1:12">
      <c r="J645" s="31">
        <v>30</v>
      </c>
      <c r="K645" s="33" t="s">
        <v>100</v>
      </c>
      <c r="L645" s="31" t="s">
        <v>101</v>
      </c>
    </row>
    <row r="646" spans="1:12">
      <c r="J646" s="31">
        <v>31</v>
      </c>
      <c r="K646" s="33" t="s">
        <v>102</v>
      </c>
      <c r="L646" s="31" t="str">
        <f t="shared" ref="L646:L654" si="63">$L$33&amp;" "&amp;L616</f>
        <v>Tiga Puluh Satu</v>
      </c>
    </row>
    <row r="647" spans="1:12">
      <c r="J647" s="31">
        <v>32</v>
      </c>
      <c r="K647" s="33" t="s">
        <v>103</v>
      </c>
      <c r="L647" s="31" t="str">
        <f t="shared" si="63"/>
        <v>Tiga Puluh Dua</v>
      </c>
    </row>
    <row r="648" spans="1:12">
      <c r="J648" s="31">
        <v>33</v>
      </c>
      <c r="K648" s="33" t="s">
        <v>104</v>
      </c>
      <c r="L648" s="31" t="str">
        <f t="shared" si="63"/>
        <v>Tiga Puluh Tiga</v>
      </c>
    </row>
    <row r="649" spans="1:12">
      <c r="J649" s="31">
        <v>34</v>
      </c>
      <c r="K649" s="33" t="s">
        <v>105</v>
      </c>
      <c r="L649" s="31" t="str">
        <f t="shared" si="63"/>
        <v>Tiga Puluh Empat</v>
      </c>
    </row>
    <row r="650" spans="1:12">
      <c r="J650" s="31">
        <v>35</v>
      </c>
      <c r="K650" s="33" t="s">
        <v>106</v>
      </c>
      <c r="L650" s="31" t="str">
        <f t="shared" si="63"/>
        <v>Tiga Puluh Lima</v>
      </c>
    </row>
    <row r="651" spans="1:12">
      <c r="J651" s="31">
        <v>36</v>
      </c>
      <c r="K651" s="33" t="s">
        <v>107</v>
      </c>
      <c r="L651" s="31" t="str">
        <f t="shared" si="63"/>
        <v>Tiga Puluh Enam</v>
      </c>
    </row>
    <row r="652" spans="1:12">
      <c r="J652" s="31">
        <v>37</v>
      </c>
      <c r="K652" s="33" t="s">
        <v>108</v>
      </c>
      <c r="L652" s="31" t="str">
        <f t="shared" si="63"/>
        <v>Tiga Puluh Tujuh</v>
      </c>
    </row>
    <row r="653" spans="1:12">
      <c r="J653" s="31">
        <v>38</v>
      </c>
      <c r="K653" s="33" t="s">
        <v>109</v>
      </c>
      <c r="L653" s="31" t="str">
        <f t="shared" si="63"/>
        <v>Tiga Puluh Delapan</v>
      </c>
    </row>
    <row r="654" spans="1:12">
      <c r="J654" s="31">
        <v>39</v>
      </c>
      <c r="K654" s="33" t="s">
        <v>110</v>
      </c>
      <c r="L654" s="31" t="str">
        <f t="shared" si="63"/>
        <v>Tiga Puluh Sembilan</v>
      </c>
    </row>
    <row r="655" spans="1:12">
      <c r="B655" s="35"/>
      <c r="C655" s="35"/>
      <c r="D655" s="35"/>
      <c r="J655" s="31">
        <v>40</v>
      </c>
      <c r="K655" s="33" t="s">
        <v>111</v>
      </c>
      <c r="L655" s="31" t="s">
        <v>112</v>
      </c>
    </row>
    <row r="656" spans="1:12">
      <c r="A656" s="35"/>
      <c r="B656" s="35"/>
      <c r="C656" s="35"/>
      <c r="D656" s="35"/>
      <c r="J656" s="31">
        <v>41</v>
      </c>
      <c r="K656" s="33" t="s">
        <v>113</v>
      </c>
      <c r="L656" s="31" t="str">
        <f t="shared" ref="L656:L664" si="64">$L$43&amp;" "&amp;L616</f>
        <v>Empat Puluh Satu</v>
      </c>
    </row>
    <row r="657" spans="1:12">
      <c r="J657" s="31">
        <v>42</v>
      </c>
      <c r="K657" s="33" t="s">
        <v>114</v>
      </c>
      <c r="L657" s="31" t="str">
        <f t="shared" si="64"/>
        <v>Empat Puluh Dua</v>
      </c>
    </row>
    <row r="658" spans="1:12">
      <c r="A658" s="38"/>
      <c r="J658" s="31">
        <v>43</v>
      </c>
      <c r="K658" s="33" t="s">
        <v>115</v>
      </c>
      <c r="L658" s="31" t="str">
        <f t="shared" si="64"/>
        <v>Empat Puluh Tiga</v>
      </c>
    </row>
    <row r="659" spans="1:12">
      <c r="J659" s="31">
        <v>44</v>
      </c>
      <c r="K659" s="33" t="s">
        <v>116</v>
      </c>
      <c r="L659" s="31" t="str">
        <f t="shared" si="64"/>
        <v>Empat Puluh Empat</v>
      </c>
    </row>
    <row r="660" spans="1:12">
      <c r="J660" s="31">
        <v>45</v>
      </c>
      <c r="K660" s="33" t="s">
        <v>117</v>
      </c>
      <c r="L660" s="31" t="str">
        <f t="shared" si="64"/>
        <v>Empat Puluh Lima</v>
      </c>
    </row>
    <row r="661" spans="1:12">
      <c r="J661" s="31">
        <v>46</v>
      </c>
      <c r="K661" s="33" t="s">
        <v>118</v>
      </c>
      <c r="L661" s="31" t="str">
        <f t="shared" si="64"/>
        <v>Empat Puluh Enam</v>
      </c>
    </row>
    <row r="662" spans="1:12">
      <c r="J662" s="31">
        <v>47</v>
      </c>
      <c r="K662" s="33" t="s">
        <v>119</v>
      </c>
      <c r="L662" s="31" t="str">
        <f t="shared" si="64"/>
        <v>Empat Puluh Tujuh</v>
      </c>
    </row>
    <row r="663" spans="1:12">
      <c r="J663" s="31">
        <v>48</v>
      </c>
      <c r="K663" s="33" t="s">
        <v>120</v>
      </c>
      <c r="L663" s="31" t="str">
        <f t="shared" si="64"/>
        <v>Empat Puluh Delapan</v>
      </c>
    </row>
    <row r="664" spans="1:12">
      <c r="J664" s="31">
        <v>49</v>
      </c>
      <c r="K664" s="33" t="s">
        <v>121</v>
      </c>
      <c r="L664" s="31" t="str">
        <f t="shared" si="64"/>
        <v>Empat Puluh Sembilan</v>
      </c>
    </row>
    <row r="665" spans="1:12">
      <c r="J665" s="31">
        <v>50</v>
      </c>
      <c r="K665" s="33" t="s">
        <v>122</v>
      </c>
      <c r="L665" s="31" t="s">
        <v>123</v>
      </c>
    </row>
    <row r="666" spans="1:12">
      <c r="J666" s="31">
        <v>51</v>
      </c>
      <c r="K666" s="33" t="s">
        <v>124</v>
      </c>
      <c r="L666" s="31" t="str">
        <f t="shared" ref="L666:L674" si="65">$L$53&amp;" "&amp;L616</f>
        <v>Lima Puluh Satu</v>
      </c>
    </row>
    <row r="667" spans="1:12">
      <c r="J667" s="31">
        <v>52</v>
      </c>
      <c r="K667" s="33" t="s">
        <v>125</v>
      </c>
      <c r="L667" s="31" t="str">
        <f t="shared" si="65"/>
        <v>Lima Puluh Dua</v>
      </c>
    </row>
    <row r="668" spans="1:12">
      <c r="J668" s="31">
        <v>53</v>
      </c>
      <c r="K668" s="33" t="s">
        <v>126</v>
      </c>
      <c r="L668" s="31" t="str">
        <f t="shared" si="65"/>
        <v>Lima Puluh Tiga</v>
      </c>
    </row>
    <row r="669" spans="1:12">
      <c r="J669" s="31">
        <v>54</v>
      </c>
      <c r="K669" s="33" t="s">
        <v>127</v>
      </c>
      <c r="L669" s="31" t="str">
        <f t="shared" si="65"/>
        <v>Lima Puluh Empat</v>
      </c>
    </row>
    <row r="670" spans="1:12">
      <c r="J670" s="31">
        <v>55</v>
      </c>
      <c r="K670" s="33" t="s">
        <v>128</v>
      </c>
      <c r="L670" s="31" t="str">
        <f t="shared" si="65"/>
        <v>Lima Puluh Lima</v>
      </c>
    </row>
    <row r="671" spans="1:12">
      <c r="J671" s="31">
        <v>56</v>
      </c>
      <c r="K671" s="33" t="s">
        <v>129</v>
      </c>
      <c r="L671" s="31" t="str">
        <f t="shared" si="65"/>
        <v>Lima Puluh Enam</v>
      </c>
    </row>
    <row r="672" spans="1:12">
      <c r="J672" s="31">
        <v>57</v>
      </c>
      <c r="K672" s="33" t="s">
        <v>130</v>
      </c>
      <c r="L672" s="31" t="str">
        <f t="shared" si="65"/>
        <v>Lima Puluh Tujuh</v>
      </c>
    </row>
    <row r="673" spans="10:12">
      <c r="J673" s="31">
        <v>58</v>
      </c>
      <c r="K673" s="33" t="s">
        <v>131</v>
      </c>
      <c r="L673" s="31" t="str">
        <f t="shared" si="65"/>
        <v>Lima Puluh Delapan</v>
      </c>
    </row>
    <row r="674" spans="10:12">
      <c r="J674" s="31">
        <v>59</v>
      </c>
      <c r="K674" s="33" t="s">
        <v>132</v>
      </c>
      <c r="L674" s="31" t="str">
        <f t="shared" si="65"/>
        <v>Lima Puluh Sembilan</v>
      </c>
    </row>
    <row r="675" spans="10:12">
      <c r="J675" s="31">
        <v>60</v>
      </c>
      <c r="K675" s="33" t="s">
        <v>133</v>
      </c>
      <c r="L675" s="31" t="s">
        <v>134</v>
      </c>
    </row>
    <row r="676" spans="10:12">
      <c r="J676" s="31">
        <v>61</v>
      </c>
      <c r="K676" s="33" t="s">
        <v>135</v>
      </c>
      <c r="L676" s="31" t="str">
        <f t="shared" ref="L676:L684" si="66">$L$63&amp;" "&amp;L616</f>
        <v>Enam Puluh Satu</v>
      </c>
    </row>
    <row r="677" spans="10:12">
      <c r="J677" s="31">
        <v>62</v>
      </c>
      <c r="K677" s="33" t="s">
        <v>136</v>
      </c>
      <c r="L677" s="31" t="str">
        <f t="shared" si="66"/>
        <v>Enam Puluh Dua</v>
      </c>
    </row>
    <row r="678" spans="10:12">
      <c r="J678" s="31">
        <v>63</v>
      </c>
      <c r="K678" s="33" t="s">
        <v>137</v>
      </c>
      <c r="L678" s="31" t="str">
        <f t="shared" si="66"/>
        <v>Enam Puluh Tiga</v>
      </c>
    </row>
    <row r="679" spans="10:12">
      <c r="J679" s="31">
        <v>64</v>
      </c>
      <c r="K679" s="33" t="s">
        <v>138</v>
      </c>
      <c r="L679" s="31" t="str">
        <f t="shared" si="66"/>
        <v>Enam Puluh Empat</v>
      </c>
    </row>
    <row r="680" spans="10:12">
      <c r="J680" s="31">
        <v>65</v>
      </c>
      <c r="K680" s="33" t="s">
        <v>139</v>
      </c>
      <c r="L680" s="31" t="str">
        <f t="shared" si="66"/>
        <v>Enam Puluh Lima</v>
      </c>
    </row>
    <row r="681" spans="10:12">
      <c r="J681" s="31">
        <v>66</v>
      </c>
      <c r="K681" s="33" t="s">
        <v>140</v>
      </c>
      <c r="L681" s="31" t="str">
        <f t="shared" si="66"/>
        <v>Enam Puluh Enam</v>
      </c>
    </row>
    <row r="682" spans="10:12">
      <c r="J682" s="31">
        <v>67</v>
      </c>
      <c r="K682" s="33" t="s">
        <v>141</v>
      </c>
      <c r="L682" s="31" t="str">
        <f t="shared" si="66"/>
        <v>Enam Puluh Tujuh</v>
      </c>
    </row>
    <row r="683" spans="10:12">
      <c r="J683" s="31">
        <v>68</v>
      </c>
      <c r="K683" s="33" t="s">
        <v>142</v>
      </c>
      <c r="L683" s="31" t="str">
        <f t="shared" si="66"/>
        <v>Enam Puluh Delapan</v>
      </c>
    </row>
    <row r="684" spans="10:12">
      <c r="J684" s="31">
        <v>69</v>
      </c>
      <c r="K684" s="33" t="s">
        <v>143</v>
      </c>
      <c r="L684" s="31" t="str">
        <f t="shared" si="66"/>
        <v>Enam Puluh Sembilan</v>
      </c>
    </row>
    <row r="685" spans="10:12">
      <c r="J685" s="31">
        <v>70</v>
      </c>
      <c r="K685" s="33" t="s">
        <v>144</v>
      </c>
      <c r="L685" s="31" t="s">
        <v>145</v>
      </c>
    </row>
    <row r="686" spans="10:12">
      <c r="J686" s="31">
        <v>71</v>
      </c>
      <c r="K686" s="33" t="s">
        <v>146</v>
      </c>
      <c r="L686" s="31" t="str">
        <f t="shared" ref="L686:L694" si="67">$L$73&amp;" "&amp;L616</f>
        <v>Tujuh Puluh Satu</v>
      </c>
    </row>
    <row r="687" spans="10:12">
      <c r="J687" s="31">
        <v>72</v>
      </c>
      <c r="K687" s="33" t="s">
        <v>147</v>
      </c>
      <c r="L687" s="31" t="str">
        <f t="shared" si="67"/>
        <v>Tujuh Puluh Dua</v>
      </c>
    </row>
    <row r="688" spans="10:12">
      <c r="J688" s="31">
        <v>73</v>
      </c>
      <c r="K688" s="33" t="s">
        <v>148</v>
      </c>
      <c r="L688" s="31" t="str">
        <f t="shared" si="67"/>
        <v>Tujuh Puluh Tiga</v>
      </c>
    </row>
    <row r="689" spans="10:12">
      <c r="J689" s="31">
        <v>74</v>
      </c>
      <c r="K689" s="33" t="s">
        <v>149</v>
      </c>
      <c r="L689" s="31" t="str">
        <f t="shared" si="67"/>
        <v>Tujuh Puluh Empat</v>
      </c>
    </row>
    <row r="690" spans="10:12">
      <c r="J690" s="31">
        <v>75</v>
      </c>
      <c r="K690" s="33" t="s">
        <v>150</v>
      </c>
      <c r="L690" s="31" t="str">
        <f t="shared" si="67"/>
        <v>Tujuh Puluh Lima</v>
      </c>
    </row>
    <row r="691" spans="10:12">
      <c r="J691" s="31">
        <v>76</v>
      </c>
      <c r="K691" s="33" t="s">
        <v>151</v>
      </c>
      <c r="L691" s="31" t="str">
        <f t="shared" si="67"/>
        <v>Tujuh Puluh Enam</v>
      </c>
    </row>
    <row r="692" spans="10:12">
      <c r="J692" s="31">
        <v>77</v>
      </c>
      <c r="K692" s="33" t="s">
        <v>152</v>
      </c>
      <c r="L692" s="31" t="str">
        <f t="shared" si="67"/>
        <v>Tujuh Puluh Tujuh</v>
      </c>
    </row>
    <row r="693" spans="10:12">
      <c r="J693" s="31">
        <v>78</v>
      </c>
      <c r="K693" s="33" t="s">
        <v>153</v>
      </c>
      <c r="L693" s="31" t="str">
        <f t="shared" si="67"/>
        <v>Tujuh Puluh Delapan</v>
      </c>
    </row>
    <row r="694" spans="10:12">
      <c r="J694" s="31">
        <v>79</v>
      </c>
      <c r="K694" s="33" t="s">
        <v>154</v>
      </c>
      <c r="L694" s="31" t="str">
        <f t="shared" si="67"/>
        <v>Tujuh Puluh Sembilan</v>
      </c>
    </row>
    <row r="695" spans="10:12">
      <c r="J695" s="31">
        <v>80</v>
      </c>
      <c r="K695" s="33" t="s">
        <v>155</v>
      </c>
      <c r="L695" s="31" t="s">
        <v>156</v>
      </c>
    </row>
    <row r="696" spans="10:12">
      <c r="J696" s="31">
        <v>81</v>
      </c>
      <c r="K696" s="33" t="s">
        <v>157</v>
      </c>
      <c r="L696" s="31" t="str">
        <f t="shared" ref="L696:L704" si="68">$L$83&amp;" "&amp;L616</f>
        <v>Delapan Puluh Satu</v>
      </c>
    </row>
    <row r="697" spans="10:12">
      <c r="J697" s="31">
        <v>82</v>
      </c>
      <c r="K697" s="33" t="s">
        <v>158</v>
      </c>
      <c r="L697" s="31" t="str">
        <f t="shared" si="68"/>
        <v>Delapan Puluh Dua</v>
      </c>
    </row>
    <row r="698" spans="10:12">
      <c r="J698" s="31">
        <v>83</v>
      </c>
      <c r="K698" s="33" t="s">
        <v>159</v>
      </c>
      <c r="L698" s="31" t="str">
        <f t="shared" si="68"/>
        <v>Delapan Puluh Tiga</v>
      </c>
    </row>
    <row r="699" spans="10:12">
      <c r="J699" s="31">
        <v>84</v>
      </c>
      <c r="K699" s="33" t="s">
        <v>160</v>
      </c>
      <c r="L699" s="31" t="str">
        <f t="shared" si="68"/>
        <v>Delapan Puluh Empat</v>
      </c>
    </row>
    <row r="700" spans="10:12">
      <c r="J700" s="31">
        <v>85</v>
      </c>
      <c r="K700" s="33" t="s">
        <v>161</v>
      </c>
      <c r="L700" s="31" t="str">
        <f t="shared" si="68"/>
        <v>Delapan Puluh Lima</v>
      </c>
    </row>
    <row r="701" spans="10:12">
      <c r="J701" s="31">
        <v>86</v>
      </c>
      <c r="K701" s="33" t="s">
        <v>162</v>
      </c>
      <c r="L701" s="31" t="str">
        <f t="shared" si="68"/>
        <v>Delapan Puluh Enam</v>
      </c>
    </row>
    <row r="702" spans="10:12">
      <c r="J702" s="31">
        <v>87</v>
      </c>
      <c r="K702" s="33" t="s">
        <v>163</v>
      </c>
      <c r="L702" s="31" t="str">
        <f t="shared" si="68"/>
        <v>Delapan Puluh Tujuh</v>
      </c>
    </row>
    <row r="703" spans="10:12">
      <c r="J703" s="31">
        <v>88</v>
      </c>
      <c r="K703" s="33" t="s">
        <v>164</v>
      </c>
      <c r="L703" s="31" t="str">
        <f t="shared" si="68"/>
        <v>Delapan Puluh Delapan</v>
      </c>
    </row>
    <row r="704" spans="10:12">
      <c r="J704" s="31">
        <v>89</v>
      </c>
      <c r="K704" s="33" t="s">
        <v>165</v>
      </c>
      <c r="L704" s="31" t="str">
        <f t="shared" si="68"/>
        <v>Delapan Puluh Sembilan</v>
      </c>
    </row>
    <row r="705" spans="1:12">
      <c r="J705" s="31">
        <v>90</v>
      </c>
      <c r="K705" s="33" t="s">
        <v>166</v>
      </c>
      <c r="L705" s="31" t="s">
        <v>167</v>
      </c>
    </row>
    <row r="706" spans="1:12">
      <c r="J706" s="31">
        <v>91</v>
      </c>
      <c r="K706" s="33" t="s">
        <v>168</v>
      </c>
      <c r="L706" s="31" t="str">
        <f t="shared" ref="L706:L714" si="69">$L$93&amp;" "&amp;L616</f>
        <v>Sembilan Puluh Satu</v>
      </c>
    </row>
    <row r="707" spans="1:12">
      <c r="J707" s="31">
        <v>92</v>
      </c>
      <c r="K707" s="33" t="s">
        <v>169</v>
      </c>
      <c r="L707" s="31" t="str">
        <f t="shared" si="69"/>
        <v>Sembilan Puluh Dua</v>
      </c>
    </row>
    <row r="708" spans="1:12">
      <c r="J708" s="31">
        <v>93</v>
      </c>
      <c r="K708" s="33" t="s">
        <v>170</v>
      </c>
      <c r="L708" s="31" t="str">
        <f t="shared" si="69"/>
        <v>Sembilan Puluh Tiga</v>
      </c>
    </row>
    <row r="709" spans="1:12">
      <c r="J709" s="31">
        <v>94</v>
      </c>
      <c r="K709" s="33" t="s">
        <v>171</v>
      </c>
      <c r="L709" s="31" t="str">
        <f t="shared" si="69"/>
        <v>Sembilan Puluh Empat</v>
      </c>
    </row>
    <row r="710" spans="1:12">
      <c r="J710" s="31">
        <v>95</v>
      </c>
      <c r="K710" s="33" t="s">
        <v>172</v>
      </c>
      <c r="L710" s="31" t="str">
        <f t="shared" si="69"/>
        <v>Sembilan Puluh Lima</v>
      </c>
    </row>
    <row r="711" spans="1:12">
      <c r="J711" s="31">
        <v>96</v>
      </c>
      <c r="K711" s="33" t="s">
        <v>173</v>
      </c>
      <c r="L711" s="31" t="str">
        <f t="shared" si="69"/>
        <v>Sembilan Puluh Enam</v>
      </c>
    </row>
    <row r="712" spans="1:12">
      <c r="J712" s="31">
        <v>97</v>
      </c>
      <c r="K712" s="33" t="s">
        <v>174</v>
      </c>
      <c r="L712" s="31" t="str">
        <f t="shared" si="69"/>
        <v>Sembilan Puluh Tujuh</v>
      </c>
    </row>
    <row r="713" spans="1:12">
      <c r="J713" s="31">
        <v>98</v>
      </c>
      <c r="K713" s="33" t="s">
        <v>175</v>
      </c>
      <c r="L713" s="31" t="str">
        <f t="shared" si="69"/>
        <v>Sembilan Puluh Delapan</v>
      </c>
    </row>
    <row r="714" spans="1:12">
      <c r="J714" s="31">
        <v>99</v>
      </c>
      <c r="K714" s="33" t="s">
        <v>176</v>
      </c>
      <c r="L714" s="31" t="str">
        <f t="shared" si="69"/>
        <v>Sembilan Puluh Sembilan</v>
      </c>
    </row>
    <row r="716" spans="1:12">
      <c r="A716" s="30" t="e">
        <f>#REF!</f>
        <v>#REF!</v>
      </c>
      <c r="C716" s="31" t="s">
        <v>286</v>
      </c>
    </row>
    <row r="717" spans="1:12">
      <c r="A717" s="32"/>
    </row>
    <row r="718" spans="1:12">
      <c r="J718" s="31">
        <v>0</v>
      </c>
      <c r="K718" s="33" t="s">
        <v>48</v>
      </c>
      <c r="L718" s="31" t="s">
        <v>49</v>
      </c>
    </row>
    <row r="719" spans="1:12">
      <c r="A719" s="34"/>
      <c r="J719" s="31">
        <v>1</v>
      </c>
      <c r="K719" s="33" t="s">
        <v>50</v>
      </c>
      <c r="L719" s="31" t="s">
        <v>51</v>
      </c>
    </row>
    <row r="720" spans="1:12">
      <c r="A720" s="255" t="e">
        <f>TRIM(D728&amp;E728&amp;D729&amp;E729&amp;D730&amp;E730&amp;D731&amp;E731&amp;D732&amp;E732&amp;D733&amp;E733&amp;E734&amp;D734&amp;" Only")</f>
        <v>#REF!</v>
      </c>
      <c r="B720" s="255"/>
      <c r="C720" s="255"/>
      <c r="D720" s="255"/>
      <c r="E720" s="35"/>
      <c r="F720" s="36"/>
      <c r="J720" s="31">
        <v>2</v>
      </c>
      <c r="K720" s="33" t="s">
        <v>52</v>
      </c>
      <c r="L720" s="31" t="s">
        <v>53</v>
      </c>
    </row>
    <row r="721" spans="1:12">
      <c r="A721" s="37"/>
      <c r="B721" s="37"/>
      <c r="C721" s="37"/>
      <c r="D721" s="37"/>
      <c r="E721" s="35"/>
      <c r="F721" s="36"/>
      <c r="J721" s="31">
        <v>3</v>
      </c>
      <c r="K721" s="33" t="s">
        <v>54</v>
      </c>
      <c r="L721" s="31" t="s">
        <v>55</v>
      </c>
    </row>
    <row r="722" spans="1:12">
      <c r="A722" s="37"/>
      <c r="B722" s="37"/>
      <c r="C722" s="37"/>
      <c r="D722" s="37"/>
      <c r="J722" s="31">
        <v>4</v>
      </c>
      <c r="K722" s="33" t="s">
        <v>56</v>
      </c>
      <c r="L722" s="31" t="s">
        <v>57</v>
      </c>
    </row>
    <row r="723" spans="1:12">
      <c r="A723" s="255" t="e">
        <f>TRIM(D738&amp;E738&amp;D739&amp;E739&amp;D740&amp;E740&amp;D741&amp;E741&amp;D742&amp;E742&amp;D743&amp;E743&amp;D744&amp;E744&amp;" Rupiah")</f>
        <v>#REF!</v>
      </c>
      <c r="B723" s="255"/>
      <c r="C723" s="255"/>
      <c r="D723" s="255"/>
      <c r="E723" s="35"/>
      <c r="F723" s="36"/>
      <c r="J723" s="31">
        <v>5</v>
      </c>
      <c r="K723" s="33" t="s">
        <v>58</v>
      </c>
      <c r="L723" s="31" t="s">
        <v>59</v>
      </c>
    </row>
    <row r="724" spans="1:12">
      <c r="A724" s="35"/>
      <c r="B724" s="35"/>
      <c r="C724" s="35"/>
      <c r="D724" s="35"/>
      <c r="E724" s="35"/>
      <c r="F724" s="36"/>
      <c r="J724" s="31">
        <v>6</v>
      </c>
      <c r="K724" s="33" t="s">
        <v>60</v>
      </c>
      <c r="L724" s="31" t="s">
        <v>61</v>
      </c>
    </row>
    <row r="725" spans="1:12">
      <c r="J725" s="31">
        <v>7</v>
      </c>
      <c r="K725" s="33" t="s">
        <v>62</v>
      </c>
      <c r="L725" s="31" t="s">
        <v>63</v>
      </c>
    </row>
    <row r="726" spans="1:12">
      <c r="J726" s="31">
        <v>8</v>
      </c>
      <c r="K726" s="33" t="s">
        <v>64</v>
      </c>
      <c r="L726" s="31" t="s">
        <v>65</v>
      </c>
    </row>
    <row r="727" spans="1:12">
      <c r="A727" s="38" t="s">
        <v>66</v>
      </c>
      <c r="J727" s="31">
        <v>9</v>
      </c>
      <c r="K727" s="33" t="s">
        <v>67</v>
      </c>
      <c r="L727" s="31" t="s">
        <v>68</v>
      </c>
    </row>
    <row r="728" spans="1:12">
      <c r="A728" s="31" t="s">
        <v>69</v>
      </c>
      <c r="B728" s="39" t="e">
        <f>TRUNC(A716/100000000)</f>
        <v>#REF!</v>
      </c>
      <c r="C728" s="31" t="e">
        <f>B728*100000000</f>
        <v>#REF!</v>
      </c>
      <c r="D728" s="31" t="e">
        <f t="shared" ref="D728:D734" si="70">IF(B728&lt;1,"",VLOOKUP(B728,$J$3:$K$102,2))</f>
        <v>#REF!</v>
      </c>
      <c r="E728" s="31" t="e">
        <f>IF(B728&lt;1,"",IF(B728&gt;1," Hundreds "," Hundred "))</f>
        <v>#REF!</v>
      </c>
      <c r="J728" s="31">
        <v>10</v>
      </c>
      <c r="K728" s="33" t="s">
        <v>70</v>
      </c>
      <c r="L728" s="31" t="s">
        <v>71</v>
      </c>
    </row>
    <row r="729" spans="1:12">
      <c r="A729" s="31" t="s">
        <v>72</v>
      </c>
      <c r="B729" s="39" t="e">
        <f>TRUNC((A716-C728)/1000000)</f>
        <v>#REF!</v>
      </c>
      <c r="C729" s="31" t="e">
        <f>B729*1000000</f>
        <v>#REF!</v>
      </c>
      <c r="D729" s="31" t="e">
        <f t="shared" si="70"/>
        <v>#REF!</v>
      </c>
      <c r="E729" s="31" t="e">
        <f>IF(B728+B729=0,"",IF(B729=1," Million "," Millions "))</f>
        <v>#REF!</v>
      </c>
      <c r="J729" s="31">
        <v>11</v>
      </c>
      <c r="K729" s="33" t="s">
        <v>73</v>
      </c>
      <c r="L729" s="31" t="s">
        <v>74</v>
      </c>
    </row>
    <row r="730" spans="1:12">
      <c r="A730" s="31" t="s">
        <v>75</v>
      </c>
      <c r="B730" s="39" t="e">
        <f>TRUNC((A716-SUM(C728:C729))/100000)</f>
        <v>#REF!</v>
      </c>
      <c r="C730" s="31" t="e">
        <f>B730*100000</f>
        <v>#REF!</v>
      </c>
      <c r="D730" s="31" t="e">
        <f t="shared" si="70"/>
        <v>#REF!</v>
      </c>
      <c r="E730" s="31" t="e">
        <f>IF(B730&lt;1,"",IF(B730&gt;1," Hundreds "," Hundred "))</f>
        <v>#REF!</v>
      </c>
      <c r="J730" s="31">
        <v>12</v>
      </c>
      <c r="K730" s="33" t="s">
        <v>76</v>
      </c>
      <c r="L730" s="31" t="str">
        <f t="shared" ref="L730:L737" si="71">L720&amp;" Belas"</f>
        <v>Dua Belas</v>
      </c>
    </row>
    <row r="731" spans="1:12">
      <c r="A731" s="33" t="s">
        <v>77</v>
      </c>
      <c r="B731" s="40" t="e">
        <f>TRUNC((A716-SUM(C728:C730))/1000)</f>
        <v>#REF!</v>
      </c>
      <c r="C731" s="31" t="e">
        <f>B731*1000</f>
        <v>#REF!</v>
      </c>
      <c r="D731" s="31" t="e">
        <f t="shared" si="70"/>
        <v>#REF!</v>
      </c>
      <c r="E731" s="31" t="e">
        <f>IF(B730+B731=0,"",IF(B731=1," Thousand "," Thousands "))</f>
        <v>#REF!</v>
      </c>
      <c r="J731" s="31">
        <v>13</v>
      </c>
      <c r="K731" s="33" t="s">
        <v>78</v>
      </c>
      <c r="L731" s="31" t="str">
        <f t="shared" si="71"/>
        <v>Tiga Belas</v>
      </c>
    </row>
    <row r="732" spans="1:12">
      <c r="A732" s="33" t="s">
        <v>79</v>
      </c>
      <c r="B732" s="40" t="e">
        <f>TRUNC((A716-SUM(C728:C731))/100)</f>
        <v>#REF!</v>
      </c>
      <c r="C732" s="31" t="e">
        <f>B732*100</f>
        <v>#REF!</v>
      </c>
      <c r="D732" s="31" t="e">
        <f t="shared" si="70"/>
        <v>#REF!</v>
      </c>
      <c r="E732" s="31" t="e">
        <f>IF(B732&lt;1,"",IF(B732&gt;1," Hundreds "," Hundred "))</f>
        <v>#REF!</v>
      </c>
      <c r="J732" s="31">
        <v>14</v>
      </c>
      <c r="K732" s="33" t="s">
        <v>80</v>
      </c>
      <c r="L732" s="31" t="str">
        <f t="shared" si="71"/>
        <v>Empat Belas</v>
      </c>
    </row>
    <row r="733" spans="1:12">
      <c r="A733" s="33" t="s">
        <v>81</v>
      </c>
      <c r="B733" s="41" t="e">
        <f>TRUNC((A716-SUM(C728:C732)))</f>
        <v>#REF!</v>
      </c>
      <c r="C733" s="42" t="e">
        <f>B733</f>
        <v>#REF!</v>
      </c>
      <c r="D733" s="31" t="e">
        <f t="shared" si="70"/>
        <v>#REF!</v>
      </c>
      <c r="E733" s="31" t="e">
        <f>IF(SUM(C728:C733)&lt;1,"",IF(B734&lt;1,""," And "))</f>
        <v>#REF!</v>
      </c>
      <c r="J733" s="31">
        <v>15</v>
      </c>
      <c r="K733" s="33" t="s">
        <v>82</v>
      </c>
      <c r="L733" s="31" t="str">
        <f t="shared" si="71"/>
        <v>Lima Belas</v>
      </c>
    </row>
    <row r="734" spans="1:12">
      <c r="A734" s="33" t="s">
        <v>83</v>
      </c>
      <c r="B734" s="40" t="e">
        <f>ROUND(A716-SUM(C728:C733),2)*100</f>
        <v>#REF!</v>
      </c>
      <c r="D734" s="43" t="e">
        <f t="shared" si="70"/>
        <v>#REF!</v>
      </c>
      <c r="E734" s="31" t="e">
        <f>IF(B734&lt;1,"",IF(B734=1," Cent "," Cents "))</f>
        <v>#REF!</v>
      </c>
      <c r="J734" s="31">
        <v>16</v>
      </c>
      <c r="K734" s="33" t="s">
        <v>84</v>
      </c>
      <c r="L734" s="31" t="str">
        <f t="shared" si="71"/>
        <v>Enam Belas</v>
      </c>
    </row>
    <row r="735" spans="1:12">
      <c r="J735" s="31">
        <v>17</v>
      </c>
      <c r="K735" s="33" t="s">
        <v>85</v>
      </c>
      <c r="L735" s="31" t="str">
        <f t="shared" si="71"/>
        <v>Tujuh Belas</v>
      </c>
    </row>
    <row r="736" spans="1:12">
      <c r="A736" s="44"/>
      <c r="J736" s="31">
        <v>18</v>
      </c>
      <c r="K736" s="33" t="s">
        <v>86</v>
      </c>
      <c r="L736" s="31" t="str">
        <f t="shared" si="71"/>
        <v>Delapan Belas</v>
      </c>
    </row>
    <row r="737" spans="1:12">
      <c r="A737" s="38" t="s">
        <v>87</v>
      </c>
      <c r="J737" s="31">
        <v>19</v>
      </c>
      <c r="K737" s="33" t="s">
        <v>88</v>
      </c>
      <c r="L737" s="31" t="str">
        <f t="shared" si="71"/>
        <v>Sembilan Belas</v>
      </c>
    </row>
    <row r="738" spans="1:12">
      <c r="A738" s="31" t="s">
        <v>69</v>
      </c>
      <c r="B738" s="39" t="e">
        <f>TRUNC(A716/100000000)</f>
        <v>#REF!</v>
      </c>
      <c r="C738" s="31" t="e">
        <f>B738*100000000</f>
        <v>#REF!</v>
      </c>
      <c r="D738" s="31" t="e">
        <f>IF(B738&lt;1,"",IF(B738=1,"",VLOOKUP(B738,$J$3:$L$102,3)))</f>
        <v>#REF!</v>
      </c>
      <c r="E738" s="31" t="e">
        <f>IF(B738&lt;1,"",IF(B738=1,"Seratus "," Ratus "))</f>
        <v>#REF!</v>
      </c>
      <c r="J738" s="31">
        <v>20</v>
      </c>
      <c r="K738" s="33" t="s">
        <v>89</v>
      </c>
      <c r="L738" s="31" t="s">
        <v>90</v>
      </c>
    </row>
    <row r="739" spans="1:12">
      <c r="A739" s="31" t="s">
        <v>72</v>
      </c>
      <c r="B739" s="39" t="e">
        <f>TRUNC((A716-C738)/1000000)</f>
        <v>#REF!</v>
      </c>
      <c r="C739" s="31" t="e">
        <f>B739*1000000</f>
        <v>#REF!</v>
      </c>
      <c r="D739" s="31" t="e">
        <f>IF(B739&lt;1,"",VLOOKUP(B739,$J$3:$L$102,3))</f>
        <v>#REF!</v>
      </c>
      <c r="E739" s="31" t="e">
        <f>IF(B738+B739=0,""," Juta ")</f>
        <v>#REF!</v>
      </c>
      <c r="J739" s="31">
        <v>21</v>
      </c>
      <c r="K739" s="33" t="s">
        <v>91</v>
      </c>
      <c r="L739" s="31" t="str">
        <f t="shared" ref="L739:L747" si="72">$L$23&amp;" "&amp;L719</f>
        <v>Dua Puluh Satu</v>
      </c>
    </row>
    <row r="740" spans="1:12">
      <c r="A740" s="31" t="s">
        <v>75</v>
      </c>
      <c r="B740" s="39" t="e">
        <f>TRUNC((A716-SUM(C738:C739))/100000)</f>
        <v>#REF!</v>
      </c>
      <c r="C740" s="31" t="e">
        <f>B740*100000</f>
        <v>#REF!</v>
      </c>
      <c r="D740" s="31" t="e">
        <f>IF(B740&lt;1,"",IF(B740=1,"",VLOOKUP(B740,$J$3:$L$102,3)))</f>
        <v>#REF!</v>
      </c>
      <c r="E740" s="31" t="e">
        <f>IF(B740&lt;1,"",IF(B740=1," Seratus "," Ratus "))</f>
        <v>#REF!</v>
      </c>
      <c r="J740" s="31">
        <v>22</v>
      </c>
      <c r="K740" s="33" t="s">
        <v>92</v>
      </c>
      <c r="L740" s="31" t="str">
        <f t="shared" si="72"/>
        <v>Dua Puluh Dua</v>
      </c>
    </row>
    <row r="741" spans="1:12">
      <c r="A741" s="33" t="s">
        <v>77</v>
      </c>
      <c r="B741" s="40" t="e">
        <f>TRUNC((A716-SUM(C738:C740))/1000)</f>
        <v>#REF!</v>
      </c>
      <c r="C741" s="31" t="e">
        <f>B741*1000</f>
        <v>#REF!</v>
      </c>
      <c r="D741" s="31" t="e">
        <f>IF(B741&lt;1,"",IF(B741=1,"",VLOOKUP(B741,$J$3:$L$102,3)))</f>
        <v>#REF!</v>
      </c>
      <c r="E741" s="31" t="e">
        <f>IF(B740+B741&lt;1,"",IF(B741=1," Seribu "," Ribu "))</f>
        <v>#REF!</v>
      </c>
      <c r="J741" s="31">
        <v>23</v>
      </c>
      <c r="K741" s="33" t="s">
        <v>93</v>
      </c>
      <c r="L741" s="31" t="str">
        <f t="shared" si="72"/>
        <v>Dua Puluh Tiga</v>
      </c>
    </row>
    <row r="742" spans="1:12">
      <c r="A742" s="33" t="s">
        <v>79</v>
      </c>
      <c r="B742" s="40" t="e">
        <f>TRUNC((A716-SUM(C738:C741))/100)</f>
        <v>#REF!</v>
      </c>
      <c r="C742" s="31" t="e">
        <f>B742*100</f>
        <v>#REF!</v>
      </c>
      <c r="D742" s="31" t="e">
        <f>IF(B742&lt;1,"",IF(B742=1,"",VLOOKUP(B742,$J$3:$L$102,3)))</f>
        <v>#REF!</v>
      </c>
      <c r="E742" s="31" t="e">
        <f>IF(B742&lt;1,"",IF(B742=1," Seratus "," Ratus "))</f>
        <v>#REF!</v>
      </c>
      <c r="J742" s="31">
        <v>24</v>
      </c>
      <c r="K742" s="33" t="s">
        <v>94</v>
      </c>
      <c r="L742" s="31" t="str">
        <f t="shared" si="72"/>
        <v>Dua Puluh Empat</v>
      </c>
    </row>
    <row r="743" spans="1:12">
      <c r="A743" s="33" t="s">
        <v>81</v>
      </c>
      <c r="B743" s="41" t="e">
        <f>TRUNC((A716-SUM(C738:C742)))</f>
        <v>#REF!</v>
      </c>
      <c r="C743" s="42" t="e">
        <f>B743</f>
        <v>#REF!</v>
      </c>
      <c r="D743" s="31" t="e">
        <f>IF(B743&lt;1,"",VLOOKUP(B743,$J$3:$L$102,3))</f>
        <v>#REF!</v>
      </c>
      <c r="E743" s="31" t="e">
        <f>IF(SUM(C738:C743)&lt;1,"",IF(B744&lt;1,""," Dan "))</f>
        <v>#REF!</v>
      </c>
      <c r="J743" s="31">
        <v>25</v>
      </c>
      <c r="K743" s="33" t="s">
        <v>95</v>
      </c>
      <c r="L743" s="31" t="str">
        <f t="shared" si="72"/>
        <v>Dua Puluh Lima</v>
      </c>
    </row>
    <row r="744" spans="1:12">
      <c r="A744" s="33" t="s">
        <v>83</v>
      </c>
      <c r="B744" s="40" t="e">
        <f>ROUND(A716-SUM(C738:C743),2)*100</f>
        <v>#REF!</v>
      </c>
      <c r="D744" s="31" t="e">
        <f>IF(B744&lt;1,"",VLOOKUP(B744,$J$3:$L$102,3))</f>
        <v>#REF!</v>
      </c>
      <c r="E744" s="31" t="e">
        <f>IF(B744&lt;1,""," Sen ")</f>
        <v>#REF!</v>
      </c>
      <c r="J744" s="31">
        <v>26</v>
      </c>
      <c r="K744" s="33" t="s">
        <v>96</v>
      </c>
      <c r="L744" s="31" t="str">
        <f t="shared" si="72"/>
        <v>Dua Puluh Enam</v>
      </c>
    </row>
    <row r="745" spans="1:12">
      <c r="J745" s="31">
        <v>27</v>
      </c>
      <c r="K745" s="33" t="s">
        <v>97</v>
      </c>
      <c r="L745" s="31" t="str">
        <f t="shared" si="72"/>
        <v>Dua Puluh Tujuh</v>
      </c>
    </row>
    <row r="746" spans="1:12">
      <c r="J746" s="31">
        <v>28</v>
      </c>
      <c r="K746" s="33" t="s">
        <v>98</v>
      </c>
      <c r="L746" s="31" t="str">
        <f t="shared" si="72"/>
        <v>Dua Puluh Delapan</v>
      </c>
    </row>
    <row r="747" spans="1:12">
      <c r="J747" s="31">
        <v>29</v>
      </c>
      <c r="K747" s="33" t="s">
        <v>99</v>
      </c>
      <c r="L747" s="31" t="str">
        <f t="shared" si="72"/>
        <v>Dua Puluh Sembilan</v>
      </c>
    </row>
    <row r="748" spans="1:12">
      <c r="J748" s="31">
        <v>30</v>
      </c>
      <c r="K748" s="33" t="s">
        <v>100</v>
      </c>
      <c r="L748" s="31" t="s">
        <v>101</v>
      </c>
    </row>
    <row r="749" spans="1:12">
      <c r="J749" s="31">
        <v>31</v>
      </c>
      <c r="K749" s="33" t="s">
        <v>102</v>
      </c>
      <c r="L749" s="31" t="str">
        <f t="shared" ref="L749:L757" si="73">$L$33&amp;" "&amp;L719</f>
        <v>Tiga Puluh Satu</v>
      </c>
    </row>
    <row r="750" spans="1:12">
      <c r="J750" s="31">
        <v>32</v>
      </c>
      <c r="K750" s="33" t="s">
        <v>103</v>
      </c>
      <c r="L750" s="31" t="str">
        <f t="shared" si="73"/>
        <v>Tiga Puluh Dua</v>
      </c>
    </row>
    <row r="751" spans="1:12">
      <c r="J751" s="31">
        <v>33</v>
      </c>
      <c r="K751" s="33" t="s">
        <v>104</v>
      </c>
      <c r="L751" s="31" t="str">
        <f t="shared" si="73"/>
        <v>Tiga Puluh Tiga</v>
      </c>
    </row>
    <row r="752" spans="1:12">
      <c r="J752" s="31">
        <v>34</v>
      </c>
      <c r="K752" s="33" t="s">
        <v>105</v>
      </c>
      <c r="L752" s="31" t="str">
        <f t="shared" si="73"/>
        <v>Tiga Puluh Empat</v>
      </c>
    </row>
    <row r="753" spans="1:12">
      <c r="J753" s="31">
        <v>35</v>
      </c>
      <c r="K753" s="33" t="s">
        <v>106</v>
      </c>
      <c r="L753" s="31" t="str">
        <f t="shared" si="73"/>
        <v>Tiga Puluh Lima</v>
      </c>
    </row>
    <row r="754" spans="1:12">
      <c r="J754" s="31">
        <v>36</v>
      </c>
      <c r="K754" s="33" t="s">
        <v>107</v>
      </c>
      <c r="L754" s="31" t="str">
        <f t="shared" si="73"/>
        <v>Tiga Puluh Enam</v>
      </c>
    </row>
    <row r="755" spans="1:12">
      <c r="J755" s="31">
        <v>37</v>
      </c>
      <c r="K755" s="33" t="s">
        <v>108</v>
      </c>
      <c r="L755" s="31" t="str">
        <f t="shared" si="73"/>
        <v>Tiga Puluh Tujuh</v>
      </c>
    </row>
    <row r="756" spans="1:12">
      <c r="J756" s="31">
        <v>38</v>
      </c>
      <c r="K756" s="33" t="s">
        <v>109</v>
      </c>
      <c r="L756" s="31" t="str">
        <f t="shared" si="73"/>
        <v>Tiga Puluh Delapan</v>
      </c>
    </row>
    <row r="757" spans="1:12">
      <c r="J757" s="31">
        <v>39</v>
      </c>
      <c r="K757" s="33" t="s">
        <v>110</v>
      </c>
      <c r="L757" s="31" t="str">
        <f t="shared" si="73"/>
        <v>Tiga Puluh Sembilan</v>
      </c>
    </row>
    <row r="758" spans="1:12">
      <c r="B758" s="35"/>
      <c r="C758" s="35"/>
      <c r="D758" s="35"/>
      <c r="J758" s="31">
        <v>40</v>
      </c>
      <c r="K758" s="33" t="s">
        <v>111</v>
      </c>
      <c r="L758" s="31" t="s">
        <v>112</v>
      </c>
    </row>
    <row r="759" spans="1:12">
      <c r="A759" s="35"/>
      <c r="B759" s="35"/>
      <c r="C759" s="35"/>
      <c r="D759" s="35"/>
      <c r="J759" s="31">
        <v>41</v>
      </c>
      <c r="K759" s="33" t="s">
        <v>113</v>
      </c>
      <c r="L759" s="31" t="str">
        <f t="shared" ref="L759:L767" si="74">$L$43&amp;" "&amp;L719</f>
        <v>Empat Puluh Satu</v>
      </c>
    </row>
    <row r="760" spans="1:12">
      <c r="J760" s="31">
        <v>42</v>
      </c>
      <c r="K760" s="33" t="s">
        <v>114</v>
      </c>
      <c r="L760" s="31" t="str">
        <f t="shared" si="74"/>
        <v>Empat Puluh Dua</v>
      </c>
    </row>
    <row r="761" spans="1:12">
      <c r="A761" s="38"/>
      <c r="J761" s="31">
        <v>43</v>
      </c>
      <c r="K761" s="33" t="s">
        <v>115</v>
      </c>
      <c r="L761" s="31" t="str">
        <f t="shared" si="74"/>
        <v>Empat Puluh Tiga</v>
      </c>
    </row>
    <row r="762" spans="1:12">
      <c r="J762" s="31">
        <v>44</v>
      </c>
      <c r="K762" s="33" t="s">
        <v>116</v>
      </c>
      <c r="L762" s="31" t="str">
        <f t="shared" si="74"/>
        <v>Empat Puluh Empat</v>
      </c>
    </row>
    <row r="763" spans="1:12">
      <c r="J763" s="31">
        <v>45</v>
      </c>
      <c r="K763" s="33" t="s">
        <v>117</v>
      </c>
      <c r="L763" s="31" t="str">
        <f t="shared" si="74"/>
        <v>Empat Puluh Lima</v>
      </c>
    </row>
    <row r="764" spans="1:12">
      <c r="J764" s="31">
        <v>46</v>
      </c>
      <c r="K764" s="33" t="s">
        <v>118</v>
      </c>
      <c r="L764" s="31" t="str">
        <f t="shared" si="74"/>
        <v>Empat Puluh Enam</v>
      </c>
    </row>
    <row r="765" spans="1:12">
      <c r="J765" s="31">
        <v>47</v>
      </c>
      <c r="K765" s="33" t="s">
        <v>119</v>
      </c>
      <c r="L765" s="31" t="str">
        <f t="shared" si="74"/>
        <v>Empat Puluh Tujuh</v>
      </c>
    </row>
    <row r="766" spans="1:12">
      <c r="J766" s="31">
        <v>48</v>
      </c>
      <c r="K766" s="33" t="s">
        <v>120</v>
      </c>
      <c r="L766" s="31" t="str">
        <f t="shared" si="74"/>
        <v>Empat Puluh Delapan</v>
      </c>
    </row>
    <row r="767" spans="1:12">
      <c r="J767" s="31">
        <v>49</v>
      </c>
      <c r="K767" s="33" t="s">
        <v>121</v>
      </c>
      <c r="L767" s="31" t="str">
        <f t="shared" si="74"/>
        <v>Empat Puluh Sembilan</v>
      </c>
    </row>
    <row r="768" spans="1:12">
      <c r="J768" s="31">
        <v>50</v>
      </c>
      <c r="K768" s="33" t="s">
        <v>122</v>
      </c>
      <c r="L768" s="31" t="s">
        <v>123</v>
      </c>
    </row>
    <row r="769" spans="10:12">
      <c r="J769" s="31">
        <v>51</v>
      </c>
      <c r="K769" s="33" t="s">
        <v>124</v>
      </c>
      <c r="L769" s="31" t="str">
        <f t="shared" ref="L769:L777" si="75">$L$53&amp;" "&amp;L719</f>
        <v>Lima Puluh Satu</v>
      </c>
    </row>
    <row r="770" spans="10:12">
      <c r="J770" s="31">
        <v>52</v>
      </c>
      <c r="K770" s="33" t="s">
        <v>125</v>
      </c>
      <c r="L770" s="31" t="str">
        <f t="shared" si="75"/>
        <v>Lima Puluh Dua</v>
      </c>
    </row>
    <row r="771" spans="10:12">
      <c r="J771" s="31">
        <v>53</v>
      </c>
      <c r="K771" s="33" t="s">
        <v>126</v>
      </c>
      <c r="L771" s="31" t="str">
        <f t="shared" si="75"/>
        <v>Lima Puluh Tiga</v>
      </c>
    </row>
    <row r="772" spans="10:12">
      <c r="J772" s="31">
        <v>54</v>
      </c>
      <c r="K772" s="33" t="s">
        <v>127</v>
      </c>
      <c r="L772" s="31" t="str">
        <f t="shared" si="75"/>
        <v>Lima Puluh Empat</v>
      </c>
    </row>
    <row r="773" spans="10:12">
      <c r="J773" s="31">
        <v>55</v>
      </c>
      <c r="K773" s="33" t="s">
        <v>128</v>
      </c>
      <c r="L773" s="31" t="str">
        <f t="shared" si="75"/>
        <v>Lima Puluh Lima</v>
      </c>
    </row>
    <row r="774" spans="10:12">
      <c r="J774" s="31">
        <v>56</v>
      </c>
      <c r="K774" s="33" t="s">
        <v>129</v>
      </c>
      <c r="L774" s="31" t="str">
        <f t="shared" si="75"/>
        <v>Lima Puluh Enam</v>
      </c>
    </row>
    <row r="775" spans="10:12">
      <c r="J775" s="31">
        <v>57</v>
      </c>
      <c r="K775" s="33" t="s">
        <v>130</v>
      </c>
      <c r="L775" s="31" t="str">
        <f t="shared" si="75"/>
        <v>Lima Puluh Tujuh</v>
      </c>
    </row>
    <row r="776" spans="10:12">
      <c r="J776" s="31">
        <v>58</v>
      </c>
      <c r="K776" s="33" t="s">
        <v>131</v>
      </c>
      <c r="L776" s="31" t="str">
        <f t="shared" si="75"/>
        <v>Lima Puluh Delapan</v>
      </c>
    </row>
    <row r="777" spans="10:12">
      <c r="J777" s="31">
        <v>59</v>
      </c>
      <c r="K777" s="33" t="s">
        <v>132</v>
      </c>
      <c r="L777" s="31" t="str">
        <f t="shared" si="75"/>
        <v>Lima Puluh Sembilan</v>
      </c>
    </row>
    <row r="778" spans="10:12">
      <c r="J778" s="31">
        <v>60</v>
      </c>
      <c r="K778" s="33" t="s">
        <v>133</v>
      </c>
      <c r="L778" s="31" t="s">
        <v>134</v>
      </c>
    </row>
    <row r="779" spans="10:12">
      <c r="J779" s="31">
        <v>61</v>
      </c>
      <c r="K779" s="33" t="s">
        <v>135</v>
      </c>
      <c r="L779" s="31" t="str">
        <f t="shared" ref="L779:L787" si="76">$L$63&amp;" "&amp;L719</f>
        <v>Enam Puluh Satu</v>
      </c>
    </row>
    <row r="780" spans="10:12">
      <c r="J780" s="31">
        <v>62</v>
      </c>
      <c r="K780" s="33" t="s">
        <v>136</v>
      </c>
      <c r="L780" s="31" t="str">
        <f t="shared" si="76"/>
        <v>Enam Puluh Dua</v>
      </c>
    </row>
    <row r="781" spans="10:12">
      <c r="J781" s="31">
        <v>63</v>
      </c>
      <c r="K781" s="33" t="s">
        <v>137</v>
      </c>
      <c r="L781" s="31" t="str">
        <f t="shared" si="76"/>
        <v>Enam Puluh Tiga</v>
      </c>
    </row>
    <row r="782" spans="10:12">
      <c r="J782" s="31">
        <v>64</v>
      </c>
      <c r="K782" s="33" t="s">
        <v>138</v>
      </c>
      <c r="L782" s="31" t="str">
        <f t="shared" si="76"/>
        <v>Enam Puluh Empat</v>
      </c>
    </row>
    <row r="783" spans="10:12">
      <c r="J783" s="31">
        <v>65</v>
      </c>
      <c r="K783" s="33" t="s">
        <v>139</v>
      </c>
      <c r="L783" s="31" t="str">
        <f t="shared" si="76"/>
        <v>Enam Puluh Lima</v>
      </c>
    </row>
    <row r="784" spans="10:12">
      <c r="J784" s="31">
        <v>66</v>
      </c>
      <c r="K784" s="33" t="s">
        <v>140</v>
      </c>
      <c r="L784" s="31" t="str">
        <f t="shared" si="76"/>
        <v>Enam Puluh Enam</v>
      </c>
    </row>
    <row r="785" spans="10:12">
      <c r="J785" s="31">
        <v>67</v>
      </c>
      <c r="K785" s="33" t="s">
        <v>141</v>
      </c>
      <c r="L785" s="31" t="str">
        <f t="shared" si="76"/>
        <v>Enam Puluh Tujuh</v>
      </c>
    </row>
    <row r="786" spans="10:12">
      <c r="J786" s="31">
        <v>68</v>
      </c>
      <c r="K786" s="33" t="s">
        <v>142</v>
      </c>
      <c r="L786" s="31" t="str">
        <f t="shared" si="76"/>
        <v>Enam Puluh Delapan</v>
      </c>
    </row>
    <row r="787" spans="10:12">
      <c r="J787" s="31">
        <v>69</v>
      </c>
      <c r="K787" s="33" t="s">
        <v>143</v>
      </c>
      <c r="L787" s="31" t="str">
        <f t="shared" si="76"/>
        <v>Enam Puluh Sembilan</v>
      </c>
    </row>
    <row r="788" spans="10:12">
      <c r="J788" s="31">
        <v>70</v>
      </c>
      <c r="K788" s="33" t="s">
        <v>144</v>
      </c>
      <c r="L788" s="31" t="s">
        <v>145</v>
      </c>
    </row>
    <row r="789" spans="10:12">
      <c r="J789" s="31">
        <v>71</v>
      </c>
      <c r="K789" s="33" t="s">
        <v>146</v>
      </c>
      <c r="L789" s="31" t="str">
        <f t="shared" ref="L789:L797" si="77">$L$73&amp;" "&amp;L719</f>
        <v>Tujuh Puluh Satu</v>
      </c>
    </row>
    <row r="790" spans="10:12">
      <c r="J790" s="31">
        <v>72</v>
      </c>
      <c r="K790" s="33" t="s">
        <v>147</v>
      </c>
      <c r="L790" s="31" t="str">
        <f t="shared" si="77"/>
        <v>Tujuh Puluh Dua</v>
      </c>
    </row>
    <row r="791" spans="10:12">
      <c r="J791" s="31">
        <v>73</v>
      </c>
      <c r="K791" s="33" t="s">
        <v>148</v>
      </c>
      <c r="L791" s="31" t="str">
        <f t="shared" si="77"/>
        <v>Tujuh Puluh Tiga</v>
      </c>
    </row>
    <row r="792" spans="10:12">
      <c r="J792" s="31">
        <v>74</v>
      </c>
      <c r="K792" s="33" t="s">
        <v>149</v>
      </c>
      <c r="L792" s="31" t="str">
        <f t="shared" si="77"/>
        <v>Tujuh Puluh Empat</v>
      </c>
    </row>
    <row r="793" spans="10:12">
      <c r="J793" s="31">
        <v>75</v>
      </c>
      <c r="K793" s="33" t="s">
        <v>150</v>
      </c>
      <c r="L793" s="31" t="str">
        <f t="shared" si="77"/>
        <v>Tujuh Puluh Lima</v>
      </c>
    </row>
    <row r="794" spans="10:12">
      <c r="J794" s="31">
        <v>76</v>
      </c>
      <c r="K794" s="33" t="s">
        <v>151</v>
      </c>
      <c r="L794" s="31" t="str">
        <f t="shared" si="77"/>
        <v>Tujuh Puluh Enam</v>
      </c>
    </row>
    <row r="795" spans="10:12">
      <c r="J795" s="31">
        <v>77</v>
      </c>
      <c r="K795" s="33" t="s">
        <v>152</v>
      </c>
      <c r="L795" s="31" t="str">
        <f t="shared" si="77"/>
        <v>Tujuh Puluh Tujuh</v>
      </c>
    </row>
    <row r="796" spans="10:12">
      <c r="J796" s="31">
        <v>78</v>
      </c>
      <c r="K796" s="33" t="s">
        <v>153</v>
      </c>
      <c r="L796" s="31" t="str">
        <f t="shared" si="77"/>
        <v>Tujuh Puluh Delapan</v>
      </c>
    </row>
    <row r="797" spans="10:12">
      <c r="J797" s="31">
        <v>79</v>
      </c>
      <c r="K797" s="33" t="s">
        <v>154</v>
      </c>
      <c r="L797" s="31" t="str">
        <f t="shared" si="77"/>
        <v>Tujuh Puluh Sembilan</v>
      </c>
    </row>
    <row r="798" spans="10:12">
      <c r="J798" s="31">
        <v>80</v>
      </c>
      <c r="K798" s="33" t="s">
        <v>155</v>
      </c>
      <c r="L798" s="31" t="s">
        <v>156</v>
      </c>
    </row>
    <row r="799" spans="10:12">
      <c r="J799" s="31">
        <v>81</v>
      </c>
      <c r="K799" s="33" t="s">
        <v>157</v>
      </c>
      <c r="L799" s="31" t="str">
        <f t="shared" ref="L799:L807" si="78">$L$83&amp;" "&amp;L719</f>
        <v>Delapan Puluh Satu</v>
      </c>
    </row>
    <row r="800" spans="10:12">
      <c r="J800" s="31">
        <v>82</v>
      </c>
      <c r="K800" s="33" t="s">
        <v>158</v>
      </c>
      <c r="L800" s="31" t="str">
        <f t="shared" si="78"/>
        <v>Delapan Puluh Dua</v>
      </c>
    </row>
    <row r="801" spans="10:12">
      <c r="J801" s="31">
        <v>83</v>
      </c>
      <c r="K801" s="33" t="s">
        <v>159</v>
      </c>
      <c r="L801" s="31" t="str">
        <f t="shared" si="78"/>
        <v>Delapan Puluh Tiga</v>
      </c>
    </row>
    <row r="802" spans="10:12">
      <c r="J802" s="31">
        <v>84</v>
      </c>
      <c r="K802" s="33" t="s">
        <v>160</v>
      </c>
      <c r="L802" s="31" t="str">
        <f t="shared" si="78"/>
        <v>Delapan Puluh Empat</v>
      </c>
    </row>
    <row r="803" spans="10:12">
      <c r="J803" s="31">
        <v>85</v>
      </c>
      <c r="K803" s="33" t="s">
        <v>161</v>
      </c>
      <c r="L803" s="31" t="str">
        <f t="shared" si="78"/>
        <v>Delapan Puluh Lima</v>
      </c>
    </row>
    <row r="804" spans="10:12">
      <c r="J804" s="31">
        <v>86</v>
      </c>
      <c r="K804" s="33" t="s">
        <v>162</v>
      </c>
      <c r="L804" s="31" t="str">
        <f t="shared" si="78"/>
        <v>Delapan Puluh Enam</v>
      </c>
    </row>
    <row r="805" spans="10:12">
      <c r="J805" s="31">
        <v>87</v>
      </c>
      <c r="K805" s="33" t="s">
        <v>163</v>
      </c>
      <c r="L805" s="31" t="str">
        <f t="shared" si="78"/>
        <v>Delapan Puluh Tujuh</v>
      </c>
    </row>
    <row r="806" spans="10:12">
      <c r="J806" s="31">
        <v>88</v>
      </c>
      <c r="K806" s="33" t="s">
        <v>164</v>
      </c>
      <c r="L806" s="31" t="str">
        <f t="shared" si="78"/>
        <v>Delapan Puluh Delapan</v>
      </c>
    </row>
    <row r="807" spans="10:12">
      <c r="J807" s="31">
        <v>89</v>
      </c>
      <c r="K807" s="33" t="s">
        <v>165</v>
      </c>
      <c r="L807" s="31" t="str">
        <f t="shared" si="78"/>
        <v>Delapan Puluh Sembilan</v>
      </c>
    </row>
    <row r="808" spans="10:12">
      <c r="J808" s="31">
        <v>90</v>
      </c>
      <c r="K808" s="33" t="s">
        <v>166</v>
      </c>
      <c r="L808" s="31" t="s">
        <v>167</v>
      </c>
    </row>
    <row r="809" spans="10:12">
      <c r="J809" s="31">
        <v>91</v>
      </c>
      <c r="K809" s="33" t="s">
        <v>168</v>
      </c>
      <c r="L809" s="31" t="str">
        <f t="shared" ref="L809:L817" si="79">$L$93&amp;" "&amp;L719</f>
        <v>Sembilan Puluh Satu</v>
      </c>
    </row>
    <row r="810" spans="10:12">
      <c r="J810" s="31">
        <v>92</v>
      </c>
      <c r="K810" s="33" t="s">
        <v>169</v>
      </c>
      <c r="L810" s="31" t="str">
        <f t="shared" si="79"/>
        <v>Sembilan Puluh Dua</v>
      </c>
    </row>
    <row r="811" spans="10:12">
      <c r="J811" s="31">
        <v>93</v>
      </c>
      <c r="K811" s="33" t="s">
        <v>170</v>
      </c>
      <c r="L811" s="31" t="str">
        <f t="shared" si="79"/>
        <v>Sembilan Puluh Tiga</v>
      </c>
    </row>
    <row r="812" spans="10:12">
      <c r="J812" s="31">
        <v>94</v>
      </c>
      <c r="K812" s="33" t="s">
        <v>171</v>
      </c>
      <c r="L812" s="31" t="str">
        <f t="shared" si="79"/>
        <v>Sembilan Puluh Empat</v>
      </c>
    </row>
    <row r="813" spans="10:12">
      <c r="J813" s="31">
        <v>95</v>
      </c>
      <c r="K813" s="33" t="s">
        <v>172</v>
      </c>
      <c r="L813" s="31" t="str">
        <f t="shared" si="79"/>
        <v>Sembilan Puluh Lima</v>
      </c>
    </row>
    <row r="814" spans="10:12">
      <c r="J814" s="31">
        <v>96</v>
      </c>
      <c r="K814" s="33" t="s">
        <v>173</v>
      </c>
      <c r="L814" s="31" t="str">
        <f t="shared" si="79"/>
        <v>Sembilan Puluh Enam</v>
      </c>
    </row>
    <row r="815" spans="10:12">
      <c r="J815" s="31">
        <v>97</v>
      </c>
      <c r="K815" s="33" t="s">
        <v>174</v>
      </c>
      <c r="L815" s="31" t="str">
        <f t="shared" si="79"/>
        <v>Sembilan Puluh Tujuh</v>
      </c>
    </row>
    <row r="816" spans="10:12">
      <c r="J816" s="31">
        <v>98</v>
      </c>
      <c r="K816" s="33" t="s">
        <v>175</v>
      </c>
      <c r="L816" s="31" t="str">
        <f t="shared" si="79"/>
        <v>Sembilan Puluh Delapan</v>
      </c>
    </row>
    <row r="817" spans="1:12">
      <c r="J817" s="31">
        <v>99</v>
      </c>
      <c r="K817" s="33" t="s">
        <v>176</v>
      </c>
      <c r="L817" s="31" t="str">
        <f t="shared" si="79"/>
        <v>Sembilan Puluh Sembilan</v>
      </c>
    </row>
    <row r="820" spans="1:12">
      <c r="A820" s="30" t="e">
        <f>#REF!</f>
        <v>#REF!</v>
      </c>
      <c r="C820" s="31" t="s">
        <v>287</v>
      </c>
    </row>
    <row r="821" spans="1:12">
      <c r="A821" s="32"/>
    </row>
    <row r="822" spans="1:12">
      <c r="J822" s="31">
        <v>0</v>
      </c>
      <c r="K822" s="33" t="s">
        <v>48</v>
      </c>
      <c r="L822" s="31" t="s">
        <v>49</v>
      </c>
    </row>
    <row r="823" spans="1:12">
      <c r="A823" s="34"/>
      <c r="J823" s="31">
        <v>1</v>
      </c>
      <c r="K823" s="33" t="s">
        <v>50</v>
      </c>
      <c r="L823" s="31" t="s">
        <v>51</v>
      </c>
    </row>
    <row r="824" spans="1:12">
      <c r="A824" s="255" t="e">
        <f>TRIM(D832&amp;E832&amp;D833&amp;E833&amp;D834&amp;E834&amp;D835&amp;E835&amp;D836&amp;E836&amp;D837&amp;E837&amp;E838&amp;D838&amp;" Only")</f>
        <v>#REF!</v>
      </c>
      <c r="B824" s="255"/>
      <c r="C824" s="255"/>
      <c r="D824" s="255"/>
      <c r="E824" s="35"/>
      <c r="F824" s="36"/>
      <c r="J824" s="31">
        <v>2</v>
      </c>
      <c r="K824" s="33" t="s">
        <v>52</v>
      </c>
      <c r="L824" s="31" t="s">
        <v>53</v>
      </c>
    </row>
    <row r="825" spans="1:12">
      <c r="A825" s="37"/>
      <c r="B825" s="37"/>
      <c r="C825" s="37"/>
      <c r="D825" s="37"/>
      <c r="E825" s="35"/>
      <c r="F825" s="36"/>
      <c r="J825" s="31">
        <v>3</v>
      </c>
      <c r="K825" s="33" t="s">
        <v>54</v>
      </c>
      <c r="L825" s="31" t="s">
        <v>55</v>
      </c>
    </row>
    <row r="826" spans="1:12">
      <c r="A826" s="37"/>
      <c r="B826" s="37"/>
      <c r="C826" s="37"/>
      <c r="D826" s="37"/>
      <c r="J826" s="31">
        <v>4</v>
      </c>
      <c r="K826" s="33" t="s">
        <v>56</v>
      </c>
      <c r="L826" s="31" t="s">
        <v>57</v>
      </c>
    </row>
    <row r="827" spans="1:12">
      <c r="A827" s="255" t="e">
        <f>TRIM(D842&amp;E842&amp;D843&amp;E843&amp;D844&amp;E844&amp;D845&amp;E845&amp;D846&amp;E846&amp;D847&amp;E847&amp;D848&amp;E848&amp;" Rupiah")</f>
        <v>#REF!</v>
      </c>
      <c r="B827" s="255"/>
      <c r="C827" s="255"/>
      <c r="D827" s="255"/>
      <c r="E827" s="35"/>
      <c r="F827" s="36"/>
      <c r="J827" s="31">
        <v>5</v>
      </c>
      <c r="K827" s="33" t="s">
        <v>58</v>
      </c>
      <c r="L827" s="31" t="s">
        <v>59</v>
      </c>
    </row>
    <row r="828" spans="1:12">
      <c r="A828" s="35"/>
      <c r="B828" s="35"/>
      <c r="C828" s="35"/>
      <c r="D828" s="35"/>
      <c r="E828" s="35"/>
      <c r="F828" s="36"/>
      <c r="J828" s="31">
        <v>6</v>
      </c>
      <c r="K828" s="33" t="s">
        <v>60</v>
      </c>
      <c r="L828" s="31" t="s">
        <v>61</v>
      </c>
    </row>
    <row r="829" spans="1:12">
      <c r="J829" s="31">
        <v>7</v>
      </c>
      <c r="K829" s="33" t="s">
        <v>62</v>
      </c>
      <c r="L829" s="31" t="s">
        <v>63</v>
      </c>
    </row>
    <row r="830" spans="1:12">
      <c r="J830" s="31">
        <v>8</v>
      </c>
      <c r="K830" s="33" t="s">
        <v>64</v>
      </c>
      <c r="L830" s="31" t="s">
        <v>65</v>
      </c>
    </row>
    <row r="831" spans="1:12">
      <c r="A831" s="38" t="s">
        <v>66</v>
      </c>
      <c r="J831" s="31">
        <v>9</v>
      </c>
      <c r="K831" s="33" t="s">
        <v>67</v>
      </c>
      <c r="L831" s="31" t="s">
        <v>68</v>
      </c>
    </row>
    <row r="832" spans="1:12">
      <c r="A832" s="31" t="s">
        <v>69</v>
      </c>
      <c r="B832" s="39" t="e">
        <f>TRUNC(A820/100000000)</f>
        <v>#REF!</v>
      </c>
      <c r="C832" s="31" t="e">
        <f>B832*100000000</f>
        <v>#REF!</v>
      </c>
      <c r="D832" s="31" t="e">
        <f t="shared" ref="D832:D838" si="80">IF(B832&lt;1,"",VLOOKUP(B832,$J$3:$K$102,2))</f>
        <v>#REF!</v>
      </c>
      <c r="E832" s="31" t="e">
        <f>IF(B832&lt;1,"",IF(B832&gt;1," Hundreds "," Hundred "))</f>
        <v>#REF!</v>
      </c>
      <c r="J832" s="31">
        <v>10</v>
      </c>
      <c r="K832" s="33" t="s">
        <v>70</v>
      </c>
      <c r="L832" s="31" t="s">
        <v>71</v>
      </c>
    </row>
    <row r="833" spans="1:12">
      <c r="A833" s="31" t="s">
        <v>72</v>
      </c>
      <c r="B833" s="39" t="e">
        <f>TRUNC((A820-C832)/1000000)</f>
        <v>#REF!</v>
      </c>
      <c r="C833" s="31" t="e">
        <f>B833*1000000</f>
        <v>#REF!</v>
      </c>
      <c r="D833" s="31" t="e">
        <f t="shared" si="80"/>
        <v>#REF!</v>
      </c>
      <c r="E833" s="31" t="e">
        <f>IF(B832+B833=0,"",IF(B833=1," Million "," Millions "))</f>
        <v>#REF!</v>
      </c>
      <c r="J833" s="31">
        <v>11</v>
      </c>
      <c r="K833" s="33" t="s">
        <v>73</v>
      </c>
      <c r="L833" s="31" t="s">
        <v>74</v>
      </c>
    </row>
    <row r="834" spans="1:12">
      <c r="A834" s="31" t="s">
        <v>75</v>
      </c>
      <c r="B834" s="39" t="e">
        <f>TRUNC((A820-SUM(C832:C833))/100000)</f>
        <v>#REF!</v>
      </c>
      <c r="C834" s="31" t="e">
        <f>B834*100000</f>
        <v>#REF!</v>
      </c>
      <c r="D834" s="31" t="e">
        <f t="shared" si="80"/>
        <v>#REF!</v>
      </c>
      <c r="E834" s="31" t="e">
        <f>IF(B834&lt;1,"",IF(B834&gt;1," Hundreds "," Hundred "))</f>
        <v>#REF!</v>
      </c>
      <c r="J834" s="31">
        <v>12</v>
      </c>
      <c r="K834" s="33" t="s">
        <v>76</v>
      </c>
      <c r="L834" s="31" t="str">
        <f t="shared" ref="L834:L841" si="81">L824&amp;" Belas"</f>
        <v>Dua Belas</v>
      </c>
    </row>
    <row r="835" spans="1:12">
      <c r="A835" s="33" t="s">
        <v>77</v>
      </c>
      <c r="B835" s="40" t="e">
        <f>TRUNC((A820-SUM(C832:C834))/1000)</f>
        <v>#REF!</v>
      </c>
      <c r="C835" s="31" t="e">
        <f>B835*1000</f>
        <v>#REF!</v>
      </c>
      <c r="D835" s="31" t="e">
        <f t="shared" si="80"/>
        <v>#REF!</v>
      </c>
      <c r="E835" s="31" t="e">
        <f>IF(B834+B835=0,"",IF(B835=1," Thousand "," Thousands "))</f>
        <v>#REF!</v>
      </c>
      <c r="J835" s="31">
        <v>13</v>
      </c>
      <c r="K835" s="33" t="s">
        <v>78</v>
      </c>
      <c r="L835" s="31" t="str">
        <f t="shared" si="81"/>
        <v>Tiga Belas</v>
      </c>
    </row>
    <row r="836" spans="1:12">
      <c r="A836" s="33" t="s">
        <v>79</v>
      </c>
      <c r="B836" s="40" t="e">
        <f>TRUNC((A820-SUM(C832:C835))/100)</f>
        <v>#REF!</v>
      </c>
      <c r="C836" s="31" t="e">
        <f>B836*100</f>
        <v>#REF!</v>
      </c>
      <c r="D836" s="31" t="e">
        <f t="shared" si="80"/>
        <v>#REF!</v>
      </c>
      <c r="E836" s="31" t="e">
        <f>IF(B836&lt;1,"",IF(B836&gt;1," Hundreds "," Hundred "))</f>
        <v>#REF!</v>
      </c>
      <c r="J836" s="31">
        <v>14</v>
      </c>
      <c r="K836" s="33" t="s">
        <v>80</v>
      </c>
      <c r="L836" s="31" t="str">
        <f t="shared" si="81"/>
        <v>Empat Belas</v>
      </c>
    </row>
    <row r="837" spans="1:12">
      <c r="A837" s="33" t="s">
        <v>81</v>
      </c>
      <c r="B837" s="41" t="e">
        <f>TRUNC((A820-SUM(C832:C836)))</f>
        <v>#REF!</v>
      </c>
      <c r="C837" s="42" t="e">
        <f>B837</f>
        <v>#REF!</v>
      </c>
      <c r="D837" s="31" t="e">
        <f t="shared" si="80"/>
        <v>#REF!</v>
      </c>
      <c r="E837" s="31" t="e">
        <f>IF(SUM(C832:C837)&lt;1,"",IF(B838&lt;1,""," And "))</f>
        <v>#REF!</v>
      </c>
      <c r="J837" s="31">
        <v>15</v>
      </c>
      <c r="K837" s="33" t="s">
        <v>82</v>
      </c>
      <c r="L837" s="31" t="str">
        <f t="shared" si="81"/>
        <v>Lima Belas</v>
      </c>
    </row>
    <row r="838" spans="1:12">
      <c r="A838" s="33" t="s">
        <v>83</v>
      </c>
      <c r="B838" s="40" t="e">
        <f>ROUND(A820-SUM(C832:C837),2)*100</f>
        <v>#REF!</v>
      </c>
      <c r="D838" s="43" t="e">
        <f t="shared" si="80"/>
        <v>#REF!</v>
      </c>
      <c r="E838" s="31" t="e">
        <f>IF(B838&lt;1,"",IF(B838=1," Cent "," Cents "))</f>
        <v>#REF!</v>
      </c>
      <c r="J838" s="31">
        <v>16</v>
      </c>
      <c r="K838" s="33" t="s">
        <v>84</v>
      </c>
      <c r="L838" s="31" t="str">
        <f t="shared" si="81"/>
        <v>Enam Belas</v>
      </c>
    </row>
    <row r="839" spans="1:12">
      <c r="J839" s="31">
        <v>17</v>
      </c>
      <c r="K839" s="33" t="s">
        <v>85</v>
      </c>
      <c r="L839" s="31" t="str">
        <f t="shared" si="81"/>
        <v>Tujuh Belas</v>
      </c>
    </row>
    <row r="840" spans="1:12">
      <c r="A840" s="44"/>
      <c r="J840" s="31">
        <v>18</v>
      </c>
      <c r="K840" s="33" t="s">
        <v>86</v>
      </c>
      <c r="L840" s="31" t="str">
        <f t="shared" si="81"/>
        <v>Delapan Belas</v>
      </c>
    </row>
    <row r="841" spans="1:12">
      <c r="A841" s="38" t="s">
        <v>87</v>
      </c>
      <c r="J841" s="31">
        <v>19</v>
      </c>
      <c r="K841" s="33" t="s">
        <v>88</v>
      </c>
      <c r="L841" s="31" t="str">
        <f t="shared" si="81"/>
        <v>Sembilan Belas</v>
      </c>
    </row>
    <row r="842" spans="1:12">
      <c r="A842" s="31" t="s">
        <v>69</v>
      </c>
      <c r="B842" s="39" t="e">
        <f>TRUNC(A820/100000000)</f>
        <v>#REF!</v>
      </c>
      <c r="C842" s="31" t="e">
        <f>B842*100000000</f>
        <v>#REF!</v>
      </c>
      <c r="D842" s="31" t="e">
        <f>IF(B842&lt;1,"",IF(B842=1,"",VLOOKUP(B842,$J$3:$L$102,3)))</f>
        <v>#REF!</v>
      </c>
      <c r="E842" s="31" t="e">
        <f>IF(B842&lt;1,"",IF(B842=1,"Seratus "," Ratus "))</f>
        <v>#REF!</v>
      </c>
      <c r="J842" s="31">
        <v>20</v>
      </c>
      <c r="K842" s="33" t="s">
        <v>89</v>
      </c>
      <c r="L842" s="31" t="s">
        <v>90</v>
      </c>
    </row>
    <row r="843" spans="1:12">
      <c r="A843" s="31" t="s">
        <v>72</v>
      </c>
      <c r="B843" s="39" t="e">
        <f>TRUNC((A820-C842)/1000000)</f>
        <v>#REF!</v>
      </c>
      <c r="C843" s="31" t="e">
        <f>B843*1000000</f>
        <v>#REF!</v>
      </c>
      <c r="D843" s="31" t="e">
        <f>IF(B843&lt;1,"",VLOOKUP(B843,$J$3:$L$102,3))</f>
        <v>#REF!</v>
      </c>
      <c r="E843" s="31" t="e">
        <f>IF(B842+B843=0,""," Juta ")</f>
        <v>#REF!</v>
      </c>
      <c r="J843" s="31">
        <v>21</v>
      </c>
      <c r="K843" s="33" t="s">
        <v>91</v>
      </c>
      <c r="L843" s="31" t="str">
        <f t="shared" ref="L843:L851" si="82">$L$23&amp;" "&amp;L823</f>
        <v>Dua Puluh Satu</v>
      </c>
    </row>
    <row r="844" spans="1:12">
      <c r="A844" s="31" t="s">
        <v>75</v>
      </c>
      <c r="B844" s="39" t="e">
        <f>TRUNC((A820-SUM(C842:C843))/100000)</f>
        <v>#REF!</v>
      </c>
      <c r="C844" s="31" t="e">
        <f>B844*100000</f>
        <v>#REF!</v>
      </c>
      <c r="D844" s="31" t="e">
        <f>IF(B844&lt;1,"",IF(B844=1,"",VLOOKUP(B844,$J$3:$L$102,3)))</f>
        <v>#REF!</v>
      </c>
      <c r="E844" s="31" t="e">
        <f>IF(B844&lt;1,"",IF(B844=1," Seratus "," Ratus "))</f>
        <v>#REF!</v>
      </c>
      <c r="J844" s="31">
        <v>22</v>
      </c>
      <c r="K844" s="33" t="s">
        <v>92</v>
      </c>
      <c r="L844" s="31" t="str">
        <f t="shared" si="82"/>
        <v>Dua Puluh Dua</v>
      </c>
    </row>
    <row r="845" spans="1:12">
      <c r="A845" s="33" t="s">
        <v>77</v>
      </c>
      <c r="B845" s="40" t="e">
        <f>TRUNC((A820-SUM(C842:C844))/1000)</f>
        <v>#REF!</v>
      </c>
      <c r="C845" s="31" t="e">
        <f>B845*1000</f>
        <v>#REF!</v>
      </c>
      <c r="D845" s="31" t="e">
        <f>IF(B845&lt;1,"",IF(B845=1,"",VLOOKUP(B845,$J$3:$L$102,3)))</f>
        <v>#REF!</v>
      </c>
      <c r="E845" s="31" t="e">
        <f>IF(B844+B845&lt;1,"",IF(B845=1," Seribu "," Ribu "))</f>
        <v>#REF!</v>
      </c>
      <c r="J845" s="31">
        <v>23</v>
      </c>
      <c r="K845" s="33" t="s">
        <v>93</v>
      </c>
      <c r="L845" s="31" t="str">
        <f t="shared" si="82"/>
        <v>Dua Puluh Tiga</v>
      </c>
    </row>
    <row r="846" spans="1:12">
      <c r="A846" s="33" t="s">
        <v>79</v>
      </c>
      <c r="B846" s="40" t="e">
        <f>TRUNC((A820-SUM(C842:C845))/100)</f>
        <v>#REF!</v>
      </c>
      <c r="C846" s="31" t="e">
        <f>B846*100</f>
        <v>#REF!</v>
      </c>
      <c r="D846" s="31" t="e">
        <f>IF(B846&lt;1,"",IF(B846=1,"",VLOOKUP(B846,$J$3:$L$102,3)))</f>
        <v>#REF!</v>
      </c>
      <c r="E846" s="31" t="e">
        <f>IF(B846&lt;1,"",IF(B846=1," Seratus "," Ratus "))</f>
        <v>#REF!</v>
      </c>
      <c r="J846" s="31">
        <v>24</v>
      </c>
      <c r="K846" s="33" t="s">
        <v>94</v>
      </c>
      <c r="L846" s="31" t="str">
        <f t="shared" si="82"/>
        <v>Dua Puluh Empat</v>
      </c>
    </row>
    <row r="847" spans="1:12">
      <c r="A847" s="33" t="s">
        <v>81</v>
      </c>
      <c r="B847" s="41" t="e">
        <f>TRUNC((A820-SUM(C842:C846)))</f>
        <v>#REF!</v>
      </c>
      <c r="C847" s="42" t="e">
        <f>B847</f>
        <v>#REF!</v>
      </c>
      <c r="D847" s="31" t="e">
        <f>IF(B847&lt;1,"",VLOOKUP(B847,$J$3:$L$102,3))</f>
        <v>#REF!</v>
      </c>
      <c r="E847" s="31" t="e">
        <f>IF(SUM(C842:C847)&lt;1,"",IF(B848&lt;1,""," Dan "))</f>
        <v>#REF!</v>
      </c>
      <c r="J847" s="31">
        <v>25</v>
      </c>
      <c r="K847" s="33" t="s">
        <v>95</v>
      </c>
      <c r="L847" s="31" t="str">
        <f t="shared" si="82"/>
        <v>Dua Puluh Lima</v>
      </c>
    </row>
    <row r="848" spans="1:12">
      <c r="A848" s="33" t="s">
        <v>83</v>
      </c>
      <c r="B848" s="40" t="e">
        <f>ROUND(A820-SUM(C842:C847),2)*100</f>
        <v>#REF!</v>
      </c>
      <c r="D848" s="31" t="e">
        <f>IF(B848&lt;1,"",VLOOKUP(B848,$J$3:$L$102,3))</f>
        <v>#REF!</v>
      </c>
      <c r="E848" s="31" t="e">
        <f>IF(B848&lt;1,""," Sen ")</f>
        <v>#REF!</v>
      </c>
      <c r="J848" s="31">
        <v>26</v>
      </c>
      <c r="K848" s="33" t="s">
        <v>96</v>
      </c>
      <c r="L848" s="31" t="str">
        <f t="shared" si="82"/>
        <v>Dua Puluh Enam</v>
      </c>
    </row>
    <row r="849" spans="1:12">
      <c r="J849" s="31">
        <v>27</v>
      </c>
      <c r="K849" s="33" t="s">
        <v>97</v>
      </c>
      <c r="L849" s="31" t="str">
        <f t="shared" si="82"/>
        <v>Dua Puluh Tujuh</v>
      </c>
    </row>
    <row r="850" spans="1:12">
      <c r="J850" s="31">
        <v>28</v>
      </c>
      <c r="K850" s="33" t="s">
        <v>98</v>
      </c>
      <c r="L850" s="31" t="str">
        <f t="shared" si="82"/>
        <v>Dua Puluh Delapan</v>
      </c>
    </row>
    <row r="851" spans="1:12">
      <c r="J851" s="31">
        <v>29</v>
      </c>
      <c r="K851" s="33" t="s">
        <v>99</v>
      </c>
      <c r="L851" s="31" t="str">
        <f t="shared" si="82"/>
        <v>Dua Puluh Sembilan</v>
      </c>
    </row>
    <row r="852" spans="1:12">
      <c r="J852" s="31">
        <v>30</v>
      </c>
      <c r="K852" s="33" t="s">
        <v>100</v>
      </c>
      <c r="L852" s="31" t="s">
        <v>101</v>
      </c>
    </row>
    <row r="853" spans="1:12">
      <c r="J853" s="31">
        <v>31</v>
      </c>
      <c r="K853" s="33" t="s">
        <v>102</v>
      </c>
      <c r="L853" s="31" t="str">
        <f t="shared" ref="L853:L861" si="83">$L$33&amp;" "&amp;L823</f>
        <v>Tiga Puluh Satu</v>
      </c>
    </row>
    <row r="854" spans="1:12">
      <c r="J854" s="31">
        <v>32</v>
      </c>
      <c r="K854" s="33" t="s">
        <v>103</v>
      </c>
      <c r="L854" s="31" t="str">
        <f t="shared" si="83"/>
        <v>Tiga Puluh Dua</v>
      </c>
    </row>
    <row r="855" spans="1:12">
      <c r="J855" s="31">
        <v>33</v>
      </c>
      <c r="K855" s="33" t="s">
        <v>104</v>
      </c>
      <c r="L855" s="31" t="str">
        <f t="shared" si="83"/>
        <v>Tiga Puluh Tiga</v>
      </c>
    </row>
    <row r="856" spans="1:12">
      <c r="J856" s="31">
        <v>34</v>
      </c>
      <c r="K856" s="33" t="s">
        <v>105</v>
      </c>
      <c r="L856" s="31" t="str">
        <f t="shared" si="83"/>
        <v>Tiga Puluh Empat</v>
      </c>
    </row>
    <row r="857" spans="1:12">
      <c r="J857" s="31">
        <v>35</v>
      </c>
      <c r="K857" s="33" t="s">
        <v>106</v>
      </c>
      <c r="L857" s="31" t="str">
        <f t="shared" si="83"/>
        <v>Tiga Puluh Lima</v>
      </c>
    </row>
    <row r="858" spans="1:12">
      <c r="J858" s="31">
        <v>36</v>
      </c>
      <c r="K858" s="33" t="s">
        <v>107</v>
      </c>
      <c r="L858" s="31" t="str">
        <f t="shared" si="83"/>
        <v>Tiga Puluh Enam</v>
      </c>
    </row>
    <row r="859" spans="1:12">
      <c r="J859" s="31">
        <v>37</v>
      </c>
      <c r="K859" s="33" t="s">
        <v>108</v>
      </c>
      <c r="L859" s="31" t="str">
        <f t="shared" si="83"/>
        <v>Tiga Puluh Tujuh</v>
      </c>
    </row>
    <row r="860" spans="1:12">
      <c r="J860" s="31">
        <v>38</v>
      </c>
      <c r="K860" s="33" t="s">
        <v>109</v>
      </c>
      <c r="L860" s="31" t="str">
        <f t="shared" si="83"/>
        <v>Tiga Puluh Delapan</v>
      </c>
    </row>
    <row r="861" spans="1:12">
      <c r="J861" s="31">
        <v>39</v>
      </c>
      <c r="K861" s="33" t="s">
        <v>110</v>
      </c>
      <c r="L861" s="31" t="str">
        <f t="shared" si="83"/>
        <v>Tiga Puluh Sembilan</v>
      </c>
    </row>
    <row r="862" spans="1:12">
      <c r="B862" s="35"/>
      <c r="C862" s="35"/>
      <c r="D862" s="35"/>
      <c r="J862" s="31">
        <v>40</v>
      </c>
      <c r="K862" s="33" t="s">
        <v>111</v>
      </c>
      <c r="L862" s="31" t="s">
        <v>112</v>
      </c>
    </row>
    <row r="863" spans="1:12">
      <c r="A863" s="35"/>
      <c r="B863" s="35"/>
      <c r="C863" s="35"/>
      <c r="D863" s="35"/>
      <c r="J863" s="31">
        <v>41</v>
      </c>
      <c r="K863" s="33" t="s">
        <v>113</v>
      </c>
      <c r="L863" s="31" t="str">
        <f t="shared" ref="L863:L871" si="84">$L$43&amp;" "&amp;L823</f>
        <v>Empat Puluh Satu</v>
      </c>
    </row>
    <row r="864" spans="1:12">
      <c r="J864" s="31">
        <v>42</v>
      </c>
      <c r="K864" s="33" t="s">
        <v>114</v>
      </c>
      <c r="L864" s="31" t="str">
        <f t="shared" si="84"/>
        <v>Empat Puluh Dua</v>
      </c>
    </row>
    <row r="865" spans="1:12">
      <c r="A865" s="38"/>
      <c r="J865" s="31">
        <v>43</v>
      </c>
      <c r="K865" s="33" t="s">
        <v>115</v>
      </c>
      <c r="L865" s="31" t="str">
        <f t="shared" si="84"/>
        <v>Empat Puluh Tiga</v>
      </c>
    </row>
    <row r="866" spans="1:12">
      <c r="J866" s="31">
        <v>44</v>
      </c>
      <c r="K866" s="33" t="s">
        <v>116</v>
      </c>
      <c r="L866" s="31" t="str">
        <f t="shared" si="84"/>
        <v>Empat Puluh Empat</v>
      </c>
    </row>
    <row r="867" spans="1:12">
      <c r="J867" s="31">
        <v>45</v>
      </c>
      <c r="K867" s="33" t="s">
        <v>117</v>
      </c>
      <c r="L867" s="31" t="str">
        <f t="shared" si="84"/>
        <v>Empat Puluh Lima</v>
      </c>
    </row>
    <row r="868" spans="1:12">
      <c r="J868" s="31">
        <v>46</v>
      </c>
      <c r="K868" s="33" t="s">
        <v>118</v>
      </c>
      <c r="L868" s="31" t="str">
        <f t="shared" si="84"/>
        <v>Empat Puluh Enam</v>
      </c>
    </row>
    <row r="869" spans="1:12">
      <c r="J869" s="31">
        <v>47</v>
      </c>
      <c r="K869" s="33" t="s">
        <v>119</v>
      </c>
      <c r="L869" s="31" t="str">
        <f t="shared" si="84"/>
        <v>Empat Puluh Tujuh</v>
      </c>
    </row>
    <row r="870" spans="1:12">
      <c r="J870" s="31">
        <v>48</v>
      </c>
      <c r="K870" s="33" t="s">
        <v>120</v>
      </c>
      <c r="L870" s="31" t="str">
        <f t="shared" si="84"/>
        <v>Empat Puluh Delapan</v>
      </c>
    </row>
    <row r="871" spans="1:12">
      <c r="J871" s="31">
        <v>49</v>
      </c>
      <c r="K871" s="33" t="s">
        <v>121</v>
      </c>
      <c r="L871" s="31" t="str">
        <f t="shared" si="84"/>
        <v>Empat Puluh Sembilan</v>
      </c>
    </row>
    <row r="872" spans="1:12">
      <c r="J872" s="31">
        <v>50</v>
      </c>
      <c r="K872" s="33" t="s">
        <v>122</v>
      </c>
      <c r="L872" s="31" t="s">
        <v>123</v>
      </c>
    </row>
    <row r="873" spans="1:12">
      <c r="J873" s="31">
        <v>51</v>
      </c>
      <c r="K873" s="33" t="s">
        <v>124</v>
      </c>
      <c r="L873" s="31" t="str">
        <f t="shared" ref="L873:L881" si="85">$L$53&amp;" "&amp;L823</f>
        <v>Lima Puluh Satu</v>
      </c>
    </row>
    <row r="874" spans="1:12">
      <c r="J874" s="31">
        <v>52</v>
      </c>
      <c r="K874" s="33" t="s">
        <v>125</v>
      </c>
      <c r="L874" s="31" t="str">
        <f t="shared" si="85"/>
        <v>Lima Puluh Dua</v>
      </c>
    </row>
    <row r="875" spans="1:12">
      <c r="J875" s="31">
        <v>53</v>
      </c>
      <c r="K875" s="33" t="s">
        <v>126</v>
      </c>
      <c r="L875" s="31" t="str">
        <f t="shared" si="85"/>
        <v>Lima Puluh Tiga</v>
      </c>
    </row>
    <row r="876" spans="1:12">
      <c r="J876" s="31">
        <v>54</v>
      </c>
      <c r="K876" s="33" t="s">
        <v>127</v>
      </c>
      <c r="L876" s="31" t="str">
        <f t="shared" si="85"/>
        <v>Lima Puluh Empat</v>
      </c>
    </row>
    <row r="877" spans="1:12">
      <c r="J877" s="31">
        <v>55</v>
      </c>
      <c r="K877" s="33" t="s">
        <v>128</v>
      </c>
      <c r="L877" s="31" t="str">
        <f t="shared" si="85"/>
        <v>Lima Puluh Lima</v>
      </c>
    </row>
    <row r="878" spans="1:12">
      <c r="J878" s="31">
        <v>56</v>
      </c>
      <c r="K878" s="33" t="s">
        <v>129</v>
      </c>
      <c r="L878" s="31" t="str">
        <f t="shared" si="85"/>
        <v>Lima Puluh Enam</v>
      </c>
    </row>
    <row r="879" spans="1:12">
      <c r="J879" s="31">
        <v>57</v>
      </c>
      <c r="K879" s="33" t="s">
        <v>130</v>
      </c>
      <c r="L879" s="31" t="str">
        <f t="shared" si="85"/>
        <v>Lima Puluh Tujuh</v>
      </c>
    </row>
    <row r="880" spans="1:12">
      <c r="J880" s="31">
        <v>58</v>
      </c>
      <c r="K880" s="33" t="s">
        <v>131</v>
      </c>
      <c r="L880" s="31" t="str">
        <f t="shared" si="85"/>
        <v>Lima Puluh Delapan</v>
      </c>
    </row>
    <row r="881" spans="10:12">
      <c r="J881" s="31">
        <v>59</v>
      </c>
      <c r="K881" s="33" t="s">
        <v>132</v>
      </c>
      <c r="L881" s="31" t="str">
        <f t="shared" si="85"/>
        <v>Lima Puluh Sembilan</v>
      </c>
    </row>
    <row r="882" spans="10:12">
      <c r="J882" s="31">
        <v>60</v>
      </c>
      <c r="K882" s="33" t="s">
        <v>133</v>
      </c>
      <c r="L882" s="31" t="s">
        <v>134</v>
      </c>
    </row>
    <row r="883" spans="10:12">
      <c r="J883" s="31">
        <v>61</v>
      </c>
      <c r="K883" s="33" t="s">
        <v>135</v>
      </c>
      <c r="L883" s="31" t="str">
        <f t="shared" ref="L883:L891" si="86">$L$63&amp;" "&amp;L823</f>
        <v>Enam Puluh Satu</v>
      </c>
    </row>
    <row r="884" spans="10:12">
      <c r="J884" s="31">
        <v>62</v>
      </c>
      <c r="K884" s="33" t="s">
        <v>136</v>
      </c>
      <c r="L884" s="31" t="str">
        <f t="shared" si="86"/>
        <v>Enam Puluh Dua</v>
      </c>
    </row>
    <row r="885" spans="10:12">
      <c r="J885" s="31">
        <v>63</v>
      </c>
      <c r="K885" s="33" t="s">
        <v>137</v>
      </c>
      <c r="L885" s="31" t="str">
        <f t="shared" si="86"/>
        <v>Enam Puluh Tiga</v>
      </c>
    </row>
    <row r="886" spans="10:12">
      <c r="J886" s="31">
        <v>64</v>
      </c>
      <c r="K886" s="33" t="s">
        <v>138</v>
      </c>
      <c r="L886" s="31" t="str">
        <f t="shared" si="86"/>
        <v>Enam Puluh Empat</v>
      </c>
    </row>
    <row r="887" spans="10:12">
      <c r="J887" s="31">
        <v>65</v>
      </c>
      <c r="K887" s="33" t="s">
        <v>139</v>
      </c>
      <c r="L887" s="31" t="str">
        <f t="shared" si="86"/>
        <v>Enam Puluh Lima</v>
      </c>
    </row>
    <row r="888" spans="10:12">
      <c r="J888" s="31">
        <v>66</v>
      </c>
      <c r="K888" s="33" t="s">
        <v>140</v>
      </c>
      <c r="L888" s="31" t="str">
        <f t="shared" si="86"/>
        <v>Enam Puluh Enam</v>
      </c>
    </row>
    <row r="889" spans="10:12">
      <c r="J889" s="31">
        <v>67</v>
      </c>
      <c r="K889" s="33" t="s">
        <v>141</v>
      </c>
      <c r="L889" s="31" t="str">
        <f t="shared" si="86"/>
        <v>Enam Puluh Tujuh</v>
      </c>
    </row>
    <row r="890" spans="10:12">
      <c r="J890" s="31">
        <v>68</v>
      </c>
      <c r="K890" s="33" t="s">
        <v>142</v>
      </c>
      <c r="L890" s="31" t="str">
        <f t="shared" si="86"/>
        <v>Enam Puluh Delapan</v>
      </c>
    </row>
    <row r="891" spans="10:12">
      <c r="J891" s="31">
        <v>69</v>
      </c>
      <c r="K891" s="33" t="s">
        <v>143</v>
      </c>
      <c r="L891" s="31" t="str">
        <f t="shared" si="86"/>
        <v>Enam Puluh Sembilan</v>
      </c>
    </row>
    <row r="892" spans="10:12">
      <c r="J892" s="31">
        <v>70</v>
      </c>
      <c r="K892" s="33" t="s">
        <v>144</v>
      </c>
      <c r="L892" s="31" t="s">
        <v>145</v>
      </c>
    </row>
    <row r="893" spans="10:12">
      <c r="J893" s="31">
        <v>71</v>
      </c>
      <c r="K893" s="33" t="s">
        <v>146</v>
      </c>
      <c r="L893" s="31" t="str">
        <f t="shared" ref="L893:L901" si="87">$L$73&amp;" "&amp;L823</f>
        <v>Tujuh Puluh Satu</v>
      </c>
    </row>
    <row r="894" spans="10:12">
      <c r="J894" s="31">
        <v>72</v>
      </c>
      <c r="K894" s="33" t="s">
        <v>147</v>
      </c>
      <c r="L894" s="31" t="str">
        <f t="shared" si="87"/>
        <v>Tujuh Puluh Dua</v>
      </c>
    </row>
    <row r="895" spans="10:12">
      <c r="J895" s="31">
        <v>73</v>
      </c>
      <c r="K895" s="33" t="s">
        <v>148</v>
      </c>
      <c r="L895" s="31" t="str">
        <f t="shared" si="87"/>
        <v>Tujuh Puluh Tiga</v>
      </c>
    </row>
    <row r="896" spans="10:12">
      <c r="J896" s="31">
        <v>74</v>
      </c>
      <c r="K896" s="33" t="s">
        <v>149</v>
      </c>
      <c r="L896" s="31" t="str">
        <f t="shared" si="87"/>
        <v>Tujuh Puluh Empat</v>
      </c>
    </row>
    <row r="897" spans="10:12">
      <c r="J897" s="31">
        <v>75</v>
      </c>
      <c r="K897" s="33" t="s">
        <v>150</v>
      </c>
      <c r="L897" s="31" t="str">
        <f t="shared" si="87"/>
        <v>Tujuh Puluh Lima</v>
      </c>
    </row>
    <row r="898" spans="10:12">
      <c r="J898" s="31">
        <v>76</v>
      </c>
      <c r="K898" s="33" t="s">
        <v>151</v>
      </c>
      <c r="L898" s="31" t="str">
        <f t="shared" si="87"/>
        <v>Tujuh Puluh Enam</v>
      </c>
    </row>
    <row r="899" spans="10:12">
      <c r="J899" s="31">
        <v>77</v>
      </c>
      <c r="K899" s="33" t="s">
        <v>152</v>
      </c>
      <c r="L899" s="31" t="str">
        <f t="shared" si="87"/>
        <v>Tujuh Puluh Tujuh</v>
      </c>
    </row>
    <row r="900" spans="10:12">
      <c r="J900" s="31">
        <v>78</v>
      </c>
      <c r="K900" s="33" t="s">
        <v>153</v>
      </c>
      <c r="L900" s="31" t="str">
        <f t="shared" si="87"/>
        <v>Tujuh Puluh Delapan</v>
      </c>
    </row>
    <row r="901" spans="10:12">
      <c r="J901" s="31">
        <v>79</v>
      </c>
      <c r="K901" s="33" t="s">
        <v>154</v>
      </c>
      <c r="L901" s="31" t="str">
        <f t="shared" si="87"/>
        <v>Tujuh Puluh Sembilan</v>
      </c>
    </row>
    <row r="902" spans="10:12">
      <c r="J902" s="31">
        <v>80</v>
      </c>
      <c r="K902" s="33" t="s">
        <v>155</v>
      </c>
      <c r="L902" s="31" t="s">
        <v>156</v>
      </c>
    </row>
    <row r="903" spans="10:12">
      <c r="J903" s="31">
        <v>81</v>
      </c>
      <c r="K903" s="33" t="s">
        <v>157</v>
      </c>
      <c r="L903" s="31" t="str">
        <f t="shared" ref="L903:L911" si="88">$L$83&amp;" "&amp;L823</f>
        <v>Delapan Puluh Satu</v>
      </c>
    </row>
    <row r="904" spans="10:12">
      <c r="J904" s="31">
        <v>82</v>
      </c>
      <c r="K904" s="33" t="s">
        <v>158</v>
      </c>
      <c r="L904" s="31" t="str">
        <f t="shared" si="88"/>
        <v>Delapan Puluh Dua</v>
      </c>
    </row>
    <row r="905" spans="10:12">
      <c r="J905" s="31">
        <v>83</v>
      </c>
      <c r="K905" s="33" t="s">
        <v>159</v>
      </c>
      <c r="L905" s="31" t="str">
        <f t="shared" si="88"/>
        <v>Delapan Puluh Tiga</v>
      </c>
    </row>
    <row r="906" spans="10:12">
      <c r="J906" s="31">
        <v>84</v>
      </c>
      <c r="K906" s="33" t="s">
        <v>160</v>
      </c>
      <c r="L906" s="31" t="str">
        <f t="shared" si="88"/>
        <v>Delapan Puluh Empat</v>
      </c>
    </row>
    <row r="907" spans="10:12">
      <c r="J907" s="31">
        <v>85</v>
      </c>
      <c r="K907" s="33" t="s">
        <v>161</v>
      </c>
      <c r="L907" s="31" t="str">
        <f t="shared" si="88"/>
        <v>Delapan Puluh Lima</v>
      </c>
    </row>
    <row r="908" spans="10:12">
      <c r="J908" s="31">
        <v>86</v>
      </c>
      <c r="K908" s="33" t="s">
        <v>162</v>
      </c>
      <c r="L908" s="31" t="str">
        <f t="shared" si="88"/>
        <v>Delapan Puluh Enam</v>
      </c>
    </row>
    <row r="909" spans="10:12">
      <c r="J909" s="31">
        <v>87</v>
      </c>
      <c r="K909" s="33" t="s">
        <v>163</v>
      </c>
      <c r="L909" s="31" t="str">
        <f t="shared" si="88"/>
        <v>Delapan Puluh Tujuh</v>
      </c>
    </row>
    <row r="910" spans="10:12">
      <c r="J910" s="31">
        <v>88</v>
      </c>
      <c r="K910" s="33" t="s">
        <v>164</v>
      </c>
      <c r="L910" s="31" t="str">
        <f t="shared" si="88"/>
        <v>Delapan Puluh Delapan</v>
      </c>
    </row>
    <row r="911" spans="10:12">
      <c r="J911" s="31">
        <v>89</v>
      </c>
      <c r="K911" s="33" t="s">
        <v>165</v>
      </c>
      <c r="L911" s="31" t="str">
        <f t="shared" si="88"/>
        <v>Delapan Puluh Sembilan</v>
      </c>
    </row>
    <row r="912" spans="10:12">
      <c r="J912" s="31">
        <v>90</v>
      </c>
      <c r="K912" s="33" t="s">
        <v>166</v>
      </c>
      <c r="L912" s="31" t="s">
        <v>167</v>
      </c>
    </row>
    <row r="913" spans="1:12">
      <c r="J913" s="31">
        <v>91</v>
      </c>
      <c r="K913" s="33" t="s">
        <v>168</v>
      </c>
      <c r="L913" s="31" t="str">
        <f t="shared" ref="L913:L921" si="89">$L$93&amp;" "&amp;L823</f>
        <v>Sembilan Puluh Satu</v>
      </c>
    </row>
    <row r="914" spans="1:12">
      <c r="J914" s="31">
        <v>92</v>
      </c>
      <c r="K914" s="33" t="s">
        <v>169</v>
      </c>
      <c r="L914" s="31" t="str">
        <f t="shared" si="89"/>
        <v>Sembilan Puluh Dua</v>
      </c>
    </row>
    <row r="915" spans="1:12">
      <c r="J915" s="31">
        <v>93</v>
      </c>
      <c r="K915" s="33" t="s">
        <v>170</v>
      </c>
      <c r="L915" s="31" t="str">
        <f t="shared" si="89"/>
        <v>Sembilan Puluh Tiga</v>
      </c>
    </row>
    <row r="916" spans="1:12">
      <c r="J916" s="31">
        <v>94</v>
      </c>
      <c r="K916" s="33" t="s">
        <v>171</v>
      </c>
      <c r="L916" s="31" t="str">
        <f t="shared" si="89"/>
        <v>Sembilan Puluh Empat</v>
      </c>
    </row>
    <row r="917" spans="1:12">
      <c r="J917" s="31">
        <v>95</v>
      </c>
      <c r="K917" s="33" t="s">
        <v>172</v>
      </c>
      <c r="L917" s="31" t="str">
        <f t="shared" si="89"/>
        <v>Sembilan Puluh Lima</v>
      </c>
    </row>
    <row r="918" spans="1:12">
      <c r="J918" s="31">
        <v>96</v>
      </c>
      <c r="K918" s="33" t="s">
        <v>173</v>
      </c>
      <c r="L918" s="31" t="str">
        <f t="shared" si="89"/>
        <v>Sembilan Puluh Enam</v>
      </c>
    </row>
    <row r="919" spans="1:12">
      <c r="J919" s="31">
        <v>97</v>
      </c>
      <c r="K919" s="33" t="s">
        <v>174</v>
      </c>
      <c r="L919" s="31" t="str">
        <f t="shared" si="89"/>
        <v>Sembilan Puluh Tujuh</v>
      </c>
    </row>
    <row r="920" spans="1:12">
      <c r="J920" s="31">
        <v>98</v>
      </c>
      <c r="K920" s="33" t="s">
        <v>175</v>
      </c>
      <c r="L920" s="31" t="str">
        <f t="shared" si="89"/>
        <v>Sembilan Puluh Delapan</v>
      </c>
    </row>
    <row r="921" spans="1:12">
      <c r="J921" s="31">
        <v>99</v>
      </c>
      <c r="K921" s="33" t="s">
        <v>176</v>
      </c>
      <c r="L921" s="31" t="str">
        <f t="shared" si="89"/>
        <v>Sembilan Puluh Sembilan</v>
      </c>
    </row>
    <row r="922" spans="1:12">
      <c r="A922" s="30" t="e">
        <f>#REF!</f>
        <v>#REF!</v>
      </c>
      <c r="C922" s="31" t="s">
        <v>288</v>
      </c>
    </row>
    <row r="923" spans="1:12">
      <c r="A923" s="32"/>
    </row>
    <row r="924" spans="1:12">
      <c r="J924" s="31">
        <v>0</v>
      </c>
      <c r="K924" s="33" t="s">
        <v>48</v>
      </c>
      <c r="L924" s="31" t="s">
        <v>49</v>
      </c>
    </row>
    <row r="925" spans="1:12">
      <c r="A925" s="34"/>
      <c r="J925" s="31">
        <v>1</v>
      </c>
      <c r="K925" s="33" t="s">
        <v>50</v>
      </c>
      <c r="L925" s="31" t="s">
        <v>51</v>
      </c>
    </row>
    <row r="926" spans="1:12">
      <c r="A926" s="255" t="e">
        <f>TRIM(D934&amp;E934&amp;D935&amp;E935&amp;D936&amp;E936&amp;D937&amp;E937&amp;D938&amp;E938&amp;D939&amp;E939&amp;E940&amp;D940&amp;" Only")</f>
        <v>#REF!</v>
      </c>
      <c r="B926" s="255"/>
      <c r="C926" s="255"/>
      <c r="D926" s="255"/>
      <c r="E926" s="35"/>
      <c r="F926" s="36"/>
      <c r="J926" s="31">
        <v>2</v>
      </c>
      <c r="K926" s="33" t="s">
        <v>52</v>
      </c>
      <c r="L926" s="31" t="s">
        <v>53</v>
      </c>
    </row>
    <row r="927" spans="1:12">
      <c r="A927" s="37"/>
      <c r="B927" s="37"/>
      <c r="C927" s="37"/>
      <c r="D927" s="37"/>
      <c r="E927" s="35"/>
      <c r="F927" s="36"/>
      <c r="J927" s="31">
        <v>3</v>
      </c>
      <c r="K927" s="33" t="s">
        <v>54</v>
      </c>
      <c r="L927" s="31" t="s">
        <v>55</v>
      </c>
    </row>
    <row r="928" spans="1:12">
      <c r="A928" s="37"/>
      <c r="B928" s="37"/>
      <c r="C928" s="37"/>
      <c r="D928" s="37"/>
      <c r="J928" s="31">
        <v>4</v>
      </c>
      <c r="K928" s="33" t="s">
        <v>56</v>
      </c>
      <c r="L928" s="31" t="s">
        <v>57</v>
      </c>
    </row>
    <row r="929" spans="1:12">
      <c r="A929" s="255" t="e">
        <f>TRIM(D944&amp;E944&amp;D945&amp;E945&amp;D946&amp;E946&amp;D947&amp;E947&amp;D948&amp;E948&amp;D949&amp;E949&amp;D950&amp;E950&amp;" Rupiah")</f>
        <v>#REF!</v>
      </c>
      <c r="B929" s="255"/>
      <c r="C929" s="255"/>
      <c r="D929" s="255"/>
      <c r="E929" s="35"/>
      <c r="F929" s="36"/>
      <c r="J929" s="31">
        <v>5</v>
      </c>
      <c r="K929" s="33" t="s">
        <v>58</v>
      </c>
      <c r="L929" s="31" t="s">
        <v>59</v>
      </c>
    </row>
    <row r="930" spans="1:12">
      <c r="A930" s="35"/>
      <c r="B930" s="35"/>
      <c r="C930" s="35"/>
      <c r="D930" s="35"/>
      <c r="E930" s="35"/>
      <c r="F930" s="36"/>
      <c r="J930" s="31">
        <v>6</v>
      </c>
      <c r="K930" s="33" t="s">
        <v>60</v>
      </c>
      <c r="L930" s="31" t="s">
        <v>61</v>
      </c>
    </row>
    <row r="931" spans="1:12">
      <c r="J931" s="31">
        <v>7</v>
      </c>
      <c r="K931" s="33" t="s">
        <v>62</v>
      </c>
      <c r="L931" s="31" t="s">
        <v>63</v>
      </c>
    </row>
    <row r="932" spans="1:12">
      <c r="J932" s="31">
        <v>8</v>
      </c>
      <c r="K932" s="33" t="s">
        <v>64</v>
      </c>
      <c r="L932" s="31" t="s">
        <v>65</v>
      </c>
    </row>
    <row r="933" spans="1:12">
      <c r="A933" s="38" t="s">
        <v>66</v>
      </c>
      <c r="J933" s="31">
        <v>9</v>
      </c>
      <c r="K933" s="33" t="s">
        <v>67</v>
      </c>
      <c r="L933" s="31" t="s">
        <v>68</v>
      </c>
    </row>
    <row r="934" spans="1:12">
      <c r="A934" s="31" t="s">
        <v>69</v>
      </c>
      <c r="B934" s="39" t="e">
        <f>TRUNC(A922/100000000)</f>
        <v>#REF!</v>
      </c>
      <c r="C934" s="31" t="e">
        <f>B934*100000000</f>
        <v>#REF!</v>
      </c>
      <c r="D934" s="31" t="e">
        <f t="shared" ref="D934:D940" si="90">IF(B934&lt;1,"",VLOOKUP(B934,$J$3:$K$102,2))</f>
        <v>#REF!</v>
      </c>
      <c r="E934" s="31" t="e">
        <f>IF(B934&lt;1,"",IF(B934&gt;1," Hundreds "," Hundred "))</f>
        <v>#REF!</v>
      </c>
      <c r="J934" s="31">
        <v>10</v>
      </c>
      <c r="K934" s="33" t="s">
        <v>70</v>
      </c>
      <c r="L934" s="31" t="s">
        <v>71</v>
      </c>
    </row>
    <row r="935" spans="1:12">
      <c r="A935" s="31" t="s">
        <v>72</v>
      </c>
      <c r="B935" s="39" t="e">
        <f>TRUNC((A922-C934)/1000000)</f>
        <v>#REF!</v>
      </c>
      <c r="C935" s="31" t="e">
        <f>B935*1000000</f>
        <v>#REF!</v>
      </c>
      <c r="D935" s="31" t="e">
        <f t="shared" si="90"/>
        <v>#REF!</v>
      </c>
      <c r="E935" s="31" t="e">
        <f>IF(B934+B935=0,"",IF(B935=1," Million "," Millions "))</f>
        <v>#REF!</v>
      </c>
      <c r="J935" s="31">
        <v>11</v>
      </c>
      <c r="K935" s="33" t="s">
        <v>73</v>
      </c>
      <c r="L935" s="31" t="s">
        <v>74</v>
      </c>
    </row>
    <row r="936" spans="1:12">
      <c r="A936" s="31" t="s">
        <v>75</v>
      </c>
      <c r="B936" s="39" t="e">
        <f>TRUNC((A922-SUM(C934:C935))/100000)</f>
        <v>#REF!</v>
      </c>
      <c r="C936" s="31" t="e">
        <f>B936*100000</f>
        <v>#REF!</v>
      </c>
      <c r="D936" s="31" t="e">
        <f t="shared" si="90"/>
        <v>#REF!</v>
      </c>
      <c r="E936" s="31" t="e">
        <f>IF(B936&lt;1,"",IF(B936&gt;1," Hundreds "," Hundred "))</f>
        <v>#REF!</v>
      </c>
      <c r="J936" s="31">
        <v>12</v>
      </c>
      <c r="K936" s="33" t="s">
        <v>76</v>
      </c>
      <c r="L936" s="31" t="str">
        <f t="shared" ref="L936:L943" si="91">L926&amp;" Belas"</f>
        <v>Dua Belas</v>
      </c>
    </row>
    <row r="937" spans="1:12">
      <c r="A937" s="33" t="s">
        <v>77</v>
      </c>
      <c r="B937" s="40" t="e">
        <f>TRUNC((A922-SUM(C934:C936))/1000)</f>
        <v>#REF!</v>
      </c>
      <c r="C937" s="31" t="e">
        <f>B937*1000</f>
        <v>#REF!</v>
      </c>
      <c r="D937" s="31" t="e">
        <f t="shared" si="90"/>
        <v>#REF!</v>
      </c>
      <c r="E937" s="31" t="e">
        <f>IF(B936+B937=0,"",IF(B937=1," Thousand "," Thousands "))</f>
        <v>#REF!</v>
      </c>
      <c r="J937" s="31">
        <v>13</v>
      </c>
      <c r="K937" s="33" t="s">
        <v>78</v>
      </c>
      <c r="L937" s="31" t="str">
        <f t="shared" si="91"/>
        <v>Tiga Belas</v>
      </c>
    </row>
    <row r="938" spans="1:12">
      <c r="A938" s="33" t="s">
        <v>79</v>
      </c>
      <c r="B938" s="40" t="e">
        <f>TRUNC((A922-SUM(C934:C937))/100)</f>
        <v>#REF!</v>
      </c>
      <c r="C938" s="31" t="e">
        <f>B938*100</f>
        <v>#REF!</v>
      </c>
      <c r="D938" s="31" t="e">
        <f t="shared" si="90"/>
        <v>#REF!</v>
      </c>
      <c r="E938" s="31" t="e">
        <f>IF(B938&lt;1,"",IF(B938&gt;1," Hundreds "," Hundred "))</f>
        <v>#REF!</v>
      </c>
      <c r="J938" s="31">
        <v>14</v>
      </c>
      <c r="K938" s="33" t="s">
        <v>80</v>
      </c>
      <c r="L938" s="31" t="str">
        <f t="shared" si="91"/>
        <v>Empat Belas</v>
      </c>
    </row>
    <row r="939" spans="1:12">
      <c r="A939" s="33" t="s">
        <v>81</v>
      </c>
      <c r="B939" s="41" t="e">
        <f>TRUNC((A922-SUM(C934:C938)))</f>
        <v>#REF!</v>
      </c>
      <c r="C939" s="42" t="e">
        <f>B939</f>
        <v>#REF!</v>
      </c>
      <c r="D939" s="31" t="e">
        <f t="shared" si="90"/>
        <v>#REF!</v>
      </c>
      <c r="E939" s="31" t="e">
        <f>IF(SUM(C934:C939)&lt;1,"",IF(B940&lt;1,""," And "))</f>
        <v>#REF!</v>
      </c>
      <c r="J939" s="31">
        <v>15</v>
      </c>
      <c r="K939" s="33" t="s">
        <v>82</v>
      </c>
      <c r="L939" s="31" t="str">
        <f t="shared" si="91"/>
        <v>Lima Belas</v>
      </c>
    </row>
    <row r="940" spans="1:12">
      <c r="A940" s="33" t="s">
        <v>83</v>
      </c>
      <c r="B940" s="40" t="e">
        <f>ROUND(A922-SUM(C934:C939),2)*100</f>
        <v>#REF!</v>
      </c>
      <c r="D940" s="43" t="e">
        <f t="shared" si="90"/>
        <v>#REF!</v>
      </c>
      <c r="E940" s="31" t="e">
        <f>IF(B940&lt;1,"",IF(B940=1," Cent "," Cents "))</f>
        <v>#REF!</v>
      </c>
      <c r="J940" s="31">
        <v>16</v>
      </c>
      <c r="K940" s="33" t="s">
        <v>84</v>
      </c>
      <c r="L940" s="31" t="str">
        <f t="shared" si="91"/>
        <v>Enam Belas</v>
      </c>
    </row>
    <row r="941" spans="1:12">
      <c r="J941" s="31">
        <v>17</v>
      </c>
      <c r="K941" s="33" t="s">
        <v>85</v>
      </c>
      <c r="L941" s="31" t="str">
        <f t="shared" si="91"/>
        <v>Tujuh Belas</v>
      </c>
    </row>
    <row r="942" spans="1:12">
      <c r="A942" s="44"/>
      <c r="J942" s="31">
        <v>18</v>
      </c>
      <c r="K942" s="33" t="s">
        <v>86</v>
      </c>
      <c r="L942" s="31" t="str">
        <f t="shared" si="91"/>
        <v>Delapan Belas</v>
      </c>
    </row>
    <row r="943" spans="1:12">
      <c r="A943" s="38" t="s">
        <v>87</v>
      </c>
      <c r="J943" s="31">
        <v>19</v>
      </c>
      <c r="K943" s="33" t="s">
        <v>88</v>
      </c>
      <c r="L943" s="31" t="str">
        <f t="shared" si="91"/>
        <v>Sembilan Belas</v>
      </c>
    </row>
    <row r="944" spans="1:12">
      <c r="A944" s="31" t="s">
        <v>69</v>
      </c>
      <c r="B944" s="39" t="e">
        <f>TRUNC(A922/100000000)</f>
        <v>#REF!</v>
      </c>
      <c r="C944" s="31" t="e">
        <f>B944*100000000</f>
        <v>#REF!</v>
      </c>
      <c r="D944" s="31" t="e">
        <f>IF(B944&lt;1,"",IF(B944=1,"",VLOOKUP(B944,$J$3:$L$102,3)))</f>
        <v>#REF!</v>
      </c>
      <c r="E944" s="31" t="e">
        <f>IF(B944&lt;1,"",IF(B944=1,"Seratus "," Ratus "))</f>
        <v>#REF!</v>
      </c>
      <c r="J944" s="31">
        <v>20</v>
      </c>
      <c r="K944" s="33" t="s">
        <v>89</v>
      </c>
      <c r="L944" s="31" t="s">
        <v>90</v>
      </c>
    </row>
    <row r="945" spans="1:12">
      <c r="A945" s="31" t="s">
        <v>72</v>
      </c>
      <c r="B945" s="39" t="e">
        <f>TRUNC((A922-C944)/1000000)</f>
        <v>#REF!</v>
      </c>
      <c r="C945" s="31" t="e">
        <f>B945*1000000</f>
        <v>#REF!</v>
      </c>
      <c r="D945" s="31" t="e">
        <f>IF(B945&lt;1,"",VLOOKUP(B945,$J$3:$L$102,3))</f>
        <v>#REF!</v>
      </c>
      <c r="E945" s="31" t="e">
        <f>IF(B944+B945=0,""," Juta ")</f>
        <v>#REF!</v>
      </c>
      <c r="J945" s="31">
        <v>21</v>
      </c>
      <c r="K945" s="33" t="s">
        <v>91</v>
      </c>
      <c r="L945" s="31" t="str">
        <f t="shared" ref="L945:L953" si="92">$L$23&amp;" "&amp;L925</f>
        <v>Dua Puluh Satu</v>
      </c>
    </row>
    <row r="946" spans="1:12">
      <c r="A946" s="31" t="s">
        <v>75</v>
      </c>
      <c r="B946" s="39" t="e">
        <f>TRUNC((A922-SUM(C944:C945))/100000)</f>
        <v>#REF!</v>
      </c>
      <c r="C946" s="31" t="e">
        <f>B946*100000</f>
        <v>#REF!</v>
      </c>
      <c r="D946" s="31" t="e">
        <f>IF(B946&lt;1,"",IF(B946=1,"",VLOOKUP(B946,$J$3:$L$102,3)))</f>
        <v>#REF!</v>
      </c>
      <c r="E946" s="31" t="e">
        <f>IF(B946&lt;1,"",IF(B946=1," Seratus "," Ratus "))</f>
        <v>#REF!</v>
      </c>
      <c r="J946" s="31">
        <v>22</v>
      </c>
      <c r="K946" s="33" t="s">
        <v>92</v>
      </c>
      <c r="L946" s="31" t="str">
        <f t="shared" si="92"/>
        <v>Dua Puluh Dua</v>
      </c>
    </row>
    <row r="947" spans="1:12">
      <c r="A947" s="33" t="s">
        <v>77</v>
      </c>
      <c r="B947" s="40" t="e">
        <f>TRUNC((A922-SUM(C944:C946))/1000)</f>
        <v>#REF!</v>
      </c>
      <c r="C947" s="31" t="e">
        <f>B947*1000</f>
        <v>#REF!</v>
      </c>
      <c r="D947" s="31" t="e">
        <f>IF(B947&lt;1,"",IF(B947=1,"",VLOOKUP(B947,$J$3:$L$102,3)))</f>
        <v>#REF!</v>
      </c>
      <c r="E947" s="31" t="e">
        <f>IF(B946+B947&lt;1,"",IF(B947=1," Seribu "," Ribu "))</f>
        <v>#REF!</v>
      </c>
      <c r="J947" s="31">
        <v>23</v>
      </c>
      <c r="K947" s="33" t="s">
        <v>93</v>
      </c>
      <c r="L947" s="31" t="str">
        <f t="shared" si="92"/>
        <v>Dua Puluh Tiga</v>
      </c>
    </row>
    <row r="948" spans="1:12">
      <c r="A948" s="33" t="s">
        <v>79</v>
      </c>
      <c r="B948" s="40" t="e">
        <f>TRUNC((A922-SUM(C944:C947))/100)</f>
        <v>#REF!</v>
      </c>
      <c r="C948" s="31" t="e">
        <f>B948*100</f>
        <v>#REF!</v>
      </c>
      <c r="D948" s="31" t="e">
        <f>IF(B948&lt;1,"",IF(B948=1,"",VLOOKUP(B948,$J$3:$L$102,3)))</f>
        <v>#REF!</v>
      </c>
      <c r="E948" s="31" t="e">
        <f>IF(B948&lt;1,"",IF(B948=1," Seratus "," Ratus "))</f>
        <v>#REF!</v>
      </c>
      <c r="J948" s="31">
        <v>24</v>
      </c>
      <c r="K948" s="33" t="s">
        <v>94</v>
      </c>
      <c r="L948" s="31" t="str">
        <f t="shared" si="92"/>
        <v>Dua Puluh Empat</v>
      </c>
    </row>
    <row r="949" spans="1:12">
      <c r="A949" s="33" t="s">
        <v>81</v>
      </c>
      <c r="B949" s="41" t="e">
        <f>TRUNC((A922-SUM(C944:C948)))</f>
        <v>#REF!</v>
      </c>
      <c r="C949" s="42" t="e">
        <f>B949</f>
        <v>#REF!</v>
      </c>
      <c r="D949" s="31" t="e">
        <f>IF(B949&lt;1,"",VLOOKUP(B949,$J$3:$L$102,3))</f>
        <v>#REF!</v>
      </c>
      <c r="E949" s="31" t="e">
        <f>IF(SUM(C944:C949)&lt;1,"",IF(B950&lt;1,""," Dan "))</f>
        <v>#REF!</v>
      </c>
      <c r="J949" s="31">
        <v>25</v>
      </c>
      <c r="K949" s="33" t="s">
        <v>95</v>
      </c>
      <c r="L949" s="31" t="str">
        <f t="shared" si="92"/>
        <v>Dua Puluh Lima</v>
      </c>
    </row>
    <row r="950" spans="1:12">
      <c r="A950" s="33" t="s">
        <v>83</v>
      </c>
      <c r="B950" s="40" t="e">
        <f>ROUND(A922-SUM(C944:C949),2)*100</f>
        <v>#REF!</v>
      </c>
      <c r="D950" s="31" t="e">
        <f>IF(B950&lt;1,"",VLOOKUP(B950,$J$3:$L$102,3))</f>
        <v>#REF!</v>
      </c>
      <c r="E950" s="31" t="e">
        <f>IF(B950&lt;1,""," Sen ")</f>
        <v>#REF!</v>
      </c>
      <c r="J950" s="31">
        <v>26</v>
      </c>
      <c r="K950" s="33" t="s">
        <v>96</v>
      </c>
      <c r="L950" s="31" t="str">
        <f t="shared" si="92"/>
        <v>Dua Puluh Enam</v>
      </c>
    </row>
    <row r="951" spans="1:12">
      <c r="J951" s="31">
        <v>27</v>
      </c>
      <c r="K951" s="33" t="s">
        <v>97</v>
      </c>
      <c r="L951" s="31" t="str">
        <f t="shared" si="92"/>
        <v>Dua Puluh Tujuh</v>
      </c>
    </row>
    <row r="952" spans="1:12">
      <c r="J952" s="31">
        <v>28</v>
      </c>
      <c r="K952" s="33" t="s">
        <v>98</v>
      </c>
      <c r="L952" s="31" t="str">
        <f t="shared" si="92"/>
        <v>Dua Puluh Delapan</v>
      </c>
    </row>
    <row r="953" spans="1:12">
      <c r="J953" s="31">
        <v>29</v>
      </c>
      <c r="K953" s="33" t="s">
        <v>99</v>
      </c>
      <c r="L953" s="31" t="str">
        <f t="shared" si="92"/>
        <v>Dua Puluh Sembilan</v>
      </c>
    </row>
    <row r="954" spans="1:12">
      <c r="J954" s="31">
        <v>30</v>
      </c>
      <c r="K954" s="33" t="s">
        <v>100</v>
      </c>
      <c r="L954" s="31" t="s">
        <v>101</v>
      </c>
    </row>
    <row r="955" spans="1:12">
      <c r="J955" s="31">
        <v>31</v>
      </c>
      <c r="K955" s="33" t="s">
        <v>102</v>
      </c>
      <c r="L955" s="31" t="str">
        <f t="shared" ref="L955:L963" si="93">$L$33&amp;" "&amp;L925</f>
        <v>Tiga Puluh Satu</v>
      </c>
    </row>
    <row r="956" spans="1:12">
      <c r="J956" s="31">
        <v>32</v>
      </c>
      <c r="K956" s="33" t="s">
        <v>103</v>
      </c>
      <c r="L956" s="31" t="str">
        <f t="shared" si="93"/>
        <v>Tiga Puluh Dua</v>
      </c>
    </row>
    <row r="957" spans="1:12">
      <c r="J957" s="31">
        <v>33</v>
      </c>
      <c r="K957" s="33" t="s">
        <v>104</v>
      </c>
      <c r="L957" s="31" t="str">
        <f t="shared" si="93"/>
        <v>Tiga Puluh Tiga</v>
      </c>
    </row>
    <row r="958" spans="1:12">
      <c r="J958" s="31">
        <v>34</v>
      </c>
      <c r="K958" s="33" t="s">
        <v>105</v>
      </c>
      <c r="L958" s="31" t="str">
        <f t="shared" si="93"/>
        <v>Tiga Puluh Empat</v>
      </c>
    </row>
    <row r="959" spans="1:12">
      <c r="J959" s="31">
        <v>35</v>
      </c>
      <c r="K959" s="33" t="s">
        <v>106</v>
      </c>
      <c r="L959" s="31" t="str">
        <f t="shared" si="93"/>
        <v>Tiga Puluh Lima</v>
      </c>
    </row>
    <row r="960" spans="1:12">
      <c r="J960" s="31">
        <v>36</v>
      </c>
      <c r="K960" s="33" t="s">
        <v>107</v>
      </c>
      <c r="L960" s="31" t="str">
        <f t="shared" si="93"/>
        <v>Tiga Puluh Enam</v>
      </c>
    </row>
    <row r="961" spans="1:12">
      <c r="J961" s="31">
        <v>37</v>
      </c>
      <c r="K961" s="33" t="s">
        <v>108</v>
      </c>
      <c r="L961" s="31" t="str">
        <f t="shared" si="93"/>
        <v>Tiga Puluh Tujuh</v>
      </c>
    </row>
    <row r="962" spans="1:12">
      <c r="J962" s="31">
        <v>38</v>
      </c>
      <c r="K962" s="33" t="s">
        <v>109</v>
      </c>
      <c r="L962" s="31" t="str">
        <f t="shared" si="93"/>
        <v>Tiga Puluh Delapan</v>
      </c>
    </row>
    <row r="963" spans="1:12">
      <c r="J963" s="31">
        <v>39</v>
      </c>
      <c r="K963" s="33" t="s">
        <v>110</v>
      </c>
      <c r="L963" s="31" t="str">
        <f t="shared" si="93"/>
        <v>Tiga Puluh Sembilan</v>
      </c>
    </row>
    <row r="964" spans="1:12">
      <c r="B964" s="35"/>
      <c r="C964" s="35"/>
      <c r="D964" s="35"/>
      <c r="J964" s="31">
        <v>40</v>
      </c>
      <c r="K964" s="33" t="s">
        <v>111</v>
      </c>
      <c r="L964" s="31" t="s">
        <v>112</v>
      </c>
    </row>
    <row r="965" spans="1:12">
      <c r="A965" s="35"/>
      <c r="B965" s="35"/>
      <c r="C965" s="35"/>
      <c r="D965" s="35"/>
      <c r="J965" s="31">
        <v>41</v>
      </c>
      <c r="K965" s="33" t="s">
        <v>113</v>
      </c>
      <c r="L965" s="31" t="str">
        <f t="shared" ref="L965:L973" si="94">$L$43&amp;" "&amp;L925</f>
        <v>Empat Puluh Satu</v>
      </c>
    </row>
    <row r="966" spans="1:12">
      <c r="J966" s="31">
        <v>42</v>
      </c>
      <c r="K966" s="33" t="s">
        <v>114</v>
      </c>
      <c r="L966" s="31" t="str">
        <f t="shared" si="94"/>
        <v>Empat Puluh Dua</v>
      </c>
    </row>
    <row r="967" spans="1:12">
      <c r="A967" s="38"/>
      <c r="J967" s="31">
        <v>43</v>
      </c>
      <c r="K967" s="33" t="s">
        <v>115</v>
      </c>
      <c r="L967" s="31" t="str">
        <f t="shared" si="94"/>
        <v>Empat Puluh Tiga</v>
      </c>
    </row>
    <row r="968" spans="1:12">
      <c r="J968" s="31">
        <v>44</v>
      </c>
      <c r="K968" s="33" t="s">
        <v>116</v>
      </c>
      <c r="L968" s="31" t="str">
        <f t="shared" si="94"/>
        <v>Empat Puluh Empat</v>
      </c>
    </row>
    <row r="969" spans="1:12">
      <c r="J969" s="31">
        <v>45</v>
      </c>
      <c r="K969" s="33" t="s">
        <v>117</v>
      </c>
      <c r="L969" s="31" t="str">
        <f t="shared" si="94"/>
        <v>Empat Puluh Lima</v>
      </c>
    </row>
    <row r="970" spans="1:12">
      <c r="J970" s="31">
        <v>46</v>
      </c>
      <c r="K970" s="33" t="s">
        <v>118</v>
      </c>
      <c r="L970" s="31" t="str">
        <f t="shared" si="94"/>
        <v>Empat Puluh Enam</v>
      </c>
    </row>
    <row r="971" spans="1:12">
      <c r="J971" s="31">
        <v>47</v>
      </c>
      <c r="K971" s="33" t="s">
        <v>119</v>
      </c>
      <c r="L971" s="31" t="str">
        <f t="shared" si="94"/>
        <v>Empat Puluh Tujuh</v>
      </c>
    </row>
    <row r="972" spans="1:12">
      <c r="J972" s="31">
        <v>48</v>
      </c>
      <c r="K972" s="33" t="s">
        <v>120</v>
      </c>
      <c r="L972" s="31" t="str">
        <f t="shared" si="94"/>
        <v>Empat Puluh Delapan</v>
      </c>
    </row>
    <row r="973" spans="1:12">
      <c r="J973" s="31">
        <v>49</v>
      </c>
      <c r="K973" s="33" t="s">
        <v>121</v>
      </c>
      <c r="L973" s="31" t="str">
        <f t="shared" si="94"/>
        <v>Empat Puluh Sembilan</v>
      </c>
    </row>
    <row r="974" spans="1:12">
      <c r="J974" s="31">
        <v>50</v>
      </c>
      <c r="K974" s="33" t="s">
        <v>122</v>
      </c>
      <c r="L974" s="31" t="s">
        <v>123</v>
      </c>
    </row>
    <row r="975" spans="1:12">
      <c r="J975" s="31">
        <v>51</v>
      </c>
      <c r="K975" s="33" t="s">
        <v>124</v>
      </c>
      <c r="L975" s="31" t="str">
        <f t="shared" ref="L975:L983" si="95">$L$53&amp;" "&amp;L925</f>
        <v>Lima Puluh Satu</v>
      </c>
    </row>
    <row r="976" spans="1:12">
      <c r="J976" s="31">
        <v>52</v>
      </c>
      <c r="K976" s="33" t="s">
        <v>125</v>
      </c>
      <c r="L976" s="31" t="str">
        <f t="shared" si="95"/>
        <v>Lima Puluh Dua</v>
      </c>
    </row>
    <row r="977" spans="10:12">
      <c r="J977" s="31">
        <v>53</v>
      </c>
      <c r="K977" s="33" t="s">
        <v>126</v>
      </c>
      <c r="L977" s="31" t="str">
        <f t="shared" si="95"/>
        <v>Lima Puluh Tiga</v>
      </c>
    </row>
    <row r="978" spans="10:12">
      <c r="J978" s="31">
        <v>54</v>
      </c>
      <c r="K978" s="33" t="s">
        <v>127</v>
      </c>
      <c r="L978" s="31" t="str">
        <f t="shared" si="95"/>
        <v>Lima Puluh Empat</v>
      </c>
    </row>
    <row r="979" spans="10:12">
      <c r="J979" s="31">
        <v>55</v>
      </c>
      <c r="K979" s="33" t="s">
        <v>128</v>
      </c>
      <c r="L979" s="31" t="str">
        <f t="shared" si="95"/>
        <v>Lima Puluh Lima</v>
      </c>
    </row>
    <row r="980" spans="10:12">
      <c r="J980" s="31">
        <v>56</v>
      </c>
      <c r="K980" s="33" t="s">
        <v>129</v>
      </c>
      <c r="L980" s="31" t="str">
        <f t="shared" si="95"/>
        <v>Lima Puluh Enam</v>
      </c>
    </row>
    <row r="981" spans="10:12">
      <c r="J981" s="31">
        <v>57</v>
      </c>
      <c r="K981" s="33" t="s">
        <v>130</v>
      </c>
      <c r="L981" s="31" t="str">
        <f t="shared" si="95"/>
        <v>Lima Puluh Tujuh</v>
      </c>
    </row>
    <row r="982" spans="10:12">
      <c r="J982" s="31">
        <v>58</v>
      </c>
      <c r="K982" s="33" t="s">
        <v>131</v>
      </c>
      <c r="L982" s="31" t="str">
        <f t="shared" si="95"/>
        <v>Lima Puluh Delapan</v>
      </c>
    </row>
    <row r="983" spans="10:12">
      <c r="J983" s="31">
        <v>59</v>
      </c>
      <c r="K983" s="33" t="s">
        <v>132</v>
      </c>
      <c r="L983" s="31" t="str">
        <f t="shared" si="95"/>
        <v>Lima Puluh Sembilan</v>
      </c>
    </row>
    <row r="984" spans="10:12">
      <c r="J984" s="31">
        <v>60</v>
      </c>
      <c r="K984" s="33" t="s">
        <v>133</v>
      </c>
      <c r="L984" s="31" t="s">
        <v>134</v>
      </c>
    </row>
    <row r="985" spans="10:12">
      <c r="J985" s="31">
        <v>61</v>
      </c>
      <c r="K985" s="33" t="s">
        <v>135</v>
      </c>
      <c r="L985" s="31" t="str">
        <f t="shared" ref="L985:L993" si="96">$L$63&amp;" "&amp;L925</f>
        <v>Enam Puluh Satu</v>
      </c>
    </row>
    <row r="986" spans="10:12">
      <c r="J986" s="31">
        <v>62</v>
      </c>
      <c r="K986" s="33" t="s">
        <v>136</v>
      </c>
      <c r="L986" s="31" t="str">
        <f t="shared" si="96"/>
        <v>Enam Puluh Dua</v>
      </c>
    </row>
    <row r="987" spans="10:12">
      <c r="J987" s="31">
        <v>63</v>
      </c>
      <c r="K987" s="33" t="s">
        <v>137</v>
      </c>
      <c r="L987" s="31" t="str">
        <f t="shared" si="96"/>
        <v>Enam Puluh Tiga</v>
      </c>
    </row>
    <row r="988" spans="10:12">
      <c r="J988" s="31">
        <v>64</v>
      </c>
      <c r="K988" s="33" t="s">
        <v>138</v>
      </c>
      <c r="L988" s="31" t="str">
        <f t="shared" si="96"/>
        <v>Enam Puluh Empat</v>
      </c>
    </row>
    <row r="989" spans="10:12">
      <c r="J989" s="31">
        <v>65</v>
      </c>
      <c r="K989" s="33" t="s">
        <v>139</v>
      </c>
      <c r="L989" s="31" t="str">
        <f t="shared" si="96"/>
        <v>Enam Puluh Lima</v>
      </c>
    </row>
    <row r="990" spans="10:12">
      <c r="J990" s="31">
        <v>66</v>
      </c>
      <c r="K990" s="33" t="s">
        <v>140</v>
      </c>
      <c r="L990" s="31" t="str">
        <f t="shared" si="96"/>
        <v>Enam Puluh Enam</v>
      </c>
    </row>
    <row r="991" spans="10:12">
      <c r="J991" s="31">
        <v>67</v>
      </c>
      <c r="K991" s="33" t="s">
        <v>141</v>
      </c>
      <c r="L991" s="31" t="str">
        <f t="shared" si="96"/>
        <v>Enam Puluh Tujuh</v>
      </c>
    </row>
    <row r="992" spans="10:12">
      <c r="J992" s="31">
        <v>68</v>
      </c>
      <c r="K992" s="33" t="s">
        <v>142</v>
      </c>
      <c r="L992" s="31" t="str">
        <f t="shared" si="96"/>
        <v>Enam Puluh Delapan</v>
      </c>
    </row>
    <row r="993" spans="10:12">
      <c r="J993" s="31">
        <v>69</v>
      </c>
      <c r="K993" s="33" t="s">
        <v>143</v>
      </c>
      <c r="L993" s="31" t="str">
        <f t="shared" si="96"/>
        <v>Enam Puluh Sembilan</v>
      </c>
    </row>
    <row r="994" spans="10:12">
      <c r="J994" s="31">
        <v>70</v>
      </c>
      <c r="K994" s="33" t="s">
        <v>144</v>
      </c>
      <c r="L994" s="31" t="s">
        <v>145</v>
      </c>
    </row>
    <row r="995" spans="10:12">
      <c r="J995" s="31">
        <v>71</v>
      </c>
      <c r="K995" s="33" t="s">
        <v>146</v>
      </c>
      <c r="L995" s="31" t="str">
        <f t="shared" ref="L995:L1003" si="97">$L$73&amp;" "&amp;L925</f>
        <v>Tujuh Puluh Satu</v>
      </c>
    </row>
    <row r="996" spans="10:12">
      <c r="J996" s="31">
        <v>72</v>
      </c>
      <c r="K996" s="33" t="s">
        <v>147</v>
      </c>
      <c r="L996" s="31" t="str">
        <f t="shared" si="97"/>
        <v>Tujuh Puluh Dua</v>
      </c>
    </row>
    <row r="997" spans="10:12">
      <c r="J997" s="31">
        <v>73</v>
      </c>
      <c r="K997" s="33" t="s">
        <v>148</v>
      </c>
      <c r="L997" s="31" t="str">
        <f t="shared" si="97"/>
        <v>Tujuh Puluh Tiga</v>
      </c>
    </row>
    <row r="998" spans="10:12">
      <c r="J998" s="31">
        <v>74</v>
      </c>
      <c r="K998" s="33" t="s">
        <v>149</v>
      </c>
      <c r="L998" s="31" t="str">
        <f t="shared" si="97"/>
        <v>Tujuh Puluh Empat</v>
      </c>
    </row>
    <row r="999" spans="10:12">
      <c r="J999" s="31">
        <v>75</v>
      </c>
      <c r="K999" s="33" t="s">
        <v>150</v>
      </c>
      <c r="L999" s="31" t="str">
        <f t="shared" si="97"/>
        <v>Tujuh Puluh Lima</v>
      </c>
    </row>
    <row r="1000" spans="10:12">
      <c r="J1000" s="31">
        <v>76</v>
      </c>
      <c r="K1000" s="33" t="s">
        <v>151</v>
      </c>
      <c r="L1000" s="31" t="str">
        <f t="shared" si="97"/>
        <v>Tujuh Puluh Enam</v>
      </c>
    </row>
    <row r="1001" spans="10:12">
      <c r="J1001" s="31">
        <v>77</v>
      </c>
      <c r="K1001" s="33" t="s">
        <v>152</v>
      </c>
      <c r="L1001" s="31" t="str">
        <f t="shared" si="97"/>
        <v>Tujuh Puluh Tujuh</v>
      </c>
    </row>
    <row r="1002" spans="10:12">
      <c r="J1002" s="31">
        <v>78</v>
      </c>
      <c r="K1002" s="33" t="s">
        <v>153</v>
      </c>
      <c r="L1002" s="31" t="str">
        <f t="shared" si="97"/>
        <v>Tujuh Puluh Delapan</v>
      </c>
    </row>
    <row r="1003" spans="10:12">
      <c r="J1003" s="31">
        <v>79</v>
      </c>
      <c r="K1003" s="33" t="s">
        <v>154</v>
      </c>
      <c r="L1003" s="31" t="str">
        <f t="shared" si="97"/>
        <v>Tujuh Puluh Sembilan</v>
      </c>
    </row>
    <row r="1004" spans="10:12">
      <c r="J1004" s="31">
        <v>80</v>
      </c>
      <c r="K1004" s="33" t="s">
        <v>155</v>
      </c>
      <c r="L1004" s="31" t="s">
        <v>156</v>
      </c>
    </row>
    <row r="1005" spans="10:12">
      <c r="J1005" s="31">
        <v>81</v>
      </c>
      <c r="K1005" s="33" t="s">
        <v>157</v>
      </c>
      <c r="L1005" s="31" t="str">
        <f t="shared" ref="L1005:L1013" si="98">$L$83&amp;" "&amp;L925</f>
        <v>Delapan Puluh Satu</v>
      </c>
    </row>
    <row r="1006" spans="10:12">
      <c r="J1006" s="31">
        <v>82</v>
      </c>
      <c r="K1006" s="33" t="s">
        <v>158</v>
      </c>
      <c r="L1006" s="31" t="str">
        <f t="shared" si="98"/>
        <v>Delapan Puluh Dua</v>
      </c>
    </row>
    <row r="1007" spans="10:12">
      <c r="J1007" s="31">
        <v>83</v>
      </c>
      <c r="K1007" s="33" t="s">
        <v>159</v>
      </c>
      <c r="L1007" s="31" t="str">
        <f t="shared" si="98"/>
        <v>Delapan Puluh Tiga</v>
      </c>
    </row>
    <row r="1008" spans="10:12">
      <c r="J1008" s="31">
        <v>84</v>
      </c>
      <c r="K1008" s="33" t="s">
        <v>160</v>
      </c>
      <c r="L1008" s="31" t="str">
        <f t="shared" si="98"/>
        <v>Delapan Puluh Empat</v>
      </c>
    </row>
    <row r="1009" spans="10:12">
      <c r="J1009" s="31">
        <v>85</v>
      </c>
      <c r="K1009" s="33" t="s">
        <v>161</v>
      </c>
      <c r="L1009" s="31" t="str">
        <f t="shared" si="98"/>
        <v>Delapan Puluh Lima</v>
      </c>
    </row>
    <row r="1010" spans="10:12">
      <c r="J1010" s="31">
        <v>86</v>
      </c>
      <c r="K1010" s="33" t="s">
        <v>162</v>
      </c>
      <c r="L1010" s="31" t="str">
        <f t="shared" si="98"/>
        <v>Delapan Puluh Enam</v>
      </c>
    </row>
    <row r="1011" spans="10:12">
      <c r="J1011" s="31">
        <v>87</v>
      </c>
      <c r="K1011" s="33" t="s">
        <v>163</v>
      </c>
      <c r="L1011" s="31" t="str">
        <f t="shared" si="98"/>
        <v>Delapan Puluh Tujuh</v>
      </c>
    </row>
    <row r="1012" spans="10:12">
      <c r="J1012" s="31">
        <v>88</v>
      </c>
      <c r="K1012" s="33" t="s">
        <v>164</v>
      </c>
      <c r="L1012" s="31" t="str">
        <f t="shared" si="98"/>
        <v>Delapan Puluh Delapan</v>
      </c>
    </row>
    <row r="1013" spans="10:12">
      <c r="J1013" s="31">
        <v>89</v>
      </c>
      <c r="K1013" s="33" t="s">
        <v>165</v>
      </c>
      <c r="L1013" s="31" t="str">
        <f t="shared" si="98"/>
        <v>Delapan Puluh Sembilan</v>
      </c>
    </row>
    <row r="1014" spans="10:12">
      <c r="J1014" s="31">
        <v>90</v>
      </c>
      <c r="K1014" s="33" t="s">
        <v>166</v>
      </c>
      <c r="L1014" s="31" t="s">
        <v>167</v>
      </c>
    </row>
    <row r="1015" spans="10:12">
      <c r="J1015" s="31">
        <v>91</v>
      </c>
      <c r="K1015" s="33" t="s">
        <v>168</v>
      </c>
      <c r="L1015" s="31" t="str">
        <f t="shared" ref="L1015:L1023" si="99">$L$93&amp;" "&amp;L925</f>
        <v>Sembilan Puluh Satu</v>
      </c>
    </row>
    <row r="1016" spans="10:12">
      <c r="J1016" s="31">
        <v>92</v>
      </c>
      <c r="K1016" s="33" t="s">
        <v>169</v>
      </c>
      <c r="L1016" s="31" t="str">
        <f t="shared" si="99"/>
        <v>Sembilan Puluh Dua</v>
      </c>
    </row>
    <row r="1017" spans="10:12">
      <c r="J1017" s="31">
        <v>93</v>
      </c>
      <c r="K1017" s="33" t="s">
        <v>170</v>
      </c>
      <c r="L1017" s="31" t="str">
        <f t="shared" si="99"/>
        <v>Sembilan Puluh Tiga</v>
      </c>
    </row>
    <row r="1018" spans="10:12">
      <c r="J1018" s="31">
        <v>94</v>
      </c>
      <c r="K1018" s="33" t="s">
        <v>171</v>
      </c>
      <c r="L1018" s="31" t="str">
        <f t="shared" si="99"/>
        <v>Sembilan Puluh Empat</v>
      </c>
    </row>
    <row r="1019" spans="10:12">
      <c r="J1019" s="31">
        <v>95</v>
      </c>
      <c r="K1019" s="33" t="s">
        <v>172</v>
      </c>
      <c r="L1019" s="31" t="str">
        <f t="shared" si="99"/>
        <v>Sembilan Puluh Lima</v>
      </c>
    </row>
    <row r="1020" spans="10:12">
      <c r="J1020" s="31">
        <v>96</v>
      </c>
      <c r="K1020" s="33" t="s">
        <v>173</v>
      </c>
      <c r="L1020" s="31" t="str">
        <f t="shared" si="99"/>
        <v>Sembilan Puluh Enam</v>
      </c>
    </row>
    <row r="1021" spans="10:12">
      <c r="J1021" s="31">
        <v>97</v>
      </c>
      <c r="K1021" s="33" t="s">
        <v>174</v>
      </c>
      <c r="L1021" s="31" t="str">
        <f t="shared" si="99"/>
        <v>Sembilan Puluh Tujuh</v>
      </c>
    </row>
    <row r="1022" spans="10:12">
      <c r="J1022" s="31">
        <v>98</v>
      </c>
      <c r="K1022" s="33" t="s">
        <v>175</v>
      </c>
      <c r="L1022" s="31" t="str">
        <f t="shared" si="99"/>
        <v>Sembilan Puluh Delapan</v>
      </c>
    </row>
    <row r="1023" spans="10:12">
      <c r="J1023" s="31">
        <v>99</v>
      </c>
      <c r="K1023" s="33" t="s">
        <v>176</v>
      </c>
      <c r="L1023" s="31" t="str">
        <f t="shared" si="99"/>
        <v>Sembilan Puluh Sembilan</v>
      </c>
    </row>
    <row r="1026" spans="1:12">
      <c r="A1026" s="30" t="e">
        <f>#REF!</f>
        <v>#REF!</v>
      </c>
      <c r="C1026" s="31" t="s">
        <v>290</v>
      </c>
    </row>
    <row r="1027" spans="1:12">
      <c r="A1027" s="32"/>
    </row>
    <row r="1028" spans="1:12">
      <c r="J1028" s="31">
        <v>0</v>
      </c>
      <c r="K1028" s="33" t="s">
        <v>48</v>
      </c>
      <c r="L1028" s="31" t="s">
        <v>49</v>
      </c>
    </row>
    <row r="1029" spans="1:12">
      <c r="A1029" s="34"/>
      <c r="J1029" s="31">
        <v>1</v>
      </c>
      <c r="K1029" s="33" t="s">
        <v>50</v>
      </c>
      <c r="L1029" s="31" t="s">
        <v>51</v>
      </c>
    </row>
    <row r="1030" spans="1:12">
      <c r="A1030" s="255" t="e">
        <f>TRIM(D1038&amp;E1038&amp;D1039&amp;E1039&amp;D1040&amp;E1040&amp;D1041&amp;E1041&amp;D1042&amp;E1042&amp;D1043&amp;E1043&amp;E1044&amp;D1044&amp;" Only")</f>
        <v>#REF!</v>
      </c>
      <c r="B1030" s="255"/>
      <c r="C1030" s="255"/>
      <c r="D1030" s="255"/>
      <c r="E1030" s="35"/>
      <c r="F1030" s="36"/>
      <c r="J1030" s="31">
        <v>2</v>
      </c>
      <c r="K1030" s="33" t="s">
        <v>52</v>
      </c>
      <c r="L1030" s="31" t="s">
        <v>53</v>
      </c>
    </row>
    <row r="1031" spans="1:12">
      <c r="A1031" s="37"/>
      <c r="B1031" s="37"/>
      <c r="C1031" s="37"/>
      <c r="D1031" s="37"/>
      <c r="E1031" s="35"/>
      <c r="F1031" s="36"/>
      <c r="J1031" s="31">
        <v>3</v>
      </c>
      <c r="K1031" s="33" t="s">
        <v>54</v>
      </c>
      <c r="L1031" s="31" t="s">
        <v>55</v>
      </c>
    </row>
    <row r="1032" spans="1:12">
      <c r="A1032" s="37"/>
      <c r="B1032" s="37"/>
      <c r="C1032" s="37"/>
      <c r="D1032" s="37"/>
      <c r="J1032" s="31">
        <v>4</v>
      </c>
      <c r="K1032" s="33" t="s">
        <v>56</v>
      </c>
      <c r="L1032" s="31" t="s">
        <v>57</v>
      </c>
    </row>
    <row r="1033" spans="1:12">
      <c r="A1033" s="255" t="e">
        <f>TRIM(D1048&amp;E1048&amp;D1049&amp;E1049&amp;D1050&amp;E1050&amp;D1051&amp;E1051&amp;D1052&amp;E1052&amp;D1053&amp;E1053&amp;D1054&amp;E1054&amp;" Rupiah")</f>
        <v>#REF!</v>
      </c>
      <c r="B1033" s="255"/>
      <c r="C1033" s="255"/>
      <c r="D1033" s="255"/>
      <c r="E1033" s="35"/>
      <c r="F1033" s="36"/>
      <c r="J1033" s="31">
        <v>5</v>
      </c>
      <c r="K1033" s="33" t="s">
        <v>58</v>
      </c>
      <c r="L1033" s="31" t="s">
        <v>59</v>
      </c>
    </row>
    <row r="1034" spans="1:12">
      <c r="A1034" s="35"/>
      <c r="B1034" s="35"/>
      <c r="C1034" s="35"/>
      <c r="D1034" s="35"/>
      <c r="E1034" s="35"/>
      <c r="F1034" s="36"/>
      <c r="J1034" s="31">
        <v>6</v>
      </c>
      <c r="K1034" s="33" t="s">
        <v>60</v>
      </c>
      <c r="L1034" s="31" t="s">
        <v>61</v>
      </c>
    </row>
    <row r="1035" spans="1:12">
      <c r="J1035" s="31">
        <v>7</v>
      </c>
      <c r="K1035" s="33" t="s">
        <v>62</v>
      </c>
      <c r="L1035" s="31" t="s">
        <v>63</v>
      </c>
    </row>
    <row r="1036" spans="1:12">
      <c r="J1036" s="31">
        <v>8</v>
      </c>
      <c r="K1036" s="33" t="s">
        <v>64</v>
      </c>
      <c r="L1036" s="31" t="s">
        <v>65</v>
      </c>
    </row>
    <row r="1037" spans="1:12">
      <c r="A1037" s="38" t="s">
        <v>66</v>
      </c>
      <c r="J1037" s="31">
        <v>9</v>
      </c>
      <c r="K1037" s="33" t="s">
        <v>67</v>
      </c>
      <c r="L1037" s="31" t="s">
        <v>68</v>
      </c>
    </row>
    <row r="1038" spans="1:12">
      <c r="A1038" s="31" t="s">
        <v>69</v>
      </c>
      <c r="B1038" s="39" t="e">
        <f>TRUNC(A1026/100000000)</f>
        <v>#REF!</v>
      </c>
      <c r="C1038" s="31" t="e">
        <f>B1038*100000000</f>
        <v>#REF!</v>
      </c>
      <c r="D1038" s="31" t="e">
        <f t="shared" ref="D1038:D1044" si="100">IF(B1038&lt;1,"",VLOOKUP(B1038,$J$3:$K$102,2))</f>
        <v>#REF!</v>
      </c>
      <c r="E1038" s="31" t="e">
        <f>IF(B1038&lt;1,"",IF(B1038&gt;1," Hundreds "," Hundred "))</f>
        <v>#REF!</v>
      </c>
      <c r="J1038" s="31">
        <v>10</v>
      </c>
      <c r="K1038" s="33" t="s">
        <v>70</v>
      </c>
      <c r="L1038" s="31" t="s">
        <v>71</v>
      </c>
    </row>
    <row r="1039" spans="1:12">
      <c r="A1039" s="31" t="s">
        <v>72</v>
      </c>
      <c r="B1039" s="39" t="e">
        <f>TRUNC((A1026-C1038)/1000000)</f>
        <v>#REF!</v>
      </c>
      <c r="C1039" s="31" t="e">
        <f>B1039*1000000</f>
        <v>#REF!</v>
      </c>
      <c r="D1039" s="31" t="e">
        <f t="shared" si="100"/>
        <v>#REF!</v>
      </c>
      <c r="E1039" s="31" t="e">
        <f>IF(B1038+B1039=0,"",IF(B1039=1," Million "," Millions "))</f>
        <v>#REF!</v>
      </c>
      <c r="J1039" s="31">
        <v>11</v>
      </c>
      <c r="K1039" s="33" t="s">
        <v>73</v>
      </c>
      <c r="L1039" s="31" t="s">
        <v>74</v>
      </c>
    </row>
    <row r="1040" spans="1:12">
      <c r="A1040" s="31" t="s">
        <v>75</v>
      </c>
      <c r="B1040" s="39" t="e">
        <f>TRUNC((A1026-SUM(C1038:C1039))/100000)</f>
        <v>#REF!</v>
      </c>
      <c r="C1040" s="31" t="e">
        <f>B1040*100000</f>
        <v>#REF!</v>
      </c>
      <c r="D1040" s="31" t="e">
        <f t="shared" si="100"/>
        <v>#REF!</v>
      </c>
      <c r="E1040" s="31" t="e">
        <f>IF(B1040&lt;1,"",IF(B1040&gt;1," Hundreds "," Hundred "))</f>
        <v>#REF!</v>
      </c>
      <c r="J1040" s="31">
        <v>12</v>
      </c>
      <c r="K1040" s="33" t="s">
        <v>76</v>
      </c>
      <c r="L1040" s="31" t="str">
        <f t="shared" ref="L1040:L1047" si="101">L1030&amp;" Belas"</f>
        <v>Dua Belas</v>
      </c>
    </row>
    <row r="1041" spans="1:12">
      <c r="A1041" s="33" t="s">
        <v>77</v>
      </c>
      <c r="B1041" s="40" t="e">
        <f>TRUNC((A1026-SUM(C1038:C1040))/1000)</f>
        <v>#REF!</v>
      </c>
      <c r="C1041" s="31" t="e">
        <f>B1041*1000</f>
        <v>#REF!</v>
      </c>
      <c r="D1041" s="31" t="e">
        <f t="shared" si="100"/>
        <v>#REF!</v>
      </c>
      <c r="E1041" s="31" t="e">
        <f>IF(B1040+B1041=0,"",IF(B1041=1," Thousand "," Thousands "))</f>
        <v>#REF!</v>
      </c>
      <c r="J1041" s="31">
        <v>13</v>
      </c>
      <c r="K1041" s="33" t="s">
        <v>78</v>
      </c>
      <c r="L1041" s="31" t="str">
        <f t="shared" si="101"/>
        <v>Tiga Belas</v>
      </c>
    </row>
    <row r="1042" spans="1:12">
      <c r="A1042" s="33" t="s">
        <v>79</v>
      </c>
      <c r="B1042" s="40" t="e">
        <f>TRUNC((A1026-SUM(C1038:C1041))/100)</f>
        <v>#REF!</v>
      </c>
      <c r="C1042" s="31" t="e">
        <f>B1042*100</f>
        <v>#REF!</v>
      </c>
      <c r="D1042" s="31" t="e">
        <f t="shared" si="100"/>
        <v>#REF!</v>
      </c>
      <c r="E1042" s="31" t="e">
        <f>IF(B1042&lt;1,"",IF(B1042&gt;1," Hundreds "," Hundred "))</f>
        <v>#REF!</v>
      </c>
      <c r="J1042" s="31">
        <v>14</v>
      </c>
      <c r="K1042" s="33" t="s">
        <v>80</v>
      </c>
      <c r="L1042" s="31" t="str">
        <f t="shared" si="101"/>
        <v>Empat Belas</v>
      </c>
    </row>
    <row r="1043" spans="1:12">
      <c r="A1043" s="33" t="s">
        <v>81</v>
      </c>
      <c r="B1043" s="41" t="e">
        <f>TRUNC((A1026-SUM(C1038:C1042)))</f>
        <v>#REF!</v>
      </c>
      <c r="C1043" s="42" t="e">
        <f>B1043</f>
        <v>#REF!</v>
      </c>
      <c r="D1043" s="31" t="e">
        <f t="shared" si="100"/>
        <v>#REF!</v>
      </c>
      <c r="E1043" s="31" t="e">
        <f>IF(SUM(C1038:C1043)&lt;1,"",IF(B1044&lt;1,""," And "))</f>
        <v>#REF!</v>
      </c>
      <c r="J1043" s="31">
        <v>15</v>
      </c>
      <c r="K1043" s="33" t="s">
        <v>82</v>
      </c>
      <c r="L1043" s="31" t="str">
        <f t="shared" si="101"/>
        <v>Lima Belas</v>
      </c>
    </row>
    <row r="1044" spans="1:12">
      <c r="A1044" s="33" t="s">
        <v>83</v>
      </c>
      <c r="B1044" s="40" t="e">
        <f>ROUND(A1026-SUM(C1038:C1043),2)*100</f>
        <v>#REF!</v>
      </c>
      <c r="D1044" s="43" t="e">
        <f t="shared" si="100"/>
        <v>#REF!</v>
      </c>
      <c r="E1044" s="31" t="e">
        <f>IF(B1044&lt;1,"",IF(B1044=1," Cent "," Cents "))</f>
        <v>#REF!</v>
      </c>
      <c r="J1044" s="31">
        <v>16</v>
      </c>
      <c r="K1044" s="33" t="s">
        <v>84</v>
      </c>
      <c r="L1044" s="31" t="str">
        <f t="shared" si="101"/>
        <v>Enam Belas</v>
      </c>
    </row>
    <row r="1045" spans="1:12">
      <c r="J1045" s="31">
        <v>17</v>
      </c>
      <c r="K1045" s="33" t="s">
        <v>85</v>
      </c>
      <c r="L1045" s="31" t="str">
        <f t="shared" si="101"/>
        <v>Tujuh Belas</v>
      </c>
    </row>
    <row r="1046" spans="1:12">
      <c r="A1046" s="44"/>
      <c r="J1046" s="31">
        <v>18</v>
      </c>
      <c r="K1046" s="33" t="s">
        <v>86</v>
      </c>
      <c r="L1046" s="31" t="str">
        <f t="shared" si="101"/>
        <v>Delapan Belas</v>
      </c>
    </row>
    <row r="1047" spans="1:12">
      <c r="A1047" s="38" t="s">
        <v>87</v>
      </c>
      <c r="J1047" s="31">
        <v>19</v>
      </c>
      <c r="K1047" s="33" t="s">
        <v>88</v>
      </c>
      <c r="L1047" s="31" t="str">
        <f t="shared" si="101"/>
        <v>Sembilan Belas</v>
      </c>
    </row>
    <row r="1048" spans="1:12">
      <c r="A1048" s="31" t="s">
        <v>69</v>
      </c>
      <c r="B1048" s="39" t="e">
        <f>TRUNC(A1026/100000000)</f>
        <v>#REF!</v>
      </c>
      <c r="C1048" s="31" t="e">
        <f>B1048*100000000</f>
        <v>#REF!</v>
      </c>
      <c r="D1048" s="31" t="e">
        <f>IF(B1048&lt;1,"",IF(B1048=1,"",VLOOKUP(B1048,$J$3:$L$102,3)))</f>
        <v>#REF!</v>
      </c>
      <c r="E1048" s="31" t="e">
        <f>IF(B1048&lt;1,"",IF(B1048=1,"Seratus "," Ratus "))</f>
        <v>#REF!</v>
      </c>
      <c r="J1048" s="31">
        <v>20</v>
      </c>
      <c r="K1048" s="33" t="s">
        <v>89</v>
      </c>
      <c r="L1048" s="31" t="s">
        <v>90</v>
      </c>
    </row>
    <row r="1049" spans="1:12">
      <c r="A1049" s="31" t="s">
        <v>72</v>
      </c>
      <c r="B1049" s="39" t="e">
        <f>TRUNC((A1026-C1048)/1000000)</f>
        <v>#REF!</v>
      </c>
      <c r="C1049" s="31" t="e">
        <f>B1049*1000000</f>
        <v>#REF!</v>
      </c>
      <c r="D1049" s="31" t="e">
        <f>IF(B1049&lt;1,"",VLOOKUP(B1049,$J$3:$L$102,3))</f>
        <v>#REF!</v>
      </c>
      <c r="E1049" s="31" t="e">
        <f>IF(B1048+B1049=0,""," Juta ")</f>
        <v>#REF!</v>
      </c>
      <c r="J1049" s="31">
        <v>21</v>
      </c>
      <c r="K1049" s="33" t="s">
        <v>91</v>
      </c>
      <c r="L1049" s="31" t="str">
        <f t="shared" ref="L1049:L1057" si="102">$L$23&amp;" "&amp;L1029</f>
        <v>Dua Puluh Satu</v>
      </c>
    </row>
    <row r="1050" spans="1:12">
      <c r="A1050" s="31" t="s">
        <v>75</v>
      </c>
      <c r="B1050" s="39" t="e">
        <f>TRUNC((A1026-SUM(C1048:C1049))/100000)</f>
        <v>#REF!</v>
      </c>
      <c r="C1050" s="31" t="e">
        <f>B1050*100000</f>
        <v>#REF!</v>
      </c>
      <c r="D1050" s="31" t="e">
        <f>IF(B1050&lt;1,"",IF(B1050=1,"",VLOOKUP(B1050,$J$3:$L$102,3)))</f>
        <v>#REF!</v>
      </c>
      <c r="E1050" s="31" t="e">
        <f>IF(B1050&lt;1,"",IF(B1050=1," Seratus "," Ratus "))</f>
        <v>#REF!</v>
      </c>
      <c r="J1050" s="31">
        <v>22</v>
      </c>
      <c r="K1050" s="33" t="s">
        <v>92</v>
      </c>
      <c r="L1050" s="31" t="str">
        <f t="shared" si="102"/>
        <v>Dua Puluh Dua</v>
      </c>
    </row>
    <row r="1051" spans="1:12">
      <c r="A1051" s="33" t="s">
        <v>77</v>
      </c>
      <c r="B1051" s="40" t="e">
        <f>TRUNC((A1026-SUM(C1048:C1050))/1000)</f>
        <v>#REF!</v>
      </c>
      <c r="C1051" s="31" t="e">
        <f>B1051*1000</f>
        <v>#REF!</v>
      </c>
      <c r="D1051" s="31" t="e">
        <f>IF(B1051&lt;1,"",IF(B1051=1,"",VLOOKUP(B1051,$J$3:$L$102,3)))</f>
        <v>#REF!</v>
      </c>
      <c r="E1051" s="31" t="e">
        <f>IF(B1050+B1051&lt;1,"",IF(B1051=1," Seribu "," Ribu "))</f>
        <v>#REF!</v>
      </c>
      <c r="J1051" s="31">
        <v>23</v>
      </c>
      <c r="K1051" s="33" t="s">
        <v>93</v>
      </c>
      <c r="L1051" s="31" t="str">
        <f t="shared" si="102"/>
        <v>Dua Puluh Tiga</v>
      </c>
    </row>
    <row r="1052" spans="1:12">
      <c r="A1052" s="33" t="s">
        <v>79</v>
      </c>
      <c r="B1052" s="40" t="e">
        <f>TRUNC((A1026-SUM(C1048:C1051))/100)</f>
        <v>#REF!</v>
      </c>
      <c r="C1052" s="31" t="e">
        <f>B1052*100</f>
        <v>#REF!</v>
      </c>
      <c r="D1052" s="31" t="e">
        <f>IF(B1052&lt;1,"",IF(B1052=1,"",VLOOKUP(B1052,$J$3:$L$102,3)))</f>
        <v>#REF!</v>
      </c>
      <c r="E1052" s="31" t="e">
        <f>IF(B1052&lt;1,"",IF(B1052=1," Seratus "," Ratus "))</f>
        <v>#REF!</v>
      </c>
      <c r="J1052" s="31">
        <v>24</v>
      </c>
      <c r="K1052" s="33" t="s">
        <v>94</v>
      </c>
      <c r="L1052" s="31" t="str">
        <f t="shared" si="102"/>
        <v>Dua Puluh Empat</v>
      </c>
    </row>
    <row r="1053" spans="1:12">
      <c r="A1053" s="33" t="s">
        <v>81</v>
      </c>
      <c r="B1053" s="41" t="e">
        <f>TRUNC((A1026-SUM(C1048:C1052)))</f>
        <v>#REF!</v>
      </c>
      <c r="C1053" s="42" t="e">
        <f>B1053</f>
        <v>#REF!</v>
      </c>
      <c r="D1053" s="31" t="e">
        <f>IF(B1053&lt;1,"",VLOOKUP(B1053,$J$3:$L$102,3))</f>
        <v>#REF!</v>
      </c>
      <c r="E1053" s="31" t="e">
        <f>IF(SUM(C1048:C1053)&lt;1,"",IF(B1054&lt;1,""," Dan "))</f>
        <v>#REF!</v>
      </c>
      <c r="J1053" s="31">
        <v>25</v>
      </c>
      <c r="K1053" s="33" t="s">
        <v>95</v>
      </c>
      <c r="L1053" s="31" t="str">
        <f t="shared" si="102"/>
        <v>Dua Puluh Lima</v>
      </c>
    </row>
    <row r="1054" spans="1:12">
      <c r="A1054" s="33" t="s">
        <v>83</v>
      </c>
      <c r="B1054" s="40" t="e">
        <f>ROUND(A1026-SUM(C1048:C1053),2)*100</f>
        <v>#REF!</v>
      </c>
      <c r="D1054" s="31" t="e">
        <f>IF(B1054&lt;1,"",VLOOKUP(B1054,$J$3:$L$102,3))</f>
        <v>#REF!</v>
      </c>
      <c r="E1054" s="31" t="e">
        <f>IF(B1054&lt;1,""," Sen ")</f>
        <v>#REF!</v>
      </c>
      <c r="J1054" s="31">
        <v>26</v>
      </c>
      <c r="K1054" s="33" t="s">
        <v>96</v>
      </c>
      <c r="L1054" s="31" t="str">
        <f t="shared" si="102"/>
        <v>Dua Puluh Enam</v>
      </c>
    </row>
    <row r="1055" spans="1:12">
      <c r="J1055" s="31">
        <v>27</v>
      </c>
      <c r="K1055" s="33" t="s">
        <v>97</v>
      </c>
      <c r="L1055" s="31" t="str">
        <f t="shared" si="102"/>
        <v>Dua Puluh Tujuh</v>
      </c>
    </row>
    <row r="1056" spans="1:12">
      <c r="J1056" s="31">
        <v>28</v>
      </c>
      <c r="K1056" s="33" t="s">
        <v>98</v>
      </c>
      <c r="L1056" s="31" t="str">
        <f t="shared" si="102"/>
        <v>Dua Puluh Delapan</v>
      </c>
    </row>
    <row r="1057" spans="1:12">
      <c r="J1057" s="31">
        <v>29</v>
      </c>
      <c r="K1057" s="33" t="s">
        <v>99</v>
      </c>
      <c r="L1057" s="31" t="str">
        <f t="shared" si="102"/>
        <v>Dua Puluh Sembilan</v>
      </c>
    </row>
    <row r="1058" spans="1:12">
      <c r="J1058" s="31">
        <v>30</v>
      </c>
      <c r="K1058" s="33" t="s">
        <v>100</v>
      </c>
      <c r="L1058" s="31" t="s">
        <v>101</v>
      </c>
    </row>
    <row r="1059" spans="1:12">
      <c r="J1059" s="31">
        <v>31</v>
      </c>
      <c r="K1059" s="33" t="s">
        <v>102</v>
      </c>
      <c r="L1059" s="31" t="str">
        <f t="shared" ref="L1059:L1067" si="103">$L$33&amp;" "&amp;L1029</f>
        <v>Tiga Puluh Satu</v>
      </c>
    </row>
    <row r="1060" spans="1:12">
      <c r="J1060" s="31">
        <v>32</v>
      </c>
      <c r="K1060" s="33" t="s">
        <v>103</v>
      </c>
      <c r="L1060" s="31" t="str">
        <f t="shared" si="103"/>
        <v>Tiga Puluh Dua</v>
      </c>
    </row>
    <row r="1061" spans="1:12">
      <c r="J1061" s="31">
        <v>33</v>
      </c>
      <c r="K1061" s="33" t="s">
        <v>104</v>
      </c>
      <c r="L1061" s="31" t="str">
        <f t="shared" si="103"/>
        <v>Tiga Puluh Tiga</v>
      </c>
    </row>
    <row r="1062" spans="1:12">
      <c r="J1062" s="31">
        <v>34</v>
      </c>
      <c r="K1062" s="33" t="s">
        <v>105</v>
      </c>
      <c r="L1062" s="31" t="str">
        <f t="shared" si="103"/>
        <v>Tiga Puluh Empat</v>
      </c>
    </row>
    <row r="1063" spans="1:12">
      <c r="J1063" s="31">
        <v>35</v>
      </c>
      <c r="K1063" s="33" t="s">
        <v>106</v>
      </c>
      <c r="L1063" s="31" t="str">
        <f t="shared" si="103"/>
        <v>Tiga Puluh Lima</v>
      </c>
    </row>
    <row r="1064" spans="1:12">
      <c r="J1064" s="31">
        <v>36</v>
      </c>
      <c r="K1064" s="33" t="s">
        <v>107</v>
      </c>
      <c r="L1064" s="31" t="str">
        <f t="shared" si="103"/>
        <v>Tiga Puluh Enam</v>
      </c>
    </row>
    <row r="1065" spans="1:12">
      <c r="J1065" s="31">
        <v>37</v>
      </c>
      <c r="K1065" s="33" t="s">
        <v>108</v>
      </c>
      <c r="L1065" s="31" t="str">
        <f t="shared" si="103"/>
        <v>Tiga Puluh Tujuh</v>
      </c>
    </row>
    <row r="1066" spans="1:12">
      <c r="J1066" s="31">
        <v>38</v>
      </c>
      <c r="K1066" s="33" t="s">
        <v>109</v>
      </c>
      <c r="L1066" s="31" t="str">
        <f t="shared" si="103"/>
        <v>Tiga Puluh Delapan</v>
      </c>
    </row>
    <row r="1067" spans="1:12">
      <c r="J1067" s="31">
        <v>39</v>
      </c>
      <c r="K1067" s="33" t="s">
        <v>110</v>
      </c>
      <c r="L1067" s="31" t="str">
        <f t="shared" si="103"/>
        <v>Tiga Puluh Sembilan</v>
      </c>
    </row>
    <row r="1068" spans="1:12">
      <c r="B1068" s="35"/>
      <c r="C1068" s="35"/>
      <c r="D1068" s="35"/>
      <c r="J1068" s="31">
        <v>40</v>
      </c>
      <c r="K1068" s="33" t="s">
        <v>111</v>
      </c>
      <c r="L1068" s="31" t="s">
        <v>112</v>
      </c>
    </row>
    <row r="1069" spans="1:12">
      <c r="A1069" s="35"/>
      <c r="B1069" s="35"/>
      <c r="C1069" s="35"/>
      <c r="D1069" s="35"/>
      <c r="J1069" s="31">
        <v>41</v>
      </c>
      <c r="K1069" s="33" t="s">
        <v>113</v>
      </c>
      <c r="L1069" s="31" t="str">
        <f t="shared" ref="L1069:L1077" si="104">$L$43&amp;" "&amp;L1029</f>
        <v>Empat Puluh Satu</v>
      </c>
    </row>
    <row r="1070" spans="1:12">
      <c r="J1070" s="31">
        <v>42</v>
      </c>
      <c r="K1070" s="33" t="s">
        <v>114</v>
      </c>
      <c r="L1070" s="31" t="str">
        <f t="shared" si="104"/>
        <v>Empat Puluh Dua</v>
      </c>
    </row>
    <row r="1071" spans="1:12">
      <c r="A1071" s="38"/>
      <c r="J1071" s="31">
        <v>43</v>
      </c>
      <c r="K1071" s="33" t="s">
        <v>115</v>
      </c>
      <c r="L1071" s="31" t="str">
        <f t="shared" si="104"/>
        <v>Empat Puluh Tiga</v>
      </c>
    </row>
    <row r="1072" spans="1:12">
      <c r="J1072" s="31">
        <v>44</v>
      </c>
      <c r="K1072" s="33" t="s">
        <v>116</v>
      </c>
      <c r="L1072" s="31" t="str">
        <f t="shared" si="104"/>
        <v>Empat Puluh Empat</v>
      </c>
    </row>
    <row r="1073" spans="10:12">
      <c r="J1073" s="31">
        <v>45</v>
      </c>
      <c r="K1073" s="33" t="s">
        <v>117</v>
      </c>
      <c r="L1073" s="31" t="str">
        <f t="shared" si="104"/>
        <v>Empat Puluh Lima</v>
      </c>
    </row>
    <row r="1074" spans="10:12">
      <c r="J1074" s="31">
        <v>46</v>
      </c>
      <c r="K1074" s="33" t="s">
        <v>118</v>
      </c>
      <c r="L1074" s="31" t="str">
        <f t="shared" si="104"/>
        <v>Empat Puluh Enam</v>
      </c>
    </row>
    <row r="1075" spans="10:12">
      <c r="J1075" s="31">
        <v>47</v>
      </c>
      <c r="K1075" s="33" t="s">
        <v>119</v>
      </c>
      <c r="L1075" s="31" t="str">
        <f t="shared" si="104"/>
        <v>Empat Puluh Tujuh</v>
      </c>
    </row>
    <row r="1076" spans="10:12">
      <c r="J1076" s="31">
        <v>48</v>
      </c>
      <c r="K1076" s="33" t="s">
        <v>120</v>
      </c>
      <c r="L1076" s="31" t="str">
        <f t="shared" si="104"/>
        <v>Empat Puluh Delapan</v>
      </c>
    </row>
    <row r="1077" spans="10:12">
      <c r="J1077" s="31">
        <v>49</v>
      </c>
      <c r="K1077" s="33" t="s">
        <v>121</v>
      </c>
      <c r="L1077" s="31" t="str">
        <f t="shared" si="104"/>
        <v>Empat Puluh Sembilan</v>
      </c>
    </row>
    <row r="1078" spans="10:12">
      <c r="J1078" s="31">
        <v>50</v>
      </c>
      <c r="K1078" s="33" t="s">
        <v>122</v>
      </c>
      <c r="L1078" s="31" t="s">
        <v>123</v>
      </c>
    </row>
    <row r="1079" spans="10:12">
      <c r="J1079" s="31">
        <v>51</v>
      </c>
      <c r="K1079" s="33" t="s">
        <v>124</v>
      </c>
      <c r="L1079" s="31" t="str">
        <f t="shared" ref="L1079:L1087" si="105">$L$53&amp;" "&amp;L1029</f>
        <v>Lima Puluh Satu</v>
      </c>
    </row>
    <row r="1080" spans="10:12">
      <c r="J1080" s="31">
        <v>52</v>
      </c>
      <c r="K1080" s="33" t="s">
        <v>125</v>
      </c>
      <c r="L1080" s="31" t="str">
        <f t="shared" si="105"/>
        <v>Lima Puluh Dua</v>
      </c>
    </row>
    <row r="1081" spans="10:12">
      <c r="J1081" s="31">
        <v>53</v>
      </c>
      <c r="K1081" s="33" t="s">
        <v>126</v>
      </c>
      <c r="L1081" s="31" t="str">
        <f t="shared" si="105"/>
        <v>Lima Puluh Tiga</v>
      </c>
    </row>
    <row r="1082" spans="10:12">
      <c r="J1082" s="31">
        <v>54</v>
      </c>
      <c r="K1082" s="33" t="s">
        <v>127</v>
      </c>
      <c r="L1082" s="31" t="str">
        <f t="shared" si="105"/>
        <v>Lima Puluh Empat</v>
      </c>
    </row>
    <row r="1083" spans="10:12">
      <c r="J1083" s="31">
        <v>55</v>
      </c>
      <c r="K1083" s="33" t="s">
        <v>128</v>
      </c>
      <c r="L1083" s="31" t="str">
        <f t="shared" si="105"/>
        <v>Lima Puluh Lima</v>
      </c>
    </row>
    <row r="1084" spans="10:12">
      <c r="J1084" s="31">
        <v>56</v>
      </c>
      <c r="K1084" s="33" t="s">
        <v>129</v>
      </c>
      <c r="L1084" s="31" t="str">
        <f t="shared" si="105"/>
        <v>Lima Puluh Enam</v>
      </c>
    </row>
    <row r="1085" spans="10:12">
      <c r="J1085" s="31">
        <v>57</v>
      </c>
      <c r="K1085" s="33" t="s">
        <v>130</v>
      </c>
      <c r="L1085" s="31" t="str">
        <f t="shared" si="105"/>
        <v>Lima Puluh Tujuh</v>
      </c>
    </row>
    <row r="1086" spans="10:12">
      <c r="J1086" s="31">
        <v>58</v>
      </c>
      <c r="K1086" s="33" t="s">
        <v>131</v>
      </c>
      <c r="L1086" s="31" t="str">
        <f t="shared" si="105"/>
        <v>Lima Puluh Delapan</v>
      </c>
    </row>
    <row r="1087" spans="10:12">
      <c r="J1087" s="31">
        <v>59</v>
      </c>
      <c r="K1087" s="33" t="s">
        <v>132</v>
      </c>
      <c r="L1087" s="31" t="str">
        <f t="shared" si="105"/>
        <v>Lima Puluh Sembilan</v>
      </c>
    </row>
    <row r="1088" spans="10:12">
      <c r="J1088" s="31">
        <v>60</v>
      </c>
      <c r="K1088" s="33" t="s">
        <v>133</v>
      </c>
      <c r="L1088" s="31" t="s">
        <v>134</v>
      </c>
    </row>
    <row r="1089" spans="10:12">
      <c r="J1089" s="31">
        <v>61</v>
      </c>
      <c r="K1089" s="33" t="s">
        <v>135</v>
      </c>
      <c r="L1089" s="31" t="str">
        <f t="shared" ref="L1089:L1097" si="106">$L$63&amp;" "&amp;L1029</f>
        <v>Enam Puluh Satu</v>
      </c>
    </row>
    <row r="1090" spans="10:12">
      <c r="J1090" s="31">
        <v>62</v>
      </c>
      <c r="K1090" s="33" t="s">
        <v>136</v>
      </c>
      <c r="L1090" s="31" t="str">
        <f t="shared" si="106"/>
        <v>Enam Puluh Dua</v>
      </c>
    </row>
    <row r="1091" spans="10:12">
      <c r="J1091" s="31">
        <v>63</v>
      </c>
      <c r="K1091" s="33" t="s">
        <v>137</v>
      </c>
      <c r="L1091" s="31" t="str">
        <f t="shared" si="106"/>
        <v>Enam Puluh Tiga</v>
      </c>
    </row>
    <row r="1092" spans="10:12">
      <c r="J1092" s="31">
        <v>64</v>
      </c>
      <c r="K1092" s="33" t="s">
        <v>138</v>
      </c>
      <c r="L1092" s="31" t="str">
        <f t="shared" si="106"/>
        <v>Enam Puluh Empat</v>
      </c>
    </row>
    <row r="1093" spans="10:12">
      <c r="J1093" s="31">
        <v>65</v>
      </c>
      <c r="K1093" s="33" t="s">
        <v>139</v>
      </c>
      <c r="L1093" s="31" t="str">
        <f t="shared" si="106"/>
        <v>Enam Puluh Lima</v>
      </c>
    </row>
    <row r="1094" spans="10:12">
      <c r="J1094" s="31">
        <v>66</v>
      </c>
      <c r="K1094" s="33" t="s">
        <v>140</v>
      </c>
      <c r="L1094" s="31" t="str">
        <f t="shared" si="106"/>
        <v>Enam Puluh Enam</v>
      </c>
    </row>
    <row r="1095" spans="10:12">
      <c r="J1095" s="31">
        <v>67</v>
      </c>
      <c r="K1095" s="33" t="s">
        <v>141</v>
      </c>
      <c r="L1095" s="31" t="str">
        <f t="shared" si="106"/>
        <v>Enam Puluh Tujuh</v>
      </c>
    </row>
    <row r="1096" spans="10:12">
      <c r="J1096" s="31">
        <v>68</v>
      </c>
      <c r="K1096" s="33" t="s">
        <v>142</v>
      </c>
      <c r="L1096" s="31" t="str">
        <f t="shared" si="106"/>
        <v>Enam Puluh Delapan</v>
      </c>
    </row>
    <row r="1097" spans="10:12">
      <c r="J1097" s="31">
        <v>69</v>
      </c>
      <c r="K1097" s="33" t="s">
        <v>143</v>
      </c>
      <c r="L1097" s="31" t="str">
        <f t="shared" si="106"/>
        <v>Enam Puluh Sembilan</v>
      </c>
    </row>
    <row r="1098" spans="10:12">
      <c r="J1098" s="31">
        <v>70</v>
      </c>
      <c r="K1098" s="33" t="s">
        <v>144</v>
      </c>
      <c r="L1098" s="31" t="s">
        <v>145</v>
      </c>
    </row>
    <row r="1099" spans="10:12">
      <c r="J1099" s="31">
        <v>71</v>
      </c>
      <c r="K1099" s="33" t="s">
        <v>146</v>
      </c>
      <c r="L1099" s="31" t="str">
        <f t="shared" ref="L1099:L1107" si="107">$L$73&amp;" "&amp;L1029</f>
        <v>Tujuh Puluh Satu</v>
      </c>
    </row>
    <row r="1100" spans="10:12">
      <c r="J1100" s="31">
        <v>72</v>
      </c>
      <c r="K1100" s="33" t="s">
        <v>147</v>
      </c>
      <c r="L1100" s="31" t="str">
        <f t="shared" si="107"/>
        <v>Tujuh Puluh Dua</v>
      </c>
    </row>
    <row r="1101" spans="10:12">
      <c r="J1101" s="31">
        <v>73</v>
      </c>
      <c r="K1101" s="33" t="s">
        <v>148</v>
      </c>
      <c r="L1101" s="31" t="str">
        <f t="shared" si="107"/>
        <v>Tujuh Puluh Tiga</v>
      </c>
    </row>
    <row r="1102" spans="10:12">
      <c r="J1102" s="31">
        <v>74</v>
      </c>
      <c r="K1102" s="33" t="s">
        <v>149</v>
      </c>
      <c r="L1102" s="31" t="str">
        <f t="shared" si="107"/>
        <v>Tujuh Puluh Empat</v>
      </c>
    </row>
    <row r="1103" spans="10:12">
      <c r="J1103" s="31">
        <v>75</v>
      </c>
      <c r="K1103" s="33" t="s">
        <v>150</v>
      </c>
      <c r="L1103" s="31" t="str">
        <f t="shared" si="107"/>
        <v>Tujuh Puluh Lima</v>
      </c>
    </row>
    <row r="1104" spans="10:12">
      <c r="J1104" s="31">
        <v>76</v>
      </c>
      <c r="K1104" s="33" t="s">
        <v>151</v>
      </c>
      <c r="L1104" s="31" t="str">
        <f t="shared" si="107"/>
        <v>Tujuh Puluh Enam</v>
      </c>
    </row>
    <row r="1105" spans="10:12">
      <c r="J1105" s="31">
        <v>77</v>
      </c>
      <c r="K1105" s="33" t="s">
        <v>152</v>
      </c>
      <c r="L1105" s="31" t="str">
        <f t="shared" si="107"/>
        <v>Tujuh Puluh Tujuh</v>
      </c>
    </row>
    <row r="1106" spans="10:12">
      <c r="J1106" s="31">
        <v>78</v>
      </c>
      <c r="K1106" s="33" t="s">
        <v>153</v>
      </c>
      <c r="L1106" s="31" t="str">
        <f t="shared" si="107"/>
        <v>Tujuh Puluh Delapan</v>
      </c>
    </row>
    <row r="1107" spans="10:12">
      <c r="J1107" s="31">
        <v>79</v>
      </c>
      <c r="K1107" s="33" t="s">
        <v>154</v>
      </c>
      <c r="L1107" s="31" t="str">
        <f t="shared" si="107"/>
        <v>Tujuh Puluh Sembilan</v>
      </c>
    </row>
    <row r="1108" spans="10:12">
      <c r="J1108" s="31">
        <v>80</v>
      </c>
      <c r="K1108" s="33" t="s">
        <v>155</v>
      </c>
      <c r="L1108" s="31" t="s">
        <v>156</v>
      </c>
    </row>
    <row r="1109" spans="10:12">
      <c r="J1109" s="31">
        <v>81</v>
      </c>
      <c r="K1109" s="33" t="s">
        <v>157</v>
      </c>
      <c r="L1109" s="31" t="str">
        <f t="shared" ref="L1109:L1117" si="108">$L$83&amp;" "&amp;L1029</f>
        <v>Delapan Puluh Satu</v>
      </c>
    </row>
    <row r="1110" spans="10:12">
      <c r="J1110" s="31">
        <v>82</v>
      </c>
      <c r="K1110" s="33" t="s">
        <v>158</v>
      </c>
      <c r="L1110" s="31" t="str">
        <f t="shared" si="108"/>
        <v>Delapan Puluh Dua</v>
      </c>
    </row>
    <row r="1111" spans="10:12">
      <c r="J1111" s="31">
        <v>83</v>
      </c>
      <c r="K1111" s="33" t="s">
        <v>159</v>
      </c>
      <c r="L1111" s="31" t="str">
        <f t="shared" si="108"/>
        <v>Delapan Puluh Tiga</v>
      </c>
    </row>
    <row r="1112" spans="10:12">
      <c r="J1112" s="31">
        <v>84</v>
      </c>
      <c r="K1112" s="33" t="s">
        <v>160</v>
      </c>
      <c r="L1112" s="31" t="str">
        <f t="shared" si="108"/>
        <v>Delapan Puluh Empat</v>
      </c>
    </row>
    <row r="1113" spans="10:12">
      <c r="J1113" s="31">
        <v>85</v>
      </c>
      <c r="K1113" s="33" t="s">
        <v>161</v>
      </c>
      <c r="L1113" s="31" t="str">
        <f t="shared" si="108"/>
        <v>Delapan Puluh Lima</v>
      </c>
    </row>
    <row r="1114" spans="10:12">
      <c r="J1114" s="31">
        <v>86</v>
      </c>
      <c r="K1114" s="33" t="s">
        <v>162</v>
      </c>
      <c r="L1114" s="31" t="str">
        <f t="shared" si="108"/>
        <v>Delapan Puluh Enam</v>
      </c>
    </row>
    <row r="1115" spans="10:12">
      <c r="J1115" s="31">
        <v>87</v>
      </c>
      <c r="K1115" s="33" t="s">
        <v>163</v>
      </c>
      <c r="L1115" s="31" t="str">
        <f t="shared" si="108"/>
        <v>Delapan Puluh Tujuh</v>
      </c>
    </row>
    <row r="1116" spans="10:12">
      <c r="J1116" s="31">
        <v>88</v>
      </c>
      <c r="K1116" s="33" t="s">
        <v>164</v>
      </c>
      <c r="L1116" s="31" t="str">
        <f t="shared" si="108"/>
        <v>Delapan Puluh Delapan</v>
      </c>
    </row>
    <row r="1117" spans="10:12">
      <c r="J1117" s="31">
        <v>89</v>
      </c>
      <c r="K1117" s="33" t="s">
        <v>165</v>
      </c>
      <c r="L1117" s="31" t="str">
        <f t="shared" si="108"/>
        <v>Delapan Puluh Sembilan</v>
      </c>
    </row>
    <row r="1118" spans="10:12">
      <c r="J1118" s="31">
        <v>90</v>
      </c>
      <c r="K1118" s="33" t="s">
        <v>166</v>
      </c>
      <c r="L1118" s="31" t="s">
        <v>167</v>
      </c>
    </row>
    <row r="1119" spans="10:12">
      <c r="J1119" s="31">
        <v>91</v>
      </c>
      <c r="K1119" s="33" t="s">
        <v>168</v>
      </c>
      <c r="L1119" s="31" t="str">
        <f t="shared" ref="L1119:L1127" si="109">$L$93&amp;" "&amp;L1029</f>
        <v>Sembilan Puluh Satu</v>
      </c>
    </row>
    <row r="1120" spans="10:12">
      <c r="J1120" s="31">
        <v>92</v>
      </c>
      <c r="K1120" s="33" t="s">
        <v>169</v>
      </c>
      <c r="L1120" s="31" t="str">
        <f t="shared" si="109"/>
        <v>Sembilan Puluh Dua</v>
      </c>
    </row>
    <row r="1121" spans="1:12">
      <c r="J1121" s="31">
        <v>93</v>
      </c>
      <c r="K1121" s="33" t="s">
        <v>170</v>
      </c>
      <c r="L1121" s="31" t="str">
        <f t="shared" si="109"/>
        <v>Sembilan Puluh Tiga</v>
      </c>
    </row>
    <row r="1122" spans="1:12">
      <c r="J1122" s="31">
        <v>94</v>
      </c>
      <c r="K1122" s="33" t="s">
        <v>171</v>
      </c>
      <c r="L1122" s="31" t="str">
        <f t="shared" si="109"/>
        <v>Sembilan Puluh Empat</v>
      </c>
    </row>
    <row r="1123" spans="1:12">
      <c r="J1123" s="31">
        <v>95</v>
      </c>
      <c r="K1123" s="33" t="s">
        <v>172</v>
      </c>
      <c r="L1123" s="31" t="str">
        <f t="shared" si="109"/>
        <v>Sembilan Puluh Lima</v>
      </c>
    </row>
    <row r="1124" spans="1:12">
      <c r="J1124" s="31">
        <v>96</v>
      </c>
      <c r="K1124" s="33" t="s">
        <v>173</v>
      </c>
      <c r="L1124" s="31" t="str">
        <f t="shared" si="109"/>
        <v>Sembilan Puluh Enam</v>
      </c>
    </row>
    <row r="1125" spans="1:12">
      <c r="J1125" s="31">
        <v>97</v>
      </c>
      <c r="K1125" s="33" t="s">
        <v>174</v>
      </c>
      <c r="L1125" s="31" t="str">
        <f t="shared" si="109"/>
        <v>Sembilan Puluh Tujuh</v>
      </c>
    </row>
    <row r="1126" spans="1:12">
      <c r="J1126" s="31">
        <v>98</v>
      </c>
      <c r="K1126" s="33" t="s">
        <v>175</v>
      </c>
      <c r="L1126" s="31" t="str">
        <f t="shared" si="109"/>
        <v>Sembilan Puluh Delapan</v>
      </c>
    </row>
    <row r="1127" spans="1:12">
      <c r="J1127" s="31">
        <v>99</v>
      </c>
      <c r="K1127" s="33" t="s">
        <v>176</v>
      </c>
      <c r="L1127" s="31" t="str">
        <f t="shared" si="109"/>
        <v>Sembilan Puluh Sembilan</v>
      </c>
    </row>
    <row r="1130" spans="1:12">
      <c r="A1130" s="30" t="e">
        <f>#REF!</f>
        <v>#REF!</v>
      </c>
      <c r="C1130" s="31" t="s">
        <v>188</v>
      </c>
    </row>
    <row r="1131" spans="1:12">
      <c r="A1131" s="32"/>
    </row>
    <row r="1132" spans="1:12">
      <c r="J1132" s="31">
        <v>0</v>
      </c>
      <c r="K1132" s="33" t="s">
        <v>48</v>
      </c>
      <c r="L1132" s="31" t="s">
        <v>49</v>
      </c>
    </row>
    <row r="1133" spans="1:12">
      <c r="A1133" s="34"/>
      <c r="J1133" s="31">
        <v>1</v>
      </c>
      <c r="K1133" s="33" t="s">
        <v>50</v>
      </c>
      <c r="L1133" s="31" t="s">
        <v>51</v>
      </c>
    </row>
    <row r="1134" spans="1:12">
      <c r="A1134" s="255" t="e">
        <f>TRIM(D1142&amp;E1142&amp;D1143&amp;E1143&amp;D1144&amp;E1144&amp;D1145&amp;E1145&amp;D1146&amp;E1146&amp;D1147&amp;E1147&amp;E1148&amp;D1148&amp;" Only")</f>
        <v>#REF!</v>
      </c>
      <c r="B1134" s="255"/>
      <c r="C1134" s="255"/>
      <c r="D1134" s="255"/>
      <c r="E1134" s="35"/>
      <c r="F1134" s="36"/>
      <c r="J1134" s="31">
        <v>2</v>
      </c>
      <c r="K1134" s="33" t="s">
        <v>52</v>
      </c>
      <c r="L1134" s="31" t="s">
        <v>53</v>
      </c>
    </row>
    <row r="1135" spans="1:12">
      <c r="A1135" s="37"/>
      <c r="B1135" s="37"/>
      <c r="C1135" s="37"/>
      <c r="D1135" s="37"/>
      <c r="E1135" s="35"/>
      <c r="F1135" s="36"/>
      <c r="J1135" s="31">
        <v>3</v>
      </c>
      <c r="K1135" s="33" t="s">
        <v>54</v>
      </c>
      <c r="L1135" s="31" t="s">
        <v>55</v>
      </c>
    </row>
    <row r="1136" spans="1:12">
      <c r="A1136" s="37"/>
      <c r="B1136" s="37"/>
      <c r="C1136" s="37"/>
      <c r="D1136" s="37"/>
      <c r="J1136" s="31">
        <v>4</v>
      </c>
      <c r="K1136" s="33" t="s">
        <v>56</v>
      </c>
      <c r="L1136" s="31" t="s">
        <v>57</v>
      </c>
    </row>
    <row r="1137" spans="1:12">
      <c r="A1137" s="255" t="e">
        <f>TRIM(D1152&amp;E1152&amp;D1153&amp;E1153&amp;D1154&amp;E1154&amp;D1155&amp;E1155&amp;D1156&amp;E1156&amp;D1157&amp;E1157&amp;D1158&amp;E1158&amp;" Rupiah")</f>
        <v>#REF!</v>
      </c>
      <c r="B1137" s="255"/>
      <c r="C1137" s="255"/>
      <c r="D1137" s="255"/>
      <c r="E1137" s="35"/>
      <c r="F1137" s="36"/>
      <c r="J1137" s="31">
        <v>5</v>
      </c>
      <c r="K1137" s="33" t="s">
        <v>58</v>
      </c>
      <c r="L1137" s="31" t="s">
        <v>59</v>
      </c>
    </row>
    <row r="1138" spans="1:12">
      <c r="A1138" s="35"/>
      <c r="B1138" s="35"/>
      <c r="C1138" s="35"/>
      <c r="D1138" s="35"/>
      <c r="E1138" s="35"/>
      <c r="F1138" s="36"/>
      <c r="J1138" s="31">
        <v>6</v>
      </c>
      <c r="K1138" s="33" t="s">
        <v>60</v>
      </c>
      <c r="L1138" s="31" t="s">
        <v>61</v>
      </c>
    </row>
    <row r="1139" spans="1:12">
      <c r="J1139" s="31">
        <v>7</v>
      </c>
      <c r="K1139" s="33" t="s">
        <v>62</v>
      </c>
      <c r="L1139" s="31" t="s">
        <v>63</v>
      </c>
    </row>
    <row r="1140" spans="1:12">
      <c r="J1140" s="31">
        <v>8</v>
      </c>
      <c r="K1140" s="33" t="s">
        <v>64</v>
      </c>
      <c r="L1140" s="31" t="s">
        <v>65</v>
      </c>
    </row>
    <row r="1141" spans="1:12">
      <c r="A1141" s="38" t="s">
        <v>66</v>
      </c>
      <c r="J1141" s="31">
        <v>9</v>
      </c>
      <c r="K1141" s="33" t="s">
        <v>67</v>
      </c>
      <c r="L1141" s="31" t="s">
        <v>68</v>
      </c>
    </row>
    <row r="1142" spans="1:12">
      <c r="A1142" s="31" t="s">
        <v>69</v>
      </c>
      <c r="B1142" s="39" t="e">
        <f>TRUNC(A1130/100000000)</f>
        <v>#REF!</v>
      </c>
      <c r="C1142" s="31" t="e">
        <f>B1142*100000000</f>
        <v>#REF!</v>
      </c>
      <c r="D1142" s="31" t="e">
        <f t="shared" ref="D1142:D1148" si="110">IF(B1142&lt;1,"",VLOOKUP(B1142,$J$3:$K$102,2))</f>
        <v>#REF!</v>
      </c>
      <c r="E1142" s="31" t="e">
        <f>IF(B1142&lt;1,"",IF(B1142&gt;1," Hundreds "," Hundred "))</f>
        <v>#REF!</v>
      </c>
      <c r="J1142" s="31">
        <v>10</v>
      </c>
      <c r="K1142" s="33" t="s">
        <v>70</v>
      </c>
      <c r="L1142" s="31" t="s">
        <v>71</v>
      </c>
    </row>
    <row r="1143" spans="1:12">
      <c r="A1143" s="31" t="s">
        <v>72</v>
      </c>
      <c r="B1143" s="39" t="e">
        <f>TRUNC((A1130-C1142)/1000000)</f>
        <v>#REF!</v>
      </c>
      <c r="C1143" s="31" t="e">
        <f>B1143*1000000</f>
        <v>#REF!</v>
      </c>
      <c r="D1143" s="31" t="e">
        <f t="shared" si="110"/>
        <v>#REF!</v>
      </c>
      <c r="E1143" s="31" t="e">
        <f>IF(B1142+B1143=0,"",IF(B1143=1," Million "," Millions "))</f>
        <v>#REF!</v>
      </c>
      <c r="J1143" s="31">
        <v>11</v>
      </c>
      <c r="K1143" s="33" t="s">
        <v>73</v>
      </c>
      <c r="L1143" s="31" t="s">
        <v>74</v>
      </c>
    </row>
    <row r="1144" spans="1:12">
      <c r="A1144" s="31" t="s">
        <v>75</v>
      </c>
      <c r="B1144" s="39" t="e">
        <f>TRUNC((A1130-SUM(C1142:C1143))/100000)</f>
        <v>#REF!</v>
      </c>
      <c r="C1144" s="31" t="e">
        <f>B1144*100000</f>
        <v>#REF!</v>
      </c>
      <c r="D1144" s="31" t="e">
        <f t="shared" si="110"/>
        <v>#REF!</v>
      </c>
      <c r="E1144" s="31" t="e">
        <f>IF(B1144&lt;1,"",IF(B1144&gt;1," Hundreds "," Hundred "))</f>
        <v>#REF!</v>
      </c>
      <c r="J1144" s="31">
        <v>12</v>
      </c>
      <c r="K1144" s="33" t="s">
        <v>76</v>
      </c>
      <c r="L1144" s="31" t="str">
        <f t="shared" ref="L1144:L1151" si="111">L1134&amp;" Belas"</f>
        <v>Dua Belas</v>
      </c>
    </row>
    <row r="1145" spans="1:12">
      <c r="A1145" s="33" t="s">
        <v>77</v>
      </c>
      <c r="B1145" s="40" t="e">
        <f>TRUNC((A1130-SUM(C1142:C1144))/1000)</f>
        <v>#REF!</v>
      </c>
      <c r="C1145" s="31" t="e">
        <f>B1145*1000</f>
        <v>#REF!</v>
      </c>
      <c r="D1145" s="31" t="e">
        <f t="shared" si="110"/>
        <v>#REF!</v>
      </c>
      <c r="E1145" s="31" t="e">
        <f>IF(B1144+B1145=0,"",IF(B1145=1," Thousand "," Thousands "))</f>
        <v>#REF!</v>
      </c>
      <c r="J1145" s="31">
        <v>13</v>
      </c>
      <c r="K1145" s="33" t="s">
        <v>78</v>
      </c>
      <c r="L1145" s="31" t="str">
        <f t="shared" si="111"/>
        <v>Tiga Belas</v>
      </c>
    </row>
    <row r="1146" spans="1:12">
      <c r="A1146" s="33" t="s">
        <v>79</v>
      </c>
      <c r="B1146" s="40" t="e">
        <f>TRUNC((A1130-SUM(C1142:C1145))/100)</f>
        <v>#REF!</v>
      </c>
      <c r="C1146" s="31" t="e">
        <f>B1146*100</f>
        <v>#REF!</v>
      </c>
      <c r="D1146" s="31" t="e">
        <f t="shared" si="110"/>
        <v>#REF!</v>
      </c>
      <c r="E1146" s="31" t="e">
        <f>IF(B1146&lt;1,"",IF(B1146&gt;1," Hundreds "," Hundred "))</f>
        <v>#REF!</v>
      </c>
      <c r="J1146" s="31">
        <v>14</v>
      </c>
      <c r="K1146" s="33" t="s">
        <v>80</v>
      </c>
      <c r="L1146" s="31" t="str">
        <f t="shared" si="111"/>
        <v>Empat Belas</v>
      </c>
    </row>
    <row r="1147" spans="1:12">
      <c r="A1147" s="33" t="s">
        <v>81</v>
      </c>
      <c r="B1147" s="41" t="e">
        <f>TRUNC((A1130-SUM(C1142:C1146)))</f>
        <v>#REF!</v>
      </c>
      <c r="C1147" s="42" t="e">
        <f>B1147</f>
        <v>#REF!</v>
      </c>
      <c r="D1147" s="31" t="e">
        <f t="shared" si="110"/>
        <v>#REF!</v>
      </c>
      <c r="E1147" s="31" t="e">
        <f>IF(SUM(C1142:C1147)&lt;1,"",IF(B1148&lt;1,""," And "))</f>
        <v>#REF!</v>
      </c>
      <c r="J1147" s="31">
        <v>15</v>
      </c>
      <c r="K1147" s="33" t="s">
        <v>82</v>
      </c>
      <c r="L1147" s="31" t="str">
        <f t="shared" si="111"/>
        <v>Lima Belas</v>
      </c>
    </row>
    <row r="1148" spans="1:12">
      <c r="A1148" s="33" t="s">
        <v>83</v>
      </c>
      <c r="B1148" s="40" t="e">
        <f>ROUND(A1130-SUM(C1142:C1147),2)*100</f>
        <v>#REF!</v>
      </c>
      <c r="D1148" s="43" t="e">
        <f t="shared" si="110"/>
        <v>#REF!</v>
      </c>
      <c r="E1148" s="31" t="e">
        <f>IF(B1148&lt;1,"",IF(B1148=1," Cent "," Cents "))</f>
        <v>#REF!</v>
      </c>
      <c r="J1148" s="31">
        <v>16</v>
      </c>
      <c r="K1148" s="33" t="s">
        <v>84</v>
      </c>
      <c r="L1148" s="31" t="str">
        <f t="shared" si="111"/>
        <v>Enam Belas</v>
      </c>
    </row>
    <row r="1149" spans="1:12">
      <c r="J1149" s="31">
        <v>17</v>
      </c>
      <c r="K1149" s="33" t="s">
        <v>85</v>
      </c>
      <c r="L1149" s="31" t="str">
        <f t="shared" si="111"/>
        <v>Tujuh Belas</v>
      </c>
    </row>
    <row r="1150" spans="1:12">
      <c r="A1150" s="44"/>
      <c r="J1150" s="31">
        <v>18</v>
      </c>
      <c r="K1150" s="33" t="s">
        <v>86</v>
      </c>
      <c r="L1150" s="31" t="str">
        <f t="shared" si="111"/>
        <v>Delapan Belas</v>
      </c>
    </row>
    <row r="1151" spans="1:12">
      <c r="A1151" s="38" t="s">
        <v>87</v>
      </c>
      <c r="J1151" s="31">
        <v>19</v>
      </c>
      <c r="K1151" s="33" t="s">
        <v>88</v>
      </c>
      <c r="L1151" s="31" t="str">
        <f t="shared" si="111"/>
        <v>Sembilan Belas</v>
      </c>
    </row>
    <row r="1152" spans="1:12">
      <c r="A1152" s="31" t="s">
        <v>69</v>
      </c>
      <c r="B1152" s="39" t="e">
        <f>TRUNC(A1130/100000000)</f>
        <v>#REF!</v>
      </c>
      <c r="C1152" s="31" t="e">
        <f>B1152*100000000</f>
        <v>#REF!</v>
      </c>
      <c r="D1152" s="31" t="e">
        <f>IF(B1152&lt;1,"",IF(B1152=1,"",VLOOKUP(B1152,$J$3:$L$102,3)))</f>
        <v>#REF!</v>
      </c>
      <c r="E1152" s="31" t="e">
        <f>IF(B1152&lt;1,"",IF(B1152=1,"Seratus "," Ratus "))</f>
        <v>#REF!</v>
      </c>
      <c r="J1152" s="31">
        <v>20</v>
      </c>
      <c r="K1152" s="33" t="s">
        <v>89</v>
      </c>
      <c r="L1152" s="31" t="s">
        <v>90</v>
      </c>
    </row>
    <row r="1153" spans="1:12">
      <c r="A1153" s="31" t="s">
        <v>72</v>
      </c>
      <c r="B1153" s="39" t="e">
        <f>TRUNC((A1130-C1152)/1000000)</f>
        <v>#REF!</v>
      </c>
      <c r="C1153" s="31" t="e">
        <f>B1153*1000000</f>
        <v>#REF!</v>
      </c>
      <c r="D1153" s="31" t="e">
        <f>IF(B1153&lt;1,"",VLOOKUP(B1153,$J$3:$L$102,3))</f>
        <v>#REF!</v>
      </c>
      <c r="E1153" s="31" t="e">
        <f>IF(B1152+B1153=0,""," Juta ")</f>
        <v>#REF!</v>
      </c>
      <c r="J1153" s="31">
        <v>21</v>
      </c>
      <c r="K1153" s="33" t="s">
        <v>91</v>
      </c>
      <c r="L1153" s="31" t="str">
        <f t="shared" ref="L1153:L1161" si="112">$L$23&amp;" "&amp;L1133</f>
        <v>Dua Puluh Satu</v>
      </c>
    </row>
    <row r="1154" spans="1:12">
      <c r="A1154" s="31" t="s">
        <v>75</v>
      </c>
      <c r="B1154" s="39" t="e">
        <f>TRUNC((A1130-SUM(C1152:C1153))/100000)</f>
        <v>#REF!</v>
      </c>
      <c r="C1154" s="31" t="e">
        <f>B1154*100000</f>
        <v>#REF!</v>
      </c>
      <c r="D1154" s="31" t="e">
        <f>IF(B1154&lt;1,"",IF(B1154=1,"",VLOOKUP(B1154,$J$3:$L$102,3)))</f>
        <v>#REF!</v>
      </c>
      <c r="E1154" s="31" t="e">
        <f>IF(B1154&lt;1,"",IF(B1154=1," Seratus "," Ratus "))</f>
        <v>#REF!</v>
      </c>
      <c r="J1154" s="31">
        <v>22</v>
      </c>
      <c r="K1154" s="33" t="s">
        <v>92</v>
      </c>
      <c r="L1154" s="31" t="str">
        <f t="shared" si="112"/>
        <v>Dua Puluh Dua</v>
      </c>
    </row>
    <row r="1155" spans="1:12">
      <c r="A1155" s="33" t="s">
        <v>77</v>
      </c>
      <c r="B1155" s="40" t="e">
        <f>TRUNC((A1130-SUM(C1152:C1154))/1000)</f>
        <v>#REF!</v>
      </c>
      <c r="C1155" s="31" t="e">
        <f>B1155*1000</f>
        <v>#REF!</v>
      </c>
      <c r="D1155" s="31" t="e">
        <f>IF(B1155&lt;1,"",IF(B1155=1,"",VLOOKUP(B1155,$J$3:$L$102,3)))</f>
        <v>#REF!</v>
      </c>
      <c r="E1155" s="31" t="e">
        <f>IF(B1154+B1155&lt;1,"",IF(B1155=1," Seribu "," Ribu "))</f>
        <v>#REF!</v>
      </c>
      <c r="J1155" s="31">
        <v>23</v>
      </c>
      <c r="K1155" s="33" t="s">
        <v>93</v>
      </c>
      <c r="L1155" s="31" t="str">
        <f t="shared" si="112"/>
        <v>Dua Puluh Tiga</v>
      </c>
    </row>
    <row r="1156" spans="1:12">
      <c r="A1156" s="33" t="s">
        <v>79</v>
      </c>
      <c r="B1156" s="40" t="e">
        <f>TRUNC((A1130-SUM(C1152:C1155))/100)</f>
        <v>#REF!</v>
      </c>
      <c r="C1156" s="31" t="e">
        <f>B1156*100</f>
        <v>#REF!</v>
      </c>
      <c r="D1156" s="31" t="e">
        <f>IF(B1156&lt;1,"",IF(B1156=1,"",VLOOKUP(B1156,$J$3:$L$102,3)))</f>
        <v>#REF!</v>
      </c>
      <c r="E1156" s="31" t="e">
        <f>IF(B1156&lt;1,"",IF(B1156=1," Seratus "," Ratus "))</f>
        <v>#REF!</v>
      </c>
      <c r="J1156" s="31">
        <v>24</v>
      </c>
      <c r="K1156" s="33" t="s">
        <v>94</v>
      </c>
      <c r="L1156" s="31" t="str">
        <f t="shared" si="112"/>
        <v>Dua Puluh Empat</v>
      </c>
    </row>
    <row r="1157" spans="1:12">
      <c r="A1157" s="33" t="s">
        <v>81</v>
      </c>
      <c r="B1157" s="41" t="e">
        <f>TRUNC((A1130-SUM(C1152:C1156)))</f>
        <v>#REF!</v>
      </c>
      <c r="C1157" s="42" t="e">
        <f>B1157</f>
        <v>#REF!</v>
      </c>
      <c r="D1157" s="31" t="e">
        <f>IF(B1157&lt;1,"",VLOOKUP(B1157,$J$3:$L$102,3))</f>
        <v>#REF!</v>
      </c>
      <c r="E1157" s="31" t="e">
        <f>IF(SUM(C1152:C1157)&lt;1,"",IF(B1158&lt;1,""," Dan "))</f>
        <v>#REF!</v>
      </c>
      <c r="J1157" s="31">
        <v>25</v>
      </c>
      <c r="K1157" s="33" t="s">
        <v>95</v>
      </c>
      <c r="L1157" s="31" t="str">
        <f t="shared" si="112"/>
        <v>Dua Puluh Lima</v>
      </c>
    </row>
    <row r="1158" spans="1:12">
      <c r="A1158" s="33" t="s">
        <v>83</v>
      </c>
      <c r="B1158" s="40" t="e">
        <f>ROUND(A1130-SUM(C1152:C1157),2)*100</f>
        <v>#REF!</v>
      </c>
      <c r="D1158" s="31" t="e">
        <f>IF(B1158&lt;1,"",VLOOKUP(B1158,$J$3:$L$102,3))</f>
        <v>#REF!</v>
      </c>
      <c r="E1158" s="31" t="e">
        <f>IF(B1158&lt;1,""," Sen ")</f>
        <v>#REF!</v>
      </c>
      <c r="J1158" s="31">
        <v>26</v>
      </c>
      <c r="K1158" s="33" t="s">
        <v>96</v>
      </c>
      <c r="L1158" s="31" t="str">
        <f t="shared" si="112"/>
        <v>Dua Puluh Enam</v>
      </c>
    </row>
    <row r="1159" spans="1:12">
      <c r="J1159" s="31">
        <v>27</v>
      </c>
      <c r="K1159" s="33" t="s">
        <v>97</v>
      </c>
      <c r="L1159" s="31" t="str">
        <f t="shared" si="112"/>
        <v>Dua Puluh Tujuh</v>
      </c>
    </row>
    <row r="1160" spans="1:12">
      <c r="J1160" s="31">
        <v>28</v>
      </c>
      <c r="K1160" s="33" t="s">
        <v>98</v>
      </c>
      <c r="L1160" s="31" t="str">
        <f t="shared" si="112"/>
        <v>Dua Puluh Delapan</v>
      </c>
    </row>
    <row r="1161" spans="1:12">
      <c r="J1161" s="31">
        <v>29</v>
      </c>
      <c r="K1161" s="33" t="s">
        <v>99</v>
      </c>
      <c r="L1161" s="31" t="str">
        <f t="shared" si="112"/>
        <v>Dua Puluh Sembilan</v>
      </c>
    </row>
    <row r="1162" spans="1:12">
      <c r="J1162" s="31">
        <v>30</v>
      </c>
      <c r="K1162" s="33" t="s">
        <v>100</v>
      </c>
      <c r="L1162" s="31" t="s">
        <v>101</v>
      </c>
    </row>
    <row r="1163" spans="1:12">
      <c r="J1163" s="31">
        <v>31</v>
      </c>
      <c r="K1163" s="33" t="s">
        <v>102</v>
      </c>
      <c r="L1163" s="31" t="str">
        <f t="shared" ref="L1163:L1171" si="113">$L$33&amp;" "&amp;L1133</f>
        <v>Tiga Puluh Satu</v>
      </c>
    </row>
    <row r="1164" spans="1:12">
      <c r="J1164" s="31">
        <v>32</v>
      </c>
      <c r="K1164" s="33" t="s">
        <v>103</v>
      </c>
      <c r="L1164" s="31" t="str">
        <f t="shared" si="113"/>
        <v>Tiga Puluh Dua</v>
      </c>
    </row>
    <row r="1165" spans="1:12">
      <c r="J1165" s="31">
        <v>33</v>
      </c>
      <c r="K1165" s="33" t="s">
        <v>104</v>
      </c>
      <c r="L1165" s="31" t="str">
        <f t="shared" si="113"/>
        <v>Tiga Puluh Tiga</v>
      </c>
    </row>
    <row r="1166" spans="1:12">
      <c r="J1166" s="31">
        <v>34</v>
      </c>
      <c r="K1166" s="33" t="s">
        <v>105</v>
      </c>
      <c r="L1166" s="31" t="str">
        <f t="shared" si="113"/>
        <v>Tiga Puluh Empat</v>
      </c>
    </row>
    <row r="1167" spans="1:12">
      <c r="J1167" s="31">
        <v>35</v>
      </c>
      <c r="K1167" s="33" t="s">
        <v>106</v>
      </c>
      <c r="L1167" s="31" t="str">
        <f t="shared" si="113"/>
        <v>Tiga Puluh Lima</v>
      </c>
    </row>
    <row r="1168" spans="1:12">
      <c r="J1168" s="31">
        <v>36</v>
      </c>
      <c r="K1168" s="33" t="s">
        <v>107</v>
      </c>
      <c r="L1168" s="31" t="str">
        <f t="shared" si="113"/>
        <v>Tiga Puluh Enam</v>
      </c>
    </row>
    <row r="1169" spans="1:12">
      <c r="J1169" s="31">
        <v>37</v>
      </c>
      <c r="K1169" s="33" t="s">
        <v>108</v>
      </c>
      <c r="L1169" s="31" t="str">
        <f t="shared" si="113"/>
        <v>Tiga Puluh Tujuh</v>
      </c>
    </row>
    <row r="1170" spans="1:12">
      <c r="J1170" s="31">
        <v>38</v>
      </c>
      <c r="K1170" s="33" t="s">
        <v>109</v>
      </c>
      <c r="L1170" s="31" t="str">
        <f t="shared" si="113"/>
        <v>Tiga Puluh Delapan</v>
      </c>
    </row>
    <row r="1171" spans="1:12">
      <c r="J1171" s="31">
        <v>39</v>
      </c>
      <c r="K1171" s="33" t="s">
        <v>110</v>
      </c>
      <c r="L1171" s="31" t="str">
        <f t="shared" si="113"/>
        <v>Tiga Puluh Sembilan</v>
      </c>
    </row>
    <row r="1172" spans="1:12">
      <c r="B1172" s="35"/>
      <c r="C1172" s="35"/>
      <c r="D1172" s="35"/>
      <c r="J1172" s="31">
        <v>40</v>
      </c>
      <c r="K1172" s="33" t="s">
        <v>111</v>
      </c>
      <c r="L1172" s="31" t="s">
        <v>112</v>
      </c>
    </row>
    <row r="1173" spans="1:12">
      <c r="A1173" s="35"/>
      <c r="B1173" s="35"/>
      <c r="C1173" s="35"/>
      <c r="D1173" s="35"/>
      <c r="J1173" s="31">
        <v>41</v>
      </c>
      <c r="K1173" s="33" t="s">
        <v>113</v>
      </c>
      <c r="L1173" s="31" t="str">
        <f t="shared" ref="L1173:L1181" si="114">$L$43&amp;" "&amp;L1133</f>
        <v>Empat Puluh Satu</v>
      </c>
    </row>
    <row r="1174" spans="1:12">
      <c r="J1174" s="31">
        <v>42</v>
      </c>
      <c r="K1174" s="33" t="s">
        <v>114</v>
      </c>
      <c r="L1174" s="31" t="str">
        <f t="shared" si="114"/>
        <v>Empat Puluh Dua</v>
      </c>
    </row>
    <row r="1175" spans="1:12">
      <c r="A1175" s="38"/>
      <c r="J1175" s="31">
        <v>43</v>
      </c>
      <c r="K1175" s="33" t="s">
        <v>115</v>
      </c>
      <c r="L1175" s="31" t="str">
        <f t="shared" si="114"/>
        <v>Empat Puluh Tiga</v>
      </c>
    </row>
    <row r="1176" spans="1:12">
      <c r="J1176" s="31">
        <v>44</v>
      </c>
      <c r="K1176" s="33" t="s">
        <v>116</v>
      </c>
      <c r="L1176" s="31" t="str">
        <f t="shared" si="114"/>
        <v>Empat Puluh Empat</v>
      </c>
    </row>
    <row r="1177" spans="1:12">
      <c r="J1177" s="31">
        <v>45</v>
      </c>
      <c r="K1177" s="33" t="s">
        <v>117</v>
      </c>
      <c r="L1177" s="31" t="str">
        <f t="shared" si="114"/>
        <v>Empat Puluh Lima</v>
      </c>
    </row>
    <row r="1178" spans="1:12">
      <c r="J1178" s="31">
        <v>46</v>
      </c>
      <c r="K1178" s="33" t="s">
        <v>118</v>
      </c>
      <c r="L1178" s="31" t="str">
        <f t="shared" si="114"/>
        <v>Empat Puluh Enam</v>
      </c>
    </row>
    <row r="1179" spans="1:12">
      <c r="J1179" s="31">
        <v>47</v>
      </c>
      <c r="K1179" s="33" t="s">
        <v>119</v>
      </c>
      <c r="L1179" s="31" t="str">
        <f t="shared" si="114"/>
        <v>Empat Puluh Tujuh</v>
      </c>
    </row>
    <row r="1180" spans="1:12">
      <c r="J1180" s="31">
        <v>48</v>
      </c>
      <c r="K1180" s="33" t="s">
        <v>120</v>
      </c>
      <c r="L1180" s="31" t="str">
        <f t="shared" si="114"/>
        <v>Empat Puluh Delapan</v>
      </c>
    </row>
    <row r="1181" spans="1:12">
      <c r="J1181" s="31">
        <v>49</v>
      </c>
      <c r="K1181" s="33" t="s">
        <v>121</v>
      </c>
      <c r="L1181" s="31" t="str">
        <f t="shared" si="114"/>
        <v>Empat Puluh Sembilan</v>
      </c>
    </row>
    <row r="1182" spans="1:12">
      <c r="J1182" s="31">
        <v>50</v>
      </c>
      <c r="K1182" s="33" t="s">
        <v>122</v>
      </c>
      <c r="L1182" s="31" t="s">
        <v>123</v>
      </c>
    </row>
    <row r="1183" spans="1:12">
      <c r="J1183" s="31">
        <v>51</v>
      </c>
      <c r="K1183" s="33" t="s">
        <v>124</v>
      </c>
      <c r="L1183" s="31" t="str">
        <f t="shared" ref="L1183:L1191" si="115">$L$53&amp;" "&amp;L1133</f>
        <v>Lima Puluh Satu</v>
      </c>
    </row>
    <row r="1184" spans="1:12">
      <c r="J1184" s="31">
        <v>52</v>
      </c>
      <c r="K1184" s="33" t="s">
        <v>125</v>
      </c>
      <c r="L1184" s="31" t="str">
        <f t="shared" si="115"/>
        <v>Lima Puluh Dua</v>
      </c>
    </row>
    <row r="1185" spans="10:12">
      <c r="J1185" s="31">
        <v>53</v>
      </c>
      <c r="K1185" s="33" t="s">
        <v>126</v>
      </c>
      <c r="L1185" s="31" t="str">
        <f t="shared" si="115"/>
        <v>Lima Puluh Tiga</v>
      </c>
    </row>
    <row r="1186" spans="10:12">
      <c r="J1186" s="31">
        <v>54</v>
      </c>
      <c r="K1186" s="33" t="s">
        <v>127</v>
      </c>
      <c r="L1186" s="31" t="str">
        <f t="shared" si="115"/>
        <v>Lima Puluh Empat</v>
      </c>
    </row>
    <row r="1187" spans="10:12">
      <c r="J1187" s="31">
        <v>55</v>
      </c>
      <c r="K1187" s="33" t="s">
        <v>128</v>
      </c>
      <c r="L1187" s="31" t="str">
        <f t="shared" si="115"/>
        <v>Lima Puluh Lima</v>
      </c>
    </row>
    <row r="1188" spans="10:12">
      <c r="J1188" s="31">
        <v>56</v>
      </c>
      <c r="K1188" s="33" t="s">
        <v>129</v>
      </c>
      <c r="L1188" s="31" t="str">
        <f t="shared" si="115"/>
        <v>Lima Puluh Enam</v>
      </c>
    </row>
    <row r="1189" spans="10:12">
      <c r="J1189" s="31">
        <v>57</v>
      </c>
      <c r="K1189" s="33" t="s">
        <v>130</v>
      </c>
      <c r="L1189" s="31" t="str">
        <f t="shared" si="115"/>
        <v>Lima Puluh Tujuh</v>
      </c>
    </row>
    <row r="1190" spans="10:12">
      <c r="J1190" s="31">
        <v>58</v>
      </c>
      <c r="K1190" s="33" t="s">
        <v>131</v>
      </c>
      <c r="L1190" s="31" t="str">
        <f t="shared" si="115"/>
        <v>Lima Puluh Delapan</v>
      </c>
    </row>
    <row r="1191" spans="10:12">
      <c r="J1191" s="31">
        <v>59</v>
      </c>
      <c r="K1191" s="33" t="s">
        <v>132</v>
      </c>
      <c r="L1191" s="31" t="str">
        <f t="shared" si="115"/>
        <v>Lima Puluh Sembilan</v>
      </c>
    </row>
    <row r="1192" spans="10:12">
      <c r="J1192" s="31">
        <v>60</v>
      </c>
      <c r="K1192" s="33" t="s">
        <v>133</v>
      </c>
      <c r="L1192" s="31" t="s">
        <v>134</v>
      </c>
    </row>
    <row r="1193" spans="10:12">
      <c r="J1193" s="31">
        <v>61</v>
      </c>
      <c r="K1193" s="33" t="s">
        <v>135</v>
      </c>
      <c r="L1193" s="31" t="str">
        <f t="shared" ref="L1193:L1201" si="116">$L$63&amp;" "&amp;L1133</f>
        <v>Enam Puluh Satu</v>
      </c>
    </row>
    <row r="1194" spans="10:12">
      <c r="J1194" s="31">
        <v>62</v>
      </c>
      <c r="K1194" s="33" t="s">
        <v>136</v>
      </c>
      <c r="L1194" s="31" t="str">
        <f t="shared" si="116"/>
        <v>Enam Puluh Dua</v>
      </c>
    </row>
    <row r="1195" spans="10:12">
      <c r="J1195" s="31">
        <v>63</v>
      </c>
      <c r="K1195" s="33" t="s">
        <v>137</v>
      </c>
      <c r="L1195" s="31" t="str">
        <f t="shared" si="116"/>
        <v>Enam Puluh Tiga</v>
      </c>
    </row>
    <row r="1196" spans="10:12">
      <c r="J1196" s="31">
        <v>64</v>
      </c>
      <c r="K1196" s="33" t="s">
        <v>138</v>
      </c>
      <c r="L1196" s="31" t="str">
        <f t="shared" si="116"/>
        <v>Enam Puluh Empat</v>
      </c>
    </row>
    <row r="1197" spans="10:12">
      <c r="J1197" s="31">
        <v>65</v>
      </c>
      <c r="K1197" s="33" t="s">
        <v>139</v>
      </c>
      <c r="L1197" s="31" t="str">
        <f t="shared" si="116"/>
        <v>Enam Puluh Lima</v>
      </c>
    </row>
    <row r="1198" spans="10:12">
      <c r="J1198" s="31">
        <v>66</v>
      </c>
      <c r="K1198" s="33" t="s">
        <v>140</v>
      </c>
      <c r="L1198" s="31" t="str">
        <f t="shared" si="116"/>
        <v>Enam Puluh Enam</v>
      </c>
    </row>
    <row r="1199" spans="10:12">
      <c r="J1199" s="31">
        <v>67</v>
      </c>
      <c r="K1199" s="33" t="s">
        <v>141</v>
      </c>
      <c r="L1199" s="31" t="str">
        <f t="shared" si="116"/>
        <v>Enam Puluh Tujuh</v>
      </c>
    </row>
    <row r="1200" spans="10:12">
      <c r="J1200" s="31">
        <v>68</v>
      </c>
      <c r="K1200" s="33" t="s">
        <v>142</v>
      </c>
      <c r="L1200" s="31" t="str">
        <f t="shared" si="116"/>
        <v>Enam Puluh Delapan</v>
      </c>
    </row>
    <row r="1201" spans="10:12">
      <c r="J1201" s="31">
        <v>69</v>
      </c>
      <c r="K1201" s="33" t="s">
        <v>143</v>
      </c>
      <c r="L1201" s="31" t="str">
        <f t="shared" si="116"/>
        <v>Enam Puluh Sembilan</v>
      </c>
    </row>
    <row r="1202" spans="10:12">
      <c r="J1202" s="31">
        <v>70</v>
      </c>
      <c r="K1202" s="33" t="s">
        <v>144</v>
      </c>
      <c r="L1202" s="31" t="s">
        <v>145</v>
      </c>
    </row>
    <row r="1203" spans="10:12">
      <c r="J1203" s="31">
        <v>71</v>
      </c>
      <c r="K1203" s="33" t="s">
        <v>146</v>
      </c>
      <c r="L1203" s="31" t="str">
        <f t="shared" ref="L1203:L1211" si="117">$L$73&amp;" "&amp;L1133</f>
        <v>Tujuh Puluh Satu</v>
      </c>
    </row>
    <row r="1204" spans="10:12">
      <c r="J1204" s="31">
        <v>72</v>
      </c>
      <c r="K1204" s="33" t="s">
        <v>147</v>
      </c>
      <c r="L1204" s="31" t="str">
        <f t="shared" si="117"/>
        <v>Tujuh Puluh Dua</v>
      </c>
    </row>
    <row r="1205" spans="10:12">
      <c r="J1205" s="31">
        <v>73</v>
      </c>
      <c r="K1205" s="33" t="s">
        <v>148</v>
      </c>
      <c r="L1205" s="31" t="str">
        <f t="shared" si="117"/>
        <v>Tujuh Puluh Tiga</v>
      </c>
    </row>
    <row r="1206" spans="10:12">
      <c r="J1206" s="31">
        <v>74</v>
      </c>
      <c r="K1206" s="33" t="s">
        <v>149</v>
      </c>
      <c r="L1206" s="31" t="str">
        <f t="shared" si="117"/>
        <v>Tujuh Puluh Empat</v>
      </c>
    </row>
    <row r="1207" spans="10:12">
      <c r="J1207" s="31">
        <v>75</v>
      </c>
      <c r="K1207" s="33" t="s">
        <v>150</v>
      </c>
      <c r="L1207" s="31" t="str">
        <f t="shared" si="117"/>
        <v>Tujuh Puluh Lima</v>
      </c>
    </row>
    <row r="1208" spans="10:12">
      <c r="J1208" s="31">
        <v>76</v>
      </c>
      <c r="K1208" s="33" t="s">
        <v>151</v>
      </c>
      <c r="L1208" s="31" t="str">
        <f t="shared" si="117"/>
        <v>Tujuh Puluh Enam</v>
      </c>
    </row>
    <row r="1209" spans="10:12">
      <c r="J1209" s="31">
        <v>77</v>
      </c>
      <c r="K1209" s="33" t="s">
        <v>152</v>
      </c>
      <c r="L1209" s="31" t="str">
        <f t="shared" si="117"/>
        <v>Tujuh Puluh Tujuh</v>
      </c>
    </row>
    <row r="1210" spans="10:12">
      <c r="J1210" s="31">
        <v>78</v>
      </c>
      <c r="K1210" s="33" t="s">
        <v>153</v>
      </c>
      <c r="L1210" s="31" t="str">
        <f t="shared" si="117"/>
        <v>Tujuh Puluh Delapan</v>
      </c>
    </row>
    <row r="1211" spans="10:12">
      <c r="J1211" s="31">
        <v>79</v>
      </c>
      <c r="K1211" s="33" t="s">
        <v>154</v>
      </c>
      <c r="L1211" s="31" t="str">
        <f t="shared" si="117"/>
        <v>Tujuh Puluh Sembilan</v>
      </c>
    </row>
    <row r="1212" spans="10:12">
      <c r="J1212" s="31">
        <v>80</v>
      </c>
      <c r="K1212" s="33" t="s">
        <v>155</v>
      </c>
      <c r="L1212" s="31" t="s">
        <v>156</v>
      </c>
    </row>
    <row r="1213" spans="10:12">
      <c r="J1213" s="31">
        <v>81</v>
      </c>
      <c r="K1213" s="33" t="s">
        <v>157</v>
      </c>
      <c r="L1213" s="31" t="str">
        <f t="shared" ref="L1213:L1221" si="118">$L$83&amp;" "&amp;L1133</f>
        <v>Delapan Puluh Satu</v>
      </c>
    </row>
    <row r="1214" spans="10:12">
      <c r="J1214" s="31">
        <v>82</v>
      </c>
      <c r="K1214" s="33" t="s">
        <v>158</v>
      </c>
      <c r="L1214" s="31" t="str">
        <f t="shared" si="118"/>
        <v>Delapan Puluh Dua</v>
      </c>
    </row>
    <row r="1215" spans="10:12">
      <c r="J1215" s="31">
        <v>83</v>
      </c>
      <c r="K1215" s="33" t="s">
        <v>159</v>
      </c>
      <c r="L1215" s="31" t="str">
        <f t="shared" si="118"/>
        <v>Delapan Puluh Tiga</v>
      </c>
    </row>
    <row r="1216" spans="10:12">
      <c r="J1216" s="31">
        <v>84</v>
      </c>
      <c r="K1216" s="33" t="s">
        <v>160</v>
      </c>
      <c r="L1216" s="31" t="str">
        <f t="shared" si="118"/>
        <v>Delapan Puluh Empat</v>
      </c>
    </row>
    <row r="1217" spans="1:12">
      <c r="J1217" s="31">
        <v>85</v>
      </c>
      <c r="K1217" s="33" t="s">
        <v>161</v>
      </c>
      <c r="L1217" s="31" t="str">
        <f t="shared" si="118"/>
        <v>Delapan Puluh Lima</v>
      </c>
    </row>
    <row r="1218" spans="1:12">
      <c r="J1218" s="31">
        <v>86</v>
      </c>
      <c r="K1218" s="33" t="s">
        <v>162</v>
      </c>
      <c r="L1218" s="31" t="str">
        <f t="shared" si="118"/>
        <v>Delapan Puluh Enam</v>
      </c>
    </row>
    <row r="1219" spans="1:12">
      <c r="J1219" s="31">
        <v>87</v>
      </c>
      <c r="K1219" s="33" t="s">
        <v>163</v>
      </c>
      <c r="L1219" s="31" t="str">
        <f t="shared" si="118"/>
        <v>Delapan Puluh Tujuh</v>
      </c>
    </row>
    <row r="1220" spans="1:12">
      <c r="J1220" s="31">
        <v>88</v>
      </c>
      <c r="K1220" s="33" t="s">
        <v>164</v>
      </c>
      <c r="L1220" s="31" t="str">
        <f t="shared" si="118"/>
        <v>Delapan Puluh Delapan</v>
      </c>
    </row>
    <row r="1221" spans="1:12">
      <c r="J1221" s="31">
        <v>89</v>
      </c>
      <c r="K1221" s="33" t="s">
        <v>165</v>
      </c>
      <c r="L1221" s="31" t="str">
        <f t="shared" si="118"/>
        <v>Delapan Puluh Sembilan</v>
      </c>
    </row>
    <row r="1222" spans="1:12">
      <c r="J1222" s="31">
        <v>90</v>
      </c>
      <c r="K1222" s="33" t="s">
        <v>166</v>
      </c>
      <c r="L1222" s="31" t="s">
        <v>167</v>
      </c>
    </row>
    <row r="1223" spans="1:12">
      <c r="J1223" s="31">
        <v>91</v>
      </c>
      <c r="K1223" s="33" t="s">
        <v>168</v>
      </c>
      <c r="L1223" s="31" t="str">
        <f t="shared" ref="L1223:L1231" si="119">$L$93&amp;" "&amp;L1133</f>
        <v>Sembilan Puluh Satu</v>
      </c>
    </row>
    <row r="1224" spans="1:12">
      <c r="J1224" s="31">
        <v>92</v>
      </c>
      <c r="K1224" s="33" t="s">
        <v>169</v>
      </c>
      <c r="L1224" s="31" t="str">
        <f t="shared" si="119"/>
        <v>Sembilan Puluh Dua</v>
      </c>
    </row>
    <row r="1225" spans="1:12">
      <c r="J1225" s="31">
        <v>93</v>
      </c>
      <c r="K1225" s="33" t="s">
        <v>170</v>
      </c>
      <c r="L1225" s="31" t="str">
        <f t="shared" si="119"/>
        <v>Sembilan Puluh Tiga</v>
      </c>
    </row>
    <row r="1226" spans="1:12">
      <c r="J1226" s="31">
        <v>94</v>
      </c>
      <c r="K1226" s="33" t="s">
        <v>171</v>
      </c>
      <c r="L1226" s="31" t="str">
        <f t="shared" si="119"/>
        <v>Sembilan Puluh Empat</v>
      </c>
    </row>
    <row r="1227" spans="1:12">
      <c r="J1227" s="31">
        <v>95</v>
      </c>
      <c r="K1227" s="33" t="s">
        <v>172</v>
      </c>
      <c r="L1227" s="31" t="str">
        <f t="shared" si="119"/>
        <v>Sembilan Puluh Lima</v>
      </c>
    </row>
    <row r="1228" spans="1:12">
      <c r="J1228" s="31">
        <v>96</v>
      </c>
      <c r="K1228" s="33" t="s">
        <v>173</v>
      </c>
      <c r="L1228" s="31" t="str">
        <f t="shared" si="119"/>
        <v>Sembilan Puluh Enam</v>
      </c>
    </row>
    <row r="1229" spans="1:12">
      <c r="J1229" s="31">
        <v>97</v>
      </c>
      <c r="K1229" s="33" t="s">
        <v>174</v>
      </c>
      <c r="L1229" s="31" t="str">
        <f t="shared" si="119"/>
        <v>Sembilan Puluh Tujuh</v>
      </c>
    </row>
    <row r="1230" spans="1:12">
      <c r="J1230" s="31">
        <v>98</v>
      </c>
      <c r="K1230" s="33" t="s">
        <v>175</v>
      </c>
      <c r="L1230" s="31" t="str">
        <f t="shared" si="119"/>
        <v>Sembilan Puluh Delapan</v>
      </c>
    </row>
    <row r="1231" spans="1:12">
      <c r="J1231" s="31">
        <v>99</v>
      </c>
      <c r="K1231" s="33" t="s">
        <v>176</v>
      </c>
      <c r="L1231" s="31" t="str">
        <f t="shared" si="119"/>
        <v>Sembilan Puluh Sembilan</v>
      </c>
    </row>
    <row r="1232" spans="1:12">
      <c r="A1232" s="30" t="e">
        <f>#REF!</f>
        <v>#REF!</v>
      </c>
      <c r="C1232" s="31" t="s">
        <v>291</v>
      </c>
    </row>
    <row r="1233" spans="1:12">
      <c r="A1233" s="32"/>
    </row>
    <row r="1234" spans="1:12">
      <c r="J1234" s="31">
        <v>0</v>
      </c>
      <c r="K1234" s="33" t="s">
        <v>48</v>
      </c>
      <c r="L1234" s="31" t="s">
        <v>49</v>
      </c>
    </row>
    <row r="1235" spans="1:12">
      <c r="A1235" s="34"/>
      <c r="J1235" s="31">
        <v>1</v>
      </c>
      <c r="K1235" s="33" t="s">
        <v>50</v>
      </c>
      <c r="L1235" s="31" t="s">
        <v>51</v>
      </c>
    </row>
    <row r="1236" spans="1:12">
      <c r="A1236" s="255" t="e">
        <f>TRIM(D1244&amp;E1244&amp;D1245&amp;E1245&amp;D1246&amp;E1246&amp;D1247&amp;E1247&amp;D1248&amp;E1248&amp;D1249&amp;E1249&amp;E1250&amp;D1250&amp;" Only")</f>
        <v>#REF!</v>
      </c>
      <c r="B1236" s="255"/>
      <c r="C1236" s="255"/>
      <c r="D1236" s="255"/>
      <c r="E1236" s="35"/>
      <c r="F1236" s="36"/>
      <c r="J1236" s="31">
        <v>2</v>
      </c>
      <c r="K1236" s="33" t="s">
        <v>52</v>
      </c>
      <c r="L1236" s="31" t="s">
        <v>53</v>
      </c>
    </row>
    <row r="1237" spans="1:12">
      <c r="A1237" s="37"/>
      <c r="B1237" s="37"/>
      <c r="C1237" s="37"/>
      <c r="D1237" s="37"/>
      <c r="E1237" s="35"/>
      <c r="F1237" s="36"/>
      <c r="J1237" s="31">
        <v>3</v>
      </c>
      <c r="K1237" s="33" t="s">
        <v>54</v>
      </c>
      <c r="L1237" s="31" t="s">
        <v>55</v>
      </c>
    </row>
    <row r="1238" spans="1:12">
      <c r="A1238" s="37"/>
      <c r="B1238" s="37"/>
      <c r="C1238" s="37"/>
      <c r="D1238" s="37"/>
      <c r="J1238" s="31">
        <v>4</v>
      </c>
      <c r="K1238" s="33" t="s">
        <v>56</v>
      </c>
      <c r="L1238" s="31" t="s">
        <v>57</v>
      </c>
    </row>
    <row r="1239" spans="1:12">
      <c r="A1239" s="255" t="e">
        <f>TRIM(D1254&amp;E1254&amp;D1255&amp;E1255&amp;D1256&amp;E1256&amp;D1257&amp;E1257&amp;D1258&amp;E1258&amp;D1259&amp;E1259&amp;D1260&amp;E1260&amp;" Rupiah")</f>
        <v>#REF!</v>
      </c>
      <c r="B1239" s="255"/>
      <c r="C1239" s="255"/>
      <c r="D1239" s="255"/>
      <c r="E1239" s="35"/>
      <c r="F1239" s="36"/>
      <c r="J1239" s="31">
        <v>5</v>
      </c>
      <c r="K1239" s="33" t="s">
        <v>58</v>
      </c>
      <c r="L1239" s="31" t="s">
        <v>59</v>
      </c>
    </row>
    <row r="1240" spans="1:12">
      <c r="A1240" s="35"/>
      <c r="B1240" s="35"/>
      <c r="C1240" s="35"/>
      <c r="D1240" s="35"/>
      <c r="E1240" s="35"/>
      <c r="F1240" s="36"/>
      <c r="J1240" s="31">
        <v>6</v>
      </c>
      <c r="K1240" s="33" t="s">
        <v>60</v>
      </c>
      <c r="L1240" s="31" t="s">
        <v>61</v>
      </c>
    </row>
    <row r="1241" spans="1:12">
      <c r="J1241" s="31">
        <v>7</v>
      </c>
      <c r="K1241" s="33" t="s">
        <v>62</v>
      </c>
      <c r="L1241" s="31" t="s">
        <v>63</v>
      </c>
    </row>
    <row r="1242" spans="1:12">
      <c r="J1242" s="31">
        <v>8</v>
      </c>
      <c r="K1242" s="33" t="s">
        <v>64</v>
      </c>
      <c r="L1242" s="31" t="s">
        <v>65</v>
      </c>
    </row>
    <row r="1243" spans="1:12">
      <c r="A1243" s="38" t="s">
        <v>66</v>
      </c>
      <c r="J1243" s="31">
        <v>9</v>
      </c>
      <c r="K1243" s="33" t="s">
        <v>67</v>
      </c>
      <c r="L1243" s="31" t="s">
        <v>68</v>
      </c>
    </row>
    <row r="1244" spans="1:12">
      <c r="A1244" s="31" t="s">
        <v>69</v>
      </c>
      <c r="B1244" s="39" t="e">
        <f>TRUNC(A1232/100000000)</f>
        <v>#REF!</v>
      </c>
      <c r="C1244" s="31" t="e">
        <f>B1244*100000000</f>
        <v>#REF!</v>
      </c>
      <c r="D1244" s="31" t="e">
        <f t="shared" ref="D1244:D1250" si="120">IF(B1244&lt;1,"",VLOOKUP(B1244,$J$3:$K$102,2))</f>
        <v>#REF!</v>
      </c>
      <c r="E1244" s="31" t="e">
        <f>IF(B1244&lt;1,"",IF(B1244&gt;1," Hundreds "," Hundred "))</f>
        <v>#REF!</v>
      </c>
      <c r="J1244" s="31">
        <v>10</v>
      </c>
      <c r="K1244" s="33" t="s">
        <v>70</v>
      </c>
      <c r="L1244" s="31" t="s">
        <v>71</v>
      </c>
    </row>
    <row r="1245" spans="1:12">
      <c r="A1245" s="31" t="s">
        <v>72</v>
      </c>
      <c r="B1245" s="39" t="e">
        <f>TRUNC((A1232-C1244)/1000000)</f>
        <v>#REF!</v>
      </c>
      <c r="C1245" s="31" t="e">
        <f>B1245*1000000</f>
        <v>#REF!</v>
      </c>
      <c r="D1245" s="31" t="e">
        <f t="shared" si="120"/>
        <v>#REF!</v>
      </c>
      <c r="E1245" s="31" t="e">
        <f>IF(B1244+B1245=0,"",IF(B1245=1," Million "," Millions "))</f>
        <v>#REF!</v>
      </c>
      <c r="J1245" s="31">
        <v>11</v>
      </c>
      <c r="K1245" s="33" t="s">
        <v>73</v>
      </c>
      <c r="L1245" s="31" t="s">
        <v>74</v>
      </c>
    </row>
    <row r="1246" spans="1:12">
      <c r="A1246" s="31" t="s">
        <v>75</v>
      </c>
      <c r="B1246" s="39" t="e">
        <f>TRUNC((A1232-SUM(C1244:C1245))/100000)</f>
        <v>#REF!</v>
      </c>
      <c r="C1246" s="31" t="e">
        <f>B1246*100000</f>
        <v>#REF!</v>
      </c>
      <c r="D1246" s="31" t="e">
        <f t="shared" si="120"/>
        <v>#REF!</v>
      </c>
      <c r="E1246" s="31" t="e">
        <f>IF(B1246&lt;1,"",IF(B1246&gt;1," Hundreds "," Hundred "))</f>
        <v>#REF!</v>
      </c>
      <c r="J1246" s="31">
        <v>12</v>
      </c>
      <c r="K1246" s="33" t="s">
        <v>76</v>
      </c>
      <c r="L1246" s="31" t="str">
        <f t="shared" ref="L1246:L1253" si="121">L1236&amp;" Belas"</f>
        <v>Dua Belas</v>
      </c>
    </row>
    <row r="1247" spans="1:12">
      <c r="A1247" s="33" t="s">
        <v>77</v>
      </c>
      <c r="B1247" s="40" t="e">
        <f>TRUNC((A1232-SUM(C1244:C1246))/1000)</f>
        <v>#REF!</v>
      </c>
      <c r="C1247" s="31" t="e">
        <f>B1247*1000</f>
        <v>#REF!</v>
      </c>
      <c r="D1247" s="31" t="e">
        <f t="shared" si="120"/>
        <v>#REF!</v>
      </c>
      <c r="E1247" s="31" t="e">
        <f>IF(B1246+B1247=0,"",IF(B1247=1," Thousand "," Thousands "))</f>
        <v>#REF!</v>
      </c>
      <c r="J1247" s="31">
        <v>13</v>
      </c>
      <c r="K1247" s="33" t="s">
        <v>78</v>
      </c>
      <c r="L1247" s="31" t="str">
        <f t="shared" si="121"/>
        <v>Tiga Belas</v>
      </c>
    </row>
    <row r="1248" spans="1:12">
      <c r="A1248" s="33" t="s">
        <v>79</v>
      </c>
      <c r="B1248" s="40" t="e">
        <f>TRUNC((A1232-SUM(C1244:C1247))/100)</f>
        <v>#REF!</v>
      </c>
      <c r="C1248" s="31" t="e">
        <f>B1248*100</f>
        <v>#REF!</v>
      </c>
      <c r="D1248" s="31" t="e">
        <f t="shared" si="120"/>
        <v>#REF!</v>
      </c>
      <c r="E1248" s="31" t="e">
        <f>IF(B1248&lt;1,"",IF(B1248&gt;1," Hundreds "," Hundred "))</f>
        <v>#REF!</v>
      </c>
      <c r="J1248" s="31">
        <v>14</v>
      </c>
      <c r="K1248" s="33" t="s">
        <v>80</v>
      </c>
      <c r="L1248" s="31" t="str">
        <f t="shared" si="121"/>
        <v>Empat Belas</v>
      </c>
    </row>
    <row r="1249" spans="1:12">
      <c r="A1249" s="33" t="s">
        <v>81</v>
      </c>
      <c r="B1249" s="41" t="e">
        <f>TRUNC((A1232-SUM(C1244:C1248)))</f>
        <v>#REF!</v>
      </c>
      <c r="C1249" s="42" t="e">
        <f>B1249</f>
        <v>#REF!</v>
      </c>
      <c r="D1249" s="31" t="e">
        <f t="shared" si="120"/>
        <v>#REF!</v>
      </c>
      <c r="E1249" s="31" t="e">
        <f>IF(SUM(C1244:C1249)&lt;1,"",IF(B1250&lt;1,""," And "))</f>
        <v>#REF!</v>
      </c>
      <c r="J1249" s="31">
        <v>15</v>
      </c>
      <c r="K1249" s="33" t="s">
        <v>82</v>
      </c>
      <c r="L1249" s="31" t="str">
        <f t="shared" si="121"/>
        <v>Lima Belas</v>
      </c>
    </row>
    <row r="1250" spans="1:12">
      <c r="A1250" s="33" t="s">
        <v>83</v>
      </c>
      <c r="B1250" s="40" t="e">
        <f>ROUND(A1232-SUM(C1244:C1249),2)*100</f>
        <v>#REF!</v>
      </c>
      <c r="D1250" s="43" t="e">
        <f t="shared" si="120"/>
        <v>#REF!</v>
      </c>
      <c r="E1250" s="31" t="e">
        <f>IF(B1250&lt;1,"",IF(B1250=1," Cent "," Cents "))</f>
        <v>#REF!</v>
      </c>
      <c r="J1250" s="31">
        <v>16</v>
      </c>
      <c r="K1250" s="33" t="s">
        <v>84</v>
      </c>
      <c r="L1250" s="31" t="str">
        <f t="shared" si="121"/>
        <v>Enam Belas</v>
      </c>
    </row>
    <row r="1251" spans="1:12">
      <c r="J1251" s="31">
        <v>17</v>
      </c>
      <c r="K1251" s="33" t="s">
        <v>85</v>
      </c>
      <c r="L1251" s="31" t="str">
        <f t="shared" si="121"/>
        <v>Tujuh Belas</v>
      </c>
    </row>
    <row r="1252" spans="1:12">
      <c r="A1252" s="44"/>
      <c r="J1252" s="31">
        <v>18</v>
      </c>
      <c r="K1252" s="33" t="s">
        <v>86</v>
      </c>
      <c r="L1252" s="31" t="str">
        <f t="shared" si="121"/>
        <v>Delapan Belas</v>
      </c>
    </row>
    <row r="1253" spans="1:12">
      <c r="A1253" s="38" t="s">
        <v>87</v>
      </c>
      <c r="J1253" s="31">
        <v>19</v>
      </c>
      <c r="K1253" s="33" t="s">
        <v>88</v>
      </c>
      <c r="L1253" s="31" t="str">
        <f t="shared" si="121"/>
        <v>Sembilan Belas</v>
      </c>
    </row>
    <row r="1254" spans="1:12">
      <c r="A1254" s="31" t="s">
        <v>69</v>
      </c>
      <c r="B1254" s="39" t="e">
        <f>TRUNC(A1232/100000000)</f>
        <v>#REF!</v>
      </c>
      <c r="C1254" s="31" t="e">
        <f>B1254*100000000</f>
        <v>#REF!</v>
      </c>
      <c r="D1254" s="31" t="e">
        <f>IF(B1254&lt;1,"",IF(B1254=1,"",VLOOKUP(B1254,$J$3:$L$102,3)))</f>
        <v>#REF!</v>
      </c>
      <c r="E1254" s="31" t="e">
        <f>IF(B1254&lt;1,"",IF(B1254=1,"Seratus "," Ratus "))</f>
        <v>#REF!</v>
      </c>
      <c r="J1254" s="31">
        <v>20</v>
      </c>
      <c r="K1254" s="33" t="s">
        <v>89</v>
      </c>
      <c r="L1254" s="31" t="s">
        <v>90</v>
      </c>
    </row>
    <row r="1255" spans="1:12">
      <c r="A1255" s="31" t="s">
        <v>72</v>
      </c>
      <c r="B1255" s="39" t="e">
        <f>TRUNC((A1232-C1254)/1000000)</f>
        <v>#REF!</v>
      </c>
      <c r="C1255" s="31" t="e">
        <f>B1255*1000000</f>
        <v>#REF!</v>
      </c>
      <c r="D1255" s="31" t="e">
        <f>IF(B1255&lt;1,"",VLOOKUP(B1255,$J$3:$L$102,3))</f>
        <v>#REF!</v>
      </c>
      <c r="E1255" s="31" t="e">
        <f>IF(B1254+B1255=0,""," Juta ")</f>
        <v>#REF!</v>
      </c>
      <c r="J1255" s="31">
        <v>21</v>
      </c>
      <c r="K1255" s="33" t="s">
        <v>91</v>
      </c>
      <c r="L1255" s="31" t="str">
        <f t="shared" ref="L1255:L1263" si="122">$L$23&amp;" "&amp;L1235</f>
        <v>Dua Puluh Satu</v>
      </c>
    </row>
    <row r="1256" spans="1:12">
      <c r="A1256" s="31" t="s">
        <v>75</v>
      </c>
      <c r="B1256" s="39" t="e">
        <f>TRUNC((A1232-SUM(C1254:C1255))/100000)</f>
        <v>#REF!</v>
      </c>
      <c r="C1256" s="31" t="e">
        <f>B1256*100000</f>
        <v>#REF!</v>
      </c>
      <c r="D1256" s="31" t="e">
        <f>IF(B1256&lt;1,"",IF(B1256=1,"",VLOOKUP(B1256,$J$3:$L$102,3)))</f>
        <v>#REF!</v>
      </c>
      <c r="E1256" s="31" t="e">
        <f>IF(B1256&lt;1,"",IF(B1256=1," Seratus "," Ratus "))</f>
        <v>#REF!</v>
      </c>
      <c r="J1256" s="31">
        <v>22</v>
      </c>
      <c r="K1256" s="33" t="s">
        <v>92</v>
      </c>
      <c r="L1256" s="31" t="str">
        <f t="shared" si="122"/>
        <v>Dua Puluh Dua</v>
      </c>
    </row>
    <row r="1257" spans="1:12">
      <c r="A1257" s="33" t="s">
        <v>77</v>
      </c>
      <c r="B1257" s="40" t="e">
        <f>TRUNC((A1232-SUM(C1254:C1256))/1000)</f>
        <v>#REF!</v>
      </c>
      <c r="C1257" s="31" t="e">
        <f>B1257*1000</f>
        <v>#REF!</v>
      </c>
      <c r="D1257" s="31" t="e">
        <f>IF(B1257&lt;1,"",IF(B1257=1,"",VLOOKUP(B1257,$J$3:$L$102,3)))</f>
        <v>#REF!</v>
      </c>
      <c r="E1257" s="31" t="e">
        <f>IF(B1256+B1257&lt;1,"",IF(B1257=1," Seribu "," Ribu "))</f>
        <v>#REF!</v>
      </c>
      <c r="J1257" s="31">
        <v>23</v>
      </c>
      <c r="K1257" s="33" t="s">
        <v>93</v>
      </c>
      <c r="L1257" s="31" t="str">
        <f t="shared" si="122"/>
        <v>Dua Puluh Tiga</v>
      </c>
    </row>
    <row r="1258" spans="1:12">
      <c r="A1258" s="33" t="s">
        <v>79</v>
      </c>
      <c r="B1258" s="40" t="e">
        <f>TRUNC((A1232-SUM(C1254:C1257))/100)</f>
        <v>#REF!</v>
      </c>
      <c r="C1258" s="31" t="e">
        <f>B1258*100</f>
        <v>#REF!</v>
      </c>
      <c r="D1258" s="31" t="e">
        <f>IF(B1258&lt;1,"",IF(B1258=1,"",VLOOKUP(B1258,$J$3:$L$102,3)))</f>
        <v>#REF!</v>
      </c>
      <c r="E1258" s="31" t="e">
        <f>IF(B1258&lt;1,"",IF(B1258=1," Seratus "," Ratus "))</f>
        <v>#REF!</v>
      </c>
      <c r="J1258" s="31">
        <v>24</v>
      </c>
      <c r="K1258" s="33" t="s">
        <v>94</v>
      </c>
      <c r="L1258" s="31" t="str">
        <f t="shared" si="122"/>
        <v>Dua Puluh Empat</v>
      </c>
    </row>
    <row r="1259" spans="1:12">
      <c r="A1259" s="33" t="s">
        <v>81</v>
      </c>
      <c r="B1259" s="41" t="e">
        <f>TRUNC((A1232-SUM(C1254:C1258)))</f>
        <v>#REF!</v>
      </c>
      <c r="C1259" s="42" t="e">
        <f>B1259</f>
        <v>#REF!</v>
      </c>
      <c r="D1259" s="31" t="e">
        <f>IF(B1259&lt;1,"",VLOOKUP(B1259,$J$3:$L$102,3))</f>
        <v>#REF!</v>
      </c>
      <c r="E1259" s="31" t="e">
        <f>IF(SUM(C1254:C1259)&lt;1,"",IF(B1260&lt;1,""," Dan "))</f>
        <v>#REF!</v>
      </c>
      <c r="J1259" s="31">
        <v>25</v>
      </c>
      <c r="K1259" s="33" t="s">
        <v>95</v>
      </c>
      <c r="L1259" s="31" t="str">
        <f t="shared" si="122"/>
        <v>Dua Puluh Lima</v>
      </c>
    </row>
    <row r="1260" spans="1:12">
      <c r="A1260" s="33" t="s">
        <v>83</v>
      </c>
      <c r="B1260" s="40" t="e">
        <f>ROUND(A1232-SUM(C1254:C1259),2)*100</f>
        <v>#REF!</v>
      </c>
      <c r="D1260" s="31" t="e">
        <f>IF(B1260&lt;1,"",VLOOKUP(B1260,$J$3:$L$102,3))</f>
        <v>#REF!</v>
      </c>
      <c r="E1260" s="31" t="e">
        <f>IF(B1260&lt;1,""," Sen ")</f>
        <v>#REF!</v>
      </c>
      <c r="J1260" s="31">
        <v>26</v>
      </c>
      <c r="K1260" s="33" t="s">
        <v>96</v>
      </c>
      <c r="L1260" s="31" t="str">
        <f t="shared" si="122"/>
        <v>Dua Puluh Enam</v>
      </c>
    </row>
    <row r="1261" spans="1:12">
      <c r="J1261" s="31">
        <v>27</v>
      </c>
      <c r="K1261" s="33" t="s">
        <v>97</v>
      </c>
      <c r="L1261" s="31" t="str">
        <f t="shared" si="122"/>
        <v>Dua Puluh Tujuh</v>
      </c>
    </row>
    <row r="1262" spans="1:12">
      <c r="J1262" s="31">
        <v>28</v>
      </c>
      <c r="K1262" s="33" t="s">
        <v>98</v>
      </c>
      <c r="L1262" s="31" t="str">
        <f t="shared" si="122"/>
        <v>Dua Puluh Delapan</v>
      </c>
    </row>
    <row r="1263" spans="1:12">
      <c r="J1263" s="31">
        <v>29</v>
      </c>
      <c r="K1263" s="33" t="s">
        <v>99</v>
      </c>
      <c r="L1263" s="31" t="str">
        <f t="shared" si="122"/>
        <v>Dua Puluh Sembilan</v>
      </c>
    </row>
    <row r="1264" spans="1:12">
      <c r="J1264" s="31">
        <v>30</v>
      </c>
      <c r="K1264" s="33" t="s">
        <v>100</v>
      </c>
      <c r="L1264" s="31" t="s">
        <v>101</v>
      </c>
    </row>
    <row r="1265" spans="1:12">
      <c r="J1265" s="31">
        <v>31</v>
      </c>
      <c r="K1265" s="33" t="s">
        <v>102</v>
      </c>
      <c r="L1265" s="31" t="str">
        <f t="shared" ref="L1265:L1273" si="123">$L$33&amp;" "&amp;L1235</f>
        <v>Tiga Puluh Satu</v>
      </c>
    </row>
    <row r="1266" spans="1:12">
      <c r="J1266" s="31">
        <v>32</v>
      </c>
      <c r="K1266" s="33" t="s">
        <v>103</v>
      </c>
      <c r="L1266" s="31" t="str">
        <f t="shared" si="123"/>
        <v>Tiga Puluh Dua</v>
      </c>
    </row>
    <row r="1267" spans="1:12">
      <c r="J1267" s="31">
        <v>33</v>
      </c>
      <c r="K1267" s="33" t="s">
        <v>104</v>
      </c>
      <c r="L1267" s="31" t="str">
        <f t="shared" si="123"/>
        <v>Tiga Puluh Tiga</v>
      </c>
    </row>
    <row r="1268" spans="1:12">
      <c r="J1268" s="31">
        <v>34</v>
      </c>
      <c r="K1268" s="33" t="s">
        <v>105</v>
      </c>
      <c r="L1268" s="31" t="str">
        <f t="shared" si="123"/>
        <v>Tiga Puluh Empat</v>
      </c>
    </row>
    <row r="1269" spans="1:12">
      <c r="J1269" s="31">
        <v>35</v>
      </c>
      <c r="K1269" s="33" t="s">
        <v>106</v>
      </c>
      <c r="L1269" s="31" t="str">
        <f t="shared" si="123"/>
        <v>Tiga Puluh Lima</v>
      </c>
    </row>
    <row r="1270" spans="1:12">
      <c r="J1270" s="31">
        <v>36</v>
      </c>
      <c r="K1270" s="33" t="s">
        <v>107</v>
      </c>
      <c r="L1270" s="31" t="str">
        <f t="shared" si="123"/>
        <v>Tiga Puluh Enam</v>
      </c>
    </row>
    <row r="1271" spans="1:12">
      <c r="J1271" s="31">
        <v>37</v>
      </c>
      <c r="K1271" s="33" t="s">
        <v>108</v>
      </c>
      <c r="L1271" s="31" t="str">
        <f t="shared" si="123"/>
        <v>Tiga Puluh Tujuh</v>
      </c>
    </row>
    <row r="1272" spans="1:12">
      <c r="J1272" s="31">
        <v>38</v>
      </c>
      <c r="K1272" s="33" t="s">
        <v>109</v>
      </c>
      <c r="L1272" s="31" t="str">
        <f t="shared" si="123"/>
        <v>Tiga Puluh Delapan</v>
      </c>
    </row>
    <row r="1273" spans="1:12">
      <c r="J1273" s="31">
        <v>39</v>
      </c>
      <c r="K1273" s="33" t="s">
        <v>110</v>
      </c>
      <c r="L1273" s="31" t="str">
        <f t="shared" si="123"/>
        <v>Tiga Puluh Sembilan</v>
      </c>
    </row>
    <row r="1274" spans="1:12">
      <c r="B1274" s="35"/>
      <c r="C1274" s="35"/>
      <c r="D1274" s="35"/>
      <c r="J1274" s="31">
        <v>40</v>
      </c>
      <c r="K1274" s="33" t="s">
        <v>111</v>
      </c>
      <c r="L1274" s="31" t="s">
        <v>112</v>
      </c>
    </row>
    <row r="1275" spans="1:12">
      <c r="A1275" s="35"/>
      <c r="B1275" s="35"/>
      <c r="C1275" s="35"/>
      <c r="D1275" s="35"/>
      <c r="J1275" s="31">
        <v>41</v>
      </c>
      <c r="K1275" s="33" t="s">
        <v>113</v>
      </c>
      <c r="L1275" s="31" t="str">
        <f t="shared" ref="L1275:L1283" si="124">$L$43&amp;" "&amp;L1235</f>
        <v>Empat Puluh Satu</v>
      </c>
    </row>
    <row r="1276" spans="1:12">
      <c r="J1276" s="31">
        <v>42</v>
      </c>
      <c r="K1276" s="33" t="s">
        <v>114</v>
      </c>
      <c r="L1276" s="31" t="str">
        <f t="shared" si="124"/>
        <v>Empat Puluh Dua</v>
      </c>
    </row>
    <row r="1277" spans="1:12">
      <c r="A1277" s="38"/>
      <c r="J1277" s="31">
        <v>43</v>
      </c>
      <c r="K1277" s="33" t="s">
        <v>115</v>
      </c>
      <c r="L1277" s="31" t="str">
        <f t="shared" si="124"/>
        <v>Empat Puluh Tiga</v>
      </c>
    </row>
    <row r="1278" spans="1:12">
      <c r="J1278" s="31">
        <v>44</v>
      </c>
      <c r="K1278" s="33" t="s">
        <v>116</v>
      </c>
      <c r="L1278" s="31" t="str">
        <f t="shared" si="124"/>
        <v>Empat Puluh Empat</v>
      </c>
    </row>
    <row r="1279" spans="1:12">
      <c r="J1279" s="31">
        <v>45</v>
      </c>
      <c r="K1279" s="33" t="s">
        <v>117</v>
      </c>
      <c r="L1279" s="31" t="str">
        <f t="shared" si="124"/>
        <v>Empat Puluh Lima</v>
      </c>
    </row>
    <row r="1280" spans="1:12">
      <c r="J1280" s="31">
        <v>46</v>
      </c>
      <c r="K1280" s="33" t="s">
        <v>118</v>
      </c>
      <c r="L1280" s="31" t="str">
        <f t="shared" si="124"/>
        <v>Empat Puluh Enam</v>
      </c>
    </row>
    <row r="1281" spans="10:12">
      <c r="J1281" s="31">
        <v>47</v>
      </c>
      <c r="K1281" s="33" t="s">
        <v>119</v>
      </c>
      <c r="L1281" s="31" t="str">
        <f t="shared" si="124"/>
        <v>Empat Puluh Tujuh</v>
      </c>
    </row>
    <row r="1282" spans="10:12">
      <c r="J1282" s="31">
        <v>48</v>
      </c>
      <c r="K1282" s="33" t="s">
        <v>120</v>
      </c>
      <c r="L1282" s="31" t="str">
        <f t="shared" si="124"/>
        <v>Empat Puluh Delapan</v>
      </c>
    </row>
    <row r="1283" spans="10:12">
      <c r="J1283" s="31">
        <v>49</v>
      </c>
      <c r="K1283" s="33" t="s">
        <v>121</v>
      </c>
      <c r="L1283" s="31" t="str">
        <f t="shared" si="124"/>
        <v>Empat Puluh Sembilan</v>
      </c>
    </row>
    <row r="1284" spans="10:12">
      <c r="J1284" s="31">
        <v>50</v>
      </c>
      <c r="K1284" s="33" t="s">
        <v>122</v>
      </c>
      <c r="L1284" s="31" t="s">
        <v>123</v>
      </c>
    </row>
    <row r="1285" spans="10:12">
      <c r="J1285" s="31">
        <v>51</v>
      </c>
      <c r="K1285" s="33" t="s">
        <v>124</v>
      </c>
      <c r="L1285" s="31" t="str">
        <f t="shared" ref="L1285:L1293" si="125">$L$53&amp;" "&amp;L1235</f>
        <v>Lima Puluh Satu</v>
      </c>
    </row>
    <row r="1286" spans="10:12">
      <c r="J1286" s="31">
        <v>52</v>
      </c>
      <c r="K1286" s="33" t="s">
        <v>125</v>
      </c>
      <c r="L1286" s="31" t="str">
        <f t="shared" si="125"/>
        <v>Lima Puluh Dua</v>
      </c>
    </row>
    <row r="1287" spans="10:12">
      <c r="J1287" s="31">
        <v>53</v>
      </c>
      <c r="K1287" s="33" t="s">
        <v>126</v>
      </c>
      <c r="L1287" s="31" t="str">
        <f t="shared" si="125"/>
        <v>Lima Puluh Tiga</v>
      </c>
    </row>
    <row r="1288" spans="10:12">
      <c r="J1288" s="31">
        <v>54</v>
      </c>
      <c r="K1288" s="33" t="s">
        <v>127</v>
      </c>
      <c r="L1288" s="31" t="str">
        <f t="shared" si="125"/>
        <v>Lima Puluh Empat</v>
      </c>
    </row>
    <row r="1289" spans="10:12">
      <c r="J1289" s="31">
        <v>55</v>
      </c>
      <c r="K1289" s="33" t="s">
        <v>128</v>
      </c>
      <c r="L1289" s="31" t="str">
        <f t="shared" si="125"/>
        <v>Lima Puluh Lima</v>
      </c>
    </row>
    <row r="1290" spans="10:12">
      <c r="J1290" s="31">
        <v>56</v>
      </c>
      <c r="K1290" s="33" t="s">
        <v>129</v>
      </c>
      <c r="L1290" s="31" t="str">
        <f t="shared" si="125"/>
        <v>Lima Puluh Enam</v>
      </c>
    </row>
    <row r="1291" spans="10:12">
      <c r="J1291" s="31">
        <v>57</v>
      </c>
      <c r="K1291" s="33" t="s">
        <v>130</v>
      </c>
      <c r="L1291" s="31" t="str">
        <f t="shared" si="125"/>
        <v>Lima Puluh Tujuh</v>
      </c>
    </row>
    <row r="1292" spans="10:12">
      <c r="J1292" s="31">
        <v>58</v>
      </c>
      <c r="K1292" s="33" t="s">
        <v>131</v>
      </c>
      <c r="L1292" s="31" t="str">
        <f t="shared" si="125"/>
        <v>Lima Puluh Delapan</v>
      </c>
    </row>
    <row r="1293" spans="10:12">
      <c r="J1293" s="31">
        <v>59</v>
      </c>
      <c r="K1293" s="33" t="s">
        <v>132</v>
      </c>
      <c r="L1293" s="31" t="str">
        <f t="shared" si="125"/>
        <v>Lima Puluh Sembilan</v>
      </c>
    </row>
    <row r="1294" spans="10:12">
      <c r="J1294" s="31">
        <v>60</v>
      </c>
      <c r="K1294" s="33" t="s">
        <v>133</v>
      </c>
      <c r="L1294" s="31" t="s">
        <v>134</v>
      </c>
    </row>
    <row r="1295" spans="10:12">
      <c r="J1295" s="31">
        <v>61</v>
      </c>
      <c r="K1295" s="33" t="s">
        <v>135</v>
      </c>
      <c r="L1295" s="31" t="str">
        <f t="shared" ref="L1295:L1303" si="126">$L$63&amp;" "&amp;L1235</f>
        <v>Enam Puluh Satu</v>
      </c>
    </row>
    <row r="1296" spans="10:12">
      <c r="J1296" s="31">
        <v>62</v>
      </c>
      <c r="K1296" s="33" t="s">
        <v>136</v>
      </c>
      <c r="L1296" s="31" t="str">
        <f t="shared" si="126"/>
        <v>Enam Puluh Dua</v>
      </c>
    </row>
    <row r="1297" spans="10:12">
      <c r="J1297" s="31">
        <v>63</v>
      </c>
      <c r="K1297" s="33" t="s">
        <v>137</v>
      </c>
      <c r="L1297" s="31" t="str">
        <f t="shared" si="126"/>
        <v>Enam Puluh Tiga</v>
      </c>
    </row>
    <row r="1298" spans="10:12">
      <c r="J1298" s="31">
        <v>64</v>
      </c>
      <c r="K1298" s="33" t="s">
        <v>138</v>
      </c>
      <c r="L1298" s="31" t="str">
        <f t="shared" si="126"/>
        <v>Enam Puluh Empat</v>
      </c>
    </row>
    <row r="1299" spans="10:12">
      <c r="J1299" s="31">
        <v>65</v>
      </c>
      <c r="K1299" s="33" t="s">
        <v>139</v>
      </c>
      <c r="L1299" s="31" t="str">
        <f t="shared" si="126"/>
        <v>Enam Puluh Lima</v>
      </c>
    </row>
    <row r="1300" spans="10:12">
      <c r="J1300" s="31">
        <v>66</v>
      </c>
      <c r="K1300" s="33" t="s">
        <v>140</v>
      </c>
      <c r="L1300" s="31" t="str">
        <f t="shared" si="126"/>
        <v>Enam Puluh Enam</v>
      </c>
    </row>
    <row r="1301" spans="10:12">
      <c r="J1301" s="31">
        <v>67</v>
      </c>
      <c r="K1301" s="33" t="s">
        <v>141</v>
      </c>
      <c r="L1301" s="31" t="str">
        <f t="shared" si="126"/>
        <v>Enam Puluh Tujuh</v>
      </c>
    </row>
    <row r="1302" spans="10:12">
      <c r="J1302" s="31">
        <v>68</v>
      </c>
      <c r="K1302" s="33" t="s">
        <v>142</v>
      </c>
      <c r="L1302" s="31" t="str">
        <f t="shared" si="126"/>
        <v>Enam Puluh Delapan</v>
      </c>
    </row>
    <row r="1303" spans="10:12">
      <c r="J1303" s="31">
        <v>69</v>
      </c>
      <c r="K1303" s="33" t="s">
        <v>143</v>
      </c>
      <c r="L1303" s="31" t="str">
        <f t="shared" si="126"/>
        <v>Enam Puluh Sembilan</v>
      </c>
    </row>
    <row r="1304" spans="10:12">
      <c r="J1304" s="31">
        <v>70</v>
      </c>
      <c r="K1304" s="33" t="s">
        <v>144</v>
      </c>
      <c r="L1304" s="31" t="s">
        <v>145</v>
      </c>
    </row>
    <row r="1305" spans="10:12">
      <c r="J1305" s="31">
        <v>71</v>
      </c>
      <c r="K1305" s="33" t="s">
        <v>146</v>
      </c>
      <c r="L1305" s="31" t="str">
        <f t="shared" ref="L1305:L1313" si="127">$L$73&amp;" "&amp;L1235</f>
        <v>Tujuh Puluh Satu</v>
      </c>
    </row>
    <row r="1306" spans="10:12">
      <c r="J1306" s="31">
        <v>72</v>
      </c>
      <c r="K1306" s="33" t="s">
        <v>147</v>
      </c>
      <c r="L1306" s="31" t="str">
        <f t="shared" si="127"/>
        <v>Tujuh Puluh Dua</v>
      </c>
    </row>
    <row r="1307" spans="10:12">
      <c r="J1307" s="31">
        <v>73</v>
      </c>
      <c r="K1307" s="33" t="s">
        <v>148</v>
      </c>
      <c r="L1307" s="31" t="str">
        <f t="shared" si="127"/>
        <v>Tujuh Puluh Tiga</v>
      </c>
    </row>
    <row r="1308" spans="10:12">
      <c r="J1308" s="31">
        <v>74</v>
      </c>
      <c r="K1308" s="33" t="s">
        <v>149</v>
      </c>
      <c r="L1308" s="31" t="str">
        <f t="shared" si="127"/>
        <v>Tujuh Puluh Empat</v>
      </c>
    </row>
    <row r="1309" spans="10:12">
      <c r="J1309" s="31">
        <v>75</v>
      </c>
      <c r="K1309" s="33" t="s">
        <v>150</v>
      </c>
      <c r="L1309" s="31" t="str">
        <f t="shared" si="127"/>
        <v>Tujuh Puluh Lima</v>
      </c>
    </row>
    <row r="1310" spans="10:12">
      <c r="J1310" s="31">
        <v>76</v>
      </c>
      <c r="K1310" s="33" t="s">
        <v>151</v>
      </c>
      <c r="L1310" s="31" t="str">
        <f t="shared" si="127"/>
        <v>Tujuh Puluh Enam</v>
      </c>
    </row>
    <row r="1311" spans="10:12">
      <c r="J1311" s="31">
        <v>77</v>
      </c>
      <c r="K1311" s="33" t="s">
        <v>152</v>
      </c>
      <c r="L1311" s="31" t="str">
        <f t="shared" si="127"/>
        <v>Tujuh Puluh Tujuh</v>
      </c>
    </row>
    <row r="1312" spans="10:12">
      <c r="J1312" s="31">
        <v>78</v>
      </c>
      <c r="K1312" s="33" t="s">
        <v>153</v>
      </c>
      <c r="L1312" s="31" t="str">
        <f t="shared" si="127"/>
        <v>Tujuh Puluh Delapan</v>
      </c>
    </row>
    <row r="1313" spans="10:12">
      <c r="J1313" s="31">
        <v>79</v>
      </c>
      <c r="K1313" s="33" t="s">
        <v>154</v>
      </c>
      <c r="L1313" s="31" t="str">
        <f t="shared" si="127"/>
        <v>Tujuh Puluh Sembilan</v>
      </c>
    </row>
    <row r="1314" spans="10:12">
      <c r="J1314" s="31">
        <v>80</v>
      </c>
      <c r="K1314" s="33" t="s">
        <v>155</v>
      </c>
      <c r="L1314" s="31" t="s">
        <v>156</v>
      </c>
    </row>
    <row r="1315" spans="10:12">
      <c r="J1315" s="31">
        <v>81</v>
      </c>
      <c r="K1315" s="33" t="s">
        <v>157</v>
      </c>
      <c r="L1315" s="31" t="str">
        <f t="shared" ref="L1315:L1323" si="128">$L$83&amp;" "&amp;L1235</f>
        <v>Delapan Puluh Satu</v>
      </c>
    </row>
    <row r="1316" spans="10:12">
      <c r="J1316" s="31">
        <v>82</v>
      </c>
      <c r="K1316" s="33" t="s">
        <v>158</v>
      </c>
      <c r="L1316" s="31" t="str">
        <f t="shared" si="128"/>
        <v>Delapan Puluh Dua</v>
      </c>
    </row>
    <row r="1317" spans="10:12">
      <c r="J1317" s="31">
        <v>83</v>
      </c>
      <c r="K1317" s="33" t="s">
        <v>159</v>
      </c>
      <c r="L1317" s="31" t="str">
        <f t="shared" si="128"/>
        <v>Delapan Puluh Tiga</v>
      </c>
    </row>
    <row r="1318" spans="10:12">
      <c r="J1318" s="31">
        <v>84</v>
      </c>
      <c r="K1318" s="33" t="s">
        <v>160</v>
      </c>
      <c r="L1318" s="31" t="str">
        <f t="shared" si="128"/>
        <v>Delapan Puluh Empat</v>
      </c>
    </row>
    <row r="1319" spans="10:12">
      <c r="J1319" s="31">
        <v>85</v>
      </c>
      <c r="K1319" s="33" t="s">
        <v>161</v>
      </c>
      <c r="L1319" s="31" t="str">
        <f t="shared" si="128"/>
        <v>Delapan Puluh Lima</v>
      </c>
    </row>
    <row r="1320" spans="10:12">
      <c r="J1320" s="31">
        <v>86</v>
      </c>
      <c r="K1320" s="33" t="s">
        <v>162</v>
      </c>
      <c r="L1320" s="31" t="str">
        <f t="shared" si="128"/>
        <v>Delapan Puluh Enam</v>
      </c>
    </row>
    <row r="1321" spans="10:12">
      <c r="J1321" s="31">
        <v>87</v>
      </c>
      <c r="K1321" s="33" t="s">
        <v>163</v>
      </c>
      <c r="L1321" s="31" t="str">
        <f t="shared" si="128"/>
        <v>Delapan Puluh Tujuh</v>
      </c>
    </row>
    <row r="1322" spans="10:12">
      <c r="J1322" s="31">
        <v>88</v>
      </c>
      <c r="K1322" s="33" t="s">
        <v>164</v>
      </c>
      <c r="L1322" s="31" t="str">
        <f t="shared" si="128"/>
        <v>Delapan Puluh Delapan</v>
      </c>
    </row>
    <row r="1323" spans="10:12">
      <c r="J1323" s="31">
        <v>89</v>
      </c>
      <c r="K1323" s="33" t="s">
        <v>165</v>
      </c>
      <c r="L1323" s="31" t="str">
        <f t="shared" si="128"/>
        <v>Delapan Puluh Sembilan</v>
      </c>
    </row>
    <row r="1324" spans="10:12">
      <c r="J1324" s="31">
        <v>90</v>
      </c>
      <c r="K1324" s="33" t="s">
        <v>166</v>
      </c>
      <c r="L1324" s="31" t="s">
        <v>167</v>
      </c>
    </row>
    <row r="1325" spans="10:12">
      <c r="J1325" s="31">
        <v>91</v>
      </c>
      <c r="K1325" s="33" t="s">
        <v>168</v>
      </c>
      <c r="L1325" s="31" t="str">
        <f t="shared" ref="L1325:L1333" si="129">$L$93&amp;" "&amp;L1235</f>
        <v>Sembilan Puluh Satu</v>
      </c>
    </row>
    <row r="1326" spans="10:12">
      <c r="J1326" s="31">
        <v>92</v>
      </c>
      <c r="K1326" s="33" t="s">
        <v>169</v>
      </c>
      <c r="L1326" s="31" t="str">
        <f t="shared" si="129"/>
        <v>Sembilan Puluh Dua</v>
      </c>
    </row>
    <row r="1327" spans="10:12">
      <c r="J1327" s="31">
        <v>93</v>
      </c>
      <c r="K1327" s="33" t="s">
        <v>170</v>
      </c>
      <c r="L1327" s="31" t="str">
        <f t="shared" si="129"/>
        <v>Sembilan Puluh Tiga</v>
      </c>
    </row>
    <row r="1328" spans="10:12">
      <c r="J1328" s="31">
        <v>94</v>
      </c>
      <c r="K1328" s="33" t="s">
        <v>171</v>
      </c>
      <c r="L1328" s="31" t="str">
        <f t="shared" si="129"/>
        <v>Sembilan Puluh Empat</v>
      </c>
    </row>
    <row r="1329" spans="1:12">
      <c r="J1329" s="31">
        <v>95</v>
      </c>
      <c r="K1329" s="33" t="s">
        <v>172</v>
      </c>
      <c r="L1329" s="31" t="str">
        <f t="shared" si="129"/>
        <v>Sembilan Puluh Lima</v>
      </c>
    </row>
    <row r="1330" spans="1:12">
      <c r="J1330" s="31">
        <v>96</v>
      </c>
      <c r="K1330" s="33" t="s">
        <v>173</v>
      </c>
      <c r="L1330" s="31" t="str">
        <f t="shared" si="129"/>
        <v>Sembilan Puluh Enam</v>
      </c>
    </row>
    <row r="1331" spans="1:12">
      <c r="J1331" s="31">
        <v>97</v>
      </c>
      <c r="K1331" s="33" t="s">
        <v>174</v>
      </c>
      <c r="L1331" s="31" t="str">
        <f t="shared" si="129"/>
        <v>Sembilan Puluh Tujuh</v>
      </c>
    </row>
    <row r="1332" spans="1:12">
      <c r="J1332" s="31">
        <v>98</v>
      </c>
      <c r="K1332" s="33" t="s">
        <v>175</v>
      </c>
      <c r="L1332" s="31" t="str">
        <f t="shared" si="129"/>
        <v>Sembilan Puluh Delapan</v>
      </c>
    </row>
    <row r="1333" spans="1:12">
      <c r="J1333" s="31">
        <v>99</v>
      </c>
      <c r="K1333" s="33" t="s">
        <v>176</v>
      </c>
      <c r="L1333" s="31" t="str">
        <f t="shared" si="129"/>
        <v>Sembilan Puluh Sembilan</v>
      </c>
    </row>
    <row r="1335" spans="1:12">
      <c r="A1335" s="30" t="e">
        <f>#REF!</f>
        <v>#REF!</v>
      </c>
      <c r="C1335" s="31" t="s">
        <v>197</v>
      </c>
    </row>
    <row r="1336" spans="1:12">
      <c r="A1336" s="32"/>
    </row>
    <row r="1337" spans="1:12">
      <c r="J1337" s="31">
        <v>0</v>
      </c>
      <c r="K1337" s="33" t="s">
        <v>48</v>
      </c>
      <c r="L1337" s="31" t="s">
        <v>49</v>
      </c>
    </row>
    <row r="1338" spans="1:12">
      <c r="A1338" s="34"/>
      <c r="J1338" s="31">
        <v>1</v>
      </c>
      <c r="K1338" s="33" t="s">
        <v>50</v>
      </c>
      <c r="L1338" s="31" t="s">
        <v>51</v>
      </c>
    </row>
    <row r="1339" spans="1:12">
      <c r="A1339" s="255" t="e">
        <f>TRIM(D1347&amp;E1347&amp;D1348&amp;E1348&amp;D1349&amp;E1349&amp;D1350&amp;E1350&amp;D1351&amp;E1351&amp;D1352&amp;E1352&amp;E1353&amp;D1353&amp;" Only")</f>
        <v>#REF!</v>
      </c>
      <c r="B1339" s="255"/>
      <c r="C1339" s="255"/>
      <c r="D1339" s="255"/>
      <c r="E1339" s="35"/>
      <c r="F1339" s="36"/>
      <c r="J1339" s="31">
        <v>2</v>
      </c>
      <c r="K1339" s="33" t="s">
        <v>52</v>
      </c>
      <c r="L1339" s="31" t="s">
        <v>53</v>
      </c>
    </row>
    <row r="1340" spans="1:12">
      <c r="A1340" s="37"/>
      <c r="B1340" s="37"/>
      <c r="C1340" s="37"/>
      <c r="D1340" s="37"/>
      <c r="E1340" s="35"/>
      <c r="F1340" s="36"/>
      <c r="J1340" s="31">
        <v>3</v>
      </c>
      <c r="K1340" s="33" t="s">
        <v>54</v>
      </c>
      <c r="L1340" s="31" t="s">
        <v>55</v>
      </c>
    </row>
    <row r="1341" spans="1:12">
      <c r="A1341" s="37"/>
      <c r="B1341" s="37"/>
      <c r="C1341" s="37"/>
      <c r="D1341" s="37"/>
      <c r="J1341" s="31">
        <v>4</v>
      </c>
      <c r="K1341" s="33" t="s">
        <v>56</v>
      </c>
      <c r="L1341" s="31" t="s">
        <v>57</v>
      </c>
    </row>
    <row r="1342" spans="1:12">
      <c r="A1342" s="255" t="e">
        <f>TRIM(D1357&amp;E1357&amp;D1358&amp;E1358&amp;D1359&amp;E1359&amp;D1360&amp;E1360&amp;D1361&amp;E1361&amp;D1362&amp;E1362&amp;D1363&amp;E1363&amp;" Rupiah")</f>
        <v>#REF!</v>
      </c>
      <c r="B1342" s="255"/>
      <c r="C1342" s="255"/>
      <c r="D1342" s="255"/>
      <c r="E1342" s="35"/>
      <c r="F1342" s="36"/>
      <c r="J1342" s="31">
        <v>5</v>
      </c>
      <c r="K1342" s="33" t="s">
        <v>58</v>
      </c>
      <c r="L1342" s="31" t="s">
        <v>59</v>
      </c>
    </row>
    <row r="1343" spans="1:12">
      <c r="A1343" s="35"/>
      <c r="B1343" s="35"/>
      <c r="C1343" s="35"/>
      <c r="D1343" s="35"/>
      <c r="E1343" s="35"/>
      <c r="F1343" s="36"/>
      <c r="J1343" s="31">
        <v>6</v>
      </c>
      <c r="K1343" s="33" t="s">
        <v>60</v>
      </c>
      <c r="L1343" s="31" t="s">
        <v>61</v>
      </c>
    </row>
    <row r="1344" spans="1:12">
      <c r="J1344" s="31">
        <v>7</v>
      </c>
      <c r="K1344" s="33" t="s">
        <v>62</v>
      </c>
      <c r="L1344" s="31" t="s">
        <v>63</v>
      </c>
    </row>
    <row r="1345" spans="1:12">
      <c r="J1345" s="31">
        <v>8</v>
      </c>
      <c r="K1345" s="33" t="s">
        <v>64</v>
      </c>
      <c r="L1345" s="31" t="s">
        <v>65</v>
      </c>
    </row>
    <row r="1346" spans="1:12">
      <c r="A1346" s="38" t="s">
        <v>66</v>
      </c>
      <c r="J1346" s="31">
        <v>9</v>
      </c>
      <c r="K1346" s="33" t="s">
        <v>67</v>
      </c>
      <c r="L1346" s="31" t="s">
        <v>68</v>
      </c>
    </row>
    <row r="1347" spans="1:12">
      <c r="A1347" s="31" t="s">
        <v>69</v>
      </c>
      <c r="B1347" s="39" t="e">
        <f>TRUNC(A1335/100000000)</f>
        <v>#REF!</v>
      </c>
      <c r="C1347" s="31" t="e">
        <f>B1347*100000000</f>
        <v>#REF!</v>
      </c>
      <c r="D1347" s="31" t="e">
        <f t="shared" ref="D1347:D1353" si="130">IF(B1347&lt;1,"",VLOOKUP(B1347,$J$3:$K$102,2))</f>
        <v>#REF!</v>
      </c>
      <c r="E1347" s="31" t="e">
        <f>IF(B1347&lt;1,"",IF(B1347&gt;1," Hundreds "," Hundred "))</f>
        <v>#REF!</v>
      </c>
      <c r="J1347" s="31">
        <v>10</v>
      </c>
      <c r="K1347" s="33" t="s">
        <v>70</v>
      </c>
      <c r="L1347" s="31" t="s">
        <v>71</v>
      </c>
    </row>
    <row r="1348" spans="1:12">
      <c r="A1348" s="31" t="s">
        <v>72</v>
      </c>
      <c r="B1348" s="39" t="e">
        <f>TRUNC((A1335-C1347)/1000000)</f>
        <v>#REF!</v>
      </c>
      <c r="C1348" s="31" t="e">
        <f>B1348*1000000</f>
        <v>#REF!</v>
      </c>
      <c r="D1348" s="31" t="e">
        <f t="shared" si="130"/>
        <v>#REF!</v>
      </c>
      <c r="E1348" s="31" t="e">
        <f>IF(B1347+B1348=0,"",IF(B1348=1," Million "," Millions "))</f>
        <v>#REF!</v>
      </c>
      <c r="J1348" s="31">
        <v>11</v>
      </c>
      <c r="K1348" s="33" t="s">
        <v>73</v>
      </c>
      <c r="L1348" s="31" t="s">
        <v>74</v>
      </c>
    </row>
    <row r="1349" spans="1:12">
      <c r="A1349" s="31" t="s">
        <v>75</v>
      </c>
      <c r="B1349" s="39" t="e">
        <f>TRUNC((A1335-SUM(C1347:C1348))/100000)</f>
        <v>#REF!</v>
      </c>
      <c r="C1349" s="31" t="e">
        <f>B1349*100000</f>
        <v>#REF!</v>
      </c>
      <c r="D1349" s="31" t="e">
        <f t="shared" si="130"/>
        <v>#REF!</v>
      </c>
      <c r="E1349" s="31" t="e">
        <f>IF(B1349&lt;1,"",IF(B1349&gt;1," Hundreds "," Hundred "))</f>
        <v>#REF!</v>
      </c>
      <c r="J1349" s="31">
        <v>12</v>
      </c>
      <c r="K1349" s="33" t="s">
        <v>76</v>
      </c>
      <c r="L1349" s="31" t="str">
        <f t="shared" ref="L1349:L1356" si="131">L1339&amp;" Belas"</f>
        <v>Dua Belas</v>
      </c>
    </row>
    <row r="1350" spans="1:12">
      <c r="A1350" s="33" t="s">
        <v>77</v>
      </c>
      <c r="B1350" s="40" t="e">
        <f>TRUNC((A1335-SUM(C1347:C1349))/1000)</f>
        <v>#REF!</v>
      </c>
      <c r="C1350" s="31" t="e">
        <f>B1350*1000</f>
        <v>#REF!</v>
      </c>
      <c r="D1350" s="31" t="e">
        <f t="shared" si="130"/>
        <v>#REF!</v>
      </c>
      <c r="E1350" s="31" t="e">
        <f>IF(B1349+B1350=0,"",IF(B1350=1," Thousand "," Thousands "))</f>
        <v>#REF!</v>
      </c>
      <c r="J1350" s="31">
        <v>13</v>
      </c>
      <c r="K1350" s="33" t="s">
        <v>78</v>
      </c>
      <c r="L1350" s="31" t="str">
        <f t="shared" si="131"/>
        <v>Tiga Belas</v>
      </c>
    </row>
    <row r="1351" spans="1:12">
      <c r="A1351" s="33" t="s">
        <v>79</v>
      </c>
      <c r="B1351" s="40" t="e">
        <f>TRUNC((A1335-SUM(C1347:C1350))/100)</f>
        <v>#REF!</v>
      </c>
      <c r="C1351" s="31" t="e">
        <f>B1351*100</f>
        <v>#REF!</v>
      </c>
      <c r="D1351" s="31" t="e">
        <f t="shared" si="130"/>
        <v>#REF!</v>
      </c>
      <c r="E1351" s="31" t="e">
        <f>IF(B1351&lt;1,"",IF(B1351&gt;1," Hundreds "," Hundred "))</f>
        <v>#REF!</v>
      </c>
      <c r="J1351" s="31">
        <v>14</v>
      </c>
      <c r="K1351" s="33" t="s">
        <v>80</v>
      </c>
      <c r="L1351" s="31" t="str">
        <f t="shared" si="131"/>
        <v>Empat Belas</v>
      </c>
    </row>
    <row r="1352" spans="1:12">
      <c r="A1352" s="33" t="s">
        <v>81</v>
      </c>
      <c r="B1352" s="41" t="e">
        <f>TRUNC((A1335-SUM(C1347:C1351)))</f>
        <v>#REF!</v>
      </c>
      <c r="C1352" s="42" t="e">
        <f>B1352</f>
        <v>#REF!</v>
      </c>
      <c r="D1352" s="31" t="e">
        <f t="shared" si="130"/>
        <v>#REF!</v>
      </c>
      <c r="E1352" s="31" t="e">
        <f>IF(SUM(C1347:C1352)&lt;1,"",IF(B1353&lt;1,""," And "))</f>
        <v>#REF!</v>
      </c>
      <c r="J1352" s="31">
        <v>15</v>
      </c>
      <c r="K1352" s="33" t="s">
        <v>82</v>
      </c>
      <c r="L1352" s="31" t="str">
        <f t="shared" si="131"/>
        <v>Lima Belas</v>
      </c>
    </row>
    <row r="1353" spans="1:12">
      <c r="A1353" s="33" t="s">
        <v>83</v>
      </c>
      <c r="B1353" s="40" t="e">
        <f>ROUND(A1335-SUM(C1347:C1352),2)*100</f>
        <v>#REF!</v>
      </c>
      <c r="D1353" s="43" t="e">
        <f t="shared" si="130"/>
        <v>#REF!</v>
      </c>
      <c r="E1353" s="31" t="e">
        <f>IF(B1353&lt;1,"",IF(B1353=1," Cent "," Cents "))</f>
        <v>#REF!</v>
      </c>
      <c r="J1353" s="31">
        <v>16</v>
      </c>
      <c r="K1353" s="33" t="s">
        <v>84</v>
      </c>
      <c r="L1353" s="31" t="str">
        <f t="shared" si="131"/>
        <v>Enam Belas</v>
      </c>
    </row>
    <row r="1354" spans="1:12">
      <c r="J1354" s="31">
        <v>17</v>
      </c>
      <c r="K1354" s="33" t="s">
        <v>85</v>
      </c>
      <c r="L1354" s="31" t="str">
        <f t="shared" si="131"/>
        <v>Tujuh Belas</v>
      </c>
    </row>
    <row r="1355" spans="1:12">
      <c r="A1355" s="44"/>
      <c r="J1355" s="31">
        <v>18</v>
      </c>
      <c r="K1355" s="33" t="s">
        <v>86</v>
      </c>
      <c r="L1355" s="31" t="str">
        <f t="shared" si="131"/>
        <v>Delapan Belas</v>
      </c>
    </row>
    <row r="1356" spans="1:12">
      <c r="A1356" s="38" t="s">
        <v>87</v>
      </c>
      <c r="J1356" s="31">
        <v>19</v>
      </c>
      <c r="K1356" s="33" t="s">
        <v>88</v>
      </c>
      <c r="L1356" s="31" t="str">
        <f t="shared" si="131"/>
        <v>Sembilan Belas</v>
      </c>
    </row>
    <row r="1357" spans="1:12">
      <c r="A1357" s="31" t="s">
        <v>69</v>
      </c>
      <c r="B1357" s="39" t="e">
        <f>TRUNC(A1335/100000000)</f>
        <v>#REF!</v>
      </c>
      <c r="C1357" s="31" t="e">
        <f>B1357*100000000</f>
        <v>#REF!</v>
      </c>
      <c r="D1357" s="31" t="e">
        <f>IF(B1357&lt;1,"",IF(B1357=1,"",VLOOKUP(B1357,$J$3:$L$102,3)))</f>
        <v>#REF!</v>
      </c>
      <c r="E1357" s="31" t="e">
        <f>IF(B1357&lt;1,"",IF(B1357=1,"Seratus "," Ratus "))</f>
        <v>#REF!</v>
      </c>
      <c r="J1357" s="31">
        <v>20</v>
      </c>
      <c r="K1357" s="33" t="s">
        <v>89</v>
      </c>
      <c r="L1357" s="31" t="s">
        <v>90</v>
      </c>
    </row>
    <row r="1358" spans="1:12">
      <c r="A1358" s="31" t="s">
        <v>72</v>
      </c>
      <c r="B1358" s="39" t="e">
        <f>TRUNC((A1335-C1357)/1000000)</f>
        <v>#REF!</v>
      </c>
      <c r="C1358" s="31" t="e">
        <f>B1358*1000000</f>
        <v>#REF!</v>
      </c>
      <c r="D1358" s="31" t="e">
        <f>IF(B1358&lt;1,"",VLOOKUP(B1358,$J$3:$L$102,3))</f>
        <v>#REF!</v>
      </c>
      <c r="E1358" s="31" t="e">
        <f>IF(B1357+B1358=0,""," Juta ")</f>
        <v>#REF!</v>
      </c>
      <c r="J1358" s="31">
        <v>21</v>
      </c>
      <c r="K1358" s="33" t="s">
        <v>91</v>
      </c>
      <c r="L1358" s="31" t="str">
        <f t="shared" ref="L1358:L1366" si="132">$L$23&amp;" "&amp;L1338</f>
        <v>Dua Puluh Satu</v>
      </c>
    </row>
    <row r="1359" spans="1:12">
      <c r="A1359" s="31" t="s">
        <v>75</v>
      </c>
      <c r="B1359" s="39" t="e">
        <f>TRUNC((A1335-SUM(C1357:C1358))/100000)</f>
        <v>#REF!</v>
      </c>
      <c r="C1359" s="31" t="e">
        <f>B1359*100000</f>
        <v>#REF!</v>
      </c>
      <c r="D1359" s="31" t="e">
        <f>IF(B1359&lt;1,"",IF(B1359=1,"",VLOOKUP(B1359,$J$3:$L$102,3)))</f>
        <v>#REF!</v>
      </c>
      <c r="E1359" s="31" t="e">
        <f>IF(B1359&lt;1,"",IF(B1359=1," Seratus "," Ratus "))</f>
        <v>#REF!</v>
      </c>
      <c r="J1359" s="31">
        <v>22</v>
      </c>
      <c r="K1359" s="33" t="s">
        <v>92</v>
      </c>
      <c r="L1359" s="31" t="str">
        <f t="shared" si="132"/>
        <v>Dua Puluh Dua</v>
      </c>
    </row>
    <row r="1360" spans="1:12">
      <c r="A1360" s="33" t="s">
        <v>77</v>
      </c>
      <c r="B1360" s="40" t="e">
        <f>TRUNC((A1335-SUM(C1357:C1359))/1000)</f>
        <v>#REF!</v>
      </c>
      <c r="C1360" s="31" t="e">
        <f>B1360*1000</f>
        <v>#REF!</v>
      </c>
      <c r="D1360" s="31" t="e">
        <f>IF(B1360&lt;1,"",IF(B1360=1,"",VLOOKUP(B1360,$J$3:$L$102,3)))</f>
        <v>#REF!</v>
      </c>
      <c r="E1360" s="31" t="e">
        <f>IF(B1359+B1360&lt;1,"",IF(B1360=1," Seribu "," Ribu "))</f>
        <v>#REF!</v>
      </c>
      <c r="J1360" s="31">
        <v>23</v>
      </c>
      <c r="K1360" s="33" t="s">
        <v>93</v>
      </c>
      <c r="L1360" s="31" t="str">
        <f t="shared" si="132"/>
        <v>Dua Puluh Tiga</v>
      </c>
    </row>
    <row r="1361" spans="1:12">
      <c r="A1361" s="33" t="s">
        <v>79</v>
      </c>
      <c r="B1361" s="40" t="e">
        <f>TRUNC((A1335-SUM(C1357:C1360))/100)</f>
        <v>#REF!</v>
      </c>
      <c r="C1361" s="31" t="e">
        <f>B1361*100</f>
        <v>#REF!</v>
      </c>
      <c r="D1361" s="31" t="e">
        <f>IF(B1361&lt;1,"",IF(B1361=1,"",VLOOKUP(B1361,$J$3:$L$102,3)))</f>
        <v>#REF!</v>
      </c>
      <c r="E1361" s="31" t="e">
        <f>IF(B1361&lt;1,"",IF(B1361=1," Seratus "," Ratus "))</f>
        <v>#REF!</v>
      </c>
      <c r="J1361" s="31">
        <v>24</v>
      </c>
      <c r="K1361" s="33" t="s">
        <v>94</v>
      </c>
      <c r="L1361" s="31" t="str">
        <f t="shared" si="132"/>
        <v>Dua Puluh Empat</v>
      </c>
    </row>
    <row r="1362" spans="1:12">
      <c r="A1362" s="33" t="s">
        <v>81</v>
      </c>
      <c r="B1362" s="41" t="e">
        <f>TRUNC((A1335-SUM(C1357:C1361)))</f>
        <v>#REF!</v>
      </c>
      <c r="C1362" s="42" t="e">
        <f>B1362</f>
        <v>#REF!</v>
      </c>
      <c r="D1362" s="31" t="e">
        <f>IF(B1362&lt;1,"",VLOOKUP(B1362,$J$3:$L$102,3))</f>
        <v>#REF!</v>
      </c>
      <c r="E1362" s="31" t="e">
        <f>IF(SUM(C1357:C1362)&lt;1,"",IF(B1363&lt;1,""," Dan "))</f>
        <v>#REF!</v>
      </c>
      <c r="J1362" s="31">
        <v>25</v>
      </c>
      <c r="K1362" s="33" t="s">
        <v>95</v>
      </c>
      <c r="L1362" s="31" t="str">
        <f t="shared" si="132"/>
        <v>Dua Puluh Lima</v>
      </c>
    </row>
    <row r="1363" spans="1:12">
      <c r="A1363" s="33" t="s">
        <v>83</v>
      </c>
      <c r="B1363" s="40" t="e">
        <f>ROUND(A1335-SUM(C1357:C1362),2)*100</f>
        <v>#REF!</v>
      </c>
      <c r="D1363" s="31" t="e">
        <f>IF(B1363&lt;1,"",VLOOKUP(B1363,$J$3:$L$102,3))</f>
        <v>#REF!</v>
      </c>
      <c r="E1363" s="31" t="e">
        <f>IF(B1363&lt;1,""," Sen ")</f>
        <v>#REF!</v>
      </c>
      <c r="J1363" s="31">
        <v>26</v>
      </c>
      <c r="K1363" s="33" t="s">
        <v>96</v>
      </c>
      <c r="L1363" s="31" t="str">
        <f t="shared" si="132"/>
        <v>Dua Puluh Enam</v>
      </c>
    </row>
    <row r="1364" spans="1:12">
      <c r="J1364" s="31">
        <v>27</v>
      </c>
      <c r="K1364" s="33" t="s">
        <v>97</v>
      </c>
      <c r="L1364" s="31" t="str">
        <f t="shared" si="132"/>
        <v>Dua Puluh Tujuh</v>
      </c>
    </row>
    <row r="1365" spans="1:12">
      <c r="J1365" s="31">
        <v>28</v>
      </c>
      <c r="K1365" s="33" t="s">
        <v>98</v>
      </c>
      <c r="L1365" s="31" t="str">
        <f t="shared" si="132"/>
        <v>Dua Puluh Delapan</v>
      </c>
    </row>
    <row r="1366" spans="1:12">
      <c r="J1366" s="31">
        <v>29</v>
      </c>
      <c r="K1366" s="33" t="s">
        <v>99</v>
      </c>
      <c r="L1366" s="31" t="str">
        <f t="shared" si="132"/>
        <v>Dua Puluh Sembilan</v>
      </c>
    </row>
    <row r="1367" spans="1:12">
      <c r="J1367" s="31">
        <v>30</v>
      </c>
      <c r="K1367" s="33" t="s">
        <v>100</v>
      </c>
      <c r="L1367" s="31" t="s">
        <v>101</v>
      </c>
    </row>
    <row r="1368" spans="1:12">
      <c r="J1368" s="31">
        <v>31</v>
      </c>
      <c r="K1368" s="33" t="s">
        <v>102</v>
      </c>
      <c r="L1368" s="31" t="str">
        <f t="shared" ref="L1368:L1376" si="133">$L$33&amp;" "&amp;L1338</f>
        <v>Tiga Puluh Satu</v>
      </c>
    </row>
    <row r="1369" spans="1:12">
      <c r="J1369" s="31">
        <v>32</v>
      </c>
      <c r="K1369" s="33" t="s">
        <v>103</v>
      </c>
      <c r="L1369" s="31" t="str">
        <f t="shared" si="133"/>
        <v>Tiga Puluh Dua</v>
      </c>
    </row>
    <row r="1370" spans="1:12">
      <c r="J1370" s="31">
        <v>33</v>
      </c>
      <c r="K1370" s="33" t="s">
        <v>104</v>
      </c>
      <c r="L1370" s="31" t="str">
        <f t="shared" si="133"/>
        <v>Tiga Puluh Tiga</v>
      </c>
    </row>
    <row r="1371" spans="1:12">
      <c r="J1371" s="31">
        <v>34</v>
      </c>
      <c r="K1371" s="33" t="s">
        <v>105</v>
      </c>
      <c r="L1371" s="31" t="str">
        <f t="shared" si="133"/>
        <v>Tiga Puluh Empat</v>
      </c>
    </row>
    <row r="1372" spans="1:12">
      <c r="J1372" s="31">
        <v>35</v>
      </c>
      <c r="K1372" s="33" t="s">
        <v>106</v>
      </c>
      <c r="L1372" s="31" t="str">
        <f t="shared" si="133"/>
        <v>Tiga Puluh Lima</v>
      </c>
    </row>
    <row r="1373" spans="1:12">
      <c r="J1373" s="31">
        <v>36</v>
      </c>
      <c r="K1373" s="33" t="s">
        <v>107</v>
      </c>
      <c r="L1373" s="31" t="str">
        <f t="shared" si="133"/>
        <v>Tiga Puluh Enam</v>
      </c>
    </row>
    <row r="1374" spans="1:12">
      <c r="J1374" s="31">
        <v>37</v>
      </c>
      <c r="K1374" s="33" t="s">
        <v>108</v>
      </c>
      <c r="L1374" s="31" t="str">
        <f t="shared" si="133"/>
        <v>Tiga Puluh Tujuh</v>
      </c>
    </row>
    <row r="1375" spans="1:12">
      <c r="J1375" s="31">
        <v>38</v>
      </c>
      <c r="K1375" s="33" t="s">
        <v>109</v>
      </c>
      <c r="L1375" s="31" t="str">
        <f t="shared" si="133"/>
        <v>Tiga Puluh Delapan</v>
      </c>
    </row>
    <row r="1376" spans="1:12">
      <c r="J1376" s="31">
        <v>39</v>
      </c>
      <c r="K1376" s="33" t="s">
        <v>110</v>
      </c>
      <c r="L1376" s="31" t="str">
        <f t="shared" si="133"/>
        <v>Tiga Puluh Sembilan</v>
      </c>
    </row>
    <row r="1377" spans="1:12">
      <c r="B1377" s="35"/>
      <c r="C1377" s="35"/>
      <c r="D1377" s="35"/>
      <c r="J1377" s="31">
        <v>40</v>
      </c>
      <c r="K1377" s="33" t="s">
        <v>111</v>
      </c>
      <c r="L1377" s="31" t="s">
        <v>112</v>
      </c>
    </row>
    <row r="1378" spans="1:12">
      <c r="A1378" s="35"/>
      <c r="B1378" s="35"/>
      <c r="C1378" s="35"/>
      <c r="D1378" s="35"/>
      <c r="J1378" s="31">
        <v>41</v>
      </c>
      <c r="K1378" s="33" t="s">
        <v>113</v>
      </c>
      <c r="L1378" s="31" t="str">
        <f t="shared" ref="L1378:L1386" si="134">$L$43&amp;" "&amp;L1338</f>
        <v>Empat Puluh Satu</v>
      </c>
    </row>
    <row r="1379" spans="1:12">
      <c r="J1379" s="31">
        <v>42</v>
      </c>
      <c r="K1379" s="33" t="s">
        <v>114</v>
      </c>
      <c r="L1379" s="31" t="str">
        <f t="shared" si="134"/>
        <v>Empat Puluh Dua</v>
      </c>
    </row>
    <row r="1380" spans="1:12">
      <c r="A1380" s="38"/>
      <c r="J1380" s="31">
        <v>43</v>
      </c>
      <c r="K1380" s="33" t="s">
        <v>115</v>
      </c>
      <c r="L1380" s="31" t="str">
        <f t="shared" si="134"/>
        <v>Empat Puluh Tiga</v>
      </c>
    </row>
    <row r="1381" spans="1:12">
      <c r="J1381" s="31">
        <v>44</v>
      </c>
      <c r="K1381" s="33" t="s">
        <v>116</v>
      </c>
      <c r="L1381" s="31" t="str">
        <f t="shared" si="134"/>
        <v>Empat Puluh Empat</v>
      </c>
    </row>
    <row r="1382" spans="1:12">
      <c r="J1382" s="31">
        <v>45</v>
      </c>
      <c r="K1382" s="33" t="s">
        <v>117</v>
      </c>
      <c r="L1382" s="31" t="str">
        <f t="shared" si="134"/>
        <v>Empat Puluh Lima</v>
      </c>
    </row>
    <row r="1383" spans="1:12">
      <c r="J1383" s="31">
        <v>46</v>
      </c>
      <c r="K1383" s="33" t="s">
        <v>118</v>
      </c>
      <c r="L1383" s="31" t="str">
        <f t="shared" si="134"/>
        <v>Empat Puluh Enam</v>
      </c>
    </row>
    <row r="1384" spans="1:12">
      <c r="J1384" s="31">
        <v>47</v>
      </c>
      <c r="K1384" s="33" t="s">
        <v>119</v>
      </c>
      <c r="L1384" s="31" t="str">
        <f t="shared" si="134"/>
        <v>Empat Puluh Tujuh</v>
      </c>
    </row>
    <row r="1385" spans="1:12">
      <c r="J1385" s="31">
        <v>48</v>
      </c>
      <c r="K1385" s="33" t="s">
        <v>120</v>
      </c>
      <c r="L1385" s="31" t="str">
        <f t="shared" si="134"/>
        <v>Empat Puluh Delapan</v>
      </c>
    </row>
    <row r="1386" spans="1:12">
      <c r="J1386" s="31">
        <v>49</v>
      </c>
      <c r="K1386" s="33" t="s">
        <v>121</v>
      </c>
      <c r="L1386" s="31" t="str">
        <f t="shared" si="134"/>
        <v>Empat Puluh Sembilan</v>
      </c>
    </row>
    <row r="1387" spans="1:12">
      <c r="J1387" s="31">
        <v>50</v>
      </c>
      <c r="K1387" s="33" t="s">
        <v>122</v>
      </c>
      <c r="L1387" s="31" t="s">
        <v>123</v>
      </c>
    </row>
    <row r="1388" spans="1:12">
      <c r="J1388" s="31">
        <v>51</v>
      </c>
      <c r="K1388" s="33" t="s">
        <v>124</v>
      </c>
      <c r="L1388" s="31" t="str">
        <f t="shared" ref="L1388:L1396" si="135">$L$53&amp;" "&amp;L1338</f>
        <v>Lima Puluh Satu</v>
      </c>
    </row>
    <row r="1389" spans="1:12">
      <c r="J1389" s="31">
        <v>52</v>
      </c>
      <c r="K1389" s="33" t="s">
        <v>125</v>
      </c>
      <c r="L1389" s="31" t="str">
        <f t="shared" si="135"/>
        <v>Lima Puluh Dua</v>
      </c>
    </row>
    <row r="1390" spans="1:12">
      <c r="J1390" s="31">
        <v>53</v>
      </c>
      <c r="K1390" s="33" t="s">
        <v>126</v>
      </c>
      <c r="L1390" s="31" t="str">
        <f t="shared" si="135"/>
        <v>Lima Puluh Tiga</v>
      </c>
    </row>
    <row r="1391" spans="1:12">
      <c r="J1391" s="31">
        <v>54</v>
      </c>
      <c r="K1391" s="33" t="s">
        <v>127</v>
      </c>
      <c r="L1391" s="31" t="str">
        <f t="shared" si="135"/>
        <v>Lima Puluh Empat</v>
      </c>
    </row>
    <row r="1392" spans="1:12">
      <c r="J1392" s="31">
        <v>55</v>
      </c>
      <c r="K1392" s="33" t="s">
        <v>128</v>
      </c>
      <c r="L1392" s="31" t="str">
        <f t="shared" si="135"/>
        <v>Lima Puluh Lima</v>
      </c>
    </row>
    <row r="1393" spans="10:12">
      <c r="J1393" s="31">
        <v>56</v>
      </c>
      <c r="K1393" s="33" t="s">
        <v>129</v>
      </c>
      <c r="L1393" s="31" t="str">
        <f t="shared" si="135"/>
        <v>Lima Puluh Enam</v>
      </c>
    </row>
    <row r="1394" spans="10:12">
      <c r="J1394" s="31">
        <v>57</v>
      </c>
      <c r="K1394" s="33" t="s">
        <v>130</v>
      </c>
      <c r="L1394" s="31" t="str">
        <f t="shared" si="135"/>
        <v>Lima Puluh Tujuh</v>
      </c>
    </row>
    <row r="1395" spans="10:12">
      <c r="J1395" s="31">
        <v>58</v>
      </c>
      <c r="K1395" s="33" t="s">
        <v>131</v>
      </c>
      <c r="L1395" s="31" t="str">
        <f t="shared" si="135"/>
        <v>Lima Puluh Delapan</v>
      </c>
    </row>
    <row r="1396" spans="10:12">
      <c r="J1396" s="31">
        <v>59</v>
      </c>
      <c r="K1396" s="33" t="s">
        <v>132</v>
      </c>
      <c r="L1396" s="31" t="str">
        <f t="shared" si="135"/>
        <v>Lima Puluh Sembilan</v>
      </c>
    </row>
    <row r="1397" spans="10:12">
      <c r="J1397" s="31">
        <v>60</v>
      </c>
      <c r="K1397" s="33" t="s">
        <v>133</v>
      </c>
      <c r="L1397" s="31" t="s">
        <v>134</v>
      </c>
    </row>
    <row r="1398" spans="10:12">
      <c r="J1398" s="31">
        <v>61</v>
      </c>
      <c r="K1398" s="33" t="s">
        <v>135</v>
      </c>
      <c r="L1398" s="31" t="str">
        <f t="shared" ref="L1398:L1406" si="136">$L$63&amp;" "&amp;L1338</f>
        <v>Enam Puluh Satu</v>
      </c>
    </row>
    <row r="1399" spans="10:12">
      <c r="J1399" s="31">
        <v>62</v>
      </c>
      <c r="K1399" s="33" t="s">
        <v>136</v>
      </c>
      <c r="L1399" s="31" t="str">
        <f t="shared" si="136"/>
        <v>Enam Puluh Dua</v>
      </c>
    </row>
    <row r="1400" spans="10:12">
      <c r="J1400" s="31">
        <v>63</v>
      </c>
      <c r="K1400" s="33" t="s">
        <v>137</v>
      </c>
      <c r="L1400" s="31" t="str">
        <f t="shared" si="136"/>
        <v>Enam Puluh Tiga</v>
      </c>
    </row>
    <row r="1401" spans="10:12">
      <c r="J1401" s="31">
        <v>64</v>
      </c>
      <c r="K1401" s="33" t="s">
        <v>138</v>
      </c>
      <c r="L1401" s="31" t="str">
        <f t="shared" si="136"/>
        <v>Enam Puluh Empat</v>
      </c>
    </row>
    <row r="1402" spans="10:12">
      <c r="J1402" s="31">
        <v>65</v>
      </c>
      <c r="K1402" s="33" t="s">
        <v>139</v>
      </c>
      <c r="L1402" s="31" t="str">
        <f t="shared" si="136"/>
        <v>Enam Puluh Lima</v>
      </c>
    </row>
    <row r="1403" spans="10:12">
      <c r="J1403" s="31">
        <v>66</v>
      </c>
      <c r="K1403" s="33" t="s">
        <v>140</v>
      </c>
      <c r="L1403" s="31" t="str">
        <f t="shared" si="136"/>
        <v>Enam Puluh Enam</v>
      </c>
    </row>
    <row r="1404" spans="10:12">
      <c r="J1404" s="31">
        <v>67</v>
      </c>
      <c r="K1404" s="33" t="s">
        <v>141</v>
      </c>
      <c r="L1404" s="31" t="str">
        <f t="shared" si="136"/>
        <v>Enam Puluh Tujuh</v>
      </c>
    </row>
    <row r="1405" spans="10:12">
      <c r="J1405" s="31">
        <v>68</v>
      </c>
      <c r="K1405" s="33" t="s">
        <v>142</v>
      </c>
      <c r="L1405" s="31" t="str">
        <f t="shared" si="136"/>
        <v>Enam Puluh Delapan</v>
      </c>
    </row>
    <row r="1406" spans="10:12">
      <c r="J1406" s="31">
        <v>69</v>
      </c>
      <c r="K1406" s="33" t="s">
        <v>143</v>
      </c>
      <c r="L1406" s="31" t="str">
        <f t="shared" si="136"/>
        <v>Enam Puluh Sembilan</v>
      </c>
    </row>
    <row r="1407" spans="10:12">
      <c r="J1407" s="31">
        <v>70</v>
      </c>
      <c r="K1407" s="33" t="s">
        <v>144</v>
      </c>
      <c r="L1407" s="31" t="s">
        <v>145</v>
      </c>
    </row>
    <row r="1408" spans="10:12">
      <c r="J1408" s="31">
        <v>71</v>
      </c>
      <c r="K1408" s="33" t="s">
        <v>146</v>
      </c>
      <c r="L1408" s="31" t="str">
        <f t="shared" ref="L1408:L1416" si="137">$L$73&amp;" "&amp;L1338</f>
        <v>Tujuh Puluh Satu</v>
      </c>
    </row>
    <row r="1409" spans="10:12">
      <c r="J1409" s="31">
        <v>72</v>
      </c>
      <c r="K1409" s="33" t="s">
        <v>147</v>
      </c>
      <c r="L1409" s="31" t="str">
        <f t="shared" si="137"/>
        <v>Tujuh Puluh Dua</v>
      </c>
    </row>
    <row r="1410" spans="10:12">
      <c r="J1410" s="31">
        <v>73</v>
      </c>
      <c r="K1410" s="33" t="s">
        <v>148</v>
      </c>
      <c r="L1410" s="31" t="str">
        <f t="shared" si="137"/>
        <v>Tujuh Puluh Tiga</v>
      </c>
    </row>
    <row r="1411" spans="10:12">
      <c r="J1411" s="31">
        <v>74</v>
      </c>
      <c r="K1411" s="33" t="s">
        <v>149</v>
      </c>
      <c r="L1411" s="31" t="str">
        <f t="shared" si="137"/>
        <v>Tujuh Puluh Empat</v>
      </c>
    </row>
    <row r="1412" spans="10:12">
      <c r="J1412" s="31">
        <v>75</v>
      </c>
      <c r="K1412" s="33" t="s">
        <v>150</v>
      </c>
      <c r="L1412" s="31" t="str">
        <f t="shared" si="137"/>
        <v>Tujuh Puluh Lima</v>
      </c>
    </row>
    <row r="1413" spans="10:12">
      <c r="J1413" s="31">
        <v>76</v>
      </c>
      <c r="K1413" s="33" t="s">
        <v>151</v>
      </c>
      <c r="L1413" s="31" t="str">
        <f t="shared" si="137"/>
        <v>Tujuh Puluh Enam</v>
      </c>
    </row>
    <row r="1414" spans="10:12">
      <c r="J1414" s="31">
        <v>77</v>
      </c>
      <c r="K1414" s="33" t="s">
        <v>152</v>
      </c>
      <c r="L1414" s="31" t="str">
        <f t="shared" si="137"/>
        <v>Tujuh Puluh Tujuh</v>
      </c>
    </row>
    <row r="1415" spans="10:12">
      <c r="J1415" s="31">
        <v>78</v>
      </c>
      <c r="K1415" s="33" t="s">
        <v>153</v>
      </c>
      <c r="L1415" s="31" t="str">
        <f t="shared" si="137"/>
        <v>Tujuh Puluh Delapan</v>
      </c>
    </row>
    <row r="1416" spans="10:12">
      <c r="J1416" s="31">
        <v>79</v>
      </c>
      <c r="K1416" s="33" t="s">
        <v>154</v>
      </c>
      <c r="L1416" s="31" t="str">
        <f t="shared" si="137"/>
        <v>Tujuh Puluh Sembilan</v>
      </c>
    </row>
    <row r="1417" spans="10:12">
      <c r="J1417" s="31">
        <v>80</v>
      </c>
      <c r="K1417" s="33" t="s">
        <v>155</v>
      </c>
      <c r="L1417" s="31" t="s">
        <v>156</v>
      </c>
    </row>
    <row r="1418" spans="10:12">
      <c r="J1418" s="31">
        <v>81</v>
      </c>
      <c r="K1418" s="33" t="s">
        <v>157</v>
      </c>
      <c r="L1418" s="31" t="str">
        <f t="shared" ref="L1418:L1426" si="138">$L$83&amp;" "&amp;L1338</f>
        <v>Delapan Puluh Satu</v>
      </c>
    </row>
    <row r="1419" spans="10:12">
      <c r="J1419" s="31">
        <v>82</v>
      </c>
      <c r="K1419" s="33" t="s">
        <v>158</v>
      </c>
      <c r="L1419" s="31" t="str">
        <f t="shared" si="138"/>
        <v>Delapan Puluh Dua</v>
      </c>
    </row>
    <row r="1420" spans="10:12">
      <c r="J1420" s="31">
        <v>83</v>
      </c>
      <c r="K1420" s="33" t="s">
        <v>159</v>
      </c>
      <c r="L1420" s="31" t="str">
        <f t="shared" si="138"/>
        <v>Delapan Puluh Tiga</v>
      </c>
    </row>
    <row r="1421" spans="10:12">
      <c r="J1421" s="31">
        <v>84</v>
      </c>
      <c r="K1421" s="33" t="s">
        <v>160</v>
      </c>
      <c r="L1421" s="31" t="str">
        <f t="shared" si="138"/>
        <v>Delapan Puluh Empat</v>
      </c>
    </row>
    <row r="1422" spans="10:12">
      <c r="J1422" s="31">
        <v>85</v>
      </c>
      <c r="K1422" s="33" t="s">
        <v>161</v>
      </c>
      <c r="L1422" s="31" t="str">
        <f t="shared" si="138"/>
        <v>Delapan Puluh Lima</v>
      </c>
    </row>
    <row r="1423" spans="10:12">
      <c r="J1423" s="31">
        <v>86</v>
      </c>
      <c r="K1423" s="33" t="s">
        <v>162</v>
      </c>
      <c r="L1423" s="31" t="str">
        <f t="shared" si="138"/>
        <v>Delapan Puluh Enam</v>
      </c>
    </row>
    <row r="1424" spans="10:12">
      <c r="J1424" s="31">
        <v>87</v>
      </c>
      <c r="K1424" s="33" t="s">
        <v>163</v>
      </c>
      <c r="L1424" s="31" t="str">
        <f t="shared" si="138"/>
        <v>Delapan Puluh Tujuh</v>
      </c>
    </row>
    <row r="1425" spans="1:12">
      <c r="J1425" s="31">
        <v>88</v>
      </c>
      <c r="K1425" s="33" t="s">
        <v>164</v>
      </c>
      <c r="L1425" s="31" t="str">
        <f t="shared" si="138"/>
        <v>Delapan Puluh Delapan</v>
      </c>
    </row>
    <row r="1426" spans="1:12">
      <c r="J1426" s="31">
        <v>89</v>
      </c>
      <c r="K1426" s="33" t="s">
        <v>165</v>
      </c>
      <c r="L1426" s="31" t="str">
        <f t="shared" si="138"/>
        <v>Delapan Puluh Sembilan</v>
      </c>
    </row>
    <row r="1427" spans="1:12">
      <c r="J1427" s="31">
        <v>90</v>
      </c>
      <c r="K1427" s="33" t="s">
        <v>166</v>
      </c>
      <c r="L1427" s="31" t="s">
        <v>167</v>
      </c>
    </row>
    <row r="1428" spans="1:12">
      <c r="J1428" s="31">
        <v>91</v>
      </c>
      <c r="K1428" s="33" t="s">
        <v>168</v>
      </c>
      <c r="L1428" s="31" t="str">
        <f t="shared" ref="L1428:L1436" si="139">$L$93&amp;" "&amp;L1338</f>
        <v>Sembilan Puluh Satu</v>
      </c>
    </row>
    <row r="1429" spans="1:12">
      <c r="J1429" s="31">
        <v>92</v>
      </c>
      <c r="K1429" s="33" t="s">
        <v>169</v>
      </c>
      <c r="L1429" s="31" t="str">
        <f t="shared" si="139"/>
        <v>Sembilan Puluh Dua</v>
      </c>
    </row>
    <row r="1430" spans="1:12">
      <c r="J1430" s="31">
        <v>93</v>
      </c>
      <c r="K1430" s="33" t="s">
        <v>170</v>
      </c>
      <c r="L1430" s="31" t="str">
        <f t="shared" si="139"/>
        <v>Sembilan Puluh Tiga</v>
      </c>
    </row>
    <row r="1431" spans="1:12">
      <c r="J1431" s="31">
        <v>94</v>
      </c>
      <c r="K1431" s="33" t="s">
        <v>171</v>
      </c>
      <c r="L1431" s="31" t="str">
        <f t="shared" si="139"/>
        <v>Sembilan Puluh Empat</v>
      </c>
    </row>
    <row r="1432" spans="1:12">
      <c r="J1432" s="31">
        <v>95</v>
      </c>
      <c r="K1432" s="33" t="s">
        <v>172</v>
      </c>
      <c r="L1432" s="31" t="str">
        <f t="shared" si="139"/>
        <v>Sembilan Puluh Lima</v>
      </c>
    </row>
    <row r="1433" spans="1:12">
      <c r="J1433" s="31">
        <v>96</v>
      </c>
      <c r="K1433" s="33" t="s">
        <v>173</v>
      </c>
      <c r="L1433" s="31" t="str">
        <f t="shared" si="139"/>
        <v>Sembilan Puluh Enam</v>
      </c>
    </row>
    <row r="1434" spans="1:12">
      <c r="J1434" s="31">
        <v>97</v>
      </c>
      <c r="K1434" s="33" t="s">
        <v>174</v>
      </c>
      <c r="L1434" s="31" t="str">
        <f t="shared" si="139"/>
        <v>Sembilan Puluh Tujuh</v>
      </c>
    </row>
    <row r="1435" spans="1:12">
      <c r="J1435" s="31">
        <v>98</v>
      </c>
      <c r="K1435" s="33" t="s">
        <v>175</v>
      </c>
      <c r="L1435" s="31" t="str">
        <f t="shared" si="139"/>
        <v>Sembilan Puluh Delapan</v>
      </c>
    </row>
    <row r="1436" spans="1:12">
      <c r="J1436" s="31">
        <v>99</v>
      </c>
      <c r="K1436" s="33" t="s">
        <v>176</v>
      </c>
      <c r="L1436" s="31" t="str">
        <f t="shared" si="139"/>
        <v>Sembilan Puluh Sembilan</v>
      </c>
    </row>
    <row r="1438" spans="1:12">
      <c r="A1438" s="30" t="e">
        <f>#REF!</f>
        <v>#REF!</v>
      </c>
      <c r="B1438" s="31" t="s">
        <v>226</v>
      </c>
    </row>
    <row r="1439" spans="1:12">
      <c r="A1439" s="32"/>
    </row>
    <row r="1440" spans="1:12">
      <c r="J1440" s="31">
        <v>0</v>
      </c>
      <c r="K1440" s="33" t="s">
        <v>48</v>
      </c>
      <c r="L1440" s="31" t="s">
        <v>49</v>
      </c>
    </row>
    <row r="1441" spans="1:12">
      <c r="A1441" s="34"/>
      <c r="J1441" s="31">
        <v>1</v>
      </c>
      <c r="K1441" s="33" t="s">
        <v>50</v>
      </c>
      <c r="L1441" s="31" t="s">
        <v>51</v>
      </c>
    </row>
    <row r="1442" spans="1:12">
      <c r="A1442" s="255" t="e">
        <f>TRIM(D1450&amp;E1450&amp;D1451&amp;E1451&amp;D1452&amp;E1452&amp;D1453&amp;E1453&amp;D1454&amp;E1454&amp;D1455&amp;E1455&amp;E1456&amp;D1456&amp;" Only")</f>
        <v>#REF!</v>
      </c>
      <c r="B1442" s="255"/>
      <c r="C1442" s="255"/>
      <c r="D1442" s="255"/>
      <c r="E1442" s="35"/>
      <c r="F1442" s="36"/>
      <c r="J1442" s="31">
        <v>2</v>
      </c>
      <c r="K1442" s="33" t="s">
        <v>52</v>
      </c>
      <c r="L1442" s="31" t="s">
        <v>53</v>
      </c>
    </row>
    <row r="1443" spans="1:12">
      <c r="A1443" s="37"/>
      <c r="B1443" s="37"/>
      <c r="C1443" s="37"/>
      <c r="D1443" s="37"/>
      <c r="E1443" s="35"/>
      <c r="F1443" s="36"/>
      <c r="J1443" s="31">
        <v>3</v>
      </c>
      <c r="K1443" s="33" t="s">
        <v>54</v>
      </c>
      <c r="L1443" s="31" t="s">
        <v>55</v>
      </c>
    </row>
    <row r="1444" spans="1:12">
      <c r="A1444" s="37"/>
      <c r="B1444" s="37"/>
      <c r="C1444" s="37"/>
      <c r="D1444" s="37"/>
      <c r="J1444" s="31">
        <v>4</v>
      </c>
      <c r="K1444" s="33" t="s">
        <v>56</v>
      </c>
      <c r="L1444" s="31" t="s">
        <v>57</v>
      </c>
    </row>
    <row r="1445" spans="1:12">
      <c r="A1445" s="255" t="e">
        <f>TRIM(D1460&amp;E1460&amp;D1461&amp;E1461&amp;D1462&amp;E1462&amp;D1463&amp;E1463&amp;D1464&amp;E1464&amp;D1465&amp;E1465&amp;D1466&amp;E1466&amp;" Rupiah")</f>
        <v>#REF!</v>
      </c>
      <c r="B1445" s="255"/>
      <c r="C1445" s="255"/>
      <c r="D1445" s="255"/>
      <c r="E1445" s="35"/>
      <c r="F1445" s="36"/>
      <c r="J1445" s="31">
        <v>5</v>
      </c>
      <c r="K1445" s="33" t="s">
        <v>58</v>
      </c>
      <c r="L1445" s="31" t="s">
        <v>59</v>
      </c>
    </row>
    <row r="1446" spans="1:12">
      <c r="A1446" s="35"/>
      <c r="B1446" s="35"/>
      <c r="C1446" s="35"/>
      <c r="D1446" s="35"/>
      <c r="E1446" s="35"/>
      <c r="F1446" s="36"/>
      <c r="J1446" s="31">
        <v>6</v>
      </c>
      <c r="K1446" s="33" t="s">
        <v>60</v>
      </c>
      <c r="L1446" s="31" t="s">
        <v>61</v>
      </c>
    </row>
    <row r="1447" spans="1:12">
      <c r="J1447" s="31">
        <v>7</v>
      </c>
      <c r="K1447" s="33" t="s">
        <v>62</v>
      </c>
      <c r="L1447" s="31" t="s">
        <v>63</v>
      </c>
    </row>
    <row r="1448" spans="1:12">
      <c r="J1448" s="31">
        <v>8</v>
      </c>
      <c r="K1448" s="33" t="s">
        <v>64</v>
      </c>
      <c r="L1448" s="31" t="s">
        <v>65</v>
      </c>
    </row>
    <row r="1449" spans="1:12">
      <c r="A1449" s="38" t="s">
        <v>66</v>
      </c>
      <c r="J1449" s="31">
        <v>9</v>
      </c>
      <c r="K1449" s="33" t="s">
        <v>67</v>
      </c>
      <c r="L1449" s="31" t="s">
        <v>68</v>
      </c>
    </row>
    <row r="1450" spans="1:12">
      <c r="A1450" s="31" t="s">
        <v>69</v>
      </c>
      <c r="B1450" s="39" t="e">
        <f>TRUNC(A1438/100000000)</f>
        <v>#REF!</v>
      </c>
      <c r="C1450" s="31" t="e">
        <f>B1450*100000000</f>
        <v>#REF!</v>
      </c>
      <c r="D1450" s="31" t="e">
        <f t="shared" ref="D1450:D1456" si="140">IF(B1450&lt;1,"",VLOOKUP(B1450,$J$3:$K$102,2))</f>
        <v>#REF!</v>
      </c>
      <c r="E1450" s="31" t="e">
        <f>IF(B1450&lt;1,"",IF(B1450&gt;1," Hundreds "," Hundred "))</f>
        <v>#REF!</v>
      </c>
      <c r="J1450" s="31">
        <v>10</v>
      </c>
      <c r="K1450" s="33" t="s">
        <v>70</v>
      </c>
      <c r="L1450" s="31" t="s">
        <v>71</v>
      </c>
    </row>
    <row r="1451" spans="1:12">
      <c r="A1451" s="31" t="s">
        <v>72</v>
      </c>
      <c r="B1451" s="39" t="e">
        <f>TRUNC((A1438-C1450)/1000000)</f>
        <v>#REF!</v>
      </c>
      <c r="C1451" s="31" t="e">
        <f>B1451*1000000</f>
        <v>#REF!</v>
      </c>
      <c r="D1451" s="31" t="e">
        <f t="shared" si="140"/>
        <v>#REF!</v>
      </c>
      <c r="E1451" s="31" t="e">
        <f>IF(B1450+B1451=0,"",IF(B1451=1," Million "," Millions "))</f>
        <v>#REF!</v>
      </c>
      <c r="J1451" s="31">
        <v>11</v>
      </c>
      <c r="K1451" s="33" t="s">
        <v>73</v>
      </c>
      <c r="L1451" s="31" t="s">
        <v>74</v>
      </c>
    </row>
    <row r="1452" spans="1:12">
      <c r="A1452" s="31" t="s">
        <v>75</v>
      </c>
      <c r="B1452" s="39" t="e">
        <f>TRUNC((A1438-SUM(C1450:C1451))/100000)</f>
        <v>#REF!</v>
      </c>
      <c r="C1452" s="31" t="e">
        <f>B1452*100000</f>
        <v>#REF!</v>
      </c>
      <c r="D1452" s="31" t="e">
        <f t="shared" si="140"/>
        <v>#REF!</v>
      </c>
      <c r="E1452" s="31" t="e">
        <f>IF(B1452&lt;1,"",IF(B1452&gt;1," Hundreds "," Hundred "))</f>
        <v>#REF!</v>
      </c>
      <c r="J1452" s="31">
        <v>12</v>
      </c>
      <c r="K1452" s="33" t="s">
        <v>76</v>
      </c>
      <c r="L1452" s="31" t="str">
        <f t="shared" ref="L1452:L1459" si="141">L1442&amp;" Belas"</f>
        <v>Dua Belas</v>
      </c>
    </row>
    <row r="1453" spans="1:12">
      <c r="A1453" s="33" t="s">
        <v>77</v>
      </c>
      <c r="B1453" s="40" t="e">
        <f>TRUNC((A1438-SUM(C1450:C1452))/1000)</f>
        <v>#REF!</v>
      </c>
      <c r="C1453" s="31" t="e">
        <f>B1453*1000</f>
        <v>#REF!</v>
      </c>
      <c r="D1453" s="31" t="e">
        <f t="shared" si="140"/>
        <v>#REF!</v>
      </c>
      <c r="E1453" s="31" t="e">
        <f>IF(B1452+B1453=0,"",IF(B1453=1," Thousand "," Thousands "))</f>
        <v>#REF!</v>
      </c>
      <c r="J1453" s="31">
        <v>13</v>
      </c>
      <c r="K1453" s="33" t="s">
        <v>78</v>
      </c>
      <c r="L1453" s="31" t="str">
        <f t="shared" si="141"/>
        <v>Tiga Belas</v>
      </c>
    </row>
    <row r="1454" spans="1:12">
      <c r="A1454" s="33" t="s">
        <v>79</v>
      </c>
      <c r="B1454" s="40" t="e">
        <f>TRUNC((A1438-SUM(C1450:C1453))/100)</f>
        <v>#REF!</v>
      </c>
      <c r="C1454" s="31" t="e">
        <f>B1454*100</f>
        <v>#REF!</v>
      </c>
      <c r="D1454" s="31" t="e">
        <f t="shared" si="140"/>
        <v>#REF!</v>
      </c>
      <c r="E1454" s="31" t="e">
        <f>IF(B1454&lt;1,"",IF(B1454&gt;1," Hundreds "," Hundred "))</f>
        <v>#REF!</v>
      </c>
      <c r="J1454" s="31">
        <v>14</v>
      </c>
      <c r="K1454" s="33" t="s">
        <v>80</v>
      </c>
      <c r="L1454" s="31" t="str">
        <f t="shared" si="141"/>
        <v>Empat Belas</v>
      </c>
    </row>
    <row r="1455" spans="1:12">
      <c r="A1455" s="33" t="s">
        <v>81</v>
      </c>
      <c r="B1455" s="41" t="e">
        <f>TRUNC((A1438-SUM(C1450:C1454)))</f>
        <v>#REF!</v>
      </c>
      <c r="C1455" s="42" t="e">
        <f>B1455</f>
        <v>#REF!</v>
      </c>
      <c r="D1455" s="31" t="e">
        <f t="shared" si="140"/>
        <v>#REF!</v>
      </c>
      <c r="E1455" s="31" t="e">
        <f>IF(SUM(C1450:C1455)&lt;1,"",IF(B1456&lt;1,""," And "))</f>
        <v>#REF!</v>
      </c>
      <c r="J1455" s="31">
        <v>15</v>
      </c>
      <c r="K1455" s="33" t="s">
        <v>82</v>
      </c>
      <c r="L1455" s="31" t="str">
        <f t="shared" si="141"/>
        <v>Lima Belas</v>
      </c>
    </row>
    <row r="1456" spans="1:12">
      <c r="A1456" s="33" t="s">
        <v>83</v>
      </c>
      <c r="B1456" s="40" t="e">
        <f>ROUND(A1438-SUM(C1450:C1455),2)*100</f>
        <v>#REF!</v>
      </c>
      <c r="D1456" s="43" t="e">
        <f t="shared" si="140"/>
        <v>#REF!</v>
      </c>
      <c r="E1456" s="31" t="e">
        <f>IF(B1456&lt;1,"",IF(B1456=1," Cent "," Cents "))</f>
        <v>#REF!</v>
      </c>
      <c r="J1456" s="31">
        <v>16</v>
      </c>
      <c r="K1456" s="33" t="s">
        <v>84</v>
      </c>
      <c r="L1456" s="31" t="str">
        <f t="shared" si="141"/>
        <v>Enam Belas</v>
      </c>
    </row>
    <row r="1457" spans="1:12">
      <c r="J1457" s="31">
        <v>17</v>
      </c>
      <c r="K1457" s="33" t="s">
        <v>85</v>
      </c>
      <c r="L1457" s="31" t="str">
        <f t="shared" si="141"/>
        <v>Tujuh Belas</v>
      </c>
    </row>
    <row r="1458" spans="1:12">
      <c r="A1458" s="44"/>
      <c r="J1458" s="31">
        <v>18</v>
      </c>
      <c r="K1458" s="33" t="s">
        <v>86</v>
      </c>
      <c r="L1458" s="31" t="str">
        <f t="shared" si="141"/>
        <v>Delapan Belas</v>
      </c>
    </row>
    <row r="1459" spans="1:12">
      <c r="A1459" s="38" t="s">
        <v>87</v>
      </c>
      <c r="J1459" s="31">
        <v>19</v>
      </c>
      <c r="K1459" s="33" t="s">
        <v>88</v>
      </c>
      <c r="L1459" s="31" t="str">
        <f t="shared" si="141"/>
        <v>Sembilan Belas</v>
      </c>
    </row>
    <row r="1460" spans="1:12">
      <c r="A1460" s="31" t="s">
        <v>69</v>
      </c>
      <c r="B1460" s="39" t="e">
        <f>TRUNC(A1438/100000000)</f>
        <v>#REF!</v>
      </c>
      <c r="C1460" s="31" t="e">
        <f>B1460*100000000</f>
        <v>#REF!</v>
      </c>
      <c r="D1460" s="31" t="e">
        <f>IF(B1460&lt;1,"",IF(B1460=1,"",VLOOKUP(B1460,$J$3:$L$102,3)))</f>
        <v>#REF!</v>
      </c>
      <c r="E1460" s="31" t="e">
        <f>IF(B1460&lt;1,"",IF(B1460=1,"Seratus "," Ratus "))</f>
        <v>#REF!</v>
      </c>
      <c r="J1460" s="31">
        <v>20</v>
      </c>
      <c r="K1460" s="33" t="s">
        <v>89</v>
      </c>
      <c r="L1460" s="31" t="s">
        <v>90</v>
      </c>
    </row>
    <row r="1461" spans="1:12">
      <c r="A1461" s="31" t="s">
        <v>72</v>
      </c>
      <c r="B1461" s="39" t="e">
        <f>TRUNC((A1438-C1460)/1000000)</f>
        <v>#REF!</v>
      </c>
      <c r="C1461" s="31" t="e">
        <f>B1461*1000000</f>
        <v>#REF!</v>
      </c>
      <c r="D1461" s="31" t="e">
        <f>IF(B1461&lt;1,"",VLOOKUP(B1461,$J$3:$L$102,3))</f>
        <v>#REF!</v>
      </c>
      <c r="E1461" s="31" t="e">
        <f>IF(B1460+B1461=0,""," Juta ")</f>
        <v>#REF!</v>
      </c>
      <c r="J1461" s="31">
        <v>21</v>
      </c>
      <c r="K1461" s="33" t="s">
        <v>91</v>
      </c>
      <c r="L1461" s="31" t="str">
        <f t="shared" ref="L1461:L1469" si="142">$L$23&amp;" "&amp;L1441</f>
        <v>Dua Puluh Satu</v>
      </c>
    </row>
    <row r="1462" spans="1:12">
      <c r="A1462" s="31" t="s">
        <v>75</v>
      </c>
      <c r="B1462" s="39" t="e">
        <f>TRUNC((A1438-SUM(C1460:C1461))/100000)</f>
        <v>#REF!</v>
      </c>
      <c r="C1462" s="31" t="e">
        <f>B1462*100000</f>
        <v>#REF!</v>
      </c>
      <c r="D1462" s="31" t="e">
        <f>IF(B1462&lt;1,"",IF(B1462=1,"",VLOOKUP(B1462,$J$3:$L$102,3)))</f>
        <v>#REF!</v>
      </c>
      <c r="E1462" s="31" t="e">
        <f>IF(B1462&lt;1,"",IF(B1462=1," Seratus "," Ratus "))</f>
        <v>#REF!</v>
      </c>
      <c r="J1462" s="31">
        <v>22</v>
      </c>
      <c r="K1462" s="33" t="s">
        <v>92</v>
      </c>
      <c r="L1462" s="31" t="str">
        <f t="shared" si="142"/>
        <v>Dua Puluh Dua</v>
      </c>
    </row>
    <row r="1463" spans="1:12">
      <c r="A1463" s="33" t="s">
        <v>77</v>
      </c>
      <c r="B1463" s="40" t="e">
        <f>TRUNC((A1438-SUM(C1460:C1462))/1000)</f>
        <v>#REF!</v>
      </c>
      <c r="C1463" s="31" t="e">
        <f>B1463*1000</f>
        <v>#REF!</v>
      </c>
      <c r="D1463" s="31" t="e">
        <f>IF(B1463&lt;1,"",IF(B1463=1,"",VLOOKUP(B1463,$J$3:$L$102,3)))</f>
        <v>#REF!</v>
      </c>
      <c r="E1463" s="31" t="e">
        <f>IF(B1462+B1463&lt;1,"",IF(B1463=1," Seribu "," Ribu "))</f>
        <v>#REF!</v>
      </c>
      <c r="J1463" s="31">
        <v>23</v>
      </c>
      <c r="K1463" s="33" t="s">
        <v>93</v>
      </c>
      <c r="L1463" s="31" t="str">
        <f t="shared" si="142"/>
        <v>Dua Puluh Tiga</v>
      </c>
    </row>
    <row r="1464" spans="1:12">
      <c r="A1464" s="33" t="s">
        <v>79</v>
      </c>
      <c r="B1464" s="40" t="e">
        <f>TRUNC((A1438-SUM(C1460:C1463))/100)</f>
        <v>#REF!</v>
      </c>
      <c r="C1464" s="31" t="e">
        <f>B1464*100</f>
        <v>#REF!</v>
      </c>
      <c r="D1464" s="31" t="e">
        <f>IF(B1464&lt;1,"",IF(B1464=1,"",VLOOKUP(B1464,$J$3:$L$102,3)))</f>
        <v>#REF!</v>
      </c>
      <c r="E1464" s="31" t="e">
        <f>IF(B1464&lt;1,"",IF(B1464=1," Seratus "," Ratus "))</f>
        <v>#REF!</v>
      </c>
      <c r="J1464" s="31">
        <v>24</v>
      </c>
      <c r="K1464" s="33" t="s">
        <v>94</v>
      </c>
      <c r="L1464" s="31" t="str">
        <f t="shared" si="142"/>
        <v>Dua Puluh Empat</v>
      </c>
    </row>
    <row r="1465" spans="1:12">
      <c r="A1465" s="33" t="s">
        <v>81</v>
      </c>
      <c r="B1465" s="41" t="e">
        <f>TRUNC((A1438-SUM(C1460:C1464)))</f>
        <v>#REF!</v>
      </c>
      <c r="C1465" s="42" t="e">
        <f>B1465</f>
        <v>#REF!</v>
      </c>
      <c r="D1465" s="31" t="e">
        <f>IF(B1465&lt;1,"",VLOOKUP(B1465,$J$3:$L$102,3))</f>
        <v>#REF!</v>
      </c>
      <c r="E1465" s="31" t="e">
        <f>IF(SUM(C1460:C1465)&lt;1,"",IF(B1466&lt;1,""," Dan "))</f>
        <v>#REF!</v>
      </c>
      <c r="J1465" s="31">
        <v>25</v>
      </c>
      <c r="K1465" s="33" t="s">
        <v>95</v>
      </c>
      <c r="L1465" s="31" t="str">
        <f t="shared" si="142"/>
        <v>Dua Puluh Lima</v>
      </c>
    </row>
    <row r="1466" spans="1:12">
      <c r="A1466" s="33" t="s">
        <v>83</v>
      </c>
      <c r="B1466" s="40" t="e">
        <f>ROUND(A1438-SUM(C1460:C1465),2)*100</f>
        <v>#REF!</v>
      </c>
      <c r="D1466" s="31" t="e">
        <f>IF(B1466&lt;1,"",VLOOKUP(B1466,$J$3:$L$102,3))</f>
        <v>#REF!</v>
      </c>
      <c r="E1466" s="31" t="e">
        <f>IF(B1466&lt;1,""," Sen ")</f>
        <v>#REF!</v>
      </c>
      <c r="J1466" s="31">
        <v>26</v>
      </c>
      <c r="K1466" s="33" t="s">
        <v>96</v>
      </c>
      <c r="L1466" s="31" t="str">
        <f t="shared" si="142"/>
        <v>Dua Puluh Enam</v>
      </c>
    </row>
    <row r="1467" spans="1:12">
      <c r="J1467" s="31">
        <v>27</v>
      </c>
      <c r="K1467" s="33" t="s">
        <v>97</v>
      </c>
      <c r="L1467" s="31" t="str">
        <f t="shared" si="142"/>
        <v>Dua Puluh Tujuh</v>
      </c>
    </row>
    <row r="1468" spans="1:12">
      <c r="J1468" s="31">
        <v>28</v>
      </c>
      <c r="K1468" s="33" t="s">
        <v>98</v>
      </c>
      <c r="L1468" s="31" t="str">
        <f t="shared" si="142"/>
        <v>Dua Puluh Delapan</v>
      </c>
    </row>
    <row r="1469" spans="1:12">
      <c r="J1469" s="31">
        <v>29</v>
      </c>
      <c r="K1469" s="33" t="s">
        <v>99</v>
      </c>
      <c r="L1469" s="31" t="str">
        <f t="shared" si="142"/>
        <v>Dua Puluh Sembilan</v>
      </c>
    </row>
    <row r="1470" spans="1:12">
      <c r="J1470" s="31">
        <v>30</v>
      </c>
      <c r="K1470" s="33" t="s">
        <v>100</v>
      </c>
      <c r="L1470" s="31" t="s">
        <v>101</v>
      </c>
    </row>
    <row r="1471" spans="1:12">
      <c r="J1471" s="31">
        <v>31</v>
      </c>
      <c r="K1471" s="33" t="s">
        <v>102</v>
      </c>
      <c r="L1471" s="31" t="str">
        <f t="shared" ref="L1471:L1479" si="143">$L$33&amp;" "&amp;L1441</f>
        <v>Tiga Puluh Satu</v>
      </c>
    </row>
    <row r="1472" spans="1:12">
      <c r="J1472" s="31">
        <v>32</v>
      </c>
      <c r="K1472" s="33" t="s">
        <v>103</v>
      </c>
      <c r="L1472" s="31" t="str">
        <f t="shared" si="143"/>
        <v>Tiga Puluh Dua</v>
      </c>
    </row>
    <row r="1473" spans="1:12">
      <c r="J1473" s="31">
        <v>33</v>
      </c>
      <c r="K1473" s="33" t="s">
        <v>104</v>
      </c>
      <c r="L1473" s="31" t="str">
        <f t="shared" si="143"/>
        <v>Tiga Puluh Tiga</v>
      </c>
    </row>
    <row r="1474" spans="1:12">
      <c r="J1474" s="31">
        <v>34</v>
      </c>
      <c r="K1474" s="33" t="s">
        <v>105</v>
      </c>
      <c r="L1474" s="31" t="str">
        <f t="shared" si="143"/>
        <v>Tiga Puluh Empat</v>
      </c>
    </row>
    <row r="1475" spans="1:12">
      <c r="J1475" s="31">
        <v>35</v>
      </c>
      <c r="K1475" s="33" t="s">
        <v>106</v>
      </c>
      <c r="L1475" s="31" t="str">
        <f t="shared" si="143"/>
        <v>Tiga Puluh Lima</v>
      </c>
    </row>
    <row r="1476" spans="1:12">
      <c r="J1476" s="31">
        <v>36</v>
      </c>
      <c r="K1476" s="33" t="s">
        <v>107</v>
      </c>
      <c r="L1476" s="31" t="str">
        <f t="shared" si="143"/>
        <v>Tiga Puluh Enam</v>
      </c>
    </row>
    <row r="1477" spans="1:12">
      <c r="J1477" s="31">
        <v>37</v>
      </c>
      <c r="K1477" s="33" t="s">
        <v>108</v>
      </c>
      <c r="L1477" s="31" t="str">
        <f t="shared" si="143"/>
        <v>Tiga Puluh Tujuh</v>
      </c>
    </row>
    <row r="1478" spans="1:12">
      <c r="J1478" s="31">
        <v>38</v>
      </c>
      <c r="K1478" s="33" t="s">
        <v>109</v>
      </c>
      <c r="L1478" s="31" t="str">
        <f t="shared" si="143"/>
        <v>Tiga Puluh Delapan</v>
      </c>
    </row>
    <row r="1479" spans="1:12">
      <c r="J1479" s="31">
        <v>39</v>
      </c>
      <c r="K1479" s="33" t="s">
        <v>110</v>
      </c>
      <c r="L1479" s="31" t="str">
        <f t="shared" si="143"/>
        <v>Tiga Puluh Sembilan</v>
      </c>
    </row>
    <row r="1480" spans="1:12">
      <c r="B1480" s="35"/>
      <c r="C1480" s="35"/>
      <c r="D1480" s="35"/>
      <c r="J1480" s="31">
        <v>40</v>
      </c>
      <c r="K1480" s="33" t="s">
        <v>111</v>
      </c>
      <c r="L1480" s="31" t="s">
        <v>112</v>
      </c>
    </row>
    <row r="1481" spans="1:12">
      <c r="A1481" s="35"/>
      <c r="B1481" s="35"/>
      <c r="C1481" s="35"/>
      <c r="D1481" s="35"/>
      <c r="J1481" s="31">
        <v>41</v>
      </c>
      <c r="K1481" s="33" t="s">
        <v>113</v>
      </c>
      <c r="L1481" s="31" t="str">
        <f t="shared" ref="L1481:L1489" si="144">$L$43&amp;" "&amp;L1441</f>
        <v>Empat Puluh Satu</v>
      </c>
    </row>
    <row r="1482" spans="1:12">
      <c r="J1482" s="31">
        <v>42</v>
      </c>
      <c r="K1482" s="33" t="s">
        <v>114</v>
      </c>
      <c r="L1482" s="31" t="str">
        <f t="shared" si="144"/>
        <v>Empat Puluh Dua</v>
      </c>
    </row>
    <row r="1483" spans="1:12">
      <c r="A1483" s="38"/>
      <c r="J1483" s="31">
        <v>43</v>
      </c>
      <c r="K1483" s="33" t="s">
        <v>115</v>
      </c>
      <c r="L1483" s="31" t="str">
        <f t="shared" si="144"/>
        <v>Empat Puluh Tiga</v>
      </c>
    </row>
    <row r="1484" spans="1:12">
      <c r="J1484" s="31">
        <v>44</v>
      </c>
      <c r="K1484" s="33" t="s">
        <v>116</v>
      </c>
      <c r="L1484" s="31" t="str">
        <f t="shared" si="144"/>
        <v>Empat Puluh Empat</v>
      </c>
    </row>
    <row r="1485" spans="1:12">
      <c r="J1485" s="31">
        <v>45</v>
      </c>
      <c r="K1485" s="33" t="s">
        <v>117</v>
      </c>
      <c r="L1485" s="31" t="str">
        <f t="shared" si="144"/>
        <v>Empat Puluh Lima</v>
      </c>
    </row>
    <row r="1486" spans="1:12">
      <c r="J1486" s="31">
        <v>46</v>
      </c>
      <c r="K1486" s="33" t="s">
        <v>118</v>
      </c>
      <c r="L1486" s="31" t="str">
        <f t="shared" si="144"/>
        <v>Empat Puluh Enam</v>
      </c>
    </row>
    <row r="1487" spans="1:12">
      <c r="J1487" s="31">
        <v>47</v>
      </c>
      <c r="K1487" s="33" t="s">
        <v>119</v>
      </c>
      <c r="L1487" s="31" t="str">
        <f t="shared" si="144"/>
        <v>Empat Puluh Tujuh</v>
      </c>
    </row>
    <row r="1488" spans="1:12">
      <c r="J1488" s="31">
        <v>48</v>
      </c>
      <c r="K1488" s="33" t="s">
        <v>120</v>
      </c>
      <c r="L1488" s="31" t="str">
        <f t="shared" si="144"/>
        <v>Empat Puluh Delapan</v>
      </c>
    </row>
    <row r="1489" spans="10:12">
      <c r="J1489" s="31">
        <v>49</v>
      </c>
      <c r="K1489" s="33" t="s">
        <v>121</v>
      </c>
      <c r="L1489" s="31" t="str">
        <f t="shared" si="144"/>
        <v>Empat Puluh Sembilan</v>
      </c>
    </row>
    <row r="1490" spans="10:12">
      <c r="J1490" s="31">
        <v>50</v>
      </c>
      <c r="K1490" s="33" t="s">
        <v>122</v>
      </c>
      <c r="L1490" s="31" t="s">
        <v>123</v>
      </c>
    </row>
    <row r="1491" spans="10:12">
      <c r="J1491" s="31">
        <v>51</v>
      </c>
      <c r="K1491" s="33" t="s">
        <v>124</v>
      </c>
      <c r="L1491" s="31" t="str">
        <f t="shared" ref="L1491:L1499" si="145">$L$53&amp;" "&amp;L1441</f>
        <v>Lima Puluh Satu</v>
      </c>
    </row>
    <row r="1492" spans="10:12">
      <c r="J1492" s="31">
        <v>52</v>
      </c>
      <c r="K1492" s="33" t="s">
        <v>125</v>
      </c>
      <c r="L1492" s="31" t="str">
        <f t="shared" si="145"/>
        <v>Lima Puluh Dua</v>
      </c>
    </row>
    <row r="1493" spans="10:12">
      <c r="J1493" s="31">
        <v>53</v>
      </c>
      <c r="K1493" s="33" t="s">
        <v>126</v>
      </c>
      <c r="L1493" s="31" t="str">
        <f t="shared" si="145"/>
        <v>Lima Puluh Tiga</v>
      </c>
    </row>
    <row r="1494" spans="10:12">
      <c r="J1494" s="31">
        <v>54</v>
      </c>
      <c r="K1494" s="33" t="s">
        <v>127</v>
      </c>
      <c r="L1494" s="31" t="str">
        <f t="shared" si="145"/>
        <v>Lima Puluh Empat</v>
      </c>
    </row>
    <row r="1495" spans="10:12">
      <c r="J1495" s="31">
        <v>55</v>
      </c>
      <c r="K1495" s="33" t="s">
        <v>128</v>
      </c>
      <c r="L1495" s="31" t="str">
        <f t="shared" si="145"/>
        <v>Lima Puluh Lima</v>
      </c>
    </row>
    <row r="1496" spans="10:12">
      <c r="J1496" s="31">
        <v>56</v>
      </c>
      <c r="K1496" s="33" t="s">
        <v>129</v>
      </c>
      <c r="L1496" s="31" t="str">
        <f t="shared" si="145"/>
        <v>Lima Puluh Enam</v>
      </c>
    </row>
    <row r="1497" spans="10:12">
      <c r="J1497" s="31">
        <v>57</v>
      </c>
      <c r="K1497" s="33" t="s">
        <v>130</v>
      </c>
      <c r="L1497" s="31" t="str">
        <f t="shared" si="145"/>
        <v>Lima Puluh Tujuh</v>
      </c>
    </row>
    <row r="1498" spans="10:12">
      <c r="J1498" s="31">
        <v>58</v>
      </c>
      <c r="K1498" s="33" t="s">
        <v>131</v>
      </c>
      <c r="L1498" s="31" t="str">
        <f t="shared" si="145"/>
        <v>Lima Puluh Delapan</v>
      </c>
    </row>
    <row r="1499" spans="10:12">
      <c r="J1499" s="31">
        <v>59</v>
      </c>
      <c r="K1499" s="33" t="s">
        <v>132</v>
      </c>
      <c r="L1499" s="31" t="str">
        <f t="shared" si="145"/>
        <v>Lima Puluh Sembilan</v>
      </c>
    </row>
    <row r="1500" spans="10:12">
      <c r="J1500" s="31">
        <v>60</v>
      </c>
      <c r="K1500" s="33" t="s">
        <v>133</v>
      </c>
      <c r="L1500" s="31" t="s">
        <v>134</v>
      </c>
    </row>
    <row r="1501" spans="10:12">
      <c r="J1501" s="31">
        <v>61</v>
      </c>
      <c r="K1501" s="33" t="s">
        <v>135</v>
      </c>
      <c r="L1501" s="31" t="str">
        <f t="shared" ref="L1501:L1509" si="146">$L$63&amp;" "&amp;L1441</f>
        <v>Enam Puluh Satu</v>
      </c>
    </row>
    <row r="1502" spans="10:12">
      <c r="J1502" s="31">
        <v>62</v>
      </c>
      <c r="K1502" s="33" t="s">
        <v>136</v>
      </c>
      <c r="L1502" s="31" t="str">
        <f t="shared" si="146"/>
        <v>Enam Puluh Dua</v>
      </c>
    </row>
    <row r="1503" spans="10:12">
      <c r="J1503" s="31">
        <v>63</v>
      </c>
      <c r="K1503" s="33" t="s">
        <v>137</v>
      </c>
      <c r="L1503" s="31" t="str">
        <f t="shared" si="146"/>
        <v>Enam Puluh Tiga</v>
      </c>
    </row>
    <row r="1504" spans="10:12">
      <c r="J1504" s="31">
        <v>64</v>
      </c>
      <c r="K1504" s="33" t="s">
        <v>138</v>
      </c>
      <c r="L1504" s="31" t="str">
        <f t="shared" si="146"/>
        <v>Enam Puluh Empat</v>
      </c>
    </row>
    <row r="1505" spans="10:12">
      <c r="J1505" s="31">
        <v>65</v>
      </c>
      <c r="K1505" s="33" t="s">
        <v>139</v>
      </c>
      <c r="L1505" s="31" t="str">
        <f t="shared" si="146"/>
        <v>Enam Puluh Lima</v>
      </c>
    </row>
    <row r="1506" spans="10:12">
      <c r="J1506" s="31">
        <v>66</v>
      </c>
      <c r="K1506" s="33" t="s">
        <v>140</v>
      </c>
      <c r="L1506" s="31" t="str">
        <f t="shared" si="146"/>
        <v>Enam Puluh Enam</v>
      </c>
    </row>
    <row r="1507" spans="10:12">
      <c r="J1507" s="31">
        <v>67</v>
      </c>
      <c r="K1507" s="33" t="s">
        <v>141</v>
      </c>
      <c r="L1507" s="31" t="str">
        <f t="shared" si="146"/>
        <v>Enam Puluh Tujuh</v>
      </c>
    </row>
    <row r="1508" spans="10:12">
      <c r="J1508" s="31">
        <v>68</v>
      </c>
      <c r="K1508" s="33" t="s">
        <v>142</v>
      </c>
      <c r="L1508" s="31" t="str">
        <f t="shared" si="146"/>
        <v>Enam Puluh Delapan</v>
      </c>
    </row>
    <row r="1509" spans="10:12">
      <c r="J1509" s="31">
        <v>69</v>
      </c>
      <c r="K1509" s="33" t="s">
        <v>143</v>
      </c>
      <c r="L1509" s="31" t="str">
        <f t="shared" si="146"/>
        <v>Enam Puluh Sembilan</v>
      </c>
    </row>
    <row r="1510" spans="10:12">
      <c r="J1510" s="31">
        <v>70</v>
      </c>
      <c r="K1510" s="33" t="s">
        <v>144</v>
      </c>
      <c r="L1510" s="31" t="s">
        <v>145</v>
      </c>
    </row>
    <row r="1511" spans="10:12">
      <c r="J1511" s="31">
        <v>71</v>
      </c>
      <c r="K1511" s="33" t="s">
        <v>146</v>
      </c>
      <c r="L1511" s="31" t="str">
        <f t="shared" ref="L1511:L1519" si="147">$L$73&amp;" "&amp;L1441</f>
        <v>Tujuh Puluh Satu</v>
      </c>
    </row>
    <row r="1512" spans="10:12">
      <c r="J1512" s="31">
        <v>72</v>
      </c>
      <c r="K1512" s="33" t="s">
        <v>147</v>
      </c>
      <c r="L1512" s="31" t="str">
        <f t="shared" si="147"/>
        <v>Tujuh Puluh Dua</v>
      </c>
    </row>
    <row r="1513" spans="10:12">
      <c r="J1513" s="31">
        <v>73</v>
      </c>
      <c r="K1513" s="33" t="s">
        <v>148</v>
      </c>
      <c r="L1513" s="31" t="str">
        <f t="shared" si="147"/>
        <v>Tujuh Puluh Tiga</v>
      </c>
    </row>
    <row r="1514" spans="10:12">
      <c r="J1514" s="31">
        <v>74</v>
      </c>
      <c r="K1514" s="33" t="s">
        <v>149</v>
      </c>
      <c r="L1514" s="31" t="str">
        <f t="shared" si="147"/>
        <v>Tujuh Puluh Empat</v>
      </c>
    </row>
    <row r="1515" spans="10:12">
      <c r="J1515" s="31">
        <v>75</v>
      </c>
      <c r="K1515" s="33" t="s">
        <v>150</v>
      </c>
      <c r="L1515" s="31" t="str">
        <f t="shared" si="147"/>
        <v>Tujuh Puluh Lima</v>
      </c>
    </row>
    <row r="1516" spans="10:12">
      <c r="J1516" s="31">
        <v>76</v>
      </c>
      <c r="K1516" s="33" t="s">
        <v>151</v>
      </c>
      <c r="L1516" s="31" t="str">
        <f t="shared" si="147"/>
        <v>Tujuh Puluh Enam</v>
      </c>
    </row>
    <row r="1517" spans="10:12">
      <c r="J1517" s="31">
        <v>77</v>
      </c>
      <c r="K1517" s="33" t="s">
        <v>152</v>
      </c>
      <c r="L1517" s="31" t="str">
        <f t="shared" si="147"/>
        <v>Tujuh Puluh Tujuh</v>
      </c>
    </row>
    <row r="1518" spans="10:12">
      <c r="J1518" s="31">
        <v>78</v>
      </c>
      <c r="K1518" s="33" t="s">
        <v>153</v>
      </c>
      <c r="L1518" s="31" t="str">
        <f t="shared" si="147"/>
        <v>Tujuh Puluh Delapan</v>
      </c>
    </row>
    <row r="1519" spans="10:12">
      <c r="J1519" s="31">
        <v>79</v>
      </c>
      <c r="K1519" s="33" t="s">
        <v>154</v>
      </c>
      <c r="L1519" s="31" t="str">
        <f t="shared" si="147"/>
        <v>Tujuh Puluh Sembilan</v>
      </c>
    </row>
    <row r="1520" spans="10:12">
      <c r="J1520" s="31">
        <v>80</v>
      </c>
      <c r="K1520" s="33" t="s">
        <v>155</v>
      </c>
      <c r="L1520" s="31" t="s">
        <v>156</v>
      </c>
    </row>
    <row r="1521" spans="10:12">
      <c r="J1521" s="31">
        <v>81</v>
      </c>
      <c r="K1521" s="33" t="s">
        <v>157</v>
      </c>
      <c r="L1521" s="31" t="str">
        <f t="shared" ref="L1521:L1529" si="148">$L$83&amp;" "&amp;L1441</f>
        <v>Delapan Puluh Satu</v>
      </c>
    </row>
    <row r="1522" spans="10:12">
      <c r="J1522" s="31">
        <v>82</v>
      </c>
      <c r="K1522" s="33" t="s">
        <v>158</v>
      </c>
      <c r="L1522" s="31" t="str">
        <f t="shared" si="148"/>
        <v>Delapan Puluh Dua</v>
      </c>
    </row>
    <row r="1523" spans="10:12">
      <c r="J1523" s="31">
        <v>83</v>
      </c>
      <c r="K1523" s="33" t="s">
        <v>159</v>
      </c>
      <c r="L1523" s="31" t="str">
        <f t="shared" si="148"/>
        <v>Delapan Puluh Tiga</v>
      </c>
    </row>
    <row r="1524" spans="10:12">
      <c r="J1524" s="31">
        <v>84</v>
      </c>
      <c r="K1524" s="33" t="s">
        <v>160</v>
      </c>
      <c r="L1524" s="31" t="str">
        <f t="shared" si="148"/>
        <v>Delapan Puluh Empat</v>
      </c>
    </row>
    <row r="1525" spans="10:12">
      <c r="J1525" s="31">
        <v>85</v>
      </c>
      <c r="K1525" s="33" t="s">
        <v>161</v>
      </c>
      <c r="L1525" s="31" t="str">
        <f t="shared" si="148"/>
        <v>Delapan Puluh Lima</v>
      </c>
    </row>
    <row r="1526" spans="10:12">
      <c r="J1526" s="31">
        <v>86</v>
      </c>
      <c r="K1526" s="33" t="s">
        <v>162</v>
      </c>
      <c r="L1526" s="31" t="str">
        <f t="shared" si="148"/>
        <v>Delapan Puluh Enam</v>
      </c>
    </row>
    <row r="1527" spans="10:12">
      <c r="J1527" s="31">
        <v>87</v>
      </c>
      <c r="K1527" s="33" t="s">
        <v>163</v>
      </c>
      <c r="L1527" s="31" t="str">
        <f t="shared" si="148"/>
        <v>Delapan Puluh Tujuh</v>
      </c>
    </row>
    <row r="1528" spans="10:12">
      <c r="J1528" s="31">
        <v>88</v>
      </c>
      <c r="K1528" s="33" t="s">
        <v>164</v>
      </c>
      <c r="L1528" s="31" t="str">
        <f t="shared" si="148"/>
        <v>Delapan Puluh Delapan</v>
      </c>
    </row>
    <row r="1529" spans="10:12">
      <c r="J1529" s="31">
        <v>89</v>
      </c>
      <c r="K1529" s="33" t="s">
        <v>165</v>
      </c>
      <c r="L1529" s="31" t="str">
        <f t="shared" si="148"/>
        <v>Delapan Puluh Sembilan</v>
      </c>
    </row>
    <row r="1530" spans="10:12">
      <c r="J1530" s="31">
        <v>90</v>
      </c>
      <c r="K1530" s="33" t="s">
        <v>166</v>
      </c>
      <c r="L1530" s="31" t="s">
        <v>167</v>
      </c>
    </row>
    <row r="1531" spans="10:12">
      <c r="J1531" s="31">
        <v>91</v>
      </c>
      <c r="K1531" s="33" t="s">
        <v>168</v>
      </c>
      <c r="L1531" s="31" t="str">
        <f t="shared" ref="L1531:L1539" si="149">$L$93&amp;" "&amp;L1441</f>
        <v>Sembilan Puluh Satu</v>
      </c>
    </row>
    <row r="1532" spans="10:12">
      <c r="J1532" s="31">
        <v>92</v>
      </c>
      <c r="K1532" s="33" t="s">
        <v>169</v>
      </c>
      <c r="L1532" s="31" t="str">
        <f t="shared" si="149"/>
        <v>Sembilan Puluh Dua</v>
      </c>
    </row>
    <row r="1533" spans="10:12">
      <c r="J1533" s="31">
        <v>93</v>
      </c>
      <c r="K1533" s="33" t="s">
        <v>170</v>
      </c>
      <c r="L1533" s="31" t="str">
        <f t="shared" si="149"/>
        <v>Sembilan Puluh Tiga</v>
      </c>
    </row>
    <row r="1534" spans="10:12">
      <c r="J1534" s="31">
        <v>94</v>
      </c>
      <c r="K1534" s="33" t="s">
        <v>171</v>
      </c>
      <c r="L1534" s="31" t="str">
        <f t="shared" si="149"/>
        <v>Sembilan Puluh Empat</v>
      </c>
    </row>
    <row r="1535" spans="10:12">
      <c r="J1535" s="31">
        <v>95</v>
      </c>
      <c r="K1535" s="33" t="s">
        <v>172</v>
      </c>
      <c r="L1535" s="31" t="str">
        <f t="shared" si="149"/>
        <v>Sembilan Puluh Lima</v>
      </c>
    </row>
    <row r="1536" spans="10:12">
      <c r="J1536" s="31">
        <v>96</v>
      </c>
      <c r="K1536" s="33" t="s">
        <v>173</v>
      </c>
      <c r="L1536" s="31" t="str">
        <f t="shared" si="149"/>
        <v>Sembilan Puluh Enam</v>
      </c>
    </row>
    <row r="1537" spans="1:12">
      <c r="J1537" s="31">
        <v>97</v>
      </c>
      <c r="K1537" s="33" t="s">
        <v>174</v>
      </c>
      <c r="L1537" s="31" t="str">
        <f t="shared" si="149"/>
        <v>Sembilan Puluh Tujuh</v>
      </c>
    </row>
    <row r="1538" spans="1:12">
      <c r="J1538" s="31">
        <v>98</v>
      </c>
      <c r="K1538" s="33" t="s">
        <v>175</v>
      </c>
      <c r="L1538" s="31" t="str">
        <f t="shared" si="149"/>
        <v>Sembilan Puluh Delapan</v>
      </c>
    </row>
    <row r="1539" spans="1:12">
      <c r="J1539" s="31">
        <v>99</v>
      </c>
      <c r="K1539" s="33" t="s">
        <v>176</v>
      </c>
      <c r="L1539" s="31" t="str">
        <f t="shared" si="149"/>
        <v>Sembilan Puluh Sembilan</v>
      </c>
    </row>
    <row r="1541" spans="1:12">
      <c r="A1541" s="30" t="e">
        <f>#REF!</f>
        <v>#REF!</v>
      </c>
      <c r="C1541" s="31" t="s">
        <v>231</v>
      </c>
    </row>
    <row r="1542" spans="1:12">
      <c r="A1542" s="32"/>
    </row>
    <row r="1543" spans="1:12">
      <c r="J1543" s="31">
        <v>0</v>
      </c>
      <c r="K1543" s="33" t="s">
        <v>48</v>
      </c>
      <c r="L1543" s="31" t="s">
        <v>49</v>
      </c>
    </row>
    <row r="1544" spans="1:12">
      <c r="A1544" s="34"/>
      <c r="J1544" s="31">
        <v>1</v>
      </c>
      <c r="K1544" s="33" t="s">
        <v>50</v>
      </c>
      <c r="L1544" s="31" t="s">
        <v>51</v>
      </c>
    </row>
    <row r="1545" spans="1:12">
      <c r="A1545" s="255" t="e">
        <f>TRIM(D1553&amp;E1553&amp;D1554&amp;E1554&amp;D1555&amp;E1555&amp;D1556&amp;E1556&amp;D1557&amp;E1557&amp;D1558&amp;E1558&amp;E1559&amp;D1559&amp;" Only")</f>
        <v>#REF!</v>
      </c>
      <c r="B1545" s="255"/>
      <c r="C1545" s="255"/>
      <c r="D1545" s="255"/>
      <c r="E1545" s="35"/>
      <c r="F1545" s="36"/>
      <c r="J1545" s="31">
        <v>2</v>
      </c>
      <c r="K1545" s="33" t="s">
        <v>52</v>
      </c>
      <c r="L1545" s="31" t="s">
        <v>53</v>
      </c>
    </row>
    <row r="1546" spans="1:12">
      <c r="A1546" s="37"/>
      <c r="B1546" s="37"/>
      <c r="C1546" s="37"/>
      <c r="D1546" s="37"/>
      <c r="E1546" s="35"/>
      <c r="F1546" s="36"/>
      <c r="J1546" s="31">
        <v>3</v>
      </c>
      <c r="K1546" s="33" t="s">
        <v>54</v>
      </c>
      <c r="L1546" s="31" t="s">
        <v>55</v>
      </c>
    </row>
    <row r="1547" spans="1:12">
      <c r="A1547" s="37"/>
      <c r="B1547" s="37"/>
      <c r="C1547" s="37"/>
      <c r="D1547" s="37"/>
      <c r="J1547" s="31">
        <v>4</v>
      </c>
      <c r="K1547" s="33" t="s">
        <v>56</v>
      </c>
      <c r="L1547" s="31" t="s">
        <v>57</v>
      </c>
    </row>
    <row r="1548" spans="1:12">
      <c r="A1548" s="255" t="e">
        <f>TRIM(D1563&amp;E1563&amp;D1564&amp;E1564&amp;D1565&amp;E1565&amp;D1566&amp;E1566&amp;D1567&amp;E1567&amp;D1568&amp;E1568&amp;D1569&amp;E1569&amp;" Rupiah")</f>
        <v>#REF!</v>
      </c>
      <c r="B1548" s="255"/>
      <c r="C1548" s="255"/>
      <c r="D1548" s="255"/>
      <c r="E1548" s="35"/>
      <c r="F1548" s="36"/>
      <c r="J1548" s="31">
        <v>5</v>
      </c>
      <c r="K1548" s="33" t="s">
        <v>58</v>
      </c>
      <c r="L1548" s="31" t="s">
        <v>59</v>
      </c>
    </row>
    <row r="1549" spans="1:12">
      <c r="A1549" s="35"/>
      <c r="B1549" s="35"/>
      <c r="C1549" s="35"/>
      <c r="D1549" s="35"/>
      <c r="E1549" s="35"/>
      <c r="F1549" s="36"/>
      <c r="J1549" s="31">
        <v>6</v>
      </c>
      <c r="K1549" s="33" t="s">
        <v>60</v>
      </c>
      <c r="L1549" s="31" t="s">
        <v>61</v>
      </c>
    </row>
    <row r="1550" spans="1:12">
      <c r="J1550" s="31">
        <v>7</v>
      </c>
      <c r="K1550" s="33" t="s">
        <v>62</v>
      </c>
      <c r="L1550" s="31" t="s">
        <v>63</v>
      </c>
    </row>
    <row r="1551" spans="1:12">
      <c r="J1551" s="31">
        <v>8</v>
      </c>
      <c r="K1551" s="33" t="s">
        <v>64</v>
      </c>
      <c r="L1551" s="31" t="s">
        <v>65</v>
      </c>
    </row>
    <row r="1552" spans="1:12">
      <c r="A1552" s="38" t="s">
        <v>66</v>
      </c>
      <c r="J1552" s="31">
        <v>9</v>
      </c>
      <c r="K1552" s="33" t="s">
        <v>67</v>
      </c>
      <c r="L1552" s="31" t="s">
        <v>68</v>
      </c>
    </row>
    <row r="1553" spans="1:12">
      <c r="A1553" s="31" t="s">
        <v>69</v>
      </c>
      <c r="B1553" s="39" t="e">
        <f>TRUNC(A1541/100000000)</f>
        <v>#REF!</v>
      </c>
      <c r="C1553" s="31" t="e">
        <f>B1553*100000000</f>
        <v>#REF!</v>
      </c>
      <c r="D1553" s="31" t="e">
        <f t="shared" ref="D1553:D1559" si="150">IF(B1553&lt;1,"",VLOOKUP(B1553,$J$3:$K$102,2))</f>
        <v>#REF!</v>
      </c>
      <c r="E1553" s="31" t="e">
        <f>IF(B1553&lt;1,"",IF(B1553&gt;1," Hundreds "," Hundred "))</f>
        <v>#REF!</v>
      </c>
      <c r="J1553" s="31">
        <v>10</v>
      </c>
      <c r="K1553" s="33" t="s">
        <v>70</v>
      </c>
      <c r="L1553" s="31" t="s">
        <v>71</v>
      </c>
    </row>
    <row r="1554" spans="1:12">
      <c r="A1554" s="31" t="s">
        <v>72</v>
      </c>
      <c r="B1554" s="39" t="e">
        <f>TRUNC((A1541-C1553)/1000000)</f>
        <v>#REF!</v>
      </c>
      <c r="C1554" s="31" t="e">
        <f>B1554*1000000</f>
        <v>#REF!</v>
      </c>
      <c r="D1554" s="31" t="e">
        <f t="shared" si="150"/>
        <v>#REF!</v>
      </c>
      <c r="E1554" s="31" t="e">
        <f>IF(B1553+B1554=0,"",IF(B1554=1," Million "," Millions "))</f>
        <v>#REF!</v>
      </c>
      <c r="J1554" s="31">
        <v>11</v>
      </c>
      <c r="K1554" s="33" t="s">
        <v>73</v>
      </c>
      <c r="L1554" s="31" t="s">
        <v>74</v>
      </c>
    </row>
    <row r="1555" spans="1:12">
      <c r="A1555" s="31" t="s">
        <v>75</v>
      </c>
      <c r="B1555" s="39" t="e">
        <f>TRUNC((A1541-SUM(C1553:C1554))/100000)</f>
        <v>#REF!</v>
      </c>
      <c r="C1555" s="31" t="e">
        <f>B1555*100000</f>
        <v>#REF!</v>
      </c>
      <c r="D1555" s="31" t="e">
        <f t="shared" si="150"/>
        <v>#REF!</v>
      </c>
      <c r="E1555" s="31" t="e">
        <f>IF(B1555&lt;1,"",IF(B1555&gt;1," Hundreds "," Hundred "))</f>
        <v>#REF!</v>
      </c>
      <c r="J1555" s="31">
        <v>12</v>
      </c>
      <c r="K1555" s="33" t="s">
        <v>76</v>
      </c>
      <c r="L1555" s="31" t="str">
        <f t="shared" ref="L1555:L1562" si="151">L1545&amp;" Belas"</f>
        <v>Dua Belas</v>
      </c>
    </row>
    <row r="1556" spans="1:12">
      <c r="A1556" s="33" t="s">
        <v>77</v>
      </c>
      <c r="B1556" s="40" t="e">
        <f>TRUNC((A1541-SUM(C1553:C1555))/1000)</f>
        <v>#REF!</v>
      </c>
      <c r="C1556" s="31" t="e">
        <f>B1556*1000</f>
        <v>#REF!</v>
      </c>
      <c r="D1556" s="31" t="e">
        <f t="shared" si="150"/>
        <v>#REF!</v>
      </c>
      <c r="E1556" s="31" t="e">
        <f>IF(B1555+B1556=0,"",IF(B1556=1," Thousand "," Thousands "))</f>
        <v>#REF!</v>
      </c>
      <c r="J1556" s="31">
        <v>13</v>
      </c>
      <c r="K1556" s="33" t="s">
        <v>78</v>
      </c>
      <c r="L1556" s="31" t="str">
        <f t="shared" si="151"/>
        <v>Tiga Belas</v>
      </c>
    </row>
    <row r="1557" spans="1:12">
      <c r="A1557" s="33" t="s">
        <v>79</v>
      </c>
      <c r="B1557" s="40" t="e">
        <f>TRUNC((A1541-SUM(C1553:C1556))/100)</f>
        <v>#REF!</v>
      </c>
      <c r="C1557" s="31" t="e">
        <f>B1557*100</f>
        <v>#REF!</v>
      </c>
      <c r="D1557" s="31" t="e">
        <f t="shared" si="150"/>
        <v>#REF!</v>
      </c>
      <c r="E1557" s="31" t="e">
        <f>IF(B1557&lt;1,"",IF(B1557&gt;1," Hundreds "," Hundred "))</f>
        <v>#REF!</v>
      </c>
      <c r="J1557" s="31">
        <v>14</v>
      </c>
      <c r="K1557" s="33" t="s">
        <v>80</v>
      </c>
      <c r="L1557" s="31" t="str">
        <f t="shared" si="151"/>
        <v>Empat Belas</v>
      </c>
    </row>
    <row r="1558" spans="1:12">
      <c r="A1558" s="33" t="s">
        <v>81</v>
      </c>
      <c r="B1558" s="41" t="e">
        <f>TRUNC((A1541-SUM(C1553:C1557)))</f>
        <v>#REF!</v>
      </c>
      <c r="C1558" s="42" t="e">
        <f>B1558</f>
        <v>#REF!</v>
      </c>
      <c r="D1558" s="31" t="e">
        <f t="shared" si="150"/>
        <v>#REF!</v>
      </c>
      <c r="E1558" s="31" t="e">
        <f>IF(SUM(C1553:C1558)&lt;1,"",IF(B1559&lt;1,""," And "))</f>
        <v>#REF!</v>
      </c>
      <c r="J1558" s="31">
        <v>15</v>
      </c>
      <c r="K1558" s="33" t="s">
        <v>82</v>
      </c>
      <c r="L1558" s="31" t="str">
        <f t="shared" si="151"/>
        <v>Lima Belas</v>
      </c>
    </row>
    <row r="1559" spans="1:12">
      <c r="A1559" s="33" t="s">
        <v>83</v>
      </c>
      <c r="B1559" s="40" t="e">
        <f>ROUND(A1541-SUM(C1553:C1558),2)*100</f>
        <v>#REF!</v>
      </c>
      <c r="D1559" s="43" t="e">
        <f t="shared" si="150"/>
        <v>#REF!</v>
      </c>
      <c r="E1559" s="31" t="e">
        <f>IF(B1559&lt;1,"",IF(B1559=1," Cent "," Cents "))</f>
        <v>#REF!</v>
      </c>
      <c r="J1559" s="31">
        <v>16</v>
      </c>
      <c r="K1559" s="33" t="s">
        <v>84</v>
      </c>
      <c r="L1559" s="31" t="str">
        <f t="shared" si="151"/>
        <v>Enam Belas</v>
      </c>
    </row>
    <row r="1560" spans="1:12">
      <c r="J1560" s="31">
        <v>17</v>
      </c>
      <c r="K1560" s="33" t="s">
        <v>85</v>
      </c>
      <c r="L1560" s="31" t="str">
        <f t="shared" si="151"/>
        <v>Tujuh Belas</v>
      </c>
    </row>
    <row r="1561" spans="1:12">
      <c r="A1561" s="44"/>
      <c r="J1561" s="31">
        <v>18</v>
      </c>
      <c r="K1561" s="33" t="s">
        <v>86</v>
      </c>
      <c r="L1561" s="31" t="str">
        <f t="shared" si="151"/>
        <v>Delapan Belas</v>
      </c>
    </row>
    <row r="1562" spans="1:12">
      <c r="A1562" s="38" t="s">
        <v>87</v>
      </c>
      <c r="J1562" s="31">
        <v>19</v>
      </c>
      <c r="K1562" s="33" t="s">
        <v>88</v>
      </c>
      <c r="L1562" s="31" t="str">
        <f t="shared" si="151"/>
        <v>Sembilan Belas</v>
      </c>
    </row>
    <row r="1563" spans="1:12">
      <c r="A1563" s="31" t="s">
        <v>69</v>
      </c>
      <c r="B1563" s="39" t="e">
        <f>TRUNC(A1541/100000000)</f>
        <v>#REF!</v>
      </c>
      <c r="C1563" s="31" t="e">
        <f>B1563*100000000</f>
        <v>#REF!</v>
      </c>
      <c r="D1563" s="31" t="e">
        <f>IF(B1563&lt;1,"",IF(B1563=1,"",VLOOKUP(B1563,$J$3:$L$102,3)))</f>
        <v>#REF!</v>
      </c>
      <c r="E1563" s="31" t="e">
        <f>IF(B1563&lt;1,"",IF(B1563=1,"Seratus "," Ratus "))</f>
        <v>#REF!</v>
      </c>
      <c r="J1563" s="31">
        <v>20</v>
      </c>
      <c r="K1563" s="33" t="s">
        <v>89</v>
      </c>
      <c r="L1563" s="31" t="s">
        <v>90</v>
      </c>
    </row>
    <row r="1564" spans="1:12">
      <c r="A1564" s="31" t="s">
        <v>72</v>
      </c>
      <c r="B1564" s="39" t="e">
        <f>TRUNC((A1541-C1563)/1000000)</f>
        <v>#REF!</v>
      </c>
      <c r="C1564" s="31" t="e">
        <f>B1564*1000000</f>
        <v>#REF!</v>
      </c>
      <c r="D1564" s="31" t="e">
        <f>IF(B1564&lt;1,"",VLOOKUP(B1564,$J$3:$L$102,3))</f>
        <v>#REF!</v>
      </c>
      <c r="E1564" s="31" t="e">
        <f>IF(B1563+B1564=0,""," Juta ")</f>
        <v>#REF!</v>
      </c>
      <c r="J1564" s="31">
        <v>21</v>
      </c>
      <c r="K1564" s="33" t="s">
        <v>91</v>
      </c>
      <c r="L1564" s="31" t="str">
        <f t="shared" ref="L1564:L1572" si="152">$L$23&amp;" "&amp;L1544</f>
        <v>Dua Puluh Satu</v>
      </c>
    </row>
    <row r="1565" spans="1:12">
      <c r="A1565" s="31" t="s">
        <v>75</v>
      </c>
      <c r="B1565" s="39" t="e">
        <f>TRUNC((A1541-SUM(C1563:C1564))/100000)</f>
        <v>#REF!</v>
      </c>
      <c r="C1565" s="31" t="e">
        <f>B1565*100000</f>
        <v>#REF!</v>
      </c>
      <c r="D1565" s="31" t="e">
        <f>IF(B1565&lt;1,"",IF(B1565=1,"",VLOOKUP(B1565,$J$3:$L$102,3)))</f>
        <v>#REF!</v>
      </c>
      <c r="E1565" s="31" t="e">
        <f>IF(B1565&lt;1,"",IF(B1565=1," Seratus "," Ratus "))</f>
        <v>#REF!</v>
      </c>
      <c r="J1565" s="31">
        <v>22</v>
      </c>
      <c r="K1565" s="33" t="s">
        <v>92</v>
      </c>
      <c r="L1565" s="31" t="str">
        <f t="shared" si="152"/>
        <v>Dua Puluh Dua</v>
      </c>
    </row>
    <row r="1566" spans="1:12">
      <c r="A1566" s="33" t="s">
        <v>77</v>
      </c>
      <c r="B1566" s="40" t="e">
        <f>TRUNC((A1541-SUM(C1563:C1565))/1000)</f>
        <v>#REF!</v>
      </c>
      <c r="C1566" s="31" t="e">
        <f>B1566*1000</f>
        <v>#REF!</v>
      </c>
      <c r="D1566" s="31" t="e">
        <f>IF(B1566&lt;1,"",IF(B1566=1,"",VLOOKUP(B1566,$J$3:$L$102,3)))</f>
        <v>#REF!</v>
      </c>
      <c r="E1566" s="31" t="e">
        <f>IF(B1565+B1566&lt;1,"",IF(B1566=1," Seribu "," Ribu "))</f>
        <v>#REF!</v>
      </c>
      <c r="J1566" s="31">
        <v>23</v>
      </c>
      <c r="K1566" s="33" t="s">
        <v>93</v>
      </c>
      <c r="L1566" s="31" t="str">
        <f t="shared" si="152"/>
        <v>Dua Puluh Tiga</v>
      </c>
    </row>
    <row r="1567" spans="1:12">
      <c r="A1567" s="33" t="s">
        <v>79</v>
      </c>
      <c r="B1567" s="40" t="e">
        <f>TRUNC((A1541-SUM(C1563:C1566))/100)</f>
        <v>#REF!</v>
      </c>
      <c r="C1567" s="31" t="e">
        <f>B1567*100</f>
        <v>#REF!</v>
      </c>
      <c r="D1567" s="31" t="e">
        <f>IF(B1567&lt;1,"",IF(B1567=1,"",VLOOKUP(B1567,$J$3:$L$102,3)))</f>
        <v>#REF!</v>
      </c>
      <c r="E1567" s="31" t="e">
        <f>IF(B1567&lt;1,"",IF(B1567=1," Seratus "," Ratus "))</f>
        <v>#REF!</v>
      </c>
      <c r="J1567" s="31">
        <v>24</v>
      </c>
      <c r="K1567" s="33" t="s">
        <v>94</v>
      </c>
      <c r="L1567" s="31" t="str">
        <f t="shared" si="152"/>
        <v>Dua Puluh Empat</v>
      </c>
    </row>
    <row r="1568" spans="1:12">
      <c r="A1568" s="33" t="s">
        <v>81</v>
      </c>
      <c r="B1568" s="41" t="e">
        <f>TRUNC((A1541-SUM(C1563:C1567)))</f>
        <v>#REF!</v>
      </c>
      <c r="C1568" s="42" t="e">
        <f>B1568</f>
        <v>#REF!</v>
      </c>
      <c r="D1568" s="31" t="e">
        <f>IF(B1568&lt;1,"",VLOOKUP(B1568,$J$3:$L$102,3))</f>
        <v>#REF!</v>
      </c>
      <c r="E1568" s="31" t="e">
        <f>IF(SUM(C1563:C1568)&lt;1,"",IF(B1569&lt;1,""," Dan "))</f>
        <v>#REF!</v>
      </c>
      <c r="J1568" s="31">
        <v>25</v>
      </c>
      <c r="K1568" s="33" t="s">
        <v>95</v>
      </c>
      <c r="L1568" s="31" t="str">
        <f t="shared" si="152"/>
        <v>Dua Puluh Lima</v>
      </c>
    </row>
    <row r="1569" spans="1:12">
      <c r="A1569" s="33" t="s">
        <v>83</v>
      </c>
      <c r="B1569" s="40" t="e">
        <f>ROUND(A1541-SUM(C1563:C1568),2)*100</f>
        <v>#REF!</v>
      </c>
      <c r="D1569" s="31" t="e">
        <f>IF(B1569&lt;1,"",VLOOKUP(B1569,$J$3:$L$102,3))</f>
        <v>#REF!</v>
      </c>
      <c r="E1569" s="31" t="e">
        <f>IF(B1569&lt;1,""," Sen ")</f>
        <v>#REF!</v>
      </c>
      <c r="J1569" s="31">
        <v>26</v>
      </c>
      <c r="K1569" s="33" t="s">
        <v>96</v>
      </c>
      <c r="L1569" s="31" t="str">
        <f t="shared" si="152"/>
        <v>Dua Puluh Enam</v>
      </c>
    </row>
    <row r="1570" spans="1:12">
      <c r="J1570" s="31">
        <v>27</v>
      </c>
      <c r="K1570" s="33" t="s">
        <v>97</v>
      </c>
      <c r="L1570" s="31" t="str">
        <f t="shared" si="152"/>
        <v>Dua Puluh Tujuh</v>
      </c>
    </row>
    <row r="1571" spans="1:12">
      <c r="J1571" s="31">
        <v>28</v>
      </c>
      <c r="K1571" s="33" t="s">
        <v>98</v>
      </c>
      <c r="L1571" s="31" t="str">
        <f t="shared" si="152"/>
        <v>Dua Puluh Delapan</v>
      </c>
    </row>
    <row r="1572" spans="1:12">
      <c r="J1572" s="31">
        <v>29</v>
      </c>
      <c r="K1572" s="33" t="s">
        <v>99</v>
      </c>
      <c r="L1572" s="31" t="str">
        <f t="shared" si="152"/>
        <v>Dua Puluh Sembilan</v>
      </c>
    </row>
    <row r="1573" spans="1:12">
      <c r="J1573" s="31">
        <v>30</v>
      </c>
      <c r="K1573" s="33" t="s">
        <v>100</v>
      </c>
      <c r="L1573" s="31" t="s">
        <v>101</v>
      </c>
    </row>
    <row r="1574" spans="1:12">
      <c r="J1574" s="31">
        <v>31</v>
      </c>
      <c r="K1574" s="33" t="s">
        <v>102</v>
      </c>
      <c r="L1574" s="31" t="str">
        <f t="shared" ref="L1574:L1582" si="153">$L$33&amp;" "&amp;L1544</f>
        <v>Tiga Puluh Satu</v>
      </c>
    </row>
    <row r="1575" spans="1:12">
      <c r="J1575" s="31">
        <v>32</v>
      </c>
      <c r="K1575" s="33" t="s">
        <v>103</v>
      </c>
      <c r="L1575" s="31" t="str">
        <f t="shared" si="153"/>
        <v>Tiga Puluh Dua</v>
      </c>
    </row>
    <row r="1576" spans="1:12">
      <c r="J1576" s="31">
        <v>33</v>
      </c>
      <c r="K1576" s="33" t="s">
        <v>104</v>
      </c>
      <c r="L1576" s="31" t="str">
        <f t="shared" si="153"/>
        <v>Tiga Puluh Tiga</v>
      </c>
    </row>
    <row r="1577" spans="1:12">
      <c r="J1577" s="31">
        <v>34</v>
      </c>
      <c r="K1577" s="33" t="s">
        <v>105</v>
      </c>
      <c r="L1577" s="31" t="str">
        <f t="shared" si="153"/>
        <v>Tiga Puluh Empat</v>
      </c>
    </row>
    <row r="1578" spans="1:12">
      <c r="J1578" s="31">
        <v>35</v>
      </c>
      <c r="K1578" s="33" t="s">
        <v>106</v>
      </c>
      <c r="L1578" s="31" t="str">
        <f t="shared" si="153"/>
        <v>Tiga Puluh Lima</v>
      </c>
    </row>
    <row r="1579" spans="1:12">
      <c r="J1579" s="31">
        <v>36</v>
      </c>
      <c r="K1579" s="33" t="s">
        <v>107</v>
      </c>
      <c r="L1579" s="31" t="str">
        <f t="shared" si="153"/>
        <v>Tiga Puluh Enam</v>
      </c>
    </row>
    <row r="1580" spans="1:12">
      <c r="J1580" s="31">
        <v>37</v>
      </c>
      <c r="K1580" s="33" t="s">
        <v>108</v>
      </c>
      <c r="L1580" s="31" t="str">
        <f t="shared" si="153"/>
        <v>Tiga Puluh Tujuh</v>
      </c>
    </row>
    <row r="1581" spans="1:12">
      <c r="J1581" s="31">
        <v>38</v>
      </c>
      <c r="K1581" s="33" t="s">
        <v>109</v>
      </c>
      <c r="L1581" s="31" t="str">
        <f t="shared" si="153"/>
        <v>Tiga Puluh Delapan</v>
      </c>
    </row>
    <row r="1582" spans="1:12">
      <c r="J1582" s="31">
        <v>39</v>
      </c>
      <c r="K1582" s="33" t="s">
        <v>110</v>
      </c>
      <c r="L1582" s="31" t="str">
        <f t="shared" si="153"/>
        <v>Tiga Puluh Sembilan</v>
      </c>
    </row>
    <row r="1583" spans="1:12">
      <c r="B1583" s="35"/>
      <c r="C1583" s="35"/>
      <c r="D1583" s="35"/>
      <c r="J1583" s="31">
        <v>40</v>
      </c>
      <c r="K1583" s="33" t="s">
        <v>111</v>
      </c>
      <c r="L1583" s="31" t="s">
        <v>112</v>
      </c>
    </row>
    <row r="1584" spans="1:12">
      <c r="A1584" s="35"/>
      <c r="B1584" s="35"/>
      <c r="C1584" s="35"/>
      <c r="D1584" s="35"/>
      <c r="J1584" s="31">
        <v>41</v>
      </c>
      <c r="K1584" s="33" t="s">
        <v>113</v>
      </c>
      <c r="L1584" s="31" t="str">
        <f t="shared" ref="L1584:L1592" si="154">$L$43&amp;" "&amp;L1544</f>
        <v>Empat Puluh Satu</v>
      </c>
    </row>
    <row r="1585" spans="1:12">
      <c r="J1585" s="31">
        <v>42</v>
      </c>
      <c r="K1585" s="33" t="s">
        <v>114</v>
      </c>
      <c r="L1585" s="31" t="str">
        <f t="shared" si="154"/>
        <v>Empat Puluh Dua</v>
      </c>
    </row>
    <row r="1586" spans="1:12">
      <c r="A1586" s="38"/>
      <c r="J1586" s="31">
        <v>43</v>
      </c>
      <c r="K1586" s="33" t="s">
        <v>115</v>
      </c>
      <c r="L1586" s="31" t="str">
        <f t="shared" si="154"/>
        <v>Empat Puluh Tiga</v>
      </c>
    </row>
    <row r="1587" spans="1:12">
      <c r="J1587" s="31">
        <v>44</v>
      </c>
      <c r="K1587" s="33" t="s">
        <v>116</v>
      </c>
      <c r="L1587" s="31" t="str">
        <f t="shared" si="154"/>
        <v>Empat Puluh Empat</v>
      </c>
    </row>
    <row r="1588" spans="1:12">
      <c r="J1588" s="31">
        <v>45</v>
      </c>
      <c r="K1588" s="33" t="s">
        <v>117</v>
      </c>
      <c r="L1588" s="31" t="str">
        <f t="shared" si="154"/>
        <v>Empat Puluh Lima</v>
      </c>
    </row>
    <row r="1589" spans="1:12">
      <c r="J1589" s="31">
        <v>46</v>
      </c>
      <c r="K1589" s="33" t="s">
        <v>118</v>
      </c>
      <c r="L1589" s="31" t="str">
        <f t="shared" si="154"/>
        <v>Empat Puluh Enam</v>
      </c>
    </row>
    <row r="1590" spans="1:12">
      <c r="J1590" s="31">
        <v>47</v>
      </c>
      <c r="K1590" s="33" t="s">
        <v>119</v>
      </c>
      <c r="L1590" s="31" t="str">
        <f t="shared" si="154"/>
        <v>Empat Puluh Tujuh</v>
      </c>
    </row>
    <row r="1591" spans="1:12">
      <c r="J1591" s="31">
        <v>48</v>
      </c>
      <c r="K1591" s="33" t="s">
        <v>120</v>
      </c>
      <c r="L1591" s="31" t="str">
        <f t="shared" si="154"/>
        <v>Empat Puluh Delapan</v>
      </c>
    </row>
    <row r="1592" spans="1:12">
      <c r="J1592" s="31">
        <v>49</v>
      </c>
      <c r="K1592" s="33" t="s">
        <v>121</v>
      </c>
      <c r="L1592" s="31" t="str">
        <f t="shared" si="154"/>
        <v>Empat Puluh Sembilan</v>
      </c>
    </row>
    <row r="1593" spans="1:12">
      <c r="J1593" s="31">
        <v>50</v>
      </c>
      <c r="K1593" s="33" t="s">
        <v>122</v>
      </c>
      <c r="L1593" s="31" t="s">
        <v>123</v>
      </c>
    </row>
    <row r="1594" spans="1:12">
      <c r="J1594" s="31">
        <v>51</v>
      </c>
      <c r="K1594" s="33" t="s">
        <v>124</v>
      </c>
      <c r="L1594" s="31" t="str">
        <f t="shared" ref="L1594:L1602" si="155">$L$53&amp;" "&amp;L1544</f>
        <v>Lima Puluh Satu</v>
      </c>
    </row>
    <row r="1595" spans="1:12">
      <c r="J1595" s="31">
        <v>52</v>
      </c>
      <c r="K1595" s="33" t="s">
        <v>125</v>
      </c>
      <c r="L1595" s="31" t="str">
        <f t="shared" si="155"/>
        <v>Lima Puluh Dua</v>
      </c>
    </row>
    <row r="1596" spans="1:12">
      <c r="J1596" s="31">
        <v>53</v>
      </c>
      <c r="K1596" s="33" t="s">
        <v>126</v>
      </c>
      <c r="L1596" s="31" t="str">
        <f t="shared" si="155"/>
        <v>Lima Puluh Tiga</v>
      </c>
    </row>
    <row r="1597" spans="1:12">
      <c r="J1597" s="31">
        <v>54</v>
      </c>
      <c r="K1597" s="33" t="s">
        <v>127</v>
      </c>
      <c r="L1597" s="31" t="str">
        <f t="shared" si="155"/>
        <v>Lima Puluh Empat</v>
      </c>
    </row>
    <row r="1598" spans="1:12">
      <c r="J1598" s="31">
        <v>55</v>
      </c>
      <c r="K1598" s="33" t="s">
        <v>128</v>
      </c>
      <c r="L1598" s="31" t="str">
        <f t="shared" si="155"/>
        <v>Lima Puluh Lima</v>
      </c>
    </row>
    <row r="1599" spans="1:12">
      <c r="J1599" s="31">
        <v>56</v>
      </c>
      <c r="K1599" s="33" t="s">
        <v>129</v>
      </c>
      <c r="L1599" s="31" t="str">
        <f t="shared" si="155"/>
        <v>Lima Puluh Enam</v>
      </c>
    </row>
    <row r="1600" spans="1:12">
      <c r="J1600" s="31">
        <v>57</v>
      </c>
      <c r="K1600" s="33" t="s">
        <v>130</v>
      </c>
      <c r="L1600" s="31" t="str">
        <f t="shared" si="155"/>
        <v>Lima Puluh Tujuh</v>
      </c>
    </row>
    <row r="1601" spans="10:12">
      <c r="J1601" s="31">
        <v>58</v>
      </c>
      <c r="K1601" s="33" t="s">
        <v>131</v>
      </c>
      <c r="L1601" s="31" t="str">
        <f t="shared" si="155"/>
        <v>Lima Puluh Delapan</v>
      </c>
    </row>
    <row r="1602" spans="10:12">
      <c r="J1602" s="31">
        <v>59</v>
      </c>
      <c r="K1602" s="33" t="s">
        <v>132</v>
      </c>
      <c r="L1602" s="31" t="str">
        <f t="shared" si="155"/>
        <v>Lima Puluh Sembilan</v>
      </c>
    </row>
    <row r="1603" spans="10:12">
      <c r="J1603" s="31">
        <v>60</v>
      </c>
      <c r="K1603" s="33" t="s">
        <v>133</v>
      </c>
      <c r="L1603" s="31" t="s">
        <v>134</v>
      </c>
    </row>
    <row r="1604" spans="10:12">
      <c r="J1604" s="31">
        <v>61</v>
      </c>
      <c r="K1604" s="33" t="s">
        <v>135</v>
      </c>
      <c r="L1604" s="31" t="str">
        <f t="shared" ref="L1604:L1612" si="156">$L$63&amp;" "&amp;L1544</f>
        <v>Enam Puluh Satu</v>
      </c>
    </row>
    <row r="1605" spans="10:12">
      <c r="J1605" s="31">
        <v>62</v>
      </c>
      <c r="K1605" s="33" t="s">
        <v>136</v>
      </c>
      <c r="L1605" s="31" t="str">
        <f t="shared" si="156"/>
        <v>Enam Puluh Dua</v>
      </c>
    </row>
    <row r="1606" spans="10:12">
      <c r="J1606" s="31">
        <v>63</v>
      </c>
      <c r="K1606" s="33" t="s">
        <v>137</v>
      </c>
      <c r="L1606" s="31" t="str">
        <f t="shared" si="156"/>
        <v>Enam Puluh Tiga</v>
      </c>
    </row>
    <row r="1607" spans="10:12">
      <c r="J1607" s="31">
        <v>64</v>
      </c>
      <c r="K1607" s="33" t="s">
        <v>138</v>
      </c>
      <c r="L1607" s="31" t="str">
        <f t="shared" si="156"/>
        <v>Enam Puluh Empat</v>
      </c>
    </row>
    <row r="1608" spans="10:12">
      <c r="J1608" s="31">
        <v>65</v>
      </c>
      <c r="K1608" s="33" t="s">
        <v>139</v>
      </c>
      <c r="L1608" s="31" t="str">
        <f t="shared" si="156"/>
        <v>Enam Puluh Lima</v>
      </c>
    </row>
    <row r="1609" spans="10:12">
      <c r="J1609" s="31">
        <v>66</v>
      </c>
      <c r="K1609" s="33" t="s">
        <v>140</v>
      </c>
      <c r="L1609" s="31" t="str">
        <f t="shared" si="156"/>
        <v>Enam Puluh Enam</v>
      </c>
    </row>
    <row r="1610" spans="10:12">
      <c r="J1610" s="31">
        <v>67</v>
      </c>
      <c r="K1610" s="33" t="s">
        <v>141</v>
      </c>
      <c r="L1610" s="31" t="str">
        <f t="shared" si="156"/>
        <v>Enam Puluh Tujuh</v>
      </c>
    </row>
    <row r="1611" spans="10:12">
      <c r="J1611" s="31">
        <v>68</v>
      </c>
      <c r="K1611" s="33" t="s">
        <v>142</v>
      </c>
      <c r="L1611" s="31" t="str">
        <f t="shared" si="156"/>
        <v>Enam Puluh Delapan</v>
      </c>
    </row>
    <row r="1612" spans="10:12">
      <c r="J1612" s="31">
        <v>69</v>
      </c>
      <c r="K1612" s="33" t="s">
        <v>143</v>
      </c>
      <c r="L1612" s="31" t="str">
        <f t="shared" si="156"/>
        <v>Enam Puluh Sembilan</v>
      </c>
    </row>
    <row r="1613" spans="10:12">
      <c r="J1613" s="31">
        <v>70</v>
      </c>
      <c r="K1613" s="33" t="s">
        <v>144</v>
      </c>
      <c r="L1613" s="31" t="s">
        <v>145</v>
      </c>
    </row>
    <row r="1614" spans="10:12">
      <c r="J1614" s="31">
        <v>71</v>
      </c>
      <c r="K1614" s="33" t="s">
        <v>146</v>
      </c>
      <c r="L1614" s="31" t="str">
        <f t="shared" ref="L1614:L1622" si="157">$L$73&amp;" "&amp;L1544</f>
        <v>Tujuh Puluh Satu</v>
      </c>
    </row>
    <row r="1615" spans="10:12">
      <c r="J1615" s="31">
        <v>72</v>
      </c>
      <c r="K1615" s="33" t="s">
        <v>147</v>
      </c>
      <c r="L1615" s="31" t="str">
        <f t="shared" si="157"/>
        <v>Tujuh Puluh Dua</v>
      </c>
    </row>
    <row r="1616" spans="10:12">
      <c r="J1616" s="31">
        <v>73</v>
      </c>
      <c r="K1616" s="33" t="s">
        <v>148</v>
      </c>
      <c r="L1616" s="31" t="str">
        <f t="shared" si="157"/>
        <v>Tujuh Puluh Tiga</v>
      </c>
    </row>
    <row r="1617" spans="10:12">
      <c r="J1617" s="31">
        <v>74</v>
      </c>
      <c r="K1617" s="33" t="s">
        <v>149</v>
      </c>
      <c r="L1617" s="31" t="str">
        <f t="shared" si="157"/>
        <v>Tujuh Puluh Empat</v>
      </c>
    </row>
    <row r="1618" spans="10:12">
      <c r="J1618" s="31">
        <v>75</v>
      </c>
      <c r="K1618" s="33" t="s">
        <v>150</v>
      </c>
      <c r="L1618" s="31" t="str">
        <f t="shared" si="157"/>
        <v>Tujuh Puluh Lima</v>
      </c>
    </row>
    <row r="1619" spans="10:12">
      <c r="J1619" s="31">
        <v>76</v>
      </c>
      <c r="K1619" s="33" t="s">
        <v>151</v>
      </c>
      <c r="L1619" s="31" t="str">
        <f t="shared" si="157"/>
        <v>Tujuh Puluh Enam</v>
      </c>
    </row>
    <row r="1620" spans="10:12">
      <c r="J1620" s="31">
        <v>77</v>
      </c>
      <c r="K1620" s="33" t="s">
        <v>152</v>
      </c>
      <c r="L1620" s="31" t="str">
        <f t="shared" si="157"/>
        <v>Tujuh Puluh Tujuh</v>
      </c>
    </row>
    <row r="1621" spans="10:12">
      <c r="J1621" s="31">
        <v>78</v>
      </c>
      <c r="K1621" s="33" t="s">
        <v>153</v>
      </c>
      <c r="L1621" s="31" t="str">
        <f t="shared" si="157"/>
        <v>Tujuh Puluh Delapan</v>
      </c>
    </row>
    <row r="1622" spans="10:12">
      <c r="J1622" s="31">
        <v>79</v>
      </c>
      <c r="K1622" s="33" t="s">
        <v>154</v>
      </c>
      <c r="L1622" s="31" t="str">
        <f t="shared" si="157"/>
        <v>Tujuh Puluh Sembilan</v>
      </c>
    </row>
    <row r="1623" spans="10:12">
      <c r="J1623" s="31">
        <v>80</v>
      </c>
      <c r="K1623" s="33" t="s">
        <v>155</v>
      </c>
      <c r="L1623" s="31" t="s">
        <v>156</v>
      </c>
    </row>
    <row r="1624" spans="10:12">
      <c r="J1624" s="31">
        <v>81</v>
      </c>
      <c r="K1624" s="33" t="s">
        <v>157</v>
      </c>
      <c r="L1624" s="31" t="str">
        <f t="shared" ref="L1624:L1632" si="158">$L$83&amp;" "&amp;L1544</f>
        <v>Delapan Puluh Satu</v>
      </c>
    </row>
    <row r="1625" spans="10:12">
      <c r="J1625" s="31">
        <v>82</v>
      </c>
      <c r="K1625" s="33" t="s">
        <v>158</v>
      </c>
      <c r="L1625" s="31" t="str">
        <f t="shared" si="158"/>
        <v>Delapan Puluh Dua</v>
      </c>
    </row>
    <row r="1626" spans="10:12">
      <c r="J1626" s="31">
        <v>83</v>
      </c>
      <c r="K1626" s="33" t="s">
        <v>159</v>
      </c>
      <c r="L1626" s="31" t="str">
        <f t="shared" si="158"/>
        <v>Delapan Puluh Tiga</v>
      </c>
    </row>
    <row r="1627" spans="10:12">
      <c r="J1627" s="31">
        <v>84</v>
      </c>
      <c r="K1627" s="33" t="s">
        <v>160</v>
      </c>
      <c r="L1627" s="31" t="str">
        <f t="shared" si="158"/>
        <v>Delapan Puluh Empat</v>
      </c>
    </row>
    <row r="1628" spans="10:12">
      <c r="J1628" s="31">
        <v>85</v>
      </c>
      <c r="K1628" s="33" t="s">
        <v>161</v>
      </c>
      <c r="L1628" s="31" t="str">
        <f t="shared" si="158"/>
        <v>Delapan Puluh Lima</v>
      </c>
    </row>
    <row r="1629" spans="10:12">
      <c r="J1629" s="31">
        <v>86</v>
      </c>
      <c r="K1629" s="33" t="s">
        <v>162</v>
      </c>
      <c r="L1629" s="31" t="str">
        <f t="shared" si="158"/>
        <v>Delapan Puluh Enam</v>
      </c>
    </row>
    <row r="1630" spans="10:12">
      <c r="J1630" s="31">
        <v>87</v>
      </c>
      <c r="K1630" s="33" t="s">
        <v>163</v>
      </c>
      <c r="L1630" s="31" t="str">
        <f t="shared" si="158"/>
        <v>Delapan Puluh Tujuh</v>
      </c>
    </row>
    <row r="1631" spans="10:12">
      <c r="J1631" s="31">
        <v>88</v>
      </c>
      <c r="K1631" s="33" t="s">
        <v>164</v>
      </c>
      <c r="L1631" s="31" t="str">
        <f t="shared" si="158"/>
        <v>Delapan Puluh Delapan</v>
      </c>
    </row>
    <row r="1632" spans="10:12">
      <c r="J1632" s="31">
        <v>89</v>
      </c>
      <c r="K1632" s="33" t="s">
        <v>165</v>
      </c>
      <c r="L1632" s="31" t="str">
        <f t="shared" si="158"/>
        <v>Delapan Puluh Sembilan</v>
      </c>
    </row>
    <row r="1633" spans="1:12">
      <c r="J1633" s="31">
        <v>90</v>
      </c>
      <c r="K1633" s="33" t="s">
        <v>166</v>
      </c>
      <c r="L1633" s="31" t="s">
        <v>167</v>
      </c>
    </row>
    <row r="1634" spans="1:12">
      <c r="J1634" s="31">
        <v>91</v>
      </c>
      <c r="K1634" s="33" t="s">
        <v>168</v>
      </c>
      <c r="L1634" s="31" t="str">
        <f t="shared" ref="L1634:L1642" si="159">$L$93&amp;" "&amp;L1544</f>
        <v>Sembilan Puluh Satu</v>
      </c>
    </row>
    <row r="1635" spans="1:12">
      <c r="J1635" s="31">
        <v>92</v>
      </c>
      <c r="K1635" s="33" t="s">
        <v>169</v>
      </c>
      <c r="L1635" s="31" t="str">
        <f t="shared" si="159"/>
        <v>Sembilan Puluh Dua</v>
      </c>
    </row>
    <row r="1636" spans="1:12">
      <c r="J1636" s="31">
        <v>93</v>
      </c>
      <c r="K1636" s="33" t="s">
        <v>170</v>
      </c>
      <c r="L1636" s="31" t="str">
        <f t="shared" si="159"/>
        <v>Sembilan Puluh Tiga</v>
      </c>
    </row>
    <row r="1637" spans="1:12">
      <c r="J1637" s="31">
        <v>94</v>
      </c>
      <c r="K1637" s="33" t="s">
        <v>171</v>
      </c>
      <c r="L1637" s="31" t="str">
        <f t="shared" si="159"/>
        <v>Sembilan Puluh Empat</v>
      </c>
    </row>
    <row r="1638" spans="1:12">
      <c r="J1638" s="31">
        <v>95</v>
      </c>
      <c r="K1638" s="33" t="s">
        <v>172</v>
      </c>
      <c r="L1638" s="31" t="str">
        <f t="shared" si="159"/>
        <v>Sembilan Puluh Lima</v>
      </c>
    </row>
    <row r="1639" spans="1:12">
      <c r="J1639" s="31">
        <v>96</v>
      </c>
      <c r="K1639" s="33" t="s">
        <v>173</v>
      </c>
      <c r="L1639" s="31" t="str">
        <f t="shared" si="159"/>
        <v>Sembilan Puluh Enam</v>
      </c>
    </row>
    <row r="1640" spans="1:12">
      <c r="J1640" s="31">
        <v>97</v>
      </c>
      <c r="K1640" s="33" t="s">
        <v>174</v>
      </c>
      <c r="L1640" s="31" t="str">
        <f t="shared" si="159"/>
        <v>Sembilan Puluh Tujuh</v>
      </c>
    </row>
    <row r="1641" spans="1:12">
      <c r="J1641" s="31">
        <v>98</v>
      </c>
      <c r="K1641" s="33" t="s">
        <v>175</v>
      </c>
      <c r="L1641" s="31" t="str">
        <f t="shared" si="159"/>
        <v>Sembilan Puluh Delapan</v>
      </c>
    </row>
    <row r="1642" spans="1:12">
      <c r="J1642" s="31">
        <v>99</v>
      </c>
      <c r="K1642" s="33" t="s">
        <v>176</v>
      </c>
      <c r="L1642" s="31" t="str">
        <f t="shared" si="159"/>
        <v>Sembilan Puluh Sembilan</v>
      </c>
    </row>
    <row r="1644" spans="1:12">
      <c r="A1644" s="30" t="e">
        <f>#REF!</f>
        <v>#REF!</v>
      </c>
      <c r="C1644" s="31" t="s">
        <v>232</v>
      </c>
    </row>
    <row r="1645" spans="1:12">
      <c r="A1645" s="32"/>
    </row>
    <row r="1646" spans="1:12">
      <c r="J1646" s="31">
        <v>0</v>
      </c>
      <c r="K1646" s="33" t="s">
        <v>48</v>
      </c>
      <c r="L1646" s="31" t="s">
        <v>49</v>
      </c>
    </row>
    <row r="1647" spans="1:12">
      <c r="A1647" s="34"/>
      <c r="J1647" s="31">
        <v>1</v>
      </c>
      <c r="K1647" s="33" t="s">
        <v>50</v>
      </c>
      <c r="L1647" s="31" t="s">
        <v>51</v>
      </c>
    </row>
    <row r="1648" spans="1:12">
      <c r="A1648" s="255" t="e">
        <f>TRIM(D1656&amp;E1656&amp;D1657&amp;E1657&amp;D1658&amp;E1658&amp;D1659&amp;E1659&amp;D1660&amp;E1660&amp;D1661&amp;E1661&amp;E1662&amp;D1662&amp;" Only")</f>
        <v>#REF!</v>
      </c>
      <c r="B1648" s="255"/>
      <c r="C1648" s="255"/>
      <c r="D1648" s="255"/>
      <c r="E1648" s="35"/>
      <c r="F1648" s="36"/>
      <c r="J1648" s="31">
        <v>2</v>
      </c>
      <c r="K1648" s="33" t="s">
        <v>52</v>
      </c>
      <c r="L1648" s="31" t="s">
        <v>53</v>
      </c>
    </row>
    <row r="1649" spans="1:12">
      <c r="A1649" s="37"/>
      <c r="B1649" s="37"/>
      <c r="C1649" s="37"/>
      <c r="D1649" s="37"/>
      <c r="E1649" s="35"/>
      <c r="F1649" s="36"/>
      <c r="J1649" s="31">
        <v>3</v>
      </c>
      <c r="K1649" s="33" t="s">
        <v>54</v>
      </c>
      <c r="L1649" s="31" t="s">
        <v>55</v>
      </c>
    </row>
    <row r="1650" spans="1:12">
      <c r="A1650" s="37"/>
      <c r="B1650" s="37"/>
      <c r="C1650" s="37"/>
      <c r="D1650" s="37"/>
      <c r="J1650" s="31">
        <v>4</v>
      </c>
      <c r="K1650" s="33" t="s">
        <v>56</v>
      </c>
      <c r="L1650" s="31" t="s">
        <v>57</v>
      </c>
    </row>
    <row r="1651" spans="1:12">
      <c r="A1651" s="255" t="e">
        <f>TRIM(D1666&amp;E1666&amp;D1667&amp;E1667&amp;D1668&amp;E1668&amp;D1669&amp;E1669&amp;D1670&amp;E1670&amp;D1671&amp;E1671&amp;D1672&amp;E1672&amp;" Rupiah")</f>
        <v>#REF!</v>
      </c>
      <c r="B1651" s="255"/>
      <c r="C1651" s="255"/>
      <c r="D1651" s="255"/>
      <c r="E1651" s="35"/>
      <c r="F1651" s="36"/>
      <c r="J1651" s="31">
        <v>5</v>
      </c>
      <c r="K1651" s="33" t="s">
        <v>58</v>
      </c>
      <c r="L1651" s="31" t="s">
        <v>59</v>
      </c>
    </row>
    <row r="1652" spans="1:12">
      <c r="A1652" s="35"/>
      <c r="B1652" s="35"/>
      <c r="C1652" s="35"/>
      <c r="D1652" s="35"/>
      <c r="E1652" s="35"/>
      <c r="F1652" s="36"/>
      <c r="J1652" s="31">
        <v>6</v>
      </c>
      <c r="K1652" s="33" t="s">
        <v>60</v>
      </c>
      <c r="L1652" s="31" t="s">
        <v>61</v>
      </c>
    </row>
    <row r="1653" spans="1:12">
      <c r="J1653" s="31">
        <v>7</v>
      </c>
      <c r="K1653" s="33" t="s">
        <v>62</v>
      </c>
      <c r="L1653" s="31" t="s">
        <v>63</v>
      </c>
    </row>
    <row r="1654" spans="1:12">
      <c r="J1654" s="31">
        <v>8</v>
      </c>
      <c r="K1654" s="33" t="s">
        <v>64</v>
      </c>
      <c r="L1654" s="31" t="s">
        <v>65</v>
      </c>
    </row>
    <row r="1655" spans="1:12">
      <c r="A1655" s="38" t="s">
        <v>66</v>
      </c>
      <c r="J1655" s="31">
        <v>9</v>
      </c>
      <c r="K1655" s="33" t="s">
        <v>67</v>
      </c>
      <c r="L1655" s="31" t="s">
        <v>68</v>
      </c>
    </row>
    <row r="1656" spans="1:12">
      <c r="A1656" s="31" t="s">
        <v>69</v>
      </c>
      <c r="B1656" s="39" t="e">
        <f>TRUNC(A1644/100000000)</f>
        <v>#REF!</v>
      </c>
      <c r="C1656" s="31" t="e">
        <f>B1656*100000000</f>
        <v>#REF!</v>
      </c>
      <c r="D1656" s="31" t="e">
        <f t="shared" ref="D1656:D1662" si="160">IF(B1656&lt;1,"",VLOOKUP(B1656,$J$3:$K$102,2))</f>
        <v>#REF!</v>
      </c>
      <c r="E1656" s="31" t="e">
        <f>IF(B1656&lt;1,"",IF(B1656&gt;1," Hundreds "," Hundred "))</f>
        <v>#REF!</v>
      </c>
      <c r="J1656" s="31">
        <v>10</v>
      </c>
      <c r="K1656" s="33" t="s">
        <v>70</v>
      </c>
      <c r="L1656" s="31" t="s">
        <v>71</v>
      </c>
    </row>
    <row r="1657" spans="1:12">
      <c r="A1657" s="31" t="s">
        <v>72</v>
      </c>
      <c r="B1657" s="39" t="e">
        <f>TRUNC((A1644-C1656)/1000000)</f>
        <v>#REF!</v>
      </c>
      <c r="C1657" s="31" t="e">
        <f>B1657*1000000</f>
        <v>#REF!</v>
      </c>
      <c r="D1657" s="31" t="e">
        <f t="shared" si="160"/>
        <v>#REF!</v>
      </c>
      <c r="E1657" s="31" t="e">
        <f>IF(B1656+B1657=0,"",IF(B1657=1," Million "," Millions "))</f>
        <v>#REF!</v>
      </c>
      <c r="J1657" s="31">
        <v>11</v>
      </c>
      <c r="K1657" s="33" t="s">
        <v>73</v>
      </c>
      <c r="L1657" s="31" t="s">
        <v>74</v>
      </c>
    </row>
    <row r="1658" spans="1:12">
      <c r="A1658" s="31" t="s">
        <v>75</v>
      </c>
      <c r="B1658" s="39" t="e">
        <f>TRUNC((A1644-SUM(C1656:C1657))/100000)</f>
        <v>#REF!</v>
      </c>
      <c r="C1658" s="31" t="e">
        <f>B1658*100000</f>
        <v>#REF!</v>
      </c>
      <c r="D1658" s="31" t="e">
        <f t="shared" si="160"/>
        <v>#REF!</v>
      </c>
      <c r="E1658" s="31" t="e">
        <f>IF(B1658&lt;1,"",IF(B1658&gt;1," Hundreds "," Hundred "))</f>
        <v>#REF!</v>
      </c>
      <c r="J1658" s="31">
        <v>12</v>
      </c>
      <c r="K1658" s="33" t="s">
        <v>76</v>
      </c>
      <c r="L1658" s="31" t="str">
        <f t="shared" ref="L1658:L1665" si="161">L1648&amp;" Belas"</f>
        <v>Dua Belas</v>
      </c>
    </row>
    <row r="1659" spans="1:12">
      <c r="A1659" s="33" t="s">
        <v>77</v>
      </c>
      <c r="B1659" s="40" t="e">
        <f>TRUNC((A1644-SUM(C1656:C1658))/1000)</f>
        <v>#REF!</v>
      </c>
      <c r="C1659" s="31" t="e">
        <f>B1659*1000</f>
        <v>#REF!</v>
      </c>
      <c r="D1659" s="31" t="e">
        <f t="shared" si="160"/>
        <v>#REF!</v>
      </c>
      <c r="E1659" s="31" t="e">
        <f>IF(B1658+B1659=0,"",IF(B1659=1," Thousand "," Thousands "))</f>
        <v>#REF!</v>
      </c>
      <c r="J1659" s="31">
        <v>13</v>
      </c>
      <c r="K1659" s="33" t="s">
        <v>78</v>
      </c>
      <c r="L1659" s="31" t="str">
        <f t="shared" si="161"/>
        <v>Tiga Belas</v>
      </c>
    </row>
    <row r="1660" spans="1:12">
      <c r="A1660" s="33" t="s">
        <v>79</v>
      </c>
      <c r="B1660" s="40" t="e">
        <f>TRUNC((A1644-SUM(C1656:C1659))/100)</f>
        <v>#REF!</v>
      </c>
      <c r="C1660" s="31" t="e">
        <f>B1660*100</f>
        <v>#REF!</v>
      </c>
      <c r="D1660" s="31" t="e">
        <f t="shared" si="160"/>
        <v>#REF!</v>
      </c>
      <c r="E1660" s="31" t="e">
        <f>IF(B1660&lt;1,"",IF(B1660&gt;1," Hundreds "," Hundred "))</f>
        <v>#REF!</v>
      </c>
      <c r="J1660" s="31">
        <v>14</v>
      </c>
      <c r="K1660" s="33" t="s">
        <v>80</v>
      </c>
      <c r="L1660" s="31" t="str">
        <f t="shared" si="161"/>
        <v>Empat Belas</v>
      </c>
    </row>
    <row r="1661" spans="1:12">
      <c r="A1661" s="33" t="s">
        <v>81</v>
      </c>
      <c r="B1661" s="41" t="e">
        <f>TRUNC((A1644-SUM(C1656:C1660)))</f>
        <v>#REF!</v>
      </c>
      <c r="C1661" s="42" t="e">
        <f>B1661</f>
        <v>#REF!</v>
      </c>
      <c r="D1661" s="31" t="e">
        <f t="shared" si="160"/>
        <v>#REF!</v>
      </c>
      <c r="E1661" s="31" t="e">
        <f>IF(SUM(C1656:C1661)&lt;1,"",IF(B1662&lt;1,""," And "))</f>
        <v>#REF!</v>
      </c>
      <c r="J1661" s="31">
        <v>15</v>
      </c>
      <c r="K1661" s="33" t="s">
        <v>82</v>
      </c>
      <c r="L1661" s="31" t="str">
        <f t="shared" si="161"/>
        <v>Lima Belas</v>
      </c>
    </row>
    <row r="1662" spans="1:12">
      <c r="A1662" s="33" t="s">
        <v>83</v>
      </c>
      <c r="B1662" s="40" t="e">
        <f>ROUND(A1644-SUM(C1656:C1661),2)*100</f>
        <v>#REF!</v>
      </c>
      <c r="D1662" s="43" t="e">
        <f t="shared" si="160"/>
        <v>#REF!</v>
      </c>
      <c r="E1662" s="31" t="e">
        <f>IF(B1662&lt;1,"",IF(B1662=1," Cent "," Cents "))</f>
        <v>#REF!</v>
      </c>
      <c r="J1662" s="31">
        <v>16</v>
      </c>
      <c r="K1662" s="33" t="s">
        <v>84</v>
      </c>
      <c r="L1662" s="31" t="str">
        <f t="shared" si="161"/>
        <v>Enam Belas</v>
      </c>
    </row>
    <row r="1663" spans="1:12">
      <c r="J1663" s="31">
        <v>17</v>
      </c>
      <c r="K1663" s="33" t="s">
        <v>85</v>
      </c>
      <c r="L1663" s="31" t="str">
        <f t="shared" si="161"/>
        <v>Tujuh Belas</v>
      </c>
    </row>
    <row r="1664" spans="1:12">
      <c r="A1664" s="44"/>
      <c r="J1664" s="31">
        <v>18</v>
      </c>
      <c r="K1664" s="33" t="s">
        <v>86</v>
      </c>
      <c r="L1664" s="31" t="str">
        <f t="shared" si="161"/>
        <v>Delapan Belas</v>
      </c>
    </row>
    <row r="1665" spans="1:12">
      <c r="A1665" s="38" t="s">
        <v>87</v>
      </c>
      <c r="J1665" s="31">
        <v>19</v>
      </c>
      <c r="K1665" s="33" t="s">
        <v>88</v>
      </c>
      <c r="L1665" s="31" t="str">
        <f t="shared" si="161"/>
        <v>Sembilan Belas</v>
      </c>
    </row>
    <row r="1666" spans="1:12">
      <c r="A1666" s="31" t="s">
        <v>69</v>
      </c>
      <c r="B1666" s="39" t="e">
        <f>TRUNC(A1644/100000000)</f>
        <v>#REF!</v>
      </c>
      <c r="C1666" s="31" t="e">
        <f>B1666*100000000</f>
        <v>#REF!</v>
      </c>
      <c r="D1666" s="31" t="e">
        <f>IF(B1666&lt;1,"",IF(B1666=1,"",VLOOKUP(B1666,$J$3:$L$102,3)))</f>
        <v>#REF!</v>
      </c>
      <c r="E1666" s="31" t="e">
        <f>IF(B1666&lt;1,"",IF(B1666=1,"Seratus "," Ratus "))</f>
        <v>#REF!</v>
      </c>
      <c r="J1666" s="31">
        <v>20</v>
      </c>
      <c r="K1666" s="33" t="s">
        <v>89</v>
      </c>
      <c r="L1666" s="31" t="s">
        <v>90</v>
      </c>
    </row>
    <row r="1667" spans="1:12">
      <c r="A1667" s="31" t="s">
        <v>72</v>
      </c>
      <c r="B1667" s="39" t="e">
        <f>TRUNC((A1644-C1666)/1000000)</f>
        <v>#REF!</v>
      </c>
      <c r="C1667" s="31" t="e">
        <f>B1667*1000000</f>
        <v>#REF!</v>
      </c>
      <c r="D1667" s="31" t="e">
        <f>IF(B1667&lt;1,"",VLOOKUP(B1667,$J$3:$L$102,3))</f>
        <v>#REF!</v>
      </c>
      <c r="E1667" s="31" t="e">
        <f>IF(B1666+B1667=0,""," Juta ")</f>
        <v>#REF!</v>
      </c>
      <c r="J1667" s="31">
        <v>21</v>
      </c>
      <c r="K1667" s="33" t="s">
        <v>91</v>
      </c>
      <c r="L1667" s="31" t="str">
        <f t="shared" ref="L1667:L1675" si="162">$L$23&amp;" "&amp;L1647</f>
        <v>Dua Puluh Satu</v>
      </c>
    </row>
    <row r="1668" spans="1:12">
      <c r="A1668" s="31" t="s">
        <v>75</v>
      </c>
      <c r="B1668" s="39" t="e">
        <f>TRUNC((A1644-SUM(C1666:C1667))/100000)</f>
        <v>#REF!</v>
      </c>
      <c r="C1668" s="31" t="e">
        <f>B1668*100000</f>
        <v>#REF!</v>
      </c>
      <c r="D1668" s="31" t="e">
        <f>IF(B1668&lt;1,"",IF(B1668=1,"",VLOOKUP(B1668,$J$3:$L$102,3)))</f>
        <v>#REF!</v>
      </c>
      <c r="E1668" s="31" t="e">
        <f>IF(B1668&lt;1,"",IF(B1668=1," Seratus "," Ratus "))</f>
        <v>#REF!</v>
      </c>
      <c r="J1668" s="31">
        <v>22</v>
      </c>
      <c r="K1668" s="33" t="s">
        <v>92</v>
      </c>
      <c r="L1668" s="31" t="str">
        <f t="shared" si="162"/>
        <v>Dua Puluh Dua</v>
      </c>
    </row>
    <row r="1669" spans="1:12">
      <c r="A1669" s="33" t="s">
        <v>77</v>
      </c>
      <c r="B1669" s="40" t="e">
        <f>TRUNC((A1644-SUM(C1666:C1668))/1000)</f>
        <v>#REF!</v>
      </c>
      <c r="C1669" s="31" t="e">
        <f>B1669*1000</f>
        <v>#REF!</v>
      </c>
      <c r="D1669" s="31" t="e">
        <f>IF(B1669&lt;1,"",IF(B1669=1,"",VLOOKUP(B1669,$J$3:$L$102,3)))</f>
        <v>#REF!</v>
      </c>
      <c r="E1669" s="31" t="e">
        <f>IF(B1668+B1669&lt;1,"",IF(B1669=1," Seribu "," Ribu "))</f>
        <v>#REF!</v>
      </c>
      <c r="J1669" s="31">
        <v>23</v>
      </c>
      <c r="K1669" s="33" t="s">
        <v>93</v>
      </c>
      <c r="L1669" s="31" t="str">
        <f t="shared" si="162"/>
        <v>Dua Puluh Tiga</v>
      </c>
    </row>
    <row r="1670" spans="1:12">
      <c r="A1670" s="33" t="s">
        <v>79</v>
      </c>
      <c r="B1670" s="40" t="e">
        <f>TRUNC((A1644-SUM(C1666:C1669))/100)</f>
        <v>#REF!</v>
      </c>
      <c r="C1670" s="31" t="e">
        <f>B1670*100</f>
        <v>#REF!</v>
      </c>
      <c r="D1670" s="31" t="e">
        <f>IF(B1670&lt;1,"",IF(B1670=1,"",VLOOKUP(B1670,$J$3:$L$102,3)))</f>
        <v>#REF!</v>
      </c>
      <c r="E1670" s="31" t="e">
        <f>IF(B1670&lt;1,"",IF(B1670=1," Seratus "," Ratus "))</f>
        <v>#REF!</v>
      </c>
      <c r="J1670" s="31">
        <v>24</v>
      </c>
      <c r="K1670" s="33" t="s">
        <v>94</v>
      </c>
      <c r="L1670" s="31" t="str">
        <f t="shared" si="162"/>
        <v>Dua Puluh Empat</v>
      </c>
    </row>
    <row r="1671" spans="1:12">
      <c r="A1671" s="33" t="s">
        <v>81</v>
      </c>
      <c r="B1671" s="41" t="e">
        <f>TRUNC((A1644-SUM(C1666:C1670)))</f>
        <v>#REF!</v>
      </c>
      <c r="C1671" s="42" t="e">
        <f>B1671</f>
        <v>#REF!</v>
      </c>
      <c r="D1671" s="31" t="e">
        <f>IF(B1671&lt;1,"",VLOOKUP(B1671,$J$3:$L$102,3))</f>
        <v>#REF!</v>
      </c>
      <c r="E1671" s="31" t="e">
        <f>IF(SUM(C1666:C1671)&lt;1,"",IF(B1672&lt;1,""," Dan "))</f>
        <v>#REF!</v>
      </c>
      <c r="J1671" s="31">
        <v>25</v>
      </c>
      <c r="K1671" s="33" t="s">
        <v>95</v>
      </c>
      <c r="L1671" s="31" t="str">
        <f t="shared" si="162"/>
        <v>Dua Puluh Lima</v>
      </c>
    </row>
    <row r="1672" spans="1:12">
      <c r="A1672" s="33" t="s">
        <v>83</v>
      </c>
      <c r="B1672" s="40" t="e">
        <f>ROUND(A1644-SUM(C1666:C1671),2)*100</f>
        <v>#REF!</v>
      </c>
      <c r="D1672" s="31" t="e">
        <f>IF(B1672&lt;1,"",VLOOKUP(B1672,$J$3:$L$102,3))</f>
        <v>#REF!</v>
      </c>
      <c r="E1672" s="31" t="e">
        <f>IF(B1672&lt;1,""," Sen ")</f>
        <v>#REF!</v>
      </c>
      <c r="J1672" s="31">
        <v>26</v>
      </c>
      <c r="K1672" s="33" t="s">
        <v>96</v>
      </c>
      <c r="L1672" s="31" t="str">
        <f t="shared" si="162"/>
        <v>Dua Puluh Enam</v>
      </c>
    </row>
    <row r="1673" spans="1:12">
      <c r="J1673" s="31">
        <v>27</v>
      </c>
      <c r="K1673" s="33" t="s">
        <v>97</v>
      </c>
      <c r="L1673" s="31" t="str">
        <f t="shared" si="162"/>
        <v>Dua Puluh Tujuh</v>
      </c>
    </row>
    <row r="1674" spans="1:12">
      <c r="J1674" s="31">
        <v>28</v>
      </c>
      <c r="K1674" s="33" t="s">
        <v>98</v>
      </c>
      <c r="L1674" s="31" t="str">
        <f t="shared" si="162"/>
        <v>Dua Puluh Delapan</v>
      </c>
    </row>
    <row r="1675" spans="1:12">
      <c r="J1675" s="31">
        <v>29</v>
      </c>
      <c r="K1675" s="33" t="s">
        <v>99</v>
      </c>
      <c r="L1675" s="31" t="str">
        <f t="shared" si="162"/>
        <v>Dua Puluh Sembilan</v>
      </c>
    </row>
    <row r="1676" spans="1:12">
      <c r="J1676" s="31">
        <v>30</v>
      </c>
      <c r="K1676" s="33" t="s">
        <v>100</v>
      </c>
      <c r="L1676" s="31" t="s">
        <v>101</v>
      </c>
    </row>
    <row r="1677" spans="1:12">
      <c r="J1677" s="31">
        <v>31</v>
      </c>
      <c r="K1677" s="33" t="s">
        <v>102</v>
      </c>
      <c r="L1677" s="31" t="str">
        <f t="shared" ref="L1677:L1685" si="163">$L$33&amp;" "&amp;L1647</f>
        <v>Tiga Puluh Satu</v>
      </c>
    </row>
    <row r="1678" spans="1:12">
      <c r="J1678" s="31">
        <v>32</v>
      </c>
      <c r="K1678" s="33" t="s">
        <v>103</v>
      </c>
      <c r="L1678" s="31" t="str">
        <f t="shared" si="163"/>
        <v>Tiga Puluh Dua</v>
      </c>
    </row>
    <row r="1679" spans="1:12">
      <c r="J1679" s="31">
        <v>33</v>
      </c>
      <c r="K1679" s="33" t="s">
        <v>104</v>
      </c>
      <c r="L1679" s="31" t="str">
        <f t="shared" si="163"/>
        <v>Tiga Puluh Tiga</v>
      </c>
    </row>
    <row r="1680" spans="1:12">
      <c r="J1680" s="31">
        <v>34</v>
      </c>
      <c r="K1680" s="33" t="s">
        <v>105</v>
      </c>
      <c r="L1680" s="31" t="str">
        <f t="shared" si="163"/>
        <v>Tiga Puluh Empat</v>
      </c>
    </row>
    <row r="1681" spans="1:12">
      <c r="J1681" s="31">
        <v>35</v>
      </c>
      <c r="K1681" s="33" t="s">
        <v>106</v>
      </c>
      <c r="L1681" s="31" t="str">
        <f t="shared" si="163"/>
        <v>Tiga Puluh Lima</v>
      </c>
    </row>
    <row r="1682" spans="1:12">
      <c r="J1682" s="31">
        <v>36</v>
      </c>
      <c r="K1682" s="33" t="s">
        <v>107</v>
      </c>
      <c r="L1682" s="31" t="str">
        <f t="shared" si="163"/>
        <v>Tiga Puluh Enam</v>
      </c>
    </row>
    <row r="1683" spans="1:12">
      <c r="J1683" s="31">
        <v>37</v>
      </c>
      <c r="K1683" s="33" t="s">
        <v>108</v>
      </c>
      <c r="L1683" s="31" t="str">
        <f t="shared" si="163"/>
        <v>Tiga Puluh Tujuh</v>
      </c>
    </row>
    <row r="1684" spans="1:12">
      <c r="J1684" s="31">
        <v>38</v>
      </c>
      <c r="K1684" s="33" t="s">
        <v>109</v>
      </c>
      <c r="L1684" s="31" t="str">
        <f t="shared" si="163"/>
        <v>Tiga Puluh Delapan</v>
      </c>
    </row>
    <row r="1685" spans="1:12">
      <c r="J1685" s="31">
        <v>39</v>
      </c>
      <c r="K1685" s="33" t="s">
        <v>110</v>
      </c>
      <c r="L1685" s="31" t="str">
        <f t="shared" si="163"/>
        <v>Tiga Puluh Sembilan</v>
      </c>
    </row>
    <row r="1686" spans="1:12">
      <c r="B1686" s="35"/>
      <c r="C1686" s="35"/>
      <c r="D1686" s="35"/>
      <c r="J1686" s="31">
        <v>40</v>
      </c>
      <c r="K1686" s="33" t="s">
        <v>111</v>
      </c>
      <c r="L1686" s="31" t="s">
        <v>112</v>
      </c>
    </row>
    <row r="1687" spans="1:12">
      <c r="A1687" s="35"/>
      <c r="B1687" s="35"/>
      <c r="C1687" s="35"/>
      <c r="D1687" s="35"/>
      <c r="J1687" s="31">
        <v>41</v>
      </c>
      <c r="K1687" s="33" t="s">
        <v>113</v>
      </c>
      <c r="L1687" s="31" t="str">
        <f t="shared" ref="L1687:L1695" si="164">$L$43&amp;" "&amp;L1647</f>
        <v>Empat Puluh Satu</v>
      </c>
    </row>
    <row r="1688" spans="1:12">
      <c r="J1688" s="31">
        <v>42</v>
      </c>
      <c r="K1688" s="33" t="s">
        <v>114</v>
      </c>
      <c r="L1688" s="31" t="str">
        <f t="shared" si="164"/>
        <v>Empat Puluh Dua</v>
      </c>
    </row>
    <row r="1689" spans="1:12">
      <c r="A1689" s="38"/>
      <c r="J1689" s="31">
        <v>43</v>
      </c>
      <c r="K1689" s="33" t="s">
        <v>115</v>
      </c>
      <c r="L1689" s="31" t="str">
        <f t="shared" si="164"/>
        <v>Empat Puluh Tiga</v>
      </c>
    </row>
    <row r="1690" spans="1:12">
      <c r="J1690" s="31">
        <v>44</v>
      </c>
      <c r="K1690" s="33" t="s">
        <v>116</v>
      </c>
      <c r="L1690" s="31" t="str">
        <f t="shared" si="164"/>
        <v>Empat Puluh Empat</v>
      </c>
    </row>
    <row r="1691" spans="1:12">
      <c r="J1691" s="31">
        <v>45</v>
      </c>
      <c r="K1691" s="33" t="s">
        <v>117</v>
      </c>
      <c r="L1691" s="31" t="str">
        <f t="shared" si="164"/>
        <v>Empat Puluh Lima</v>
      </c>
    </row>
    <row r="1692" spans="1:12">
      <c r="J1692" s="31">
        <v>46</v>
      </c>
      <c r="K1692" s="33" t="s">
        <v>118</v>
      </c>
      <c r="L1692" s="31" t="str">
        <f t="shared" si="164"/>
        <v>Empat Puluh Enam</v>
      </c>
    </row>
    <row r="1693" spans="1:12">
      <c r="J1693" s="31">
        <v>47</v>
      </c>
      <c r="K1693" s="33" t="s">
        <v>119</v>
      </c>
      <c r="L1693" s="31" t="str">
        <f t="shared" si="164"/>
        <v>Empat Puluh Tujuh</v>
      </c>
    </row>
    <row r="1694" spans="1:12">
      <c r="J1694" s="31">
        <v>48</v>
      </c>
      <c r="K1694" s="33" t="s">
        <v>120</v>
      </c>
      <c r="L1694" s="31" t="str">
        <f t="shared" si="164"/>
        <v>Empat Puluh Delapan</v>
      </c>
    </row>
    <row r="1695" spans="1:12">
      <c r="J1695" s="31">
        <v>49</v>
      </c>
      <c r="K1695" s="33" t="s">
        <v>121</v>
      </c>
      <c r="L1695" s="31" t="str">
        <f t="shared" si="164"/>
        <v>Empat Puluh Sembilan</v>
      </c>
    </row>
    <row r="1696" spans="1:12">
      <c r="J1696" s="31">
        <v>50</v>
      </c>
      <c r="K1696" s="33" t="s">
        <v>122</v>
      </c>
      <c r="L1696" s="31" t="s">
        <v>123</v>
      </c>
    </row>
    <row r="1697" spans="10:12">
      <c r="J1697" s="31">
        <v>51</v>
      </c>
      <c r="K1697" s="33" t="s">
        <v>124</v>
      </c>
      <c r="L1697" s="31" t="str">
        <f t="shared" ref="L1697:L1705" si="165">$L$53&amp;" "&amp;L1647</f>
        <v>Lima Puluh Satu</v>
      </c>
    </row>
    <row r="1698" spans="10:12">
      <c r="J1698" s="31">
        <v>52</v>
      </c>
      <c r="K1698" s="33" t="s">
        <v>125</v>
      </c>
      <c r="L1698" s="31" t="str">
        <f t="shared" si="165"/>
        <v>Lima Puluh Dua</v>
      </c>
    </row>
    <row r="1699" spans="10:12">
      <c r="J1699" s="31">
        <v>53</v>
      </c>
      <c r="K1699" s="33" t="s">
        <v>126</v>
      </c>
      <c r="L1699" s="31" t="str">
        <f t="shared" si="165"/>
        <v>Lima Puluh Tiga</v>
      </c>
    </row>
    <row r="1700" spans="10:12">
      <c r="J1700" s="31">
        <v>54</v>
      </c>
      <c r="K1700" s="33" t="s">
        <v>127</v>
      </c>
      <c r="L1700" s="31" t="str">
        <f t="shared" si="165"/>
        <v>Lima Puluh Empat</v>
      </c>
    </row>
    <row r="1701" spans="10:12">
      <c r="J1701" s="31">
        <v>55</v>
      </c>
      <c r="K1701" s="33" t="s">
        <v>128</v>
      </c>
      <c r="L1701" s="31" t="str">
        <f t="shared" si="165"/>
        <v>Lima Puluh Lima</v>
      </c>
    </row>
    <row r="1702" spans="10:12">
      <c r="J1702" s="31">
        <v>56</v>
      </c>
      <c r="K1702" s="33" t="s">
        <v>129</v>
      </c>
      <c r="L1702" s="31" t="str">
        <f t="shared" si="165"/>
        <v>Lima Puluh Enam</v>
      </c>
    </row>
    <row r="1703" spans="10:12">
      <c r="J1703" s="31">
        <v>57</v>
      </c>
      <c r="K1703" s="33" t="s">
        <v>130</v>
      </c>
      <c r="L1703" s="31" t="str">
        <f t="shared" si="165"/>
        <v>Lima Puluh Tujuh</v>
      </c>
    </row>
    <row r="1704" spans="10:12">
      <c r="J1704" s="31">
        <v>58</v>
      </c>
      <c r="K1704" s="33" t="s">
        <v>131</v>
      </c>
      <c r="L1704" s="31" t="str">
        <f t="shared" si="165"/>
        <v>Lima Puluh Delapan</v>
      </c>
    </row>
    <row r="1705" spans="10:12">
      <c r="J1705" s="31">
        <v>59</v>
      </c>
      <c r="K1705" s="33" t="s">
        <v>132</v>
      </c>
      <c r="L1705" s="31" t="str">
        <f t="shared" si="165"/>
        <v>Lima Puluh Sembilan</v>
      </c>
    </row>
    <row r="1706" spans="10:12">
      <c r="J1706" s="31">
        <v>60</v>
      </c>
      <c r="K1706" s="33" t="s">
        <v>133</v>
      </c>
      <c r="L1706" s="31" t="s">
        <v>134</v>
      </c>
    </row>
    <row r="1707" spans="10:12">
      <c r="J1707" s="31">
        <v>61</v>
      </c>
      <c r="K1707" s="33" t="s">
        <v>135</v>
      </c>
      <c r="L1707" s="31" t="str">
        <f t="shared" ref="L1707:L1715" si="166">$L$63&amp;" "&amp;L1647</f>
        <v>Enam Puluh Satu</v>
      </c>
    </row>
    <row r="1708" spans="10:12">
      <c r="J1708" s="31">
        <v>62</v>
      </c>
      <c r="K1708" s="33" t="s">
        <v>136</v>
      </c>
      <c r="L1708" s="31" t="str">
        <f t="shared" si="166"/>
        <v>Enam Puluh Dua</v>
      </c>
    </row>
    <row r="1709" spans="10:12">
      <c r="J1709" s="31">
        <v>63</v>
      </c>
      <c r="K1709" s="33" t="s">
        <v>137</v>
      </c>
      <c r="L1709" s="31" t="str">
        <f t="shared" si="166"/>
        <v>Enam Puluh Tiga</v>
      </c>
    </row>
    <row r="1710" spans="10:12">
      <c r="J1710" s="31">
        <v>64</v>
      </c>
      <c r="K1710" s="33" t="s">
        <v>138</v>
      </c>
      <c r="L1710" s="31" t="str">
        <f t="shared" si="166"/>
        <v>Enam Puluh Empat</v>
      </c>
    </row>
    <row r="1711" spans="10:12">
      <c r="J1711" s="31">
        <v>65</v>
      </c>
      <c r="K1711" s="33" t="s">
        <v>139</v>
      </c>
      <c r="L1711" s="31" t="str">
        <f t="shared" si="166"/>
        <v>Enam Puluh Lima</v>
      </c>
    </row>
    <row r="1712" spans="10:12">
      <c r="J1712" s="31">
        <v>66</v>
      </c>
      <c r="K1712" s="33" t="s">
        <v>140</v>
      </c>
      <c r="L1712" s="31" t="str">
        <f t="shared" si="166"/>
        <v>Enam Puluh Enam</v>
      </c>
    </row>
    <row r="1713" spans="10:12">
      <c r="J1713" s="31">
        <v>67</v>
      </c>
      <c r="K1713" s="33" t="s">
        <v>141</v>
      </c>
      <c r="L1713" s="31" t="str">
        <f t="shared" si="166"/>
        <v>Enam Puluh Tujuh</v>
      </c>
    </row>
    <row r="1714" spans="10:12">
      <c r="J1714" s="31">
        <v>68</v>
      </c>
      <c r="K1714" s="33" t="s">
        <v>142</v>
      </c>
      <c r="L1714" s="31" t="str">
        <f t="shared" si="166"/>
        <v>Enam Puluh Delapan</v>
      </c>
    </row>
    <row r="1715" spans="10:12">
      <c r="J1715" s="31">
        <v>69</v>
      </c>
      <c r="K1715" s="33" t="s">
        <v>143</v>
      </c>
      <c r="L1715" s="31" t="str">
        <f t="shared" si="166"/>
        <v>Enam Puluh Sembilan</v>
      </c>
    </row>
    <row r="1716" spans="10:12">
      <c r="J1716" s="31">
        <v>70</v>
      </c>
      <c r="K1716" s="33" t="s">
        <v>144</v>
      </c>
      <c r="L1716" s="31" t="s">
        <v>145</v>
      </c>
    </row>
    <row r="1717" spans="10:12">
      <c r="J1717" s="31">
        <v>71</v>
      </c>
      <c r="K1717" s="33" t="s">
        <v>146</v>
      </c>
      <c r="L1717" s="31" t="str">
        <f t="shared" ref="L1717:L1725" si="167">$L$73&amp;" "&amp;L1647</f>
        <v>Tujuh Puluh Satu</v>
      </c>
    </row>
    <row r="1718" spans="10:12">
      <c r="J1718" s="31">
        <v>72</v>
      </c>
      <c r="K1718" s="33" t="s">
        <v>147</v>
      </c>
      <c r="L1718" s="31" t="str">
        <f t="shared" si="167"/>
        <v>Tujuh Puluh Dua</v>
      </c>
    </row>
    <row r="1719" spans="10:12">
      <c r="J1719" s="31">
        <v>73</v>
      </c>
      <c r="K1719" s="33" t="s">
        <v>148</v>
      </c>
      <c r="L1719" s="31" t="str">
        <f t="shared" si="167"/>
        <v>Tujuh Puluh Tiga</v>
      </c>
    </row>
    <row r="1720" spans="10:12">
      <c r="J1720" s="31">
        <v>74</v>
      </c>
      <c r="K1720" s="33" t="s">
        <v>149</v>
      </c>
      <c r="L1720" s="31" t="str">
        <f t="shared" si="167"/>
        <v>Tujuh Puluh Empat</v>
      </c>
    </row>
    <row r="1721" spans="10:12">
      <c r="J1721" s="31">
        <v>75</v>
      </c>
      <c r="K1721" s="33" t="s">
        <v>150</v>
      </c>
      <c r="L1721" s="31" t="str">
        <f t="shared" si="167"/>
        <v>Tujuh Puluh Lima</v>
      </c>
    </row>
    <row r="1722" spans="10:12">
      <c r="J1722" s="31">
        <v>76</v>
      </c>
      <c r="K1722" s="33" t="s">
        <v>151</v>
      </c>
      <c r="L1722" s="31" t="str">
        <f t="shared" si="167"/>
        <v>Tujuh Puluh Enam</v>
      </c>
    </row>
    <row r="1723" spans="10:12">
      <c r="J1723" s="31">
        <v>77</v>
      </c>
      <c r="K1723" s="33" t="s">
        <v>152</v>
      </c>
      <c r="L1723" s="31" t="str">
        <f t="shared" si="167"/>
        <v>Tujuh Puluh Tujuh</v>
      </c>
    </row>
    <row r="1724" spans="10:12">
      <c r="J1724" s="31">
        <v>78</v>
      </c>
      <c r="K1724" s="33" t="s">
        <v>153</v>
      </c>
      <c r="L1724" s="31" t="str">
        <f t="shared" si="167"/>
        <v>Tujuh Puluh Delapan</v>
      </c>
    </row>
    <row r="1725" spans="10:12">
      <c r="J1725" s="31">
        <v>79</v>
      </c>
      <c r="K1725" s="33" t="s">
        <v>154</v>
      </c>
      <c r="L1725" s="31" t="str">
        <f t="shared" si="167"/>
        <v>Tujuh Puluh Sembilan</v>
      </c>
    </row>
    <row r="1726" spans="10:12">
      <c r="J1726" s="31">
        <v>80</v>
      </c>
      <c r="K1726" s="33" t="s">
        <v>155</v>
      </c>
      <c r="L1726" s="31" t="s">
        <v>156</v>
      </c>
    </row>
    <row r="1727" spans="10:12">
      <c r="J1727" s="31">
        <v>81</v>
      </c>
      <c r="K1727" s="33" t="s">
        <v>157</v>
      </c>
      <c r="L1727" s="31" t="str">
        <f t="shared" ref="L1727:L1735" si="168">$L$83&amp;" "&amp;L1647</f>
        <v>Delapan Puluh Satu</v>
      </c>
    </row>
    <row r="1728" spans="10:12">
      <c r="J1728" s="31">
        <v>82</v>
      </c>
      <c r="K1728" s="33" t="s">
        <v>158</v>
      </c>
      <c r="L1728" s="31" t="str">
        <f t="shared" si="168"/>
        <v>Delapan Puluh Dua</v>
      </c>
    </row>
    <row r="1729" spans="10:12">
      <c r="J1729" s="31">
        <v>83</v>
      </c>
      <c r="K1729" s="33" t="s">
        <v>159</v>
      </c>
      <c r="L1729" s="31" t="str">
        <f t="shared" si="168"/>
        <v>Delapan Puluh Tiga</v>
      </c>
    </row>
    <row r="1730" spans="10:12">
      <c r="J1730" s="31">
        <v>84</v>
      </c>
      <c r="K1730" s="33" t="s">
        <v>160</v>
      </c>
      <c r="L1730" s="31" t="str">
        <f t="shared" si="168"/>
        <v>Delapan Puluh Empat</v>
      </c>
    </row>
    <row r="1731" spans="10:12">
      <c r="J1731" s="31">
        <v>85</v>
      </c>
      <c r="K1731" s="33" t="s">
        <v>161</v>
      </c>
      <c r="L1731" s="31" t="str">
        <f t="shared" si="168"/>
        <v>Delapan Puluh Lima</v>
      </c>
    </row>
    <row r="1732" spans="10:12">
      <c r="J1732" s="31">
        <v>86</v>
      </c>
      <c r="K1732" s="33" t="s">
        <v>162</v>
      </c>
      <c r="L1732" s="31" t="str">
        <f t="shared" si="168"/>
        <v>Delapan Puluh Enam</v>
      </c>
    </row>
    <row r="1733" spans="10:12">
      <c r="J1733" s="31">
        <v>87</v>
      </c>
      <c r="K1733" s="33" t="s">
        <v>163</v>
      </c>
      <c r="L1733" s="31" t="str">
        <f t="shared" si="168"/>
        <v>Delapan Puluh Tujuh</v>
      </c>
    </row>
    <row r="1734" spans="10:12">
      <c r="J1734" s="31">
        <v>88</v>
      </c>
      <c r="K1734" s="33" t="s">
        <v>164</v>
      </c>
      <c r="L1734" s="31" t="str">
        <f t="shared" si="168"/>
        <v>Delapan Puluh Delapan</v>
      </c>
    </row>
    <row r="1735" spans="10:12">
      <c r="J1735" s="31">
        <v>89</v>
      </c>
      <c r="K1735" s="33" t="s">
        <v>165</v>
      </c>
      <c r="L1735" s="31" t="str">
        <f t="shared" si="168"/>
        <v>Delapan Puluh Sembilan</v>
      </c>
    </row>
    <row r="1736" spans="10:12">
      <c r="J1736" s="31">
        <v>90</v>
      </c>
      <c r="K1736" s="33" t="s">
        <v>166</v>
      </c>
      <c r="L1736" s="31" t="s">
        <v>167</v>
      </c>
    </row>
    <row r="1737" spans="10:12">
      <c r="J1737" s="31">
        <v>91</v>
      </c>
      <c r="K1737" s="33" t="s">
        <v>168</v>
      </c>
      <c r="L1737" s="31" t="str">
        <f t="shared" ref="L1737:L1745" si="169">$L$93&amp;" "&amp;L1647</f>
        <v>Sembilan Puluh Satu</v>
      </c>
    </row>
    <row r="1738" spans="10:12">
      <c r="J1738" s="31">
        <v>92</v>
      </c>
      <c r="K1738" s="33" t="s">
        <v>169</v>
      </c>
      <c r="L1738" s="31" t="str">
        <f t="shared" si="169"/>
        <v>Sembilan Puluh Dua</v>
      </c>
    </row>
    <row r="1739" spans="10:12">
      <c r="J1739" s="31">
        <v>93</v>
      </c>
      <c r="K1739" s="33" t="s">
        <v>170</v>
      </c>
      <c r="L1739" s="31" t="str">
        <f t="shared" si="169"/>
        <v>Sembilan Puluh Tiga</v>
      </c>
    </row>
    <row r="1740" spans="10:12">
      <c r="J1740" s="31">
        <v>94</v>
      </c>
      <c r="K1740" s="33" t="s">
        <v>171</v>
      </c>
      <c r="L1740" s="31" t="str">
        <f t="shared" si="169"/>
        <v>Sembilan Puluh Empat</v>
      </c>
    </row>
    <row r="1741" spans="10:12">
      <c r="J1741" s="31">
        <v>95</v>
      </c>
      <c r="K1741" s="33" t="s">
        <v>172</v>
      </c>
      <c r="L1741" s="31" t="str">
        <f t="shared" si="169"/>
        <v>Sembilan Puluh Lima</v>
      </c>
    </row>
    <row r="1742" spans="10:12">
      <c r="J1742" s="31">
        <v>96</v>
      </c>
      <c r="K1742" s="33" t="s">
        <v>173</v>
      </c>
      <c r="L1742" s="31" t="str">
        <f t="shared" si="169"/>
        <v>Sembilan Puluh Enam</v>
      </c>
    </row>
    <row r="1743" spans="10:12">
      <c r="J1743" s="31">
        <v>97</v>
      </c>
      <c r="K1743" s="33" t="s">
        <v>174</v>
      </c>
      <c r="L1743" s="31" t="str">
        <f t="shared" si="169"/>
        <v>Sembilan Puluh Tujuh</v>
      </c>
    </row>
    <row r="1744" spans="10:12">
      <c r="J1744" s="31">
        <v>98</v>
      </c>
      <c r="K1744" s="33" t="s">
        <v>175</v>
      </c>
      <c r="L1744" s="31" t="str">
        <f t="shared" si="169"/>
        <v>Sembilan Puluh Delapan</v>
      </c>
    </row>
    <row r="1745" spans="1:12">
      <c r="J1745" s="31">
        <v>99</v>
      </c>
      <c r="K1745" s="33" t="s">
        <v>176</v>
      </c>
      <c r="L1745" s="31" t="str">
        <f t="shared" si="169"/>
        <v>Sembilan Puluh Sembilan</v>
      </c>
    </row>
    <row r="1747" spans="1:12">
      <c r="A1747" s="30" t="e">
        <f>#REF!</f>
        <v>#REF!</v>
      </c>
      <c r="C1747" s="31" t="s">
        <v>39</v>
      </c>
    </row>
    <row r="1748" spans="1:12">
      <c r="A1748" s="32"/>
    </row>
    <row r="1749" spans="1:12">
      <c r="J1749" s="31">
        <v>0</v>
      </c>
      <c r="K1749" s="33" t="s">
        <v>48</v>
      </c>
      <c r="L1749" s="31" t="s">
        <v>49</v>
      </c>
    </row>
    <row r="1750" spans="1:12">
      <c r="A1750" s="34"/>
      <c r="J1750" s="31">
        <v>1</v>
      </c>
      <c r="K1750" s="33" t="s">
        <v>50</v>
      </c>
      <c r="L1750" s="31" t="s">
        <v>51</v>
      </c>
    </row>
    <row r="1751" spans="1:12">
      <c r="A1751" s="255" t="e">
        <f>TRIM(D1759&amp;E1759&amp;D1760&amp;E1760&amp;D1761&amp;E1761&amp;D1762&amp;E1762&amp;D1763&amp;E1763&amp;D1764&amp;E1764&amp;E1765&amp;D1765&amp;" Only")</f>
        <v>#REF!</v>
      </c>
      <c r="B1751" s="255"/>
      <c r="C1751" s="255"/>
      <c r="D1751" s="255"/>
      <c r="E1751" s="35"/>
      <c r="F1751" s="36"/>
      <c r="J1751" s="31">
        <v>2</v>
      </c>
      <c r="K1751" s="33" t="s">
        <v>52</v>
      </c>
      <c r="L1751" s="31" t="s">
        <v>53</v>
      </c>
    </row>
    <row r="1752" spans="1:12">
      <c r="A1752" s="37"/>
      <c r="B1752" s="37"/>
      <c r="C1752" s="37"/>
      <c r="D1752" s="37"/>
      <c r="E1752" s="35"/>
      <c r="F1752" s="36"/>
      <c r="J1752" s="31">
        <v>3</v>
      </c>
      <c r="K1752" s="33" t="s">
        <v>54</v>
      </c>
      <c r="L1752" s="31" t="s">
        <v>55</v>
      </c>
    </row>
    <row r="1753" spans="1:12">
      <c r="A1753" s="37"/>
      <c r="B1753" s="37"/>
      <c r="C1753" s="37"/>
      <c r="D1753" s="37"/>
      <c r="J1753" s="31">
        <v>4</v>
      </c>
      <c r="K1753" s="33" t="s">
        <v>56</v>
      </c>
      <c r="L1753" s="31" t="s">
        <v>57</v>
      </c>
    </row>
    <row r="1754" spans="1:12">
      <c r="A1754" s="255" t="e">
        <f>TRIM(D1769&amp;E1769&amp;D1770&amp;E1770&amp;D1771&amp;E1771&amp;D1772&amp;E1772&amp;D1773&amp;E1773&amp;D1774&amp;E1774&amp;D1775&amp;E1775&amp;" Rupiah")</f>
        <v>#REF!</v>
      </c>
      <c r="B1754" s="255"/>
      <c r="C1754" s="255"/>
      <c r="D1754" s="255"/>
      <c r="E1754" s="35"/>
      <c r="F1754" s="36"/>
      <c r="J1754" s="31">
        <v>5</v>
      </c>
      <c r="K1754" s="33" t="s">
        <v>58</v>
      </c>
      <c r="L1754" s="31" t="s">
        <v>59</v>
      </c>
    </row>
    <row r="1755" spans="1:12">
      <c r="A1755" s="35"/>
      <c r="B1755" s="35"/>
      <c r="C1755" s="35"/>
      <c r="D1755" s="35"/>
      <c r="E1755" s="35"/>
      <c r="F1755" s="36"/>
      <c r="J1755" s="31">
        <v>6</v>
      </c>
      <c r="K1755" s="33" t="s">
        <v>60</v>
      </c>
      <c r="L1755" s="31" t="s">
        <v>61</v>
      </c>
    </row>
    <row r="1756" spans="1:12">
      <c r="J1756" s="31">
        <v>7</v>
      </c>
      <c r="K1756" s="33" t="s">
        <v>62</v>
      </c>
      <c r="L1756" s="31" t="s">
        <v>63</v>
      </c>
    </row>
    <row r="1757" spans="1:12">
      <c r="J1757" s="31">
        <v>8</v>
      </c>
      <c r="K1757" s="33" t="s">
        <v>64</v>
      </c>
      <c r="L1757" s="31" t="s">
        <v>65</v>
      </c>
    </row>
    <row r="1758" spans="1:12">
      <c r="A1758" s="38" t="s">
        <v>66</v>
      </c>
      <c r="J1758" s="31">
        <v>9</v>
      </c>
      <c r="K1758" s="33" t="s">
        <v>67</v>
      </c>
      <c r="L1758" s="31" t="s">
        <v>68</v>
      </c>
    </row>
    <row r="1759" spans="1:12">
      <c r="A1759" s="31" t="s">
        <v>69</v>
      </c>
      <c r="B1759" s="39" t="e">
        <f>TRUNC(A1747/100000000)</f>
        <v>#REF!</v>
      </c>
      <c r="C1759" s="31" t="e">
        <f>B1759*100000000</f>
        <v>#REF!</v>
      </c>
      <c r="D1759" s="31" t="e">
        <f t="shared" ref="D1759:D1765" si="170">IF(B1759&lt;1,"",VLOOKUP(B1759,$J$3:$K$102,2))</f>
        <v>#REF!</v>
      </c>
      <c r="E1759" s="31" t="e">
        <f>IF(B1759&lt;1,"",IF(B1759&gt;1," Hundreds "," Hundred "))</f>
        <v>#REF!</v>
      </c>
      <c r="J1759" s="31">
        <v>10</v>
      </c>
      <c r="K1759" s="33" t="s">
        <v>70</v>
      </c>
      <c r="L1759" s="31" t="s">
        <v>71</v>
      </c>
    </row>
    <row r="1760" spans="1:12">
      <c r="A1760" s="31" t="s">
        <v>72</v>
      </c>
      <c r="B1760" s="39" t="e">
        <f>TRUNC((A1747-C1759)/1000000)</f>
        <v>#REF!</v>
      </c>
      <c r="C1760" s="31" t="e">
        <f>B1760*1000000</f>
        <v>#REF!</v>
      </c>
      <c r="D1760" s="31" t="e">
        <f t="shared" si="170"/>
        <v>#REF!</v>
      </c>
      <c r="E1760" s="31" t="e">
        <f>IF(B1759+B1760=0,"",IF(B1760=1," Million "," Millions "))</f>
        <v>#REF!</v>
      </c>
      <c r="J1760" s="31">
        <v>11</v>
      </c>
      <c r="K1760" s="33" t="s">
        <v>73</v>
      </c>
      <c r="L1760" s="31" t="s">
        <v>74</v>
      </c>
    </row>
    <row r="1761" spans="1:12">
      <c r="A1761" s="31" t="s">
        <v>75</v>
      </c>
      <c r="B1761" s="39" t="e">
        <f>TRUNC((A1747-SUM(C1759:C1760))/100000)</f>
        <v>#REF!</v>
      </c>
      <c r="C1761" s="31" t="e">
        <f>B1761*100000</f>
        <v>#REF!</v>
      </c>
      <c r="D1761" s="31" t="e">
        <f t="shared" si="170"/>
        <v>#REF!</v>
      </c>
      <c r="E1761" s="31" t="e">
        <f>IF(B1761&lt;1,"",IF(B1761&gt;1," Hundreds "," Hundred "))</f>
        <v>#REF!</v>
      </c>
      <c r="J1761" s="31">
        <v>12</v>
      </c>
      <c r="K1761" s="33" t="s">
        <v>76</v>
      </c>
      <c r="L1761" s="31" t="str">
        <f t="shared" ref="L1761:L1768" si="171">L1751&amp;" Belas"</f>
        <v>Dua Belas</v>
      </c>
    </row>
    <row r="1762" spans="1:12">
      <c r="A1762" s="33" t="s">
        <v>77</v>
      </c>
      <c r="B1762" s="40" t="e">
        <f>TRUNC((A1747-SUM(C1759:C1761))/1000)</f>
        <v>#REF!</v>
      </c>
      <c r="C1762" s="31" t="e">
        <f>B1762*1000</f>
        <v>#REF!</v>
      </c>
      <c r="D1762" s="31" t="e">
        <f t="shared" si="170"/>
        <v>#REF!</v>
      </c>
      <c r="E1762" s="31" t="e">
        <f>IF(B1761+B1762=0,"",IF(B1762=1," Thousand "," Thousands "))</f>
        <v>#REF!</v>
      </c>
      <c r="J1762" s="31">
        <v>13</v>
      </c>
      <c r="K1762" s="33" t="s">
        <v>78</v>
      </c>
      <c r="L1762" s="31" t="str">
        <f t="shared" si="171"/>
        <v>Tiga Belas</v>
      </c>
    </row>
    <row r="1763" spans="1:12">
      <c r="A1763" s="33" t="s">
        <v>79</v>
      </c>
      <c r="B1763" s="40" t="e">
        <f>TRUNC((A1747-SUM(C1759:C1762))/100)</f>
        <v>#REF!</v>
      </c>
      <c r="C1763" s="31" t="e">
        <f>B1763*100</f>
        <v>#REF!</v>
      </c>
      <c r="D1763" s="31" t="e">
        <f t="shared" si="170"/>
        <v>#REF!</v>
      </c>
      <c r="E1763" s="31" t="e">
        <f>IF(B1763&lt;1,"",IF(B1763&gt;1," Hundreds "," Hundred "))</f>
        <v>#REF!</v>
      </c>
      <c r="J1763" s="31">
        <v>14</v>
      </c>
      <c r="K1763" s="33" t="s">
        <v>80</v>
      </c>
      <c r="L1763" s="31" t="str">
        <f t="shared" si="171"/>
        <v>Empat Belas</v>
      </c>
    </row>
    <row r="1764" spans="1:12">
      <c r="A1764" s="33" t="s">
        <v>81</v>
      </c>
      <c r="B1764" s="41" t="e">
        <f>TRUNC((A1747-SUM(C1759:C1763)))</f>
        <v>#REF!</v>
      </c>
      <c r="C1764" s="42" t="e">
        <f>B1764</f>
        <v>#REF!</v>
      </c>
      <c r="D1764" s="31" t="e">
        <f t="shared" si="170"/>
        <v>#REF!</v>
      </c>
      <c r="E1764" s="31" t="e">
        <f>IF(SUM(C1759:C1764)&lt;1,"",IF(B1765&lt;1,""," And "))</f>
        <v>#REF!</v>
      </c>
      <c r="J1764" s="31">
        <v>15</v>
      </c>
      <c r="K1764" s="33" t="s">
        <v>82</v>
      </c>
      <c r="L1764" s="31" t="str">
        <f t="shared" si="171"/>
        <v>Lima Belas</v>
      </c>
    </row>
    <row r="1765" spans="1:12">
      <c r="A1765" s="33" t="s">
        <v>83</v>
      </c>
      <c r="B1765" s="40" t="e">
        <f>ROUND(A1747-SUM(C1759:C1764),2)*100</f>
        <v>#REF!</v>
      </c>
      <c r="D1765" s="43" t="e">
        <f t="shared" si="170"/>
        <v>#REF!</v>
      </c>
      <c r="E1765" s="31" t="e">
        <f>IF(B1765&lt;1,"",IF(B1765=1," Cent "," Cents "))</f>
        <v>#REF!</v>
      </c>
      <c r="J1765" s="31">
        <v>16</v>
      </c>
      <c r="K1765" s="33" t="s">
        <v>84</v>
      </c>
      <c r="L1765" s="31" t="str">
        <f t="shared" si="171"/>
        <v>Enam Belas</v>
      </c>
    </row>
    <row r="1766" spans="1:12">
      <c r="J1766" s="31">
        <v>17</v>
      </c>
      <c r="K1766" s="33" t="s">
        <v>85</v>
      </c>
      <c r="L1766" s="31" t="str">
        <f t="shared" si="171"/>
        <v>Tujuh Belas</v>
      </c>
    </row>
    <row r="1767" spans="1:12">
      <c r="A1767" s="44"/>
      <c r="J1767" s="31">
        <v>18</v>
      </c>
      <c r="K1767" s="33" t="s">
        <v>86</v>
      </c>
      <c r="L1767" s="31" t="str">
        <f t="shared" si="171"/>
        <v>Delapan Belas</v>
      </c>
    </row>
    <row r="1768" spans="1:12">
      <c r="A1768" s="38" t="s">
        <v>87</v>
      </c>
      <c r="J1768" s="31">
        <v>19</v>
      </c>
      <c r="K1768" s="33" t="s">
        <v>88</v>
      </c>
      <c r="L1768" s="31" t="str">
        <f t="shared" si="171"/>
        <v>Sembilan Belas</v>
      </c>
    </row>
    <row r="1769" spans="1:12">
      <c r="A1769" s="31" t="s">
        <v>69</v>
      </c>
      <c r="B1769" s="39" t="e">
        <f>TRUNC(A1747/100000000)</f>
        <v>#REF!</v>
      </c>
      <c r="C1769" s="31" t="e">
        <f>B1769*100000000</f>
        <v>#REF!</v>
      </c>
      <c r="D1769" s="31" t="e">
        <f>IF(B1769&lt;1,"",IF(B1769=1,"",VLOOKUP(B1769,$J$3:$L$102,3)))</f>
        <v>#REF!</v>
      </c>
      <c r="E1769" s="31" t="e">
        <f>IF(B1769&lt;1,"",IF(B1769=1,"Seratus "," Ratus "))</f>
        <v>#REF!</v>
      </c>
      <c r="J1769" s="31">
        <v>20</v>
      </c>
      <c r="K1769" s="33" t="s">
        <v>89</v>
      </c>
      <c r="L1769" s="31" t="s">
        <v>90</v>
      </c>
    </row>
    <row r="1770" spans="1:12">
      <c r="A1770" s="31" t="s">
        <v>72</v>
      </c>
      <c r="B1770" s="39" t="e">
        <f>TRUNC((A1747-C1769)/1000000)</f>
        <v>#REF!</v>
      </c>
      <c r="C1770" s="31" t="e">
        <f>B1770*1000000</f>
        <v>#REF!</v>
      </c>
      <c r="D1770" s="31" t="e">
        <f>IF(B1770&lt;1,"",VLOOKUP(B1770,$J$3:$L$102,3))</f>
        <v>#REF!</v>
      </c>
      <c r="E1770" s="31" t="e">
        <f>IF(B1769+B1770=0,""," Juta ")</f>
        <v>#REF!</v>
      </c>
      <c r="J1770" s="31">
        <v>21</v>
      </c>
      <c r="K1770" s="33" t="s">
        <v>91</v>
      </c>
      <c r="L1770" s="31" t="str">
        <f t="shared" ref="L1770:L1778" si="172">$L$23&amp;" "&amp;L1750</f>
        <v>Dua Puluh Satu</v>
      </c>
    </row>
    <row r="1771" spans="1:12">
      <c r="A1771" s="31" t="s">
        <v>75</v>
      </c>
      <c r="B1771" s="39" t="e">
        <f>TRUNC((A1747-SUM(C1769:C1770))/100000)</f>
        <v>#REF!</v>
      </c>
      <c r="C1771" s="31" t="e">
        <f>B1771*100000</f>
        <v>#REF!</v>
      </c>
      <c r="D1771" s="31" t="e">
        <f>IF(B1771&lt;1,"",IF(B1771=1,"",VLOOKUP(B1771,$J$3:$L$102,3)))</f>
        <v>#REF!</v>
      </c>
      <c r="E1771" s="31" t="e">
        <f>IF(B1771&lt;1,"",IF(B1771=1," Seratus "," Ratus "))</f>
        <v>#REF!</v>
      </c>
      <c r="J1771" s="31">
        <v>22</v>
      </c>
      <c r="K1771" s="33" t="s">
        <v>92</v>
      </c>
      <c r="L1771" s="31" t="str">
        <f t="shared" si="172"/>
        <v>Dua Puluh Dua</v>
      </c>
    </row>
    <row r="1772" spans="1:12">
      <c r="A1772" s="33" t="s">
        <v>77</v>
      </c>
      <c r="B1772" s="40" t="e">
        <f>TRUNC((A1747-SUM(C1769:C1771))/1000)</f>
        <v>#REF!</v>
      </c>
      <c r="C1772" s="31" t="e">
        <f>B1772*1000</f>
        <v>#REF!</v>
      </c>
      <c r="D1772" s="31" t="e">
        <f>IF(B1772&lt;1,"",IF(B1772=1,"",VLOOKUP(B1772,$J$3:$L$102,3)))</f>
        <v>#REF!</v>
      </c>
      <c r="E1772" s="31" t="e">
        <f>IF(B1771+B1772&lt;1,"",IF(B1772=1," Seribu "," Ribu "))</f>
        <v>#REF!</v>
      </c>
      <c r="J1772" s="31">
        <v>23</v>
      </c>
      <c r="K1772" s="33" t="s">
        <v>93</v>
      </c>
      <c r="L1772" s="31" t="str">
        <f t="shared" si="172"/>
        <v>Dua Puluh Tiga</v>
      </c>
    </row>
    <row r="1773" spans="1:12">
      <c r="A1773" s="33" t="s">
        <v>79</v>
      </c>
      <c r="B1773" s="40" t="e">
        <f>TRUNC((A1747-SUM(C1769:C1772))/100)</f>
        <v>#REF!</v>
      </c>
      <c r="C1773" s="31" t="e">
        <f>B1773*100</f>
        <v>#REF!</v>
      </c>
      <c r="D1773" s="31" t="e">
        <f>IF(B1773&lt;1,"",IF(B1773=1,"",VLOOKUP(B1773,$J$3:$L$102,3)))</f>
        <v>#REF!</v>
      </c>
      <c r="E1773" s="31" t="e">
        <f>IF(B1773&lt;1,"",IF(B1773=1," Seratus "," Ratus "))</f>
        <v>#REF!</v>
      </c>
      <c r="J1773" s="31">
        <v>24</v>
      </c>
      <c r="K1773" s="33" t="s">
        <v>94</v>
      </c>
      <c r="L1773" s="31" t="str">
        <f t="shared" si="172"/>
        <v>Dua Puluh Empat</v>
      </c>
    </row>
    <row r="1774" spans="1:12">
      <c r="A1774" s="33" t="s">
        <v>81</v>
      </c>
      <c r="B1774" s="41" t="e">
        <f>TRUNC((A1747-SUM(C1769:C1773)))</f>
        <v>#REF!</v>
      </c>
      <c r="C1774" s="42" t="e">
        <f>B1774</f>
        <v>#REF!</v>
      </c>
      <c r="D1774" s="31" t="e">
        <f>IF(B1774&lt;1,"",VLOOKUP(B1774,$J$3:$L$102,3))</f>
        <v>#REF!</v>
      </c>
      <c r="E1774" s="31" t="e">
        <f>IF(SUM(C1769:C1774)&lt;1,"",IF(B1775&lt;1,""," Dan "))</f>
        <v>#REF!</v>
      </c>
      <c r="J1774" s="31">
        <v>25</v>
      </c>
      <c r="K1774" s="33" t="s">
        <v>95</v>
      </c>
      <c r="L1774" s="31" t="str">
        <f t="shared" si="172"/>
        <v>Dua Puluh Lima</v>
      </c>
    </row>
    <row r="1775" spans="1:12">
      <c r="A1775" s="33" t="s">
        <v>83</v>
      </c>
      <c r="B1775" s="40" t="e">
        <f>ROUND(A1747-SUM(C1769:C1774),2)*100</f>
        <v>#REF!</v>
      </c>
      <c r="D1775" s="31" t="e">
        <f>IF(B1775&lt;1,"",VLOOKUP(B1775,$J$3:$L$102,3))</f>
        <v>#REF!</v>
      </c>
      <c r="E1775" s="31" t="e">
        <f>IF(B1775&lt;1,""," Sen ")</f>
        <v>#REF!</v>
      </c>
      <c r="J1775" s="31">
        <v>26</v>
      </c>
      <c r="K1775" s="33" t="s">
        <v>96</v>
      </c>
      <c r="L1775" s="31" t="str">
        <f t="shared" si="172"/>
        <v>Dua Puluh Enam</v>
      </c>
    </row>
    <row r="1776" spans="1:12">
      <c r="J1776" s="31">
        <v>27</v>
      </c>
      <c r="K1776" s="33" t="s">
        <v>97</v>
      </c>
      <c r="L1776" s="31" t="str">
        <f t="shared" si="172"/>
        <v>Dua Puluh Tujuh</v>
      </c>
    </row>
    <row r="1777" spans="1:12">
      <c r="J1777" s="31">
        <v>28</v>
      </c>
      <c r="K1777" s="33" t="s">
        <v>98</v>
      </c>
      <c r="L1777" s="31" t="str">
        <f t="shared" si="172"/>
        <v>Dua Puluh Delapan</v>
      </c>
    </row>
    <row r="1778" spans="1:12">
      <c r="J1778" s="31">
        <v>29</v>
      </c>
      <c r="K1778" s="33" t="s">
        <v>99</v>
      </c>
      <c r="L1778" s="31" t="str">
        <f t="shared" si="172"/>
        <v>Dua Puluh Sembilan</v>
      </c>
    </row>
    <row r="1779" spans="1:12">
      <c r="J1779" s="31">
        <v>30</v>
      </c>
      <c r="K1779" s="33" t="s">
        <v>100</v>
      </c>
      <c r="L1779" s="31" t="s">
        <v>101</v>
      </c>
    </row>
    <row r="1780" spans="1:12">
      <c r="J1780" s="31">
        <v>31</v>
      </c>
      <c r="K1780" s="33" t="s">
        <v>102</v>
      </c>
      <c r="L1780" s="31" t="str">
        <f t="shared" ref="L1780:L1788" si="173">$L$33&amp;" "&amp;L1750</f>
        <v>Tiga Puluh Satu</v>
      </c>
    </row>
    <row r="1781" spans="1:12">
      <c r="J1781" s="31">
        <v>32</v>
      </c>
      <c r="K1781" s="33" t="s">
        <v>103</v>
      </c>
      <c r="L1781" s="31" t="str">
        <f t="shared" si="173"/>
        <v>Tiga Puluh Dua</v>
      </c>
    </row>
    <row r="1782" spans="1:12">
      <c r="J1782" s="31">
        <v>33</v>
      </c>
      <c r="K1782" s="33" t="s">
        <v>104</v>
      </c>
      <c r="L1782" s="31" t="str">
        <f t="shared" si="173"/>
        <v>Tiga Puluh Tiga</v>
      </c>
    </row>
    <row r="1783" spans="1:12">
      <c r="J1783" s="31">
        <v>34</v>
      </c>
      <c r="K1783" s="33" t="s">
        <v>105</v>
      </c>
      <c r="L1783" s="31" t="str">
        <f t="shared" si="173"/>
        <v>Tiga Puluh Empat</v>
      </c>
    </row>
    <row r="1784" spans="1:12">
      <c r="J1784" s="31">
        <v>35</v>
      </c>
      <c r="K1784" s="33" t="s">
        <v>106</v>
      </c>
      <c r="L1784" s="31" t="str">
        <f t="shared" si="173"/>
        <v>Tiga Puluh Lima</v>
      </c>
    </row>
    <row r="1785" spans="1:12">
      <c r="J1785" s="31">
        <v>36</v>
      </c>
      <c r="K1785" s="33" t="s">
        <v>107</v>
      </c>
      <c r="L1785" s="31" t="str">
        <f t="shared" si="173"/>
        <v>Tiga Puluh Enam</v>
      </c>
    </row>
    <row r="1786" spans="1:12">
      <c r="J1786" s="31">
        <v>37</v>
      </c>
      <c r="K1786" s="33" t="s">
        <v>108</v>
      </c>
      <c r="L1786" s="31" t="str">
        <f t="shared" si="173"/>
        <v>Tiga Puluh Tujuh</v>
      </c>
    </row>
    <row r="1787" spans="1:12">
      <c r="J1787" s="31">
        <v>38</v>
      </c>
      <c r="K1787" s="33" t="s">
        <v>109</v>
      </c>
      <c r="L1787" s="31" t="str">
        <f t="shared" si="173"/>
        <v>Tiga Puluh Delapan</v>
      </c>
    </row>
    <row r="1788" spans="1:12">
      <c r="J1788" s="31">
        <v>39</v>
      </c>
      <c r="K1788" s="33" t="s">
        <v>110</v>
      </c>
      <c r="L1788" s="31" t="str">
        <f t="shared" si="173"/>
        <v>Tiga Puluh Sembilan</v>
      </c>
    </row>
    <row r="1789" spans="1:12">
      <c r="B1789" s="35"/>
      <c r="C1789" s="35"/>
      <c r="D1789" s="35"/>
      <c r="J1789" s="31">
        <v>40</v>
      </c>
      <c r="K1789" s="33" t="s">
        <v>111</v>
      </c>
      <c r="L1789" s="31" t="s">
        <v>112</v>
      </c>
    </row>
    <row r="1790" spans="1:12">
      <c r="A1790" s="35"/>
      <c r="B1790" s="35"/>
      <c r="C1790" s="35"/>
      <c r="D1790" s="35"/>
      <c r="J1790" s="31">
        <v>41</v>
      </c>
      <c r="K1790" s="33" t="s">
        <v>113</v>
      </c>
      <c r="L1790" s="31" t="str">
        <f t="shared" ref="L1790:L1798" si="174">$L$43&amp;" "&amp;L1750</f>
        <v>Empat Puluh Satu</v>
      </c>
    </row>
    <row r="1791" spans="1:12">
      <c r="J1791" s="31">
        <v>42</v>
      </c>
      <c r="K1791" s="33" t="s">
        <v>114</v>
      </c>
      <c r="L1791" s="31" t="str">
        <f t="shared" si="174"/>
        <v>Empat Puluh Dua</v>
      </c>
    </row>
    <row r="1792" spans="1:12">
      <c r="A1792" s="38"/>
      <c r="J1792" s="31">
        <v>43</v>
      </c>
      <c r="K1792" s="33" t="s">
        <v>115</v>
      </c>
      <c r="L1792" s="31" t="str">
        <f t="shared" si="174"/>
        <v>Empat Puluh Tiga</v>
      </c>
    </row>
    <row r="1793" spans="10:12">
      <c r="J1793" s="31">
        <v>44</v>
      </c>
      <c r="K1793" s="33" t="s">
        <v>116</v>
      </c>
      <c r="L1793" s="31" t="str">
        <f t="shared" si="174"/>
        <v>Empat Puluh Empat</v>
      </c>
    </row>
    <row r="1794" spans="10:12">
      <c r="J1794" s="31">
        <v>45</v>
      </c>
      <c r="K1794" s="33" t="s">
        <v>117</v>
      </c>
      <c r="L1794" s="31" t="str">
        <f t="shared" si="174"/>
        <v>Empat Puluh Lima</v>
      </c>
    </row>
    <row r="1795" spans="10:12">
      <c r="J1795" s="31">
        <v>46</v>
      </c>
      <c r="K1795" s="33" t="s">
        <v>118</v>
      </c>
      <c r="L1795" s="31" t="str">
        <f t="shared" si="174"/>
        <v>Empat Puluh Enam</v>
      </c>
    </row>
    <row r="1796" spans="10:12">
      <c r="J1796" s="31">
        <v>47</v>
      </c>
      <c r="K1796" s="33" t="s">
        <v>119</v>
      </c>
      <c r="L1796" s="31" t="str">
        <f t="shared" si="174"/>
        <v>Empat Puluh Tujuh</v>
      </c>
    </row>
    <row r="1797" spans="10:12">
      <c r="J1797" s="31">
        <v>48</v>
      </c>
      <c r="K1797" s="33" t="s">
        <v>120</v>
      </c>
      <c r="L1797" s="31" t="str">
        <f t="shared" si="174"/>
        <v>Empat Puluh Delapan</v>
      </c>
    </row>
    <row r="1798" spans="10:12">
      <c r="J1798" s="31">
        <v>49</v>
      </c>
      <c r="K1798" s="33" t="s">
        <v>121</v>
      </c>
      <c r="L1798" s="31" t="str">
        <f t="shared" si="174"/>
        <v>Empat Puluh Sembilan</v>
      </c>
    </row>
    <row r="1799" spans="10:12">
      <c r="J1799" s="31">
        <v>50</v>
      </c>
      <c r="K1799" s="33" t="s">
        <v>122</v>
      </c>
      <c r="L1799" s="31" t="s">
        <v>123</v>
      </c>
    </row>
    <row r="1800" spans="10:12">
      <c r="J1800" s="31">
        <v>51</v>
      </c>
      <c r="K1800" s="33" t="s">
        <v>124</v>
      </c>
      <c r="L1800" s="31" t="str">
        <f t="shared" ref="L1800:L1808" si="175">$L$53&amp;" "&amp;L1750</f>
        <v>Lima Puluh Satu</v>
      </c>
    </row>
    <row r="1801" spans="10:12">
      <c r="J1801" s="31">
        <v>52</v>
      </c>
      <c r="K1801" s="33" t="s">
        <v>125</v>
      </c>
      <c r="L1801" s="31" t="str">
        <f t="shared" si="175"/>
        <v>Lima Puluh Dua</v>
      </c>
    </row>
    <row r="1802" spans="10:12">
      <c r="J1802" s="31">
        <v>53</v>
      </c>
      <c r="K1802" s="33" t="s">
        <v>126</v>
      </c>
      <c r="L1802" s="31" t="str">
        <f t="shared" si="175"/>
        <v>Lima Puluh Tiga</v>
      </c>
    </row>
    <row r="1803" spans="10:12">
      <c r="J1803" s="31">
        <v>54</v>
      </c>
      <c r="K1803" s="33" t="s">
        <v>127</v>
      </c>
      <c r="L1803" s="31" t="str">
        <f t="shared" si="175"/>
        <v>Lima Puluh Empat</v>
      </c>
    </row>
    <row r="1804" spans="10:12">
      <c r="J1804" s="31">
        <v>55</v>
      </c>
      <c r="K1804" s="33" t="s">
        <v>128</v>
      </c>
      <c r="L1804" s="31" t="str">
        <f t="shared" si="175"/>
        <v>Lima Puluh Lima</v>
      </c>
    </row>
    <row r="1805" spans="10:12">
      <c r="J1805" s="31">
        <v>56</v>
      </c>
      <c r="K1805" s="33" t="s">
        <v>129</v>
      </c>
      <c r="L1805" s="31" t="str">
        <f t="shared" si="175"/>
        <v>Lima Puluh Enam</v>
      </c>
    </row>
    <row r="1806" spans="10:12">
      <c r="J1806" s="31">
        <v>57</v>
      </c>
      <c r="K1806" s="33" t="s">
        <v>130</v>
      </c>
      <c r="L1806" s="31" t="str">
        <f t="shared" si="175"/>
        <v>Lima Puluh Tujuh</v>
      </c>
    </row>
    <row r="1807" spans="10:12">
      <c r="J1807" s="31">
        <v>58</v>
      </c>
      <c r="K1807" s="33" t="s">
        <v>131</v>
      </c>
      <c r="L1807" s="31" t="str">
        <f t="shared" si="175"/>
        <v>Lima Puluh Delapan</v>
      </c>
    </row>
    <row r="1808" spans="10:12">
      <c r="J1808" s="31">
        <v>59</v>
      </c>
      <c r="K1808" s="33" t="s">
        <v>132</v>
      </c>
      <c r="L1808" s="31" t="str">
        <f t="shared" si="175"/>
        <v>Lima Puluh Sembilan</v>
      </c>
    </row>
    <row r="1809" spans="10:12">
      <c r="J1809" s="31">
        <v>60</v>
      </c>
      <c r="K1809" s="33" t="s">
        <v>133</v>
      </c>
      <c r="L1809" s="31" t="s">
        <v>134</v>
      </c>
    </row>
    <row r="1810" spans="10:12">
      <c r="J1810" s="31">
        <v>61</v>
      </c>
      <c r="K1810" s="33" t="s">
        <v>135</v>
      </c>
      <c r="L1810" s="31" t="str">
        <f t="shared" ref="L1810:L1818" si="176">$L$63&amp;" "&amp;L1750</f>
        <v>Enam Puluh Satu</v>
      </c>
    </row>
    <row r="1811" spans="10:12">
      <c r="J1811" s="31">
        <v>62</v>
      </c>
      <c r="K1811" s="33" t="s">
        <v>136</v>
      </c>
      <c r="L1811" s="31" t="str">
        <f t="shared" si="176"/>
        <v>Enam Puluh Dua</v>
      </c>
    </row>
    <row r="1812" spans="10:12">
      <c r="J1812" s="31">
        <v>63</v>
      </c>
      <c r="K1812" s="33" t="s">
        <v>137</v>
      </c>
      <c r="L1812" s="31" t="str">
        <f t="shared" si="176"/>
        <v>Enam Puluh Tiga</v>
      </c>
    </row>
    <row r="1813" spans="10:12">
      <c r="J1813" s="31">
        <v>64</v>
      </c>
      <c r="K1813" s="33" t="s">
        <v>138</v>
      </c>
      <c r="L1813" s="31" t="str">
        <f t="shared" si="176"/>
        <v>Enam Puluh Empat</v>
      </c>
    </row>
    <row r="1814" spans="10:12">
      <c r="J1814" s="31">
        <v>65</v>
      </c>
      <c r="K1814" s="33" t="s">
        <v>139</v>
      </c>
      <c r="L1814" s="31" t="str">
        <f t="shared" si="176"/>
        <v>Enam Puluh Lima</v>
      </c>
    </row>
    <row r="1815" spans="10:12">
      <c r="J1815" s="31">
        <v>66</v>
      </c>
      <c r="K1815" s="33" t="s">
        <v>140</v>
      </c>
      <c r="L1815" s="31" t="str">
        <f t="shared" si="176"/>
        <v>Enam Puluh Enam</v>
      </c>
    </row>
    <row r="1816" spans="10:12">
      <c r="J1816" s="31">
        <v>67</v>
      </c>
      <c r="K1816" s="33" t="s">
        <v>141</v>
      </c>
      <c r="L1816" s="31" t="str">
        <f t="shared" si="176"/>
        <v>Enam Puluh Tujuh</v>
      </c>
    </row>
    <row r="1817" spans="10:12">
      <c r="J1817" s="31">
        <v>68</v>
      </c>
      <c r="K1817" s="33" t="s">
        <v>142</v>
      </c>
      <c r="L1817" s="31" t="str">
        <f t="shared" si="176"/>
        <v>Enam Puluh Delapan</v>
      </c>
    </row>
    <row r="1818" spans="10:12">
      <c r="J1818" s="31">
        <v>69</v>
      </c>
      <c r="K1818" s="33" t="s">
        <v>143</v>
      </c>
      <c r="L1818" s="31" t="str">
        <f t="shared" si="176"/>
        <v>Enam Puluh Sembilan</v>
      </c>
    </row>
    <row r="1819" spans="10:12">
      <c r="J1819" s="31">
        <v>70</v>
      </c>
      <c r="K1819" s="33" t="s">
        <v>144</v>
      </c>
      <c r="L1819" s="31" t="s">
        <v>145</v>
      </c>
    </row>
    <row r="1820" spans="10:12">
      <c r="J1820" s="31">
        <v>71</v>
      </c>
      <c r="K1820" s="33" t="s">
        <v>146</v>
      </c>
      <c r="L1820" s="31" t="str">
        <f t="shared" ref="L1820:L1828" si="177">$L$73&amp;" "&amp;L1750</f>
        <v>Tujuh Puluh Satu</v>
      </c>
    </row>
    <row r="1821" spans="10:12">
      <c r="J1821" s="31">
        <v>72</v>
      </c>
      <c r="K1821" s="33" t="s">
        <v>147</v>
      </c>
      <c r="L1821" s="31" t="str">
        <f t="shared" si="177"/>
        <v>Tujuh Puluh Dua</v>
      </c>
    </row>
    <row r="1822" spans="10:12">
      <c r="J1822" s="31">
        <v>73</v>
      </c>
      <c r="K1822" s="33" t="s">
        <v>148</v>
      </c>
      <c r="L1822" s="31" t="str">
        <f t="shared" si="177"/>
        <v>Tujuh Puluh Tiga</v>
      </c>
    </row>
    <row r="1823" spans="10:12">
      <c r="J1823" s="31">
        <v>74</v>
      </c>
      <c r="K1823" s="33" t="s">
        <v>149</v>
      </c>
      <c r="L1823" s="31" t="str">
        <f t="shared" si="177"/>
        <v>Tujuh Puluh Empat</v>
      </c>
    </row>
    <row r="1824" spans="10:12">
      <c r="J1824" s="31">
        <v>75</v>
      </c>
      <c r="K1824" s="33" t="s">
        <v>150</v>
      </c>
      <c r="L1824" s="31" t="str">
        <f t="shared" si="177"/>
        <v>Tujuh Puluh Lima</v>
      </c>
    </row>
    <row r="1825" spans="10:12">
      <c r="J1825" s="31">
        <v>76</v>
      </c>
      <c r="K1825" s="33" t="s">
        <v>151</v>
      </c>
      <c r="L1825" s="31" t="str">
        <f t="shared" si="177"/>
        <v>Tujuh Puluh Enam</v>
      </c>
    </row>
    <row r="1826" spans="10:12">
      <c r="J1826" s="31">
        <v>77</v>
      </c>
      <c r="K1826" s="33" t="s">
        <v>152</v>
      </c>
      <c r="L1826" s="31" t="str">
        <f t="shared" si="177"/>
        <v>Tujuh Puluh Tujuh</v>
      </c>
    </row>
    <row r="1827" spans="10:12">
      <c r="J1827" s="31">
        <v>78</v>
      </c>
      <c r="K1827" s="33" t="s">
        <v>153</v>
      </c>
      <c r="L1827" s="31" t="str">
        <f t="shared" si="177"/>
        <v>Tujuh Puluh Delapan</v>
      </c>
    </row>
    <row r="1828" spans="10:12">
      <c r="J1828" s="31">
        <v>79</v>
      </c>
      <c r="K1828" s="33" t="s">
        <v>154</v>
      </c>
      <c r="L1828" s="31" t="str">
        <f t="shared" si="177"/>
        <v>Tujuh Puluh Sembilan</v>
      </c>
    </row>
    <row r="1829" spans="10:12">
      <c r="J1829" s="31">
        <v>80</v>
      </c>
      <c r="K1829" s="33" t="s">
        <v>155</v>
      </c>
      <c r="L1829" s="31" t="s">
        <v>156</v>
      </c>
    </row>
    <row r="1830" spans="10:12">
      <c r="J1830" s="31">
        <v>81</v>
      </c>
      <c r="K1830" s="33" t="s">
        <v>157</v>
      </c>
      <c r="L1830" s="31" t="str">
        <f t="shared" ref="L1830:L1838" si="178">$L$83&amp;" "&amp;L1750</f>
        <v>Delapan Puluh Satu</v>
      </c>
    </row>
    <row r="1831" spans="10:12">
      <c r="J1831" s="31">
        <v>82</v>
      </c>
      <c r="K1831" s="33" t="s">
        <v>158</v>
      </c>
      <c r="L1831" s="31" t="str">
        <f t="shared" si="178"/>
        <v>Delapan Puluh Dua</v>
      </c>
    </row>
    <row r="1832" spans="10:12">
      <c r="J1832" s="31">
        <v>83</v>
      </c>
      <c r="K1832" s="33" t="s">
        <v>159</v>
      </c>
      <c r="L1832" s="31" t="str">
        <f t="shared" si="178"/>
        <v>Delapan Puluh Tiga</v>
      </c>
    </row>
    <row r="1833" spans="10:12">
      <c r="J1833" s="31">
        <v>84</v>
      </c>
      <c r="K1833" s="33" t="s">
        <v>160</v>
      </c>
      <c r="L1833" s="31" t="str">
        <f t="shared" si="178"/>
        <v>Delapan Puluh Empat</v>
      </c>
    </row>
    <row r="1834" spans="10:12">
      <c r="J1834" s="31">
        <v>85</v>
      </c>
      <c r="K1834" s="33" t="s">
        <v>161</v>
      </c>
      <c r="L1834" s="31" t="str">
        <f t="shared" si="178"/>
        <v>Delapan Puluh Lima</v>
      </c>
    </row>
    <row r="1835" spans="10:12">
      <c r="J1835" s="31">
        <v>86</v>
      </c>
      <c r="K1835" s="33" t="s">
        <v>162</v>
      </c>
      <c r="L1835" s="31" t="str">
        <f t="shared" si="178"/>
        <v>Delapan Puluh Enam</v>
      </c>
    </row>
    <row r="1836" spans="10:12">
      <c r="J1836" s="31">
        <v>87</v>
      </c>
      <c r="K1836" s="33" t="s">
        <v>163</v>
      </c>
      <c r="L1836" s="31" t="str">
        <f t="shared" si="178"/>
        <v>Delapan Puluh Tujuh</v>
      </c>
    </row>
    <row r="1837" spans="10:12">
      <c r="J1837" s="31">
        <v>88</v>
      </c>
      <c r="K1837" s="33" t="s">
        <v>164</v>
      </c>
      <c r="L1837" s="31" t="str">
        <f t="shared" si="178"/>
        <v>Delapan Puluh Delapan</v>
      </c>
    </row>
    <row r="1838" spans="10:12">
      <c r="J1838" s="31">
        <v>89</v>
      </c>
      <c r="K1838" s="33" t="s">
        <v>165</v>
      </c>
      <c r="L1838" s="31" t="str">
        <f t="shared" si="178"/>
        <v>Delapan Puluh Sembilan</v>
      </c>
    </row>
    <row r="1839" spans="10:12">
      <c r="J1839" s="31">
        <v>90</v>
      </c>
      <c r="K1839" s="33" t="s">
        <v>166</v>
      </c>
      <c r="L1839" s="31" t="s">
        <v>167</v>
      </c>
    </row>
    <row r="1840" spans="10:12">
      <c r="J1840" s="31">
        <v>91</v>
      </c>
      <c r="K1840" s="33" t="s">
        <v>168</v>
      </c>
      <c r="L1840" s="31" t="str">
        <f t="shared" ref="L1840:L1848" si="179">$L$93&amp;" "&amp;L1750</f>
        <v>Sembilan Puluh Satu</v>
      </c>
    </row>
    <row r="1841" spans="1:12">
      <c r="J1841" s="31">
        <v>92</v>
      </c>
      <c r="K1841" s="33" t="s">
        <v>169</v>
      </c>
      <c r="L1841" s="31" t="str">
        <f t="shared" si="179"/>
        <v>Sembilan Puluh Dua</v>
      </c>
    </row>
    <row r="1842" spans="1:12">
      <c r="J1842" s="31">
        <v>93</v>
      </c>
      <c r="K1842" s="33" t="s">
        <v>170</v>
      </c>
      <c r="L1842" s="31" t="str">
        <f t="shared" si="179"/>
        <v>Sembilan Puluh Tiga</v>
      </c>
    </row>
    <row r="1843" spans="1:12">
      <c r="J1843" s="31">
        <v>94</v>
      </c>
      <c r="K1843" s="33" t="s">
        <v>171</v>
      </c>
      <c r="L1843" s="31" t="str">
        <f t="shared" si="179"/>
        <v>Sembilan Puluh Empat</v>
      </c>
    </row>
    <row r="1844" spans="1:12">
      <c r="J1844" s="31">
        <v>95</v>
      </c>
      <c r="K1844" s="33" t="s">
        <v>172</v>
      </c>
      <c r="L1844" s="31" t="str">
        <f t="shared" si="179"/>
        <v>Sembilan Puluh Lima</v>
      </c>
    </row>
    <row r="1845" spans="1:12">
      <c r="J1845" s="31">
        <v>96</v>
      </c>
      <c r="K1845" s="33" t="s">
        <v>173</v>
      </c>
      <c r="L1845" s="31" t="str">
        <f t="shared" si="179"/>
        <v>Sembilan Puluh Enam</v>
      </c>
    </row>
    <row r="1846" spans="1:12">
      <c r="J1846" s="31">
        <v>97</v>
      </c>
      <c r="K1846" s="33" t="s">
        <v>174</v>
      </c>
      <c r="L1846" s="31" t="str">
        <f t="shared" si="179"/>
        <v>Sembilan Puluh Tujuh</v>
      </c>
    </row>
    <row r="1847" spans="1:12">
      <c r="J1847" s="31">
        <v>98</v>
      </c>
      <c r="K1847" s="33" t="s">
        <v>175</v>
      </c>
      <c r="L1847" s="31" t="str">
        <f t="shared" si="179"/>
        <v>Sembilan Puluh Delapan</v>
      </c>
    </row>
    <row r="1848" spans="1:12">
      <c r="J1848" s="31">
        <v>99</v>
      </c>
      <c r="K1848" s="33" t="s">
        <v>176</v>
      </c>
      <c r="L1848" s="31" t="str">
        <f t="shared" si="179"/>
        <v>Sembilan Puluh Sembilan</v>
      </c>
    </row>
    <row r="1850" spans="1:12">
      <c r="A1850" s="30" t="e">
        <f>#REF!</f>
        <v>#REF!</v>
      </c>
      <c r="C1850" s="31" t="s">
        <v>289</v>
      </c>
    </row>
    <row r="1851" spans="1:12">
      <c r="A1851" s="32"/>
    </row>
    <row r="1852" spans="1:12">
      <c r="J1852" s="31">
        <v>0</v>
      </c>
      <c r="K1852" s="33" t="s">
        <v>48</v>
      </c>
      <c r="L1852" s="31" t="s">
        <v>49</v>
      </c>
    </row>
    <row r="1853" spans="1:12">
      <c r="A1853" s="34"/>
      <c r="J1853" s="31">
        <v>1</v>
      </c>
      <c r="K1853" s="33" t="s">
        <v>50</v>
      </c>
      <c r="L1853" s="31" t="s">
        <v>51</v>
      </c>
    </row>
    <row r="1854" spans="1:12">
      <c r="A1854" s="255" t="e">
        <f>TRIM(D1862&amp;E1862&amp;D1863&amp;E1863&amp;D1864&amp;E1864&amp;D1865&amp;E1865&amp;D1866&amp;E1866&amp;D1867&amp;E1867&amp;E1868&amp;D1868&amp;" Only")</f>
        <v>#REF!</v>
      </c>
      <c r="B1854" s="255"/>
      <c r="C1854" s="255"/>
      <c r="D1854" s="255"/>
      <c r="E1854" s="35"/>
      <c r="F1854" s="36"/>
      <c r="J1854" s="31">
        <v>2</v>
      </c>
      <c r="K1854" s="33" t="s">
        <v>52</v>
      </c>
      <c r="L1854" s="31" t="s">
        <v>53</v>
      </c>
    </row>
    <row r="1855" spans="1:12">
      <c r="A1855" s="37"/>
      <c r="B1855" s="37"/>
      <c r="C1855" s="37"/>
      <c r="D1855" s="37"/>
      <c r="E1855" s="35"/>
      <c r="F1855" s="36"/>
      <c r="J1855" s="31">
        <v>3</v>
      </c>
      <c r="K1855" s="33" t="s">
        <v>54</v>
      </c>
      <c r="L1855" s="31" t="s">
        <v>55</v>
      </c>
    </row>
    <row r="1856" spans="1:12">
      <c r="A1856" s="37"/>
      <c r="B1856" s="37"/>
      <c r="C1856" s="37"/>
      <c r="D1856" s="37"/>
      <c r="J1856" s="31">
        <v>4</v>
      </c>
      <c r="K1856" s="33" t="s">
        <v>56</v>
      </c>
      <c r="L1856" s="31" t="s">
        <v>57</v>
      </c>
    </row>
    <row r="1857" spans="1:12">
      <c r="A1857" s="255" t="e">
        <f>TRIM(D1872&amp;E1872&amp;D1873&amp;E1873&amp;D1874&amp;E1874&amp;D1875&amp;E1875&amp;D1876&amp;E1876&amp;D1877&amp;E1877&amp;D1878&amp;E1878&amp;" Rupiah")</f>
        <v>#REF!</v>
      </c>
      <c r="B1857" s="255"/>
      <c r="C1857" s="255"/>
      <c r="D1857" s="255"/>
      <c r="E1857" s="35"/>
      <c r="F1857" s="36"/>
      <c r="J1857" s="31">
        <v>5</v>
      </c>
      <c r="K1857" s="33" t="s">
        <v>58</v>
      </c>
      <c r="L1857" s="31" t="s">
        <v>59</v>
      </c>
    </row>
    <row r="1858" spans="1:12">
      <c r="A1858" s="35"/>
      <c r="B1858" s="35"/>
      <c r="C1858" s="35"/>
      <c r="D1858" s="35"/>
      <c r="E1858" s="35"/>
      <c r="F1858" s="36"/>
      <c r="J1858" s="31">
        <v>6</v>
      </c>
      <c r="K1858" s="33" t="s">
        <v>60</v>
      </c>
      <c r="L1858" s="31" t="s">
        <v>61</v>
      </c>
    </row>
    <row r="1859" spans="1:12">
      <c r="J1859" s="31">
        <v>7</v>
      </c>
      <c r="K1859" s="33" t="s">
        <v>62</v>
      </c>
      <c r="L1859" s="31" t="s">
        <v>63</v>
      </c>
    </row>
    <row r="1860" spans="1:12">
      <c r="J1860" s="31">
        <v>8</v>
      </c>
      <c r="K1860" s="33" t="s">
        <v>64</v>
      </c>
      <c r="L1860" s="31" t="s">
        <v>65</v>
      </c>
    </row>
    <row r="1861" spans="1:12">
      <c r="A1861" s="38" t="s">
        <v>66</v>
      </c>
      <c r="J1861" s="31">
        <v>9</v>
      </c>
      <c r="K1861" s="33" t="s">
        <v>67</v>
      </c>
      <c r="L1861" s="31" t="s">
        <v>68</v>
      </c>
    </row>
    <row r="1862" spans="1:12">
      <c r="A1862" s="31" t="s">
        <v>69</v>
      </c>
      <c r="B1862" s="39" t="e">
        <f>TRUNC(A1850/100000000)</f>
        <v>#REF!</v>
      </c>
      <c r="C1862" s="31" t="e">
        <f>B1862*100000000</f>
        <v>#REF!</v>
      </c>
      <c r="D1862" s="31" t="e">
        <f t="shared" ref="D1862:D1868" si="180">IF(B1862&lt;1,"",VLOOKUP(B1862,$J$3:$K$102,2))</f>
        <v>#REF!</v>
      </c>
      <c r="E1862" s="31" t="e">
        <f>IF(B1862&lt;1,"",IF(B1862&gt;1," Hundreds "," Hundred "))</f>
        <v>#REF!</v>
      </c>
      <c r="J1862" s="31">
        <v>10</v>
      </c>
      <c r="K1862" s="33" t="s">
        <v>70</v>
      </c>
      <c r="L1862" s="31" t="s">
        <v>71</v>
      </c>
    </row>
    <row r="1863" spans="1:12">
      <c r="A1863" s="31" t="s">
        <v>72</v>
      </c>
      <c r="B1863" s="39" t="e">
        <f>TRUNC((A1850-C1862)/1000000)</f>
        <v>#REF!</v>
      </c>
      <c r="C1863" s="31" t="e">
        <f>B1863*1000000</f>
        <v>#REF!</v>
      </c>
      <c r="D1863" s="31" t="e">
        <f t="shared" si="180"/>
        <v>#REF!</v>
      </c>
      <c r="E1863" s="31" t="e">
        <f>IF(B1862+B1863=0,"",IF(B1863=1," Million "," Millions "))</f>
        <v>#REF!</v>
      </c>
      <c r="J1863" s="31">
        <v>11</v>
      </c>
      <c r="K1863" s="33" t="s">
        <v>73</v>
      </c>
      <c r="L1863" s="31" t="s">
        <v>74</v>
      </c>
    </row>
    <row r="1864" spans="1:12">
      <c r="A1864" s="31" t="s">
        <v>75</v>
      </c>
      <c r="B1864" s="39" t="e">
        <f>TRUNC((A1850-SUM(C1862:C1863))/100000)</f>
        <v>#REF!</v>
      </c>
      <c r="C1864" s="31" t="e">
        <f>B1864*100000</f>
        <v>#REF!</v>
      </c>
      <c r="D1864" s="31" t="e">
        <f t="shared" si="180"/>
        <v>#REF!</v>
      </c>
      <c r="E1864" s="31" t="e">
        <f>IF(B1864&lt;1,"",IF(B1864&gt;1," Hundreds "," Hundred "))</f>
        <v>#REF!</v>
      </c>
      <c r="J1864" s="31">
        <v>12</v>
      </c>
      <c r="K1864" s="33" t="s">
        <v>76</v>
      </c>
      <c r="L1864" s="31" t="str">
        <f t="shared" ref="L1864:L1871" si="181">L1854&amp;" Belas"</f>
        <v>Dua Belas</v>
      </c>
    </row>
    <row r="1865" spans="1:12">
      <c r="A1865" s="33" t="s">
        <v>77</v>
      </c>
      <c r="B1865" s="40" t="e">
        <f>TRUNC((A1850-SUM(C1862:C1864))/1000)</f>
        <v>#REF!</v>
      </c>
      <c r="C1865" s="31" t="e">
        <f>B1865*1000</f>
        <v>#REF!</v>
      </c>
      <c r="D1865" s="31" t="e">
        <f t="shared" si="180"/>
        <v>#REF!</v>
      </c>
      <c r="E1865" s="31" t="e">
        <f>IF(B1864+B1865=0,"",IF(B1865=1," Thousand "," Thousands "))</f>
        <v>#REF!</v>
      </c>
      <c r="J1865" s="31">
        <v>13</v>
      </c>
      <c r="K1865" s="33" t="s">
        <v>78</v>
      </c>
      <c r="L1865" s="31" t="str">
        <f t="shared" si="181"/>
        <v>Tiga Belas</v>
      </c>
    </row>
    <row r="1866" spans="1:12">
      <c r="A1866" s="33" t="s">
        <v>79</v>
      </c>
      <c r="B1866" s="40" t="e">
        <f>TRUNC((A1850-SUM(C1862:C1865))/100)</f>
        <v>#REF!</v>
      </c>
      <c r="C1866" s="31" t="e">
        <f>B1866*100</f>
        <v>#REF!</v>
      </c>
      <c r="D1866" s="31" t="e">
        <f t="shared" si="180"/>
        <v>#REF!</v>
      </c>
      <c r="E1866" s="31" t="e">
        <f>IF(B1866&lt;1,"",IF(B1866&gt;1," Hundreds "," Hundred "))</f>
        <v>#REF!</v>
      </c>
      <c r="J1866" s="31">
        <v>14</v>
      </c>
      <c r="K1866" s="33" t="s">
        <v>80</v>
      </c>
      <c r="L1866" s="31" t="str">
        <f t="shared" si="181"/>
        <v>Empat Belas</v>
      </c>
    </row>
    <row r="1867" spans="1:12">
      <c r="A1867" s="33" t="s">
        <v>81</v>
      </c>
      <c r="B1867" s="41" t="e">
        <f>TRUNC((A1850-SUM(C1862:C1866)))</f>
        <v>#REF!</v>
      </c>
      <c r="C1867" s="42" t="e">
        <f>B1867</f>
        <v>#REF!</v>
      </c>
      <c r="D1867" s="31" t="e">
        <f t="shared" si="180"/>
        <v>#REF!</v>
      </c>
      <c r="E1867" s="31" t="e">
        <f>IF(SUM(C1862:C1867)&lt;1,"",IF(B1868&lt;1,""," And "))</f>
        <v>#REF!</v>
      </c>
      <c r="J1867" s="31">
        <v>15</v>
      </c>
      <c r="K1867" s="33" t="s">
        <v>82</v>
      </c>
      <c r="L1867" s="31" t="str">
        <f t="shared" si="181"/>
        <v>Lima Belas</v>
      </c>
    </row>
    <row r="1868" spans="1:12">
      <c r="A1868" s="33" t="s">
        <v>83</v>
      </c>
      <c r="B1868" s="40" t="e">
        <f>ROUND(A1850-SUM(C1862:C1867),2)*100</f>
        <v>#REF!</v>
      </c>
      <c r="D1868" s="43" t="e">
        <f t="shared" si="180"/>
        <v>#REF!</v>
      </c>
      <c r="E1868" s="31" t="e">
        <f>IF(B1868&lt;1,"",IF(B1868=1," Cent "," Cents "))</f>
        <v>#REF!</v>
      </c>
      <c r="J1868" s="31">
        <v>16</v>
      </c>
      <c r="K1868" s="33" t="s">
        <v>84</v>
      </c>
      <c r="L1868" s="31" t="str">
        <f t="shared" si="181"/>
        <v>Enam Belas</v>
      </c>
    </row>
    <row r="1869" spans="1:12">
      <c r="J1869" s="31">
        <v>17</v>
      </c>
      <c r="K1869" s="33" t="s">
        <v>85</v>
      </c>
      <c r="L1869" s="31" t="str">
        <f t="shared" si="181"/>
        <v>Tujuh Belas</v>
      </c>
    </row>
    <row r="1870" spans="1:12">
      <c r="A1870" s="44"/>
      <c r="J1870" s="31">
        <v>18</v>
      </c>
      <c r="K1870" s="33" t="s">
        <v>86</v>
      </c>
      <c r="L1870" s="31" t="str">
        <f t="shared" si="181"/>
        <v>Delapan Belas</v>
      </c>
    </row>
    <row r="1871" spans="1:12">
      <c r="A1871" s="38" t="s">
        <v>87</v>
      </c>
      <c r="J1871" s="31">
        <v>19</v>
      </c>
      <c r="K1871" s="33" t="s">
        <v>88</v>
      </c>
      <c r="L1871" s="31" t="str">
        <f t="shared" si="181"/>
        <v>Sembilan Belas</v>
      </c>
    </row>
    <row r="1872" spans="1:12">
      <c r="A1872" s="31" t="s">
        <v>69</v>
      </c>
      <c r="B1872" s="39" t="e">
        <f>TRUNC(A1850/100000000)</f>
        <v>#REF!</v>
      </c>
      <c r="C1872" s="31" t="e">
        <f>B1872*100000000</f>
        <v>#REF!</v>
      </c>
      <c r="D1872" s="31" t="e">
        <f>IF(B1872&lt;1,"",IF(B1872=1,"",VLOOKUP(B1872,$J$3:$L$102,3)))</f>
        <v>#REF!</v>
      </c>
      <c r="E1872" s="31" t="e">
        <f>IF(B1872&lt;1,"",IF(B1872=1,"Seratus "," Ratus "))</f>
        <v>#REF!</v>
      </c>
      <c r="J1872" s="31">
        <v>20</v>
      </c>
      <c r="K1872" s="33" t="s">
        <v>89</v>
      </c>
      <c r="L1872" s="31" t="s">
        <v>90</v>
      </c>
    </row>
    <row r="1873" spans="1:12">
      <c r="A1873" s="31" t="s">
        <v>72</v>
      </c>
      <c r="B1873" s="39" t="e">
        <f>TRUNC((A1850-C1872)/1000000)</f>
        <v>#REF!</v>
      </c>
      <c r="C1873" s="31" t="e">
        <f>B1873*1000000</f>
        <v>#REF!</v>
      </c>
      <c r="D1873" s="31" t="e">
        <f>IF(B1873&lt;1,"",VLOOKUP(B1873,$J$3:$L$102,3))</f>
        <v>#REF!</v>
      </c>
      <c r="E1873" s="31" t="e">
        <f>IF(B1872+B1873=0,""," Juta ")</f>
        <v>#REF!</v>
      </c>
      <c r="J1873" s="31">
        <v>21</v>
      </c>
      <c r="K1873" s="33" t="s">
        <v>91</v>
      </c>
      <c r="L1873" s="31" t="str">
        <f t="shared" ref="L1873:L1881" si="182">$L$23&amp;" "&amp;L1853</f>
        <v>Dua Puluh Satu</v>
      </c>
    </row>
    <row r="1874" spans="1:12">
      <c r="A1874" s="31" t="s">
        <v>75</v>
      </c>
      <c r="B1874" s="39" t="e">
        <f>TRUNC((A1850-SUM(C1872:C1873))/100000)</f>
        <v>#REF!</v>
      </c>
      <c r="C1874" s="31" t="e">
        <f>B1874*100000</f>
        <v>#REF!</v>
      </c>
      <c r="D1874" s="31" t="e">
        <f>IF(B1874&lt;1,"",IF(B1874=1,"",VLOOKUP(B1874,$J$3:$L$102,3)))</f>
        <v>#REF!</v>
      </c>
      <c r="E1874" s="31" t="e">
        <f>IF(B1874&lt;1,"",IF(B1874=1," Seratus "," Ratus "))</f>
        <v>#REF!</v>
      </c>
      <c r="J1874" s="31">
        <v>22</v>
      </c>
      <c r="K1874" s="33" t="s">
        <v>92</v>
      </c>
      <c r="L1874" s="31" t="str">
        <f t="shared" si="182"/>
        <v>Dua Puluh Dua</v>
      </c>
    </row>
    <row r="1875" spans="1:12">
      <c r="A1875" s="33" t="s">
        <v>77</v>
      </c>
      <c r="B1875" s="40" t="e">
        <f>TRUNC((A1850-SUM(C1872:C1874))/1000)</f>
        <v>#REF!</v>
      </c>
      <c r="C1875" s="31" t="e">
        <f>B1875*1000</f>
        <v>#REF!</v>
      </c>
      <c r="D1875" s="31" t="e">
        <f>IF(B1875&lt;1,"",IF(B1875=1,"",VLOOKUP(B1875,$J$3:$L$102,3)))</f>
        <v>#REF!</v>
      </c>
      <c r="E1875" s="31" t="e">
        <f>IF(B1874+B1875&lt;1,"",IF(B1875=1," Seribu "," Ribu "))</f>
        <v>#REF!</v>
      </c>
      <c r="J1875" s="31">
        <v>23</v>
      </c>
      <c r="K1875" s="33" t="s">
        <v>93</v>
      </c>
      <c r="L1875" s="31" t="str">
        <f t="shared" si="182"/>
        <v>Dua Puluh Tiga</v>
      </c>
    </row>
    <row r="1876" spans="1:12">
      <c r="A1876" s="33" t="s">
        <v>79</v>
      </c>
      <c r="B1876" s="40" t="e">
        <f>TRUNC((A1850-SUM(C1872:C1875))/100)</f>
        <v>#REF!</v>
      </c>
      <c r="C1876" s="31" t="e">
        <f>B1876*100</f>
        <v>#REF!</v>
      </c>
      <c r="D1876" s="31" t="e">
        <f>IF(B1876&lt;1,"",IF(B1876=1,"",VLOOKUP(B1876,$J$3:$L$102,3)))</f>
        <v>#REF!</v>
      </c>
      <c r="E1876" s="31" t="e">
        <f>IF(B1876&lt;1,"",IF(B1876=1," Seratus "," Ratus "))</f>
        <v>#REF!</v>
      </c>
      <c r="J1876" s="31">
        <v>24</v>
      </c>
      <c r="K1876" s="33" t="s">
        <v>94</v>
      </c>
      <c r="L1876" s="31" t="str">
        <f t="shared" si="182"/>
        <v>Dua Puluh Empat</v>
      </c>
    </row>
    <row r="1877" spans="1:12">
      <c r="A1877" s="33" t="s">
        <v>81</v>
      </c>
      <c r="B1877" s="41" t="e">
        <f>TRUNC((A1850-SUM(C1872:C1876)))</f>
        <v>#REF!</v>
      </c>
      <c r="C1877" s="42" t="e">
        <f>B1877</f>
        <v>#REF!</v>
      </c>
      <c r="D1877" s="31" t="e">
        <f>IF(B1877&lt;1,"",VLOOKUP(B1877,$J$3:$L$102,3))</f>
        <v>#REF!</v>
      </c>
      <c r="E1877" s="31" t="e">
        <f>IF(SUM(C1872:C1877)&lt;1,"",IF(B1878&lt;1,""," Dan "))</f>
        <v>#REF!</v>
      </c>
      <c r="J1877" s="31">
        <v>25</v>
      </c>
      <c r="K1877" s="33" t="s">
        <v>95</v>
      </c>
      <c r="L1877" s="31" t="str">
        <f t="shared" si="182"/>
        <v>Dua Puluh Lima</v>
      </c>
    </row>
    <row r="1878" spans="1:12">
      <c r="A1878" s="33" t="s">
        <v>83</v>
      </c>
      <c r="B1878" s="40" t="e">
        <f>ROUND(A1850-SUM(C1872:C1877),2)*100</f>
        <v>#REF!</v>
      </c>
      <c r="D1878" s="31" t="e">
        <f>IF(B1878&lt;1,"",VLOOKUP(B1878,$J$3:$L$102,3))</f>
        <v>#REF!</v>
      </c>
      <c r="E1878" s="31" t="e">
        <f>IF(B1878&lt;1,""," Sen ")</f>
        <v>#REF!</v>
      </c>
      <c r="J1878" s="31">
        <v>26</v>
      </c>
      <c r="K1878" s="33" t="s">
        <v>96</v>
      </c>
      <c r="L1878" s="31" t="str">
        <f t="shared" si="182"/>
        <v>Dua Puluh Enam</v>
      </c>
    </row>
    <row r="1879" spans="1:12">
      <c r="J1879" s="31">
        <v>27</v>
      </c>
      <c r="K1879" s="33" t="s">
        <v>97</v>
      </c>
      <c r="L1879" s="31" t="str">
        <f t="shared" si="182"/>
        <v>Dua Puluh Tujuh</v>
      </c>
    </row>
    <row r="1880" spans="1:12">
      <c r="J1880" s="31">
        <v>28</v>
      </c>
      <c r="K1880" s="33" t="s">
        <v>98</v>
      </c>
      <c r="L1880" s="31" t="str">
        <f t="shared" si="182"/>
        <v>Dua Puluh Delapan</v>
      </c>
    </row>
    <row r="1881" spans="1:12">
      <c r="J1881" s="31">
        <v>29</v>
      </c>
      <c r="K1881" s="33" t="s">
        <v>99</v>
      </c>
      <c r="L1881" s="31" t="str">
        <f t="shared" si="182"/>
        <v>Dua Puluh Sembilan</v>
      </c>
    </row>
    <row r="1882" spans="1:12">
      <c r="J1882" s="31">
        <v>30</v>
      </c>
      <c r="K1882" s="33" t="s">
        <v>100</v>
      </c>
      <c r="L1882" s="31" t="s">
        <v>101</v>
      </c>
    </row>
    <row r="1883" spans="1:12">
      <c r="J1883" s="31">
        <v>31</v>
      </c>
      <c r="K1883" s="33" t="s">
        <v>102</v>
      </c>
      <c r="L1883" s="31" t="str">
        <f t="shared" ref="L1883:L1891" si="183">$L$33&amp;" "&amp;L1853</f>
        <v>Tiga Puluh Satu</v>
      </c>
    </row>
    <row r="1884" spans="1:12">
      <c r="J1884" s="31">
        <v>32</v>
      </c>
      <c r="K1884" s="33" t="s">
        <v>103</v>
      </c>
      <c r="L1884" s="31" t="str">
        <f t="shared" si="183"/>
        <v>Tiga Puluh Dua</v>
      </c>
    </row>
    <row r="1885" spans="1:12">
      <c r="J1885" s="31">
        <v>33</v>
      </c>
      <c r="K1885" s="33" t="s">
        <v>104</v>
      </c>
      <c r="L1885" s="31" t="str">
        <f t="shared" si="183"/>
        <v>Tiga Puluh Tiga</v>
      </c>
    </row>
    <row r="1886" spans="1:12">
      <c r="J1886" s="31">
        <v>34</v>
      </c>
      <c r="K1886" s="33" t="s">
        <v>105</v>
      </c>
      <c r="L1886" s="31" t="str">
        <f t="shared" si="183"/>
        <v>Tiga Puluh Empat</v>
      </c>
    </row>
    <row r="1887" spans="1:12">
      <c r="J1887" s="31">
        <v>35</v>
      </c>
      <c r="K1887" s="33" t="s">
        <v>106</v>
      </c>
      <c r="L1887" s="31" t="str">
        <f t="shared" si="183"/>
        <v>Tiga Puluh Lima</v>
      </c>
    </row>
    <row r="1888" spans="1:12">
      <c r="J1888" s="31">
        <v>36</v>
      </c>
      <c r="K1888" s="33" t="s">
        <v>107</v>
      </c>
      <c r="L1888" s="31" t="str">
        <f t="shared" si="183"/>
        <v>Tiga Puluh Enam</v>
      </c>
    </row>
    <row r="1889" spans="1:12">
      <c r="J1889" s="31">
        <v>37</v>
      </c>
      <c r="K1889" s="33" t="s">
        <v>108</v>
      </c>
      <c r="L1889" s="31" t="str">
        <f t="shared" si="183"/>
        <v>Tiga Puluh Tujuh</v>
      </c>
    </row>
    <row r="1890" spans="1:12">
      <c r="J1890" s="31">
        <v>38</v>
      </c>
      <c r="K1890" s="33" t="s">
        <v>109</v>
      </c>
      <c r="L1890" s="31" t="str">
        <f t="shared" si="183"/>
        <v>Tiga Puluh Delapan</v>
      </c>
    </row>
    <row r="1891" spans="1:12">
      <c r="J1891" s="31">
        <v>39</v>
      </c>
      <c r="K1891" s="33" t="s">
        <v>110</v>
      </c>
      <c r="L1891" s="31" t="str">
        <f t="shared" si="183"/>
        <v>Tiga Puluh Sembilan</v>
      </c>
    </row>
    <row r="1892" spans="1:12">
      <c r="B1892" s="35"/>
      <c r="C1892" s="35"/>
      <c r="D1892" s="35"/>
      <c r="J1892" s="31">
        <v>40</v>
      </c>
      <c r="K1892" s="33" t="s">
        <v>111</v>
      </c>
      <c r="L1892" s="31" t="s">
        <v>112</v>
      </c>
    </row>
    <row r="1893" spans="1:12">
      <c r="A1893" s="35"/>
      <c r="B1893" s="35"/>
      <c r="C1893" s="35"/>
      <c r="D1893" s="35"/>
      <c r="J1893" s="31">
        <v>41</v>
      </c>
      <c r="K1893" s="33" t="s">
        <v>113</v>
      </c>
      <c r="L1893" s="31" t="str">
        <f t="shared" ref="L1893:L1901" si="184">$L$43&amp;" "&amp;L1853</f>
        <v>Empat Puluh Satu</v>
      </c>
    </row>
    <row r="1894" spans="1:12">
      <c r="J1894" s="31">
        <v>42</v>
      </c>
      <c r="K1894" s="33" t="s">
        <v>114</v>
      </c>
      <c r="L1894" s="31" t="str">
        <f t="shared" si="184"/>
        <v>Empat Puluh Dua</v>
      </c>
    </row>
    <row r="1895" spans="1:12">
      <c r="A1895" s="38"/>
      <c r="J1895" s="31">
        <v>43</v>
      </c>
      <c r="K1895" s="33" t="s">
        <v>115</v>
      </c>
      <c r="L1895" s="31" t="str">
        <f t="shared" si="184"/>
        <v>Empat Puluh Tiga</v>
      </c>
    </row>
    <row r="1896" spans="1:12">
      <c r="J1896" s="31">
        <v>44</v>
      </c>
      <c r="K1896" s="33" t="s">
        <v>116</v>
      </c>
      <c r="L1896" s="31" t="str">
        <f t="shared" si="184"/>
        <v>Empat Puluh Empat</v>
      </c>
    </row>
    <row r="1897" spans="1:12">
      <c r="J1897" s="31">
        <v>45</v>
      </c>
      <c r="K1897" s="33" t="s">
        <v>117</v>
      </c>
      <c r="L1897" s="31" t="str">
        <f t="shared" si="184"/>
        <v>Empat Puluh Lima</v>
      </c>
    </row>
    <row r="1898" spans="1:12">
      <c r="J1898" s="31">
        <v>46</v>
      </c>
      <c r="K1898" s="33" t="s">
        <v>118</v>
      </c>
      <c r="L1898" s="31" t="str">
        <f t="shared" si="184"/>
        <v>Empat Puluh Enam</v>
      </c>
    </row>
    <row r="1899" spans="1:12">
      <c r="J1899" s="31">
        <v>47</v>
      </c>
      <c r="K1899" s="33" t="s">
        <v>119</v>
      </c>
      <c r="L1899" s="31" t="str">
        <f t="shared" si="184"/>
        <v>Empat Puluh Tujuh</v>
      </c>
    </row>
    <row r="1900" spans="1:12">
      <c r="J1900" s="31">
        <v>48</v>
      </c>
      <c r="K1900" s="33" t="s">
        <v>120</v>
      </c>
      <c r="L1900" s="31" t="str">
        <f t="shared" si="184"/>
        <v>Empat Puluh Delapan</v>
      </c>
    </row>
    <row r="1901" spans="1:12">
      <c r="J1901" s="31">
        <v>49</v>
      </c>
      <c r="K1901" s="33" t="s">
        <v>121</v>
      </c>
      <c r="L1901" s="31" t="str">
        <f t="shared" si="184"/>
        <v>Empat Puluh Sembilan</v>
      </c>
    </row>
    <row r="1902" spans="1:12">
      <c r="J1902" s="31">
        <v>50</v>
      </c>
      <c r="K1902" s="33" t="s">
        <v>122</v>
      </c>
      <c r="L1902" s="31" t="s">
        <v>123</v>
      </c>
    </row>
    <row r="1903" spans="1:12">
      <c r="J1903" s="31">
        <v>51</v>
      </c>
      <c r="K1903" s="33" t="s">
        <v>124</v>
      </c>
      <c r="L1903" s="31" t="str">
        <f t="shared" ref="L1903:L1911" si="185">$L$53&amp;" "&amp;L1853</f>
        <v>Lima Puluh Satu</v>
      </c>
    </row>
    <row r="1904" spans="1:12">
      <c r="J1904" s="31">
        <v>52</v>
      </c>
      <c r="K1904" s="33" t="s">
        <v>125</v>
      </c>
      <c r="L1904" s="31" t="str">
        <f t="shared" si="185"/>
        <v>Lima Puluh Dua</v>
      </c>
    </row>
    <row r="1905" spans="10:12">
      <c r="J1905" s="31">
        <v>53</v>
      </c>
      <c r="K1905" s="33" t="s">
        <v>126</v>
      </c>
      <c r="L1905" s="31" t="str">
        <f t="shared" si="185"/>
        <v>Lima Puluh Tiga</v>
      </c>
    </row>
    <row r="1906" spans="10:12">
      <c r="J1906" s="31">
        <v>54</v>
      </c>
      <c r="K1906" s="33" t="s">
        <v>127</v>
      </c>
      <c r="L1906" s="31" t="str">
        <f t="shared" si="185"/>
        <v>Lima Puluh Empat</v>
      </c>
    </row>
    <row r="1907" spans="10:12">
      <c r="J1907" s="31">
        <v>55</v>
      </c>
      <c r="K1907" s="33" t="s">
        <v>128</v>
      </c>
      <c r="L1907" s="31" t="str">
        <f t="shared" si="185"/>
        <v>Lima Puluh Lima</v>
      </c>
    </row>
    <row r="1908" spans="10:12">
      <c r="J1908" s="31">
        <v>56</v>
      </c>
      <c r="K1908" s="33" t="s">
        <v>129</v>
      </c>
      <c r="L1908" s="31" t="str">
        <f t="shared" si="185"/>
        <v>Lima Puluh Enam</v>
      </c>
    </row>
    <row r="1909" spans="10:12">
      <c r="J1909" s="31">
        <v>57</v>
      </c>
      <c r="K1909" s="33" t="s">
        <v>130</v>
      </c>
      <c r="L1909" s="31" t="str">
        <f t="shared" si="185"/>
        <v>Lima Puluh Tujuh</v>
      </c>
    </row>
    <row r="1910" spans="10:12">
      <c r="J1910" s="31">
        <v>58</v>
      </c>
      <c r="K1910" s="33" t="s">
        <v>131</v>
      </c>
      <c r="L1910" s="31" t="str">
        <f t="shared" si="185"/>
        <v>Lima Puluh Delapan</v>
      </c>
    </row>
    <row r="1911" spans="10:12">
      <c r="J1911" s="31">
        <v>59</v>
      </c>
      <c r="K1911" s="33" t="s">
        <v>132</v>
      </c>
      <c r="L1911" s="31" t="str">
        <f t="shared" si="185"/>
        <v>Lima Puluh Sembilan</v>
      </c>
    </row>
    <row r="1912" spans="10:12">
      <c r="J1912" s="31">
        <v>60</v>
      </c>
      <c r="K1912" s="33" t="s">
        <v>133</v>
      </c>
      <c r="L1912" s="31" t="s">
        <v>134</v>
      </c>
    </row>
    <row r="1913" spans="10:12">
      <c r="J1913" s="31">
        <v>61</v>
      </c>
      <c r="K1913" s="33" t="s">
        <v>135</v>
      </c>
      <c r="L1913" s="31" t="str">
        <f t="shared" ref="L1913:L1921" si="186">$L$63&amp;" "&amp;L1853</f>
        <v>Enam Puluh Satu</v>
      </c>
    </row>
    <row r="1914" spans="10:12">
      <c r="J1914" s="31">
        <v>62</v>
      </c>
      <c r="K1914" s="33" t="s">
        <v>136</v>
      </c>
      <c r="L1914" s="31" t="str">
        <f t="shared" si="186"/>
        <v>Enam Puluh Dua</v>
      </c>
    </row>
    <row r="1915" spans="10:12">
      <c r="J1915" s="31">
        <v>63</v>
      </c>
      <c r="K1915" s="33" t="s">
        <v>137</v>
      </c>
      <c r="L1915" s="31" t="str">
        <f t="shared" si="186"/>
        <v>Enam Puluh Tiga</v>
      </c>
    </row>
    <row r="1916" spans="10:12">
      <c r="J1916" s="31">
        <v>64</v>
      </c>
      <c r="K1916" s="33" t="s">
        <v>138</v>
      </c>
      <c r="L1916" s="31" t="str">
        <f t="shared" si="186"/>
        <v>Enam Puluh Empat</v>
      </c>
    </row>
    <row r="1917" spans="10:12">
      <c r="J1917" s="31">
        <v>65</v>
      </c>
      <c r="K1917" s="33" t="s">
        <v>139</v>
      </c>
      <c r="L1917" s="31" t="str">
        <f t="shared" si="186"/>
        <v>Enam Puluh Lima</v>
      </c>
    </row>
    <row r="1918" spans="10:12">
      <c r="J1918" s="31">
        <v>66</v>
      </c>
      <c r="K1918" s="33" t="s">
        <v>140</v>
      </c>
      <c r="L1918" s="31" t="str">
        <f t="shared" si="186"/>
        <v>Enam Puluh Enam</v>
      </c>
    </row>
    <row r="1919" spans="10:12">
      <c r="J1919" s="31">
        <v>67</v>
      </c>
      <c r="K1919" s="33" t="s">
        <v>141</v>
      </c>
      <c r="L1919" s="31" t="str">
        <f t="shared" si="186"/>
        <v>Enam Puluh Tujuh</v>
      </c>
    </row>
    <row r="1920" spans="10:12">
      <c r="J1920" s="31">
        <v>68</v>
      </c>
      <c r="K1920" s="33" t="s">
        <v>142</v>
      </c>
      <c r="L1920" s="31" t="str">
        <f t="shared" si="186"/>
        <v>Enam Puluh Delapan</v>
      </c>
    </row>
    <row r="1921" spans="10:12">
      <c r="J1921" s="31">
        <v>69</v>
      </c>
      <c r="K1921" s="33" t="s">
        <v>143</v>
      </c>
      <c r="L1921" s="31" t="str">
        <f t="shared" si="186"/>
        <v>Enam Puluh Sembilan</v>
      </c>
    </row>
    <row r="1922" spans="10:12">
      <c r="J1922" s="31">
        <v>70</v>
      </c>
      <c r="K1922" s="33" t="s">
        <v>144</v>
      </c>
      <c r="L1922" s="31" t="s">
        <v>145</v>
      </c>
    </row>
    <row r="1923" spans="10:12">
      <c r="J1923" s="31">
        <v>71</v>
      </c>
      <c r="K1923" s="33" t="s">
        <v>146</v>
      </c>
      <c r="L1923" s="31" t="str">
        <f t="shared" ref="L1923:L1931" si="187">$L$73&amp;" "&amp;L1853</f>
        <v>Tujuh Puluh Satu</v>
      </c>
    </row>
    <row r="1924" spans="10:12">
      <c r="J1924" s="31">
        <v>72</v>
      </c>
      <c r="K1924" s="33" t="s">
        <v>147</v>
      </c>
      <c r="L1924" s="31" t="str">
        <f t="shared" si="187"/>
        <v>Tujuh Puluh Dua</v>
      </c>
    </row>
    <row r="1925" spans="10:12">
      <c r="J1925" s="31">
        <v>73</v>
      </c>
      <c r="K1925" s="33" t="s">
        <v>148</v>
      </c>
      <c r="L1925" s="31" t="str">
        <f t="shared" si="187"/>
        <v>Tujuh Puluh Tiga</v>
      </c>
    </row>
    <row r="1926" spans="10:12">
      <c r="J1926" s="31">
        <v>74</v>
      </c>
      <c r="K1926" s="33" t="s">
        <v>149</v>
      </c>
      <c r="L1926" s="31" t="str">
        <f t="shared" si="187"/>
        <v>Tujuh Puluh Empat</v>
      </c>
    </row>
    <row r="1927" spans="10:12">
      <c r="J1927" s="31">
        <v>75</v>
      </c>
      <c r="K1927" s="33" t="s">
        <v>150</v>
      </c>
      <c r="L1927" s="31" t="str">
        <f t="shared" si="187"/>
        <v>Tujuh Puluh Lima</v>
      </c>
    </row>
    <row r="1928" spans="10:12">
      <c r="J1928" s="31">
        <v>76</v>
      </c>
      <c r="K1928" s="33" t="s">
        <v>151</v>
      </c>
      <c r="L1928" s="31" t="str">
        <f t="shared" si="187"/>
        <v>Tujuh Puluh Enam</v>
      </c>
    </row>
    <row r="1929" spans="10:12">
      <c r="J1929" s="31">
        <v>77</v>
      </c>
      <c r="K1929" s="33" t="s">
        <v>152</v>
      </c>
      <c r="L1929" s="31" t="str">
        <f t="shared" si="187"/>
        <v>Tujuh Puluh Tujuh</v>
      </c>
    </row>
    <row r="1930" spans="10:12">
      <c r="J1930" s="31">
        <v>78</v>
      </c>
      <c r="K1930" s="33" t="s">
        <v>153</v>
      </c>
      <c r="L1930" s="31" t="str">
        <f t="shared" si="187"/>
        <v>Tujuh Puluh Delapan</v>
      </c>
    </row>
    <row r="1931" spans="10:12">
      <c r="J1931" s="31">
        <v>79</v>
      </c>
      <c r="K1931" s="33" t="s">
        <v>154</v>
      </c>
      <c r="L1931" s="31" t="str">
        <f t="shared" si="187"/>
        <v>Tujuh Puluh Sembilan</v>
      </c>
    </row>
    <row r="1932" spans="10:12">
      <c r="J1932" s="31">
        <v>80</v>
      </c>
      <c r="K1932" s="33" t="s">
        <v>155</v>
      </c>
      <c r="L1932" s="31" t="s">
        <v>156</v>
      </c>
    </row>
    <row r="1933" spans="10:12">
      <c r="J1933" s="31">
        <v>81</v>
      </c>
      <c r="K1933" s="33" t="s">
        <v>157</v>
      </c>
      <c r="L1933" s="31" t="str">
        <f t="shared" ref="L1933:L1941" si="188">$L$83&amp;" "&amp;L1853</f>
        <v>Delapan Puluh Satu</v>
      </c>
    </row>
    <row r="1934" spans="10:12">
      <c r="J1934" s="31">
        <v>82</v>
      </c>
      <c r="K1934" s="33" t="s">
        <v>158</v>
      </c>
      <c r="L1934" s="31" t="str">
        <f t="shared" si="188"/>
        <v>Delapan Puluh Dua</v>
      </c>
    </row>
    <row r="1935" spans="10:12">
      <c r="J1935" s="31">
        <v>83</v>
      </c>
      <c r="K1935" s="33" t="s">
        <v>159</v>
      </c>
      <c r="L1935" s="31" t="str">
        <f t="shared" si="188"/>
        <v>Delapan Puluh Tiga</v>
      </c>
    </row>
    <row r="1936" spans="10:12">
      <c r="J1936" s="31">
        <v>84</v>
      </c>
      <c r="K1936" s="33" t="s">
        <v>160</v>
      </c>
      <c r="L1936" s="31" t="str">
        <f t="shared" si="188"/>
        <v>Delapan Puluh Empat</v>
      </c>
    </row>
    <row r="1937" spans="10:12">
      <c r="J1937" s="31">
        <v>85</v>
      </c>
      <c r="K1937" s="33" t="s">
        <v>161</v>
      </c>
      <c r="L1937" s="31" t="str">
        <f t="shared" si="188"/>
        <v>Delapan Puluh Lima</v>
      </c>
    </row>
    <row r="1938" spans="10:12">
      <c r="J1938" s="31">
        <v>86</v>
      </c>
      <c r="K1938" s="33" t="s">
        <v>162</v>
      </c>
      <c r="L1938" s="31" t="str">
        <f t="shared" si="188"/>
        <v>Delapan Puluh Enam</v>
      </c>
    </row>
    <row r="1939" spans="10:12">
      <c r="J1939" s="31">
        <v>87</v>
      </c>
      <c r="K1939" s="33" t="s">
        <v>163</v>
      </c>
      <c r="L1939" s="31" t="str">
        <f t="shared" si="188"/>
        <v>Delapan Puluh Tujuh</v>
      </c>
    </row>
    <row r="1940" spans="10:12">
      <c r="J1940" s="31">
        <v>88</v>
      </c>
      <c r="K1940" s="33" t="s">
        <v>164</v>
      </c>
      <c r="L1940" s="31" t="str">
        <f t="shared" si="188"/>
        <v>Delapan Puluh Delapan</v>
      </c>
    </row>
    <row r="1941" spans="10:12">
      <c r="J1941" s="31">
        <v>89</v>
      </c>
      <c r="K1941" s="33" t="s">
        <v>165</v>
      </c>
      <c r="L1941" s="31" t="str">
        <f t="shared" si="188"/>
        <v>Delapan Puluh Sembilan</v>
      </c>
    </row>
    <row r="1942" spans="10:12">
      <c r="J1942" s="31">
        <v>90</v>
      </c>
      <c r="K1942" s="33" t="s">
        <v>166</v>
      </c>
      <c r="L1942" s="31" t="s">
        <v>167</v>
      </c>
    </row>
    <row r="1943" spans="10:12">
      <c r="J1943" s="31">
        <v>91</v>
      </c>
      <c r="K1943" s="33" t="s">
        <v>168</v>
      </c>
      <c r="L1943" s="31" t="str">
        <f t="shared" ref="L1943:L1951" si="189">$L$93&amp;" "&amp;L1853</f>
        <v>Sembilan Puluh Satu</v>
      </c>
    </row>
    <row r="1944" spans="10:12">
      <c r="J1944" s="31">
        <v>92</v>
      </c>
      <c r="K1944" s="33" t="s">
        <v>169</v>
      </c>
      <c r="L1944" s="31" t="str">
        <f t="shared" si="189"/>
        <v>Sembilan Puluh Dua</v>
      </c>
    </row>
    <row r="1945" spans="10:12">
      <c r="J1945" s="31">
        <v>93</v>
      </c>
      <c r="K1945" s="33" t="s">
        <v>170</v>
      </c>
      <c r="L1945" s="31" t="str">
        <f t="shared" si="189"/>
        <v>Sembilan Puluh Tiga</v>
      </c>
    </row>
    <row r="1946" spans="10:12">
      <c r="J1946" s="31">
        <v>94</v>
      </c>
      <c r="K1946" s="33" t="s">
        <v>171</v>
      </c>
      <c r="L1946" s="31" t="str">
        <f t="shared" si="189"/>
        <v>Sembilan Puluh Empat</v>
      </c>
    </row>
    <row r="1947" spans="10:12">
      <c r="J1947" s="31">
        <v>95</v>
      </c>
      <c r="K1947" s="33" t="s">
        <v>172</v>
      </c>
      <c r="L1947" s="31" t="str">
        <f t="shared" si="189"/>
        <v>Sembilan Puluh Lima</v>
      </c>
    </row>
    <row r="1948" spans="10:12">
      <c r="J1948" s="31">
        <v>96</v>
      </c>
      <c r="K1948" s="33" t="s">
        <v>173</v>
      </c>
      <c r="L1948" s="31" t="str">
        <f t="shared" si="189"/>
        <v>Sembilan Puluh Enam</v>
      </c>
    </row>
    <row r="1949" spans="10:12">
      <c r="J1949" s="31">
        <v>97</v>
      </c>
      <c r="K1949" s="33" t="s">
        <v>174</v>
      </c>
      <c r="L1949" s="31" t="str">
        <f t="shared" si="189"/>
        <v>Sembilan Puluh Tujuh</v>
      </c>
    </row>
    <row r="1950" spans="10:12">
      <c r="J1950" s="31">
        <v>98</v>
      </c>
      <c r="K1950" s="33" t="s">
        <v>175</v>
      </c>
      <c r="L1950" s="31" t="str">
        <f t="shared" si="189"/>
        <v>Sembilan Puluh Delapan</v>
      </c>
    </row>
    <row r="1951" spans="10:12">
      <c r="J1951" s="31">
        <v>99</v>
      </c>
      <c r="K1951" s="33" t="s">
        <v>176</v>
      </c>
      <c r="L1951" s="31" t="str">
        <f t="shared" si="189"/>
        <v>Sembilan Puluh Sembilan</v>
      </c>
    </row>
    <row r="1953" spans="1:12">
      <c r="A1953" s="30" t="e">
        <f>#REF!</f>
        <v>#REF!</v>
      </c>
      <c r="C1953" s="31" t="s">
        <v>292</v>
      </c>
    </row>
    <row r="1954" spans="1:12">
      <c r="A1954" s="32"/>
    </row>
    <row r="1955" spans="1:12">
      <c r="J1955" s="31">
        <v>0</v>
      </c>
      <c r="K1955" s="33" t="s">
        <v>48</v>
      </c>
      <c r="L1955" s="31" t="s">
        <v>49</v>
      </c>
    </row>
    <row r="1956" spans="1:12">
      <c r="A1956" s="34"/>
      <c r="J1956" s="31">
        <v>1</v>
      </c>
      <c r="K1956" s="33" t="s">
        <v>50</v>
      </c>
      <c r="L1956" s="31" t="s">
        <v>51</v>
      </c>
    </row>
    <row r="1957" spans="1:12">
      <c r="A1957" s="255" t="e">
        <f>TRIM(D1965&amp;E1965&amp;D1966&amp;E1966&amp;D1967&amp;E1967&amp;D1968&amp;E1968&amp;D1969&amp;E1969&amp;D1970&amp;E1970&amp;E1971&amp;D1971&amp;" Only")</f>
        <v>#REF!</v>
      </c>
      <c r="B1957" s="255"/>
      <c r="C1957" s="255"/>
      <c r="D1957" s="255"/>
      <c r="E1957" s="35"/>
      <c r="F1957" s="36"/>
      <c r="J1957" s="31">
        <v>2</v>
      </c>
      <c r="K1957" s="33" t="s">
        <v>52</v>
      </c>
      <c r="L1957" s="31" t="s">
        <v>53</v>
      </c>
    </row>
    <row r="1958" spans="1:12">
      <c r="A1958" s="37"/>
      <c r="B1958" s="37"/>
      <c r="C1958" s="37"/>
      <c r="D1958" s="37"/>
      <c r="E1958" s="35"/>
      <c r="F1958" s="36"/>
      <c r="J1958" s="31">
        <v>3</v>
      </c>
      <c r="K1958" s="33" t="s">
        <v>54</v>
      </c>
      <c r="L1958" s="31" t="s">
        <v>55</v>
      </c>
    </row>
    <row r="1959" spans="1:12">
      <c r="A1959" s="37"/>
      <c r="B1959" s="37"/>
      <c r="C1959" s="37"/>
      <c r="D1959" s="37"/>
      <c r="J1959" s="31">
        <v>4</v>
      </c>
      <c r="K1959" s="33" t="s">
        <v>56</v>
      </c>
      <c r="L1959" s="31" t="s">
        <v>57</v>
      </c>
    </row>
    <row r="1960" spans="1:12">
      <c r="A1960" s="255" t="e">
        <f>TRIM(D1975&amp;E1975&amp;D1976&amp;E1976&amp;D1977&amp;E1977&amp;D1978&amp;E1978&amp;D1979&amp;E1979&amp;D1980&amp;E1980&amp;D1981&amp;E1981&amp;" Rupiah")</f>
        <v>#REF!</v>
      </c>
      <c r="B1960" s="255"/>
      <c r="C1960" s="255"/>
      <c r="D1960" s="255"/>
      <c r="E1960" s="35"/>
      <c r="F1960" s="36"/>
      <c r="J1960" s="31">
        <v>5</v>
      </c>
      <c r="K1960" s="33" t="s">
        <v>58</v>
      </c>
      <c r="L1960" s="31" t="s">
        <v>59</v>
      </c>
    </row>
    <row r="1961" spans="1:12">
      <c r="A1961" s="35"/>
      <c r="B1961" s="35"/>
      <c r="C1961" s="35"/>
      <c r="D1961" s="35"/>
      <c r="E1961" s="35"/>
      <c r="F1961" s="36"/>
      <c r="J1961" s="31">
        <v>6</v>
      </c>
      <c r="K1961" s="33" t="s">
        <v>60</v>
      </c>
      <c r="L1961" s="31" t="s">
        <v>61</v>
      </c>
    </row>
    <row r="1962" spans="1:12">
      <c r="J1962" s="31">
        <v>7</v>
      </c>
      <c r="K1962" s="33" t="s">
        <v>62</v>
      </c>
      <c r="L1962" s="31" t="s">
        <v>63</v>
      </c>
    </row>
    <row r="1963" spans="1:12">
      <c r="J1963" s="31">
        <v>8</v>
      </c>
      <c r="K1963" s="33" t="s">
        <v>64</v>
      </c>
      <c r="L1963" s="31" t="s">
        <v>65</v>
      </c>
    </row>
    <row r="1964" spans="1:12">
      <c r="A1964" s="38" t="s">
        <v>66</v>
      </c>
      <c r="J1964" s="31">
        <v>9</v>
      </c>
      <c r="K1964" s="33" t="s">
        <v>67</v>
      </c>
      <c r="L1964" s="31" t="s">
        <v>68</v>
      </c>
    </row>
    <row r="1965" spans="1:12">
      <c r="A1965" s="31" t="s">
        <v>69</v>
      </c>
      <c r="B1965" s="39" t="e">
        <f>TRUNC(A1953/100000000)</f>
        <v>#REF!</v>
      </c>
      <c r="C1965" s="31" t="e">
        <f>B1965*100000000</f>
        <v>#REF!</v>
      </c>
      <c r="D1965" s="31" t="e">
        <f t="shared" ref="D1965:D1971" si="190">IF(B1965&lt;1,"",VLOOKUP(B1965,$J$3:$K$102,2))</f>
        <v>#REF!</v>
      </c>
      <c r="E1965" s="31" t="e">
        <f>IF(B1965&lt;1,"",IF(B1965&gt;1," Hundreds "," Hundred "))</f>
        <v>#REF!</v>
      </c>
      <c r="J1965" s="31">
        <v>10</v>
      </c>
      <c r="K1965" s="33" t="s">
        <v>70</v>
      </c>
      <c r="L1965" s="31" t="s">
        <v>71</v>
      </c>
    </row>
    <row r="1966" spans="1:12">
      <c r="A1966" s="31" t="s">
        <v>72</v>
      </c>
      <c r="B1966" s="39" t="e">
        <f>TRUNC((A1953-C1965)/1000000)</f>
        <v>#REF!</v>
      </c>
      <c r="C1966" s="31" t="e">
        <f>B1966*1000000</f>
        <v>#REF!</v>
      </c>
      <c r="D1966" s="31" t="e">
        <f t="shared" si="190"/>
        <v>#REF!</v>
      </c>
      <c r="E1966" s="31" t="e">
        <f>IF(B1965+B1966=0,"",IF(B1966=1," Million "," Millions "))</f>
        <v>#REF!</v>
      </c>
      <c r="J1966" s="31">
        <v>11</v>
      </c>
      <c r="K1966" s="33" t="s">
        <v>73</v>
      </c>
      <c r="L1966" s="31" t="s">
        <v>74</v>
      </c>
    </row>
    <row r="1967" spans="1:12">
      <c r="A1967" s="31" t="s">
        <v>75</v>
      </c>
      <c r="B1967" s="39" t="e">
        <f>TRUNC((A1953-SUM(C1965:C1966))/100000)</f>
        <v>#REF!</v>
      </c>
      <c r="C1967" s="31" t="e">
        <f>B1967*100000</f>
        <v>#REF!</v>
      </c>
      <c r="D1967" s="31" t="e">
        <f t="shared" si="190"/>
        <v>#REF!</v>
      </c>
      <c r="E1967" s="31" t="e">
        <f>IF(B1967&lt;1,"",IF(B1967&gt;1," Hundreds "," Hundred "))</f>
        <v>#REF!</v>
      </c>
      <c r="J1967" s="31">
        <v>12</v>
      </c>
      <c r="K1967" s="33" t="s">
        <v>76</v>
      </c>
      <c r="L1967" s="31" t="str">
        <f t="shared" ref="L1967:L1974" si="191">L1957&amp;" Belas"</f>
        <v>Dua Belas</v>
      </c>
    </row>
    <row r="1968" spans="1:12">
      <c r="A1968" s="33" t="s">
        <v>77</v>
      </c>
      <c r="B1968" s="40" t="e">
        <f>TRUNC((A1953-SUM(C1965:C1967))/1000)</f>
        <v>#REF!</v>
      </c>
      <c r="C1968" s="31" t="e">
        <f>B1968*1000</f>
        <v>#REF!</v>
      </c>
      <c r="D1968" s="31" t="e">
        <f t="shared" si="190"/>
        <v>#REF!</v>
      </c>
      <c r="E1968" s="31" t="e">
        <f>IF(B1967+B1968=0,"",IF(B1968=1," Thousand "," Thousands "))</f>
        <v>#REF!</v>
      </c>
      <c r="J1968" s="31">
        <v>13</v>
      </c>
      <c r="K1968" s="33" t="s">
        <v>78</v>
      </c>
      <c r="L1968" s="31" t="str">
        <f t="shared" si="191"/>
        <v>Tiga Belas</v>
      </c>
    </row>
    <row r="1969" spans="1:12">
      <c r="A1969" s="33" t="s">
        <v>79</v>
      </c>
      <c r="B1969" s="40" t="e">
        <f>TRUNC((A1953-SUM(C1965:C1968))/100)</f>
        <v>#REF!</v>
      </c>
      <c r="C1969" s="31" t="e">
        <f>B1969*100</f>
        <v>#REF!</v>
      </c>
      <c r="D1969" s="31" t="e">
        <f t="shared" si="190"/>
        <v>#REF!</v>
      </c>
      <c r="E1969" s="31" t="e">
        <f>IF(B1969&lt;1,"",IF(B1969&gt;1," Hundreds "," Hundred "))</f>
        <v>#REF!</v>
      </c>
      <c r="J1969" s="31">
        <v>14</v>
      </c>
      <c r="K1969" s="33" t="s">
        <v>80</v>
      </c>
      <c r="L1969" s="31" t="str">
        <f t="shared" si="191"/>
        <v>Empat Belas</v>
      </c>
    </row>
    <row r="1970" spans="1:12">
      <c r="A1970" s="33" t="s">
        <v>81</v>
      </c>
      <c r="B1970" s="41" t="e">
        <f>TRUNC((A1953-SUM(C1965:C1969)))</f>
        <v>#REF!</v>
      </c>
      <c r="C1970" s="42" t="e">
        <f>B1970</f>
        <v>#REF!</v>
      </c>
      <c r="D1970" s="31" t="e">
        <f t="shared" si="190"/>
        <v>#REF!</v>
      </c>
      <c r="E1970" s="31" t="e">
        <f>IF(SUM(C1965:C1970)&lt;1,"",IF(B1971&lt;1,""," And "))</f>
        <v>#REF!</v>
      </c>
      <c r="J1970" s="31">
        <v>15</v>
      </c>
      <c r="K1970" s="33" t="s">
        <v>82</v>
      </c>
      <c r="L1970" s="31" t="str">
        <f t="shared" si="191"/>
        <v>Lima Belas</v>
      </c>
    </row>
    <row r="1971" spans="1:12">
      <c r="A1971" s="33" t="s">
        <v>83</v>
      </c>
      <c r="B1971" s="40" t="e">
        <f>ROUND(A1953-SUM(C1965:C1970),2)*100</f>
        <v>#REF!</v>
      </c>
      <c r="D1971" s="43" t="e">
        <f t="shared" si="190"/>
        <v>#REF!</v>
      </c>
      <c r="E1971" s="31" t="e">
        <f>IF(B1971&lt;1,"",IF(B1971=1," Cent "," Cents "))</f>
        <v>#REF!</v>
      </c>
      <c r="J1971" s="31">
        <v>16</v>
      </c>
      <c r="K1971" s="33" t="s">
        <v>84</v>
      </c>
      <c r="L1971" s="31" t="str">
        <f t="shared" si="191"/>
        <v>Enam Belas</v>
      </c>
    </row>
    <row r="1972" spans="1:12">
      <c r="J1972" s="31">
        <v>17</v>
      </c>
      <c r="K1972" s="33" t="s">
        <v>85</v>
      </c>
      <c r="L1972" s="31" t="str">
        <f t="shared" si="191"/>
        <v>Tujuh Belas</v>
      </c>
    </row>
    <row r="1973" spans="1:12">
      <c r="A1973" s="44"/>
      <c r="J1973" s="31">
        <v>18</v>
      </c>
      <c r="K1973" s="33" t="s">
        <v>86</v>
      </c>
      <c r="L1973" s="31" t="str">
        <f t="shared" si="191"/>
        <v>Delapan Belas</v>
      </c>
    </row>
    <row r="1974" spans="1:12">
      <c r="A1974" s="38" t="s">
        <v>87</v>
      </c>
      <c r="J1974" s="31">
        <v>19</v>
      </c>
      <c r="K1974" s="33" t="s">
        <v>88</v>
      </c>
      <c r="L1974" s="31" t="str">
        <f t="shared" si="191"/>
        <v>Sembilan Belas</v>
      </c>
    </row>
    <row r="1975" spans="1:12">
      <c r="A1975" s="31" t="s">
        <v>69</v>
      </c>
      <c r="B1975" s="39" t="e">
        <f>TRUNC(A1953/100000000)</f>
        <v>#REF!</v>
      </c>
      <c r="C1975" s="31" t="e">
        <f>B1975*100000000</f>
        <v>#REF!</v>
      </c>
      <c r="D1975" s="31" t="e">
        <f>IF(B1975&lt;1,"",IF(B1975=1,"",VLOOKUP(B1975,$J$3:$L$102,3)))</f>
        <v>#REF!</v>
      </c>
      <c r="E1975" s="31" t="e">
        <f>IF(B1975&lt;1,"",IF(B1975=1,"Seratus "," Ratus "))</f>
        <v>#REF!</v>
      </c>
      <c r="J1975" s="31">
        <v>20</v>
      </c>
      <c r="K1975" s="33" t="s">
        <v>89</v>
      </c>
      <c r="L1975" s="31" t="s">
        <v>90</v>
      </c>
    </row>
    <row r="1976" spans="1:12">
      <c r="A1976" s="31" t="s">
        <v>72</v>
      </c>
      <c r="B1976" s="39" t="e">
        <f>TRUNC((A1953-C1975)/1000000)</f>
        <v>#REF!</v>
      </c>
      <c r="C1976" s="31" t="e">
        <f>B1976*1000000</f>
        <v>#REF!</v>
      </c>
      <c r="D1976" s="31" t="e">
        <f>IF(B1976&lt;1,"",VLOOKUP(B1976,$J$3:$L$102,3))</f>
        <v>#REF!</v>
      </c>
      <c r="E1976" s="31" t="e">
        <f>IF(B1975+B1976=0,""," Juta ")</f>
        <v>#REF!</v>
      </c>
      <c r="J1976" s="31">
        <v>21</v>
      </c>
      <c r="K1976" s="33" t="s">
        <v>91</v>
      </c>
      <c r="L1976" s="31" t="str">
        <f t="shared" ref="L1976:L1984" si="192">$L$23&amp;" "&amp;L1956</f>
        <v>Dua Puluh Satu</v>
      </c>
    </row>
    <row r="1977" spans="1:12">
      <c r="A1977" s="31" t="s">
        <v>75</v>
      </c>
      <c r="B1977" s="39" t="e">
        <f>TRUNC((A1953-SUM(C1975:C1976))/100000)</f>
        <v>#REF!</v>
      </c>
      <c r="C1977" s="31" t="e">
        <f>B1977*100000</f>
        <v>#REF!</v>
      </c>
      <c r="D1977" s="31" t="e">
        <f>IF(B1977&lt;1,"",IF(B1977=1,"",VLOOKUP(B1977,$J$3:$L$102,3)))</f>
        <v>#REF!</v>
      </c>
      <c r="E1977" s="31" t="e">
        <f>IF(B1977&lt;1,"",IF(B1977=1," Seratus "," Ratus "))</f>
        <v>#REF!</v>
      </c>
      <c r="J1977" s="31">
        <v>22</v>
      </c>
      <c r="K1977" s="33" t="s">
        <v>92</v>
      </c>
      <c r="L1977" s="31" t="str">
        <f t="shared" si="192"/>
        <v>Dua Puluh Dua</v>
      </c>
    </row>
    <row r="1978" spans="1:12">
      <c r="A1978" s="33" t="s">
        <v>77</v>
      </c>
      <c r="B1978" s="40" t="e">
        <f>TRUNC((A1953-SUM(C1975:C1977))/1000)</f>
        <v>#REF!</v>
      </c>
      <c r="C1978" s="31" t="e">
        <f>B1978*1000</f>
        <v>#REF!</v>
      </c>
      <c r="D1978" s="31" t="e">
        <f>IF(B1978&lt;1,"",IF(B1978=1,"",VLOOKUP(B1978,$J$3:$L$102,3)))</f>
        <v>#REF!</v>
      </c>
      <c r="E1978" s="31" t="e">
        <f>IF(B1977+B1978&lt;1,"",IF(B1978=1," Seribu "," Ribu "))</f>
        <v>#REF!</v>
      </c>
      <c r="J1978" s="31">
        <v>23</v>
      </c>
      <c r="K1978" s="33" t="s">
        <v>93</v>
      </c>
      <c r="L1978" s="31" t="str">
        <f t="shared" si="192"/>
        <v>Dua Puluh Tiga</v>
      </c>
    </row>
    <row r="1979" spans="1:12">
      <c r="A1979" s="33" t="s">
        <v>79</v>
      </c>
      <c r="B1979" s="40" t="e">
        <f>TRUNC((A1953-SUM(C1975:C1978))/100)</f>
        <v>#REF!</v>
      </c>
      <c r="C1979" s="31" t="e">
        <f>B1979*100</f>
        <v>#REF!</v>
      </c>
      <c r="D1979" s="31" t="e">
        <f>IF(B1979&lt;1,"",IF(B1979=1,"",VLOOKUP(B1979,$J$3:$L$102,3)))</f>
        <v>#REF!</v>
      </c>
      <c r="E1979" s="31" t="e">
        <f>IF(B1979&lt;1,"",IF(B1979=1," Seratus "," Ratus "))</f>
        <v>#REF!</v>
      </c>
      <c r="J1979" s="31">
        <v>24</v>
      </c>
      <c r="K1979" s="33" t="s">
        <v>94</v>
      </c>
      <c r="L1979" s="31" t="str">
        <f t="shared" si="192"/>
        <v>Dua Puluh Empat</v>
      </c>
    </row>
    <row r="1980" spans="1:12">
      <c r="A1980" s="33" t="s">
        <v>81</v>
      </c>
      <c r="B1980" s="41" t="e">
        <f>TRUNC((A1953-SUM(C1975:C1979)))</f>
        <v>#REF!</v>
      </c>
      <c r="C1980" s="42" t="e">
        <f>B1980</f>
        <v>#REF!</v>
      </c>
      <c r="D1980" s="31" t="e">
        <f>IF(B1980&lt;1,"",VLOOKUP(B1980,$J$3:$L$102,3))</f>
        <v>#REF!</v>
      </c>
      <c r="E1980" s="31" t="e">
        <f>IF(SUM(C1975:C1980)&lt;1,"",IF(B1981&lt;1,""," Dan "))</f>
        <v>#REF!</v>
      </c>
      <c r="J1980" s="31">
        <v>25</v>
      </c>
      <c r="K1980" s="33" t="s">
        <v>95</v>
      </c>
      <c r="L1980" s="31" t="str">
        <f t="shared" si="192"/>
        <v>Dua Puluh Lima</v>
      </c>
    </row>
    <row r="1981" spans="1:12">
      <c r="A1981" s="33" t="s">
        <v>83</v>
      </c>
      <c r="B1981" s="40" t="e">
        <f>ROUND(A1953-SUM(C1975:C1980),2)*100</f>
        <v>#REF!</v>
      </c>
      <c r="D1981" s="31" t="e">
        <f>IF(B1981&lt;1,"",VLOOKUP(B1981,$J$3:$L$102,3))</f>
        <v>#REF!</v>
      </c>
      <c r="E1981" s="31" t="e">
        <f>IF(B1981&lt;1,""," Sen ")</f>
        <v>#REF!</v>
      </c>
      <c r="J1981" s="31">
        <v>26</v>
      </c>
      <c r="K1981" s="33" t="s">
        <v>96</v>
      </c>
      <c r="L1981" s="31" t="str">
        <f t="shared" si="192"/>
        <v>Dua Puluh Enam</v>
      </c>
    </row>
    <row r="1982" spans="1:12">
      <c r="J1982" s="31">
        <v>27</v>
      </c>
      <c r="K1982" s="33" t="s">
        <v>97</v>
      </c>
      <c r="L1982" s="31" t="str">
        <f t="shared" si="192"/>
        <v>Dua Puluh Tujuh</v>
      </c>
    </row>
    <row r="1983" spans="1:12">
      <c r="J1983" s="31">
        <v>28</v>
      </c>
      <c r="K1983" s="33" t="s">
        <v>98</v>
      </c>
      <c r="L1983" s="31" t="str">
        <f t="shared" si="192"/>
        <v>Dua Puluh Delapan</v>
      </c>
    </row>
    <row r="1984" spans="1:12">
      <c r="J1984" s="31">
        <v>29</v>
      </c>
      <c r="K1984" s="33" t="s">
        <v>99</v>
      </c>
      <c r="L1984" s="31" t="str">
        <f t="shared" si="192"/>
        <v>Dua Puluh Sembilan</v>
      </c>
    </row>
    <row r="1985" spans="1:12">
      <c r="J1985" s="31">
        <v>30</v>
      </c>
      <c r="K1985" s="33" t="s">
        <v>100</v>
      </c>
      <c r="L1985" s="31" t="s">
        <v>101</v>
      </c>
    </row>
    <row r="1986" spans="1:12">
      <c r="J1986" s="31">
        <v>31</v>
      </c>
      <c r="K1986" s="33" t="s">
        <v>102</v>
      </c>
      <c r="L1986" s="31" t="str">
        <f t="shared" ref="L1986:L1994" si="193">$L$33&amp;" "&amp;L1956</f>
        <v>Tiga Puluh Satu</v>
      </c>
    </row>
    <row r="1987" spans="1:12">
      <c r="J1987" s="31">
        <v>32</v>
      </c>
      <c r="K1987" s="33" t="s">
        <v>103</v>
      </c>
      <c r="L1987" s="31" t="str">
        <f t="shared" si="193"/>
        <v>Tiga Puluh Dua</v>
      </c>
    </row>
    <row r="1988" spans="1:12">
      <c r="J1988" s="31">
        <v>33</v>
      </c>
      <c r="K1988" s="33" t="s">
        <v>104</v>
      </c>
      <c r="L1988" s="31" t="str">
        <f t="shared" si="193"/>
        <v>Tiga Puluh Tiga</v>
      </c>
    </row>
    <row r="1989" spans="1:12">
      <c r="J1989" s="31">
        <v>34</v>
      </c>
      <c r="K1989" s="33" t="s">
        <v>105</v>
      </c>
      <c r="L1989" s="31" t="str">
        <f t="shared" si="193"/>
        <v>Tiga Puluh Empat</v>
      </c>
    </row>
    <row r="1990" spans="1:12">
      <c r="J1990" s="31">
        <v>35</v>
      </c>
      <c r="K1990" s="33" t="s">
        <v>106</v>
      </c>
      <c r="L1990" s="31" t="str">
        <f t="shared" si="193"/>
        <v>Tiga Puluh Lima</v>
      </c>
    </row>
    <row r="1991" spans="1:12">
      <c r="J1991" s="31">
        <v>36</v>
      </c>
      <c r="K1991" s="33" t="s">
        <v>107</v>
      </c>
      <c r="L1991" s="31" t="str">
        <f t="shared" si="193"/>
        <v>Tiga Puluh Enam</v>
      </c>
    </row>
    <row r="1992" spans="1:12">
      <c r="J1992" s="31">
        <v>37</v>
      </c>
      <c r="K1992" s="33" t="s">
        <v>108</v>
      </c>
      <c r="L1992" s="31" t="str">
        <f t="shared" si="193"/>
        <v>Tiga Puluh Tujuh</v>
      </c>
    </row>
    <row r="1993" spans="1:12">
      <c r="J1993" s="31">
        <v>38</v>
      </c>
      <c r="K1993" s="33" t="s">
        <v>109</v>
      </c>
      <c r="L1993" s="31" t="str">
        <f t="shared" si="193"/>
        <v>Tiga Puluh Delapan</v>
      </c>
    </row>
    <row r="1994" spans="1:12">
      <c r="J1994" s="31">
        <v>39</v>
      </c>
      <c r="K1994" s="33" t="s">
        <v>110</v>
      </c>
      <c r="L1994" s="31" t="str">
        <f t="shared" si="193"/>
        <v>Tiga Puluh Sembilan</v>
      </c>
    </row>
    <row r="1995" spans="1:12">
      <c r="B1995" s="35"/>
      <c r="C1995" s="35"/>
      <c r="D1995" s="35"/>
      <c r="J1995" s="31">
        <v>40</v>
      </c>
      <c r="K1995" s="33" t="s">
        <v>111</v>
      </c>
      <c r="L1995" s="31" t="s">
        <v>112</v>
      </c>
    </row>
    <row r="1996" spans="1:12">
      <c r="A1996" s="35"/>
      <c r="B1996" s="35"/>
      <c r="C1996" s="35"/>
      <c r="D1996" s="35"/>
      <c r="J1996" s="31">
        <v>41</v>
      </c>
      <c r="K1996" s="33" t="s">
        <v>113</v>
      </c>
      <c r="L1996" s="31" t="str">
        <f t="shared" ref="L1996:L2004" si="194">$L$43&amp;" "&amp;L1956</f>
        <v>Empat Puluh Satu</v>
      </c>
    </row>
    <row r="1997" spans="1:12">
      <c r="J1997" s="31">
        <v>42</v>
      </c>
      <c r="K1997" s="33" t="s">
        <v>114</v>
      </c>
      <c r="L1997" s="31" t="str">
        <f t="shared" si="194"/>
        <v>Empat Puluh Dua</v>
      </c>
    </row>
    <row r="1998" spans="1:12">
      <c r="A1998" s="38"/>
      <c r="J1998" s="31">
        <v>43</v>
      </c>
      <c r="K1998" s="33" t="s">
        <v>115</v>
      </c>
      <c r="L1998" s="31" t="str">
        <f t="shared" si="194"/>
        <v>Empat Puluh Tiga</v>
      </c>
    </row>
    <row r="1999" spans="1:12">
      <c r="J1999" s="31">
        <v>44</v>
      </c>
      <c r="K1999" s="33" t="s">
        <v>116</v>
      </c>
      <c r="L1999" s="31" t="str">
        <f t="shared" si="194"/>
        <v>Empat Puluh Empat</v>
      </c>
    </row>
    <row r="2000" spans="1:12">
      <c r="J2000" s="31">
        <v>45</v>
      </c>
      <c r="K2000" s="33" t="s">
        <v>117</v>
      </c>
      <c r="L2000" s="31" t="str">
        <f t="shared" si="194"/>
        <v>Empat Puluh Lima</v>
      </c>
    </row>
    <row r="2001" spans="10:12">
      <c r="J2001" s="31">
        <v>46</v>
      </c>
      <c r="K2001" s="33" t="s">
        <v>118</v>
      </c>
      <c r="L2001" s="31" t="str">
        <f t="shared" si="194"/>
        <v>Empat Puluh Enam</v>
      </c>
    </row>
    <row r="2002" spans="10:12">
      <c r="J2002" s="31">
        <v>47</v>
      </c>
      <c r="K2002" s="33" t="s">
        <v>119</v>
      </c>
      <c r="L2002" s="31" t="str">
        <f t="shared" si="194"/>
        <v>Empat Puluh Tujuh</v>
      </c>
    </row>
    <row r="2003" spans="10:12">
      <c r="J2003" s="31">
        <v>48</v>
      </c>
      <c r="K2003" s="33" t="s">
        <v>120</v>
      </c>
      <c r="L2003" s="31" t="str">
        <f t="shared" si="194"/>
        <v>Empat Puluh Delapan</v>
      </c>
    </row>
    <row r="2004" spans="10:12">
      <c r="J2004" s="31">
        <v>49</v>
      </c>
      <c r="K2004" s="33" t="s">
        <v>121</v>
      </c>
      <c r="L2004" s="31" t="str">
        <f t="shared" si="194"/>
        <v>Empat Puluh Sembilan</v>
      </c>
    </row>
    <row r="2005" spans="10:12">
      <c r="J2005" s="31">
        <v>50</v>
      </c>
      <c r="K2005" s="33" t="s">
        <v>122</v>
      </c>
      <c r="L2005" s="31" t="s">
        <v>123</v>
      </c>
    </row>
    <row r="2006" spans="10:12">
      <c r="J2006" s="31">
        <v>51</v>
      </c>
      <c r="K2006" s="33" t="s">
        <v>124</v>
      </c>
      <c r="L2006" s="31" t="str">
        <f t="shared" ref="L2006:L2014" si="195">$L$53&amp;" "&amp;L1956</f>
        <v>Lima Puluh Satu</v>
      </c>
    </row>
    <row r="2007" spans="10:12">
      <c r="J2007" s="31">
        <v>52</v>
      </c>
      <c r="K2007" s="33" t="s">
        <v>125</v>
      </c>
      <c r="L2007" s="31" t="str">
        <f t="shared" si="195"/>
        <v>Lima Puluh Dua</v>
      </c>
    </row>
    <row r="2008" spans="10:12">
      <c r="J2008" s="31">
        <v>53</v>
      </c>
      <c r="K2008" s="33" t="s">
        <v>126</v>
      </c>
      <c r="L2008" s="31" t="str">
        <f t="shared" si="195"/>
        <v>Lima Puluh Tiga</v>
      </c>
    </row>
    <row r="2009" spans="10:12">
      <c r="J2009" s="31">
        <v>54</v>
      </c>
      <c r="K2009" s="33" t="s">
        <v>127</v>
      </c>
      <c r="L2009" s="31" t="str">
        <f t="shared" si="195"/>
        <v>Lima Puluh Empat</v>
      </c>
    </row>
    <row r="2010" spans="10:12">
      <c r="J2010" s="31">
        <v>55</v>
      </c>
      <c r="K2010" s="33" t="s">
        <v>128</v>
      </c>
      <c r="L2010" s="31" t="str">
        <f t="shared" si="195"/>
        <v>Lima Puluh Lima</v>
      </c>
    </row>
    <row r="2011" spans="10:12">
      <c r="J2011" s="31">
        <v>56</v>
      </c>
      <c r="K2011" s="33" t="s">
        <v>129</v>
      </c>
      <c r="L2011" s="31" t="str">
        <f t="shared" si="195"/>
        <v>Lima Puluh Enam</v>
      </c>
    </row>
    <row r="2012" spans="10:12">
      <c r="J2012" s="31">
        <v>57</v>
      </c>
      <c r="K2012" s="33" t="s">
        <v>130</v>
      </c>
      <c r="L2012" s="31" t="str">
        <f t="shared" si="195"/>
        <v>Lima Puluh Tujuh</v>
      </c>
    </row>
    <row r="2013" spans="10:12">
      <c r="J2013" s="31">
        <v>58</v>
      </c>
      <c r="K2013" s="33" t="s">
        <v>131</v>
      </c>
      <c r="L2013" s="31" t="str">
        <f t="shared" si="195"/>
        <v>Lima Puluh Delapan</v>
      </c>
    </row>
    <row r="2014" spans="10:12">
      <c r="J2014" s="31">
        <v>59</v>
      </c>
      <c r="K2014" s="33" t="s">
        <v>132</v>
      </c>
      <c r="L2014" s="31" t="str">
        <f t="shared" si="195"/>
        <v>Lima Puluh Sembilan</v>
      </c>
    </row>
    <row r="2015" spans="10:12">
      <c r="J2015" s="31">
        <v>60</v>
      </c>
      <c r="K2015" s="33" t="s">
        <v>133</v>
      </c>
      <c r="L2015" s="31" t="s">
        <v>134</v>
      </c>
    </row>
    <row r="2016" spans="10:12">
      <c r="J2016" s="31">
        <v>61</v>
      </c>
      <c r="K2016" s="33" t="s">
        <v>135</v>
      </c>
      <c r="L2016" s="31" t="str">
        <f t="shared" ref="L2016:L2024" si="196">$L$63&amp;" "&amp;L1956</f>
        <v>Enam Puluh Satu</v>
      </c>
    </row>
    <row r="2017" spans="10:12">
      <c r="J2017" s="31">
        <v>62</v>
      </c>
      <c r="K2017" s="33" t="s">
        <v>136</v>
      </c>
      <c r="L2017" s="31" t="str">
        <f t="shared" si="196"/>
        <v>Enam Puluh Dua</v>
      </c>
    </row>
    <row r="2018" spans="10:12">
      <c r="J2018" s="31">
        <v>63</v>
      </c>
      <c r="K2018" s="33" t="s">
        <v>137</v>
      </c>
      <c r="L2018" s="31" t="str">
        <f t="shared" si="196"/>
        <v>Enam Puluh Tiga</v>
      </c>
    </row>
    <row r="2019" spans="10:12">
      <c r="J2019" s="31">
        <v>64</v>
      </c>
      <c r="K2019" s="33" t="s">
        <v>138</v>
      </c>
      <c r="L2019" s="31" t="str">
        <f t="shared" si="196"/>
        <v>Enam Puluh Empat</v>
      </c>
    </row>
    <row r="2020" spans="10:12">
      <c r="J2020" s="31">
        <v>65</v>
      </c>
      <c r="K2020" s="33" t="s">
        <v>139</v>
      </c>
      <c r="L2020" s="31" t="str">
        <f t="shared" si="196"/>
        <v>Enam Puluh Lima</v>
      </c>
    </row>
    <row r="2021" spans="10:12">
      <c r="J2021" s="31">
        <v>66</v>
      </c>
      <c r="K2021" s="33" t="s">
        <v>140</v>
      </c>
      <c r="L2021" s="31" t="str">
        <f t="shared" si="196"/>
        <v>Enam Puluh Enam</v>
      </c>
    </row>
    <row r="2022" spans="10:12">
      <c r="J2022" s="31">
        <v>67</v>
      </c>
      <c r="K2022" s="33" t="s">
        <v>141</v>
      </c>
      <c r="L2022" s="31" t="str">
        <f t="shared" si="196"/>
        <v>Enam Puluh Tujuh</v>
      </c>
    </row>
    <row r="2023" spans="10:12">
      <c r="J2023" s="31">
        <v>68</v>
      </c>
      <c r="K2023" s="33" t="s">
        <v>142</v>
      </c>
      <c r="L2023" s="31" t="str">
        <f t="shared" si="196"/>
        <v>Enam Puluh Delapan</v>
      </c>
    </row>
    <row r="2024" spans="10:12">
      <c r="J2024" s="31">
        <v>69</v>
      </c>
      <c r="K2024" s="33" t="s">
        <v>143</v>
      </c>
      <c r="L2024" s="31" t="str">
        <f t="shared" si="196"/>
        <v>Enam Puluh Sembilan</v>
      </c>
    </row>
    <row r="2025" spans="10:12">
      <c r="J2025" s="31">
        <v>70</v>
      </c>
      <c r="K2025" s="33" t="s">
        <v>144</v>
      </c>
      <c r="L2025" s="31" t="s">
        <v>145</v>
      </c>
    </row>
    <row r="2026" spans="10:12">
      <c r="J2026" s="31">
        <v>71</v>
      </c>
      <c r="K2026" s="33" t="s">
        <v>146</v>
      </c>
      <c r="L2026" s="31" t="str">
        <f t="shared" ref="L2026:L2034" si="197">$L$73&amp;" "&amp;L1956</f>
        <v>Tujuh Puluh Satu</v>
      </c>
    </row>
    <row r="2027" spans="10:12">
      <c r="J2027" s="31">
        <v>72</v>
      </c>
      <c r="K2027" s="33" t="s">
        <v>147</v>
      </c>
      <c r="L2027" s="31" t="str">
        <f t="shared" si="197"/>
        <v>Tujuh Puluh Dua</v>
      </c>
    </row>
    <row r="2028" spans="10:12">
      <c r="J2028" s="31">
        <v>73</v>
      </c>
      <c r="K2028" s="33" t="s">
        <v>148</v>
      </c>
      <c r="L2028" s="31" t="str">
        <f t="shared" si="197"/>
        <v>Tujuh Puluh Tiga</v>
      </c>
    </row>
    <row r="2029" spans="10:12">
      <c r="J2029" s="31">
        <v>74</v>
      </c>
      <c r="K2029" s="33" t="s">
        <v>149</v>
      </c>
      <c r="L2029" s="31" t="str">
        <f t="shared" si="197"/>
        <v>Tujuh Puluh Empat</v>
      </c>
    </row>
    <row r="2030" spans="10:12">
      <c r="J2030" s="31">
        <v>75</v>
      </c>
      <c r="K2030" s="33" t="s">
        <v>150</v>
      </c>
      <c r="L2030" s="31" t="str">
        <f t="shared" si="197"/>
        <v>Tujuh Puluh Lima</v>
      </c>
    </row>
    <row r="2031" spans="10:12">
      <c r="J2031" s="31">
        <v>76</v>
      </c>
      <c r="K2031" s="33" t="s">
        <v>151</v>
      </c>
      <c r="L2031" s="31" t="str">
        <f t="shared" si="197"/>
        <v>Tujuh Puluh Enam</v>
      </c>
    </row>
    <row r="2032" spans="10:12">
      <c r="J2032" s="31">
        <v>77</v>
      </c>
      <c r="K2032" s="33" t="s">
        <v>152</v>
      </c>
      <c r="L2032" s="31" t="str">
        <f t="shared" si="197"/>
        <v>Tujuh Puluh Tujuh</v>
      </c>
    </row>
    <row r="2033" spans="10:12">
      <c r="J2033" s="31">
        <v>78</v>
      </c>
      <c r="K2033" s="33" t="s">
        <v>153</v>
      </c>
      <c r="L2033" s="31" t="str">
        <f t="shared" si="197"/>
        <v>Tujuh Puluh Delapan</v>
      </c>
    </row>
    <row r="2034" spans="10:12">
      <c r="J2034" s="31">
        <v>79</v>
      </c>
      <c r="K2034" s="33" t="s">
        <v>154</v>
      </c>
      <c r="L2034" s="31" t="str">
        <f t="shared" si="197"/>
        <v>Tujuh Puluh Sembilan</v>
      </c>
    </row>
    <row r="2035" spans="10:12">
      <c r="J2035" s="31">
        <v>80</v>
      </c>
      <c r="K2035" s="33" t="s">
        <v>155</v>
      </c>
      <c r="L2035" s="31" t="s">
        <v>156</v>
      </c>
    </row>
    <row r="2036" spans="10:12">
      <c r="J2036" s="31">
        <v>81</v>
      </c>
      <c r="K2036" s="33" t="s">
        <v>157</v>
      </c>
      <c r="L2036" s="31" t="str">
        <f t="shared" ref="L2036:L2044" si="198">$L$83&amp;" "&amp;L1956</f>
        <v>Delapan Puluh Satu</v>
      </c>
    </row>
    <row r="2037" spans="10:12">
      <c r="J2037" s="31">
        <v>82</v>
      </c>
      <c r="K2037" s="33" t="s">
        <v>158</v>
      </c>
      <c r="L2037" s="31" t="str">
        <f t="shared" si="198"/>
        <v>Delapan Puluh Dua</v>
      </c>
    </row>
    <row r="2038" spans="10:12">
      <c r="J2038" s="31">
        <v>83</v>
      </c>
      <c r="K2038" s="33" t="s">
        <v>159</v>
      </c>
      <c r="L2038" s="31" t="str">
        <f t="shared" si="198"/>
        <v>Delapan Puluh Tiga</v>
      </c>
    </row>
    <row r="2039" spans="10:12">
      <c r="J2039" s="31">
        <v>84</v>
      </c>
      <c r="K2039" s="33" t="s">
        <v>160</v>
      </c>
      <c r="L2039" s="31" t="str">
        <f t="shared" si="198"/>
        <v>Delapan Puluh Empat</v>
      </c>
    </row>
    <row r="2040" spans="10:12">
      <c r="J2040" s="31">
        <v>85</v>
      </c>
      <c r="K2040" s="33" t="s">
        <v>161</v>
      </c>
      <c r="L2040" s="31" t="str">
        <f t="shared" si="198"/>
        <v>Delapan Puluh Lima</v>
      </c>
    </row>
    <row r="2041" spans="10:12">
      <c r="J2041" s="31">
        <v>86</v>
      </c>
      <c r="K2041" s="33" t="s">
        <v>162</v>
      </c>
      <c r="L2041" s="31" t="str">
        <f t="shared" si="198"/>
        <v>Delapan Puluh Enam</v>
      </c>
    </row>
    <row r="2042" spans="10:12">
      <c r="J2042" s="31">
        <v>87</v>
      </c>
      <c r="K2042" s="33" t="s">
        <v>163</v>
      </c>
      <c r="L2042" s="31" t="str">
        <f t="shared" si="198"/>
        <v>Delapan Puluh Tujuh</v>
      </c>
    </row>
    <row r="2043" spans="10:12">
      <c r="J2043" s="31">
        <v>88</v>
      </c>
      <c r="K2043" s="33" t="s">
        <v>164</v>
      </c>
      <c r="L2043" s="31" t="str">
        <f t="shared" si="198"/>
        <v>Delapan Puluh Delapan</v>
      </c>
    </row>
    <row r="2044" spans="10:12">
      <c r="J2044" s="31">
        <v>89</v>
      </c>
      <c r="K2044" s="33" t="s">
        <v>165</v>
      </c>
      <c r="L2044" s="31" t="str">
        <f t="shared" si="198"/>
        <v>Delapan Puluh Sembilan</v>
      </c>
    </row>
    <row r="2045" spans="10:12">
      <c r="J2045" s="31">
        <v>90</v>
      </c>
      <c r="K2045" s="33" t="s">
        <v>166</v>
      </c>
      <c r="L2045" s="31" t="s">
        <v>167</v>
      </c>
    </row>
    <row r="2046" spans="10:12">
      <c r="J2046" s="31">
        <v>91</v>
      </c>
      <c r="K2046" s="33" t="s">
        <v>168</v>
      </c>
      <c r="L2046" s="31" t="str">
        <f t="shared" ref="L2046:L2054" si="199">$L$93&amp;" "&amp;L1956</f>
        <v>Sembilan Puluh Satu</v>
      </c>
    </row>
    <row r="2047" spans="10:12">
      <c r="J2047" s="31">
        <v>92</v>
      </c>
      <c r="K2047" s="33" t="s">
        <v>169</v>
      </c>
      <c r="L2047" s="31" t="str">
        <f t="shared" si="199"/>
        <v>Sembilan Puluh Dua</v>
      </c>
    </row>
    <row r="2048" spans="10:12">
      <c r="J2048" s="31">
        <v>93</v>
      </c>
      <c r="K2048" s="33" t="s">
        <v>170</v>
      </c>
      <c r="L2048" s="31" t="str">
        <f t="shared" si="199"/>
        <v>Sembilan Puluh Tiga</v>
      </c>
    </row>
    <row r="2049" spans="1:12">
      <c r="J2049" s="31">
        <v>94</v>
      </c>
      <c r="K2049" s="33" t="s">
        <v>171</v>
      </c>
      <c r="L2049" s="31" t="str">
        <f t="shared" si="199"/>
        <v>Sembilan Puluh Empat</v>
      </c>
    </row>
    <row r="2050" spans="1:12">
      <c r="J2050" s="31">
        <v>95</v>
      </c>
      <c r="K2050" s="33" t="s">
        <v>172</v>
      </c>
      <c r="L2050" s="31" t="str">
        <f t="shared" si="199"/>
        <v>Sembilan Puluh Lima</v>
      </c>
    </row>
    <row r="2051" spans="1:12">
      <c r="J2051" s="31">
        <v>96</v>
      </c>
      <c r="K2051" s="33" t="s">
        <v>173</v>
      </c>
      <c r="L2051" s="31" t="str">
        <f t="shared" si="199"/>
        <v>Sembilan Puluh Enam</v>
      </c>
    </row>
    <row r="2052" spans="1:12">
      <c r="J2052" s="31">
        <v>97</v>
      </c>
      <c r="K2052" s="33" t="s">
        <v>174</v>
      </c>
      <c r="L2052" s="31" t="str">
        <f t="shared" si="199"/>
        <v>Sembilan Puluh Tujuh</v>
      </c>
    </row>
    <row r="2053" spans="1:12">
      <c r="J2053" s="31">
        <v>98</v>
      </c>
      <c r="K2053" s="33" t="s">
        <v>175</v>
      </c>
      <c r="L2053" s="31" t="str">
        <f t="shared" si="199"/>
        <v>Sembilan Puluh Delapan</v>
      </c>
    </row>
    <row r="2054" spans="1:12">
      <c r="J2054" s="31">
        <v>99</v>
      </c>
      <c r="K2054" s="33" t="s">
        <v>176</v>
      </c>
      <c r="L2054" s="31" t="str">
        <f t="shared" si="199"/>
        <v>Sembilan Puluh Sembilan</v>
      </c>
    </row>
    <row r="2057" spans="1:12">
      <c r="A2057" s="30" t="e">
        <f>#REF!</f>
        <v>#REF!</v>
      </c>
      <c r="C2057" s="31" t="s">
        <v>233</v>
      </c>
    </row>
    <row r="2058" spans="1:12">
      <c r="A2058" s="32"/>
    </row>
    <row r="2059" spans="1:12">
      <c r="J2059" s="31">
        <v>0</v>
      </c>
      <c r="K2059" s="33" t="s">
        <v>48</v>
      </c>
      <c r="L2059" s="31" t="s">
        <v>49</v>
      </c>
    </row>
    <row r="2060" spans="1:12">
      <c r="A2060" s="34"/>
      <c r="J2060" s="31">
        <v>1</v>
      </c>
      <c r="K2060" s="33" t="s">
        <v>50</v>
      </c>
      <c r="L2060" s="31" t="s">
        <v>51</v>
      </c>
    </row>
    <row r="2061" spans="1:12">
      <c r="A2061" s="255" t="e">
        <f>TRIM(D2069&amp;E2069&amp;D2070&amp;E2070&amp;D2071&amp;E2071&amp;D2072&amp;E2072&amp;D2073&amp;E2073&amp;D2074&amp;E2074&amp;E2075&amp;D2075&amp;" Only")</f>
        <v>#REF!</v>
      </c>
      <c r="B2061" s="255"/>
      <c r="C2061" s="255"/>
      <c r="D2061" s="255"/>
      <c r="E2061" s="35"/>
      <c r="F2061" s="36"/>
      <c r="J2061" s="31">
        <v>2</v>
      </c>
      <c r="K2061" s="33" t="s">
        <v>52</v>
      </c>
      <c r="L2061" s="31" t="s">
        <v>53</v>
      </c>
    </row>
    <row r="2062" spans="1:12">
      <c r="A2062" s="37"/>
      <c r="B2062" s="37"/>
      <c r="C2062" s="37"/>
      <c r="D2062" s="37"/>
      <c r="E2062" s="35"/>
      <c r="F2062" s="36"/>
      <c r="J2062" s="31">
        <v>3</v>
      </c>
      <c r="K2062" s="33" t="s">
        <v>54</v>
      </c>
      <c r="L2062" s="31" t="s">
        <v>55</v>
      </c>
    </row>
    <row r="2063" spans="1:12">
      <c r="A2063" s="37"/>
      <c r="B2063" s="37"/>
      <c r="C2063" s="37"/>
      <c r="D2063" s="37"/>
      <c r="J2063" s="31">
        <v>4</v>
      </c>
      <c r="K2063" s="33" t="s">
        <v>56</v>
      </c>
      <c r="L2063" s="31" t="s">
        <v>57</v>
      </c>
    </row>
    <row r="2064" spans="1:12">
      <c r="A2064" s="255" t="e">
        <f>TRIM(D2079&amp;E2079&amp;D2080&amp;E2080&amp;D2081&amp;E2081&amp;D2082&amp;E2082&amp;D2083&amp;E2083&amp;D2084&amp;E2084&amp;D2085&amp;E2085&amp;" Rupiah")</f>
        <v>#REF!</v>
      </c>
      <c r="B2064" s="255"/>
      <c r="C2064" s="255"/>
      <c r="D2064" s="255"/>
      <c r="E2064" s="35"/>
      <c r="F2064" s="36"/>
      <c r="J2064" s="31">
        <v>5</v>
      </c>
      <c r="K2064" s="33" t="s">
        <v>58</v>
      </c>
      <c r="L2064" s="31" t="s">
        <v>59</v>
      </c>
    </row>
    <row r="2065" spans="1:12">
      <c r="A2065" s="35"/>
      <c r="B2065" s="35"/>
      <c r="C2065" s="35"/>
      <c r="D2065" s="35"/>
      <c r="E2065" s="35"/>
      <c r="F2065" s="36"/>
      <c r="J2065" s="31">
        <v>6</v>
      </c>
      <c r="K2065" s="33" t="s">
        <v>60</v>
      </c>
      <c r="L2065" s="31" t="s">
        <v>61</v>
      </c>
    </row>
    <row r="2066" spans="1:12">
      <c r="J2066" s="31">
        <v>7</v>
      </c>
      <c r="K2066" s="33" t="s">
        <v>62</v>
      </c>
      <c r="L2066" s="31" t="s">
        <v>63</v>
      </c>
    </row>
    <row r="2067" spans="1:12">
      <c r="J2067" s="31">
        <v>8</v>
      </c>
      <c r="K2067" s="33" t="s">
        <v>64</v>
      </c>
      <c r="L2067" s="31" t="s">
        <v>65</v>
      </c>
    </row>
    <row r="2068" spans="1:12">
      <c r="A2068" s="38" t="s">
        <v>66</v>
      </c>
      <c r="J2068" s="31">
        <v>9</v>
      </c>
      <c r="K2068" s="33" t="s">
        <v>67</v>
      </c>
      <c r="L2068" s="31" t="s">
        <v>68</v>
      </c>
    </row>
    <row r="2069" spans="1:12">
      <c r="A2069" s="31" t="s">
        <v>69</v>
      </c>
      <c r="B2069" s="39" t="e">
        <f>TRUNC(A2057/100000000)</f>
        <v>#REF!</v>
      </c>
      <c r="C2069" s="31" t="e">
        <f>B2069*100000000</f>
        <v>#REF!</v>
      </c>
      <c r="D2069" s="31" t="e">
        <f t="shared" ref="D2069:D2075" si="200">IF(B2069&lt;1,"",VLOOKUP(B2069,$J$3:$K$102,2))</f>
        <v>#REF!</v>
      </c>
      <c r="E2069" s="31" t="e">
        <f>IF(B2069&lt;1,"",IF(B2069&gt;1," Hundreds "," Hundred "))</f>
        <v>#REF!</v>
      </c>
      <c r="J2069" s="31">
        <v>10</v>
      </c>
      <c r="K2069" s="33" t="s">
        <v>70</v>
      </c>
      <c r="L2069" s="31" t="s">
        <v>71</v>
      </c>
    </row>
    <row r="2070" spans="1:12">
      <c r="A2070" s="31" t="s">
        <v>72</v>
      </c>
      <c r="B2070" s="39" t="e">
        <f>TRUNC((A2057-C2069)/1000000)</f>
        <v>#REF!</v>
      </c>
      <c r="C2070" s="31" t="e">
        <f>B2070*1000000</f>
        <v>#REF!</v>
      </c>
      <c r="D2070" s="31" t="e">
        <f t="shared" si="200"/>
        <v>#REF!</v>
      </c>
      <c r="E2070" s="31" t="e">
        <f>IF(B2069+B2070=0,"",IF(B2070=1," Million "," Millions "))</f>
        <v>#REF!</v>
      </c>
      <c r="J2070" s="31">
        <v>11</v>
      </c>
      <c r="K2070" s="33" t="s">
        <v>73</v>
      </c>
      <c r="L2070" s="31" t="s">
        <v>74</v>
      </c>
    </row>
    <row r="2071" spans="1:12">
      <c r="A2071" s="31" t="s">
        <v>75</v>
      </c>
      <c r="B2071" s="39" t="e">
        <f>TRUNC((A2057-SUM(C2069:C2070))/100000)</f>
        <v>#REF!</v>
      </c>
      <c r="C2071" s="31" t="e">
        <f>B2071*100000</f>
        <v>#REF!</v>
      </c>
      <c r="D2071" s="31" t="e">
        <f t="shared" si="200"/>
        <v>#REF!</v>
      </c>
      <c r="E2071" s="31" t="e">
        <f>IF(B2071&lt;1,"",IF(B2071&gt;1," Hundreds "," Hundred "))</f>
        <v>#REF!</v>
      </c>
      <c r="J2071" s="31">
        <v>12</v>
      </c>
      <c r="K2071" s="33" t="s">
        <v>76</v>
      </c>
      <c r="L2071" s="31" t="str">
        <f t="shared" ref="L2071:L2078" si="201">L2061&amp;" Belas"</f>
        <v>Dua Belas</v>
      </c>
    </row>
    <row r="2072" spans="1:12">
      <c r="A2072" s="33" t="s">
        <v>77</v>
      </c>
      <c r="B2072" s="40" t="e">
        <f>TRUNC((A2057-SUM(C2069:C2071))/1000)</f>
        <v>#REF!</v>
      </c>
      <c r="C2072" s="31" t="e">
        <f>B2072*1000</f>
        <v>#REF!</v>
      </c>
      <c r="D2072" s="31" t="e">
        <f t="shared" si="200"/>
        <v>#REF!</v>
      </c>
      <c r="E2072" s="31" t="e">
        <f>IF(B2071+B2072=0,"",IF(B2072=1," Thousand "," Thousands "))</f>
        <v>#REF!</v>
      </c>
      <c r="J2072" s="31">
        <v>13</v>
      </c>
      <c r="K2072" s="33" t="s">
        <v>78</v>
      </c>
      <c r="L2072" s="31" t="str">
        <f t="shared" si="201"/>
        <v>Tiga Belas</v>
      </c>
    </row>
    <row r="2073" spans="1:12">
      <c r="A2073" s="33" t="s">
        <v>79</v>
      </c>
      <c r="B2073" s="40" t="e">
        <f>TRUNC((A2057-SUM(C2069:C2072))/100)</f>
        <v>#REF!</v>
      </c>
      <c r="C2073" s="31" t="e">
        <f>B2073*100</f>
        <v>#REF!</v>
      </c>
      <c r="D2073" s="31" t="e">
        <f t="shared" si="200"/>
        <v>#REF!</v>
      </c>
      <c r="E2073" s="31" t="e">
        <f>IF(B2073&lt;1,"",IF(B2073&gt;1," Hundreds "," Hundred "))</f>
        <v>#REF!</v>
      </c>
      <c r="J2073" s="31">
        <v>14</v>
      </c>
      <c r="K2073" s="33" t="s">
        <v>80</v>
      </c>
      <c r="L2073" s="31" t="str">
        <f t="shared" si="201"/>
        <v>Empat Belas</v>
      </c>
    </row>
    <row r="2074" spans="1:12">
      <c r="A2074" s="33" t="s">
        <v>81</v>
      </c>
      <c r="B2074" s="41" t="e">
        <f>TRUNC((A2057-SUM(C2069:C2073)))</f>
        <v>#REF!</v>
      </c>
      <c r="C2074" s="42" t="e">
        <f>B2074</f>
        <v>#REF!</v>
      </c>
      <c r="D2074" s="31" t="e">
        <f t="shared" si="200"/>
        <v>#REF!</v>
      </c>
      <c r="E2074" s="31" t="e">
        <f>IF(SUM(C2069:C2074)&lt;1,"",IF(B2075&lt;1,""," And "))</f>
        <v>#REF!</v>
      </c>
      <c r="J2074" s="31">
        <v>15</v>
      </c>
      <c r="K2074" s="33" t="s">
        <v>82</v>
      </c>
      <c r="L2074" s="31" t="str">
        <f t="shared" si="201"/>
        <v>Lima Belas</v>
      </c>
    </row>
    <row r="2075" spans="1:12">
      <c r="A2075" s="33" t="s">
        <v>83</v>
      </c>
      <c r="B2075" s="40" t="e">
        <f>ROUND(A2057-SUM(C2069:C2074),2)*100</f>
        <v>#REF!</v>
      </c>
      <c r="D2075" s="43" t="e">
        <f t="shared" si="200"/>
        <v>#REF!</v>
      </c>
      <c r="E2075" s="31" t="e">
        <f>IF(B2075&lt;1,"",IF(B2075=1," Cent "," Cents "))</f>
        <v>#REF!</v>
      </c>
      <c r="J2075" s="31">
        <v>16</v>
      </c>
      <c r="K2075" s="33" t="s">
        <v>84</v>
      </c>
      <c r="L2075" s="31" t="str">
        <f t="shared" si="201"/>
        <v>Enam Belas</v>
      </c>
    </row>
    <row r="2076" spans="1:12">
      <c r="J2076" s="31">
        <v>17</v>
      </c>
      <c r="K2076" s="33" t="s">
        <v>85</v>
      </c>
      <c r="L2076" s="31" t="str">
        <f t="shared" si="201"/>
        <v>Tujuh Belas</v>
      </c>
    </row>
    <row r="2077" spans="1:12">
      <c r="A2077" s="44"/>
      <c r="J2077" s="31">
        <v>18</v>
      </c>
      <c r="K2077" s="33" t="s">
        <v>86</v>
      </c>
      <c r="L2077" s="31" t="str">
        <f t="shared" si="201"/>
        <v>Delapan Belas</v>
      </c>
    </row>
    <row r="2078" spans="1:12">
      <c r="A2078" s="38" t="s">
        <v>87</v>
      </c>
      <c r="J2078" s="31">
        <v>19</v>
      </c>
      <c r="K2078" s="33" t="s">
        <v>88</v>
      </c>
      <c r="L2078" s="31" t="str">
        <f t="shared" si="201"/>
        <v>Sembilan Belas</v>
      </c>
    </row>
    <row r="2079" spans="1:12">
      <c r="A2079" s="31" t="s">
        <v>69</v>
      </c>
      <c r="B2079" s="39" t="e">
        <f>TRUNC(A2057/100000000)</f>
        <v>#REF!</v>
      </c>
      <c r="C2079" s="31" t="e">
        <f>B2079*100000000</f>
        <v>#REF!</v>
      </c>
      <c r="D2079" s="31" t="e">
        <f>IF(B2079&lt;1,"",IF(B2079=1,"",VLOOKUP(B2079,$J$3:$L$102,3)))</f>
        <v>#REF!</v>
      </c>
      <c r="E2079" s="31" t="e">
        <f>IF(B2079&lt;1,"",IF(B2079=1,"Seratus "," Ratus "))</f>
        <v>#REF!</v>
      </c>
      <c r="J2079" s="31">
        <v>20</v>
      </c>
      <c r="K2079" s="33" t="s">
        <v>89</v>
      </c>
      <c r="L2079" s="31" t="s">
        <v>90</v>
      </c>
    </row>
    <row r="2080" spans="1:12">
      <c r="A2080" s="31" t="s">
        <v>72</v>
      </c>
      <c r="B2080" s="39" t="e">
        <f>TRUNC((A2057-C2079)/1000000)</f>
        <v>#REF!</v>
      </c>
      <c r="C2080" s="31" t="e">
        <f>B2080*1000000</f>
        <v>#REF!</v>
      </c>
      <c r="D2080" s="31" t="e">
        <f>IF(B2080&lt;1,"",VLOOKUP(B2080,$J$3:$L$102,3))</f>
        <v>#REF!</v>
      </c>
      <c r="E2080" s="31" t="e">
        <f>IF(B2079+B2080=0,""," Juta ")</f>
        <v>#REF!</v>
      </c>
      <c r="J2080" s="31">
        <v>21</v>
      </c>
      <c r="K2080" s="33" t="s">
        <v>91</v>
      </c>
      <c r="L2080" s="31" t="str">
        <f t="shared" ref="L2080:L2088" si="202">$L$23&amp;" "&amp;L2060</f>
        <v>Dua Puluh Satu</v>
      </c>
    </row>
    <row r="2081" spans="1:12">
      <c r="A2081" s="31" t="s">
        <v>75</v>
      </c>
      <c r="B2081" s="39" t="e">
        <f>TRUNC((A2057-SUM(C2079:C2080))/100000)</f>
        <v>#REF!</v>
      </c>
      <c r="C2081" s="31" t="e">
        <f>B2081*100000</f>
        <v>#REF!</v>
      </c>
      <c r="D2081" s="31" t="e">
        <f>IF(B2081&lt;1,"",IF(B2081=1,"",VLOOKUP(B2081,$J$3:$L$102,3)))</f>
        <v>#REF!</v>
      </c>
      <c r="E2081" s="31" t="e">
        <f>IF(B2081&lt;1,"",IF(B2081=1," Seratus "," Ratus "))</f>
        <v>#REF!</v>
      </c>
      <c r="J2081" s="31">
        <v>22</v>
      </c>
      <c r="K2081" s="33" t="s">
        <v>92</v>
      </c>
      <c r="L2081" s="31" t="str">
        <f t="shared" si="202"/>
        <v>Dua Puluh Dua</v>
      </c>
    </row>
    <row r="2082" spans="1:12">
      <c r="A2082" s="33" t="s">
        <v>77</v>
      </c>
      <c r="B2082" s="40" t="e">
        <f>TRUNC((A2057-SUM(C2079:C2081))/1000)</f>
        <v>#REF!</v>
      </c>
      <c r="C2082" s="31" t="e">
        <f>B2082*1000</f>
        <v>#REF!</v>
      </c>
      <c r="D2082" s="31" t="e">
        <f>IF(B2082&lt;1,"",IF(B2082=1,"",VLOOKUP(B2082,$J$3:$L$102,3)))</f>
        <v>#REF!</v>
      </c>
      <c r="E2082" s="31" t="e">
        <f>IF(B2081+B2082&lt;1,"",IF(B2082=1," Seribu "," Ribu "))</f>
        <v>#REF!</v>
      </c>
      <c r="J2082" s="31">
        <v>23</v>
      </c>
      <c r="K2082" s="33" t="s">
        <v>93</v>
      </c>
      <c r="L2082" s="31" t="str">
        <f t="shared" si="202"/>
        <v>Dua Puluh Tiga</v>
      </c>
    </row>
    <row r="2083" spans="1:12">
      <c r="A2083" s="33" t="s">
        <v>79</v>
      </c>
      <c r="B2083" s="40" t="e">
        <f>TRUNC((A2057-SUM(C2079:C2082))/100)</f>
        <v>#REF!</v>
      </c>
      <c r="C2083" s="31" t="e">
        <f>B2083*100</f>
        <v>#REF!</v>
      </c>
      <c r="D2083" s="31" t="e">
        <f>IF(B2083&lt;1,"",IF(B2083=1,"",VLOOKUP(B2083,$J$3:$L$102,3)))</f>
        <v>#REF!</v>
      </c>
      <c r="E2083" s="31" t="e">
        <f>IF(B2083&lt;1,"",IF(B2083=1," Seratus "," Ratus "))</f>
        <v>#REF!</v>
      </c>
      <c r="J2083" s="31">
        <v>24</v>
      </c>
      <c r="K2083" s="33" t="s">
        <v>94</v>
      </c>
      <c r="L2083" s="31" t="str">
        <f t="shared" si="202"/>
        <v>Dua Puluh Empat</v>
      </c>
    </row>
    <row r="2084" spans="1:12">
      <c r="A2084" s="33" t="s">
        <v>81</v>
      </c>
      <c r="B2084" s="41" t="e">
        <f>TRUNC((A2057-SUM(C2079:C2083)))</f>
        <v>#REF!</v>
      </c>
      <c r="C2084" s="42" t="e">
        <f>B2084</f>
        <v>#REF!</v>
      </c>
      <c r="D2084" s="31" t="e">
        <f>IF(B2084&lt;1,"",VLOOKUP(B2084,$J$3:$L$102,3))</f>
        <v>#REF!</v>
      </c>
      <c r="E2084" s="31" t="e">
        <f>IF(SUM(C2079:C2084)&lt;1,"",IF(B2085&lt;1,""," Dan "))</f>
        <v>#REF!</v>
      </c>
      <c r="J2084" s="31">
        <v>25</v>
      </c>
      <c r="K2084" s="33" t="s">
        <v>95</v>
      </c>
      <c r="L2084" s="31" t="str">
        <f t="shared" si="202"/>
        <v>Dua Puluh Lima</v>
      </c>
    </row>
    <row r="2085" spans="1:12">
      <c r="A2085" s="33" t="s">
        <v>83</v>
      </c>
      <c r="B2085" s="40" t="e">
        <f>ROUND(A2057-SUM(C2079:C2084),2)*100</f>
        <v>#REF!</v>
      </c>
      <c r="D2085" s="31" t="e">
        <f>IF(B2085&lt;1,"",VLOOKUP(B2085,$J$3:$L$102,3))</f>
        <v>#REF!</v>
      </c>
      <c r="E2085" s="31" t="e">
        <f>IF(B2085&lt;1,""," Sen ")</f>
        <v>#REF!</v>
      </c>
      <c r="J2085" s="31">
        <v>26</v>
      </c>
      <c r="K2085" s="33" t="s">
        <v>96</v>
      </c>
      <c r="L2085" s="31" t="str">
        <f t="shared" si="202"/>
        <v>Dua Puluh Enam</v>
      </c>
    </row>
    <row r="2086" spans="1:12">
      <c r="J2086" s="31">
        <v>27</v>
      </c>
      <c r="K2086" s="33" t="s">
        <v>97</v>
      </c>
      <c r="L2086" s="31" t="str">
        <f t="shared" si="202"/>
        <v>Dua Puluh Tujuh</v>
      </c>
    </row>
    <row r="2087" spans="1:12">
      <c r="J2087" s="31">
        <v>28</v>
      </c>
      <c r="K2087" s="33" t="s">
        <v>98</v>
      </c>
      <c r="L2087" s="31" t="str">
        <f t="shared" si="202"/>
        <v>Dua Puluh Delapan</v>
      </c>
    </row>
    <row r="2088" spans="1:12">
      <c r="J2088" s="31">
        <v>29</v>
      </c>
      <c r="K2088" s="33" t="s">
        <v>99</v>
      </c>
      <c r="L2088" s="31" t="str">
        <f t="shared" si="202"/>
        <v>Dua Puluh Sembilan</v>
      </c>
    </row>
    <row r="2089" spans="1:12">
      <c r="J2089" s="31">
        <v>30</v>
      </c>
      <c r="K2089" s="33" t="s">
        <v>100</v>
      </c>
      <c r="L2089" s="31" t="s">
        <v>101</v>
      </c>
    </row>
    <row r="2090" spans="1:12">
      <c r="J2090" s="31">
        <v>31</v>
      </c>
      <c r="K2090" s="33" t="s">
        <v>102</v>
      </c>
      <c r="L2090" s="31" t="str">
        <f t="shared" ref="L2090:L2098" si="203">$L$33&amp;" "&amp;L2060</f>
        <v>Tiga Puluh Satu</v>
      </c>
    </row>
    <row r="2091" spans="1:12">
      <c r="J2091" s="31">
        <v>32</v>
      </c>
      <c r="K2091" s="33" t="s">
        <v>103</v>
      </c>
      <c r="L2091" s="31" t="str">
        <f t="shared" si="203"/>
        <v>Tiga Puluh Dua</v>
      </c>
    </row>
    <row r="2092" spans="1:12">
      <c r="J2092" s="31">
        <v>33</v>
      </c>
      <c r="K2092" s="33" t="s">
        <v>104</v>
      </c>
      <c r="L2092" s="31" t="str">
        <f t="shared" si="203"/>
        <v>Tiga Puluh Tiga</v>
      </c>
    </row>
    <row r="2093" spans="1:12">
      <c r="J2093" s="31">
        <v>34</v>
      </c>
      <c r="K2093" s="33" t="s">
        <v>105</v>
      </c>
      <c r="L2093" s="31" t="str">
        <f t="shared" si="203"/>
        <v>Tiga Puluh Empat</v>
      </c>
    </row>
    <row r="2094" spans="1:12">
      <c r="J2094" s="31">
        <v>35</v>
      </c>
      <c r="K2094" s="33" t="s">
        <v>106</v>
      </c>
      <c r="L2094" s="31" t="str">
        <f t="shared" si="203"/>
        <v>Tiga Puluh Lima</v>
      </c>
    </row>
    <row r="2095" spans="1:12">
      <c r="J2095" s="31">
        <v>36</v>
      </c>
      <c r="K2095" s="33" t="s">
        <v>107</v>
      </c>
      <c r="L2095" s="31" t="str">
        <f t="shared" si="203"/>
        <v>Tiga Puluh Enam</v>
      </c>
    </row>
    <row r="2096" spans="1:12">
      <c r="J2096" s="31">
        <v>37</v>
      </c>
      <c r="K2096" s="33" t="s">
        <v>108</v>
      </c>
      <c r="L2096" s="31" t="str">
        <f t="shared" si="203"/>
        <v>Tiga Puluh Tujuh</v>
      </c>
    </row>
    <row r="2097" spans="1:12">
      <c r="J2097" s="31">
        <v>38</v>
      </c>
      <c r="K2097" s="33" t="s">
        <v>109</v>
      </c>
      <c r="L2097" s="31" t="str">
        <f t="shared" si="203"/>
        <v>Tiga Puluh Delapan</v>
      </c>
    </row>
    <row r="2098" spans="1:12">
      <c r="J2098" s="31">
        <v>39</v>
      </c>
      <c r="K2098" s="33" t="s">
        <v>110</v>
      </c>
      <c r="L2098" s="31" t="str">
        <f t="shared" si="203"/>
        <v>Tiga Puluh Sembilan</v>
      </c>
    </row>
    <row r="2099" spans="1:12">
      <c r="B2099" s="35"/>
      <c r="C2099" s="35"/>
      <c r="D2099" s="35"/>
      <c r="J2099" s="31">
        <v>40</v>
      </c>
      <c r="K2099" s="33" t="s">
        <v>111</v>
      </c>
      <c r="L2099" s="31" t="s">
        <v>112</v>
      </c>
    </row>
    <row r="2100" spans="1:12">
      <c r="A2100" s="35"/>
      <c r="B2100" s="35"/>
      <c r="C2100" s="35"/>
      <c r="D2100" s="35"/>
      <c r="J2100" s="31">
        <v>41</v>
      </c>
      <c r="K2100" s="33" t="s">
        <v>113</v>
      </c>
      <c r="L2100" s="31" t="str">
        <f t="shared" ref="L2100:L2108" si="204">$L$43&amp;" "&amp;L2060</f>
        <v>Empat Puluh Satu</v>
      </c>
    </row>
    <row r="2101" spans="1:12">
      <c r="J2101" s="31">
        <v>42</v>
      </c>
      <c r="K2101" s="33" t="s">
        <v>114</v>
      </c>
      <c r="L2101" s="31" t="str">
        <f t="shared" si="204"/>
        <v>Empat Puluh Dua</v>
      </c>
    </row>
    <row r="2102" spans="1:12">
      <c r="A2102" s="38"/>
      <c r="J2102" s="31">
        <v>43</v>
      </c>
      <c r="K2102" s="33" t="s">
        <v>115</v>
      </c>
      <c r="L2102" s="31" t="str">
        <f t="shared" si="204"/>
        <v>Empat Puluh Tiga</v>
      </c>
    </row>
    <row r="2103" spans="1:12">
      <c r="J2103" s="31">
        <v>44</v>
      </c>
      <c r="K2103" s="33" t="s">
        <v>116</v>
      </c>
      <c r="L2103" s="31" t="str">
        <f t="shared" si="204"/>
        <v>Empat Puluh Empat</v>
      </c>
    </row>
    <row r="2104" spans="1:12">
      <c r="J2104" s="31">
        <v>45</v>
      </c>
      <c r="K2104" s="33" t="s">
        <v>117</v>
      </c>
      <c r="L2104" s="31" t="str">
        <f t="shared" si="204"/>
        <v>Empat Puluh Lima</v>
      </c>
    </row>
    <row r="2105" spans="1:12">
      <c r="J2105" s="31">
        <v>46</v>
      </c>
      <c r="K2105" s="33" t="s">
        <v>118</v>
      </c>
      <c r="L2105" s="31" t="str">
        <f t="shared" si="204"/>
        <v>Empat Puluh Enam</v>
      </c>
    </row>
    <row r="2106" spans="1:12">
      <c r="J2106" s="31">
        <v>47</v>
      </c>
      <c r="K2106" s="33" t="s">
        <v>119</v>
      </c>
      <c r="L2106" s="31" t="str">
        <f t="shared" si="204"/>
        <v>Empat Puluh Tujuh</v>
      </c>
    </row>
    <row r="2107" spans="1:12">
      <c r="J2107" s="31">
        <v>48</v>
      </c>
      <c r="K2107" s="33" t="s">
        <v>120</v>
      </c>
      <c r="L2107" s="31" t="str">
        <f t="shared" si="204"/>
        <v>Empat Puluh Delapan</v>
      </c>
    </row>
    <row r="2108" spans="1:12">
      <c r="J2108" s="31">
        <v>49</v>
      </c>
      <c r="K2108" s="33" t="s">
        <v>121</v>
      </c>
      <c r="L2108" s="31" t="str">
        <f t="shared" si="204"/>
        <v>Empat Puluh Sembilan</v>
      </c>
    </row>
    <row r="2109" spans="1:12">
      <c r="J2109" s="31">
        <v>50</v>
      </c>
      <c r="K2109" s="33" t="s">
        <v>122</v>
      </c>
      <c r="L2109" s="31" t="s">
        <v>123</v>
      </c>
    </row>
    <row r="2110" spans="1:12">
      <c r="J2110" s="31">
        <v>51</v>
      </c>
      <c r="K2110" s="33" t="s">
        <v>124</v>
      </c>
      <c r="L2110" s="31" t="str">
        <f t="shared" ref="L2110:L2118" si="205">$L$53&amp;" "&amp;L2060</f>
        <v>Lima Puluh Satu</v>
      </c>
    </row>
    <row r="2111" spans="1:12">
      <c r="J2111" s="31">
        <v>52</v>
      </c>
      <c r="K2111" s="33" t="s">
        <v>125</v>
      </c>
      <c r="L2111" s="31" t="str">
        <f t="shared" si="205"/>
        <v>Lima Puluh Dua</v>
      </c>
    </row>
    <row r="2112" spans="1:12">
      <c r="J2112" s="31">
        <v>53</v>
      </c>
      <c r="K2112" s="33" t="s">
        <v>126</v>
      </c>
      <c r="L2112" s="31" t="str">
        <f t="shared" si="205"/>
        <v>Lima Puluh Tiga</v>
      </c>
    </row>
    <row r="2113" spans="10:12">
      <c r="J2113" s="31">
        <v>54</v>
      </c>
      <c r="K2113" s="33" t="s">
        <v>127</v>
      </c>
      <c r="L2113" s="31" t="str">
        <f t="shared" si="205"/>
        <v>Lima Puluh Empat</v>
      </c>
    </row>
    <row r="2114" spans="10:12">
      <c r="J2114" s="31">
        <v>55</v>
      </c>
      <c r="K2114" s="33" t="s">
        <v>128</v>
      </c>
      <c r="L2114" s="31" t="str">
        <f t="shared" si="205"/>
        <v>Lima Puluh Lima</v>
      </c>
    </row>
    <row r="2115" spans="10:12">
      <c r="J2115" s="31">
        <v>56</v>
      </c>
      <c r="K2115" s="33" t="s">
        <v>129</v>
      </c>
      <c r="L2115" s="31" t="str">
        <f t="shared" si="205"/>
        <v>Lima Puluh Enam</v>
      </c>
    </row>
    <row r="2116" spans="10:12">
      <c r="J2116" s="31">
        <v>57</v>
      </c>
      <c r="K2116" s="33" t="s">
        <v>130</v>
      </c>
      <c r="L2116" s="31" t="str">
        <f t="shared" si="205"/>
        <v>Lima Puluh Tujuh</v>
      </c>
    </row>
    <row r="2117" spans="10:12">
      <c r="J2117" s="31">
        <v>58</v>
      </c>
      <c r="K2117" s="33" t="s">
        <v>131</v>
      </c>
      <c r="L2117" s="31" t="str">
        <f t="shared" si="205"/>
        <v>Lima Puluh Delapan</v>
      </c>
    </row>
    <row r="2118" spans="10:12">
      <c r="J2118" s="31">
        <v>59</v>
      </c>
      <c r="K2118" s="33" t="s">
        <v>132</v>
      </c>
      <c r="L2118" s="31" t="str">
        <f t="shared" si="205"/>
        <v>Lima Puluh Sembilan</v>
      </c>
    </row>
    <row r="2119" spans="10:12">
      <c r="J2119" s="31">
        <v>60</v>
      </c>
      <c r="K2119" s="33" t="s">
        <v>133</v>
      </c>
      <c r="L2119" s="31" t="s">
        <v>134</v>
      </c>
    </row>
    <row r="2120" spans="10:12">
      <c r="J2120" s="31">
        <v>61</v>
      </c>
      <c r="K2120" s="33" t="s">
        <v>135</v>
      </c>
      <c r="L2120" s="31" t="str">
        <f t="shared" ref="L2120:L2128" si="206">$L$63&amp;" "&amp;L2060</f>
        <v>Enam Puluh Satu</v>
      </c>
    </row>
    <row r="2121" spans="10:12">
      <c r="J2121" s="31">
        <v>62</v>
      </c>
      <c r="K2121" s="33" t="s">
        <v>136</v>
      </c>
      <c r="L2121" s="31" t="str">
        <f t="shared" si="206"/>
        <v>Enam Puluh Dua</v>
      </c>
    </row>
    <row r="2122" spans="10:12">
      <c r="J2122" s="31">
        <v>63</v>
      </c>
      <c r="K2122" s="33" t="s">
        <v>137</v>
      </c>
      <c r="L2122" s="31" t="str">
        <f t="shared" si="206"/>
        <v>Enam Puluh Tiga</v>
      </c>
    </row>
    <row r="2123" spans="10:12">
      <c r="J2123" s="31">
        <v>64</v>
      </c>
      <c r="K2123" s="33" t="s">
        <v>138</v>
      </c>
      <c r="L2123" s="31" t="str">
        <f t="shared" si="206"/>
        <v>Enam Puluh Empat</v>
      </c>
    </row>
    <row r="2124" spans="10:12">
      <c r="J2124" s="31">
        <v>65</v>
      </c>
      <c r="K2124" s="33" t="s">
        <v>139</v>
      </c>
      <c r="L2124" s="31" t="str">
        <f t="shared" si="206"/>
        <v>Enam Puluh Lima</v>
      </c>
    </row>
    <row r="2125" spans="10:12">
      <c r="J2125" s="31">
        <v>66</v>
      </c>
      <c r="K2125" s="33" t="s">
        <v>140</v>
      </c>
      <c r="L2125" s="31" t="str">
        <f t="shared" si="206"/>
        <v>Enam Puluh Enam</v>
      </c>
    </row>
    <row r="2126" spans="10:12">
      <c r="J2126" s="31">
        <v>67</v>
      </c>
      <c r="K2126" s="33" t="s">
        <v>141</v>
      </c>
      <c r="L2126" s="31" t="str">
        <f t="shared" si="206"/>
        <v>Enam Puluh Tujuh</v>
      </c>
    </row>
    <row r="2127" spans="10:12">
      <c r="J2127" s="31">
        <v>68</v>
      </c>
      <c r="K2127" s="33" t="s">
        <v>142</v>
      </c>
      <c r="L2127" s="31" t="str">
        <f t="shared" si="206"/>
        <v>Enam Puluh Delapan</v>
      </c>
    </row>
    <row r="2128" spans="10:12">
      <c r="J2128" s="31">
        <v>69</v>
      </c>
      <c r="K2128" s="33" t="s">
        <v>143</v>
      </c>
      <c r="L2128" s="31" t="str">
        <f t="shared" si="206"/>
        <v>Enam Puluh Sembilan</v>
      </c>
    </row>
    <row r="2129" spans="10:12">
      <c r="J2129" s="31">
        <v>70</v>
      </c>
      <c r="K2129" s="33" t="s">
        <v>144</v>
      </c>
      <c r="L2129" s="31" t="s">
        <v>145</v>
      </c>
    </row>
    <row r="2130" spans="10:12">
      <c r="J2130" s="31">
        <v>71</v>
      </c>
      <c r="K2130" s="33" t="s">
        <v>146</v>
      </c>
      <c r="L2130" s="31" t="str">
        <f t="shared" ref="L2130:L2138" si="207">$L$73&amp;" "&amp;L2060</f>
        <v>Tujuh Puluh Satu</v>
      </c>
    </row>
    <row r="2131" spans="10:12">
      <c r="J2131" s="31">
        <v>72</v>
      </c>
      <c r="K2131" s="33" t="s">
        <v>147</v>
      </c>
      <c r="L2131" s="31" t="str">
        <f t="shared" si="207"/>
        <v>Tujuh Puluh Dua</v>
      </c>
    </row>
    <row r="2132" spans="10:12">
      <c r="J2132" s="31">
        <v>73</v>
      </c>
      <c r="K2132" s="33" t="s">
        <v>148</v>
      </c>
      <c r="L2132" s="31" t="str">
        <f t="shared" si="207"/>
        <v>Tujuh Puluh Tiga</v>
      </c>
    </row>
    <row r="2133" spans="10:12">
      <c r="J2133" s="31">
        <v>74</v>
      </c>
      <c r="K2133" s="33" t="s">
        <v>149</v>
      </c>
      <c r="L2133" s="31" t="str">
        <f t="shared" si="207"/>
        <v>Tujuh Puluh Empat</v>
      </c>
    </row>
    <row r="2134" spans="10:12">
      <c r="J2134" s="31">
        <v>75</v>
      </c>
      <c r="K2134" s="33" t="s">
        <v>150</v>
      </c>
      <c r="L2134" s="31" t="str">
        <f t="shared" si="207"/>
        <v>Tujuh Puluh Lima</v>
      </c>
    </row>
    <row r="2135" spans="10:12">
      <c r="J2135" s="31">
        <v>76</v>
      </c>
      <c r="K2135" s="33" t="s">
        <v>151</v>
      </c>
      <c r="L2135" s="31" t="str">
        <f t="shared" si="207"/>
        <v>Tujuh Puluh Enam</v>
      </c>
    </row>
    <row r="2136" spans="10:12">
      <c r="J2136" s="31">
        <v>77</v>
      </c>
      <c r="K2136" s="33" t="s">
        <v>152</v>
      </c>
      <c r="L2136" s="31" t="str">
        <f t="shared" si="207"/>
        <v>Tujuh Puluh Tujuh</v>
      </c>
    </row>
    <row r="2137" spans="10:12">
      <c r="J2137" s="31">
        <v>78</v>
      </c>
      <c r="K2137" s="33" t="s">
        <v>153</v>
      </c>
      <c r="L2137" s="31" t="str">
        <f t="shared" si="207"/>
        <v>Tujuh Puluh Delapan</v>
      </c>
    </row>
    <row r="2138" spans="10:12">
      <c r="J2138" s="31">
        <v>79</v>
      </c>
      <c r="K2138" s="33" t="s">
        <v>154</v>
      </c>
      <c r="L2138" s="31" t="str">
        <f t="shared" si="207"/>
        <v>Tujuh Puluh Sembilan</v>
      </c>
    </row>
    <row r="2139" spans="10:12">
      <c r="J2139" s="31">
        <v>80</v>
      </c>
      <c r="K2139" s="33" t="s">
        <v>155</v>
      </c>
      <c r="L2139" s="31" t="s">
        <v>156</v>
      </c>
    </row>
    <row r="2140" spans="10:12">
      <c r="J2140" s="31">
        <v>81</v>
      </c>
      <c r="K2140" s="33" t="s">
        <v>157</v>
      </c>
      <c r="L2140" s="31" t="str">
        <f t="shared" ref="L2140:L2148" si="208">$L$83&amp;" "&amp;L2060</f>
        <v>Delapan Puluh Satu</v>
      </c>
    </row>
    <row r="2141" spans="10:12">
      <c r="J2141" s="31">
        <v>82</v>
      </c>
      <c r="K2141" s="33" t="s">
        <v>158</v>
      </c>
      <c r="L2141" s="31" t="str">
        <f t="shared" si="208"/>
        <v>Delapan Puluh Dua</v>
      </c>
    </row>
    <row r="2142" spans="10:12">
      <c r="J2142" s="31">
        <v>83</v>
      </c>
      <c r="K2142" s="33" t="s">
        <v>159</v>
      </c>
      <c r="L2142" s="31" t="str">
        <f t="shared" si="208"/>
        <v>Delapan Puluh Tiga</v>
      </c>
    </row>
    <row r="2143" spans="10:12">
      <c r="J2143" s="31">
        <v>84</v>
      </c>
      <c r="K2143" s="33" t="s">
        <v>160</v>
      </c>
      <c r="L2143" s="31" t="str">
        <f t="shared" si="208"/>
        <v>Delapan Puluh Empat</v>
      </c>
    </row>
    <row r="2144" spans="10:12">
      <c r="J2144" s="31">
        <v>85</v>
      </c>
      <c r="K2144" s="33" t="s">
        <v>161</v>
      </c>
      <c r="L2144" s="31" t="str">
        <f t="shared" si="208"/>
        <v>Delapan Puluh Lima</v>
      </c>
    </row>
    <row r="2145" spans="10:12">
      <c r="J2145" s="31">
        <v>86</v>
      </c>
      <c r="K2145" s="33" t="s">
        <v>162</v>
      </c>
      <c r="L2145" s="31" t="str">
        <f t="shared" si="208"/>
        <v>Delapan Puluh Enam</v>
      </c>
    </row>
    <row r="2146" spans="10:12">
      <c r="J2146" s="31">
        <v>87</v>
      </c>
      <c r="K2146" s="33" t="s">
        <v>163</v>
      </c>
      <c r="L2146" s="31" t="str">
        <f t="shared" si="208"/>
        <v>Delapan Puluh Tujuh</v>
      </c>
    </row>
    <row r="2147" spans="10:12">
      <c r="J2147" s="31">
        <v>88</v>
      </c>
      <c r="K2147" s="33" t="s">
        <v>164</v>
      </c>
      <c r="L2147" s="31" t="str">
        <f t="shared" si="208"/>
        <v>Delapan Puluh Delapan</v>
      </c>
    </row>
    <row r="2148" spans="10:12">
      <c r="J2148" s="31">
        <v>89</v>
      </c>
      <c r="K2148" s="33" t="s">
        <v>165</v>
      </c>
      <c r="L2148" s="31" t="str">
        <f t="shared" si="208"/>
        <v>Delapan Puluh Sembilan</v>
      </c>
    </row>
    <row r="2149" spans="10:12">
      <c r="J2149" s="31">
        <v>90</v>
      </c>
      <c r="K2149" s="33" t="s">
        <v>166</v>
      </c>
      <c r="L2149" s="31" t="s">
        <v>167</v>
      </c>
    </row>
    <row r="2150" spans="10:12">
      <c r="J2150" s="31">
        <v>91</v>
      </c>
      <c r="K2150" s="33" t="s">
        <v>168</v>
      </c>
      <c r="L2150" s="31" t="str">
        <f t="shared" ref="L2150:L2158" si="209">$L$93&amp;" "&amp;L2060</f>
        <v>Sembilan Puluh Satu</v>
      </c>
    </row>
    <row r="2151" spans="10:12">
      <c r="J2151" s="31">
        <v>92</v>
      </c>
      <c r="K2151" s="33" t="s">
        <v>169</v>
      </c>
      <c r="L2151" s="31" t="str">
        <f t="shared" si="209"/>
        <v>Sembilan Puluh Dua</v>
      </c>
    </row>
    <row r="2152" spans="10:12">
      <c r="J2152" s="31">
        <v>93</v>
      </c>
      <c r="K2152" s="33" t="s">
        <v>170</v>
      </c>
      <c r="L2152" s="31" t="str">
        <f t="shared" si="209"/>
        <v>Sembilan Puluh Tiga</v>
      </c>
    </row>
    <row r="2153" spans="10:12">
      <c r="J2153" s="31">
        <v>94</v>
      </c>
      <c r="K2153" s="33" t="s">
        <v>171</v>
      </c>
      <c r="L2153" s="31" t="str">
        <f t="shared" si="209"/>
        <v>Sembilan Puluh Empat</v>
      </c>
    </row>
    <row r="2154" spans="10:12">
      <c r="J2154" s="31">
        <v>95</v>
      </c>
      <c r="K2154" s="33" t="s">
        <v>172</v>
      </c>
      <c r="L2154" s="31" t="str">
        <f t="shared" si="209"/>
        <v>Sembilan Puluh Lima</v>
      </c>
    </row>
    <row r="2155" spans="10:12">
      <c r="J2155" s="31">
        <v>96</v>
      </c>
      <c r="K2155" s="33" t="s">
        <v>173</v>
      </c>
      <c r="L2155" s="31" t="str">
        <f t="shared" si="209"/>
        <v>Sembilan Puluh Enam</v>
      </c>
    </row>
    <row r="2156" spans="10:12">
      <c r="J2156" s="31">
        <v>97</v>
      </c>
      <c r="K2156" s="33" t="s">
        <v>174</v>
      </c>
      <c r="L2156" s="31" t="str">
        <f t="shared" si="209"/>
        <v>Sembilan Puluh Tujuh</v>
      </c>
    </row>
    <row r="2157" spans="10:12">
      <c r="J2157" s="31">
        <v>98</v>
      </c>
      <c r="K2157" s="33" t="s">
        <v>175</v>
      </c>
      <c r="L2157" s="31" t="str">
        <f t="shared" si="209"/>
        <v>Sembilan Puluh Delapan</v>
      </c>
    </row>
    <row r="2158" spans="10:12">
      <c r="J2158" s="31">
        <v>99</v>
      </c>
      <c r="K2158" s="33" t="s">
        <v>176</v>
      </c>
      <c r="L2158" s="31" t="str">
        <f t="shared" si="209"/>
        <v>Sembilan Puluh Sembilan</v>
      </c>
    </row>
    <row r="2161" spans="1:12">
      <c r="A2161" s="30" t="e">
        <f>#REF!</f>
        <v>#REF!</v>
      </c>
      <c r="C2161" s="31" t="s">
        <v>293</v>
      </c>
    </row>
    <row r="2162" spans="1:12">
      <c r="A2162" s="32"/>
    </row>
    <row r="2163" spans="1:12">
      <c r="J2163" s="31">
        <v>0</v>
      </c>
      <c r="K2163" s="33" t="s">
        <v>48</v>
      </c>
      <c r="L2163" s="31" t="s">
        <v>49</v>
      </c>
    </row>
    <row r="2164" spans="1:12">
      <c r="A2164" s="34"/>
      <c r="J2164" s="31">
        <v>1</v>
      </c>
      <c r="K2164" s="33" t="s">
        <v>50</v>
      </c>
      <c r="L2164" s="31" t="s">
        <v>51</v>
      </c>
    </row>
    <row r="2165" spans="1:12">
      <c r="A2165" s="255" t="e">
        <f>TRIM(D2173&amp;E2173&amp;D2174&amp;E2174&amp;D2175&amp;E2175&amp;D2176&amp;E2176&amp;D2177&amp;E2177&amp;D2178&amp;E2178&amp;E2179&amp;D2179&amp;" Only")</f>
        <v>#REF!</v>
      </c>
      <c r="B2165" s="255"/>
      <c r="C2165" s="255"/>
      <c r="D2165" s="255"/>
      <c r="E2165" s="35"/>
      <c r="F2165" s="36"/>
      <c r="J2165" s="31">
        <v>2</v>
      </c>
      <c r="K2165" s="33" t="s">
        <v>52</v>
      </c>
      <c r="L2165" s="31" t="s">
        <v>53</v>
      </c>
    </row>
    <row r="2166" spans="1:12">
      <c r="A2166" s="37"/>
      <c r="B2166" s="37"/>
      <c r="C2166" s="37"/>
      <c r="D2166" s="37"/>
      <c r="E2166" s="35"/>
      <c r="F2166" s="36"/>
      <c r="J2166" s="31">
        <v>3</v>
      </c>
      <c r="K2166" s="33" t="s">
        <v>54</v>
      </c>
      <c r="L2166" s="31" t="s">
        <v>55</v>
      </c>
    </row>
    <row r="2167" spans="1:12">
      <c r="A2167" s="37"/>
      <c r="B2167" s="37"/>
      <c r="C2167" s="37"/>
      <c r="D2167" s="37"/>
      <c r="J2167" s="31">
        <v>4</v>
      </c>
      <c r="K2167" s="33" t="s">
        <v>56</v>
      </c>
      <c r="L2167" s="31" t="s">
        <v>57</v>
      </c>
    </row>
    <row r="2168" spans="1:12">
      <c r="A2168" s="255" t="e">
        <f>TRIM(D2183&amp;E2183&amp;D2184&amp;E2184&amp;D2185&amp;E2185&amp;D2186&amp;E2186&amp;D2187&amp;E2187&amp;D2188&amp;E2188&amp;D2189&amp;E2189&amp;" Rupiah")</f>
        <v>#REF!</v>
      </c>
      <c r="B2168" s="255"/>
      <c r="C2168" s="255"/>
      <c r="D2168" s="255"/>
      <c r="E2168" s="35"/>
      <c r="F2168" s="36"/>
      <c r="J2168" s="31">
        <v>5</v>
      </c>
      <c r="K2168" s="33" t="s">
        <v>58</v>
      </c>
      <c r="L2168" s="31" t="s">
        <v>59</v>
      </c>
    </row>
    <row r="2169" spans="1:12">
      <c r="A2169" s="35"/>
      <c r="B2169" s="35"/>
      <c r="C2169" s="35"/>
      <c r="D2169" s="35"/>
      <c r="E2169" s="35"/>
      <c r="F2169" s="36"/>
      <c r="J2169" s="31">
        <v>6</v>
      </c>
      <c r="K2169" s="33" t="s">
        <v>60</v>
      </c>
      <c r="L2169" s="31" t="s">
        <v>61</v>
      </c>
    </row>
    <row r="2170" spans="1:12">
      <c r="J2170" s="31">
        <v>7</v>
      </c>
      <c r="K2170" s="33" t="s">
        <v>62</v>
      </c>
      <c r="L2170" s="31" t="s">
        <v>63</v>
      </c>
    </row>
    <row r="2171" spans="1:12">
      <c r="J2171" s="31">
        <v>8</v>
      </c>
      <c r="K2171" s="33" t="s">
        <v>64</v>
      </c>
      <c r="L2171" s="31" t="s">
        <v>65</v>
      </c>
    </row>
    <row r="2172" spans="1:12">
      <c r="A2172" s="38" t="s">
        <v>66</v>
      </c>
      <c r="J2172" s="31">
        <v>9</v>
      </c>
      <c r="K2172" s="33" t="s">
        <v>67</v>
      </c>
      <c r="L2172" s="31" t="s">
        <v>68</v>
      </c>
    </row>
    <row r="2173" spans="1:12">
      <c r="A2173" s="31" t="s">
        <v>69</v>
      </c>
      <c r="B2173" s="39" t="e">
        <f>TRUNC(A2161/100000000)</f>
        <v>#REF!</v>
      </c>
      <c r="C2173" s="31" t="e">
        <f>B2173*100000000</f>
        <v>#REF!</v>
      </c>
      <c r="D2173" s="31" t="e">
        <f t="shared" ref="D2173:D2179" si="210">IF(B2173&lt;1,"",VLOOKUP(B2173,$J$3:$K$102,2))</f>
        <v>#REF!</v>
      </c>
      <c r="E2173" s="31" t="e">
        <f>IF(B2173&lt;1,"",IF(B2173&gt;1," Hundreds "," Hundred "))</f>
        <v>#REF!</v>
      </c>
      <c r="J2173" s="31">
        <v>10</v>
      </c>
      <c r="K2173" s="33" t="s">
        <v>70</v>
      </c>
      <c r="L2173" s="31" t="s">
        <v>71</v>
      </c>
    </row>
    <row r="2174" spans="1:12">
      <c r="A2174" s="31" t="s">
        <v>72</v>
      </c>
      <c r="B2174" s="39" t="e">
        <f>TRUNC((A2161-C2173)/1000000)</f>
        <v>#REF!</v>
      </c>
      <c r="C2174" s="31" t="e">
        <f>B2174*1000000</f>
        <v>#REF!</v>
      </c>
      <c r="D2174" s="31" t="e">
        <f t="shared" si="210"/>
        <v>#REF!</v>
      </c>
      <c r="E2174" s="31" t="e">
        <f>IF(B2173+B2174=0,"",IF(B2174=1," Million "," Millions "))</f>
        <v>#REF!</v>
      </c>
      <c r="J2174" s="31">
        <v>11</v>
      </c>
      <c r="K2174" s="33" t="s">
        <v>73</v>
      </c>
      <c r="L2174" s="31" t="s">
        <v>74</v>
      </c>
    </row>
    <row r="2175" spans="1:12">
      <c r="A2175" s="31" t="s">
        <v>75</v>
      </c>
      <c r="B2175" s="39" t="e">
        <f>TRUNC((A2161-SUM(C2173:C2174))/100000)</f>
        <v>#REF!</v>
      </c>
      <c r="C2175" s="31" t="e">
        <f>B2175*100000</f>
        <v>#REF!</v>
      </c>
      <c r="D2175" s="31" t="e">
        <f t="shared" si="210"/>
        <v>#REF!</v>
      </c>
      <c r="E2175" s="31" t="e">
        <f>IF(B2175&lt;1,"",IF(B2175&gt;1," Hundreds "," Hundred "))</f>
        <v>#REF!</v>
      </c>
      <c r="J2175" s="31">
        <v>12</v>
      </c>
      <c r="K2175" s="33" t="s">
        <v>76</v>
      </c>
      <c r="L2175" s="31" t="str">
        <f t="shared" ref="L2175:L2182" si="211">L2165&amp;" Belas"</f>
        <v>Dua Belas</v>
      </c>
    </row>
    <row r="2176" spans="1:12">
      <c r="A2176" s="33" t="s">
        <v>77</v>
      </c>
      <c r="B2176" s="40" t="e">
        <f>TRUNC((A2161-SUM(C2173:C2175))/1000)</f>
        <v>#REF!</v>
      </c>
      <c r="C2176" s="31" t="e">
        <f>B2176*1000</f>
        <v>#REF!</v>
      </c>
      <c r="D2176" s="31" t="e">
        <f t="shared" si="210"/>
        <v>#REF!</v>
      </c>
      <c r="E2176" s="31" t="e">
        <f>IF(B2175+B2176=0,"",IF(B2176=1," Thousand "," Thousands "))</f>
        <v>#REF!</v>
      </c>
      <c r="J2176" s="31">
        <v>13</v>
      </c>
      <c r="K2176" s="33" t="s">
        <v>78</v>
      </c>
      <c r="L2176" s="31" t="str">
        <f t="shared" si="211"/>
        <v>Tiga Belas</v>
      </c>
    </row>
    <row r="2177" spans="1:12">
      <c r="A2177" s="33" t="s">
        <v>79</v>
      </c>
      <c r="B2177" s="40" t="e">
        <f>TRUNC((A2161-SUM(C2173:C2176))/100)</f>
        <v>#REF!</v>
      </c>
      <c r="C2177" s="31" t="e">
        <f>B2177*100</f>
        <v>#REF!</v>
      </c>
      <c r="D2177" s="31" t="e">
        <f t="shared" si="210"/>
        <v>#REF!</v>
      </c>
      <c r="E2177" s="31" t="e">
        <f>IF(B2177&lt;1,"",IF(B2177&gt;1," Hundreds "," Hundred "))</f>
        <v>#REF!</v>
      </c>
      <c r="J2177" s="31">
        <v>14</v>
      </c>
      <c r="K2177" s="33" t="s">
        <v>80</v>
      </c>
      <c r="L2177" s="31" t="str">
        <f t="shared" si="211"/>
        <v>Empat Belas</v>
      </c>
    </row>
    <row r="2178" spans="1:12">
      <c r="A2178" s="33" t="s">
        <v>81</v>
      </c>
      <c r="B2178" s="41" t="e">
        <f>TRUNC((A2161-SUM(C2173:C2177)))</f>
        <v>#REF!</v>
      </c>
      <c r="C2178" s="42" t="e">
        <f>B2178</f>
        <v>#REF!</v>
      </c>
      <c r="D2178" s="31" t="e">
        <f t="shared" si="210"/>
        <v>#REF!</v>
      </c>
      <c r="E2178" s="31" t="e">
        <f>IF(SUM(C2173:C2178)&lt;1,"",IF(B2179&lt;1,""," And "))</f>
        <v>#REF!</v>
      </c>
      <c r="J2178" s="31">
        <v>15</v>
      </c>
      <c r="K2178" s="33" t="s">
        <v>82</v>
      </c>
      <c r="L2178" s="31" t="str">
        <f t="shared" si="211"/>
        <v>Lima Belas</v>
      </c>
    </row>
    <row r="2179" spans="1:12">
      <c r="A2179" s="33" t="s">
        <v>83</v>
      </c>
      <c r="B2179" s="40" t="e">
        <f>ROUND(A2161-SUM(C2173:C2178),2)*100</f>
        <v>#REF!</v>
      </c>
      <c r="D2179" s="43" t="e">
        <f t="shared" si="210"/>
        <v>#REF!</v>
      </c>
      <c r="E2179" s="31" t="e">
        <f>IF(B2179&lt;1,"",IF(B2179=1," Cent "," Cents "))</f>
        <v>#REF!</v>
      </c>
      <c r="J2179" s="31">
        <v>16</v>
      </c>
      <c r="K2179" s="33" t="s">
        <v>84</v>
      </c>
      <c r="L2179" s="31" t="str">
        <f t="shared" si="211"/>
        <v>Enam Belas</v>
      </c>
    </row>
    <row r="2180" spans="1:12">
      <c r="J2180" s="31">
        <v>17</v>
      </c>
      <c r="K2180" s="33" t="s">
        <v>85</v>
      </c>
      <c r="L2180" s="31" t="str">
        <f t="shared" si="211"/>
        <v>Tujuh Belas</v>
      </c>
    </row>
    <row r="2181" spans="1:12">
      <c r="A2181" s="44"/>
      <c r="J2181" s="31">
        <v>18</v>
      </c>
      <c r="K2181" s="33" t="s">
        <v>86</v>
      </c>
      <c r="L2181" s="31" t="str">
        <f t="shared" si="211"/>
        <v>Delapan Belas</v>
      </c>
    </row>
    <row r="2182" spans="1:12">
      <c r="A2182" s="38" t="s">
        <v>87</v>
      </c>
      <c r="J2182" s="31">
        <v>19</v>
      </c>
      <c r="K2182" s="33" t="s">
        <v>88</v>
      </c>
      <c r="L2182" s="31" t="str">
        <f t="shared" si="211"/>
        <v>Sembilan Belas</v>
      </c>
    </row>
    <row r="2183" spans="1:12">
      <c r="A2183" s="31" t="s">
        <v>69</v>
      </c>
      <c r="B2183" s="39" t="e">
        <f>TRUNC(A2161/100000000)</f>
        <v>#REF!</v>
      </c>
      <c r="C2183" s="31" t="e">
        <f>B2183*100000000</f>
        <v>#REF!</v>
      </c>
      <c r="D2183" s="31" t="e">
        <f>IF(B2183&lt;1,"",IF(B2183=1,"",VLOOKUP(B2183,$J$3:$L$102,3)))</f>
        <v>#REF!</v>
      </c>
      <c r="E2183" s="31" t="e">
        <f>IF(B2183&lt;1,"",IF(B2183=1,"Seratus "," Ratus "))</f>
        <v>#REF!</v>
      </c>
      <c r="J2183" s="31">
        <v>20</v>
      </c>
      <c r="K2183" s="33" t="s">
        <v>89</v>
      </c>
      <c r="L2183" s="31" t="s">
        <v>90</v>
      </c>
    </row>
    <row r="2184" spans="1:12">
      <c r="A2184" s="31" t="s">
        <v>72</v>
      </c>
      <c r="B2184" s="39" t="e">
        <f>TRUNC((A2161-C2183)/1000000)</f>
        <v>#REF!</v>
      </c>
      <c r="C2184" s="31" t="e">
        <f>B2184*1000000</f>
        <v>#REF!</v>
      </c>
      <c r="D2184" s="31" t="e">
        <f>IF(B2184&lt;1,"",VLOOKUP(B2184,$J$3:$L$102,3))</f>
        <v>#REF!</v>
      </c>
      <c r="E2184" s="31" t="e">
        <f>IF(B2183+B2184=0,""," Juta ")</f>
        <v>#REF!</v>
      </c>
      <c r="J2184" s="31">
        <v>21</v>
      </c>
      <c r="K2184" s="33" t="s">
        <v>91</v>
      </c>
      <c r="L2184" s="31" t="str">
        <f t="shared" ref="L2184:L2192" si="212">$L$23&amp;" "&amp;L2164</f>
        <v>Dua Puluh Satu</v>
      </c>
    </row>
    <row r="2185" spans="1:12">
      <c r="A2185" s="31" t="s">
        <v>75</v>
      </c>
      <c r="B2185" s="39" t="e">
        <f>TRUNC((A2161-SUM(C2183:C2184))/100000)</f>
        <v>#REF!</v>
      </c>
      <c r="C2185" s="31" t="e">
        <f>B2185*100000</f>
        <v>#REF!</v>
      </c>
      <c r="D2185" s="31" t="e">
        <f>IF(B2185&lt;1,"",IF(B2185=1,"",VLOOKUP(B2185,$J$3:$L$102,3)))</f>
        <v>#REF!</v>
      </c>
      <c r="E2185" s="31" t="e">
        <f>IF(B2185&lt;1,"",IF(B2185=1," Seratus "," Ratus "))</f>
        <v>#REF!</v>
      </c>
      <c r="J2185" s="31">
        <v>22</v>
      </c>
      <c r="K2185" s="33" t="s">
        <v>92</v>
      </c>
      <c r="L2185" s="31" t="str">
        <f t="shared" si="212"/>
        <v>Dua Puluh Dua</v>
      </c>
    </row>
    <row r="2186" spans="1:12">
      <c r="A2186" s="33" t="s">
        <v>77</v>
      </c>
      <c r="B2186" s="40" t="e">
        <f>TRUNC((A2161-SUM(C2183:C2185))/1000)</f>
        <v>#REF!</v>
      </c>
      <c r="C2186" s="31" t="e">
        <f>B2186*1000</f>
        <v>#REF!</v>
      </c>
      <c r="D2186" s="31" t="e">
        <f>IF(B2186&lt;1,"",IF(B2186=1,"",VLOOKUP(B2186,$J$3:$L$102,3)))</f>
        <v>#REF!</v>
      </c>
      <c r="E2186" s="31" t="e">
        <f>IF(B2185+B2186&lt;1,"",IF(B2186=1," Seribu "," Ribu "))</f>
        <v>#REF!</v>
      </c>
      <c r="J2186" s="31">
        <v>23</v>
      </c>
      <c r="K2186" s="33" t="s">
        <v>93</v>
      </c>
      <c r="L2186" s="31" t="str">
        <f t="shared" si="212"/>
        <v>Dua Puluh Tiga</v>
      </c>
    </row>
    <row r="2187" spans="1:12">
      <c r="A2187" s="33" t="s">
        <v>79</v>
      </c>
      <c r="B2187" s="40" t="e">
        <f>TRUNC((A2161-SUM(C2183:C2186))/100)</f>
        <v>#REF!</v>
      </c>
      <c r="C2187" s="31" t="e">
        <f>B2187*100</f>
        <v>#REF!</v>
      </c>
      <c r="D2187" s="31" t="e">
        <f>IF(B2187&lt;1,"",IF(B2187=1,"",VLOOKUP(B2187,$J$3:$L$102,3)))</f>
        <v>#REF!</v>
      </c>
      <c r="E2187" s="31" t="e">
        <f>IF(B2187&lt;1,"",IF(B2187=1," Seratus "," Ratus "))</f>
        <v>#REF!</v>
      </c>
      <c r="J2187" s="31">
        <v>24</v>
      </c>
      <c r="K2187" s="33" t="s">
        <v>94</v>
      </c>
      <c r="L2187" s="31" t="str">
        <f t="shared" si="212"/>
        <v>Dua Puluh Empat</v>
      </c>
    </row>
    <row r="2188" spans="1:12">
      <c r="A2188" s="33" t="s">
        <v>81</v>
      </c>
      <c r="B2188" s="41" t="e">
        <f>TRUNC((A2161-SUM(C2183:C2187)))</f>
        <v>#REF!</v>
      </c>
      <c r="C2188" s="42" t="e">
        <f>B2188</f>
        <v>#REF!</v>
      </c>
      <c r="D2188" s="31" t="e">
        <f>IF(B2188&lt;1,"",VLOOKUP(B2188,$J$3:$L$102,3))</f>
        <v>#REF!</v>
      </c>
      <c r="E2188" s="31" t="e">
        <f>IF(SUM(C2183:C2188)&lt;1,"",IF(B2189&lt;1,""," Dan "))</f>
        <v>#REF!</v>
      </c>
      <c r="J2188" s="31">
        <v>25</v>
      </c>
      <c r="K2188" s="33" t="s">
        <v>95</v>
      </c>
      <c r="L2188" s="31" t="str">
        <f t="shared" si="212"/>
        <v>Dua Puluh Lima</v>
      </c>
    </row>
    <row r="2189" spans="1:12">
      <c r="A2189" s="33" t="s">
        <v>83</v>
      </c>
      <c r="B2189" s="40" t="e">
        <f>ROUND(A2161-SUM(C2183:C2188),2)*100</f>
        <v>#REF!</v>
      </c>
      <c r="D2189" s="31" t="e">
        <f>IF(B2189&lt;1,"",VLOOKUP(B2189,$J$3:$L$102,3))</f>
        <v>#REF!</v>
      </c>
      <c r="E2189" s="31" t="e">
        <f>IF(B2189&lt;1,""," Sen ")</f>
        <v>#REF!</v>
      </c>
      <c r="J2189" s="31">
        <v>26</v>
      </c>
      <c r="K2189" s="33" t="s">
        <v>96</v>
      </c>
      <c r="L2189" s="31" t="str">
        <f t="shared" si="212"/>
        <v>Dua Puluh Enam</v>
      </c>
    </row>
    <row r="2190" spans="1:12">
      <c r="J2190" s="31">
        <v>27</v>
      </c>
      <c r="K2190" s="33" t="s">
        <v>97</v>
      </c>
      <c r="L2190" s="31" t="str">
        <f t="shared" si="212"/>
        <v>Dua Puluh Tujuh</v>
      </c>
    </row>
    <row r="2191" spans="1:12">
      <c r="J2191" s="31">
        <v>28</v>
      </c>
      <c r="K2191" s="33" t="s">
        <v>98</v>
      </c>
      <c r="L2191" s="31" t="str">
        <f t="shared" si="212"/>
        <v>Dua Puluh Delapan</v>
      </c>
    </row>
    <row r="2192" spans="1:12">
      <c r="J2192" s="31">
        <v>29</v>
      </c>
      <c r="K2192" s="33" t="s">
        <v>99</v>
      </c>
      <c r="L2192" s="31" t="str">
        <f t="shared" si="212"/>
        <v>Dua Puluh Sembilan</v>
      </c>
    </row>
    <row r="2193" spans="1:12">
      <c r="J2193" s="31">
        <v>30</v>
      </c>
      <c r="K2193" s="33" t="s">
        <v>100</v>
      </c>
      <c r="L2193" s="31" t="s">
        <v>101</v>
      </c>
    </row>
    <row r="2194" spans="1:12">
      <c r="J2194" s="31">
        <v>31</v>
      </c>
      <c r="K2194" s="33" t="s">
        <v>102</v>
      </c>
      <c r="L2194" s="31" t="str">
        <f t="shared" ref="L2194:L2202" si="213">$L$33&amp;" "&amp;L2164</f>
        <v>Tiga Puluh Satu</v>
      </c>
    </row>
    <row r="2195" spans="1:12">
      <c r="J2195" s="31">
        <v>32</v>
      </c>
      <c r="K2195" s="33" t="s">
        <v>103</v>
      </c>
      <c r="L2195" s="31" t="str">
        <f t="shared" si="213"/>
        <v>Tiga Puluh Dua</v>
      </c>
    </row>
    <row r="2196" spans="1:12">
      <c r="J2196" s="31">
        <v>33</v>
      </c>
      <c r="K2196" s="33" t="s">
        <v>104</v>
      </c>
      <c r="L2196" s="31" t="str">
        <f t="shared" si="213"/>
        <v>Tiga Puluh Tiga</v>
      </c>
    </row>
    <row r="2197" spans="1:12">
      <c r="J2197" s="31">
        <v>34</v>
      </c>
      <c r="K2197" s="33" t="s">
        <v>105</v>
      </c>
      <c r="L2197" s="31" t="str">
        <f t="shared" si="213"/>
        <v>Tiga Puluh Empat</v>
      </c>
    </row>
    <row r="2198" spans="1:12">
      <c r="J2198" s="31">
        <v>35</v>
      </c>
      <c r="K2198" s="33" t="s">
        <v>106</v>
      </c>
      <c r="L2198" s="31" t="str">
        <f t="shared" si="213"/>
        <v>Tiga Puluh Lima</v>
      </c>
    </row>
    <row r="2199" spans="1:12">
      <c r="J2199" s="31">
        <v>36</v>
      </c>
      <c r="K2199" s="33" t="s">
        <v>107</v>
      </c>
      <c r="L2199" s="31" t="str">
        <f t="shared" si="213"/>
        <v>Tiga Puluh Enam</v>
      </c>
    </row>
    <row r="2200" spans="1:12">
      <c r="J2200" s="31">
        <v>37</v>
      </c>
      <c r="K2200" s="33" t="s">
        <v>108</v>
      </c>
      <c r="L2200" s="31" t="str">
        <f t="shared" si="213"/>
        <v>Tiga Puluh Tujuh</v>
      </c>
    </row>
    <row r="2201" spans="1:12">
      <c r="J2201" s="31">
        <v>38</v>
      </c>
      <c r="K2201" s="33" t="s">
        <v>109</v>
      </c>
      <c r="L2201" s="31" t="str">
        <f t="shared" si="213"/>
        <v>Tiga Puluh Delapan</v>
      </c>
    </row>
    <row r="2202" spans="1:12">
      <c r="J2202" s="31">
        <v>39</v>
      </c>
      <c r="K2202" s="33" t="s">
        <v>110</v>
      </c>
      <c r="L2202" s="31" t="str">
        <f t="shared" si="213"/>
        <v>Tiga Puluh Sembilan</v>
      </c>
    </row>
    <row r="2203" spans="1:12">
      <c r="B2203" s="35"/>
      <c r="C2203" s="35"/>
      <c r="D2203" s="35"/>
      <c r="J2203" s="31">
        <v>40</v>
      </c>
      <c r="K2203" s="33" t="s">
        <v>111</v>
      </c>
      <c r="L2203" s="31" t="s">
        <v>112</v>
      </c>
    </row>
    <row r="2204" spans="1:12">
      <c r="A2204" s="35"/>
      <c r="B2204" s="35"/>
      <c r="C2204" s="35"/>
      <c r="D2204" s="35"/>
      <c r="J2204" s="31">
        <v>41</v>
      </c>
      <c r="K2204" s="33" t="s">
        <v>113</v>
      </c>
      <c r="L2204" s="31" t="str">
        <f t="shared" ref="L2204:L2212" si="214">$L$43&amp;" "&amp;L2164</f>
        <v>Empat Puluh Satu</v>
      </c>
    </row>
    <row r="2205" spans="1:12">
      <c r="J2205" s="31">
        <v>42</v>
      </c>
      <c r="K2205" s="33" t="s">
        <v>114</v>
      </c>
      <c r="L2205" s="31" t="str">
        <f t="shared" si="214"/>
        <v>Empat Puluh Dua</v>
      </c>
    </row>
    <row r="2206" spans="1:12">
      <c r="A2206" s="38"/>
      <c r="J2206" s="31">
        <v>43</v>
      </c>
      <c r="K2206" s="33" t="s">
        <v>115</v>
      </c>
      <c r="L2206" s="31" t="str">
        <f t="shared" si="214"/>
        <v>Empat Puluh Tiga</v>
      </c>
    </row>
    <row r="2207" spans="1:12">
      <c r="J2207" s="31">
        <v>44</v>
      </c>
      <c r="K2207" s="33" t="s">
        <v>116</v>
      </c>
      <c r="L2207" s="31" t="str">
        <f t="shared" si="214"/>
        <v>Empat Puluh Empat</v>
      </c>
    </row>
    <row r="2208" spans="1:12">
      <c r="J2208" s="31">
        <v>45</v>
      </c>
      <c r="K2208" s="33" t="s">
        <v>117</v>
      </c>
      <c r="L2208" s="31" t="str">
        <f t="shared" si="214"/>
        <v>Empat Puluh Lima</v>
      </c>
    </row>
    <row r="2209" spans="10:12">
      <c r="J2209" s="31">
        <v>46</v>
      </c>
      <c r="K2209" s="33" t="s">
        <v>118</v>
      </c>
      <c r="L2209" s="31" t="str">
        <f t="shared" si="214"/>
        <v>Empat Puluh Enam</v>
      </c>
    </row>
    <row r="2210" spans="10:12">
      <c r="J2210" s="31">
        <v>47</v>
      </c>
      <c r="K2210" s="33" t="s">
        <v>119</v>
      </c>
      <c r="L2210" s="31" t="str">
        <f t="shared" si="214"/>
        <v>Empat Puluh Tujuh</v>
      </c>
    </row>
    <row r="2211" spans="10:12">
      <c r="J2211" s="31">
        <v>48</v>
      </c>
      <c r="K2211" s="33" t="s">
        <v>120</v>
      </c>
      <c r="L2211" s="31" t="str">
        <f t="shared" si="214"/>
        <v>Empat Puluh Delapan</v>
      </c>
    </row>
    <row r="2212" spans="10:12">
      <c r="J2212" s="31">
        <v>49</v>
      </c>
      <c r="K2212" s="33" t="s">
        <v>121</v>
      </c>
      <c r="L2212" s="31" t="str">
        <f t="shared" si="214"/>
        <v>Empat Puluh Sembilan</v>
      </c>
    </row>
    <row r="2213" spans="10:12">
      <c r="J2213" s="31">
        <v>50</v>
      </c>
      <c r="K2213" s="33" t="s">
        <v>122</v>
      </c>
      <c r="L2213" s="31" t="s">
        <v>123</v>
      </c>
    </row>
    <row r="2214" spans="10:12">
      <c r="J2214" s="31">
        <v>51</v>
      </c>
      <c r="K2214" s="33" t="s">
        <v>124</v>
      </c>
      <c r="L2214" s="31" t="str">
        <f t="shared" ref="L2214:L2222" si="215">$L$53&amp;" "&amp;L2164</f>
        <v>Lima Puluh Satu</v>
      </c>
    </row>
    <row r="2215" spans="10:12">
      <c r="J2215" s="31">
        <v>52</v>
      </c>
      <c r="K2215" s="33" t="s">
        <v>125</v>
      </c>
      <c r="L2215" s="31" t="str">
        <f t="shared" si="215"/>
        <v>Lima Puluh Dua</v>
      </c>
    </row>
    <row r="2216" spans="10:12">
      <c r="J2216" s="31">
        <v>53</v>
      </c>
      <c r="K2216" s="33" t="s">
        <v>126</v>
      </c>
      <c r="L2216" s="31" t="str">
        <f t="shared" si="215"/>
        <v>Lima Puluh Tiga</v>
      </c>
    </row>
    <row r="2217" spans="10:12">
      <c r="J2217" s="31">
        <v>54</v>
      </c>
      <c r="K2217" s="33" t="s">
        <v>127</v>
      </c>
      <c r="L2217" s="31" t="str">
        <f t="shared" si="215"/>
        <v>Lima Puluh Empat</v>
      </c>
    </row>
    <row r="2218" spans="10:12">
      <c r="J2218" s="31">
        <v>55</v>
      </c>
      <c r="K2218" s="33" t="s">
        <v>128</v>
      </c>
      <c r="L2218" s="31" t="str">
        <f t="shared" si="215"/>
        <v>Lima Puluh Lima</v>
      </c>
    </row>
    <row r="2219" spans="10:12">
      <c r="J2219" s="31">
        <v>56</v>
      </c>
      <c r="K2219" s="33" t="s">
        <v>129</v>
      </c>
      <c r="L2219" s="31" t="str">
        <f t="shared" si="215"/>
        <v>Lima Puluh Enam</v>
      </c>
    </row>
    <row r="2220" spans="10:12">
      <c r="J2220" s="31">
        <v>57</v>
      </c>
      <c r="K2220" s="33" t="s">
        <v>130</v>
      </c>
      <c r="L2220" s="31" t="str">
        <f t="shared" si="215"/>
        <v>Lima Puluh Tujuh</v>
      </c>
    </row>
    <row r="2221" spans="10:12">
      <c r="J2221" s="31">
        <v>58</v>
      </c>
      <c r="K2221" s="33" t="s">
        <v>131</v>
      </c>
      <c r="L2221" s="31" t="str">
        <f t="shared" si="215"/>
        <v>Lima Puluh Delapan</v>
      </c>
    </row>
    <row r="2222" spans="10:12">
      <c r="J2222" s="31">
        <v>59</v>
      </c>
      <c r="K2222" s="33" t="s">
        <v>132</v>
      </c>
      <c r="L2222" s="31" t="str">
        <f t="shared" si="215"/>
        <v>Lima Puluh Sembilan</v>
      </c>
    </row>
    <row r="2223" spans="10:12">
      <c r="J2223" s="31">
        <v>60</v>
      </c>
      <c r="K2223" s="33" t="s">
        <v>133</v>
      </c>
      <c r="L2223" s="31" t="s">
        <v>134</v>
      </c>
    </row>
    <row r="2224" spans="10:12">
      <c r="J2224" s="31">
        <v>61</v>
      </c>
      <c r="K2224" s="33" t="s">
        <v>135</v>
      </c>
      <c r="L2224" s="31" t="str">
        <f t="shared" ref="L2224:L2232" si="216">$L$63&amp;" "&amp;L2164</f>
        <v>Enam Puluh Satu</v>
      </c>
    </row>
    <row r="2225" spans="10:12">
      <c r="J2225" s="31">
        <v>62</v>
      </c>
      <c r="K2225" s="33" t="s">
        <v>136</v>
      </c>
      <c r="L2225" s="31" t="str">
        <f t="shared" si="216"/>
        <v>Enam Puluh Dua</v>
      </c>
    </row>
    <row r="2226" spans="10:12">
      <c r="J2226" s="31">
        <v>63</v>
      </c>
      <c r="K2226" s="33" t="s">
        <v>137</v>
      </c>
      <c r="L2226" s="31" t="str">
        <f t="shared" si="216"/>
        <v>Enam Puluh Tiga</v>
      </c>
    </row>
    <row r="2227" spans="10:12">
      <c r="J2227" s="31">
        <v>64</v>
      </c>
      <c r="K2227" s="33" t="s">
        <v>138</v>
      </c>
      <c r="L2227" s="31" t="str">
        <f t="shared" si="216"/>
        <v>Enam Puluh Empat</v>
      </c>
    </row>
    <row r="2228" spans="10:12">
      <c r="J2228" s="31">
        <v>65</v>
      </c>
      <c r="K2228" s="33" t="s">
        <v>139</v>
      </c>
      <c r="L2228" s="31" t="str">
        <f t="shared" si="216"/>
        <v>Enam Puluh Lima</v>
      </c>
    </row>
    <row r="2229" spans="10:12">
      <c r="J2229" s="31">
        <v>66</v>
      </c>
      <c r="K2229" s="33" t="s">
        <v>140</v>
      </c>
      <c r="L2229" s="31" t="str">
        <f t="shared" si="216"/>
        <v>Enam Puluh Enam</v>
      </c>
    </row>
    <row r="2230" spans="10:12">
      <c r="J2230" s="31">
        <v>67</v>
      </c>
      <c r="K2230" s="33" t="s">
        <v>141</v>
      </c>
      <c r="L2230" s="31" t="str">
        <f t="shared" si="216"/>
        <v>Enam Puluh Tujuh</v>
      </c>
    </row>
    <row r="2231" spans="10:12">
      <c r="J2231" s="31">
        <v>68</v>
      </c>
      <c r="K2231" s="33" t="s">
        <v>142</v>
      </c>
      <c r="L2231" s="31" t="str">
        <f t="shared" si="216"/>
        <v>Enam Puluh Delapan</v>
      </c>
    </row>
    <row r="2232" spans="10:12">
      <c r="J2232" s="31">
        <v>69</v>
      </c>
      <c r="K2232" s="33" t="s">
        <v>143</v>
      </c>
      <c r="L2232" s="31" t="str">
        <f t="shared" si="216"/>
        <v>Enam Puluh Sembilan</v>
      </c>
    </row>
    <row r="2233" spans="10:12">
      <c r="J2233" s="31">
        <v>70</v>
      </c>
      <c r="K2233" s="33" t="s">
        <v>144</v>
      </c>
      <c r="L2233" s="31" t="s">
        <v>145</v>
      </c>
    </row>
    <row r="2234" spans="10:12">
      <c r="J2234" s="31">
        <v>71</v>
      </c>
      <c r="K2234" s="33" t="s">
        <v>146</v>
      </c>
      <c r="L2234" s="31" t="str">
        <f t="shared" ref="L2234:L2242" si="217">$L$73&amp;" "&amp;L2164</f>
        <v>Tujuh Puluh Satu</v>
      </c>
    </row>
    <row r="2235" spans="10:12">
      <c r="J2235" s="31">
        <v>72</v>
      </c>
      <c r="K2235" s="33" t="s">
        <v>147</v>
      </c>
      <c r="L2235" s="31" t="str">
        <f t="shared" si="217"/>
        <v>Tujuh Puluh Dua</v>
      </c>
    </row>
    <row r="2236" spans="10:12">
      <c r="J2236" s="31">
        <v>73</v>
      </c>
      <c r="K2236" s="33" t="s">
        <v>148</v>
      </c>
      <c r="L2236" s="31" t="str">
        <f t="shared" si="217"/>
        <v>Tujuh Puluh Tiga</v>
      </c>
    </row>
    <row r="2237" spans="10:12">
      <c r="J2237" s="31">
        <v>74</v>
      </c>
      <c r="K2237" s="33" t="s">
        <v>149</v>
      </c>
      <c r="L2237" s="31" t="str">
        <f t="shared" si="217"/>
        <v>Tujuh Puluh Empat</v>
      </c>
    </row>
    <row r="2238" spans="10:12">
      <c r="J2238" s="31">
        <v>75</v>
      </c>
      <c r="K2238" s="33" t="s">
        <v>150</v>
      </c>
      <c r="L2238" s="31" t="str">
        <f t="shared" si="217"/>
        <v>Tujuh Puluh Lima</v>
      </c>
    </row>
    <row r="2239" spans="10:12">
      <c r="J2239" s="31">
        <v>76</v>
      </c>
      <c r="K2239" s="33" t="s">
        <v>151</v>
      </c>
      <c r="L2239" s="31" t="str">
        <f t="shared" si="217"/>
        <v>Tujuh Puluh Enam</v>
      </c>
    </row>
    <row r="2240" spans="10:12">
      <c r="J2240" s="31">
        <v>77</v>
      </c>
      <c r="K2240" s="33" t="s">
        <v>152</v>
      </c>
      <c r="L2240" s="31" t="str">
        <f t="shared" si="217"/>
        <v>Tujuh Puluh Tujuh</v>
      </c>
    </row>
    <row r="2241" spans="10:12">
      <c r="J2241" s="31">
        <v>78</v>
      </c>
      <c r="K2241" s="33" t="s">
        <v>153</v>
      </c>
      <c r="L2241" s="31" t="str">
        <f t="shared" si="217"/>
        <v>Tujuh Puluh Delapan</v>
      </c>
    </row>
    <row r="2242" spans="10:12">
      <c r="J2242" s="31">
        <v>79</v>
      </c>
      <c r="K2242" s="33" t="s">
        <v>154</v>
      </c>
      <c r="L2242" s="31" t="str">
        <f t="shared" si="217"/>
        <v>Tujuh Puluh Sembilan</v>
      </c>
    </row>
    <row r="2243" spans="10:12">
      <c r="J2243" s="31">
        <v>80</v>
      </c>
      <c r="K2243" s="33" t="s">
        <v>155</v>
      </c>
      <c r="L2243" s="31" t="s">
        <v>156</v>
      </c>
    </row>
    <row r="2244" spans="10:12">
      <c r="J2244" s="31">
        <v>81</v>
      </c>
      <c r="K2244" s="33" t="s">
        <v>157</v>
      </c>
      <c r="L2244" s="31" t="str">
        <f t="shared" ref="L2244:L2252" si="218">$L$83&amp;" "&amp;L2164</f>
        <v>Delapan Puluh Satu</v>
      </c>
    </row>
    <row r="2245" spans="10:12">
      <c r="J2245" s="31">
        <v>82</v>
      </c>
      <c r="K2245" s="33" t="s">
        <v>158</v>
      </c>
      <c r="L2245" s="31" t="str">
        <f t="shared" si="218"/>
        <v>Delapan Puluh Dua</v>
      </c>
    </row>
    <row r="2246" spans="10:12">
      <c r="J2246" s="31">
        <v>83</v>
      </c>
      <c r="K2246" s="33" t="s">
        <v>159</v>
      </c>
      <c r="L2246" s="31" t="str">
        <f t="shared" si="218"/>
        <v>Delapan Puluh Tiga</v>
      </c>
    </row>
    <row r="2247" spans="10:12">
      <c r="J2247" s="31">
        <v>84</v>
      </c>
      <c r="K2247" s="33" t="s">
        <v>160</v>
      </c>
      <c r="L2247" s="31" t="str">
        <f t="shared" si="218"/>
        <v>Delapan Puluh Empat</v>
      </c>
    </row>
    <row r="2248" spans="10:12">
      <c r="J2248" s="31">
        <v>85</v>
      </c>
      <c r="K2248" s="33" t="s">
        <v>161</v>
      </c>
      <c r="L2248" s="31" t="str">
        <f t="shared" si="218"/>
        <v>Delapan Puluh Lima</v>
      </c>
    </row>
    <row r="2249" spans="10:12">
      <c r="J2249" s="31">
        <v>86</v>
      </c>
      <c r="K2249" s="33" t="s">
        <v>162</v>
      </c>
      <c r="L2249" s="31" t="str">
        <f t="shared" si="218"/>
        <v>Delapan Puluh Enam</v>
      </c>
    </row>
    <row r="2250" spans="10:12">
      <c r="J2250" s="31">
        <v>87</v>
      </c>
      <c r="K2250" s="33" t="s">
        <v>163</v>
      </c>
      <c r="L2250" s="31" t="str">
        <f t="shared" si="218"/>
        <v>Delapan Puluh Tujuh</v>
      </c>
    </row>
    <row r="2251" spans="10:12">
      <c r="J2251" s="31">
        <v>88</v>
      </c>
      <c r="K2251" s="33" t="s">
        <v>164</v>
      </c>
      <c r="L2251" s="31" t="str">
        <f t="shared" si="218"/>
        <v>Delapan Puluh Delapan</v>
      </c>
    </row>
    <row r="2252" spans="10:12">
      <c r="J2252" s="31">
        <v>89</v>
      </c>
      <c r="K2252" s="33" t="s">
        <v>165</v>
      </c>
      <c r="L2252" s="31" t="str">
        <f t="shared" si="218"/>
        <v>Delapan Puluh Sembilan</v>
      </c>
    </row>
    <row r="2253" spans="10:12">
      <c r="J2253" s="31">
        <v>90</v>
      </c>
      <c r="K2253" s="33" t="s">
        <v>166</v>
      </c>
      <c r="L2253" s="31" t="s">
        <v>167</v>
      </c>
    </row>
    <row r="2254" spans="10:12">
      <c r="J2254" s="31">
        <v>91</v>
      </c>
      <c r="K2254" s="33" t="s">
        <v>168</v>
      </c>
      <c r="L2254" s="31" t="str">
        <f t="shared" ref="L2254:L2262" si="219">$L$93&amp;" "&amp;L2164</f>
        <v>Sembilan Puluh Satu</v>
      </c>
    </row>
    <row r="2255" spans="10:12">
      <c r="J2255" s="31">
        <v>92</v>
      </c>
      <c r="K2255" s="33" t="s">
        <v>169</v>
      </c>
      <c r="L2255" s="31" t="str">
        <f t="shared" si="219"/>
        <v>Sembilan Puluh Dua</v>
      </c>
    </row>
    <row r="2256" spans="10:12">
      <c r="J2256" s="31">
        <v>93</v>
      </c>
      <c r="K2256" s="33" t="s">
        <v>170</v>
      </c>
      <c r="L2256" s="31" t="str">
        <f t="shared" si="219"/>
        <v>Sembilan Puluh Tiga</v>
      </c>
    </row>
    <row r="2257" spans="10:12">
      <c r="J2257" s="31">
        <v>94</v>
      </c>
      <c r="K2257" s="33" t="s">
        <v>171</v>
      </c>
      <c r="L2257" s="31" t="str">
        <f t="shared" si="219"/>
        <v>Sembilan Puluh Empat</v>
      </c>
    </row>
    <row r="2258" spans="10:12">
      <c r="J2258" s="31">
        <v>95</v>
      </c>
      <c r="K2258" s="33" t="s">
        <v>172</v>
      </c>
      <c r="L2258" s="31" t="str">
        <f t="shared" si="219"/>
        <v>Sembilan Puluh Lima</v>
      </c>
    </row>
    <row r="2259" spans="10:12">
      <c r="J2259" s="31">
        <v>96</v>
      </c>
      <c r="K2259" s="33" t="s">
        <v>173</v>
      </c>
      <c r="L2259" s="31" t="str">
        <f t="shared" si="219"/>
        <v>Sembilan Puluh Enam</v>
      </c>
    </row>
    <row r="2260" spans="10:12">
      <c r="J2260" s="31">
        <v>97</v>
      </c>
      <c r="K2260" s="33" t="s">
        <v>174</v>
      </c>
      <c r="L2260" s="31" t="str">
        <f t="shared" si="219"/>
        <v>Sembilan Puluh Tujuh</v>
      </c>
    </row>
    <row r="2261" spans="10:12">
      <c r="J2261" s="31">
        <v>98</v>
      </c>
      <c r="K2261" s="33" t="s">
        <v>175</v>
      </c>
      <c r="L2261" s="31" t="str">
        <f t="shared" si="219"/>
        <v>Sembilan Puluh Delapan</v>
      </c>
    </row>
    <row r="2262" spans="10:12">
      <c r="J2262" s="31">
        <v>99</v>
      </c>
      <c r="K2262" s="33" t="s">
        <v>176</v>
      </c>
      <c r="L2262" s="31" t="str">
        <f t="shared" si="219"/>
        <v>Sembilan Puluh Sembilan</v>
      </c>
    </row>
    <row r="2274" spans="1:12">
      <c r="A2274" s="30" t="e">
        <f>#REF!</f>
        <v>#REF!</v>
      </c>
      <c r="C2274" s="31" t="s">
        <v>294</v>
      </c>
    </row>
    <row r="2275" spans="1:12">
      <c r="A2275" s="32"/>
    </row>
    <row r="2276" spans="1:12">
      <c r="J2276" s="31">
        <v>0</v>
      </c>
      <c r="K2276" s="33" t="s">
        <v>48</v>
      </c>
      <c r="L2276" s="31" t="s">
        <v>49</v>
      </c>
    </row>
    <row r="2277" spans="1:12">
      <c r="A2277" s="34"/>
      <c r="J2277" s="31">
        <v>1</v>
      </c>
      <c r="K2277" s="33" t="s">
        <v>50</v>
      </c>
      <c r="L2277" s="31" t="s">
        <v>51</v>
      </c>
    </row>
    <row r="2278" spans="1:12">
      <c r="A2278" s="255" t="e">
        <f>TRIM(D2286&amp;E2286&amp;D2287&amp;E2287&amp;D2288&amp;E2288&amp;D2289&amp;E2289&amp;D2290&amp;E2290&amp;D2291&amp;E2291&amp;E2292&amp;D2292&amp;" Only")</f>
        <v>#REF!</v>
      </c>
      <c r="B2278" s="255"/>
      <c r="C2278" s="255"/>
      <c r="D2278" s="255"/>
      <c r="E2278" s="35"/>
      <c r="F2278" s="36"/>
      <c r="J2278" s="31">
        <v>2</v>
      </c>
      <c r="K2278" s="33" t="s">
        <v>52</v>
      </c>
      <c r="L2278" s="31" t="s">
        <v>53</v>
      </c>
    </row>
    <row r="2279" spans="1:12">
      <c r="A2279" s="37"/>
      <c r="B2279" s="37"/>
      <c r="C2279" s="37"/>
      <c r="D2279" s="37"/>
      <c r="E2279" s="35"/>
      <c r="F2279" s="36"/>
      <c r="J2279" s="31">
        <v>3</v>
      </c>
      <c r="K2279" s="33" t="s">
        <v>54</v>
      </c>
      <c r="L2279" s="31" t="s">
        <v>55</v>
      </c>
    </row>
    <row r="2280" spans="1:12">
      <c r="A2280" s="37"/>
      <c r="B2280" s="37"/>
      <c r="C2280" s="37"/>
      <c r="D2280" s="37"/>
      <c r="J2280" s="31">
        <v>4</v>
      </c>
      <c r="K2280" s="33" t="s">
        <v>56</v>
      </c>
      <c r="L2280" s="31" t="s">
        <v>57</v>
      </c>
    </row>
    <row r="2281" spans="1:12">
      <c r="A2281" s="255" t="e">
        <f>TRIM(D2296&amp;E2296&amp;D2297&amp;E2297&amp;D2298&amp;E2298&amp;D2299&amp;E2299&amp;D2300&amp;E2300&amp;D2301&amp;E2301&amp;D2302&amp;E2302&amp;" Rupiah")</f>
        <v>#REF!</v>
      </c>
      <c r="B2281" s="255"/>
      <c r="C2281" s="255"/>
      <c r="D2281" s="255"/>
      <c r="E2281" s="35"/>
      <c r="F2281" s="36"/>
      <c r="J2281" s="31">
        <v>5</v>
      </c>
      <c r="K2281" s="33" t="s">
        <v>58</v>
      </c>
      <c r="L2281" s="31" t="s">
        <v>59</v>
      </c>
    </row>
    <row r="2282" spans="1:12">
      <c r="A2282" s="35"/>
      <c r="B2282" s="35"/>
      <c r="C2282" s="35"/>
      <c r="D2282" s="35"/>
      <c r="E2282" s="35"/>
      <c r="F2282" s="36"/>
      <c r="J2282" s="31">
        <v>6</v>
      </c>
      <c r="K2282" s="33" t="s">
        <v>60</v>
      </c>
      <c r="L2282" s="31" t="s">
        <v>61</v>
      </c>
    </row>
    <row r="2283" spans="1:12">
      <c r="J2283" s="31">
        <v>7</v>
      </c>
      <c r="K2283" s="33" t="s">
        <v>62</v>
      </c>
      <c r="L2283" s="31" t="s">
        <v>63</v>
      </c>
    </row>
    <row r="2284" spans="1:12">
      <c r="J2284" s="31">
        <v>8</v>
      </c>
      <c r="K2284" s="33" t="s">
        <v>64</v>
      </c>
      <c r="L2284" s="31" t="s">
        <v>65</v>
      </c>
    </row>
    <row r="2285" spans="1:12">
      <c r="A2285" s="38" t="s">
        <v>66</v>
      </c>
      <c r="J2285" s="31">
        <v>9</v>
      </c>
      <c r="K2285" s="33" t="s">
        <v>67</v>
      </c>
      <c r="L2285" s="31" t="s">
        <v>68</v>
      </c>
    </row>
    <row r="2286" spans="1:12">
      <c r="A2286" s="31" t="s">
        <v>69</v>
      </c>
      <c r="B2286" s="39" t="e">
        <f>TRUNC(A2274/100000000)</f>
        <v>#REF!</v>
      </c>
      <c r="C2286" s="31" t="e">
        <f>B2286*100000000</f>
        <v>#REF!</v>
      </c>
      <c r="D2286" s="31" t="e">
        <f t="shared" ref="D2286:D2292" si="220">IF(B2286&lt;1,"",VLOOKUP(B2286,$J$3:$K$102,2))</f>
        <v>#REF!</v>
      </c>
      <c r="E2286" s="31" t="e">
        <f>IF(B2286&lt;1,"",IF(B2286&gt;1," Hundreds "," Hundred "))</f>
        <v>#REF!</v>
      </c>
      <c r="J2286" s="31">
        <v>10</v>
      </c>
      <c r="K2286" s="33" t="s">
        <v>70</v>
      </c>
      <c r="L2286" s="31" t="s">
        <v>71</v>
      </c>
    </row>
    <row r="2287" spans="1:12">
      <c r="A2287" s="31" t="s">
        <v>72</v>
      </c>
      <c r="B2287" s="39" t="e">
        <f>TRUNC((A2274-C2286)/1000000)</f>
        <v>#REF!</v>
      </c>
      <c r="C2287" s="31" t="e">
        <f>B2287*1000000</f>
        <v>#REF!</v>
      </c>
      <c r="D2287" s="31" t="e">
        <f t="shared" si="220"/>
        <v>#REF!</v>
      </c>
      <c r="E2287" s="31" t="e">
        <f>IF(B2286+B2287=0,"",IF(B2287=1," Million "," Millions "))</f>
        <v>#REF!</v>
      </c>
      <c r="J2287" s="31">
        <v>11</v>
      </c>
      <c r="K2287" s="33" t="s">
        <v>73</v>
      </c>
      <c r="L2287" s="31" t="s">
        <v>74</v>
      </c>
    </row>
    <row r="2288" spans="1:12">
      <c r="A2288" s="31" t="s">
        <v>75</v>
      </c>
      <c r="B2288" s="39" t="e">
        <f>TRUNC((A2274-SUM(C2286:C2287))/100000)</f>
        <v>#REF!</v>
      </c>
      <c r="C2288" s="31" t="e">
        <f>B2288*100000</f>
        <v>#REF!</v>
      </c>
      <c r="D2288" s="31" t="e">
        <f t="shared" si="220"/>
        <v>#REF!</v>
      </c>
      <c r="E2288" s="31" t="e">
        <f>IF(B2288&lt;1,"",IF(B2288&gt;1," Hundreds "," Hundred "))</f>
        <v>#REF!</v>
      </c>
      <c r="J2288" s="31">
        <v>12</v>
      </c>
      <c r="K2288" s="33" t="s">
        <v>76</v>
      </c>
      <c r="L2288" s="31" t="str">
        <f t="shared" ref="L2288:L2295" si="221">L2278&amp;" Belas"</f>
        <v>Dua Belas</v>
      </c>
    </row>
    <row r="2289" spans="1:12">
      <c r="A2289" s="33" t="s">
        <v>77</v>
      </c>
      <c r="B2289" s="40" t="e">
        <f>TRUNC((A2274-SUM(C2286:C2288))/1000)</f>
        <v>#REF!</v>
      </c>
      <c r="C2289" s="31" t="e">
        <f>B2289*1000</f>
        <v>#REF!</v>
      </c>
      <c r="D2289" s="31" t="e">
        <f t="shared" si="220"/>
        <v>#REF!</v>
      </c>
      <c r="E2289" s="31" t="e">
        <f>IF(B2288+B2289=0,"",IF(B2289=1," Thousand "," Thousands "))</f>
        <v>#REF!</v>
      </c>
      <c r="J2289" s="31">
        <v>13</v>
      </c>
      <c r="K2289" s="33" t="s">
        <v>78</v>
      </c>
      <c r="L2289" s="31" t="str">
        <f t="shared" si="221"/>
        <v>Tiga Belas</v>
      </c>
    </row>
    <row r="2290" spans="1:12">
      <c r="A2290" s="33" t="s">
        <v>79</v>
      </c>
      <c r="B2290" s="40" t="e">
        <f>TRUNC((A2274-SUM(C2286:C2289))/100)</f>
        <v>#REF!</v>
      </c>
      <c r="C2290" s="31" t="e">
        <f>B2290*100</f>
        <v>#REF!</v>
      </c>
      <c r="D2290" s="31" t="e">
        <f t="shared" si="220"/>
        <v>#REF!</v>
      </c>
      <c r="E2290" s="31" t="e">
        <f>IF(B2290&lt;1,"",IF(B2290&gt;1," Hundreds "," Hundred "))</f>
        <v>#REF!</v>
      </c>
      <c r="J2290" s="31">
        <v>14</v>
      </c>
      <c r="K2290" s="33" t="s">
        <v>80</v>
      </c>
      <c r="L2290" s="31" t="str">
        <f t="shared" si="221"/>
        <v>Empat Belas</v>
      </c>
    </row>
    <row r="2291" spans="1:12">
      <c r="A2291" s="33" t="s">
        <v>81</v>
      </c>
      <c r="B2291" s="41" t="e">
        <f>TRUNC((A2274-SUM(C2286:C2290)))</f>
        <v>#REF!</v>
      </c>
      <c r="C2291" s="42" t="e">
        <f>B2291</f>
        <v>#REF!</v>
      </c>
      <c r="D2291" s="31" t="e">
        <f t="shared" si="220"/>
        <v>#REF!</v>
      </c>
      <c r="E2291" s="31" t="e">
        <f>IF(SUM(C2286:C2291)&lt;1,"",IF(B2292&lt;1,""," And "))</f>
        <v>#REF!</v>
      </c>
      <c r="J2291" s="31">
        <v>15</v>
      </c>
      <c r="K2291" s="33" t="s">
        <v>82</v>
      </c>
      <c r="L2291" s="31" t="str">
        <f t="shared" si="221"/>
        <v>Lima Belas</v>
      </c>
    </row>
    <row r="2292" spans="1:12">
      <c r="A2292" s="33" t="s">
        <v>83</v>
      </c>
      <c r="B2292" s="40" t="e">
        <f>ROUND(A2274-SUM(C2286:C2291),2)*100</f>
        <v>#REF!</v>
      </c>
      <c r="D2292" s="43" t="e">
        <f t="shared" si="220"/>
        <v>#REF!</v>
      </c>
      <c r="E2292" s="31" t="e">
        <f>IF(B2292&lt;1,"",IF(B2292=1," Cent "," Cents "))</f>
        <v>#REF!</v>
      </c>
      <c r="J2292" s="31">
        <v>16</v>
      </c>
      <c r="K2292" s="33" t="s">
        <v>84</v>
      </c>
      <c r="L2292" s="31" t="str">
        <f t="shared" si="221"/>
        <v>Enam Belas</v>
      </c>
    </row>
    <row r="2293" spans="1:12">
      <c r="J2293" s="31">
        <v>17</v>
      </c>
      <c r="K2293" s="33" t="s">
        <v>85</v>
      </c>
      <c r="L2293" s="31" t="str">
        <f t="shared" si="221"/>
        <v>Tujuh Belas</v>
      </c>
    </row>
    <row r="2294" spans="1:12">
      <c r="A2294" s="44"/>
      <c r="J2294" s="31">
        <v>18</v>
      </c>
      <c r="K2294" s="33" t="s">
        <v>86</v>
      </c>
      <c r="L2294" s="31" t="str">
        <f t="shared" si="221"/>
        <v>Delapan Belas</v>
      </c>
    </row>
    <row r="2295" spans="1:12">
      <c r="A2295" s="38" t="s">
        <v>87</v>
      </c>
      <c r="J2295" s="31">
        <v>19</v>
      </c>
      <c r="K2295" s="33" t="s">
        <v>88</v>
      </c>
      <c r="L2295" s="31" t="str">
        <f t="shared" si="221"/>
        <v>Sembilan Belas</v>
      </c>
    </row>
    <row r="2296" spans="1:12">
      <c r="A2296" s="31" t="s">
        <v>69</v>
      </c>
      <c r="B2296" s="39" t="e">
        <f>TRUNC(A2274/100000000)</f>
        <v>#REF!</v>
      </c>
      <c r="C2296" s="31" t="e">
        <f>B2296*100000000</f>
        <v>#REF!</v>
      </c>
      <c r="D2296" s="31" t="e">
        <f>IF(B2296&lt;1,"",IF(B2296=1,"",VLOOKUP(B2296,$J$3:$L$102,3)))</f>
        <v>#REF!</v>
      </c>
      <c r="E2296" s="31" t="e">
        <f>IF(B2296&lt;1,"",IF(B2296=1,"Seratus "," Ratus "))</f>
        <v>#REF!</v>
      </c>
      <c r="J2296" s="31">
        <v>20</v>
      </c>
      <c r="K2296" s="33" t="s">
        <v>89</v>
      </c>
      <c r="L2296" s="31" t="s">
        <v>90</v>
      </c>
    </row>
    <row r="2297" spans="1:12">
      <c r="A2297" s="31" t="s">
        <v>72</v>
      </c>
      <c r="B2297" s="39" t="e">
        <f>TRUNC((A2274-C2296)/1000000)</f>
        <v>#REF!</v>
      </c>
      <c r="C2297" s="31" t="e">
        <f>B2297*1000000</f>
        <v>#REF!</v>
      </c>
      <c r="D2297" s="31" t="e">
        <f>IF(B2297&lt;1,"",VLOOKUP(B2297,$J$3:$L$102,3))</f>
        <v>#REF!</v>
      </c>
      <c r="E2297" s="31" t="e">
        <f>IF(B2296+B2297=0,""," Juta ")</f>
        <v>#REF!</v>
      </c>
      <c r="J2297" s="31">
        <v>21</v>
      </c>
      <c r="K2297" s="33" t="s">
        <v>91</v>
      </c>
      <c r="L2297" s="31" t="str">
        <f t="shared" ref="L2297:L2305" si="222">$L$23&amp;" "&amp;L2277</f>
        <v>Dua Puluh Satu</v>
      </c>
    </row>
    <row r="2298" spans="1:12">
      <c r="A2298" s="31" t="s">
        <v>75</v>
      </c>
      <c r="B2298" s="39" t="e">
        <f>TRUNC((A2274-SUM(C2296:C2297))/100000)</f>
        <v>#REF!</v>
      </c>
      <c r="C2298" s="31" t="e">
        <f>B2298*100000</f>
        <v>#REF!</v>
      </c>
      <c r="D2298" s="31" t="e">
        <f>IF(B2298&lt;1,"",IF(B2298=1,"",VLOOKUP(B2298,$J$3:$L$102,3)))</f>
        <v>#REF!</v>
      </c>
      <c r="E2298" s="31" t="e">
        <f>IF(B2298&lt;1,"",IF(B2298=1," Seratus "," Ratus "))</f>
        <v>#REF!</v>
      </c>
      <c r="J2298" s="31">
        <v>22</v>
      </c>
      <c r="K2298" s="33" t="s">
        <v>92</v>
      </c>
      <c r="L2298" s="31" t="str">
        <f t="shared" si="222"/>
        <v>Dua Puluh Dua</v>
      </c>
    </row>
    <row r="2299" spans="1:12">
      <c r="A2299" s="33" t="s">
        <v>77</v>
      </c>
      <c r="B2299" s="40" t="e">
        <f>TRUNC((A2274-SUM(C2296:C2298))/1000)</f>
        <v>#REF!</v>
      </c>
      <c r="C2299" s="31" t="e">
        <f>B2299*1000</f>
        <v>#REF!</v>
      </c>
      <c r="D2299" s="31" t="e">
        <f>IF(B2299&lt;1,"",IF(B2299=1,"",VLOOKUP(B2299,$J$3:$L$102,3)))</f>
        <v>#REF!</v>
      </c>
      <c r="E2299" s="31" t="e">
        <f>IF(B2298+B2299&lt;1,"",IF(B2299=1," Seribu "," Ribu "))</f>
        <v>#REF!</v>
      </c>
      <c r="J2299" s="31">
        <v>23</v>
      </c>
      <c r="K2299" s="33" t="s">
        <v>93</v>
      </c>
      <c r="L2299" s="31" t="str">
        <f t="shared" si="222"/>
        <v>Dua Puluh Tiga</v>
      </c>
    </row>
    <row r="2300" spans="1:12">
      <c r="A2300" s="33" t="s">
        <v>79</v>
      </c>
      <c r="B2300" s="40" t="e">
        <f>TRUNC((A2274-SUM(C2296:C2299))/100)</f>
        <v>#REF!</v>
      </c>
      <c r="C2300" s="31" t="e">
        <f>B2300*100</f>
        <v>#REF!</v>
      </c>
      <c r="D2300" s="31" t="e">
        <f>IF(B2300&lt;1,"",IF(B2300=1,"",VLOOKUP(B2300,$J$3:$L$102,3)))</f>
        <v>#REF!</v>
      </c>
      <c r="E2300" s="31" t="e">
        <f>IF(B2300&lt;1,"",IF(B2300=1," Seratus "," Ratus "))</f>
        <v>#REF!</v>
      </c>
      <c r="J2300" s="31">
        <v>24</v>
      </c>
      <c r="K2300" s="33" t="s">
        <v>94</v>
      </c>
      <c r="L2300" s="31" t="str">
        <f t="shared" si="222"/>
        <v>Dua Puluh Empat</v>
      </c>
    </row>
    <row r="2301" spans="1:12">
      <c r="A2301" s="33" t="s">
        <v>81</v>
      </c>
      <c r="B2301" s="41" t="e">
        <f>TRUNC((A2274-SUM(C2296:C2300)))</f>
        <v>#REF!</v>
      </c>
      <c r="C2301" s="42" t="e">
        <f>B2301</f>
        <v>#REF!</v>
      </c>
      <c r="D2301" s="31" t="e">
        <f>IF(B2301&lt;1,"",VLOOKUP(B2301,$J$3:$L$102,3))</f>
        <v>#REF!</v>
      </c>
      <c r="E2301" s="31" t="e">
        <f>IF(SUM(C2296:C2301)&lt;1,"",IF(B2302&lt;1,""," Dan "))</f>
        <v>#REF!</v>
      </c>
      <c r="J2301" s="31">
        <v>25</v>
      </c>
      <c r="K2301" s="33" t="s">
        <v>95</v>
      </c>
      <c r="L2301" s="31" t="str">
        <f t="shared" si="222"/>
        <v>Dua Puluh Lima</v>
      </c>
    </row>
    <row r="2302" spans="1:12">
      <c r="A2302" s="33" t="s">
        <v>83</v>
      </c>
      <c r="B2302" s="40" t="e">
        <f>ROUND(A2274-SUM(C2296:C2301),2)*100</f>
        <v>#REF!</v>
      </c>
      <c r="D2302" s="31" t="e">
        <f>IF(B2302&lt;1,"",VLOOKUP(B2302,$J$3:$L$102,3))</f>
        <v>#REF!</v>
      </c>
      <c r="E2302" s="31" t="e">
        <f>IF(B2302&lt;1,""," Sen ")</f>
        <v>#REF!</v>
      </c>
      <c r="J2302" s="31">
        <v>26</v>
      </c>
      <c r="K2302" s="33" t="s">
        <v>96</v>
      </c>
      <c r="L2302" s="31" t="str">
        <f t="shared" si="222"/>
        <v>Dua Puluh Enam</v>
      </c>
    </row>
    <row r="2303" spans="1:12">
      <c r="J2303" s="31">
        <v>27</v>
      </c>
      <c r="K2303" s="33" t="s">
        <v>97</v>
      </c>
      <c r="L2303" s="31" t="str">
        <f t="shared" si="222"/>
        <v>Dua Puluh Tujuh</v>
      </c>
    </row>
    <row r="2304" spans="1:12">
      <c r="J2304" s="31">
        <v>28</v>
      </c>
      <c r="K2304" s="33" t="s">
        <v>98</v>
      </c>
      <c r="L2304" s="31" t="str">
        <f t="shared" si="222"/>
        <v>Dua Puluh Delapan</v>
      </c>
    </row>
    <row r="2305" spans="1:12">
      <c r="J2305" s="31">
        <v>29</v>
      </c>
      <c r="K2305" s="33" t="s">
        <v>99</v>
      </c>
      <c r="L2305" s="31" t="str">
        <f t="shared" si="222"/>
        <v>Dua Puluh Sembilan</v>
      </c>
    </row>
    <row r="2306" spans="1:12">
      <c r="J2306" s="31">
        <v>30</v>
      </c>
      <c r="K2306" s="33" t="s">
        <v>100</v>
      </c>
      <c r="L2306" s="31" t="s">
        <v>101</v>
      </c>
    </row>
    <row r="2307" spans="1:12">
      <c r="J2307" s="31">
        <v>31</v>
      </c>
      <c r="K2307" s="33" t="s">
        <v>102</v>
      </c>
      <c r="L2307" s="31" t="str">
        <f t="shared" ref="L2307:L2315" si="223">$L$33&amp;" "&amp;L2277</f>
        <v>Tiga Puluh Satu</v>
      </c>
    </row>
    <row r="2308" spans="1:12">
      <c r="J2308" s="31">
        <v>32</v>
      </c>
      <c r="K2308" s="33" t="s">
        <v>103</v>
      </c>
      <c r="L2308" s="31" t="str">
        <f t="shared" si="223"/>
        <v>Tiga Puluh Dua</v>
      </c>
    </row>
    <row r="2309" spans="1:12">
      <c r="J2309" s="31">
        <v>33</v>
      </c>
      <c r="K2309" s="33" t="s">
        <v>104</v>
      </c>
      <c r="L2309" s="31" t="str">
        <f t="shared" si="223"/>
        <v>Tiga Puluh Tiga</v>
      </c>
    </row>
    <row r="2310" spans="1:12">
      <c r="J2310" s="31">
        <v>34</v>
      </c>
      <c r="K2310" s="33" t="s">
        <v>105</v>
      </c>
      <c r="L2310" s="31" t="str">
        <f t="shared" si="223"/>
        <v>Tiga Puluh Empat</v>
      </c>
    </row>
    <row r="2311" spans="1:12">
      <c r="J2311" s="31">
        <v>35</v>
      </c>
      <c r="K2311" s="33" t="s">
        <v>106</v>
      </c>
      <c r="L2311" s="31" t="str">
        <f t="shared" si="223"/>
        <v>Tiga Puluh Lima</v>
      </c>
    </row>
    <row r="2312" spans="1:12">
      <c r="J2312" s="31">
        <v>36</v>
      </c>
      <c r="K2312" s="33" t="s">
        <v>107</v>
      </c>
      <c r="L2312" s="31" t="str">
        <f t="shared" si="223"/>
        <v>Tiga Puluh Enam</v>
      </c>
    </row>
    <row r="2313" spans="1:12">
      <c r="J2313" s="31">
        <v>37</v>
      </c>
      <c r="K2313" s="33" t="s">
        <v>108</v>
      </c>
      <c r="L2313" s="31" t="str">
        <f t="shared" si="223"/>
        <v>Tiga Puluh Tujuh</v>
      </c>
    </row>
    <row r="2314" spans="1:12">
      <c r="J2314" s="31">
        <v>38</v>
      </c>
      <c r="K2314" s="33" t="s">
        <v>109</v>
      </c>
      <c r="L2314" s="31" t="str">
        <f t="shared" si="223"/>
        <v>Tiga Puluh Delapan</v>
      </c>
    </row>
    <row r="2315" spans="1:12">
      <c r="J2315" s="31">
        <v>39</v>
      </c>
      <c r="K2315" s="33" t="s">
        <v>110</v>
      </c>
      <c r="L2315" s="31" t="str">
        <f t="shared" si="223"/>
        <v>Tiga Puluh Sembilan</v>
      </c>
    </row>
    <row r="2316" spans="1:12">
      <c r="B2316" s="35"/>
      <c r="C2316" s="35"/>
      <c r="D2316" s="35"/>
      <c r="J2316" s="31">
        <v>40</v>
      </c>
      <c r="K2316" s="33" t="s">
        <v>111</v>
      </c>
      <c r="L2316" s="31" t="s">
        <v>112</v>
      </c>
    </row>
    <row r="2317" spans="1:12">
      <c r="A2317" s="35"/>
      <c r="B2317" s="35"/>
      <c r="C2317" s="35"/>
      <c r="D2317" s="35"/>
      <c r="J2317" s="31">
        <v>41</v>
      </c>
      <c r="K2317" s="33" t="s">
        <v>113</v>
      </c>
      <c r="L2317" s="31" t="str">
        <f t="shared" ref="L2317:L2325" si="224">$L$43&amp;" "&amp;L2277</f>
        <v>Empat Puluh Satu</v>
      </c>
    </row>
    <row r="2318" spans="1:12">
      <c r="J2318" s="31">
        <v>42</v>
      </c>
      <c r="K2318" s="33" t="s">
        <v>114</v>
      </c>
      <c r="L2318" s="31" t="str">
        <f t="shared" si="224"/>
        <v>Empat Puluh Dua</v>
      </c>
    </row>
    <row r="2319" spans="1:12">
      <c r="A2319" s="38"/>
      <c r="J2319" s="31">
        <v>43</v>
      </c>
      <c r="K2319" s="33" t="s">
        <v>115</v>
      </c>
      <c r="L2319" s="31" t="str">
        <f t="shared" si="224"/>
        <v>Empat Puluh Tiga</v>
      </c>
    </row>
    <row r="2320" spans="1:12">
      <c r="J2320" s="31">
        <v>44</v>
      </c>
      <c r="K2320" s="33" t="s">
        <v>116</v>
      </c>
      <c r="L2320" s="31" t="str">
        <f t="shared" si="224"/>
        <v>Empat Puluh Empat</v>
      </c>
    </row>
    <row r="2321" spans="10:12">
      <c r="J2321" s="31">
        <v>45</v>
      </c>
      <c r="K2321" s="33" t="s">
        <v>117</v>
      </c>
      <c r="L2321" s="31" t="str">
        <f t="shared" si="224"/>
        <v>Empat Puluh Lima</v>
      </c>
    </row>
    <row r="2322" spans="10:12">
      <c r="J2322" s="31">
        <v>46</v>
      </c>
      <c r="K2322" s="33" t="s">
        <v>118</v>
      </c>
      <c r="L2322" s="31" t="str">
        <f t="shared" si="224"/>
        <v>Empat Puluh Enam</v>
      </c>
    </row>
    <row r="2323" spans="10:12">
      <c r="J2323" s="31">
        <v>47</v>
      </c>
      <c r="K2323" s="33" t="s">
        <v>119</v>
      </c>
      <c r="L2323" s="31" t="str">
        <f t="shared" si="224"/>
        <v>Empat Puluh Tujuh</v>
      </c>
    </row>
    <row r="2324" spans="10:12">
      <c r="J2324" s="31">
        <v>48</v>
      </c>
      <c r="K2324" s="33" t="s">
        <v>120</v>
      </c>
      <c r="L2324" s="31" t="str">
        <f t="shared" si="224"/>
        <v>Empat Puluh Delapan</v>
      </c>
    </row>
    <row r="2325" spans="10:12">
      <c r="J2325" s="31">
        <v>49</v>
      </c>
      <c r="K2325" s="33" t="s">
        <v>121</v>
      </c>
      <c r="L2325" s="31" t="str">
        <f t="shared" si="224"/>
        <v>Empat Puluh Sembilan</v>
      </c>
    </row>
    <row r="2326" spans="10:12">
      <c r="J2326" s="31">
        <v>50</v>
      </c>
      <c r="K2326" s="33" t="s">
        <v>122</v>
      </c>
      <c r="L2326" s="31" t="s">
        <v>123</v>
      </c>
    </row>
    <row r="2327" spans="10:12">
      <c r="J2327" s="31">
        <v>51</v>
      </c>
      <c r="K2327" s="33" t="s">
        <v>124</v>
      </c>
      <c r="L2327" s="31" t="str">
        <f t="shared" ref="L2327:L2335" si="225">$L$53&amp;" "&amp;L2277</f>
        <v>Lima Puluh Satu</v>
      </c>
    </row>
    <row r="2328" spans="10:12">
      <c r="J2328" s="31">
        <v>52</v>
      </c>
      <c r="K2328" s="33" t="s">
        <v>125</v>
      </c>
      <c r="L2328" s="31" t="str">
        <f t="shared" si="225"/>
        <v>Lima Puluh Dua</v>
      </c>
    </row>
    <row r="2329" spans="10:12">
      <c r="J2329" s="31">
        <v>53</v>
      </c>
      <c r="K2329" s="33" t="s">
        <v>126</v>
      </c>
      <c r="L2329" s="31" t="str">
        <f t="shared" si="225"/>
        <v>Lima Puluh Tiga</v>
      </c>
    </row>
    <row r="2330" spans="10:12">
      <c r="J2330" s="31">
        <v>54</v>
      </c>
      <c r="K2330" s="33" t="s">
        <v>127</v>
      </c>
      <c r="L2330" s="31" t="str">
        <f t="shared" si="225"/>
        <v>Lima Puluh Empat</v>
      </c>
    </row>
    <row r="2331" spans="10:12">
      <c r="J2331" s="31">
        <v>55</v>
      </c>
      <c r="K2331" s="33" t="s">
        <v>128</v>
      </c>
      <c r="L2331" s="31" t="str">
        <f t="shared" si="225"/>
        <v>Lima Puluh Lima</v>
      </c>
    </row>
    <row r="2332" spans="10:12">
      <c r="J2332" s="31">
        <v>56</v>
      </c>
      <c r="K2332" s="33" t="s">
        <v>129</v>
      </c>
      <c r="L2332" s="31" t="str">
        <f t="shared" si="225"/>
        <v>Lima Puluh Enam</v>
      </c>
    </row>
    <row r="2333" spans="10:12">
      <c r="J2333" s="31">
        <v>57</v>
      </c>
      <c r="K2333" s="33" t="s">
        <v>130</v>
      </c>
      <c r="L2333" s="31" t="str">
        <f t="shared" si="225"/>
        <v>Lima Puluh Tujuh</v>
      </c>
    </row>
    <row r="2334" spans="10:12">
      <c r="J2334" s="31">
        <v>58</v>
      </c>
      <c r="K2334" s="33" t="s">
        <v>131</v>
      </c>
      <c r="L2334" s="31" t="str">
        <f t="shared" si="225"/>
        <v>Lima Puluh Delapan</v>
      </c>
    </row>
    <row r="2335" spans="10:12">
      <c r="J2335" s="31">
        <v>59</v>
      </c>
      <c r="K2335" s="33" t="s">
        <v>132</v>
      </c>
      <c r="L2335" s="31" t="str">
        <f t="shared" si="225"/>
        <v>Lima Puluh Sembilan</v>
      </c>
    </row>
    <row r="2336" spans="10:12">
      <c r="J2336" s="31">
        <v>60</v>
      </c>
      <c r="K2336" s="33" t="s">
        <v>133</v>
      </c>
      <c r="L2336" s="31" t="s">
        <v>134</v>
      </c>
    </row>
    <row r="2337" spans="10:12">
      <c r="J2337" s="31">
        <v>61</v>
      </c>
      <c r="K2337" s="33" t="s">
        <v>135</v>
      </c>
      <c r="L2337" s="31" t="str">
        <f t="shared" ref="L2337:L2345" si="226">$L$63&amp;" "&amp;L2277</f>
        <v>Enam Puluh Satu</v>
      </c>
    </row>
    <row r="2338" spans="10:12">
      <c r="J2338" s="31">
        <v>62</v>
      </c>
      <c r="K2338" s="33" t="s">
        <v>136</v>
      </c>
      <c r="L2338" s="31" t="str">
        <f t="shared" si="226"/>
        <v>Enam Puluh Dua</v>
      </c>
    </row>
    <row r="2339" spans="10:12">
      <c r="J2339" s="31">
        <v>63</v>
      </c>
      <c r="K2339" s="33" t="s">
        <v>137</v>
      </c>
      <c r="L2339" s="31" t="str">
        <f t="shared" si="226"/>
        <v>Enam Puluh Tiga</v>
      </c>
    </row>
    <row r="2340" spans="10:12">
      <c r="J2340" s="31">
        <v>64</v>
      </c>
      <c r="K2340" s="33" t="s">
        <v>138</v>
      </c>
      <c r="L2340" s="31" t="str">
        <f t="shared" si="226"/>
        <v>Enam Puluh Empat</v>
      </c>
    </row>
    <row r="2341" spans="10:12">
      <c r="J2341" s="31">
        <v>65</v>
      </c>
      <c r="K2341" s="33" t="s">
        <v>139</v>
      </c>
      <c r="L2341" s="31" t="str">
        <f t="shared" si="226"/>
        <v>Enam Puluh Lima</v>
      </c>
    </row>
    <row r="2342" spans="10:12">
      <c r="J2342" s="31">
        <v>66</v>
      </c>
      <c r="K2342" s="33" t="s">
        <v>140</v>
      </c>
      <c r="L2342" s="31" t="str">
        <f t="shared" si="226"/>
        <v>Enam Puluh Enam</v>
      </c>
    </row>
    <row r="2343" spans="10:12">
      <c r="J2343" s="31">
        <v>67</v>
      </c>
      <c r="K2343" s="33" t="s">
        <v>141</v>
      </c>
      <c r="L2343" s="31" t="str">
        <f t="shared" si="226"/>
        <v>Enam Puluh Tujuh</v>
      </c>
    </row>
    <row r="2344" spans="10:12">
      <c r="J2344" s="31">
        <v>68</v>
      </c>
      <c r="K2344" s="33" t="s">
        <v>142</v>
      </c>
      <c r="L2344" s="31" t="str">
        <f t="shared" si="226"/>
        <v>Enam Puluh Delapan</v>
      </c>
    </row>
    <row r="2345" spans="10:12">
      <c r="J2345" s="31">
        <v>69</v>
      </c>
      <c r="K2345" s="33" t="s">
        <v>143</v>
      </c>
      <c r="L2345" s="31" t="str">
        <f t="shared" si="226"/>
        <v>Enam Puluh Sembilan</v>
      </c>
    </row>
    <row r="2346" spans="10:12">
      <c r="J2346" s="31">
        <v>70</v>
      </c>
      <c r="K2346" s="33" t="s">
        <v>144</v>
      </c>
      <c r="L2346" s="31" t="s">
        <v>145</v>
      </c>
    </row>
    <row r="2347" spans="10:12">
      <c r="J2347" s="31">
        <v>71</v>
      </c>
      <c r="K2347" s="33" t="s">
        <v>146</v>
      </c>
      <c r="L2347" s="31" t="str">
        <f t="shared" ref="L2347:L2355" si="227">$L$73&amp;" "&amp;L2277</f>
        <v>Tujuh Puluh Satu</v>
      </c>
    </row>
    <row r="2348" spans="10:12">
      <c r="J2348" s="31">
        <v>72</v>
      </c>
      <c r="K2348" s="33" t="s">
        <v>147</v>
      </c>
      <c r="L2348" s="31" t="str">
        <f t="shared" si="227"/>
        <v>Tujuh Puluh Dua</v>
      </c>
    </row>
    <row r="2349" spans="10:12">
      <c r="J2349" s="31">
        <v>73</v>
      </c>
      <c r="K2349" s="33" t="s">
        <v>148</v>
      </c>
      <c r="L2349" s="31" t="str">
        <f t="shared" si="227"/>
        <v>Tujuh Puluh Tiga</v>
      </c>
    </row>
    <row r="2350" spans="10:12">
      <c r="J2350" s="31">
        <v>74</v>
      </c>
      <c r="K2350" s="33" t="s">
        <v>149</v>
      </c>
      <c r="L2350" s="31" t="str">
        <f t="shared" si="227"/>
        <v>Tujuh Puluh Empat</v>
      </c>
    </row>
    <row r="2351" spans="10:12">
      <c r="J2351" s="31">
        <v>75</v>
      </c>
      <c r="K2351" s="33" t="s">
        <v>150</v>
      </c>
      <c r="L2351" s="31" t="str">
        <f t="shared" si="227"/>
        <v>Tujuh Puluh Lima</v>
      </c>
    </row>
    <row r="2352" spans="10:12">
      <c r="J2352" s="31">
        <v>76</v>
      </c>
      <c r="K2352" s="33" t="s">
        <v>151</v>
      </c>
      <c r="L2352" s="31" t="str">
        <f t="shared" si="227"/>
        <v>Tujuh Puluh Enam</v>
      </c>
    </row>
    <row r="2353" spans="10:12">
      <c r="J2353" s="31">
        <v>77</v>
      </c>
      <c r="K2353" s="33" t="s">
        <v>152</v>
      </c>
      <c r="L2353" s="31" t="str">
        <f t="shared" si="227"/>
        <v>Tujuh Puluh Tujuh</v>
      </c>
    </row>
    <row r="2354" spans="10:12">
      <c r="J2354" s="31">
        <v>78</v>
      </c>
      <c r="K2354" s="33" t="s">
        <v>153</v>
      </c>
      <c r="L2354" s="31" t="str">
        <f t="shared" si="227"/>
        <v>Tujuh Puluh Delapan</v>
      </c>
    </row>
    <row r="2355" spans="10:12">
      <c r="J2355" s="31">
        <v>79</v>
      </c>
      <c r="K2355" s="33" t="s">
        <v>154</v>
      </c>
      <c r="L2355" s="31" t="str">
        <f t="shared" si="227"/>
        <v>Tujuh Puluh Sembilan</v>
      </c>
    </row>
    <row r="2356" spans="10:12">
      <c r="J2356" s="31">
        <v>80</v>
      </c>
      <c r="K2356" s="33" t="s">
        <v>155</v>
      </c>
      <c r="L2356" s="31" t="s">
        <v>156</v>
      </c>
    </row>
    <row r="2357" spans="10:12">
      <c r="J2357" s="31">
        <v>81</v>
      </c>
      <c r="K2357" s="33" t="s">
        <v>157</v>
      </c>
      <c r="L2357" s="31" t="str">
        <f t="shared" ref="L2357:L2365" si="228">$L$83&amp;" "&amp;L2277</f>
        <v>Delapan Puluh Satu</v>
      </c>
    </row>
    <row r="2358" spans="10:12">
      <c r="J2358" s="31">
        <v>82</v>
      </c>
      <c r="K2358" s="33" t="s">
        <v>158</v>
      </c>
      <c r="L2358" s="31" t="str">
        <f t="shared" si="228"/>
        <v>Delapan Puluh Dua</v>
      </c>
    </row>
    <row r="2359" spans="10:12">
      <c r="J2359" s="31">
        <v>83</v>
      </c>
      <c r="K2359" s="33" t="s">
        <v>159</v>
      </c>
      <c r="L2359" s="31" t="str">
        <f t="shared" si="228"/>
        <v>Delapan Puluh Tiga</v>
      </c>
    </row>
    <row r="2360" spans="10:12">
      <c r="J2360" s="31">
        <v>84</v>
      </c>
      <c r="K2360" s="33" t="s">
        <v>160</v>
      </c>
      <c r="L2360" s="31" t="str">
        <f t="shared" si="228"/>
        <v>Delapan Puluh Empat</v>
      </c>
    </row>
    <row r="2361" spans="10:12">
      <c r="J2361" s="31">
        <v>85</v>
      </c>
      <c r="K2361" s="33" t="s">
        <v>161</v>
      </c>
      <c r="L2361" s="31" t="str">
        <f t="shared" si="228"/>
        <v>Delapan Puluh Lima</v>
      </c>
    </row>
    <row r="2362" spans="10:12">
      <c r="J2362" s="31">
        <v>86</v>
      </c>
      <c r="K2362" s="33" t="s">
        <v>162</v>
      </c>
      <c r="L2362" s="31" t="str">
        <f t="shared" si="228"/>
        <v>Delapan Puluh Enam</v>
      </c>
    </row>
    <row r="2363" spans="10:12">
      <c r="J2363" s="31">
        <v>87</v>
      </c>
      <c r="K2363" s="33" t="s">
        <v>163</v>
      </c>
      <c r="L2363" s="31" t="str">
        <f t="shared" si="228"/>
        <v>Delapan Puluh Tujuh</v>
      </c>
    </row>
    <row r="2364" spans="10:12">
      <c r="J2364" s="31">
        <v>88</v>
      </c>
      <c r="K2364" s="33" t="s">
        <v>164</v>
      </c>
      <c r="L2364" s="31" t="str">
        <f t="shared" si="228"/>
        <v>Delapan Puluh Delapan</v>
      </c>
    </row>
    <row r="2365" spans="10:12">
      <c r="J2365" s="31">
        <v>89</v>
      </c>
      <c r="K2365" s="33" t="s">
        <v>165</v>
      </c>
      <c r="L2365" s="31" t="str">
        <f t="shared" si="228"/>
        <v>Delapan Puluh Sembilan</v>
      </c>
    </row>
    <row r="2366" spans="10:12">
      <c r="J2366" s="31">
        <v>90</v>
      </c>
      <c r="K2366" s="33" t="s">
        <v>166</v>
      </c>
      <c r="L2366" s="31" t="s">
        <v>167</v>
      </c>
    </row>
    <row r="2367" spans="10:12">
      <c r="J2367" s="31">
        <v>91</v>
      </c>
      <c r="K2367" s="33" t="s">
        <v>168</v>
      </c>
      <c r="L2367" s="31" t="str">
        <f t="shared" ref="L2367:L2375" si="229">$L$93&amp;" "&amp;L2277</f>
        <v>Sembilan Puluh Satu</v>
      </c>
    </row>
    <row r="2368" spans="10:12">
      <c r="J2368" s="31">
        <v>92</v>
      </c>
      <c r="K2368" s="33" t="s">
        <v>169</v>
      </c>
      <c r="L2368" s="31" t="str">
        <f t="shared" si="229"/>
        <v>Sembilan Puluh Dua</v>
      </c>
    </row>
    <row r="2369" spans="1:12">
      <c r="J2369" s="31">
        <v>93</v>
      </c>
      <c r="K2369" s="33" t="s">
        <v>170</v>
      </c>
      <c r="L2369" s="31" t="str">
        <f t="shared" si="229"/>
        <v>Sembilan Puluh Tiga</v>
      </c>
    </row>
    <row r="2370" spans="1:12">
      <c r="J2370" s="31">
        <v>94</v>
      </c>
      <c r="K2370" s="33" t="s">
        <v>171</v>
      </c>
      <c r="L2370" s="31" t="str">
        <f t="shared" si="229"/>
        <v>Sembilan Puluh Empat</v>
      </c>
    </row>
    <row r="2371" spans="1:12">
      <c r="J2371" s="31">
        <v>95</v>
      </c>
      <c r="K2371" s="33" t="s">
        <v>172</v>
      </c>
      <c r="L2371" s="31" t="str">
        <f t="shared" si="229"/>
        <v>Sembilan Puluh Lima</v>
      </c>
    </row>
    <row r="2372" spans="1:12">
      <c r="J2372" s="31">
        <v>96</v>
      </c>
      <c r="K2372" s="33" t="s">
        <v>173</v>
      </c>
      <c r="L2372" s="31" t="str">
        <f t="shared" si="229"/>
        <v>Sembilan Puluh Enam</v>
      </c>
    </row>
    <row r="2373" spans="1:12">
      <c r="J2373" s="31">
        <v>97</v>
      </c>
      <c r="K2373" s="33" t="s">
        <v>174</v>
      </c>
      <c r="L2373" s="31" t="str">
        <f t="shared" si="229"/>
        <v>Sembilan Puluh Tujuh</v>
      </c>
    </row>
    <row r="2374" spans="1:12">
      <c r="J2374" s="31">
        <v>98</v>
      </c>
      <c r="K2374" s="33" t="s">
        <v>175</v>
      </c>
      <c r="L2374" s="31" t="str">
        <f t="shared" si="229"/>
        <v>Sembilan Puluh Delapan</v>
      </c>
    </row>
    <row r="2375" spans="1:12">
      <c r="J2375" s="31">
        <v>99</v>
      </c>
      <c r="K2375" s="33" t="s">
        <v>176</v>
      </c>
      <c r="L2375" s="31" t="str">
        <f t="shared" si="229"/>
        <v>Sembilan Puluh Sembilan</v>
      </c>
    </row>
    <row r="2378" spans="1:12">
      <c r="A2378" s="30" t="e">
        <f>#REF!</f>
        <v>#REF!</v>
      </c>
      <c r="C2378" s="31" t="s">
        <v>187</v>
      </c>
    </row>
    <row r="2379" spans="1:12">
      <c r="A2379" s="32"/>
    </row>
    <row r="2380" spans="1:12">
      <c r="J2380" s="31">
        <v>0</v>
      </c>
      <c r="K2380" s="33" t="s">
        <v>48</v>
      </c>
      <c r="L2380" s="31" t="s">
        <v>49</v>
      </c>
    </row>
    <row r="2381" spans="1:12">
      <c r="A2381" s="34"/>
      <c r="J2381" s="31">
        <v>1</v>
      </c>
      <c r="K2381" s="33" t="s">
        <v>50</v>
      </c>
      <c r="L2381" s="31" t="s">
        <v>51</v>
      </c>
    </row>
    <row r="2382" spans="1:12">
      <c r="A2382" s="255" t="e">
        <f>TRIM(D2390&amp;E2390&amp;D2391&amp;E2391&amp;D2392&amp;E2392&amp;D2393&amp;E2393&amp;D2394&amp;E2394&amp;D2395&amp;E2395&amp;E2396&amp;D2396&amp;" Only")</f>
        <v>#REF!</v>
      </c>
      <c r="B2382" s="255"/>
      <c r="C2382" s="255"/>
      <c r="D2382" s="255"/>
      <c r="E2382" s="35"/>
      <c r="F2382" s="36"/>
      <c r="J2382" s="31">
        <v>2</v>
      </c>
      <c r="K2382" s="33" t="s">
        <v>52</v>
      </c>
      <c r="L2382" s="31" t="s">
        <v>53</v>
      </c>
    </row>
    <row r="2383" spans="1:12">
      <c r="A2383" s="37"/>
      <c r="B2383" s="37"/>
      <c r="C2383" s="37"/>
      <c r="D2383" s="37"/>
      <c r="E2383" s="35"/>
      <c r="F2383" s="36"/>
      <c r="J2383" s="31">
        <v>3</v>
      </c>
      <c r="K2383" s="33" t="s">
        <v>54</v>
      </c>
      <c r="L2383" s="31" t="s">
        <v>55</v>
      </c>
    </row>
    <row r="2384" spans="1:12">
      <c r="A2384" s="37"/>
      <c r="B2384" s="37"/>
      <c r="C2384" s="37"/>
      <c r="D2384" s="37"/>
      <c r="J2384" s="31">
        <v>4</v>
      </c>
      <c r="K2384" s="33" t="s">
        <v>56</v>
      </c>
      <c r="L2384" s="31" t="s">
        <v>57</v>
      </c>
    </row>
    <row r="2385" spans="1:12">
      <c r="A2385" s="255" t="e">
        <f>TRIM(D2400&amp;E2400&amp;D2401&amp;E2401&amp;D2402&amp;E2402&amp;D2403&amp;E2403&amp;D2404&amp;E2404&amp;D2405&amp;E2405&amp;D2406&amp;E2406&amp;" Rupiah")</f>
        <v>#REF!</v>
      </c>
      <c r="B2385" s="255"/>
      <c r="C2385" s="255"/>
      <c r="D2385" s="255"/>
      <c r="E2385" s="35"/>
      <c r="F2385" s="36"/>
      <c r="J2385" s="31">
        <v>5</v>
      </c>
      <c r="K2385" s="33" t="s">
        <v>58</v>
      </c>
      <c r="L2385" s="31" t="s">
        <v>59</v>
      </c>
    </row>
    <row r="2386" spans="1:12">
      <c r="A2386" s="35"/>
      <c r="B2386" s="35"/>
      <c r="C2386" s="35"/>
      <c r="D2386" s="35"/>
      <c r="E2386" s="35"/>
      <c r="F2386" s="36"/>
      <c r="J2386" s="31">
        <v>6</v>
      </c>
      <c r="K2386" s="33" t="s">
        <v>60</v>
      </c>
      <c r="L2386" s="31" t="s">
        <v>61</v>
      </c>
    </row>
    <row r="2387" spans="1:12">
      <c r="J2387" s="31">
        <v>7</v>
      </c>
      <c r="K2387" s="33" t="s">
        <v>62</v>
      </c>
      <c r="L2387" s="31" t="s">
        <v>63</v>
      </c>
    </row>
    <row r="2388" spans="1:12">
      <c r="J2388" s="31">
        <v>8</v>
      </c>
      <c r="K2388" s="33" t="s">
        <v>64</v>
      </c>
      <c r="L2388" s="31" t="s">
        <v>65</v>
      </c>
    </row>
    <row r="2389" spans="1:12">
      <c r="A2389" s="38" t="s">
        <v>66</v>
      </c>
      <c r="J2389" s="31">
        <v>9</v>
      </c>
      <c r="K2389" s="33" t="s">
        <v>67</v>
      </c>
      <c r="L2389" s="31" t="s">
        <v>68</v>
      </c>
    </row>
    <row r="2390" spans="1:12">
      <c r="A2390" s="31" t="s">
        <v>69</v>
      </c>
      <c r="B2390" s="39" t="e">
        <f>TRUNC(A2378/100000000)</f>
        <v>#REF!</v>
      </c>
      <c r="C2390" s="31" t="e">
        <f>B2390*100000000</f>
        <v>#REF!</v>
      </c>
      <c r="D2390" s="31" t="e">
        <f t="shared" ref="D2390:D2396" si="230">IF(B2390&lt;1,"",VLOOKUP(B2390,$J$3:$K$102,2))</f>
        <v>#REF!</v>
      </c>
      <c r="E2390" s="31" t="e">
        <f>IF(B2390&lt;1,"",IF(B2390&gt;1," Hundreds "," Hundred "))</f>
        <v>#REF!</v>
      </c>
      <c r="J2390" s="31">
        <v>10</v>
      </c>
      <c r="K2390" s="33" t="s">
        <v>70</v>
      </c>
      <c r="L2390" s="31" t="s">
        <v>71</v>
      </c>
    </row>
    <row r="2391" spans="1:12">
      <c r="A2391" s="31" t="s">
        <v>72</v>
      </c>
      <c r="B2391" s="39" t="e">
        <f>TRUNC((A2378-C2390)/1000000)</f>
        <v>#REF!</v>
      </c>
      <c r="C2391" s="31" t="e">
        <f>B2391*1000000</f>
        <v>#REF!</v>
      </c>
      <c r="D2391" s="31" t="e">
        <f t="shared" si="230"/>
        <v>#REF!</v>
      </c>
      <c r="E2391" s="31" t="e">
        <f>IF(B2390+B2391=0,"",IF(B2391=1," Million "," Millions "))</f>
        <v>#REF!</v>
      </c>
      <c r="J2391" s="31">
        <v>11</v>
      </c>
      <c r="K2391" s="33" t="s">
        <v>73</v>
      </c>
      <c r="L2391" s="31" t="s">
        <v>74</v>
      </c>
    </row>
    <row r="2392" spans="1:12">
      <c r="A2392" s="31" t="s">
        <v>75</v>
      </c>
      <c r="B2392" s="39" t="e">
        <f>TRUNC((A2378-SUM(C2390:C2391))/100000)</f>
        <v>#REF!</v>
      </c>
      <c r="C2392" s="31" t="e">
        <f>B2392*100000</f>
        <v>#REF!</v>
      </c>
      <c r="D2392" s="31" t="e">
        <f t="shared" si="230"/>
        <v>#REF!</v>
      </c>
      <c r="E2392" s="31" t="e">
        <f>IF(B2392&lt;1,"",IF(B2392&gt;1," Hundreds "," Hundred "))</f>
        <v>#REF!</v>
      </c>
      <c r="J2392" s="31">
        <v>12</v>
      </c>
      <c r="K2392" s="33" t="s">
        <v>76</v>
      </c>
      <c r="L2392" s="31" t="str">
        <f t="shared" ref="L2392:L2399" si="231">L2382&amp;" Belas"</f>
        <v>Dua Belas</v>
      </c>
    </row>
    <row r="2393" spans="1:12">
      <c r="A2393" s="33" t="s">
        <v>77</v>
      </c>
      <c r="B2393" s="40" t="e">
        <f>TRUNC((A2378-SUM(C2390:C2392))/1000)</f>
        <v>#REF!</v>
      </c>
      <c r="C2393" s="31" t="e">
        <f>B2393*1000</f>
        <v>#REF!</v>
      </c>
      <c r="D2393" s="31" t="e">
        <f t="shared" si="230"/>
        <v>#REF!</v>
      </c>
      <c r="E2393" s="31" t="e">
        <f>IF(B2392+B2393=0,"",IF(B2393=1," Thousand "," Thousands "))</f>
        <v>#REF!</v>
      </c>
      <c r="J2393" s="31">
        <v>13</v>
      </c>
      <c r="K2393" s="33" t="s">
        <v>78</v>
      </c>
      <c r="L2393" s="31" t="str">
        <f t="shared" si="231"/>
        <v>Tiga Belas</v>
      </c>
    </row>
    <row r="2394" spans="1:12">
      <c r="A2394" s="33" t="s">
        <v>79</v>
      </c>
      <c r="B2394" s="40" t="e">
        <f>TRUNC((A2378-SUM(C2390:C2393))/100)</f>
        <v>#REF!</v>
      </c>
      <c r="C2394" s="31" t="e">
        <f>B2394*100</f>
        <v>#REF!</v>
      </c>
      <c r="D2394" s="31" t="e">
        <f t="shared" si="230"/>
        <v>#REF!</v>
      </c>
      <c r="E2394" s="31" t="e">
        <f>IF(B2394&lt;1,"",IF(B2394&gt;1," Hundreds "," Hundred "))</f>
        <v>#REF!</v>
      </c>
      <c r="J2394" s="31">
        <v>14</v>
      </c>
      <c r="K2394" s="33" t="s">
        <v>80</v>
      </c>
      <c r="L2394" s="31" t="str">
        <f t="shared" si="231"/>
        <v>Empat Belas</v>
      </c>
    </row>
    <row r="2395" spans="1:12">
      <c r="A2395" s="33" t="s">
        <v>81</v>
      </c>
      <c r="B2395" s="41" t="e">
        <f>TRUNC((A2378-SUM(C2390:C2394)))</f>
        <v>#REF!</v>
      </c>
      <c r="C2395" s="42" t="e">
        <f>B2395</f>
        <v>#REF!</v>
      </c>
      <c r="D2395" s="31" t="e">
        <f t="shared" si="230"/>
        <v>#REF!</v>
      </c>
      <c r="E2395" s="31" t="e">
        <f>IF(SUM(C2390:C2395)&lt;1,"",IF(B2396&lt;1,""," And "))</f>
        <v>#REF!</v>
      </c>
      <c r="J2395" s="31">
        <v>15</v>
      </c>
      <c r="K2395" s="33" t="s">
        <v>82</v>
      </c>
      <c r="L2395" s="31" t="str">
        <f t="shared" si="231"/>
        <v>Lima Belas</v>
      </c>
    </row>
    <row r="2396" spans="1:12">
      <c r="A2396" s="33" t="s">
        <v>83</v>
      </c>
      <c r="B2396" s="40" t="e">
        <f>ROUND(A2378-SUM(C2390:C2395),2)*100</f>
        <v>#REF!</v>
      </c>
      <c r="D2396" s="43" t="e">
        <f t="shared" si="230"/>
        <v>#REF!</v>
      </c>
      <c r="E2396" s="31" t="e">
        <f>IF(B2396&lt;1,"",IF(B2396=1," Cent "," Cents "))</f>
        <v>#REF!</v>
      </c>
      <c r="J2396" s="31">
        <v>16</v>
      </c>
      <c r="K2396" s="33" t="s">
        <v>84</v>
      </c>
      <c r="L2396" s="31" t="str">
        <f t="shared" si="231"/>
        <v>Enam Belas</v>
      </c>
    </row>
    <row r="2397" spans="1:12">
      <c r="J2397" s="31">
        <v>17</v>
      </c>
      <c r="K2397" s="33" t="s">
        <v>85</v>
      </c>
      <c r="L2397" s="31" t="str">
        <f t="shared" si="231"/>
        <v>Tujuh Belas</v>
      </c>
    </row>
    <row r="2398" spans="1:12">
      <c r="A2398" s="44"/>
      <c r="J2398" s="31">
        <v>18</v>
      </c>
      <c r="K2398" s="33" t="s">
        <v>86</v>
      </c>
      <c r="L2398" s="31" t="str">
        <f t="shared" si="231"/>
        <v>Delapan Belas</v>
      </c>
    </row>
    <row r="2399" spans="1:12">
      <c r="A2399" s="38" t="s">
        <v>87</v>
      </c>
      <c r="J2399" s="31">
        <v>19</v>
      </c>
      <c r="K2399" s="33" t="s">
        <v>88</v>
      </c>
      <c r="L2399" s="31" t="str">
        <f t="shared" si="231"/>
        <v>Sembilan Belas</v>
      </c>
    </row>
    <row r="2400" spans="1:12">
      <c r="A2400" s="31" t="s">
        <v>69</v>
      </c>
      <c r="B2400" s="39" t="e">
        <f>TRUNC(A2378/100000000)</f>
        <v>#REF!</v>
      </c>
      <c r="C2400" s="31" t="e">
        <f>B2400*100000000</f>
        <v>#REF!</v>
      </c>
      <c r="D2400" s="31" t="e">
        <f>IF(B2400&lt;1,"",IF(B2400=1,"",VLOOKUP(B2400,$J$3:$L$102,3)))</f>
        <v>#REF!</v>
      </c>
      <c r="E2400" s="31" t="e">
        <f>IF(B2400&lt;1,"",IF(B2400=1,"Seratus "," Ratus "))</f>
        <v>#REF!</v>
      </c>
      <c r="J2400" s="31">
        <v>20</v>
      </c>
      <c r="K2400" s="33" t="s">
        <v>89</v>
      </c>
      <c r="L2400" s="31" t="s">
        <v>90</v>
      </c>
    </row>
    <row r="2401" spans="1:12">
      <c r="A2401" s="31" t="s">
        <v>72</v>
      </c>
      <c r="B2401" s="39" t="e">
        <f>TRUNC((A2378-C2400)/1000000)</f>
        <v>#REF!</v>
      </c>
      <c r="C2401" s="31" t="e">
        <f>B2401*1000000</f>
        <v>#REF!</v>
      </c>
      <c r="D2401" s="31" t="e">
        <f>IF(B2401&lt;1,"",VLOOKUP(B2401,$J$3:$L$102,3))</f>
        <v>#REF!</v>
      </c>
      <c r="E2401" s="31" t="e">
        <f>IF(B2400+B2401=0,""," Juta ")</f>
        <v>#REF!</v>
      </c>
      <c r="J2401" s="31">
        <v>21</v>
      </c>
      <c r="K2401" s="33" t="s">
        <v>91</v>
      </c>
      <c r="L2401" s="31" t="str">
        <f t="shared" ref="L2401:L2409" si="232">$L$23&amp;" "&amp;L2381</f>
        <v>Dua Puluh Satu</v>
      </c>
    </row>
    <row r="2402" spans="1:12">
      <c r="A2402" s="31" t="s">
        <v>75</v>
      </c>
      <c r="B2402" s="39" t="e">
        <f>TRUNC((A2378-SUM(C2400:C2401))/100000)</f>
        <v>#REF!</v>
      </c>
      <c r="C2402" s="31" t="e">
        <f>B2402*100000</f>
        <v>#REF!</v>
      </c>
      <c r="D2402" s="31" t="e">
        <f>IF(B2402&lt;1,"",IF(B2402=1,"",VLOOKUP(B2402,$J$3:$L$102,3)))</f>
        <v>#REF!</v>
      </c>
      <c r="E2402" s="31" t="e">
        <f>IF(B2402&lt;1,"",IF(B2402=1," Seratus "," Ratus "))</f>
        <v>#REF!</v>
      </c>
      <c r="J2402" s="31">
        <v>22</v>
      </c>
      <c r="K2402" s="33" t="s">
        <v>92</v>
      </c>
      <c r="L2402" s="31" t="str">
        <f t="shared" si="232"/>
        <v>Dua Puluh Dua</v>
      </c>
    </row>
    <row r="2403" spans="1:12">
      <c r="A2403" s="33" t="s">
        <v>77</v>
      </c>
      <c r="B2403" s="40" t="e">
        <f>TRUNC((A2378-SUM(C2400:C2402))/1000)</f>
        <v>#REF!</v>
      </c>
      <c r="C2403" s="31" t="e">
        <f>B2403*1000</f>
        <v>#REF!</v>
      </c>
      <c r="D2403" s="31" t="e">
        <f>IF(B2403&lt;1,"",IF(B2403=1,"",VLOOKUP(B2403,$J$3:$L$102,3)))</f>
        <v>#REF!</v>
      </c>
      <c r="E2403" s="31" t="e">
        <f>IF(B2402+B2403&lt;1,"",IF(B2403=1," Seribu "," Ribu "))</f>
        <v>#REF!</v>
      </c>
      <c r="J2403" s="31">
        <v>23</v>
      </c>
      <c r="K2403" s="33" t="s">
        <v>93</v>
      </c>
      <c r="L2403" s="31" t="str">
        <f t="shared" si="232"/>
        <v>Dua Puluh Tiga</v>
      </c>
    </row>
    <row r="2404" spans="1:12">
      <c r="A2404" s="33" t="s">
        <v>79</v>
      </c>
      <c r="B2404" s="40" t="e">
        <f>TRUNC((A2378-SUM(C2400:C2403))/100)</f>
        <v>#REF!</v>
      </c>
      <c r="C2404" s="31" t="e">
        <f>B2404*100</f>
        <v>#REF!</v>
      </c>
      <c r="D2404" s="31" t="e">
        <f>IF(B2404&lt;1,"",IF(B2404=1,"",VLOOKUP(B2404,$J$3:$L$102,3)))</f>
        <v>#REF!</v>
      </c>
      <c r="E2404" s="31" t="e">
        <f>IF(B2404&lt;1,"",IF(B2404=1," Seratus "," Ratus "))</f>
        <v>#REF!</v>
      </c>
      <c r="J2404" s="31">
        <v>24</v>
      </c>
      <c r="K2404" s="33" t="s">
        <v>94</v>
      </c>
      <c r="L2404" s="31" t="str">
        <f t="shared" si="232"/>
        <v>Dua Puluh Empat</v>
      </c>
    </row>
    <row r="2405" spans="1:12">
      <c r="A2405" s="33" t="s">
        <v>81</v>
      </c>
      <c r="B2405" s="41" t="e">
        <f>TRUNC((A2378-SUM(C2400:C2404)))</f>
        <v>#REF!</v>
      </c>
      <c r="C2405" s="42" t="e">
        <f>B2405</f>
        <v>#REF!</v>
      </c>
      <c r="D2405" s="31" t="e">
        <f>IF(B2405&lt;1,"",VLOOKUP(B2405,$J$3:$L$102,3))</f>
        <v>#REF!</v>
      </c>
      <c r="E2405" s="31" t="e">
        <f>IF(SUM(C2400:C2405)&lt;1,"",IF(B2406&lt;1,""," Dan "))</f>
        <v>#REF!</v>
      </c>
      <c r="J2405" s="31">
        <v>25</v>
      </c>
      <c r="K2405" s="33" t="s">
        <v>95</v>
      </c>
      <c r="L2405" s="31" t="str">
        <f t="shared" si="232"/>
        <v>Dua Puluh Lima</v>
      </c>
    </row>
    <row r="2406" spans="1:12">
      <c r="A2406" s="33" t="s">
        <v>83</v>
      </c>
      <c r="B2406" s="40" t="e">
        <f>ROUND(A2378-SUM(C2400:C2405),2)*100</f>
        <v>#REF!</v>
      </c>
      <c r="D2406" s="31" t="e">
        <f>IF(B2406&lt;1,"",VLOOKUP(B2406,$J$3:$L$102,3))</f>
        <v>#REF!</v>
      </c>
      <c r="E2406" s="31" t="e">
        <f>IF(B2406&lt;1,""," Sen ")</f>
        <v>#REF!</v>
      </c>
      <c r="J2406" s="31">
        <v>26</v>
      </c>
      <c r="K2406" s="33" t="s">
        <v>96</v>
      </c>
      <c r="L2406" s="31" t="str">
        <f t="shared" si="232"/>
        <v>Dua Puluh Enam</v>
      </c>
    </row>
    <row r="2407" spans="1:12">
      <c r="J2407" s="31">
        <v>27</v>
      </c>
      <c r="K2407" s="33" t="s">
        <v>97</v>
      </c>
      <c r="L2407" s="31" t="str">
        <f t="shared" si="232"/>
        <v>Dua Puluh Tujuh</v>
      </c>
    </row>
    <row r="2408" spans="1:12">
      <c r="J2408" s="31">
        <v>28</v>
      </c>
      <c r="K2408" s="33" t="s">
        <v>98</v>
      </c>
      <c r="L2408" s="31" t="str">
        <f t="shared" si="232"/>
        <v>Dua Puluh Delapan</v>
      </c>
    </row>
    <row r="2409" spans="1:12">
      <c r="J2409" s="31">
        <v>29</v>
      </c>
      <c r="K2409" s="33" t="s">
        <v>99</v>
      </c>
      <c r="L2409" s="31" t="str">
        <f t="shared" si="232"/>
        <v>Dua Puluh Sembilan</v>
      </c>
    </row>
    <row r="2410" spans="1:12">
      <c r="J2410" s="31">
        <v>30</v>
      </c>
      <c r="K2410" s="33" t="s">
        <v>100</v>
      </c>
      <c r="L2410" s="31" t="s">
        <v>101</v>
      </c>
    </row>
    <row r="2411" spans="1:12">
      <c r="J2411" s="31">
        <v>31</v>
      </c>
      <c r="K2411" s="33" t="s">
        <v>102</v>
      </c>
      <c r="L2411" s="31" t="str">
        <f t="shared" ref="L2411:L2419" si="233">$L$33&amp;" "&amp;L2381</f>
        <v>Tiga Puluh Satu</v>
      </c>
    </row>
    <row r="2412" spans="1:12">
      <c r="J2412" s="31">
        <v>32</v>
      </c>
      <c r="K2412" s="33" t="s">
        <v>103</v>
      </c>
      <c r="L2412" s="31" t="str">
        <f t="shared" si="233"/>
        <v>Tiga Puluh Dua</v>
      </c>
    </row>
    <row r="2413" spans="1:12">
      <c r="J2413" s="31">
        <v>33</v>
      </c>
      <c r="K2413" s="33" t="s">
        <v>104</v>
      </c>
      <c r="L2413" s="31" t="str">
        <f t="shared" si="233"/>
        <v>Tiga Puluh Tiga</v>
      </c>
    </row>
    <row r="2414" spans="1:12">
      <c r="J2414" s="31">
        <v>34</v>
      </c>
      <c r="K2414" s="33" t="s">
        <v>105</v>
      </c>
      <c r="L2414" s="31" t="str">
        <f t="shared" si="233"/>
        <v>Tiga Puluh Empat</v>
      </c>
    </row>
    <row r="2415" spans="1:12">
      <c r="J2415" s="31">
        <v>35</v>
      </c>
      <c r="K2415" s="33" t="s">
        <v>106</v>
      </c>
      <c r="L2415" s="31" t="str">
        <f t="shared" si="233"/>
        <v>Tiga Puluh Lima</v>
      </c>
    </row>
    <row r="2416" spans="1:12">
      <c r="J2416" s="31">
        <v>36</v>
      </c>
      <c r="K2416" s="33" t="s">
        <v>107</v>
      </c>
      <c r="L2416" s="31" t="str">
        <f t="shared" si="233"/>
        <v>Tiga Puluh Enam</v>
      </c>
    </row>
    <row r="2417" spans="1:12">
      <c r="J2417" s="31">
        <v>37</v>
      </c>
      <c r="K2417" s="33" t="s">
        <v>108</v>
      </c>
      <c r="L2417" s="31" t="str">
        <f t="shared" si="233"/>
        <v>Tiga Puluh Tujuh</v>
      </c>
    </row>
    <row r="2418" spans="1:12">
      <c r="J2418" s="31">
        <v>38</v>
      </c>
      <c r="K2418" s="33" t="s">
        <v>109</v>
      </c>
      <c r="L2418" s="31" t="str">
        <f t="shared" si="233"/>
        <v>Tiga Puluh Delapan</v>
      </c>
    </row>
    <row r="2419" spans="1:12">
      <c r="J2419" s="31">
        <v>39</v>
      </c>
      <c r="K2419" s="33" t="s">
        <v>110</v>
      </c>
      <c r="L2419" s="31" t="str">
        <f t="shared" si="233"/>
        <v>Tiga Puluh Sembilan</v>
      </c>
    </row>
    <row r="2420" spans="1:12">
      <c r="B2420" s="35"/>
      <c r="C2420" s="35"/>
      <c r="D2420" s="35"/>
      <c r="J2420" s="31">
        <v>40</v>
      </c>
      <c r="K2420" s="33" t="s">
        <v>111</v>
      </c>
      <c r="L2420" s="31" t="s">
        <v>112</v>
      </c>
    </row>
    <row r="2421" spans="1:12">
      <c r="A2421" s="35"/>
      <c r="B2421" s="35"/>
      <c r="C2421" s="35"/>
      <c r="D2421" s="35"/>
      <c r="J2421" s="31">
        <v>41</v>
      </c>
      <c r="K2421" s="33" t="s">
        <v>113</v>
      </c>
      <c r="L2421" s="31" t="str">
        <f t="shared" ref="L2421:L2429" si="234">$L$43&amp;" "&amp;L2381</f>
        <v>Empat Puluh Satu</v>
      </c>
    </row>
    <row r="2422" spans="1:12">
      <c r="J2422" s="31">
        <v>42</v>
      </c>
      <c r="K2422" s="33" t="s">
        <v>114</v>
      </c>
      <c r="L2422" s="31" t="str">
        <f t="shared" si="234"/>
        <v>Empat Puluh Dua</v>
      </c>
    </row>
    <row r="2423" spans="1:12">
      <c r="A2423" s="38"/>
      <c r="J2423" s="31">
        <v>43</v>
      </c>
      <c r="K2423" s="33" t="s">
        <v>115</v>
      </c>
      <c r="L2423" s="31" t="str">
        <f t="shared" si="234"/>
        <v>Empat Puluh Tiga</v>
      </c>
    </row>
    <row r="2424" spans="1:12">
      <c r="J2424" s="31">
        <v>44</v>
      </c>
      <c r="K2424" s="33" t="s">
        <v>116</v>
      </c>
      <c r="L2424" s="31" t="str">
        <f t="shared" si="234"/>
        <v>Empat Puluh Empat</v>
      </c>
    </row>
    <row r="2425" spans="1:12">
      <c r="J2425" s="31">
        <v>45</v>
      </c>
      <c r="K2425" s="33" t="s">
        <v>117</v>
      </c>
      <c r="L2425" s="31" t="str">
        <f t="shared" si="234"/>
        <v>Empat Puluh Lima</v>
      </c>
    </row>
    <row r="2426" spans="1:12">
      <c r="J2426" s="31">
        <v>46</v>
      </c>
      <c r="K2426" s="33" t="s">
        <v>118</v>
      </c>
      <c r="L2426" s="31" t="str">
        <f t="shared" si="234"/>
        <v>Empat Puluh Enam</v>
      </c>
    </row>
    <row r="2427" spans="1:12">
      <c r="J2427" s="31">
        <v>47</v>
      </c>
      <c r="K2427" s="33" t="s">
        <v>119</v>
      </c>
      <c r="L2427" s="31" t="str">
        <f t="shared" si="234"/>
        <v>Empat Puluh Tujuh</v>
      </c>
    </row>
    <row r="2428" spans="1:12">
      <c r="J2428" s="31">
        <v>48</v>
      </c>
      <c r="K2428" s="33" t="s">
        <v>120</v>
      </c>
      <c r="L2428" s="31" t="str">
        <f t="shared" si="234"/>
        <v>Empat Puluh Delapan</v>
      </c>
    </row>
    <row r="2429" spans="1:12">
      <c r="J2429" s="31">
        <v>49</v>
      </c>
      <c r="K2429" s="33" t="s">
        <v>121</v>
      </c>
      <c r="L2429" s="31" t="str">
        <f t="shared" si="234"/>
        <v>Empat Puluh Sembilan</v>
      </c>
    </row>
    <row r="2430" spans="1:12">
      <c r="J2430" s="31">
        <v>50</v>
      </c>
      <c r="K2430" s="33" t="s">
        <v>122</v>
      </c>
      <c r="L2430" s="31" t="s">
        <v>123</v>
      </c>
    </row>
    <row r="2431" spans="1:12">
      <c r="J2431" s="31">
        <v>51</v>
      </c>
      <c r="K2431" s="33" t="s">
        <v>124</v>
      </c>
      <c r="L2431" s="31" t="str">
        <f t="shared" ref="L2431:L2439" si="235">$L$53&amp;" "&amp;L2381</f>
        <v>Lima Puluh Satu</v>
      </c>
    </row>
    <row r="2432" spans="1:12">
      <c r="J2432" s="31">
        <v>52</v>
      </c>
      <c r="K2432" s="33" t="s">
        <v>125</v>
      </c>
      <c r="L2432" s="31" t="str">
        <f t="shared" si="235"/>
        <v>Lima Puluh Dua</v>
      </c>
    </row>
    <row r="2433" spans="10:12">
      <c r="J2433" s="31">
        <v>53</v>
      </c>
      <c r="K2433" s="33" t="s">
        <v>126</v>
      </c>
      <c r="L2433" s="31" t="str">
        <f t="shared" si="235"/>
        <v>Lima Puluh Tiga</v>
      </c>
    </row>
    <row r="2434" spans="10:12">
      <c r="J2434" s="31">
        <v>54</v>
      </c>
      <c r="K2434" s="33" t="s">
        <v>127</v>
      </c>
      <c r="L2434" s="31" t="str">
        <f t="shared" si="235"/>
        <v>Lima Puluh Empat</v>
      </c>
    </row>
    <row r="2435" spans="10:12">
      <c r="J2435" s="31">
        <v>55</v>
      </c>
      <c r="K2435" s="33" t="s">
        <v>128</v>
      </c>
      <c r="L2435" s="31" t="str">
        <f t="shared" si="235"/>
        <v>Lima Puluh Lima</v>
      </c>
    </row>
    <row r="2436" spans="10:12">
      <c r="J2436" s="31">
        <v>56</v>
      </c>
      <c r="K2436" s="33" t="s">
        <v>129</v>
      </c>
      <c r="L2436" s="31" t="str">
        <f t="shared" si="235"/>
        <v>Lima Puluh Enam</v>
      </c>
    </row>
    <row r="2437" spans="10:12">
      <c r="J2437" s="31">
        <v>57</v>
      </c>
      <c r="K2437" s="33" t="s">
        <v>130</v>
      </c>
      <c r="L2437" s="31" t="str">
        <f t="shared" si="235"/>
        <v>Lima Puluh Tujuh</v>
      </c>
    </row>
    <row r="2438" spans="10:12">
      <c r="J2438" s="31">
        <v>58</v>
      </c>
      <c r="K2438" s="33" t="s">
        <v>131</v>
      </c>
      <c r="L2438" s="31" t="str">
        <f t="shared" si="235"/>
        <v>Lima Puluh Delapan</v>
      </c>
    </row>
    <row r="2439" spans="10:12">
      <c r="J2439" s="31">
        <v>59</v>
      </c>
      <c r="K2439" s="33" t="s">
        <v>132</v>
      </c>
      <c r="L2439" s="31" t="str">
        <f t="shared" si="235"/>
        <v>Lima Puluh Sembilan</v>
      </c>
    </row>
    <row r="2440" spans="10:12">
      <c r="J2440" s="31">
        <v>60</v>
      </c>
      <c r="K2440" s="33" t="s">
        <v>133</v>
      </c>
      <c r="L2440" s="31" t="s">
        <v>134</v>
      </c>
    </row>
    <row r="2441" spans="10:12">
      <c r="J2441" s="31">
        <v>61</v>
      </c>
      <c r="K2441" s="33" t="s">
        <v>135</v>
      </c>
      <c r="L2441" s="31" t="str">
        <f t="shared" ref="L2441:L2449" si="236">$L$63&amp;" "&amp;L2381</f>
        <v>Enam Puluh Satu</v>
      </c>
    </row>
    <row r="2442" spans="10:12">
      <c r="J2442" s="31">
        <v>62</v>
      </c>
      <c r="K2442" s="33" t="s">
        <v>136</v>
      </c>
      <c r="L2442" s="31" t="str">
        <f t="shared" si="236"/>
        <v>Enam Puluh Dua</v>
      </c>
    </row>
    <row r="2443" spans="10:12">
      <c r="J2443" s="31">
        <v>63</v>
      </c>
      <c r="K2443" s="33" t="s">
        <v>137</v>
      </c>
      <c r="L2443" s="31" t="str">
        <f t="shared" si="236"/>
        <v>Enam Puluh Tiga</v>
      </c>
    </row>
    <row r="2444" spans="10:12">
      <c r="J2444" s="31">
        <v>64</v>
      </c>
      <c r="K2444" s="33" t="s">
        <v>138</v>
      </c>
      <c r="L2444" s="31" t="str">
        <f t="shared" si="236"/>
        <v>Enam Puluh Empat</v>
      </c>
    </row>
    <row r="2445" spans="10:12">
      <c r="J2445" s="31">
        <v>65</v>
      </c>
      <c r="K2445" s="33" t="s">
        <v>139</v>
      </c>
      <c r="L2445" s="31" t="str">
        <f t="shared" si="236"/>
        <v>Enam Puluh Lima</v>
      </c>
    </row>
    <row r="2446" spans="10:12">
      <c r="J2446" s="31">
        <v>66</v>
      </c>
      <c r="K2446" s="33" t="s">
        <v>140</v>
      </c>
      <c r="L2446" s="31" t="str">
        <f t="shared" si="236"/>
        <v>Enam Puluh Enam</v>
      </c>
    </row>
    <row r="2447" spans="10:12">
      <c r="J2447" s="31">
        <v>67</v>
      </c>
      <c r="K2447" s="33" t="s">
        <v>141</v>
      </c>
      <c r="L2447" s="31" t="str">
        <f t="shared" si="236"/>
        <v>Enam Puluh Tujuh</v>
      </c>
    </row>
    <row r="2448" spans="10:12">
      <c r="J2448" s="31">
        <v>68</v>
      </c>
      <c r="K2448" s="33" t="s">
        <v>142</v>
      </c>
      <c r="L2448" s="31" t="str">
        <f t="shared" si="236"/>
        <v>Enam Puluh Delapan</v>
      </c>
    </row>
    <row r="2449" spans="10:12">
      <c r="J2449" s="31">
        <v>69</v>
      </c>
      <c r="K2449" s="33" t="s">
        <v>143</v>
      </c>
      <c r="L2449" s="31" t="str">
        <f t="shared" si="236"/>
        <v>Enam Puluh Sembilan</v>
      </c>
    </row>
    <row r="2450" spans="10:12">
      <c r="J2450" s="31">
        <v>70</v>
      </c>
      <c r="K2450" s="33" t="s">
        <v>144</v>
      </c>
      <c r="L2450" s="31" t="s">
        <v>145</v>
      </c>
    </row>
    <row r="2451" spans="10:12">
      <c r="J2451" s="31">
        <v>71</v>
      </c>
      <c r="K2451" s="33" t="s">
        <v>146</v>
      </c>
      <c r="L2451" s="31" t="str">
        <f t="shared" ref="L2451:L2459" si="237">$L$73&amp;" "&amp;L2381</f>
        <v>Tujuh Puluh Satu</v>
      </c>
    </row>
    <row r="2452" spans="10:12">
      <c r="J2452" s="31">
        <v>72</v>
      </c>
      <c r="K2452" s="33" t="s">
        <v>147</v>
      </c>
      <c r="L2452" s="31" t="str">
        <f t="shared" si="237"/>
        <v>Tujuh Puluh Dua</v>
      </c>
    </row>
    <row r="2453" spans="10:12">
      <c r="J2453" s="31">
        <v>73</v>
      </c>
      <c r="K2453" s="33" t="s">
        <v>148</v>
      </c>
      <c r="L2453" s="31" t="str">
        <f t="shared" si="237"/>
        <v>Tujuh Puluh Tiga</v>
      </c>
    </row>
    <row r="2454" spans="10:12">
      <c r="J2454" s="31">
        <v>74</v>
      </c>
      <c r="K2454" s="33" t="s">
        <v>149</v>
      </c>
      <c r="L2454" s="31" t="str">
        <f t="shared" si="237"/>
        <v>Tujuh Puluh Empat</v>
      </c>
    </row>
    <row r="2455" spans="10:12">
      <c r="J2455" s="31">
        <v>75</v>
      </c>
      <c r="K2455" s="33" t="s">
        <v>150</v>
      </c>
      <c r="L2455" s="31" t="str">
        <f t="shared" si="237"/>
        <v>Tujuh Puluh Lima</v>
      </c>
    </row>
    <row r="2456" spans="10:12">
      <c r="J2456" s="31">
        <v>76</v>
      </c>
      <c r="K2456" s="33" t="s">
        <v>151</v>
      </c>
      <c r="L2456" s="31" t="str">
        <f t="shared" si="237"/>
        <v>Tujuh Puluh Enam</v>
      </c>
    </row>
    <row r="2457" spans="10:12">
      <c r="J2457" s="31">
        <v>77</v>
      </c>
      <c r="K2457" s="33" t="s">
        <v>152</v>
      </c>
      <c r="L2457" s="31" t="str">
        <f t="shared" si="237"/>
        <v>Tujuh Puluh Tujuh</v>
      </c>
    </row>
    <row r="2458" spans="10:12">
      <c r="J2458" s="31">
        <v>78</v>
      </c>
      <c r="K2458" s="33" t="s">
        <v>153</v>
      </c>
      <c r="L2458" s="31" t="str">
        <f t="shared" si="237"/>
        <v>Tujuh Puluh Delapan</v>
      </c>
    </row>
    <row r="2459" spans="10:12">
      <c r="J2459" s="31">
        <v>79</v>
      </c>
      <c r="K2459" s="33" t="s">
        <v>154</v>
      </c>
      <c r="L2459" s="31" t="str">
        <f t="shared" si="237"/>
        <v>Tujuh Puluh Sembilan</v>
      </c>
    </row>
    <row r="2460" spans="10:12">
      <c r="J2460" s="31">
        <v>80</v>
      </c>
      <c r="K2460" s="33" t="s">
        <v>155</v>
      </c>
      <c r="L2460" s="31" t="s">
        <v>156</v>
      </c>
    </row>
    <row r="2461" spans="10:12">
      <c r="J2461" s="31">
        <v>81</v>
      </c>
      <c r="K2461" s="33" t="s">
        <v>157</v>
      </c>
      <c r="L2461" s="31" t="str">
        <f t="shared" ref="L2461:L2469" si="238">$L$83&amp;" "&amp;L2381</f>
        <v>Delapan Puluh Satu</v>
      </c>
    </row>
    <row r="2462" spans="10:12">
      <c r="J2462" s="31">
        <v>82</v>
      </c>
      <c r="K2462" s="33" t="s">
        <v>158</v>
      </c>
      <c r="L2462" s="31" t="str">
        <f t="shared" si="238"/>
        <v>Delapan Puluh Dua</v>
      </c>
    </row>
    <row r="2463" spans="10:12">
      <c r="J2463" s="31">
        <v>83</v>
      </c>
      <c r="K2463" s="33" t="s">
        <v>159</v>
      </c>
      <c r="L2463" s="31" t="str">
        <f t="shared" si="238"/>
        <v>Delapan Puluh Tiga</v>
      </c>
    </row>
    <row r="2464" spans="10:12">
      <c r="J2464" s="31">
        <v>84</v>
      </c>
      <c r="K2464" s="33" t="s">
        <v>160</v>
      </c>
      <c r="L2464" s="31" t="str">
        <f t="shared" si="238"/>
        <v>Delapan Puluh Empat</v>
      </c>
    </row>
    <row r="2465" spans="10:12">
      <c r="J2465" s="31">
        <v>85</v>
      </c>
      <c r="K2465" s="33" t="s">
        <v>161</v>
      </c>
      <c r="L2465" s="31" t="str">
        <f t="shared" si="238"/>
        <v>Delapan Puluh Lima</v>
      </c>
    </row>
    <row r="2466" spans="10:12">
      <c r="J2466" s="31">
        <v>86</v>
      </c>
      <c r="K2466" s="33" t="s">
        <v>162</v>
      </c>
      <c r="L2466" s="31" t="str">
        <f t="shared" si="238"/>
        <v>Delapan Puluh Enam</v>
      </c>
    </row>
    <row r="2467" spans="10:12">
      <c r="J2467" s="31">
        <v>87</v>
      </c>
      <c r="K2467" s="33" t="s">
        <v>163</v>
      </c>
      <c r="L2467" s="31" t="str">
        <f t="shared" si="238"/>
        <v>Delapan Puluh Tujuh</v>
      </c>
    </row>
    <row r="2468" spans="10:12">
      <c r="J2468" s="31">
        <v>88</v>
      </c>
      <c r="K2468" s="33" t="s">
        <v>164</v>
      </c>
      <c r="L2468" s="31" t="str">
        <f t="shared" si="238"/>
        <v>Delapan Puluh Delapan</v>
      </c>
    </row>
    <row r="2469" spans="10:12">
      <c r="J2469" s="31">
        <v>89</v>
      </c>
      <c r="K2469" s="33" t="s">
        <v>165</v>
      </c>
      <c r="L2469" s="31" t="str">
        <f t="shared" si="238"/>
        <v>Delapan Puluh Sembilan</v>
      </c>
    </row>
    <row r="2470" spans="10:12">
      <c r="J2470" s="31">
        <v>90</v>
      </c>
      <c r="K2470" s="33" t="s">
        <v>166</v>
      </c>
      <c r="L2470" s="31" t="s">
        <v>167</v>
      </c>
    </row>
    <row r="2471" spans="10:12">
      <c r="J2471" s="31">
        <v>91</v>
      </c>
      <c r="K2471" s="33" t="s">
        <v>168</v>
      </c>
      <c r="L2471" s="31" t="str">
        <f t="shared" ref="L2471:L2479" si="239">$L$93&amp;" "&amp;L2381</f>
        <v>Sembilan Puluh Satu</v>
      </c>
    </row>
    <row r="2472" spans="10:12">
      <c r="J2472" s="31">
        <v>92</v>
      </c>
      <c r="K2472" s="33" t="s">
        <v>169</v>
      </c>
      <c r="L2472" s="31" t="str">
        <f t="shared" si="239"/>
        <v>Sembilan Puluh Dua</v>
      </c>
    </row>
    <row r="2473" spans="10:12">
      <c r="J2473" s="31">
        <v>93</v>
      </c>
      <c r="K2473" s="33" t="s">
        <v>170</v>
      </c>
      <c r="L2473" s="31" t="str">
        <f t="shared" si="239"/>
        <v>Sembilan Puluh Tiga</v>
      </c>
    </row>
    <row r="2474" spans="10:12">
      <c r="J2474" s="31">
        <v>94</v>
      </c>
      <c r="K2474" s="33" t="s">
        <v>171</v>
      </c>
      <c r="L2474" s="31" t="str">
        <f t="shared" si="239"/>
        <v>Sembilan Puluh Empat</v>
      </c>
    </row>
    <row r="2475" spans="10:12">
      <c r="J2475" s="31">
        <v>95</v>
      </c>
      <c r="K2475" s="33" t="s">
        <v>172</v>
      </c>
      <c r="L2475" s="31" t="str">
        <f t="shared" si="239"/>
        <v>Sembilan Puluh Lima</v>
      </c>
    </row>
    <row r="2476" spans="10:12">
      <c r="J2476" s="31">
        <v>96</v>
      </c>
      <c r="K2476" s="33" t="s">
        <v>173</v>
      </c>
      <c r="L2476" s="31" t="str">
        <f t="shared" si="239"/>
        <v>Sembilan Puluh Enam</v>
      </c>
    </row>
    <row r="2477" spans="10:12">
      <c r="J2477" s="31">
        <v>97</v>
      </c>
      <c r="K2477" s="33" t="s">
        <v>174</v>
      </c>
      <c r="L2477" s="31" t="str">
        <f t="shared" si="239"/>
        <v>Sembilan Puluh Tujuh</v>
      </c>
    </row>
    <row r="2478" spans="10:12">
      <c r="J2478" s="31">
        <v>98</v>
      </c>
      <c r="K2478" s="33" t="s">
        <v>175</v>
      </c>
      <c r="L2478" s="31" t="str">
        <f t="shared" si="239"/>
        <v>Sembilan Puluh Delapan</v>
      </c>
    </row>
    <row r="2479" spans="10:12">
      <c r="J2479" s="31">
        <v>99</v>
      </c>
      <c r="K2479" s="33" t="s">
        <v>176</v>
      </c>
      <c r="L2479" s="31" t="str">
        <f t="shared" si="239"/>
        <v>Sembilan Puluh Sembilan</v>
      </c>
    </row>
    <row r="2482" spans="1:12">
      <c r="A2482" s="30" t="e">
        <f>#REF!</f>
        <v>#REF!</v>
      </c>
      <c r="C2482" s="31" t="s">
        <v>234</v>
      </c>
    </row>
    <row r="2483" spans="1:12">
      <c r="A2483" s="32"/>
    </row>
    <row r="2484" spans="1:12">
      <c r="J2484" s="31">
        <v>0</v>
      </c>
      <c r="K2484" s="33" t="s">
        <v>48</v>
      </c>
      <c r="L2484" s="31" t="s">
        <v>49</v>
      </c>
    </row>
    <row r="2485" spans="1:12">
      <c r="A2485" s="34"/>
      <c r="J2485" s="31">
        <v>1</v>
      </c>
      <c r="K2485" s="33" t="s">
        <v>50</v>
      </c>
      <c r="L2485" s="31" t="s">
        <v>51</v>
      </c>
    </row>
    <row r="2486" spans="1:12">
      <c r="A2486" s="255" t="e">
        <f>TRIM(D2494&amp;E2494&amp;D2495&amp;E2495&amp;D2496&amp;E2496&amp;D2497&amp;E2497&amp;D2498&amp;E2498&amp;D2499&amp;E2499&amp;E2500&amp;D2500&amp;" Only")</f>
        <v>#REF!</v>
      </c>
      <c r="B2486" s="255"/>
      <c r="C2486" s="255"/>
      <c r="D2486" s="255"/>
      <c r="E2486" s="35"/>
      <c r="F2486" s="36"/>
      <c r="J2486" s="31">
        <v>2</v>
      </c>
      <c r="K2486" s="33" t="s">
        <v>52</v>
      </c>
      <c r="L2486" s="31" t="s">
        <v>53</v>
      </c>
    </row>
    <row r="2487" spans="1:12">
      <c r="A2487" s="37"/>
      <c r="B2487" s="37"/>
      <c r="C2487" s="37"/>
      <c r="D2487" s="37"/>
      <c r="E2487" s="35"/>
      <c r="F2487" s="36"/>
      <c r="J2487" s="31">
        <v>3</v>
      </c>
      <c r="K2487" s="33" t="s">
        <v>54</v>
      </c>
      <c r="L2487" s="31" t="s">
        <v>55</v>
      </c>
    </row>
    <row r="2488" spans="1:12">
      <c r="A2488" s="37"/>
      <c r="B2488" s="37"/>
      <c r="C2488" s="37"/>
      <c r="D2488" s="37"/>
      <c r="J2488" s="31">
        <v>4</v>
      </c>
      <c r="K2488" s="33" t="s">
        <v>56</v>
      </c>
      <c r="L2488" s="31" t="s">
        <v>57</v>
      </c>
    </row>
    <row r="2489" spans="1:12">
      <c r="A2489" s="255" t="e">
        <f>TRIM(D2504&amp;E2504&amp;D2505&amp;E2505&amp;D2506&amp;E2506&amp;D2507&amp;E2507&amp;D2508&amp;E2508&amp;D2509&amp;E2509&amp;D2510&amp;E2510&amp;" Rupiah")</f>
        <v>#REF!</v>
      </c>
      <c r="B2489" s="255"/>
      <c r="C2489" s="255"/>
      <c r="D2489" s="255"/>
      <c r="E2489" s="35"/>
      <c r="F2489" s="36"/>
      <c r="J2489" s="31">
        <v>5</v>
      </c>
      <c r="K2489" s="33" t="s">
        <v>58</v>
      </c>
      <c r="L2489" s="31" t="s">
        <v>59</v>
      </c>
    </row>
    <row r="2490" spans="1:12">
      <c r="A2490" s="35"/>
      <c r="B2490" s="35"/>
      <c r="C2490" s="35"/>
      <c r="D2490" s="35"/>
      <c r="E2490" s="35"/>
      <c r="F2490" s="36"/>
      <c r="J2490" s="31">
        <v>6</v>
      </c>
      <c r="K2490" s="33" t="s">
        <v>60</v>
      </c>
      <c r="L2490" s="31" t="s">
        <v>61</v>
      </c>
    </row>
    <row r="2491" spans="1:12">
      <c r="J2491" s="31">
        <v>7</v>
      </c>
      <c r="K2491" s="33" t="s">
        <v>62</v>
      </c>
      <c r="L2491" s="31" t="s">
        <v>63</v>
      </c>
    </row>
    <row r="2492" spans="1:12">
      <c r="J2492" s="31">
        <v>8</v>
      </c>
      <c r="K2492" s="33" t="s">
        <v>64</v>
      </c>
      <c r="L2492" s="31" t="s">
        <v>65</v>
      </c>
    </row>
    <row r="2493" spans="1:12">
      <c r="A2493" s="38" t="s">
        <v>66</v>
      </c>
      <c r="J2493" s="31">
        <v>9</v>
      </c>
      <c r="K2493" s="33" t="s">
        <v>67</v>
      </c>
      <c r="L2493" s="31" t="s">
        <v>68</v>
      </c>
    </row>
    <row r="2494" spans="1:12">
      <c r="A2494" s="31" t="s">
        <v>69</v>
      </c>
      <c r="B2494" s="39" t="e">
        <f>TRUNC(A2482/100000000)</f>
        <v>#REF!</v>
      </c>
      <c r="C2494" s="31" t="e">
        <f>B2494*100000000</f>
        <v>#REF!</v>
      </c>
      <c r="D2494" s="31" t="e">
        <f t="shared" ref="D2494:D2500" si="240">IF(B2494&lt;1,"",VLOOKUP(B2494,$J$3:$K$102,2))</f>
        <v>#REF!</v>
      </c>
      <c r="E2494" s="31" t="e">
        <f>IF(B2494&lt;1,"",IF(B2494&gt;1," Hundreds "," Hundred "))</f>
        <v>#REF!</v>
      </c>
      <c r="J2494" s="31">
        <v>10</v>
      </c>
      <c r="K2494" s="33" t="s">
        <v>70</v>
      </c>
      <c r="L2494" s="31" t="s">
        <v>71</v>
      </c>
    </row>
    <row r="2495" spans="1:12">
      <c r="A2495" s="31" t="s">
        <v>72</v>
      </c>
      <c r="B2495" s="39" t="e">
        <f>TRUNC((A2482-C2494)/1000000)</f>
        <v>#REF!</v>
      </c>
      <c r="C2495" s="31" t="e">
        <f>B2495*1000000</f>
        <v>#REF!</v>
      </c>
      <c r="D2495" s="31" t="e">
        <f t="shared" si="240"/>
        <v>#REF!</v>
      </c>
      <c r="E2495" s="31" t="e">
        <f>IF(B2494+B2495=0,"",IF(B2495=1," Million "," Millions "))</f>
        <v>#REF!</v>
      </c>
      <c r="J2495" s="31">
        <v>11</v>
      </c>
      <c r="K2495" s="33" t="s">
        <v>73</v>
      </c>
      <c r="L2495" s="31" t="s">
        <v>74</v>
      </c>
    </row>
    <row r="2496" spans="1:12">
      <c r="A2496" s="31" t="s">
        <v>75</v>
      </c>
      <c r="B2496" s="39" t="e">
        <f>TRUNC((A2482-SUM(C2494:C2495))/100000)</f>
        <v>#REF!</v>
      </c>
      <c r="C2496" s="31" t="e">
        <f>B2496*100000</f>
        <v>#REF!</v>
      </c>
      <c r="D2496" s="31" t="e">
        <f t="shared" si="240"/>
        <v>#REF!</v>
      </c>
      <c r="E2496" s="31" t="e">
        <f>IF(B2496&lt;1,"",IF(B2496&gt;1," Hundreds "," Hundred "))</f>
        <v>#REF!</v>
      </c>
      <c r="J2496" s="31">
        <v>12</v>
      </c>
      <c r="K2496" s="33" t="s">
        <v>76</v>
      </c>
      <c r="L2496" s="31" t="str">
        <f t="shared" ref="L2496:L2503" si="241">L2486&amp;" Belas"</f>
        <v>Dua Belas</v>
      </c>
    </row>
    <row r="2497" spans="1:12">
      <c r="A2497" s="33" t="s">
        <v>77</v>
      </c>
      <c r="B2497" s="40" t="e">
        <f>TRUNC((A2482-SUM(C2494:C2496))/1000)</f>
        <v>#REF!</v>
      </c>
      <c r="C2497" s="31" t="e">
        <f>B2497*1000</f>
        <v>#REF!</v>
      </c>
      <c r="D2497" s="31" t="e">
        <f t="shared" si="240"/>
        <v>#REF!</v>
      </c>
      <c r="E2497" s="31" t="e">
        <f>IF(B2496+B2497=0,"",IF(B2497=1," Thousand "," Thousands "))</f>
        <v>#REF!</v>
      </c>
      <c r="J2497" s="31">
        <v>13</v>
      </c>
      <c r="K2497" s="33" t="s">
        <v>78</v>
      </c>
      <c r="L2497" s="31" t="str">
        <f t="shared" si="241"/>
        <v>Tiga Belas</v>
      </c>
    </row>
    <row r="2498" spans="1:12">
      <c r="A2498" s="33" t="s">
        <v>79</v>
      </c>
      <c r="B2498" s="40" t="e">
        <f>TRUNC((A2482-SUM(C2494:C2497))/100)</f>
        <v>#REF!</v>
      </c>
      <c r="C2498" s="31" t="e">
        <f>B2498*100</f>
        <v>#REF!</v>
      </c>
      <c r="D2498" s="31" t="e">
        <f t="shared" si="240"/>
        <v>#REF!</v>
      </c>
      <c r="E2498" s="31" t="e">
        <f>IF(B2498&lt;1,"",IF(B2498&gt;1," Hundreds "," Hundred "))</f>
        <v>#REF!</v>
      </c>
      <c r="J2498" s="31">
        <v>14</v>
      </c>
      <c r="K2498" s="33" t="s">
        <v>80</v>
      </c>
      <c r="L2498" s="31" t="str">
        <f t="shared" si="241"/>
        <v>Empat Belas</v>
      </c>
    </row>
    <row r="2499" spans="1:12">
      <c r="A2499" s="33" t="s">
        <v>81</v>
      </c>
      <c r="B2499" s="41" t="e">
        <f>TRUNC((A2482-SUM(C2494:C2498)))</f>
        <v>#REF!</v>
      </c>
      <c r="C2499" s="42" t="e">
        <f>B2499</f>
        <v>#REF!</v>
      </c>
      <c r="D2499" s="31" t="e">
        <f t="shared" si="240"/>
        <v>#REF!</v>
      </c>
      <c r="E2499" s="31" t="e">
        <f>IF(SUM(C2494:C2499)&lt;1,"",IF(B2500&lt;1,""," And "))</f>
        <v>#REF!</v>
      </c>
      <c r="J2499" s="31">
        <v>15</v>
      </c>
      <c r="K2499" s="33" t="s">
        <v>82</v>
      </c>
      <c r="L2499" s="31" t="str">
        <f t="shared" si="241"/>
        <v>Lima Belas</v>
      </c>
    </row>
    <row r="2500" spans="1:12">
      <c r="A2500" s="33" t="s">
        <v>83</v>
      </c>
      <c r="B2500" s="40" t="e">
        <f>ROUND(A2482-SUM(C2494:C2499),2)*100</f>
        <v>#REF!</v>
      </c>
      <c r="D2500" s="43" t="e">
        <f t="shared" si="240"/>
        <v>#REF!</v>
      </c>
      <c r="E2500" s="31" t="e">
        <f>IF(B2500&lt;1,"",IF(B2500=1," Cent "," Cents "))</f>
        <v>#REF!</v>
      </c>
      <c r="J2500" s="31">
        <v>16</v>
      </c>
      <c r="K2500" s="33" t="s">
        <v>84</v>
      </c>
      <c r="L2500" s="31" t="str">
        <f t="shared" si="241"/>
        <v>Enam Belas</v>
      </c>
    </row>
    <row r="2501" spans="1:12">
      <c r="J2501" s="31">
        <v>17</v>
      </c>
      <c r="K2501" s="33" t="s">
        <v>85</v>
      </c>
      <c r="L2501" s="31" t="str">
        <f t="shared" si="241"/>
        <v>Tujuh Belas</v>
      </c>
    </row>
    <row r="2502" spans="1:12">
      <c r="A2502" s="44"/>
      <c r="J2502" s="31">
        <v>18</v>
      </c>
      <c r="K2502" s="33" t="s">
        <v>86</v>
      </c>
      <c r="L2502" s="31" t="str">
        <f t="shared" si="241"/>
        <v>Delapan Belas</v>
      </c>
    </row>
    <row r="2503" spans="1:12">
      <c r="A2503" s="38" t="s">
        <v>87</v>
      </c>
      <c r="J2503" s="31">
        <v>19</v>
      </c>
      <c r="K2503" s="33" t="s">
        <v>88</v>
      </c>
      <c r="L2503" s="31" t="str">
        <f t="shared" si="241"/>
        <v>Sembilan Belas</v>
      </c>
    </row>
    <row r="2504" spans="1:12">
      <c r="A2504" s="31" t="s">
        <v>69</v>
      </c>
      <c r="B2504" s="39" t="e">
        <f>TRUNC(A2482/100000000)</f>
        <v>#REF!</v>
      </c>
      <c r="C2504" s="31" t="e">
        <f>B2504*100000000</f>
        <v>#REF!</v>
      </c>
      <c r="D2504" s="31" t="e">
        <f>IF(B2504&lt;1,"",IF(B2504=1,"",VLOOKUP(B2504,$J$3:$L$102,3)))</f>
        <v>#REF!</v>
      </c>
      <c r="E2504" s="31" t="e">
        <f>IF(B2504&lt;1,"",IF(B2504=1,"Seratus "," Ratus "))</f>
        <v>#REF!</v>
      </c>
      <c r="J2504" s="31">
        <v>20</v>
      </c>
      <c r="K2504" s="33" t="s">
        <v>89</v>
      </c>
      <c r="L2504" s="31" t="s">
        <v>90</v>
      </c>
    </row>
    <row r="2505" spans="1:12">
      <c r="A2505" s="31" t="s">
        <v>72</v>
      </c>
      <c r="B2505" s="39" t="e">
        <f>TRUNC((A2482-C2504)/1000000)</f>
        <v>#REF!</v>
      </c>
      <c r="C2505" s="31" t="e">
        <f>B2505*1000000</f>
        <v>#REF!</v>
      </c>
      <c r="D2505" s="31" t="e">
        <f>IF(B2505&lt;1,"",VLOOKUP(B2505,$J$3:$L$102,3))</f>
        <v>#REF!</v>
      </c>
      <c r="E2505" s="31" t="e">
        <f>IF(B2504+B2505=0,""," Juta ")</f>
        <v>#REF!</v>
      </c>
      <c r="J2505" s="31">
        <v>21</v>
      </c>
      <c r="K2505" s="33" t="s">
        <v>91</v>
      </c>
      <c r="L2505" s="31" t="str">
        <f t="shared" ref="L2505:L2513" si="242">$L$23&amp;" "&amp;L2485</f>
        <v>Dua Puluh Satu</v>
      </c>
    </row>
    <row r="2506" spans="1:12">
      <c r="A2506" s="31" t="s">
        <v>75</v>
      </c>
      <c r="B2506" s="39" t="e">
        <f>TRUNC((A2482-SUM(C2504:C2505))/100000)</f>
        <v>#REF!</v>
      </c>
      <c r="C2506" s="31" t="e">
        <f>B2506*100000</f>
        <v>#REF!</v>
      </c>
      <c r="D2506" s="31" t="e">
        <f>IF(B2506&lt;1,"",IF(B2506=1,"",VLOOKUP(B2506,$J$3:$L$102,3)))</f>
        <v>#REF!</v>
      </c>
      <c r="E2506" s="31" t="e">
        <f>IF(B2506&lt;1,"",IF(B2506=1," Seratus "," Ratus "))</f>
        <v>#REF!</v>
      </c>
      <c r="J2506" s="31">
        <v>22</v>
      </c>
      <c r="K2506" s="33" t="s">
        <v>92</v>
      </c>
      <c r="L2506" s="31" t="str">
        <f t="shared" si="242"/>
        <v>Dua Puluh Dua</v>
      </c>
    </row>
    <row r="2507" spans="1:12">
      <c r="A2507" s="33" t="s">
        <v>77</v>
      </c>
      <c r="B2507" s="40" t="e">
        <f>TRUNC((A2482-SUM(C2504:C2506))/1000)</f>
        <v>#REF!</v>
      </c>
      <c r="C2507" s="31" t="e">
        <f>B2507*1000</f>
        <v>#REF!</v>
      </c>
      <c r="D2507" s="31" t="e">
        <f>IF(B2507&lt;1,"",IF(B2507=1,"",VLOOKUP(B2507,$J$3:$L$102,3)))</f>
        <v>#REF!</v>
      </c>
      <c r="E2507" s="31" t="e">
        <f>IF(B2506+B2507&lt;1,"",IF(B2507=1," Seribu "," Ribu "))</f>
        <v>#REF!</v>
      </c>
      <c r="J2507" s="31">
        <v>23</v>
      </c>
      <c r="K2507" s="33" t="s">
        <v>93</v>
      </c>
      <c r="L2507" s="31" t="str">
        <f t="shared" si="242"/>
        <v>Dua Puluh Tiga</v>
      </c>
    </row>
    <row r="2508" spans="1:12">
      <c r="A2508" s="33" t="s">
        <v>79</v>
      </c>
      <c r="B2508" s="40" t="e">
        <f>TRUNC((A2482-SUM(C2504:C2507))/100)</f>
        <v>#REF!</v>
      </c>
      <c r="C2508" s="31" t="e">
        <f>B2508*100</f>
        <v>#REF!</v>
      </c>
      <c r="D2508" s="31" t="e">
        <f>IF(B2508&lt;1,"",IF(B2508=1,"",VLOOKUP(B2508,$J$3:$L$102,3)))</f>
        <v>#REF!</v>
      </c>
      <c r="E2508" s="31" t="e">
        <f>IF(B2508&lt;1,"",IF(B2508=1," Seratus "," Ratus "))</f>
        <v>#REF!</v>
      </c>
      <c r="J2508" s="31">
        <v>24</v>
      </c>
      <c r="K2508" s="33" t="s">
        <v>94</v>
      </c>
      <c r="L2508" s="31" t="str">
        <f t="shared" si="242"/>
        <v>Dua Puluh Empat</v>
      </c>
    </row>
    <row r="2509" spans="1:12">
      <c r="A2509" s="33" t="s">
        <v>81</v>
      </c>
      <c r="B2509" s="41" t="e">
        <f>TRUNC((A2482-SUM(C2504:C2508)))</f>
        <v>#REF!</v>
      </c>
      <c r="C2509" s="42" t="e">
        <f>B2509</f>
        <v>#REF!</v>
      </c>
      <c r="D2509" s="31" t="e">
        <f>IF(B2509&lt;1,"",VLOOKUP(B2509,$J$3:$L$102,3))</f>
        <v>#REF!</v>
      </c>
      <c r="E2509" s="31" t="e">
        <f>IF(SUM(C2504:C2509)&lt;1,"",IF(B2510&lt;1,""," Dan "))</f>
        <v>#REF!</v>
      </c>
      <c r="J2509" s="31">
        <v>25</v>
      </c>
      <c r="K2509" s="33" t="s">
        <v>95</v>
      </c>
      <c r="L2509" s="31" t="str">
        <f t="shared" si="242"/>
        <v>Dua Puluh Lima</v>
      </c>
    </row>
    <row r="2510" spans="1:12">
      <c r="A2510" s="33" t="s">
        <v>83</v>
      </c>
      <c r="B2510" s="40" t="e">
        <f>ROUND(A2482-SUM(C2504:C2509),2)*100</f>
        <v>#REF!</v>
      </c>
      <c r="D2510" s="31" t="e">
        <f>IF(B2510&lt;1,"",VLOOKUP(B2510,$J$3:$L$102,3))</f>
        <v>#REF!</v>
      </c>
      <c r="E2510" s="31" t="e">
        <f>IF(B2510&lt;1,""," Sen ")</f>
        <v>#REF!</v>
      </c>
      <c r="J2510" s="31">
        <v>26</v>
      </c>
      <c r="K2510" s="33" t="s">
        <v>96</v>
      </c>
      <c r="L2510" s="31" t="str">
        <f t="shared" si="242"/>
        <v>Dua Puluh Enam</v>
      </c>
    </row>
    <row r="2511" spans="1:12">
      <c r="J2511" s="31">
        <v>27</v>
      </c>
      <c r="K2511" s="33" t="s">
        <v>97</v>
      </c>
      <c r="L2511" s="31" t="str">
        <f t="shared" si="242"/>
        <v>Dua Puluh Tujuh</v>
      </c>
    </row>
    <row r="2512" spans="1:12">
      <c r="J2512" s="31">
        <v>28</v>
      </c>
      <c r="K2512" s="33" t="s">
        <v>98</v>
      </c>
      <c r="L2512" s="31" t="str">
        <f t="shared" si="242"/>
        <v>Dua Puluh Delapan</v>
      </c>
    </row>
    <row r="2513" spans="1:12">
      <c r="J2513" s="31">
        <v>29</v>
      </c>
      <c r="K2513" s="33" t="s">
        <v>99</v>
      </c>
      <c r="L2513" s="31" t="str">
        <f t="shared" si="242"/>
        <v>Dua Puluh Sembilan</v>
      </c>
    </row>
    <row r="2514" spans="1:12">
      <c r="J2514" s="31">
        <v>30</v>
      </c>
      <c r="K2514" s="33" t="s">
        <v>100</v>
      </c>
      <c r="L2514" s="31" t="s">
        <v>101</v>
      </c>
    </row>
    <row r="2515" spans="1:12">
      <c r="J2515" s="31">
        <v>31</v>
      </c>
      <c r="K2515" s="33" t="s">
        <v>102</v>
      </c>
      <c r="L2515" s="31" t="str">
        <f t="shared" ref="L2515:L2523" si="243">$L$33&amp;" "&amp;L2485</f>
        <v>Tiga Puluh Satu</v>
      </c>
    </row>
    <row r="2516" spans="1:12">
      <c r="J2516" s="31">
        <v>32</v>
      </c>
      <c r="K2516" s="33" t="s">
        <v>103</v>
      </c>
      <c r="L2516" s="31" t="str">
        <f t="shared" si="243"/>
        <v>Tiga Puluh Dua</v>
      </c>
    </row>
    <row r="2517" spans="1:12">
      <c r="J2517" s="31">
        <v>33</v>
      </c>
      <c r="K2517" s="33" t="s">
        <v>104</v>
      </c>
      <c r="L2517" s="31" t="str">
        <f t="shared" si="243"/>
        <v>Tiga Puluh Tiga</v>
      </c>
    </row>
    <row r="2518" spans="1:12">
      <c r="J2518" s="31">
        <v>34</v>
      </c>
      <c r="K2518" s="33" t="s">
        <v>105</v>
      </c>
      <c r="L2518" s="31" t="str">
        <f t="shared" si="243"/>
        <v>Tiga Puluh Empat</v>
      </c>
    </row>
    <row r="2519" spans="1:12">
      <c r="J2519" s="31">
        <v>35</v>
      </c>
      <c r="K2519" s="33" t="s">
        <v>106</v>
      </c>
      <c r="L2519" s="31" t="str">
        <f t="shared" si="243"/>
        <v>Tiga Puluh Lima</v>
      </c>
    </row>
    <row r="2520" spans="1:12">
      <c r="J2520" s="31">
        <v>36</v>
      </c>
      <c r="K2520" s="33" t="s">
        <v>107</v>
      </c>
      <c r="L2520" s="31" t="str">
        <f t="shared" si="243"/>
        <v>Tiga Puluh Enam</v>
      </c>
    </row>
    <row r="2521" spans="1:12">
      <c r="J2521" s="31">
        <v>37</v>
      </c>
      <c r="K2521" s="33" t="s">
        <v>108</v>
      </c>
      <c r="L2521" s="31" t="str">
        <f t="shared" si="243"/>
        <v>Tiga Puluh Tujuh</v>
      </c>
    </row>
    <row r="2522" spans="1:12">
      <c r="J2522" s="31">
        <v>38</v>
      </c>
      <c r="K2522" s="33" t="s">
        <v>109</v>
      </c>
      <c r="L2522" s="31" t="str">
        <f t="shared" si="243"/>
        <v>Tiga Puluh Delapan</v>
      </c>
    </row>
    <row r="2523" spans="1:12">
      <c r="J2523" s="31">
        <v>39</v>
      </c>
      <c r="K2523" s="33" t="s">
        <v>110</v>
      </c>
      <c r="L2523" s="31" t="str">
        <f t="shared" si="243"/>
        <v>Tiga Puluh Sembilan</v>
      </c>
    </row>
    <row r="2524" spans="1:12">
      <c r="B2524" s="35"/>
      <c r="C2524" s="35"/>
      <c r="D2524" s="35"/>
      <c r="J2524" s="31">
        <v>40</v>
      </c>
      <c r="K2524" s="33" t="s">
        <v>111</v>
      </c>
      <c r="L2524" s="31" t="s">
        <v>112</v>
      </c>
    </row>
    <row r="2525" spans="1:12">
      <c r="A2525" s="35"/>
      <c r="B2525" s="35"/>
      <c r="C2525" s="35"/>
      <c r="D2525" s="35"/>
      <c r="J2525" s="31">
        <v>41</v>
      </c>
      <c r="K2525" s="33" t="s">
        <v>113</v>
      </c>
      <c r="L2525" s="31" t="str">
        <f t="shared" ref="L2525:L2533" si="244">$L$43&amp;" "&amp;L2485</f>
        <v>Empat Puluh Satu</v>
      </c>
    </row>
    <row r="2526" spans="1:12">
      <c r="J2526" s="31">
        <v>42</v>
      </c>
      <c r="K2526" s="33" t="s">
        <v>114</v>
      </c>
      <c r="L2526" s="31" t="str">
        <f t="shared" si="244"/>
        <v>Empat Puluh Dua</v>
      </c>
    </row>
    <row r="2527" spans="1:12">
      <c r="A2527" s="38"/>
      <c r="J2527" s="31">
        <v>43</v>
      </c>
      <c r="K2527" s="33" t="s">
        <v>115</v>
      </c>
      <c r="L2527" s="31" t="str">
        <f t="shared" si="244"/>
        <v>Empat Puluh Tiga</v>
      </c>
    </row>
    <row r="2528" spans="1:12">
      <c r="J2528" s="31">
        <v>44</v>
      </c>
      <c r="K2528" s="33" t="s">
        <v>116</v>
      </c>
      <c r="L2528" s="31" t="str">
        <f t="shared" si="244"/>
        <v>Empat Puluh Empat</v>
      </c>
    </row>
    <row r="2529" spans="10:12">
      <c r="J2529" s="31">
        <v>45</v>
      </c>
      <c r="K2529" s="33" t="s">
        <v>117</v>
      </c>
      <c r="L2529" s="31" t="str">
        <f t="shared" si="244"/>
        <v>Empat Puluh Lima</v>
      </c>
    </row>
    <row r="2530" spans="10:12">
      <c r="J2530" s="31">
        <v>46</v>
      </c>
      <c r="K2530" s="33" t="s">
        <v>118</v>
      </c>
      <c r="L2530" s="31" t="str">
        <f t="shared" si="244"/>
        <v>Empat Puluh Enam</v>
      </c>
    </row>
    <row r="2531" spans="10:12">
      <c r="J2531" s="31">
        <v>47</v>
      </c>
      <c r="K2531" s="33" t="s">
        <v>119</v>
      </c>
      <c r="L2531" s="31" t="str">
        <f t="shared" si="244"/>
        <v>Empat Puluh Tujuh</v>
      </c>
    </row>
    <row r="2532" spans="10:12">
      <c r="J2532" s="31">
        <v>48</v>
      </c>
      <c r="K2532" s="33" t="s">
        <v>120</v>
      </c>
      <c r="L2532" s="31" t="str">
        <f t="shared" si="244"/>
        <v>Empat Puluh Delapan</v>
      </c>
    </row>
    <row r="2533" spans="10:12">
      <c r="J2533" s="31">
        <v>49</v>
      </c>
      <c r="K2533" s="33" t="s">
        <v>121</v>
      </c>
      <c r="L2533" s="31" t="str">
        <f t="shared" si="244"/>
        <v>Empat Puluh Sembilan</v>
      </c>
    </row>
    <row r="2534" spans="10:12">
      <c r="J2534" s="31">
        <v>50</v>
      </c>
      <c r="K2534" s="33" t="s">
        <v>122</v>
      </c>
      <c r="L2534" s="31" t="s">
        <v>123</v>
      </c>
    </row>
    <row r="2535" spans="10:12">
      <c r="J2535" s="31">
        <v>51</v>
      </c>
      <c r="K2535" s="33" t="s">
        <v>124</v>
      </c>
      <c r="L2535" s="31" t="str">
        <f t="shared" ref="L2535:L2543" si="245">$L$53&amp;" "&amp;L2485</f>
        <v>Lima Puluh Satu</v>
      </c>
    </row>
    <row r="2536" spans="10:12">
      <c r="J2536" s="31">
        <v>52</v>
      </c>
      <c r="K2536" s="33" t="s">
        <v>125</v>
      </c>
      <c r="L2536" s="31" t="str">
        <f t="shared" si="245"/>
        <v>Lima Puluh Dua</v>
      </c>
    </row>
    <row r="2537" spans="10:12">
      <c r="J2537" s="31">
        <v>53</v>
      </c>
      <c r="K2537" s="33" t="s">
        <v>126</v>
      </c>
      <c r="L2537" s="31" t="str">
        <f t="shared" si="245"/>
        <v>Lima Puluh Tiga</v>
      </c>
    </row>
    <row r="2538" spans="10:12">
      <c r="J2538" s="31">
        <v>54</v>
      </c>
      <c r="K2538" s="33" t="s">
        <v>127</v>
      </c>
      <c r="L2538" s="31" t="str">
        <f t="shared" si="245"/>
        <v>Lima Puluh Empat</v>
      </c>
    </row>
    <row r="2539" spans="10:12">
      <c r="J2539" s="31">
        <v>55</v>
      </c>
      <c r="K2539" s="33" t="s">
        <v>128</v>
      </c>
      <c r="L2539" s="31" t="str">
        <f t="shared" si="245"/>
        <v>Lima Puluh Lima</v>
      </c>
    </row>
    <row r="2540" spans="10:12">
      <c r="J2540" s="31">
        <v>56</v>
      </c>
      <c r="K2540" s="33" t="s">
        <v>129</v>
      </c>
      <c r="L2540" s="31" t="str">
        <f t="shared" si="245"/>
        <v>Lima Puluh Enam</v>
      </c>
    </row>
    <row r="2541" spans="10:12">
      <c r="J2541" s="31">
        <v>57</v>
      </c>
      <c r="K2541" s="33" t="s">
        <v>130</v>
      </c>
      <c r="L2541" s="31" t="str">
        <f t="shared" si="245"/>
        <v>Lima Puluh Tujuh</v>
      </c>
    </row>
    <row r="2542" spans="10:12">
      <c r="J2542" s="31">
        <v>58</v>
      </c>
      <c r="K2542" s="33" t="s">
        <v>131</v>
      </c>
      <c r="L2542" s="31" t="str">
        <f t="shared" si="245"/>
        <v>Lima Puluh Delapan</v>
      </c>
    </row>
    <row r="2543" spans="10:12">
      <c r="J2543" s="31">
        <v>59</v>
      </c>
      <c r="K2543" s="33" t="s">
        <v>132</v>
      </c>
      <c r="L2543" s="31" t="str">
        <f t="shared" si="245"/>
        <v>Lima Puluh Sembilan</v>
      </c>
    </row>
    <row r="2544" spans="10:12">
      <c r="J2544" s="31">
        <v>60</v>
      </c>
      <c r="K2544" s="33" t="s">
        <v>133</v>
      </c>
      <c r="L2544" s="31" t="s">
        <v>134</v>
      </c>
    </row>
    <row r="2545" spans="10:12">
      <c r="J2545" s="31">
        <v>61</v>
      </c>
      <c r="K2545" s="33" t="s">
        <v>135</v>
      </c>
      <c r="L2545" s="31" t="str">
        <f t="shared" ref="L2545:L2553" si="246">$L$63&amp;" "&amp;L2485</f>
        <v>Enam Puluh Satu</v>
      </c>
    </row>
    <row r="2546" spans="10:12">
      <c r="J2546" s="31">
        <v>62</v>
      </c>
      <c r="K2546" s="33" t="s">
        <v>136</v>
      </c>
      <c r="L2546" s="31" t="str">
        <f t="shared" si="246"/>
        <v>Enam Puluh Dua</v>
      </c>
    </row>
    <row r="2547" spans="10:12">
      <c r="J2547" s="31">
        <v>63</v>
      </c>
      <c r="K2547" s="33" t="s">
        <v>137</v>
      </c>
      <c r="L2547" s="31" t="str">
        <f t="shared" si="246"/>
        <v>Enam Puluh Tiga</v>
      </c>
    </row>
    <row r="2548" spans="10:12">
      <c r="J2548" s="31">
        <v>64</v>
      </c>
      <c r="K2548" s="33" t="s">
        <v>138</v>
      </c>
      <c r="L2548" s="31" t="str">
        <f t="shared" si="246"/>
        <v>Enam Puluh Empat</v>
      </c>
    </row>
    <row r="2549" spans="10:12">
      <c r="J2549" s="31">
        <v>65</v>
      </c>
      <c r="K2549" s="33" t="s">
        <v>139</v>
      </c>
      <c r="L2549" s="31" t="str">
        <f t="shared" si="246"/>
        <v>Enam Puluh Lima</v>
      </c>
    </row>
    <row r="2550" spans="10:12">
      <c r="J2550" s="31">
        <v>66</v>
      </c>
      <c r="K2550" s="33" t="s">
        <v>140</v>
      </c>
      <c r="L2550" s="31" t="str">
        <f t="shared" si="246"/>
        <v>Enam Puluh Enam</v>
      </c>
    </row>
    <row r="2551" spans="10:12">
      <c r="J2551" s="31">
        <v>67</v>
      </c>
      <c r="K2551" s="33" t="s">
        <v>141</v>
      </c>
      <c r="L2551" s="31" t="str">
        <f t="shared" si="246"/>
        <v>Enam Puluh Tujuh</v>
      </c>
    </row>
    <row r="2552" spans="10:12">
      <c r="J2552" s="31">
        <v>68</v>
      </c>
      <c r="K2552" s="33" t="s">
        <v>142</v>
      </c>
      <c r="L2552" s="31" t="str">
        <f t="shared" si="246"/>
        <v>Enam Puluh Delapan</v>
      </c>
    </row>
    <row r="2553" spans="10:12">
      <c r="J2553" s="31">
        <v>69</v>
      </c>
      <c r="K2553" s="33" t="s">
        <v>143</v>
      </c>
      <c r="L2553" s="31" t="str">
        <f t="shared" si="246"/>
        <v>Enam Puluh Sembilan</v>
      </c>
    </row>
    <row r="2554" spans="10:12">
      <c r="J2554" s="31">
        <v>70</v>
      </c>
      <c r="K2554" s="33" t="s">
        <v>144</v>
      </c>
      <c r="L2554" s="31" t="s">
        <v>145</v>
      </c>
    </row>
    <row r="2555" spans="10:12">
      <c r="J2555" s="31">
        <v>71</v>
      </c>
      <c r="K2555" s="33" t="s">
        <v>146</v>
      </c>
      <c r="L2555" s="31" t="str">
        <f t="shared" ref="L2555:L2563" si="247">$L$73&amp;" "&amp;L2485</f>
        <v>Tujuh Puluh Satu</v>
      </c>
    </row>
    <row r="2556" spans="10:12">
      <c r="J2556" s="31">
        <v>72</v>
      </c>
      <c r="K2556" s="33" t="s">
        <v>147</v>
      </c>
      <c r="L2556" s="31" t="str">
        <f t="shared" si="247"/>
        <v>Tujuh Puluh Dua</v>
      </c>
    </row>
    <row r="2557" spans="10:12">
      <c r="J2557" s="31">
        <v>73</v>
      </c>
      <c r="K2557" s="33" t="s">
        <v>148</v>
      </c>
      <c r="L2557" s="31" t="str">
        <f t="shared" si="247"/>
        <v>Tujuh Puluh Tiga</v>
      </c>
    </row>
    <row r="2558" spans="10:12">
      <c r="J2558" s="31">
        <v>74</v>
      </c>
      <c r="K2558" s="33" t="s">
        <v>149</v>
      </c>
      <c r="L2558" s="31" t="str">
        <f t="shared" si="247"/>
        <v>Tujuh Puluh Empat</v>
      </c>
    </row>
    <row r="2559" spans="10:12">
      <c r="J2559" s="31">
        <v>75</v>
      </c>
      <c r="K2559" s="33" t="s">
        <v>150</v>
      </c>
      <c r="L2559" s="31" t="str">
        <f t="shared" si="247"/>
        <v>Tujuh Puluh Lima</v>
      </c>
    </row>
    <row r="2560" spans="10:12">
      <c r="J2560" s="31">
        <v>76</v>
      </c>
      <c r="K2560" s="33" t="s">
        <v>151</v>
      </c>
      <c r="L2560" s="31" t="str">
        <f t="shared" si="247"/>
        <v>Tujuh Puluh Enam</v>
      </c>
    </row>
    <row r="2561" spans="10:12">
      <c r="J2561" s="31">
        <v>77</v>
      </c>
      <c r="K2561" s="33" t="s">
        <v>152</v>
      </c>
      <c r="L2561" s="31" t="str">
        <f t="shared" si="247"/>
        <v>Tujuh Puluh Tujuh</v>
      </c>
    </row>
    <row r="2562" spans="10:12">
      <c r="J2562" s="31">
        <v>78</v>
      </c>
      <c r="K2562" s="33" t="s">
        <v>153</v>
      </c>
      <c r="L2562" s="31" t="str">
        <f t="shared" si="247"/>
        <v>Tujuh Puluh Delapan</v>
      </c>
    </row>
    <row r="2563" spans="10:12">
      <c r="J2563" s="31">
        <v>79</v>
      </c>
      <c r="K2563" s="33" t="s">
        <v>154</v>
      </c>
      <c r="L2563" s="31" t="str">
        <f t="shared" si="247"/>
        <v>Tujuh Puluh Sembilan</v>
      </c>
    </row>
    <row r="2564" spans="10:12">
      <c r="J2564" s="31">
        <v>80</v>
      </c>
      <c r="K2564" s="33" t="s">
        <v>155</v>
      </c>
      <c r="L2564" s="31" t="s">
        <v>156</v>
      </c>
    </row>
    <row r="2565" spans="10:12">
      <c r="J2565" s="31">
        <v>81</v>
      </c>
      <c r="K2565" s="33" t="s">
        <v>157</v>
      </c>
      <c r="L2565" s="31" t="str">
        <f t="shared" ref="L2565:L2573" si="248">$L$83&amp;" "&amp;L2485</f>
        <v>Delapan Puluh Satu</v>
      </c>
    </row>
    <row r="2566" spans="10:12">
      <c r="J2566" s="31">
        <v>82</v>
      </c>
      <c r="K2566" s="33" t="s">
        <v>158</v>
      </c>
      <c r="L2566" s="31" t="str">
        <f t="shared" si="248"/>
        <v>Delapan Puluh Dua</v>
      </c>
    </row>
    <row r="2567" spans="10:12">
      <c r="J2567" s="31">
        <v>83</v>
      </c>
      <c r="K2567" s="33" t="s">
        <v>159</v>
      </c>
      <c r="L2567" s="31" t="str">
        <f t="shared" si="248"/>
        <v>Delapan Puluh Tiga</v>
      </c>
    </row>
    <row r="2568" spans="10:12">
      <c r="J2568" s="31">
        <v>84</v>
      </c>
      <c r="K2568" s="33" t="s">
        <v>160</v>
      </c>
      <c r="L2568" s="31" t="str">
        <f t="shared" si="248"/>
        <v>Delapan Puluh Empat</v>
      </c>
    </row>
    <row r="2569" spans="10:12">
      <c r="J2569" s="31">
        <v>85</v>
      </c>
      <c r="K2569" s="33" t="s">
        <v>161</v>
      </c>
      <c r="L2569" s="31" t="str">
        <f t="shared" si="248"/>
        <v>Delapan Puluh Lima</v>
      </c>
    </row>
    <row r="2570" spans="10:12">
      <c r="J2570" s="31">
        <v>86</v>
      </c>
      <c r="K2570" s="33" t="s">
        <v>162</v>
      </c>
      <c r="L2570" s="31" t="str">
        <f t="shared" si="248"/>
        <v>Delapan Puluh Enam</v>
      </c>
    </row>
    <row r="2571" spans="10:12">
      <c r="J2571" s="31">
        <v>87</v>
      </c>
      <c r="K2571" s="33" t="s">
        <v>163</v>
      </c>
      <c r="L2571" s="31" t="str">
        <f t="shared" si="248"/>
        <v>Delapan Puluh Tujuh</v>
      </c>
    </row>
    <row r="2572" spans="10:12">
      <c r="J2572" s="31">
        <v>88</v>
      </c>
      <c r="K2572" s="33" t="s">
        <v>164</v>
      </c>
      <c r="L2572" s="31" t="str">
        <f t="shared" si="248"/>
        <v>Delapan Puluh Delapan</v>
      </c>
    </row>
    <row r="2573" spans="10:12">
      <c r="J2573" s="31">
        <v>89</v>
      </c>
      <c r="K2573" s="33" t="s">
        <v>165</v>
      </c>
      <c r="L2573" s="31" t="str">
        <f t="shared" si="248"/>
        <v>Delapan Puluh Sembilan</v>
      </c>
    </row>
    <row r="2574" spans="10:12">
      <c r="J2574" s="31">
        <v>90</v>
      </c>
      <c r="K2574" s="33" t="s">
        <v>166</v>
      </c>
      <c r="L2574" s="31" t="s">
        <v>167</v>
      </c>
    </row>
    <row r="2575" spans="10:12">
      <c r="J2575" s="31">
        <v>91</v>
      </c>
      <c r="K2575" s="33" t="s">
        <v>168</v>
      </c>
      <c r="L2575" s="31" t="str">
        <f t="shared" ref="L2575:L2583" si="249">$L$93&amp;" "&amp;L2485</f>
        <v>Sembilan Puluh Satu</v>
      </c>
    </row>
    <row r="2576" spans="10:12">
      <c r="J2576" s="31">
        <v>92</v>
      </c>
      <c r="K2576" s="33" t="s">
        <v>169</v>
      </c>
      <c r="L2576" s="31" t="str">
        <f t="shared" si="249"/>
        <v>Sembilan Puluh Dua</v>
      </c>
    </row>
    <row r="2577" spans="1:12">
      <c r="J2577" s="31">
        <v>93</v>
      </c>
      <c r="K2577" s="33" t="s">
        <v>170</v>
      </c>
      <c r="L2577" s="31" t="str">
        <f t="shared" si="249"/>
        <v>Sembilan Puluh Tiga</v>
      </c>
    </row>
    <row r="2578" spans="1:12">
      <c r="J2578" s="31">
        <v>94</v>
      </c>
      <c r="K2578" s="33" t="s">
        <v>171</v>
      </c>
      <c r="L2578" s="31" t="str">
        <f t="shared" si="249"/>
        <v>Sembilan Puluh Empat</v>
      </c>
    </row>
    <row r="2579" spans="1:12">
      <c r="J2579" s="31">
        <v>95</v>
      </c>
      <c r="K2579" s="33" t="s">
        <v>172</v>
      </c>
      <c r="L2579" s="31" t="str">
        <f t="shared" si="249"/>
        <v>Sembilan Puluh Lima</v>
      </c>
    </row>
    <row r="2580" spans="1:12">
      <c r="J2580" s="31">
        <v>96</v>
      </c>
      <c r="K2580" s="33" t="s">
        <v>173</v>
      </c>
      <c r="L2580" s="31" t="str">
        <f t="shared" si="249"/>
        <v>Sembilan Puluh Enam</v>
      </c>
    </row>
    <row r="2581" spans="1:12">
      <c r="J2581" s="31">
        <v>97</v>
      </c>
      <c r="K2581" s="33" t="s">
        <v>174</v>
      </c>
      <c r="L2581" s="31" t="str">
        <f t="shared" si="249"/>
        <v>Sembilan Puluh Tujuh</v>
      </c>
    </row>
    <row r="2582" spans="1:12">
      <c r="J2582" s="31">
        <v>98</v>
      </c>
      <c r="K2582" s="33" t="s">
        <v>175</v>
      </c>
      <c r="L2582" s="31" t="str">
        <f t="shared" si="249"/>
        <v>Sembilan Puluh Delapan</v>
      </c>
    </row>
    <row r="2583" spans="1:12">
      <c r="J2583" s="31">
        <v>99</v>
      </c>
      <c r="K2583" s="33" t="s">
        <v>176</v>
      </c>
      <c r="L2583" s="31" t="str">
        <f t="shared" si="249"/>
        <v>Sembilan Puluh Sembilan</v>
      </c>
    </row>
    <row r="2586" spans="1:12">
      <c r="A2586" s="30" t="e">
        <f>#REF!</f>
        <v>#REF!</v>
      </c>
      <c r="C2586" s="31" t="s">
        <v>235</v>
      </c>
    </row>
    <row r="2587" spans="1:12">
      <c r="A2587" s="32"/>
    </row>
    <row r="2588" spans="1:12">
      <c r="J2588" s="31">
        <v>0</v>
      </c>
      <c r="K2588" s="33" t="s">
        <v>48</v>
      </c>
      <c r="L2588" s="31" t="s">
        <v>49</v>
      </c>
    </row>
    <row r="2589" spans="1:12">
      <c r="A2589" s="34"/>
      <c r="J2589" s="31">
        <v>1</v>
      </c>
      <c r="K2589" s="33" t="s">
        <v>50</v>
      </c>
      <c r="L2589" s="31" t="s">
        <v>51</v>
      </c>
    </row>
    <row r="2590" spans="1:12">
      <c r="A2590" s="255" t="e">
        <f>TRIM(D2598&amp;E2598&amp;D2599&amp;E2599&amp;D2600&amp;E2600&amp;D2601&amp;E2601&amp;D2602&amp;E2602&amp;D2603&amp;E2603&amp;E2604&amp;D2604&amp;" Only")</f>
        <v>#REF!</v>
      </c>
      <c r="B2590" s="255"/>
      <c r="C2590" s="255"/>
      <c r="D2590" s="255"/>
      <c r="E2590" s="35"/>
      <c r="F2590" s="36"/>
      <c r="J2590" s="31">
        <v>2</v>
      </c>
      <c r="K2590" s="33" t="s">
        <v>52</v>
      </c>
      <c r="L2590" s="31" t="s">
        <v>53</v>
      </c>
    </row>
    <row r="2591" spans="1:12">
      <c r="A2591" s="37"/>
      <c r="B2591" s="37"/>
      <c r="C2591" s="37"/>
      <c r="D2591" s="37"/>
      <c r="E2591" s="35"/>
      <c r="F2591" s="36"/>
      <c r="J2591" s="31">
        <v>3</v>
      </c>
      <c r="K2591" s="33" t="s">
        <v>54</v>
      </c>
      <c r="L2591" s="31" t="s">
        <v>55</v>
      </c>
    </row>
    <row r="2592" spans="1:12">
      <c r="A2592" s="37"/>
      <c r="B2592" s="37"/>
      <c r="C2592" s="37"/>
      <c r="D2592" s="37"/>
      <c r="J2592" s="31">
        <v>4</v>
      </c>
      <c r="K2592" s="33" t="s">
        <v>56</v>
      </c>
      <c r="L2592" s="31" t="s">
        <v>57</v>
      </c>
    </row>
    <row r="2593" spans="1:12">
      <c r="A2593" s="255" t="e">
        <f>TRIM(D2608&amp;E2608&amp;D2609&amp;E2609&amp;D2610&amp;E2610&amp;D2611&amp;E2611&amp;D2612&amp;E2612&amp;D2613&amp;E2613&amp;D2614&amp;E2614&amp;" Rupiah")</f>
        <v>#REF!</v>
      </c>
      <c r="B2593" s="255"/>
      <c r="C2593" s="255"/>
      <c r="D2593" s="255"/>
      <c r="E2593" s="35"/>
      <c r="F2593" s="36"/>
      <c r="J2593" s="31">
        <v>5</v>
      </c>
      <c r="K2593" s="33" t="s">
        <v>58</v>
      </c>
      <c r="L2593" s="31" t="s">
        <v>59</v>
      </c>
    </row>
    <row r="2594" spans="1:12">
      <c r="A2594" s="35"/>
      <c r="B2594" s="35"/>
      <c r="C2594" s="35"/>
      <c r="D2594" s="35"/>
      <c r="E2594" s="35"/>
      <c r="F2594" s="36"/>
      <c r="J2594" s="31">
        <v>6</v>
      </c>
      <c r="K2594" s="33" t="s">
        <v>60</v>
      </c>
      <c r="L2594" s="31" t="s">
        <v>61</v>
      </c>
    </row>
    <row r="2595" spans="1:12">
      <c r="J2595" s="31">
        <v>7</v>
      </c>
      <c r="K2595" s="33" t="s">
        <v>62</v>
      </c>
      <c r="L2595" s="31" t="s">
        <v>63</v>
      </c>
    </row>
    <row r="2596" spans="1:12">
      <c r="J2596" s="31">
        <v>8</v>
      </c>
      <c r="K2596" s="33" t="s">
        <v>64</v>
      </c>
      <c r="L2596" s="31" t="s">
        <v>65</v>
      </c>
    </row>
    <row r="2597" spans="1:12">
      <c r="A2597" s="38" t="s">
        <v>66</v>
      </c>
      <c r="J2597" s="31">
        <v>9</v>
      </c>
      <c r="K2597" s="33" t="s">
        <v>67</v>
      </c>
      <c r="L2597" s="31" t="s">
        <v>68</v>
      </c>
    </row>
    <row r="2598" spans="1:12">
      <c r="A2598" s="31" t="s">
        <v>69</v>
      </c>
      <c r="B2598" s="39" t="e">
        <f>TRUNC(A2586/100000000)</f>
        <v>#REF!</v>
      </c>
      <c r="C2598" s="31" t="e">
        <f>B2598*100000000</f>
        <v>#REF!</v>
      </c>
      <c r="D2598" s="31" t="e">
        <f t="shared" ref="D2598:D2604" si="250">IF(B2598&lt;1,"",VLOOKUP(B2598,$J$3:$K$102,2))</f>
        <v>#REF!</v>
      </c>
      <c r="E2598" s="31" t="e">
        <f>IF(B2598&lt;1,"",IF(B2598&gt;1," Hundreds "," Hundred "))</f>
        <v>#REF!</v>
      </c>
      <c r="J2598" s="31">
        <v>10</v>
      </c>
      <c r="K2598" s="33" t="s">
        <v>70</v>
      </c>
      <c r="L2598" s="31" t="s">
        <v>71</v>
      </c>
    </row>
    <row r="2599" spans="1:12">
      <c r="A2599" s="31" t="s">
        <v>72</v>
      </c>
      <c r="B2599" s="39" t="e">
        <f>TRUNC((A2586-C2598)/1000000)</f>
        <v>#REF!</v>
      </c>
      <c r="C2599" s="31" t="e">
        <f>B2599*1000000</f>
        <v>#REF!</v>
      </c>
      <c r="D2599" s="31" t="e">
        <f t="shared" si="250"/>
        <v>#REF!</v>
      </c>
      <c r="E2599" s="31" t="e">
        <f>IF(B2598+B2599=0,"",IF(B2599=1," Million "," Millions "))</f>
        <v>#REF!</v>
      </c>
      <c r="J2599" s="31">
        <v>11</v>
      </c>
      <c r="K2599" s="33" t="s">
        <v>73</v>
      </c>
      <c r="L2599" s="31" t="s">
        <v>74</v>
      </c>
    </row>
    <row r="2600" spans="1:12">
      <c r="A2600" s="31" t="s">
        <v>75</v>
      </c>
      <c r="B2600" s="39" t="e">
        <f>TRUNC((A2586-SUM(C2598:C2599))/100000)</f>
        <v>#REF!</v>
      </c>
      <c r="C2600" s="31" t="e">
        <f>B2600*100000</f>
        <v>#REF!</v>
      </c>
      <c r="D2600" s="31" t="e">
        <f t="shared" si="250"/>
        <v>#REF!</v>
      </c>
      <c r="E2600" s="31" t="e">
        <f>IF(B2600&lt;1,"",IF(B2600&gt;1," Hundreds "," Hundred "))</f>
        <v>#REF!</v>
      </c>
      <c r="J2600" s="31">
        <v>12</v>
      </c>
      <c r="K2600" s="33" t="s">
        <v>76</v>
      </c>
      <c r="L2600" s="31" t="str">
        <f t="shared" ref="L2600:L2607" si="251">L2590&amp;" Belas"</f>
        <v>Dua Belas</v>
      </c>
    </row>
    <row r="2601" spans="1:12">
      <c r="A2601" s="33" t="s">
        <v>77</v>
      </c>
      <c r="B2601" s="40" t="e">
        <f>TRUNC((A2586-SUM(C2598:C2600))/1000)</f>
        <v>#REF!</v>
      </c>
      <c r="C2601" s="31" t="e">
        <f>B2601*1000</f>
        <v>#REF!</v>
      </c>
      <c r="D2601" s="31" t="e">
        <f t="shared" si="250"/>
        <v>#REF!</v>
      </c>
      <c r="E2601" s="31" t="e">
        <f>IF(B2600+B2601=0,"",IF(B2601=1," Thousand "," Thousands "))</f>
        <v>#REF!</v>
      </c>
      <c r="J2601" s="31">
        <v>13</v>
      </c>
      <c r="K2601" s="33" t="s">
        <v>78</v>
      </c>
      <c r="L2601" s="31" t="str">
        <f t="shared" si="251"/>
        <v>Tiga Belas</v>
      </c>
    </row>
    <row r="2602" spans="1:12">
      <c r="A2602" s="33" t="s">
        <v>79</v>
      </c>
      <c r="B2602" s="40" t="e">
        <f>TRUNC((A2586-SUM(C2598:C2601))/100)</f>
        <v>#REF!</v>
      </c>
      <c r="C2602" s="31" t="e">
        <f>B2602*100</f>
        <v>#REF!</v>
      </c>
      <c r="D2602" s="31" t="e">
        <f t="shared" si="250"/>
        <v>#REF!</v>
      </c>
      <c r="E2602" s="31" t="e">
        <f>IF(B2602&lt;1,"",IF(B2602&gt;1," Hundreds "," Hundred "))</f>
        <v>#REF!</v>
      </c>
      <c r="J2602" s="31">
        <v>14</v>
      </c>
      <c r="K2602" s="33" t="s">
        <v>80</v>
      </c>
      <c r="L2602" s="31" t="str">
        <f t="shared" si="251"/>
        <v>Empat Belas</v>
      </c>
    </row>
    <row r="2603" spans="1:12">
      <c r="A2603" s="33" t="s">
        <v>81</v>
      </c>
      <c r="B2603" s="41" t="e">
        <f>TRUNC((A2586-SUM(C2598:C2602)))</f>
        <v>#REF!</v>
      </c>
      <c r="C2603" s="42" t="e">
        <f>B2603</f>
        <v>#REF!</v>
      </c>
      <c r="D2603" s="31" t="e">
        <f t="shared" si="250"/>
        <v>#REF!</v>
      </c>
      <c r="E2603" s="31" t="e">
        <f>IF(SUM(C2598:C2603)&lt;1,"",IF(B2604&lt;1,""," And "))</f>
        <v>#REF!</v>
      </c>
      <c r="J2603" s="31">
        <v>15</v>
      </c>
      <c r="K2603" s="33" t="s">
        <v>82</v>
      </c>
      <c r="L2603" s="31" t="str">
        <f t="shared" si="251"/>
        <v>Lima Belas</v>
      </c>
    </row>
    <row r="2604" spans="1:12">
      <c r="A2604" s="33" t="s">
        <v>83</v>
      </c>
      <c r="B2604" s="40" t="e">
        <f>ROUND(A2586-SUM(C2598:C2603),2)*100</f>
        <v>#REF!</v>
      </c>
      <c r="D2604" s="43" t="e">
        <f t="shared" si="250"/>
        <v>#REF!</v>
      </c>
      <c r="E2604" s="31" t="e">
        <f>IF(B2604&lt;1,"",IF(B2604=1," Cent "," Cents "))</f>
        <v>#REF!</v>
      </c>
      <c r="J2604" s="31">
        <v>16</v>
      </c>
      <c r="K2604" s="33" t="s">
        <v>84</v>
      </c>
      <c r="L2604" s="31" t="str">
        <f t="shared" si="251"/>
        <v>Enam Belas</v>
      </c>
    </row>
    <row r="2605" spans="1:12">
      <c r="J2605" s="31">
        <v>17</v>
      </c>
      <c r="K2605" s="33" t="s">
        <v>85</v>
      </c>
      <c r="L2605" s="31" t="str">
        <f t="shared" si="251"/>
        <v>Tujuh Belas</v>
      </c>
    </row>
    <row r="2606" spans="1:12">
      <c r="A2606" s="44"/>
      <c r="J2606" s="31">
        <v>18</v>
      </c>
      <c r="K2606" s="33" t="s">
        <v>86</v>
      </c>
      <c r="L2606" s="31" t="str">
        <f t="shared" si="251"/>
        <v>Delapan Belas</v>
      </c>
    </row>
    <row r="2607" spans="1:12">
      <c r="A2607" s="38" t="s">
        <v>87</v>
      </c>
      <c r="J2607" s="31">
        <v>19</v>
      </c>
      <c r="K2607" s="33" t="s">
        <v>88</v>
      </c>
      <c r="L2607" s="31" t="str">
        <f t="shared" si="251"/>
        <v>Sembilan Belas</v>
      </c>
    </row>
    <row r="2608" spans="1:12">
      <c r="A2608" s="31" t="s">
        <v>69</v>
      </c>
      <c r="B2608" s="39" t="e">
        <f>TRUNC(A2586/100000000)</f>
        <v>#REF!</v>
      </c>
      <c r="C2608" s="31" t="e">
        <f>B2608*100000000</f>
        <v>#REF!</v>
      </c>
      <c r="D2608" s="31" t="e">
        <f>IF(B2608&lt;1,"",IF(B2608=1,"",VLOOKUP(B2608,$J$3:$L$102,3)))</f>
        <v>#REF!</v>
      </c>
      <c r="E2608" s="31" t="e">
        <f>IF(B2608&lt;1,"",IF(B2608=1,"Seratus "," Ratus "))</f>
        <v>#REF!</v>
      </c>
      <c r="J2608" s="31">
        <v>20</v>
      </c>
      <c r="K2608" s="33" t="s">
        <v>89</v>
      </c>
      <c r="L2608" s="31" t="s">
        <v>90</v>
      </c>
    </row>
    <row r="2609" spans="1:12">
      <c r="A2609" s="31" t="s">
        <v>72</v>
      </c>
      <c r="B2609" s="39" t="e">
        <f>TRUNC((A2586-C2608)/1000000)</f>
        <v>#REF!</v>
      </c>
      <c r="C2609" s="31" t="e">
        <f>B2609*1000000</f>
        <v>#REF!</v>
      </c>
      <c r="D2609" s="31" t="e">
        <f>IF(B2609&lt;1,"",VLOOKUP(B2609,$J$3:$L$102,3))</f>
        <v>#REF!</v>
      </c>
      <c r="E2609" s="31" t="e">
        <f>IF(B2608+B2609=0,""," Juta ")</f>
        <v>#REF!</v>
      </c>
      <c r="J2609" s="31">
        <v>21</v>
      </c>
      <c r="K2609" s="33" t="s">
        <v>91</v>
      </c>
      <c r="L2609" s="31" t="str">
        <f t="shared" ref="L2609:L2617" si="252">$L$23&amp;" "&amp;L2589</f>
        <v>Dua Puluh Satu</v>
      </c>
    </row>
    <row r="2610" spans="1:12">
      <c r="A2610" s="31" t="s">
        <v>75</v>
      </c>
      <c r="B2610" s="39" t="e">
        <f>TRUNC((A2586-SUM(C2608:C2609))/100000)</f>
        <v>#REF!</v>
      </c>
      <c r="C2610" s="31" t="e">
        <f>B2610*100000</f>
        <v>#REF!</v>
      </c>
      <c r="D2610" s="31" t="e">
        <f>IF(B2610&lt;1,"",IF(B2610=1,"",VLOOKUP(B2610,$J$3:$L$102,3)))</f>
        <v>#REF!</v>
      </c>
      <c r="E2610" s="31" t="e">
        <f>IF(B2610&lt;1,"",IF(B2610=1," Seratus "," Ratus "))</f>
        <v>#REF!</v>
      </c>
      <c r="J2610" s="31">
        <v>22</v>
      </c>
      <c r="K2610" s="33" t="s">
        <v>92</v>
      </c>
      <c r="L2610" s="31" t="str">
        <f t="shared" si="252"/>
        <v>Dua Puluh Dua</v>
      </c>
    </row>
    <row r="2611" spans="1:12">
      <c r="A2611" s="33" t="s">
        <v>77</v>
      </c>
      <c r="B2611" s="40" t="e">
        <f>TRUNC((A2586-SUM(C2608:C2610))/1000)</f>
        <v>#REF!</v>
      </c>
      <c r="C2611" s="31" t="e">
        <f>B2611*1000</f>
        <v>#REF!</v>
      </c>
      <c r="D2611" s="31" t="e">
        <f>IF(B2611&lt;1,"",IF(B2611=1,"",VLOOKUP(B2611,$J$3:$L$102,3)))</f>
        <v>#REF!</v>
      </c>
      <c r="E2611" s="31" t="e">
        <f>IF(B2610+B2611&lt;1,"",IF(B2611=1," Seribu "," Ribu "))</f>
        <v>#REF!</v>
      </c>
      <c r="J2611" s="31">
        <v>23</v>
      </c>
      <c r="K2611" s="33" t="s">
        <v>93</v>
      </c>
      <c r="L2611" s="31" t="str">
        <f t="shared" si="252"/>
        <v>Dua Puluh Tiga</v>
      </c>
    </row>
    <row r="2612" spans="1:12">
      <c r="A2612" s="33" t="s">
        <v>79</v>
      </c>
      <c r="B2612" s="40" t="e">
        <f>TRUNC((A2586-SUM(C2608:C2611))/100)</f>
        <v>#REF!</v>
      </c>
      <c r="C2612" s="31" t="e">
        <f>B2612*100</f>
        <v>#REF!</v>
      </c>
      <c r="D2612" s="31" t="e">
        <f>IF(B2612&lt;1,"",IF(B2612=1,"",VLOOKUP(B2612,$J$3:$L$102,3)))</f>
        <v>#REF!</v>
      </c>
      <c r="E2612" s="31" t="e">
        <f>IF(B2612&lt;1,"",IF(B2612=1," Seratus "," Ratus "))</f>
        <v>#REF!</v>
      </c>
      <c r="J2612" s="31">
        <v>24</v>
      </c>
      <c r="K2612" s="33" t="s">
        <v>94</v>
      </c>
      <c r="L2612" s="31" t="str">
        <f t="shared" si="252"/>
        <v>Dua Puluh Empat</v>
      </c>
    </row>
    <row r="2613" spans="1:12">
      <c r="A2613" s="33" t="s">
        <v>81</v>
      </c>
      <c r="B2613" s="41" t="e">
        <f>TRUNC((A2586-SUM(C2608:C2612)))</f>
        <v>#REF!</v>
      </c>
      <c r="C2613" s="42" t="e">
        <f>B2613</f>
        <v>#REF!</v>
      </c>
      <c r="D2613" s="31" t="e">
        <f>IF(B2613&lt;1,"",VLOOKUP(B2613,$J$3:$L$102,3))</f>
        <v>#REF!</v>
      </c>
      <c r="E2613" s="31" t="e">
        <f>IF(SUM(C2608:C2613)&lt;1,"",IF(B2614&lt;1,""," Dan "))</f>
        <v>#REF!</v>
      </c>
      <c r="J2613" s="31">
        <v>25</v>
      </c>
      <c r="K2613" s="33" t="s">
        <v>95</v>
      </c>
      <c r="L2613" s="31" t="str">
        <f t="shared" si="252"/>
        <v>Dua Puluh Lima</v>
      </c>
    </row>
    <row r="2614" spans="1:12">
      <c r="A2614" s="33" t="s">
        <v>83</v>
      </c>
      <c r="B2614" s="40" t="e">
        <f>ROUND(A2586-SUM(C2608:C2613),2)*100</f>
        <v>#REF!</v>
      </c>
      <c r="D2614" s="31" t="e">
        <f>IF(B2614&lt;1,"",VLOOKUP(B2614,$J$3:$L$102,3))</f>
        <v>#REF!</v>
      </c>
      <c r="E2614" s="31" t="e">
        <f>IF(B2614&lt;1,""," Sen ")</f>
        <v>#REF!</v>
      </c>
      <c r="J2614" s="31">
        <v>26</v>
      </c>
      <c r="K2614" s="33" t="s">
        <v>96</v>
      </c>
      <c r="L2614" s="31" t="str">
        <f t="shared" si="252"/>
        <v>Dua Puluh Enam</v>
      </c>
    </row>
    <row r="2615" spans="1:12">
      <c r="J2615" s="31">
        <v>27</v>
      </c>
      <c r="K2615" s="33" t="s">
        <v>97</v>
      </c>
      <c r="L2615" s="31" t="str">
        <f t="shared" si="252"/>
        <v>Dua Puluh Tujuh</v>
      </c>
    </row>
    <row r="2616" spans="1:12">
      <c r="J2616" s="31">
        <v>28</v>
      </c>
      <c r="K2616" s="33" t="s">
        <v>98</v>
      </c>
      <c r="L2616" s="31" t="str">
        <f t="shared" si="252"/>
        <v>Dua Puluh Delapan</v>
      </c>
    </row>
    <row r="2617" spans="1:12">
      <c r="J2617" s="31">
        <v>29</v>
      </c>
      <c r="K2617" s="33" t="s">
        <v>99</v>
      </c>
      <c r="L2617" s="31" t="str">
        <f t="shared" si="252"/>
        <v>Dua Puluh Sembilan</v>
      </c>
    </row>
    <row r="2618" spans="1:12">
      <c r="J2618" s="31">
        <v>30</v>
      </c>
      <c r="K2618" s="33" t="s">
        <v>100</v>
      </c>
      <c r="L2618" s="31" t="s">
        <v>101</v>
      </c>
    </row>
    <row r="2619" spans="1:12">
      <c r="J2619" s="31">
        <v>31</v>
      </c>
      <c r="K2619" s="33" t="s">
        <v>102</v>
      </c>
      <c r="L2619" s="31" t="str">
        <f t="shared" ref="L2619:L2627" si="253">$L$33&amp;" "&amp;L2589</f>
        <v>Tiga Puluh Satu</v>
      </c>
    </row>
    <row r="2620" spans="1:12">
      <c r="J2620" s="31">
        <v>32</v>
      </c>
      <c r="K2620" s="33" t="s">
        <v>103</v>
      </c>
      <c r="L2620" s="31" t="str">
        <f t="shared" si="253"/>
        <v>Tiga Puluh Dua</v>
      </c>
    </row>
    <row r="2621" spans="1:12">
      <c r="J2621" s="31">
        <v>33</v>
      </c>
      <c r="K2621" s="33" t="s">
        <v>104</v>
      </c>
      <c r="L2621" s="31" t="str">
        <f t="shared" si="253"/>
        <v>Tiga Puluh Tiga</v>
      </c>
    </row>
    <row r="2622" spans="1:12">
      <c r="J2622" s="31">
        <v>34</v>
      </c>
      <c r="K2622" s="33" t="s">
        <v>105</v>
      </c>
      <c r="L2622" s="31" t="str">
        <f t="shared" si="253"/>
        <v>Tiga Puluh Empat</v>
      </c>
    </row>
    <row r="2623" spans="1:12">
      <c r="J2623" s="31">
        <v>35</v>
      </c>
      <c r="K2623" s="33" t="s">
        <v>106</v>
      </c>
      <c r="L2623" s="31" t="str">
        <f t="shared" si="253"/>
        <v>Tiga Puluh Lima</v>
      </c>
    </row>
    <row r="2624" spans="1:12">
      <c r="J2624" s="31">
        <v>36</v>
      </c>
      <c r="K2624" s="33" t="s">
        <v>107</v>
      </c>
      <c r="L2624" s="31" t="str">
        <f t="shared" si="253"/>
        <v>Tiga Puluh Enam</v>
      </c>
    </row>
    <row r="2625" spans="1:12">
      <c r="J2625" s="31">
        <v>37</v>
      </c>
      <c r="K2625" s="33" t="s">
        <v>108</v>
      </c>
      <c r="L2625" s="31" t="str">
        <f t="shared" si="253"/>
        <v>Tiga Puluh Tujuh</v>
      </c>
    </row>
    <row r="2626" spans="1:12">
      <c r="J2626" s="31">
        <v>38</v>
      </c>
      <c r="K2626" s="33" t="s">
        <v>109</v>
      </c>
      <c r="L2626" s="31" t="str">
        <f t="shared" si="253"/>
        <v>Tiga Puluh Delapan</v>
      </c>
    </row>
    <row r="2627" spans="1:12">
      <c r="J2627" s="31">
        <v>39</v>
      </c>
      <c r="K2627" s="33" t="s">
        <v>110</v>
      </c>
      <c r="L2627" s="31" t="str">
        <f t="shared" si="253"/>
        <v>Tiga Puluh Sembilan</v>
      </c>
    </row>
    <row r="2628" spans="1:12">
      <c r="B2628" s="35"/>
      <c r="C2628" s="35"/>
      <c r="D2628" s="35"/>
      <c r="J2628" s="31">
        <v>40</v>
      </c>
      <c r="K2628" s="33" t="s">
        <v>111</v>
      </c>
      <c r="L2628" s="31" t="s">
        <v>112</v>
      </c>
    </row>
    <row r="2629" spans="1:12">
      <c r="A2629" s="35"/>
      <c r="B2629" s="35"/>
      <c r="C2629" s="35"/>
      <c r="D2629" s="35"/>
      <c r="J2629" s="31">
        <v>41</v>
      </c>
      <c r="K2629" s="33" t="s">
        <v>113</v>
      </c>
      <c r="L2629" s="31" t="str">
        <f t="shared" ref="L2629:L2637" si="254">$L$43&amp;" "&amp;L2589</f>
        <v>Empat Puluh Satu</v>
      </c>
    </row>
    <row r="2630" spans="1:12">
      <c r="J2630" s="31">
        <v>42</v>
      </c>
      <c r="K2630" s="33" t="s">
        <v>114</v>
      </c>
      <c r="L2630" s="31" t="str">
        <f t="shared" si="254"/>
        <v>Empat Puluh Dua</v>
      </c>
    </row>
    <row r="2631" spans="1:12">
      <c r="A2631" s="38"/>
      <c r="J2631" s="31">
        <v>43</v>
      </c>
      <c r="K2631" s="33" t="s">
        <v>115</v>
      </c>
      <c r="L2631" s="31" t="str">
        <f t="shared" si="254"/>
        <v>Empat Puluh Tiga</v>
      </c>
    </row>
    <row r="2632" spans="1:12">
      <c r="J2632" s="31">
        <v>44</v>
      </c>
      <c r="K2632" s="33" t="s">
        <v>116</v>
      </c>
      <c r="L2632" s="31" t="str">
        <f t="shared" si="254"/>
        <v>Empat Puluh Empat</v>
      </c>
    </row>
    <row r="2633" spans="1:12">
      <c r="J2633" s="31">
        <v>45</v>
      </c>
      <c r="K2633" s="33" t="s">
        <v>117</v>
      </c>
      <c r="L2633" s="31" t="str">
        <f t="shared" si="254"/>
        <v>Empat Puluh Lima</v>
      </c>
    </row>
    <row r="2634" spans="1:12">
      <c r="J2634" s="31">
        <v>46</v>
      </c>
      <c r="K2634" s="33" t="s">
        <v>118</v>
      </c>
      <c r="L2634" s="31" t="str">
        <f t="shared" si="254"/>
        <v>Empat Puluh Enam</v>
      </c>
    </row>
    <row r="2635" spans="1:12">
      <c r="J2635" s="31">
        <v>47</v>
      </c>
      <c r="K2635" s="33" t="s">
        <v>119</v>
      </c>
      <c r="L2635" s="31" t="str">
        <f t="shared" si="254"/>
        <v>Empat Puluh Tujuh</v>
      </c>
    </row>
    <row r="2636" spans="1:12">
      <c r="J2636" s="31">
        <v>48</v>
      </c>
      <c r="K2636" s="33" t="s">
        <v>120</v>
      </c>
      <c r="L2636" s="31" t="str">
        <f t="shared" si="254"/>
        <v>Empat Puluh Delapan</v>
      </c>
    </row>
    <row r="2637" spans="1:12">
      <c r="J2637" s="31">
        <v>49</v>
      </c>
      <c r="K2637" s="33" t="s">
        <v>121</v>
      </c>
      <c r="L2637" s="31" t="str">
        <f t="shared" si="254"/>
        <v>Empat Puluh Sembilan</v>
      </c>
    </row>
    <row r="2638" spans="1:12">
      <c r="J2638" s="31">
        <v>50</v>
      </c>
      <c r="K2638" s="33" t="s">
        <v>122</v>
      </c>
      <c r="L2638" s="31" t="s">
        <v>123</v>
      </c>
    </row>
    <row r="2639" spans="1:12">
      <c r="J2639" s="31">
        <v>51</v>
      </c>
      <c r="K2639" s="33" t="s">
        <v>124</v>
      </c>
      <c r="L2639" s="31" t="str">
        <f t="shared" ref="L2639:L2647" si="255">$L$53&amp;" "&amp;L2589</f>
        <v>Lima Puluh Satu</v>
      </c>
    </row>
    <row r="2640" spans="1:12">
      <c r="J2640" s="31">
        <v>52</v>
      </c>
      <c r="K2640" s="33" t="s">
        <v>125</v>
      </c>
      <c r="L2640" s="31" t="str">
        <f t="shared" si="255"/>
        <v>Lima Puluh Dua</v>
      </c>
    </row>
    <row r="2641" spans="10:12">
      <c r="J2641" s="31">
        <v>53</v>
      </c>
      <c r="K2641" s="33" t="s">
        <v>126</v>
      </c>
      <c r="L2641" s="31" t="str">
        <f t="shared" si="255"/>
        <v>Lima Puluh Tiga</v>
      </c>
    </row>
    <row r="2642" spans="10:12">
      <c r="J2642" s="31">
        <v>54</v>
      </c>
      <c r="K2642" s="33" t="s">
        <v>127</v>
      </c>
      <c r="L2642" s="31" t="str">
        <f t="shared" si="255"/>
        <v>Lima Puluh Empat</v>
      </c>
    </row>
    <row r="2643" spans="10:12">
      <c r="J2643" s="31">
        <v>55</v>
      </c>
      <c r="K2643" s="33" t="s">
        <v>128</v>
      </c>
      <c r="L2643" s="31" t="str">
        <f t="shared" si="255"/>
        <v>Lima Puluh Lima</v>
      </c>
    </row>
    <row r="2644" spans="10:12">
      <c r="J2644" s="31">
        <v>56</v>
      </c>
      <c r="K2644" s="33" t="s">
        <v>129</v>
      </c>
      <c r="L2644" s="31" t="str">
        <f t="shared" si="255"/>
        <v>Lima Puluh Enam</v>
      </c>
    </row>
    <row r="2645" spans="10:12">
      <c r="J2645" s="31">
        <v>57</v>
      </c>
      <c r="K2645" s="33" t="s">
        <v>130</v>
      </c>
      <c r="L2645" s="31" t="str">
        <f t="shared" si="255"/>
        <v>Lima Puluh Tujuh</v>
      </c>
    </row>
    <row r="2646" spans="10:12">
      <c r="J2646" s="31">
        <v>58</v>
      </c>
      <c r="K2646" s="33" t="s">
        <v>131</v>
      </c>
      <c r="L2646" s="31" t="str">
        <f t="shared" si="255"/>
        <v>Lima Puluh Delapan</v>
      </c>
    </row>
    <row r="2647" spans="10:12">
      <c r="J2647" s="31">
        <v>59</v>
      </c>
      <c r="K2647" s="33" t="s">
        <v>132</v>
      </c>
      <c r="L2647" s="31" t="str">
        <f t="shared" si="255"/>
        <v>Lima Puluh Sembilan</v>
      </c>
    </row>
    <row r="2648" spans="10:12">
      <c r="J2648" s="31">
        <v>60</v>
      </c>
      <c r="K2648" s="33" t="s">
        <v>133</v>
      </c>
      <c r="L2648" s="31" t="s">
        <v>134</v>
      </c>
    </row>
    <row r="2649" spans="10:12">
      <c r="J2649" s="31">
        <v>61</v>
      </c>
      <c r="K2649" s="33" t="s">
        <v>135</v>
      </c>
      <c r="L2649" s="31" t="str">
        <f t="shared" ref="L2649:L2657" si="256">$L$63&amp;" "&amp;L2589</f>
        <v>Enam Puluh Satu</v>
      </c>
    </row>
    <row r="2650" spans="10:12">
      <c r="J2650" s="31">
        <v>62</v>
      </c>
      <c r="K2650" s="33" t="s">
        <v>136</v>
      </c>
      <c r="L2650" s="31" t="str">
        <f t="shared" si="256"/>
        <v>Enam Puluh Dua</v>
      </c>
    </row>
    <row r="2651" spans="10:12">
      <c r="J2651" s="31">
        <v>63</v>
      </c>
      <c r="K2651" s="33" t="s">
        <v>137</v>
      </c>
      <c r="L2651" s="31" t="str">
        <f t="shared" si="256"/>
        <v>Enam Puluh Tiga</v>
      </c>
    </row>
    <row r="2652" spans="10:12">
      <c r="J2652" s="31">
        <v>64</v>
      </c>
      <c r="K2652" s="33" t="s">
        <v>138</v>
      </c>
      <c r="L2652" s="31" t="str">
        <f t="shared" si="256"/>
        <v>Enam Puluh Empat</v>
      </c>
    </row>
    <row r="2653" spans="10:12">
      <c r="J2653" s="31">
        <v>65</v>
      </c>
      <c r="K2653" s="33" t="s">
        <v>139</v>
      </c>
      <c r="L2653" s="31" t="str">
        <f t="shared" si="256"/>
        <v>Enam Puluh Lima</v>
      </c>
    </row>
    <row r="2654" spans="10:12">
      <c r="J2654" s="31">
        <v>66</v>
      </c>
      <c r="K2654" s="33" t="s">
        <v>140</v>
      </c>
      <c r="L2654" s="31" t="str">
        <f t="shared" si="256"/>
        <v>Enam Puluh Enam</v>
      </c>
    </row>
    <row r="2655" spans="10:12">
      <c r="J2655" s="31">
        <v>67</v>
      </c>
      <c r="K2655" s="33" t="s">
        <v>141</v>
      </c>
      <c r="L2655" s="31" t="str">
        <f t="shared" si="256"/>
        <v>Enam Puluh Tujuh</v>
      </c>
    </row>
    <row r="2656" spans="10:12">
      <c r="J2656" s="31">
        <v>68</v>
      </c>
      <c r="K2656" s="33" t="s">
        <v>142</v>
      </c>
      <c r="L2656" s="31" t="str">
        <f t="shared" si="256"/>
        <v>Enam Puluh Delapan</v>
      </c>
    </row>
    <row r="2657" spans="10:12">
      <c r="J2657" s="31">
        <v>69</v>
      </c>
      <c r="K2657" s="33" t="s">
        <v>143</v>
      </c>
      <c r="L2657" s="31" t="str">
        <f t="shared" si="256"/>
        <v>Enam Puluh Sembilan</v>
      </c>
    </row>
    <row r="2658" spans="10:12">
      <c r="J2658" s="31">
        <v>70</v>
      </c>
      <c r="K2658" s="33" t="s">
        <v>144</v>
      </c>
      <c r="L2658" s="31" t="s">
        <v>145</v>
      </c>
    </row>
    <row r="2659" spans="10:12">
      <c r="J2659" s="31">
        <v>71</v>
      </c>
      <c r="K2659" s="33" t="s">
        <v>146</v>
      </c>
      <c r="L2659" s="31" t="str">
        <f t="shared" ref="L2659:L2667" si="257">$L$73&amp;" "&amp;L2589</f>
        <v>Tujuh Puluh Satu</v>
      </c>
    </row>
    <row r="2660" spans="10:12">
      <c r="J2660" s="31">
        <v>72</v>
      </c>
      <c r="K2660" s="33" t="s">
        <v>147</v>
      </c>
      <c r="L2660" s="31" t="str">
        <f t="shared" si="257"/>
        <v>Tujuh Puluh Dua</v>
      </c>
    </row>
    <row r="2661" spans="10:12">
      <c r="J2661" s="31">
        <v>73</v>
      </c>
      <c r="K2661" s="33" t="s">
        <v>148</v>
      </c>
      <c r="L2661" s="31" t="str">
        <f t="shared" si="257"/>
        <v>Tujuh Puluh Tiga</v>
      </c>
    </row>
    <row r="2662" spans="10:12">
      <c r="J2662" s="31">
        <v>74</v>
      </c>
      <c r="K2662" s="33" t="s">
        <v>149</v>
      </c>
      <c r="L2662" s="31" t="str">
        <f t="shared" si="257"/>
        <v>Tujuh Puluh Empat</v>
      </c>
    </row>
    <row r="2663" spans="10:12">
      <c r="J2663" s="31">
        <v>75</v>
      </c>
      <c r="K2663" s="33" t="s">
        <v>150</v>
      </c>
      <c r="L2663" s="31" t="str">
        <f t="shared" si="257"/>
        <v>Tujuh Puluh Lima</v>
      </c>
    </row>
    <row r="2664" spans="10:12">
      <c r="J2664" s="31">
        <v>76</v>
      </c>
      <c r="K2664" s="33" t="s">
        <v>151</v>
      </c>
      <c r="L2664" s="31" t="str">
        <f t="shared" si="257"/>
        <v>Tujuh Puluh Enam</v>
      </c>
    </row>
    <row r="2665" spans="10:12">
      <c r="J2665" s="31">
        <v>77</v>
      </c>
      <c r="K2665" s="33" t="s">
        <v>152</v>
      </c>
      <c r="L2665" s="31" t="str">
        <f t="shared" si="257"/>
        <v>Tujuh Puluh Tujuh</v>
      </c>
    </row>
    <row r="2666" spans="10:12">
      <c r="J2666" s="31">
        <v>78</v>
      </c>
      <c r="K2666" s="33" t="s">
        <v>153</v>
      </c>
      <c r="L2666" s="31" t="str">
        <f t="shared" si="257"/>
        <v>Tujuh Puluh Delapan</v>
      </c>
    </row>
    <row r="2667" spans="10:12">
      <c r="J2667" s="31">
        <v>79</v>
      </c>
      <c r="K2667" s="33" t="s">
        <v>154</v>
      </c>
      <c r="L2667" s="31" t="str">
        <f t="shared" si="257"/>
        <v>Tujuh Puluh Sembilan</v>
      </c>
    </row>
    <row r="2668" spans="10:12">
      <c r="J2668" s="31">
        <v>80</v>
      </c>
      <c r="K2668" s="33" t="s">
        <v>155</v>
      </c>
      <c r="L2668" s="31" t="s">
        <v>156</v>
      </c>
    </row>
    <row r="2669" spans="10:12">
      <c r="J2669" s="31">
        <v>81</v>
      </c>
      <c r="K2669" s="33" t="s">
        <v>157</v>
      </c>
      <c r="L2669" s="31" t="str">
        <f t="shared" ref="L2669:L2677" si="258">$L$83&amp;" "&amp;L2589</f>
        <v>Delapan Puluh Satu</v>
      </c>
    </row>
    <row r="2670" spans="10:12">
      <c r="J2670" s="31">
        <v>82</v>
      </c>
      <c r="K2670" s="33" t="s">
        <v>158</v>
      </c>
      <c r="L2670" s="31" t="str">
        <f t="shared" si="258"/>
        <v>Delapan Puluh Dua</v>
      </c>
    </row>
    <row r="2671" spans="10:12">
      <c r="J2671" s="31">
        <v>83</v>
      </c>
      <c r="K2671" s="33" t="s">
        <v>159</v>
      </c>
      <c r="L2671" s="31" t="str">
        <f t="shared" si="258"/>
        <v>Delapan Puluh Tiga</v>
      </c>
    </row>
    <row r="2672" spans="10:12">
      <c r="J2672" s="31">
        <v>84</v>
      </c>
      <c r="K2672" s="33" t="s">
        <v>160</v>
      </c>
      <c r="L2672" s="31" t="str">
        <f t="shared" si="258"/>
        <v>Delapan Puluh Empat</v>
      </c>
    </row>
    <row r="2673" spans="10:12">
      <c r="J2673" s="31">
        <v>85</v>
      </c>
      <c r="K2673" s="33" t="s">
        <v>161</v>
      </c>
      <c r="L2673" s="31" t="str">
        <f t="shared" si="258"/>
        <v>Delapan Puluh Lima</v>
      </c>
    </row>
    <row r="2674" spans="10:12">
      <c r="J2674" s="31">
        <v>86</v>
      </c>
      <c r="K2674" s="33" t="s">
        <v>162</v>
      </c>
      <c r="L2674" s="31" t="str">
        <f t="shared" si="258"/>
        <v>Delapan Puluh Enam</v>
      </c>
    </row>
    <row r="2675" spans="10:12">
      <c r="J2675" s="31">
        <v>87</v>
      </c>
      <c r="K2675" s="33" t="s">
        <v>163</v>
      </c>
      <c r="L2675" s="31" t="str">
        <f t="shared" si="258"/>
        <v>Delapan Puluh Tujuh</v>
      </c>
    </row>
    <row r="2676" spans="10:12">
      <c r="J2676" s="31">
        <v>88</v>
      </c>
      <c r="K2676" s="33" t="s">
        <v>164</v>
      </c>
      <c r="L2676" s="31" t="str">
        <f t="shared" si="258"/>
        <v>Delapan Puluh Delapan</v>
      </c>
    </row>
    <row r="2677" spans="10:12">
      <c r="J2677" s="31">
        <v>89</v>
      </c>
      <c r="K2677" s="33" t="s">
        <v>165</v>
      </c>
      <c r="L2677" s="31" t="str">
        <f t="shared" si="258"/>
        <v>Delapan Puluh Sembilan</v>
      </c>
    </row>
    <row r="2678" spans="10:12">
      <c r="J2678" s="31">
        <v>90</v>
      </c>
      <c r="K2678" s="33" t="s">
        <v>166</v>
      </c>
      <c r="L2678" s="31" t="s">
        <v>167</v>
      </c>
    </row>
    <row r="2679" spans="10:12">
      <c r="J2679" s="31">
        <v>91</v>
      </c>
      <c r="K2679" s="33" t="s">
        <v>168</v>
      </c>
      <c r="L2679" s="31" t="str">
        <f t="shared" ref="L2679:L2687" si="259">$L$93&amp;" "&amp;L2589</f>
        <v>Sembilan Puluh Satu</v>
      </c>
    </row>
    <row r="2680" spans="10:12">
      <c r="J2680" s="31">
        <v>92</v>
      </c>
      <c r="K2680" s="33" t="s">
        <v>169</v>
      </c>
      <c r="L2680" s="31" t="str">
        <f t="shared" si="259"/>
        <v>Sembilan Puluh Dua</v>
      </c>
    </row>
    <row r="2681" spans="10:12">
      <c r="J2681" s="31">
        <v>93</v>
      </c>
      <c r="K2681" s="33" t="s">
        <v>170</v>
      </c>
      <c r="L2681" s="31" t="str">
        <f t="shared" si="259"/>
        <v>Sembilan Puluh Tiga</v>
      </c>
    </row>
    <row r="2682" spans="10:12">
      <c r="J2682" s="31">
        <v>94</v>
      </c>
      <c r="K2682" s="33" t="s">
        <v>171</v>
      </c>
      <c r="L2682" s="31" t="str">
        <f t="shared" si="259"/>
        <v>Sembilan Puluh Empat</v>
      </c>
    </row>
    <row r="2683" spans="10:12">
      <c r="J2683" s="31">
        <v>95</v>
      </c>
      <c r="K2683" s="33" t="s">
        <v>172</v>
      </c>
      <c r="L2683" s="31" t="str">
        <f t="shared" si="259"/>
        <v>Sembilan Puluh Lima</v>
      </c>
    </row>
    <row r="2684" spans="10:12">
      <c r="J2684" s="31">
        <v>96</v>
      </c>
      <c r="K2684" s="33" t="s">
        <v>173</v>
      </c>
      <c r="L2684" s="31" t="str">
        <f t="shared" si="259"/>
        <v>Sembilan Puluh Enam</v>
      </c>
    </row>
    <row r="2685" spans="10:12">
      <c r="J2685" s="31">
        <v>97</v>
      </c>
      <c r="K2685" s="33" t="s">
        <v>174</v>
      </c>
      <c r="L2685" s="31" t="str">
        <f t="shared" si="259"/>
        <v>Sembilan Puluh Tujuh</v>
      </c>
    </row>
    <row r="2686" spans="10:12">
      <c r="J2686" s="31">
        <v>98</v>
      </c>
      <c r="K2686" s="33" t="s">
        <v>175</v>
      </c>
      <c r="L2686" s="31" t="str">
        <f t="shared" si="259"/>
        <v>Sembilan Puluh Delapan</v>
      </c>
    </row>
    <row r="2687" spans="10:12">
      <c r="J2687" s="31">
        <v>99</v>
      </c>
      <c r="K2687" s="33" t="s">
        <v>176</v>
      </c>
      <c r="L2687" s="31" t="str">
        <f t="shared" si="259"/>
        <v>Sembilan Puluh Sembilan</v>
      </c>
    </row>
    <row r="2690" spans="1:12">
      <c r="A2690" s="30" t="e">
        <f>#REF!</f>
        <v>#REF!</v>
      </c>
      <c r="C2690" s="31" t="s">
        <v>227</v>
      </c>
    </row>
    <row r="2691" spans="1:12">
      <c r="A2691" s="32"/>
    </row>
    <row r="2692" spans="1:12">
      <c r="J2692" s="31">
        <v>0</v>
      </c>
      <c r="K2692" s="33" t="s">
        <v>48</v>
      </c>
      <c r="L2692" s="31" t="s">
        <v>49</v>
      </c>
    </row>
    <row r="2693" spans="1:12">
      <c r="A2693" s="34"/>
      <c r="J2693" s="31">
        <v>1</v>
      </c>
      <c r="K2693" s="33" t="s">
        <v>50</v>
      </c>
      <c r="L2693" s="31" t="s">
        <v>51</v>
      </c>
    </row>
    <row r="2694" spans="1:12">
      <c r="A2694" s="255" t="e">
        <f>TRIM(D2702&amp;E2702&amp;D2703&amp;E2703&amp;D2704&amp;E2704&amp;D2705&amp;E2705&amp;D2706&amp;E2706&amp;D2707&amp;E2707&amp;E2708&amp;D2708&amp;" Only")</f>
        <v>#REF!</v>
      </c>
      <c r="B2694" s="255"/>
      <c r="C2694" s="255"/>
      <c r="D2694" s="255"/>
      <c r="E2694" s="35"/>
      <c r="F2694" s="36"/>
      <c r="J2694" s="31">
        <v>2</v>
      </c>
      <c r="K2694" s="33" t="s">
        <v>52</v>
      </c>
      <c r="L2694" s="31" t="s">
        <v>53</v>
      </c>
    </row>
    <row r="2695" spans="1:12">
      <c r="A2695" s="37"/>
      <c r="B2695" s="37"/>
      <c r="C2695" s="37"/>
      <c r="D2695" s="37"/>
      <c r="E2695" s="35"/>
      <c r="F2695" s="36"/>
      <c r="J2695" s="31">
        <v>3</v>
      </c>
      <c r="K2695" s="33" t="s">
        <v>54</v>
      </c>
      <c r="L2695" s="31" t="s">
        <v>55</v>
      </c>
    </row>
    <row r="2696" spans="1:12">
      <c r="A2696" s="37"/>
      <c r="B2696" s="37"/>
      <c r="C2696" s="37"/>
      <c r="D2696" s="37"/>
      <c r="J2696" s="31">
        <v>4</v>
      </c>
      <c r="K2696" s="33" t="s">
        <v>56</v>
      </c>
      <c r="L2696" s="31" t="s">
        <v>57</v>
      </c>
    </row>
    <row r="2697" spans="1:12">
      <c r="A2697" s="255" t="e">
        <f>TRIM(D2712&amp;E2712&amp;D2713&amp;E2713&amp;D2714&amp;E2714&amp;D2715&amp;E2715&amp;D2716&amp;E2716&amp;D2717&amp;E2717&amp;D2718&amp;E2718&amp;" Rupiah")</f>
        <v>#REF!</v>
      </c>
      <c r="B2697" s="255"/>
      <c r="C2697" s="255"/>
      <c r="D2697" s="255"/>
      <c r="E2697" s="35"/>
      <c r="F2697" s="36"/>
      <c r="J2697" s="31">
        <v>5</v>
      </c>
      <c r="K2697" s="33" t="s">
        <v>58</v>
      </c>
      <c r="L2697" s="31" t="s">
        <v>59</v>
      </c>
    </row>
    <row r="2698" spans="1:12">
      <c r="A2698" s="35"/>
      <c r="B2698" s="35"/>
      <c r="C2698" s="35"/>
      <c r="D2698" s="35"/>
      <c r="E2698" s="35"/>
      <c r="F2698" s="36"/>
      <c r="J2698" s="31">
        <v>6</v>
      </c>
      <c r="K2698" s="33" t="s">
        <v>60</v>
      </c>
      <c r="L2698" s="31" t="s">
        <v>61</v>
      </c>
    </row>
    <row r="2699" spans="1:12">
      <c r="J2699" s="31">
        <v>7</v>
      </c>
      <c r="K2699" s="33" t="s">
        <v>62</v>
      </c>
      <c r="L2699" s="31" t="s">
        <v>63</v>
      </c>
    </row>
    <row r="2700" spans="1:12">
      <c r="J2700" s="31">
        <v>8</v>
      </c>
      <c r="K2700" s="33" t="s">
        <v>64</v>
      </c>
      <c r="L2700" s="31" t="s">
        <v>65</v>
      </c>
    </row>
    <row r="2701" spans="1:12">
      <c r="A2701" s="38" t="s">
        <v>66</v>
      </c>
      <c r="J2701" s="31">
        <v>9</v>
      </c>
      <c r="K2701" s="33" t="s">
        <v>67</v>
      </c>
      <c r="L2701" s="31" t="s">
        <v>68</v>
      </c>
    </row>
    <row r="2702" spans="1:12">
      <c r="A2702" s="31" t="s">
        <v>69</v>
      </c>
      <c r="B2702" s="39" t="e">
        <f>TRUNC(A2690/100000000)</f>
        <v>#REF!</v>
      </c>
      <c r="C2702" s="31" t="e">
        <f>B2702*100000000</f>
        <v>#REF!</v>
      </c>
      <c r="D2702" s="31" t="e">
        <f t="shared" ref="D2702:D2708" si="260">IF(B2702&lt;1,"",VLOOKUP(B2702,$J$3:$K$102,2))</f>
        <v>#REF!</v>
      </c>
      <c r="E2702" s="31" t="e">
        <f>IF(B2702&lt;1,"",IF(B2702&gt;1," Hundreds "," Hundred "))</f>
        <v>#REF!</v>
      </c>
      <c r="J2702" s="31">
        <v>10</v>
      </c>
      <c r="K2702" s="33" t="s">
        <v>70</v>
      </c>
      <c r="L2702" s="31" t="s">
        <v>71</v>
      </c>
    </row>
    <row r="2703" spans="1:12">
      <c r="A2703" s="31" t="s">
        <v>72</v>
      </c>
      <c r="B2703" s="39" t="e">
        <f>TRUNC((A2690-C2702)/1000000)</f>
        <v>#REF!</v>
      </c>
      <c r="C2703" s="31" t="e">
        <f>B2703*1000000</f>
        <v>#REF!</v>
      </c>
      <c r="D2703" s="31" t="e">
        <f t="shared" si="260"/>
        <v>#REF!</v>
      </c>
      <c r="E2703" s="31" t="e">
        <f>IF(B2702+B2703=0,"",IF(B2703=1," Million "," Millions "))</f>
        <v>#REF!</v>
      </c>
      <c r="J2703" s="31">
        <v>11</v>
      </c>
      <c r="K2703" s="33" t="s">
        <v>73</v>
      </c>
      <c r="L2703" s="31" t="s">
        <v>74</v>
      </c>
    </row>
    <row r="2704" spans="1:12">
      <c r="A2704" s="31" t="s">
        <v>75</v>
      </c>
      <c r="B2704" s="39" t="e">
        <f>TRUNC((A2690-SUM(C2702:C2703))/100000)</f>
        <v>#REF!</v>
      </c>
      <c r="C2704" s="31" t="e">
        <f>B2704*100000</f>
        <v>#REF!</v>
      </c>
      <c r="D2704" s="31" t="e">
        <f t="shared" si="260"/>
        <v>#REF!</v>
      </c>
      <c r="E2704" s="31" t="e">
        <f>IF(B2704&lt;1,"",IF(B2704&gt;1," Hundreds "," Hundred "))</f>
        <v>#REF!</v>
      </c>
      <c r="J2704" s="31">
        <v>12</v>
      </c>
      <c r="K2704" s="33" t="s">
        <v>76</v>
      </c>
      <c r="L2704" s="31" t="str">
        <f t="shared" ref="L2704:L2711" si="261">L2694&amp;" Belas"</f>
        <v>Dua Belas</v>
      </c>
    </row>
    <row r="2705" spans="1:12">
      <c r="A2705" s="33" t="s">
        <v>77</v>
      </c>
      <c r="B2705" s="40" t="e">
        <f>TRUNC((A2690-SUM(C2702:C2704))/1000)</f>
        <v>#REF!</v>
      </c>
      <c r="C2705" s="31" t="e">
        <f>B2705*1000</f>
        <v>#REF!</v>
      </c>
      <c r="D2705" s="31" t="e">
        <f t="shared" si="260"/>
        <v>#REF!</v>
      </c>
      <c r="E2705" s="31" t="e">
        <f>IF(B2704+B2705=0,"",IF(B2705=1," Thousand "," Thousands "))</f>
        <v>#REF!</v>
      </c>
      <c r="J2705" s="31">
        <v>13</v>
      </c>
      <c r="K2705" s="33" t="s">
        <v>78</v>
      </c>
      <c r="L2705" s="31" t="str">
        <f t="shared" si="261"/>
        <v>Tiga Belas</v>
      </c>
    </row>
    <row r="2706" spans="1:12">
      <c r="A2706" s="33" t="s">
        <v>79</v>
      </c>
      <c r="B2706" s="40" t="e">
        <f>TRUNC((A2690-SUM(C2702:C2705))/100)</f>
        <v>#REF!</v>
      </c>
      <c r="C2706" s="31" t="e">
        <f>B2706*100</f>
        <v>#REF!</v>
      </c>
      <c r="D2706" s="31" t="e">
        <f t="shared" si="260"/>
        <v>#REF!</v>
      </c>
      <c r="E2706" s="31" t="e">
        <f>IF(B2706&lt;1,"",IF(B2706&gt;1," Hundreds "," Hundred "))</f>
        <v>#REF!</v>
      </c>
      <c r="J2706" s="31">
        <v>14</v>
      </c>
      <c r="K2706" s="33" t="s">
        <v>80</v>
      </c>
      <c r="L2706" s="31" t="str">
        <f t="shared" si="261"/>
        <v>Empat Belas</v>
      </c>
    </row>
    <row r="2707" spans="1:12">
      <c r="A2707" s="33" t="s">
        <v>81</v>
      </c>
      <c r="B2707" s="41" t="e">
        <f>TRUNC((A2690-SUM(C2702:C2706)))</f>
        <v>#REF!</v>
      </c>
      <c r="C2707" s="42" t="e">
        <f>B2707</f>
        <v>#REF!</v>
      </c>
      <c r="D2707" s="31" t="e">
        <f t="shared" si="260"/>
        <v>#REF!</v>
      </c>
      <c r="E2707" s="31" t="e">
        <f>IF(SUM(C2702:C2707)&lt;1,"",IF(B2708&lt;1,""," And "))</f>
        <v>#REF!</v>
      </c>
      <c r="J2707" s="31">
        <v>15</v>
      </c>
      <c r="K2707" s="33" t="s">
        <v>82</v>
      </c>
      <c r="L2707" s="31" t="str">
        <f t="shared" si="261"/>
        <v>Lima Belas</v>
      </c>
    </row>
    <row r="2708" spans="1:12">
      <c r="A2708" s="33" t="s">
        <v>83</v>
      </c>
      <c r="B2708" s="40" t="e">
        <f>ROUND(A2690-SUM(C2702:C2707),2)*100</f>
        <v>#REF!</v>
      </c>
      <c r="D2708" s="43" t="e">
        <f t="shared" si="260"/>
        <v>#REF!</v>
      </c>
      <c r="E2708" s="31" t="e">
        <f>IF(B2708&lt;1,"",IF(B2708=1," Cent "," Cents "))</f>
        <v>#REF!</v>
      </c>
      <c r="J2708" s="31">
        <v>16</v>
      </c>
      <c r="K2708" s="33" t="s">
        <v>84</v>
      </c>
      <c r="L2708" s="31" t="str">
        <f t="shared" si="261"/>
        <v>Enam Belas</v>
      </c>
    </row>
    <row r="2709" spans="1:12">
      <c r="J2709" s="31">
        <v>17</v>
      </c>
      <c r="K2709" s="33" t="s">
        <v>85</v>
      </c>
      <c r="L2709" s="31" t="str">
        <f t="shared" si="261"/>
        <v>Tujuh Belas</v>
      </c>
    </row>
    <row r="2710" spans="1:12">
      <c r="A2710" s="44"/>
      <c r="J2710" s="31">
        <v>18</v>
      </c>
      <c r="K2710" s="33" t="s">
        <v>86</v>
      </c>
      <c r="L2710" s="31" t="str">
        <f t="shared" si="261"/>
        <v>Delapan Belas</v>
      </c>
    </row>
    <row r="2711" spans="1:12">
      <c r="A2711" s="38" t="s">
        <v>87</v>
      </c>
      <c r="J2711" s="31">
        <v>19</v>
      </c>
      <c r="K2711" s="33" t="s">
        <v>88</v>
      </c>
      <c r="L2711" s="31" t="str">
        <f t="shared" si="261"/>
        <v>Sembilan Belas</v>
      </c>
    </row>
    <row r="2712" spans="1:12">
      <c r="A2712" s="31" t="s">
        <v>69</v>
      </c>
      <c r="B2712" s="39" t="e">
        <f>TRUNC(A2690/100000000)</f>
        <v>#REF!</v>
      </c>
      <c r="C2712" s="31" t="e">
        <f>B2712*100000000</f>
        <v>#REF!</v>
      </c>
      <c r="D2712" s="31" t="e">
        <f>IF(B2712&lt;1,"",IF(B2712=1,"",VLOOKUP(B2712,$J$3:$L$102,3)))</f>
        <v>#REF!</v>
      </c>
      <c r="E2712" s="31" t="e">
        <f>IF(B2712&lt;1,"",IF(B2712=1,"Seratus "," Ratus "))</f>
        <v>#REF!</v>
      </c>
      <c r="J2712" s="31">
        <v>20</v>
      </c>
      <c r="K2712" s="33" t="s">
        <v>89</v>
      </c>
      <c r="L2712" s="31" t="s">
        <v>90</v>
      </c>
    </row>
    <row r="2713" spans="1:12">
      <c r="A2713" s="31" t="s">
        <v>72</v>
      </c>
      <c r="B2713" s="39" t="e">
        <f>TRUNC((A2690-C2712)/1000000)</f>
        <v>#REF!</v>
      </c>
      <c r="C2713" s="31" t="e">
        <f>B2713*1000000</f>
        <v>#REF!</v>
      </c>
      <c r="D2713" s="31" t="e">
        <f>IF(B2713&lt;1,"",VLOOKUP(B2713,$J$3:$L$102,3))</f>
        <v>#REF!</v>
      </c>
      <c r="E2713" s="31" t="e">
        <f>IF(B2712+B2713=0,""," Juta ")</f>
        <v>#REF!</v>
      </c>
      <c r="J2713" s="31">
        <v>21</v>
      </c>
      <c r="K2713" s="33" t="s">
        <v>91</v>
      </c>
      <c r="L2713" s="31" t="str">
        <f t="shared" ref="L2713:L2721" si="262">$L$23&amp;" "&amp;L2693</f>
        <v>Dua Puluh Satu</v>
      </c>
    </row>
    <row r="2714" spans="1:12">
      <c r="A2714" s="31" t="s">
        <v>75</v>
      </c>
      <c r="B2714" s="39" t="e">
        <f>TRUNC((A2690-SUM(C2712:C2713))/100000)</f>
        <v>#REF!</v>
      </c>
      <c r="C2714" s="31" t="e">
        <f>B2714*100000</f>
        <v>#REF!</v>
      </c>
      <c r="D2714" s="31" t="e">
        <f>IF(B2714&lt;1,"",IF(B2714=1,"",VLOOKUP(B2714,$J$3:$L$102,3)))</f>
        <v>#REF!</v>
      </c>
      <c r="E2714" s="31" t="e">
        <f>IF(B2714&lt;1,"",IF(B2714=1," Seratus "," Ratus "))</f>
        <v>#REF!</v>
      </c>
      <c r="J2714" s="31">
        <v>22</v>
      </c>
      <c r="K2714" s="33" t="s">
        <v>92</v>
      </c>
      <c r="L2714" s="31" t="str">
        <f t="shared" si="262"/>
        <v>Dua Puluh Dua</v>
      </c>
    </row>
    <row r="2715" spans="1:12">
      <c r="A2715" s="33" t="s">
        <v>77</v>
      </c>
      <c r="B2715" s="40" t="e">
        <f>TRUNC((A2690-SUM(C2712:C2714))/1000)</f>
        <v>#REF!</v>
      </c>
      <c r="C2715" s="31" t="e">
        <f>B2715*1000</f>
        <v>#REF!</v>
      </c>
      <c r="D2715" s="31" t="e">
        <f>IF(B2715&lt;1,"",IF(B2715=1,"",VLOOKUP(B2715,$J$3:$L$102,3)))</f>
        <v>#REF!</v>
      </c>
      <c r="E2715" s="31" t="e">
        <f>IF(B2714+B2715&lt;1,"",IF(B2715=1," Seribu "," Ribu "))</f>
        <v>#REF!</v>
      </c>
      <c r="J2715" s="31">
        <v>23</v>
      </c>
      <c r="K2715" s="33" t="s">
        <v>93</v>
      </c>
      <c r="L2715" s="31" t="str">
        <f t="shared" si="262"/>
        <v>Dua Puluh Tiga</v>
      </c>
    </row>
    <row r="2716" spans="1:12">
      <c r="A2716" s="33" t="s">
        <v>79</v>
      </c>
      <c r="B2716" s="40" t="e">
        <f>TRUNC((A2690-SUM(C2712:C2715))/100)</f>
        <v>#REF!</v>
      </c>
      <c r="C2716" s="31" t="e">
        <f>B2716*100</f>
        <v>#REF!</v>
      </c>
      <c r="D2716" s="31" t="e">
        <f>IF(B2716&lt;1,"",IF(B2716=1,"",VLOOKUP(B2716,$J$3:$L$102,3)))</f>
        <v>#REF!</v>
      </c>
      <c r="E2716" s="31" t="e">
        <f>IF(B2716&lt;1,"",IF(B2716=1," Seratus "," Ratus "))</f>
        <v>#REF!</v>
      </c>
      <c r="J2716" s="31">
        <v>24</v>
      </c>
      <c r="K2716" s="33" t="s">
        <v>94</v>
      </c>
      <c r="L2716" s="31" t="str">
        <f t="shared" si="262"/>
        <v>Dua Puluh Empat</v>
      </c>
    </row>
    <row r="2717" spans="1:12">
      <c r="A2717" s="33" t="s">
        <v>81</v>
      </c>
      <c r="B2717" s="41" t="e">
        <f>TRUNC((A2690-SUM(C2712:C2716)))</f>
        <v>#REF!</v>
      </c>
      <c r="C2717" s="42" t="e">
        <f>B2717</f>
        <v>#REF!</v>
      </c>
      <c r="D2717" s="31" t="e">
        <f>IF(B2717&lt;1,"",VLOOKUP(B2717,$J$3:$L$102,3))</f>
        <v>#REF!</v>
      </c>
      <c r="E2717" s="31" t="e">
        <f>IF(SUM(C2712:C2717)&lt;1,"",IF(B2718&lt;1,""," Dan "))</f>
        <v>#REF!</v>
      </c>
      <c r="J2717" s="31">
        <v>25</v>
      </c>
      <c r="K2717" s="33" t="s">
        <v>95</v>
      </c>
      <c r="L2717" s="31" t="str">
        <f t="shared" si="262"/>
        <v>Dua Puluh Lima</v>
      </c>
    </row>
    <row r="2718" spans="1:12">
      <c r="A2718" s="33" t="s">
        <v>83</v>
      </c>
      <c r="B2718" s="40" t="e">
        <f>ROUND(A2690-SUM(C2712:C2717),2)*100</f>
        <v>#REF!</v>
      </c>
      <c r="D2718" s="31" t="e">
        <f>IF(B2718&lt;1,"",VLOOKUP(B2718,$J$3:$L$102,3))</f>
        <v>#REF!</v>
      </c>
      <c r="E2718" s="31" t="e">
        <f>IF(B2718&lt;1,""," Sen ")</f>
        <v>#REF!</v>
      </c>
      <c r="J2718" s="31">
        <v>26</v>
      </c>
      <c r="K2718" s="33" t="s">
        <v>96</v>
      </c>
      <c r="L2718" s="31" t="str">
        <f t="shared" si="262"/>
        <v>Dua Puluh Enam</v>
      </c>
    </row>
    <row r="2719" spans="1:12">
      <c r="J2719" s="31">
        <v>27</v>
      </c>
      <c r="K2719" s="33" t="s">
        <v>97</v>
      </c>
      <c r="L2719" s="31" t="str">
        <f t="shared" si="262"/>
        <v>Dua Puluh Tujuh</v>
      </c>
    </row>
    <row r="2720" spans="1:12">
      <c r="J2720" s="31">
        <v>28</v>
      </c>
      <c r="K2720" s="33" t="s">
        <v>98</v>
      </c>
      <c r="L2720" s="31" t="str">
        <f t="shared" si="262"/>
        <v>Dua Puluh Delapan</v>
      </c>
    </row>
    <row r="2721" spans="1:12">
      <c r="J2721" s="31">
        <v>29</v>
      </c>
      <c r="K2721" s="33" t="s">
        <v>99</v>
      </c>
      <c r="L2721" s="31" t="str">
        <f t="shared" si="262"/>
        <v>Dua Puluh Sembilan</v>
      </c>
    </row>
    <row r="2722" spans="1:12">
      <c r="J2722" s="31">
        <v>30</v>
      </c>
      <c r="K2722" s="33" t="s">
        <v>100</v>
      </c>
      <c r="L2722" s="31" t="s">
        <v>101</v>
      </c>
    </row>
    <row r="2723" spans="1:12">
      <c r="J2723" s="31">
        <v>31</v>
      </c>
      <c r="K2723" s="33" t="s">
        <v>102</v>
      </c>
      <c r="L2723" s="31" t="str">
        <f t="shared" ref="L2723:L2731" si="263">$L$33&amp;" "&amp;L2693</f>
        <v>Tiga Puluh Satu</v>
      </c>
    </row>
    <row r="2724" spans="1:12">
      <c r="J2724" s="31">
        <v>32</v>
      </c>
      <c r="K2724" s="33" t="s">
        <v>103</v>
      </c>
      <c r="L2724" s="31" t="str">
        <f t="shared" si="263"/>
        <v>Tiga Puluh Dua</v>
      </c>
    </row>
    <row r="2725" spans="1:12">
      <c r="J2725" s="31">
        <v>33</v>
      </c>
      <c r="K2725" s="33" t="s">
        <v>104</v>
      </c>
      <c r="L2725" s="31" t="str">
        <f t="shared" si="263"/>
        <v>Tiga Puluh Tiga</v>
      </c>
    </row>
    <row r="2726" spans="1:12">
      <c r="J2726" s="31">
        <v>34</v>
      </c>
      <c r="K2726" s="33" t="s">
        <v>105</v>
      </c>
      <c r="L2726" s="31" t="str">
        <f t="shared" si="263"/>
        <v>Tiga Puluh Empat</v>
      </c>
    </row>
    <row r="2727" spans="1:12">
      <c r="J2727" s="31">
        <v>35</v>
      </c>
      <c r="K2727" s="33" t="s">
        <v>106</v>
      </c>
      <c r="L2727" s="31" t="str">
        <f t="shared" si="263"/>
        <v>Tiga Puluh Lima</v>
      </c>
    </row>
    <row r="2728" spans="1:12">
      <c r="J2728" s="31">
        <v>36</v>
      </c>
      <c r="K2728" s="33" t="s">
        <v>107</v>
      </c>
      <c r="L2728" s="31" t="str">
        <f t="shared" si="263"/>
        <v>Tiga Puluh Enam</v>
      </c>
    </row>
    <row r="2729" spans="1:12">
      <c r="J2729" s="31">
        <v>37</v>
      </c>
      <c r="K2729" s="33" t="s">
        <v>108</v>
      </c>
      <c r="L2729" s="31" t="str">
        <f t="shared" si="263"/>
        <v>Tiga Puluh Tujuh</v>
      </c>
    </row>
    <row r="2730" spans="1:12">
      <c r="J2730" s="31">
        <v>38</v>
      </c>
      <c r="K2730" s="33" t="s">
        <v>109</v>
      </c>
      <c r="L2730" s="31" t="str">
        <f t="shared" si="263"/>
        <v>Tiga Puluh Delapan</v>
      </c>
    </row>
    <row r="2731" spans="1:12">
      <c r="J2731" s="31">
        <v>39</v>
      </c>
      <c r="K2731" s="33" t="s">
        <v>110</v>
      </c>
      <c r="L2731" s="31" t="str">
        <f t="shared" si="263"/>
        <v>Tiga Puluh Sembilan</v>
      </c>
    </row>
    <row r="2732" spans="1:12">
      <c r="B2732" s="35"/>
      <c r="C2732" s="35"/>
      <c r="D2732" s="35"/>
      <c r="J2732" s="31">
        <v>40</v>
      </c>
      <c r="K2732" s="33" t="s">
        <v>111</v>
      </c>
      <c r="L2732" s="31" t="s">
        <v>112</v>
      </c>
    </row>
    <row r="2733" spans="1:12">
      <c r="A2733" s="35"/>
      <c r="B2733" s="35"/>
      <c r="C2733" s="35"/>
      <c r="D2733" s="35"/>
      <c r="J2733" s="31">
        <v>41</v>
      </c>
      <c r="K2733" s="33" t="s">
        <v>113</v>
      </c>
      <c r="L2733" s="31" t="str">
        <f t="shared" ref="L2733:L2741" si="264">$L$43&amp;" "&amp;L2693</f>
        <v>Empat Puluh Satu</v>
      </c>
    </row>
    <row r="2734" spans="1:12">
      <c r="J2734" s="31">
        <v>42</v>
      </c>
      <c r="K2734" s="33" t="s">
        <v>114</v>
      </c>
      <c r="L2734" s="31" t="str">
        <f t="shared" si="264"/>
        <v>Empat Puluh Dua</v>
      </c>
    </row>
    <row r="2735" spans="1:12">
      <c r="A2735" s="38"/>
      <c r="J2735" s="31">
        <v>43</v>
      </c>
      <c r="K2735" s="33" t="s">
        <v>115</v>
      </c>
      <c r="L2735" s="31" t="str">
        <f t="shared" si="264"/>
        <v>Empat Puluh Tiga</v>
      </c>
    </row>
    <row r="2736" spans="1:12">
      <c r="J2736" s="31">
        <v>44</v>
      </c>
      <c r="K2736" s="33" t="s">
        <v>116</v>
      </c>
      <c r="L2736" s="31" t="str">
        <f t="shared" si="264"/>
        <v>Empat Puluh Empat</v>
      </c>
    </row>
    <row r="2737" spans="10:12">
      <c r="J2737" s="31">
        <v>45</v>
      </c>
      <c r="K2737" s="33" t="s">
        <v>117</v>
      </c>
      <c r="L2737" s="31" t="str">
        <f t="shared" si="264"/>
        <v>Empat Puluh Lima</v>
      </c>
    </row>
    <row r="2738" spans="10:12">
      <c r="J2738" s="31">
        <v>46</v>
      </c>
      <c r="K2738" s="33" t="s">
        <v>118</v>
      </c>
      <c r="L2738" s="31" t="str">
        <f t="shared" si="264"/>
        <v>Empat Puluh Enam</v>
      </c>
    </row>
    <row r="2739" spans="10:12">
      <c r="J2739" s="31">
        <v>47</v>
      </c>
      <c r="K2739" s="33" t="s">
        <v>119</v>
      </c>
      <c r="L2739" s="31" t="str">
        <f t="shared" si="264"/>
        <v>Empat Puluh Tujuh</v>
      </c>
    </row>
    <row r="2740" spans="10:12">
      <c r="J2740" s="31">
        <v>48</v>
      </c>
      <c r="K2740" s="33" t="s">
        <v>120</v>
      </c>
      <c r="L2740" s="31" t="str">
        <f t="shared" si="264"/>
        <v>Empat Puluh Delapan</v>
      </c>
    </row>
    <row r="2741" spans="10:12">
      <c r="J2741" s="31">
        <v>49</v>
      </c>
      <c r="K2741" s="33" t="s">
        <v>121</v>
      </c>
      <c r="L2741" s="31" t="str">
        <f t="shared" si="264"/>
        <v>Empat Puluh Sembilan</v>
      </c>
    </row>
    <row r="2742" spans="10:12">
      <c r="J2742" s="31">
        <v>50</v>
      </c>
      <c r="K2742" s="33" t="s">
        <v>122</v>
      </c>
      <c r="L2742" s="31" t="s">
        <v>123</v>
      </c>
    </row>
    <row r="2743" spans="10:12">
      <c r="J2743" s="31">
        <v>51</v>
      </c>
      <c r="K2743" s="33" t="s">
        <v>124</v>
      </c>
      <c r="L2743" s="31" t="str">
        <f t="shared" ref="L2743:L2751" si="265">$L$53&amp;" "&amp;L2693</f>
        <v>Lima Puluh Satu</v>
      </c>
    </row>
    <row r="2744" spans="10:12">
      <c r="J2744" s="31">
        <v>52</v>
      </c>
      <c r="K2744" s="33" t="s">
        <v>125</v>
      </c>
      <c r="L2744" s="31" t="str">
        <f t="shared" si="265"/>
        <v>Lima Puluh Dua</v>
      </c>
    </row>
    <row r="2745" spans="10:12">
      <c r="J2745" s="31">
        <v>53</v>
      </c>
      <c r="K2745" s="33" t="s">
        <v>126</v>
      </c>
      <c r="L2745" s="31" t="str">
        <f t="shared" si="265"/>
        <v>Lima Puluh Tiga</v>
      </c>
    </row>
    <row r="2746" spans="10:12">
      <c r="J2746" s="31">
        <v>54</v>
      </c>
      <c r="K2746" s="33" t="s">
        <v>127</v>
      </c>
      <c r="L2746" s="31" t="str">
        <f t="shared" si="265"/>
        <v>Lima Puluh Empat</v>
      </c>
    </row>
    <row r="2747" spans="10:12">
      <c r="J2747" s="31">
        <v>55</v>
      </c>
      <c r="K2747" s="33" t="s">
        <v>128</v>
      </c>
      <c r="L2747" s="31" t="str">
        <f t="shared" si="265"/>
        <v>Lima Puluh Lima</v>
      </c>
    </row>
    <row r="2748" spans="10:12">
      <c r="J2748" s="31">
        <v>56</v>
      </c>
      <c r="K2748" s="33" t="s">
        <v>129</v>
      </c>
      <c r="L2748" s="31" t="str">
        <f t="shared" si="265"/>
        <v>Lima Puluh Enam</v>
      </c>
    </row>
    <row r="2749" spans="10:12">
      <c r="J2749" s="31">
        <v>57</v>
      </c>
      <c r="K2749" s="33" t="s">
        <v>130</v>
      </c>
      <c r="L2749" s="31" t="str">
        <f t="shared" si="265"/>
        <v>Lima Puluh Tujuh</v>
      </c>
    </row>
    <row r="2750" spans="10:12">
      <c r="J2750" s="31">
        <v>58</v>
      </c>
      <c r="K2750" s="33" t="s">
        <v>131</v>
      </c>
      <c r="L2750" s="31" t="str">
        <f t="shared" si="265"/>
        <v>Lima Puluh Delapan</v>
      </c>
    </row>
    <row r="2751" spans="10:12">
      <c r="J2751" s="31">
        <v>59</v>
      </c>
      <c r="K2751" s="33" t="s">
        <v>132</v>
      </c>
      <c r="L2751" s="31" t="str">
        <f t="shared" si="265"/>
        <v>Lima Puluh Sembilan</v>
      </c>
    </row>
    <row r="2752" spans="10:12">
      <c r="J2752" s="31">
        <v>60</v>
      </c>
      <c r="K2752" s="33" t="s">
        <v>133</v>
      </c>
      <c r="L2752" s="31" t="s">
        <v>134</v>
      </c>
    </row>
    <row r="2753" spans="10:12">
      <c r="J2753" s="31">
        <v>61</v>
      </c>
      <c r="K2753" s="33" t="s">
        <v>135</v>
      </c>
      <c r="L2753" s="31" t="str">
        <f t="shared" ref="L2753:L2761" si="266">$L$63&amp;" "&amp;L2693</f>
        <v>Enam Puluh Satu</v>
      </c>
    </row>
    <row r="2754" spans="10:12">
      <c r="J2754" s="31">
        <v>62</v>
      </c>
      <c r="K2754" s="33" t="s">
        <v>136</v>
      </c>
      <c r="L2754" s="31" t="str">
        <f t="shared" si="266"/>
        <v>Enam Puluh Dua</v>
      </c>
    </row>
    <row r="2755" spans="10:12">
      <c r="J2755" s="31">
        <v>63</v>
      </c>
      <c r="K2755" s="33" t="s">
        <v>137</v>
      </c>
      <c r="L2755" s="31" t="str">
        <f t="shared" si="266"/>
        <v>Enam Puluh Tiga</v>
      </c>
    </row>
    <row r="2756" spans="10:12">
      <c r="J2756" s="31">
        <v>64</v>
      </c>
      <c r="K2756" s="33" t="s">
        <v>138</v>
      </c>
      <c r="L2756" s="31" t="str">
        <f t="shared" si="266"/>
        <v>Enam Puluh Empat</v>
      </c>
    </row>
    <row r="2757" spans="10:12">
      <c r="J2757" s="31">
        <v>65</v>
      </c>
      <c r="K2757" s="33" t="s">
        <v>139</v>
      </c>
      <c r="L2757" s="31" t="str">
        <f t="shared" si="266"/>
        <v>Enam Puluh Lima</v>
      </c>
    </row>
    <row r="2758" spans="10:12">
      <c r="J2758" s="31">
        <v>66</v>
      </c>
      <c r="K2758" s="33" t="s">
        <v>140</v>
      </c>
      <c r="L2758" s="31" t="str">
        <f t="shared" si="266"/>
        <v>Enam Puluh Enam</v>
      </c>
    </row>
    <row r="2759" spans="10:12">
      <c r="J2759" s="31">
        <v>67</v>
      </c>
      <c r="K2759" s="33" t="s">
        <v>141</v>
      </c>
      <c r="L2759" s="31" t="str">
        <f t="shared" si="266"/>
        <v>Enam Puluh Tujuh</v>
      </c>
    </row>
    <row r="2760" spans="10:12">
      <c r="J2760" s="31">
        <v>68</v>
      </c>
      <c r="K2760" s="33" t="s">
        <v>142</v>
      </c>
      <c r="L2760" s="31" t="str">
        <f t="shared" si="266"/>
        <v>Enam Puluh Delapan</v>
      </c>
    </row>
    <row r="2761" spans="10:12">
      <c r="J2761" s="31">
        <v>69</v>
      </c>
      <c r="K2761" s="33" t="s">
        <v>143</v>
      </c>
      <c r="L2761" s="31" t="str">
        <f t="shared" si="266"/>
        <v>Enam Puluh Sembilan</v>
      </c>
    </row>
    <row r="2762" spans="10:12">
      <c r="J2762" s="31">
        <v>70</v>
      </c>
      <c r="K2762" s="33" t="s">
        <v>144</v>
      </c>
      <c r="L2762" s="31" t="s">
        <v>145</v>
      </c>
    </row>
    <row r="2763" spans="10:12">
      <c r="J2763" s="31">
        <v>71</v>
      </c>
      <c r="K2763" s="33" t="s">
        <v>146</v>
      </c>
      <c r="L2763" s="31" t="str">
        <f t="shared" ref="L2763:L2771" si="267">$L$73&amp;" "&amp;L2693</f>
        <v>Tujuh Puluh Satu</v>
      </c>
    </row>
    <row r="2764" spans="10:12">
      <c r="J2764" s="31">
        <v>72</v>
      </c>
      <c r="K2764" s="33" t="s">
        <v>147</v>
      </c>
      <c r="L2764" s="31" t="str">
        <f t="shared" si="267"/>
        <v>Tujuh Puluh Dua</v>
      </c>
    </row>
    <row r="2765" spans="10:12">
      <c r="J2765" s="31">
        <v>73</v>
      </c>
      <c r="K2765" s="33" t="s">
        <v>148</v>
      </c>
      <c r="L2765" s="31" t="str">
        <f t="shared" si="267"/>
        <v>Tujuh Puluh Tiga</v>
      </c>
    </row>
    <row r="2766" spans="10:12">
      <c r="J2766" s="31">
        <v>74</v>
      </c>
      <c r="K2766" s="33" t="s">
        <v>149</v>
      </c>
      <c r="L2766" s="31" t="str">
        <f t="shared" si="267"/>
        <v>Tujuh Puluh Empat</v>
      </c>
    </row>
    <row r="2767" spans="10:12">
      <c r="J2767" s="31">
        <v>75</v>
      </c>
      <c r="K2767" s="33" t="s">
        <v>150</v>
      </c>
      <c r="L2767" s="31" t="str">
        <f t="shared" si="267"/>
        <v>Tujuh Puluh Lima</v>
      </c>
    </row>
    <row r="2768" spans="10:12">
      <c r="J2768" s="31">
        <v>76</v>
      </c>
      <c r="K2768" s="33" t="s">
        <v>151</v>
      </c>
      <c r="L2768" s="31" t="str">
        <f t="shared" si="267"/>
        <v>Tujuh Puluh Enam</v>
      </c>
    </row>
    <row r="2769" spans="10:12">
      <c r="J2769" s="31">
        <v>77</v>
      </c>
      <c r="K2769" s="33" t="s">
        <v>152</v>
      </c>
      <c r="L2769" s="31" t="str">
        <f t="shared" si="267"/>
        <v>Tujuh Puluh Tujuh</v>
      </c>
    </row>
    <row r="2770" spans="10:12">
      <c r="J2770" s="31">
        <v>78</v>
      </c>
      <c r="K2770" s="33" t="s">
        <v>153</v>
      </c>
      <c r="L2770" s="31" t="str">
        <f t="shared" si="267"/>
        <v>Tujuh Puluh Delapan</v>
      </c>
    </row>
    <row r="2771" spans="10:12">
      <c r="J2771" s="31">
        <v>79</v>
      </c>
      <c r="K2771" s="33" t="s">
        <v>154</v>
      </c>
      <c r="L2771" s="31" t="str">
        <f t="shared" si="267"/>
        <v>Tujuh Puluh Sembilan</v>
      </c>
    </row>
    <row r="2772" spans="10:12">
      <c r="J2772" s="31">
        <v>80</v>
      </c>
      <c r="K2772" s="33" t="s">
        <v>155</v>
      </c>
      <c r="L2772" s="31" t="s">
        <v>156</v>
      </c>
    </row>
    <row r="2773" spans="10:12">
      <c r="J2773" s="31">
        <v>81</v>
      </c>
      <c r="K2773" s="33" t="s">
        <v>157</v>
      </c>
      <c r="L2773" s="31" t="str">
        <f t="shared" ref="L2773:L2781" si="268">$L$83&amp;" "&amp;L2693</f>
        <v>Delapan Puluh Satu</v>
      </c>
    </row>
    <row r="2774" spans="10:12">
      <c r="J2774" s="31">
        <v>82</v>
      </c>
      <c r="K2774" s="33" t="s">
        <v>158</v>
      </c>
      <c r="L2774" s="31" t="str">
        <f t="shared" si="268"/>
        <v>Delapan Puluh Dua</v>
      </c>
    </row>
    <row r="2775" spans="10:12">
      <c r="J2775" s="31">
        <v>83</v>
      </c>
      <c r="K2775" s="33" t="s">
        <v>159</v>
      </c>
      <c r="L2775" s="31" t="str">
        <f t="shared" si="268"/>
        <v>Delapan Puluh Tiga</v>
      </c>
    </row>
    <row r="2776" spans="10:12">
      <c r="J2776" s="31">
        <v>84</v>
      </c>
      <c r="K2776" s="33" t="s">
        <v>160</v>
      </c>
      <c r="L2776" s="31" t="str">
        <f t="shared" si="268"/>
        <v>Delapan Puluh Empat</v>
      </c>
    </row>
    <row r="2777" spans="10:12">
      <c r="J2777" s="31">
        <v>85</v>
      </c>
      <c r="K2777" s="33" t="s">
        <v>161</v>
      </c>
      <c r="L2777" s="31" t="str">
        <f t="shared" si="268"/>
        <v>Delapan Puluh Lima</v>
      </c>
    </row>
    <row r="2778" spans="10:12">
      <c r="J2778" s="31">
        <v>86</v>
      </c>
      <c r="K2778" s="33" t="s">
        <v>162</v>
      </c>
      <c r="L2778" s="31" t="str">
        <f t="shared" si="268"/>
        <v>Delapan Puluh Enam</v>
      </c>
    </row>
    <row r="2779" spans="10:12">
      <c r="J2779" s="31">
        <v>87</v>
      </c>
      <c r="K2779" s="33" t="s">
        <v>163</v>
      </c>
      <c r="L2779" s="31" t="str">
        <f t="shared" si="268"/>
        <v>Delapan Puluh Tujuh</v>
      </c>
    </row>
    <row r="2780" spans="10:12">
      <c r="J2780" s="31">
        <v>88</v>
      </c>
      <c r="K2780" s="33" t="s">
        <v>164</v>
      </c>
      <c r="L2780" s="31" t="str">
        <f t="shared" si="268"/>
        <v>Delapan Puluh Delapan</v>
      </c>
    </row>
    <row r="2781" spans="10:12">
      <c r="J2781" s="31">
        <v>89</v>
      </c>
      <c r="K2781" s="33" t="s">
        <v>165</v>
      </c>
      <c r="L2781" s="31" t="str">
        <f t="shared" si="268"/>
        <v>Delapan Puluh Sembilan</v>
      </c>
    </row>
    <row r="2782" spans="10:12">
      <c r="J2782" s="31">
        <v>90</v>
      </c>
      <c r="K2782" s="33" t="s">
        <v>166</v>
      </c>
      <c r="L2782" s="31" t="s">
        <v>167</v>
      </c>
    </row>
    <row r="2783" spans="10:12">
      <c r="J2783" s="31">
        <v>91</v>
      </c>
      <c r="K2783" s="33" t="s">
        <v>168</v>
      </c>
      <c r="L2783" s="31" t="str">
        <f t="shared" ref="L2783:L2791" si="269">$L$93&amp;" "&amp;L2693</f>
        <v>Sembilan Puluh Satu</v>
      </c>
    </row>
    <row r="2784" spans="10:12">
      <c r="J2784" s="31">
        <v>92</v>
      </c>
      <c r="K2784" s="33" t="s">
        <v>169</v>
      </c>
      <c r="L2784" s="31" t="str">
        <f t="shared" si="269"/>
        <v>Sembilan Puluh Dua</v>
      </c>
    </row>
    <row r="2785" spans="1:12">
      <c r="J2785" s="31">
        <v>93</v>
      </c>
      <c r="K2785" s="33" t="s">
        <v>170</v>
      </c>
      <c r="L2785" s="31" t="str">
        <f t="shared" si="269"/>
        <v>Sembilan Puluh Tiga</v>
      </c>
    </row>
    <row r="2786" spans="1:12">
      <c r="J2786" s="31">
        <v>94</v>
      </c>
      <c r="K2786" s="33" t="s">
        <v>171</v>
      </c>
      <c r="L2786" s="31" t="str">
        <f t="shared" si="269"/>
        <v>Sembilan Puluh Empat</v>
      </c>
    </row>
    <row r="2787" spans="1:12">
      <c r="J2787" s="31">
        <v>95</v>
      </c>
      <c r="K2787" s="33" t="s">
        <v>172</v>
      </c>
      <c r="L2787" s="31" t="str">
        <f t="shared" si="269"/>
        <v>Sembilan Puluh Lima</v>
      </c>
    </row>
    <row r="2788" spans="1:12">
      <c r="J2788" s="31">
        <v>96</v>
      </c>
      <c r="K2788" s="33" t="s">
        <v>173</v>
      </c>
      <c r="L2788" s="31" t="str">
        <f t="shared" si="269"/>
        <v>Sembilan Puluh Enam</v>
      </c>
    </row>
    <row r="2789" spans="1:12">
      <c r="J2789" s="31">
        <v>97</v>
      </c>
      <c r="K2789" s="33" t="s">
        <v>174</v>
      </c>
      <c r="L2789" s="31" t="str">
        <f t="shared" si="269"/>
        <v>Sembilan Puluh Tujuh</v>
      </c>
    </row>
    <row r="2790" spans="1:12">
      <c r="J2790" s="31">
        <v>98</v>
      </c>
      <c r="K2790" s="33" t="s">
        <v>175</v>
      </c>
      <c r="L2790" s="31" t="str">
        <f t="shared" si="269"/>
        <v>Sembilan Puluh Delapan</v>
      </c>
    </row>
    <row r="2791" spans="1:12">
      <c r="J2791" s="31">
        <v>99</v>
      </c>
      <c r="K2791" s="33" t="s">
        <v>176</v>
      </c>
      <c r="L2791" s="31" t="str">
        <f t="shared" si="269"/>
        <v>Sembilan Puluh Sembilan</v>
      </c>
    </row>
    <row r="2794" spans="1:12">
      <c r="A2794" s="30" t="e">
        <f>#REF!</f>
        <v>#REF!</v>
      </c>
      <c r="C2794" s="31" t="s">
        <v>236</v>
      </c>
    </row>
    <row r="2795" spans="1:12">
      <c r="A2795" s="32"/>
    </row>
    <row r="2796" spans="1:12">
      <c r="J2796" s="31">
        <v>0</v>
      </c>
      <c r="K2796" s="33" t="s">
        <v>48</v>
      </c>
      <c r="L2796" s="31" t="s">
        <v>49</v>
      </c>
    </row>
    <row r="2797" spans="1:12">
      <c r="A2797" s="34"/>
      <c r="J2797" s="31">
        <v>1</v>
      </c>
      <c r="K2797" s="33" t="s">
        <v>50</v>
      </c>
      <c r="L2797" s="31" t="s">
        <v>51</v>
      </c>
    </row>
    <row r="2798" spans="1:12">
      <c r="A2798" s="255" t="e">
        <f>TRIM(D2806&amp;E2806&amp;D2807&amp;E2807&amp;D2808&amp;E2808&amp;D2809&amp;E2809&amp;D2810&amp;E2810&amp;D2811&amp;E2811&amp;E2812&amp;D2812&amp;" Only")</f>
        <v>#REF!</v>
      </c>
      <c r="B2798" s="255"/>
      <c r="C2798" s="255"/>
      <c r="D2798" s="255"/>
      <c r="E2798" s="35"/>
      <c r="F2798" s="36"/>
      <c r="J2798" s="31">
        <v>2</v>
      </c>
      <c r="K2798" s="33" t="s">
        <v>52</v>
      </c>
      <c r="L2798" s="31" t="s">
        <v>53</v>
      </c>
    </row>
    <row r="2799" spans="1:12">
      <c r="A2799" s="37"/>
      <c r="B2799" s="37"/>
      <c r="C2799" s="37"/>
      <c r="D2799" s="37"/>
      <c r="E2799" s="35"/>
      <c r="F2799" s="36"/>
      <c r="J2799" s="31">
        <v>3</v>
      </c>
      <c r="K2799" s="33" t="s">
        <v>54</v>
      </c>
      <c r="L2799" s="31" t="s">
        <v>55</v>
      </c>
    </row>
    <row r="2800" spans="1:12">
      <c r="A2800" s="37"/>
      <c r="B2800" s="37"/>
      <c r="C2800" s="37"/>
      <c r="D2800" s="37"/>
      <c r="J2800" s="31">
        <v>4</v>
      </c>
      <c r="K2800" s="33" t="s">
        <v>56</v>
      </c>
      <c r="L2800" s="31" t="s">
        <v>57</v>
      </c>
    </row>
    <row r="2801" spans="1:12">
      <c r="A2801" s="255" t="e">
        <f>TRIM(D2816&amp;E2816&amp;D2817&amp;E2817&amp;D2818&amp;E2818&amp;D2819&amp;E2819&amp;D2820&amp;E2820&amp;D2821&amp;E2821&amp;D2822&amp;E2822&amp;" Rupiah")</f>
        <v>#REF!</v>
      </c>
      <c r="B2801" s="255"/>
      <c r="C2801" s="255"/>
      <c r="D2801" s="255"/>
      <c r="E2801" s="35"/>
      <c r="F2801" s="36"/>
      <c r="J2801" s="31">
        <v>5</v>
      </c>
      <c r="K2801" s="33" t="s">
        <v>58</v>
      </c>
      <c r="L2801" s="31" t="s">
        <v>59</v>
      </c>
    </row>
    <row r="2802" spans="1:12">
      <c r="A2802" s="35"/>
      <c r="B2802" s="35"/>
      <c r="C2802" s="35"/>
      <c r="D2802" s="35"/>
      <c r="E2802" s="35"/>
      <c r="F2802" s="36"/>
      <c r="J2802" s="31">
        <v>6</v>
      </c>
      <c r="K2802" s="33" t="s">
        <v>60</v>
      </c>
      <c r="L2802" s="31" t="s">
        <v>61</v>
      </c>
    </row>
    <row r="2803" spans="1:12">
      <c r="J2803" s="31">
        <v>7</v>
      </c>
      <c r="K2803" s="33" t="s">
        <v>62</v>
      </c>
      <c r="L2803" s="31" t="s">
        <v>63</v>
      </c>
    </row>
    <row r="2804" spans="1:12">
      <c r="J2804" s="31">
        <v>8</v>
      </c>
      <c r="K2804" s="33" t="s">
        <v>64</v>
      </c>
      <c r="L2804" s="31" t="s">
        <v>65</v>
      </c>
    </row>
    <row r="2805" spans="1:12">
      <c r="A2805" s="38" t="s">
        <v>66</v>
      </c>
      <c r="J2805" s="31">
        <v>9</v>
      </c>
      <c r="K2805" s="33" t="s">
        <v>67</v>
      </c>
      <c r="L2805" s="31" t="s">
        <v>68</v>
      </c>
    </row>
    <row r="2806" spans="1:12">
      <c r="A2806" s="31" t="s">
        <v>69</v>
      </c>
      <c r="B2806" s="39" t="e">
        <f>TRUNC(A2794/100000000)</f>
        <v>#REF!</v>
      </c>
      <c r="C2806" s="31" t="e">
        <f>B2806*100000000</f>
        <v>#REF!</v>
      </c>
      <c r="D2806" s="31" t="e">
        <f t="shared" ref="D2806:D2812" si="270">IF(B2806&lt;1,"",VLOOKUP(B2806,$J$3:$K$102,2))</f>
        <v>#REF!</v>
      </c>
      <c r="E2806" s="31" t="e">
        <f>IF(B2806&lt;1,"",IF(B2806&gt;1," Hundreds "," Hundred "))</f>
        <v>#REF!</v>
      </c>
      <c r="J2806" s="31">
        <v>10</v>
      </c>
      <c r="K2806" s="33" t="s">
        <v>70</v>
      </c>
      <c r="L2806" s="31" t="s">
        <v>71</v>
      </c>
    </row>
    <row r="2807" spans="1:12">
      <c r="A2807" s="31" t="s">
        <v>72</v>
      </c>
      <c r="B2807" s="39" t="e">
        <f>TRUNC((A2794-C2806)/1000000)</f>
        <v>#REF!</v>
      </c>
      <c r="C2807" s="31" t="e">
        <f>B2807*1000000</f>
        <v>#REF!</v>
      </c>
      <c r="D2807" s="31" t="e">
        <f t="shared" si="270"/>
        <v>#REF!</v>
      </c>
      <c r="E2807" s="31" t="e">
        <f>IF(B2806+B2807=0,"",IF(B2807=1," Million "," Millions "))</f>
        <v>#REF!</v>
      </c>
      <c r="J2807" s="31">
        <v>11</v>
      </c>
      <c r="K2807" s="33" t="s">
        <v>73</v>
      </c>
      <c r="L2807" s="31" t="s">
        <v>74</v>
      </c>
    </row>
    <row r="2808" spans="1:12">
      <c r="A2808" s="31" t="s">
        <v>75</v>
      </c>
      <c r="B2808" s="39" t="e">
        <f>TRUNC((A2794-SUM(C2806:C2807))/100000)</f>
        <v>#REF!</v>
      </c>
      <c r="C2808" s="31" t="e">
        <f>B2808*100000</f>
        <v>#REF!</v>
      </c>
      <c r="D2808" s="31" t="e">
        <f t="shared" si="270"/>
        <v>#REF!</v>
      </c>
      <c r="E2808" s="31" t="e">
        <f>IF(B2808&lt;1,"",IF(B2808&gt;1," Hundreds "," Hundred "))</f>
        <v>#REF!</v>
      </c>
      <c r="J2808" s="31">
        <v>12</v>
      </c>
      <c r="K2808" s="33" t="s">
        <v>76</v>
      </c>
      <c r="L2808" s="31" t="str">
        <f t="shared" ref="L2808:L2815" si="271">L2798&amp;" Belas"</f>
        <v>Dua Belas</v>
      </c>
    </row>
    <row r="2809" spans="1:12">
      <c r="A2809" s="33" t="s">
        <v>77</v>
      </c>
      <c r="B2809" s="40" t="e">
        <f>TRUNC((A2794-SUM(C2806:C2808))/1000)</f>
        <v>#REF!</v>
      </c>
      <c r="C2809" s="31" t="e">
        <f>B2809*1000</f>
        <v>#REF!</v>
      </c>
      <c r="D2809" s="31" t="e">
        <f t="shared" si="270"/>
        <v>#REF!</v>
      </c>
      <c r="E2809" s="31" t="e">
        <f>IF(B2808+B2809=0,"",IF(B2809=1," Thousand "," Thousands "))</f>
        <v>#REF!</v>
      </c>
      <c r="J2809" s="31">
        <v>13</v>
      </c>
      <c r="K2809" s="33" t="s">
        <v>78</v>
      </c>
      <c r="L2809" s="31" t="str">
        <f t="shared" si="271"/>
        <v>Tiga Belas</v>
      </c>
    </row>
    <row r="2810" spans="1:12">
      <c r="A2810" s="33" t="s">
        <v>79</v>
      </c>
      <c r="B2810" s="40" t="e">
        <f>TRUNC((A2794-SUM(C2806:C2809))/100)</f>
        <v>#REF!</v>
      </c>
      <c r="C2810" s="31" t="e">
        <f>B2810*100</f>
        <v>#REF!</v>
      </c>
      <c r="D2810" s="31" t="e">
        <f t="shared" si="270"/>
        <v>#REF!</v>
      </c>
      <c r="E2810" s="31" t="e">
        <f>IF(B2810&lt;1,"",IF(B2810&gt;1," Hundreds "," Hundred "))</f>
        <v>#REF!</v>
      </c>
      <c r="J2810" s="31">
        <v>14</v>
      </c>
      <c r="K2810" s="33" t="s">
        <v>80</v>
      </c>
      <c r="L2810" s="31" t="str">
        <f t="shared" si="271"/>
        <v>Empat Belas</v>
      </c>
    </row>
    <row r="2811" spans="1:12">
      <c r="A2811" s="33" t="s">
        <v>81</v>
      </c>
      <c r="B2811" s="41" t="e">
        <f>TRUNC((A2794-SUM(C2806:C2810)))</f>
        <v>#REF!</v>
      </c>
      <c r="C2811" s="42" t="e">
        <f>B2811</f>
        <v>#REF!</v>
      </c>
      <c r="D2811" s="31" t="e">
        <f t="shared" si="270"/>
        <v>#REF!</v>
      </c>
      <c r="E2811" s="31" t="e">
        <f>IF(SUM(C2806:C2811)&lt;1,"",IF(B2812&lt;1,""," And "))</f>
        <v>#REF!</v>
      </c>
      <c r="J2811" s="31">
        <v>15</v>
      </c>
      <c r="K2811" s="33" t="s">
        <v>82</v>
      </c>
      <c r="L2811" s="31" t="str">
        <f t="shared" si="271"/>
        <v>Lima Belas</v>
      </c>
    </row>
    <row r="2812" spans="1:12">
      <c r="A2812" s="33" t="s">
        <v>83</v>
      </c>
      <c r="B2812" s="40" t="e">
        <f>ROUND(A2794-SUM(C2806:C2811),2)*100</f>
        <v>#REF!</v>
      </c>
      <c r="D2812" s="43" t="e">
        <f t="shared" si="270"/>
        <v>#REF!</v>
      </c>
      <c r="E2812" s="31" t="e">
        <f>IF(B2812&lt;1,"",IF(B2812=1," Cent "," Cents "))</f>
        <v>#REF!</v>
      </c>
      <c r="J2812" s="31">
        <v>16</v>
      </c>
      <c r="K2812" s="33" t="s">
        <v>84</v>
      </c>
      <c r="L2812" s="31" t="str">
        <f t="shared" si="271"/>
        <v>Enam Belas</v>
      </c>
    </row>
    <row r="2813" spans="1:12">
      <c r="J2813" s="31">
        <v>17</v>
      </c>
      <c r="K2813" s="33" t="s">
        <v>85</v>
      </c>
      <c r="L2813" s="31" t="str">
        <f t="shared" si="271"/>
        <v>Tujuh Belas</v>
      </c>
    </row>
    <row r="2814" spans="1:12">
      <c r="A2814" s="44"/>
      <c r="J2814" s="31">
        <v>18</v>
      </c>
      <c r="K2814" s="33" t="s">
        <v>86</v>
      </c>
      <c r="L2814" s="31" t="str">
        <f t="shared" si="271"/>
        <v>Delapan Belas</v>
      </c>
    </row>
    <row r="2815" spans="1:12">
      <c r="A2815" s="38" t="s">
        <v>87</v>
      </c>
      <c r="J2815" s="31">
        <v>19</v>
      </c>
      <c r="K2815" s="33" t="s">
        <v>88</v>
      </c>
      <c r="L2815" s="31" t="str">
        <f t="shared" si="271"/>
        <v>Sembilan Belas</v>
      </c>
    </row>
    <row r="2816" spans="1:12">
      <c r="A2816" s="31" t="s">
        <v>69</v>
      </c>
      <c r="B2816" s="39" t="e">
        <f>TRUNC(A2794/100000000)</f>
        <v>#REF!</v>
      </c>
      <c r="C2816" s="31" t="e">
        <f>B2816*100000000</f>
        <v>#REF!</v>
      </c>
      <c r="D2816" s="31" t="e">
        <f>IF(B2816&lt;1,"",IF(B2816=1,"",VLOOKUP(B2816,$J$3:$L$102,3)))</f>
        <v>#REF!</v>
      </c>
      <c r="E2816" s="31" t="e">
        <f>IF(B2816&lt;1,"",IF(B2816=1,"Seratus "," Ratus "))</f>
        <v>#REF!</v>
      </c>
      <c r="J2816" s="31">
        <v>20</v>
      </c>
      <c r="K2816" s="33" t="s">
        <v>89</v>
      </c>
      <c r="L2816" s="31" t="s">
        <v>90</v>
      </c>
    </row>
    <row r="2817" spans="1:12">
      <c r="A2817" s="31" t="s">
        <v>72</v>
      </c>
      <c r="B2817" s="39" t="e">
        <f>TRUNC((A2794-C2816)/1000000)</f>
        <v>#REF!</v>
      </c>
      <c r="C2817" s="31" t="e">
        <f>B2817*1000000</f>
        <v>#REF!</v>
      </c>
      <c r="D2817" s="31" t="e">
        <f>IF(B2817&lt;1,"",VLOOKUP(B2817,$J$3:$L$102,3))</f>
        <v>#REF!</v>
      </c>
      <c r="E2817" s="31" t="e">
        <f>IF(B2816+B2817=0,""," Juta ")</f>
        <v>#REF!</v>
      </c>
      <c r="J2817" s="31">
        <v>21</v>
      </c>
      <c r="K2817" s="33" t="s">
        <v>91</v>
      </c>
      <c r="L2817" s="31" t="str">
        <f t="shared" ref="L2817:L2825" si="272">$L$23&amp;" "&amp;L2797</f>
        <v>Dua Puluh Satu</v>
      </c>
    </row>
    <row r="2818" spans="1:12">
      <c r="A2818" s="31" t="s">
        <v>75</v>
      </c>
      <c r="B2818" s="39" t="e">
        <f>TRUNC((A2794-SUM(C2816:C2817))/100000)</f>
        <v>#REF!</v>
      </c>
      <c r="C2818" s="31" t="e">
        <f>B2818*100000</f>
        <v>#REF!</v>
      </c>
      <c r="D2818" s="31" t="e">
        <f>IF(B2818&lt;1,"",IF(B2818=1,"",VLOOKUP(B2818,$J$3:$L$102,3)))</f>
        <v>#REF!</v>
      </c>
      <c r="E2818" s="31" t="e">
        <f>IF(B2818&lt;1,"",IF(B2818=1," Seratus "," Ratus "))</f>
        <v>#REF!</v>
      </c>
      <c r="J2818" s="31">
        <v>22</v>
      </c>
      <c r="K2818" s="33" t="s">
        <v>92</v>
      </c>
      <c r="L2818" s="31" t="str">
        <f t="shared" si="272"/>
        <v>Dua Puluh Dua</v>
      </c>
    </row>
    <row r="2819" spans="1:12">
      <c r="A2819" s="33" t="s">
        <v>77</v>
      </c>
      <c r="B2819" s="40" t="e">
        <f>TRUNC((A2794-SUM(C2816:C2818))/1000)</f>
        <v>#REF!</v>
      </c>
      <c r="C2819" s="31" t="e">
        <f>B2819*1000</f>
        <v>#REF!</v>
      </c>
      <c r="D2819" s="31" t="e">
        <f>IF(B2819&lt;1,"",IF(B2819=1,"",VLOOKUP(B2819,$J$3:$L$102,3)))</f>
        <v>#REF!</v>
      </c>
      <c r="E2819" s="31" t="e">
        <f>IF(B2818+B2819&lt;1,"",IF(B2819=1," Seribu "," Ribu "))</f>
        <v>#REF!</v>
      </c>
      <c r="J2819" s="31">
        <v>23</v>
      </c>
      <c r="K2819" s="33" t="s">
        <v>93</v>
      </c>
      <c r="L2819" s="31" t="str">
        <f t="shared" si="272"/>
        <v>Dua Puluh Tiga</v>
      </c>
    </row>
    <row r="2820" spans="1:12">
      <c r="A2820" s="33" t="s">
        <v>79</v>
      </c>
      <c r="B2820" s="40" t="e">
        <f>TRUNC((A2794-SUM(C2816:C2819))/100)</f>
        <v>#REF!</v>
      </c>
      <c r="C2820" s="31" t="e">
        <f>B2820*100</f>
        <v>#REF!</v>
      </c>
      <c r="D2820" s="31" t="e">
        <f>IF(B2820&lt;1,"",IF(B2820=1,"",VLOOKUP(B2820,$J$3:$L$102,3)))</f>
        <v>#REF!</v>
      </c>
      <c r="E2820" s="31" t="e">
        <f>IF(B2820&lt;1,"",IF(B2820=1," Seratus "," Ratus "))</f>
        <v>#REF!</v>
      </c>
      <c r="J2820" s="31">
        <v>24</v>
      </c>
      <c r="K2820" s="33" t="s">
        <v>94</v>
      </c>
      <c r="L2820" s="31" t="str">
        <f t="shared" si="272"/>
        <v>Dua Puluh Empat</v>
      </c>
    </row>
    <row r="2821" spans="1:12">
      <c r="A2821" s="33" t="s">
        <v>81</v>
      </c>
      <c r="B2821" s="41" t="e">
        <f>TRUNC((A2794-SUM(C2816:C2820)))</f>
        <v>#REF!</v>
      </c>
      <c r="C2821" s="42" t="e">
        <f>B2821</f>
        <v>#REF!</v>
      </c>
      <c r="D2821" s="31" t="e">
        <f>IF(B2821&lt;1,"",VLOOKUP(B2821,$J$3:$L$102,3))</f>
        <v>#REF!</v>
      </c>
      <c r="E2821" s="31" t="e">
        <f>IF(SUM(C2816:C2821)&lt;1,"",IF(B2822&lt;1,""," Dan "))</f>
        <v>#REF!</v>
      </c>
      <c r="J2821" s="31">
        <v>25</v>
      </c>
      <c r="K2821" s="33" t="s">
        <v>95</v>
      </c>
      <c r="L2821" s="31" t="str">
        <f t="shared" si="272"/>
        <v>Dua Puluh Lima</v>
      </c>
    </row>
    <row r="2822" spans="1:12">
      <c r="A2822" s="33" t="s">
        <v>83</v>
      </c>
      <c r="B2822" s="40" t="e">
        <f>ROUND(A2794-SUM(C2816:C2821),2)*100</f>
        <v>#REF!</v>
      </c>
      <c r="D2822" s="31" t="e">
        <f>IF(B2822&lt;1,"",VLOOKUP(B2822,$J$3:$L$102,3))</f>
        <v>#REF!</v>
      </c>
      <c r="E2822" s="31" t="e">
        <f>IF(B2822&lt;1,""," Sen ")</f>
        <v>#REF!</v>
      </c>
      <c r="J2822" s="31">
        <v>26</v>
      </c>
      <c r="K2822" s="33" t="s">
        <v>96</v>
      </c>
      <c r="L2822" s="31" t="str">
        <f t="shared" si="272"/>
        <v>Dua Puluh Enam</v>
      </c>
    </row>
    <row r="2823" spans="1:12">
      <c r="J2823" s="31">
        <v>27</v>
      </c>
      <c r="K2823" s="33" t="s">
        <v>97</v>
      </c>
      <c r="L2823" s="31" t="str">
        <f t="shared" si="272"/>
        <v>Dua Puluh Tujuh</v>
      </c>
    </row>
    <row r="2824" spans="1:12">
      <c r="J2824" s="31">
        <v>28</v>
      </c>
      <c r="K2824" s="33" t="s">
        <v>98</v>
      </c>
      <c r="L2824" s="31" t="str">
        <f t="shared" si="272"/>
        <v>Dua Puluh Delapan</v>
      </c>
    </row>
    <row r="2825" spans="1:12">
      <c r="J2825" s="31">
        <v>29</v>
      </c>
      <c r="K2825" s="33" t="s">
        <v>99</v>
      </c>
      <c r="L2825" s="31" t="str">
        <f t="shared" si="272"/>
        <v>Dua Puluh Sembilan</v>
      </c>
    </row>
    <row r="2826" spans="1:12">
      <c r="J2826" s="31">
        <v>30</v>
      </c>
      <c r="K2826" s="33" t="s">
        <v>100</v>
      </c>
      <c r="L2826" s="31" t="s">
        <v>101</v>
      </c>
    </row>
    <row r="2827" spans="1:12">
      <c r="J2827" s="31">
        <v>31</v>
      </c>
      <c r="K2827" s="33" t="s">
        <v>102</v>
      </c>
      <c r="L2827" s="31" t="str">
        <f t="shared" ref="L2827:L2835" si="273">$L$33&amp;" "&amp;L2797</f>
        <v>Tiga Puluh Satu</v>
      </c>
    </row>
    <row r="2828" spans="1:12">
      <c r="J2828" s="31">
        <v>32</v>
      </c>
      <c r="K2828" s="33" t="s">
        <v>103</v>
      </c>
      <c r="L2828" s="31" t="str">
        <f t="shared" si="273"/>
        <v>Tiga Puluh Dua</v>
      </c>
    </row>
    <row r="2829" spans="1:12">
      <c r="J2829" s="31">
        <v>33</v>
      </c>
      <c r="K2829" s="33" t="s">
        <v>104</v>
      </c>
      <c r="L2829" s="31" t="str">
        <f t="shared" si="273"/>
        <v>Tiga Puluh Tiga</v>
      </c>
    </row>
    <row r="2830" spans="1:12">
      <c r="J2830" s="31">
        <v>34</v>
      </c>
      <c r="K2830" s="33" t="s">
        <v>105</v>
      </c>
      <c r="L2830" s="31" t="str">
        <f t="shared" si="273"/>
        <v>Tiga Puluh Empat</v>
      </c>
    </row>
    <row r="2831" spans="1:12">
      <c r="J2831" s="31">
        <v>35</v>
      </c>
      <c r="K2831" s="33" t="s">
        <v>106</v>
      </c>
      <c r="L2831" s="31" t="str">
        <f t="shared" si="273"/>
        <v>Tiga Puluh Lima</v>
      </c>
    </row>
    <row r="2832" spans="1:12">
      <c r="J2832" s="31">
        <v>36</v>
      </c>
      <c r="K2832" s="33" t="s">
        <v>107</v>
      </c>
      <c r="L2832" s="31" t="str">
        <f t="shared" si="273"/>
        <v>Tiga Puluh Enam</v>
      </c>
    </row>
    <row r="2833" spans="1:12">
      <c r="J2833" s="31">
        <v>37</v>
      </c>
      <c r="K2833" s="33" t="s">
        <v>108</v>
      </c>
      <c r="L2833" s="31" t="str">
        <f t="shared" si="273"/>
        <v>Tiga Puluh Tujuh</v>
      </c>
    </row>
    <row r="2834" spans="1:12">
      <c r="J2834" s="31">
        <v>38</v>
      </c>
      <c r="K2834" s="33" t="s">
        <v>109</v>
      </c>
      <c r="L2834" s="31" t="str">
        <f t="shared" si="273"/>
        <v>Tiga Puluh Delapan</v>
      </c>
    </row>
    <row r="2835" spans="1:12">
      <c r="J2835" s="31">
        <v>39</v>
      </c>
      <c r="K2835" s="33" t="s">
        <v>110</v>
      </c>
      <c r="L2835" s="31" t="str">
        <f t="shared" si="273"/>
        <v>Tiga Puluh Sembilan</v>
      </c>
    </row>
    <row r="2836" spans="1:12">
      <c r="B2836" s="35"/>
      <c r="C2836" s="35"/>
      <c r="D2836" s="35"/>
      <c r="J2836" s="31">
        <v>40</v>
      </c>
      <c r="K2836" s="33" t="s">
        <v>111</v>
      </c>
      <c r="L2836" s="31" t="s">
        <v>112</v>
      </c>
    </row>
    <row r="2837" spans="1:12">
      <c r="A2837" s="35"/>
      <c r="B2837" s="35"/>
      <c r="C2837" s="35"/>
      <c r="D2837" s="35"/>
      <c r="J2837" s="31">
        <v>41</v>
      </c>
      <c r="K2837" s="33" t="s">
        <v>113</v>
      </c>
      <c r="L2837" s="31" t="str">
        <f t="shared" ref="L2837:L2845" si="274">$L$43&amp;" "&amp;L2797</f>
        <v>Empat Puluh Satu</v>
      </c>
    </row>
    <row r="2838" spans="1:12">
      <c r="J2838" s="31">
        <v>42</v>
      </c>
      <c r="K2838" s="33" t="s">
        <v>114</v>
      </c>
      <c r="L2838" s="31" t="str">
        <f t="shared" si="274"/>
        <v>Empat Puluh Dua</v>
      </c>
    </row>
    <row r="2839" spans="1:12">
      <c r="A2839" s="38"/>
      <c r="J2839" s="31">
        <v>43</v>
      </c>
      <c r="K2839" s="33" t="s">
        <v>115</v>
      </c>
      <c r="L2839" s="31" t="str">
        <f t="shared" si="274"/>
        <v>Empat Puluh Tiga</v>
      </c>
    </row>
    <row r="2840" spans="1:12">
      <c r="J2840" s="31">
        <v>44</v>
      </c>
      <c r="K2840" s="33" t="s">
        <v>116</v>
      </c>
      <c r="L2840" s="31" t="str">
        <f t="shared" si="274"/>
        <v>Empat Puluh Empat</v>
      </c>
    </row>
    <row r="2841" spans="1:12">
      <c r="J2841" s="31">
        <v>45</v>
      </c>
      <c r="K2841" s="33" t="s">
        <v>117</v>
      </c>
      <c r="L2841" s="31" t="str">
        <f t="shared" si="274"/>
        <v>Empat Puluh Lima</v>
      </c>
    </row>
    <row r="2842" spans="1:12">
      <c r="J2842" s="31">
        <v>46</v>
      </c>
      <c r="K2842" s="33" t="s">
        <v>118</v>
      </c>
      <c r="L2842" s="31" t="str">
        <f t="shared" si="274"/>
        <v>Empat Puluh Enam</v>
      </c>
    </row>
    <row r="2843" spans="1:12">
      <c r="J2843" s="31">
        <v>47</v>
      </c>
      <c r="K2843" s="33" t="s">
        <v>119</v>
      </c>
      <c r="L2843" s="31" t="str">
        <f t="shared" si="274"/>
        <v>Empat Puluh Tujuh</v>
      </c>
    </row>
    <row r="2844" spans="1:12">
      <c r="J2844" s="31">
        <v>48</v>
      </c>
      <c r="K2844" s="33" t="s">
        <v>120</v>
      </c>
      <c r="L2844" s="31" t="str">
        <f t="shared" si="274"/>
        <v>Empat Puluh Delapan</v>
      </c>
    </row>
    <row r="2845" spans="1:12">
      <c r="J2845" s="31">
        <v>49</v>
      </c>
      <c r="K2845" s="33" t="s">
        <v>121</v>
      </c>
      <c r="L2845" s="31" t="str">
        <f t="shared" si="274"/>
        <v>Empat Puluh Sembilan</v>
      </c>
    </row>
    <row r="2846" spans="1:12">
      <c r="J2846" s="31">
        <v>50</v>
      </c>
      <c r="K2846" s="33" t="s">
        <v>122</v>
      </c>
      <c r="L2846" s="31" t="s">
        <v>123</v>
      </c>
    </row>
    <row r="2847" spans="1:12">
      <c r="J2847" s="31">
        <v>51</v>
      </c>
      <c r="K2847" s="33" t="s">
        <v>124</v>
      </c>
      <c r="L2847" s="31" t="str">
        <f t="shared" ref="L2847:L2855" si="275">$L$53&amp;" "&amp;L2797</f>
        <v>Lima Puluh Satu</v>
      </c>
    </row>
    <row r="2848" spans="1:12">
      <c r="J2848" s="31">
        <v>52</v>
      </c>
      <c r="K2848" s="33" t="s">
        <v>125</v>
      </c>
      <c r="L2848" s="31" t="str">
        <f t="shared" si="275"/>
        <v>Lima Puluh Dua</v>
      </c>
    </row>
    <row r="2849" spans="10:12">
      <c r="J2849" s="31">
        <v>53</v>
      </c>
      <c r="K2849" s="33" t="s">
        <v>126</v>
      </c>
      <c r="L2849" s="31" t="str">
        <f t="shared" si="275"/>
        <v>Lima Puluh Tiga</v>
      </c>
    </row>
    <row r="2850" spans="10:12">
      <c r="J2850" s="31">
        <v>54</v>
      </c>
      <c r="K2850" s="33" t="s">
        <v>127</v>
      </c>
      <c r="L2850" s="31" t="str">
        <f t="shared" si="275"/>
        <v>Lima Puluh Empat</v>
      </c>
    </row>
    <row r="2851" spans="10:12">
      <c r="J2851" s="31">
        <v>55</v>
      </c>
      <c r="K2851" s="33" t="s">
        <v>128</v>
      </c>
      <c r="L2851" s="31" t="str">
        <f t="shared" si="275"/>
        <v>Lima Puluh Lima</v>
      </c>
    </row>
    <row r="2852" spans="10:12">
      <c r="J2852" s="31">
        <v>56</v>
      </c>
      <c r="K2852" s="33" t="s">
        <v>129</v>
      </c>
      <c r="L2852" s="31" t="str">
        <f t="shared" si="275"/>
        <v>Lima Puluh Enam</v>
      </c>
    </row>
    <row r="2853" spans="10:12">
      <c r="J2853" s="31">
        <v>57</v>
      </c>
      <c r="K2853" s="33" t="s">
        <v>130</v>
      </c>
      <c r="L2853" s="31" t="str">
        <f t="shared" si="275"/>
        <v>Lima Puluh Tujuh</v>
      </c>
    </row>
    <row r="2854" spans="10:12">
      <c r="J2854" s="31">
        <v>58</v>
      </c>
      <c r="K2854" s="33" t="s">
        <v>131</v>
      </c>
      <c r="L2854" s="31" t="str">
        <f t="shared" si="275"/>
        <v>Lima Puluh Delapan</v>
      </c>
    </row>
    <row r="2855" spans="10:12">
      <c r="J2855" s="31">
        <v>59</v>
      </c>
      <c r="K2855" s="33" t="s">
        <v>132</v>
      </c>
      <c r="L2855" s="31" t="str">
        <f t="shared" si="275"/>
        <v>Lima Puluh Sembilan</v>
      </c>
    </row>
    <row r="2856" spans="10:12">
      <c r="J2856" s="31">
        <v>60</v>
      </c>
      <c r="K2856" s="33" t="s">
        <v>133</v>
      </c>
      <c r="L2856" s="31" t="s">
        <v>134</v>
      </c>
    </row>
    <row r="2857" spans="10:12">
      <c r="J2857" s="31">
        <v>61</v>
      </c>
      <c r="K2857" s="33" t="s">
        <v>135</v>
      </c>
      <c r="L2857" s="31" t="str">
        <f t="shared" ref="L2857:L2865" si="276">$L$63&amp;" "&amp;L2797</f>
        <v>Enam Puluh Satu</v>
      </c>
    </row>
    <row r="2858" spans="10:12">
      <c r="J2858" s="31">
        <v>62</v>
      </c>
      <c r="K2858" s="33" t="s">
        <v>136</v>
      </c>
      <c r="L2858" s="31" t="str">
        <f t="shared" si="276"/>
        <v>Enam Puluh Dua</v>
      </c>
    </row>
    <row r="2859" spans="10:12">
      <c r="J2859" s="31">
        <v>63</v>
      </c>
      <c r="K2859" s="33" t="s">
        <v>137</v>
      </c>
      <c r="L2859" s="31" t="str">
        <f t="shared" si="276"/>
        <v>Enam Puluh Tiga</v>
      </c>
    </row>
    <row r="2860" spans="10:12">
      <c r="J2860" s="31">
        <v>64</v>
      </c>
      <c r="K2860" s="33" t="s">
        <v>138</v>
      </c>
      <c r="L2860" s="31" t="str">
        <f t="shared" si="276"/>
        <v>Enam Puluh Empat</v>
      </c>
    </row>
    <row r="2861" spans="10:12">
      <c r="J2861" s="31">
        <v>65</v>
      </c>
      <c r="K2861" s="33" t="s">
        <v>139</v>
      </c>
      <c r="L2861" s="31" t="str">
        <f t="shared" si="276"/>
        <v>Enam Puluh Lima</v>
      </c>
    </row>
    <row r="2862" spans="10:12">
      <c r="J2862" s="31">
        <v>66</v>
      </c>
      <c r="K2862" s="33" t="s">
        <v>140</v>
      </c>
      <c r="L2862" s="31" t="str">
        <f t="shared" si="276"/>
        <v>Enam Puluh Enam</v>
      </c>
    </row>
    <row r="2863" spans="10:12">
      <c r="J2863" s="31">
        <v>67</v>
      </c>
      <c r="K2863" s="33" t="s">
        <v>141</v>
      </c>
      <c r="L2863" s="31" t="str">
        <f t="shared" si="276"/>
        <v>Enam Puluh Tujuh</v>
      </c>
    </row>
    <row r="2864" spans="10:12">
      <c r="J2864" s="31">
        <v>68</v>
      </c>
      <c r="K2864" s="33" t="s">
        <v>142</v>
      </c>
      <c r="L2864" s="31" t="str">
        <f t="shared" si="276"/>
        <v>Enam Puluh Delapan</v>
      </c>
    </row>
    <row r="2865" spans="10:12">
      <c r="J2865" s="31">
        <v>69</v>
      </c>
      <c r="K2865" s="33" t="s">
        <v>143</v>
      </c>
      <c r="L2865" s="31" t="str">
        <f t="shared" si="276"/>
        <v>Enam Puluh Sembilan</v>
      </c>
    </row>
    <row r="2866" spans="10:12">
      <c r="J2866" s="31">
        <v>70</v>
      </c>
      <c r="K2866" s="33" t="s">
        <v>144</v>
      </c>
      <c r="L2866" s="31" t="s">
        <v>145</v>
      </c>
    </row>
    <row r="2867" spans="10:12">
      <c r="J2867" s="31">
        <v>71</v>
      </c>
      <c r="K2867" s="33" t="s">
        <v>146</v>
      </c>
      <c r="L2867" s="31" t="str">
        <f t="shared" ref="L2867:L2875" si="277">$L$73&amp;" "&amp;L2797</f>
        <v>Tujuh Puluh Satu</v>
      </c>
    </row>
    <row r="2868" spans="10:12">
      <c r="J2868" s="31">
        <v>72</v>
      </c>
      <c r="K2868" s="33" t="s">
        <v>147</v>
      </c>
      <c r="L2868" s="31" t="str">
        <f t="shared" si="277"/>
        <v>Tujuh Puluh Dua</v>
      </c>
    </row>
    <row r="2869" spans="10:12">
      <c r="J2869" s="31">
        <v>73</v>
      </c>
      <c r="K2869" s="33" t="s">
        <v>148</v>
      </c>
      <c r="L2869" s="31" t="str">
        <f t="shared" si="277"/>
        <v>Tujuh Puluh Tiga</v>
      </c>
    </row>
    <row r="2870" spans="10:12">
      <c r="J2870" s="31">
        <v>74</v>
      </c>
      <c r="K2870" s="33" t="s">
        <v>149</v>
      </c>
      <c r="L2870" s="31" t="str">
        <f t="shared" si="277"/>
        <v>Tujuh Puluh Empat</v>
      </c>
    </row>
    <row r="2871" spans="10:12">
      <c r="J2871" s="31">
        <v>75</v>
      </c>
      <c r="K2871" s="33" t="s">
        <v>150</v>
      </c>
      <c r="L2871" s="31" t="str">
        <f t="shared" si="277"/>
        <v>Tujuh Puluh Lima</v>
      </c>
    </row>
    <row r="2872" spans="10:12">
      <c r="J2872" s="31">
        <v>76</v>
      </c>
      <c r="K2872" s="33" t="s">
        <v>151</v>
      </c>
      <c r="L2872" s="31" t="str">
        <f t="shared" si="277"/>
        <v>Tujuh Puluh Enam</v>
      </c>
    </row>
    <row r="2873" spans="10:12">
      <c r="J2873" s="31">
        <v>77</v>
      </c>
      <c r="K2873" s="33" t="s">
        <v>152</v>
      </c>
      <c r="L2873" s="31" t="str">
        <f t="shared" si="277"/>
        <v>Tujuh Puluh Tujuh</v>
      </c>
    </row>
    <row r="2874" spans="10:12">
      <c r="J2874" s="31">
        <v>78</v>
      </c>
      <c r="K2874" s="33" t="s">
        <v>153</v>
      </c>
      <c r="L2874" s="31" t="str">
        <f t="shared" si="277"/>
        <v>Tujuh Puluh Delapan</v>
      </c>
    </row>
    <row r="2875" spans="10:12">
      <c r="J2875" s="31">
        <v>79</v>
      </c>
      <c r="K2875" s="33" t="s">
        <v>154</v>
      </c>
      <c r="L2875" s="31" t="str">
        <f t="shared" si="277"/>
        <v>Tujuh Puluh Sembilan</v>
      </c>
    </row>
    <row r="2876" spans="10:12">
      <c r="J2876" s="31">
        <v>80</v>
      </c>
      <c r="K2876" s="33" t="s">
        <v>155</v>
      </c>
      <c r="L2876" s="31" t="s">
        <v>156</v>
      </c>
    </row>
    <row r="2877" spans="10:12">
      <c r="J2877" s="31">
        <v>81</v>
      </c>
      <c r="K2877" s="33" t="s">
        <v>157</v>
      </c>
      <c r="L2877" s="31" t="str">
        <f t="shared" ref="L2877:L2885" si="278">$L$83&amp;" "&amp;L2797</f>
        <v>Delapan Puluh Satu</v>
      </c>
    </row>
    <row r="2878" spans="10:12">
      <c r="J2878" s="31">
        <v>82</v>
      </c>
      <c r="K2878" s="33" t="s">
        <v>158</v>
      </c>
      <c r="L2878" s="31" t="str">
        <f t="shared" si="278"/>
        <v>Delapan Puluh Dua</v>
      </c>
    </row>
    <row r="2879" spans="10:12">
      <c r="J2879" s="31">
        <v>83</v>
      </c>
      <c r="K2879" s="33" t="s">
        <v>159</v>
      </c>
      <c r="L2879" s="31" t="str">
        <f t="shared" si="278"/>
        <v>Delapan Puluh Tiga</v>
      </c>
    </row>
    <row r="2880" spans="10:12">
      <c r="J2880" s="31">
        <v>84</v>
      </c>
      <c r="K2880" s="33" t="s">
        <v>160</v>
      </c>
      <c r="L2880" s="31" t="str">
        <f t="shared" si="278"/>
        <v>Delapan Puluh Empat</v>
      </c>
    </row>
    <row r="2881" spans="10:12">
      <c r="J2881" s="31">
        <v>85</v>
      </c>
      <c r="K2881" s="33" t="s">
        <v>161</v>
      </c>
      <c r="L2881" s="31" t="str">
        <f t="shared" si="278"/>
        <v>Delapan Puluh Lima</v>
      </c>
    </row>
    <row r="2882" spans="10:12">
      <c r="J2882" s="31">
        <v>86</v>
      </c>
      <c r="K2882" s="33" t="s">
        <v>162</v>
      </c>
      <c r="L2882" s="31" t="str">
        <f t="shared" si="278"/>
        <v>Delapan Puluh Enam</v>
      </c>
    </row>
    <row r="2883" spans="10:12">
      <c r="J2883" s="31">
        <v>87</v>
      </c>
      <c r="K2883" s="33" t="s">
        <v>163</v>
      </c>
      <c r="L2883" s="31" t="str">
        <f t="shared" si="278"/>
        <v>Delapan Puluh Tujuh</v>
      </c>
    </row>
    <row r="2884" spans="10:12">
      <c r="J2884" s="31">
        <v>88</v>
      </c>
      <c r="K2884" s="33" t="s">
        <v>164</v>
      </c>
      <c r="L2884" s="31" t="str">
        <f t="shared" si="278"/>
        <v>Delapan Puluh Delapan</v>
      </c>
    </row>
    <row r="2885" spans="10:12">
      <c r="J2885" s="31">
        <v>89</v>
      </c>
      <c r="K2885" s="33" t="s">
        <v>165</v>
      </c>
      <c r="L2885" s="31" t="str">
        <f t="shared" si="278"/>
        <v>Delapan Puluh Sembilan</v>
      </c>
    </row>
    <row r="2886" spans="10:12">
      <c r="J2886" s="31">
        <v>90</v>
      </c>
      <c r="K2886" s="33" t="s">
        <v>166</v>
      </c>
      <c r="L2886" s="31" t="s">
        <v>167</v>
      </c>
    </row>
    <row r="2887" spans="10:12">
      <c r="J2887" s="31">
        <v>91</v>
      </c>
      <c r="K2887" s="33" t="s">
        <v>168</v>
      </c>
      <c r="L2887" s="31" t="str">
        <f t="shared" ref="L2887:L2895" si="279">$L$93&amp;" "&amp;L2797</f>
        <v>Sembilan Puluh Satu</v>
      </c>
    </row>
    <row r="2888" spans="10:12">
      <c r="J2888" s="31">
        <v>92</v>
      </c>
      <c r="K2888" s="33" t="s">
        <v>169</v>
      </c>
      <c r="L2888" s="31" t="str">
        <f t="shared" si="279"/>
        <v>Sembilan Puluh Dua</v>
      </c>
    </row>
    <row r="2889" spans="10:12">
      <c r="J2889" s="31">
        <v>93</v>
      </c>
      <c r="K2889" s="33" t="s">
        <v>170</v>
      </c>
      <c r="L2889" s="31" t="str">
        <f t="shared" si="279"/>
        <v>Sembilan Puluh Tiga</v>
      </c>
    </row>
    <row r="2890" spans="10:12">
      <c r="J2890" s="31">
        <v>94</v>
      </c>
      <c r="K2890" s="33" t="s">
        <v>171</v>
      </c>
      <c r="L2890" s="31" t="str">
        <f t="shared" si="279"/>
        <v>Sembilan Puluh Empat</v>
      </c>
    </row>
    <row r="2891" spans="10:12">
      <c r="J2891" s="31">
        <v>95</v>
      </c>
      <c r="K2891" s="33" t="s">
        <v>172</v>
      </c>
      <c r="L2891" s="31" t="str">
        <f t="shared" si="279"/>
        <v>Sembilan Puluh Lima</v>
      </c>
    </row>
    <row r="2892" spans="10:12">
      <c r="J2892" s="31">
        <v>96</v>
      </c>
      <c r="K2892" s="33" t="s">
        <v>173</v>
      </c>
      <c r="L2892" s="31" t="str">
        <f t="shared" si="279"/>
        <v>Sembilan Puluh Enam</v>
      </c>
    </row>
    <row r="2893" spans="10:12">
      <c r="J2893" s="31">
        <v>97</v>
      </c>
      <c r="K2893" s="33" t="s">
        <v>174</v>
      </c>
      <c r="L2893" s="31" t="str">
        <f t="shared" si="279"/>
        <v>Sembilan Puluh Tujuh</v>
      </c>
    </row>
    <row r="2894" spans="10:12">
      <c r="J2894" s="31">
        <v>98</v>
      </c>
      <c r="K2894" s="33" t="s">
        <v>175</v>
      </c>
      <c r="L2894" s="31" t="str">
        <f t="shared" si="279"/>
        <v>Sembilan Puluh Delapan</v>
      </c>
    </row>
    <row r="2895" spans="10:12">
      <c r="J2895" s="31">
        <v>99</v>
      </c>
      <c r="K2895" s="33" t="s">
        <v>176</v>
      </c>
      <c r="L2895" s="31" t="str">
        <f t="shared" si="279"/>
        <v>Sembilan Puluh Sembilan</v>
      </c>
    </row>
    <row r="2898" spans="1:12">
      <c r="A2898" s="30" t="e">
        <f>#REF!</f>
        <v>#REF!</v>
      </c>
      <c r="C2898" s="31" t="s">
        <v>229</v>
      </c>
    </row>
    <row r="2899" spans="1:12">
      <c r="A2899" s="32"/>
    </row>
    <row r="2900" spans="1:12">
      <c r="J2900" s="31">
        <v>0</v>
      </c>
      <c r="K2900" s="33" t="s">
        <v>48</v>
      </c>
      <c r="L2900" s="31" t="s">
        <v>49</v>
      </c>
    </row>
    <row r="2901" spans="1:12">
      <c r="A2901" s="34"/>
      <c r="J2901" s="31">
        <v>1</v>
      </c>
      <c r="K2901" s="33" t="s">
        <v>50</v>
      </c>
      <c r="L2901" s="31" t="s">
        <v>51</v>
      </c>
    </row>
    <row r="2902" spans="1:12">
      <c r="A2902" s="255" t="e">
        <f>TRIM(D2910&amp;E2910&amp;D2911&amp;E2911&amp;D2912&amp;E2912&amp;D2913&amp;E2913&amp;D2914&amp;E2914&amp;D2915&amp;E2915&amp;E2916&amp;D2916&amp;" Only")</f>
        <v>#REF!</v>
      </c>
      <c r="B2902" s="255"/>
      <c r="C2902" s="255"/>
      <c r="D2902" s="255"/>
      <c r="E2902" s="35"/>
      <c r="F2902" s="36"/>
      <c r="J2902" s="31">
        <v>2</v>
      </c>
      <c r="K2902" s="33" t="s">
        <v>52</v>
      </c>
      <c r="L2902" s="31" t="s">
        <v>53</v>
      </c>
    </row>
    <row r="2903" spans="1:12">
      <c r="A2903" s="37"/>
      <c r="B2903" s="37"/>
      <c r="C2903" s="37"/>
      <c r="D2903" s="37"/>
      <c r="E2903" s="35"/>
      <c r="F2903" s="36"/>
      <c r="J2903" s="31">
        <v>3</v>
      </c>
      <c r="K2903" s="33" t="s">
        <v>54</v>
      </c>
      <c r="L2903" s="31" t="s">
        <v>55</v>
      </c>
    </row>
    <row r="2904" spans="1:12">
      <c r="A2904" s="37"/>
      <c r="B2904" s="37"/>
      <c r="C2904" s="37"/>
      <c r="D2904" s="37"/>
      <c r="J2904" s="31">
        <v>4</v>
      </c>
      <c r="K2904" s="33" t="s">
        <v>56</v>
      </c>
      <c r="L2904" s="31" t="s">
        <v>57</v>
      </c>
    </row>
    <row r="2905" spans="1:12">
      <c r="A2905" s="255" t="e">
        <f>TRIM(D2920&amp;E2920&amp;D2921&amp;E2921&amp;D2922&amp;E2922&amp;D2923&amp;E2923&amp;D2924&amp;E2924&amp;D2925&amp;E2925&amp;D2926&amp;E2926&amp;" Rupiah")</f>
        <v>#REF!</v>
      </c>
      <c r="B2905" s="255"/>
      <c r="C2905" s="255"/>
      <c r="D2905" s="255"/>
      <c r="E2905" s="35"/>
      <c r="F2905" s="36"/>
      <c r="J2905" s="31">
        <v>5</v>
      </c>
      <c r="K2905" s="33" t="s">
        <v>58</v>
      </c>
      <c r="L2905" s="31" t="s">
        <v>59</v>
      </c>
    </row>
    <row r="2906" spans="1:12">
      <c r="A2906" s="35"/>
      <c r="B2906" s="35"/>
      <c r="C2906" s="35"/>
      <c r="D2906" s="35"/>
      <c r="E2906" s="35"/>
      <c r="F2906" s="36"/>
      <c r="J2906" s="31">
        <v>6</v>
      </c>
      <c r="K2906" s="33" t="s">
        <v>60</v>
      </c>
      <c r="L2906" s="31" t="s">
        <v>61</v>
      </c>
    </row>
    <row r="2907" spans="1:12">
      <c r="J2907" s="31">
        <v>7</v>
      </c>
      <c r="K2907" s="33" t="s">
        <v>62</v>
      </c>
      <c r="L2907" s="31" t="s">
        <v>63</v>
      </c>
    </row>
    <row r="2908" spans="1:12">
      <c r="J2908" s="31">
        <v>8</v>
      </c>
      <c r="K2908" s="33" t="s">
        <v>64</v>
      </c>
      <c r="L2908" s="31" t="s">
        <v>65</v>
      </c>
    </row>
    <row r="2909" spans="1:12">
      <c r="A2909" s="38" t="s">
        <v>66</v>
      </c>
      <c r="J2909" s="31">
        <v>9</v>
      </c>
      <c r="K2909" s="33" t="s">
        <v>67</v>
      </c>
      <c r="L2909" s="31" t="s">
        <v>68</v>
      </c>
    </row>
    <row r="2910" spans="1:12">
      <c r="A2910" s="31" t="s">
        <v>69</v>
      </c>
      <c r="B2910" s="39" t="e">
        <f>TRUNC(A2898/100000000)</f>
        <v>#REF!</v>
      </c>
      <c r="C2910" s="31" t="e">
        <f>B2910*100000000</f>
        <v>#REF!</v>
      </c>
      <c r="D2910" s="31" t="e">
        <f t="shared" ref="D2910:D2916" si="280">IF(B2910&lt;1,"",VLOOKUP(B2910,$J$3:$K$102,2))</f>
        <v>#REF!</v>
      </c>
      <c r="E2910" s="31" t="e">
        <f>IF(B2910&lt;1,"",IF(B2910&gt;1," Hundreds "," Hundred "))</f>
        <v>#REF!</v>
      </c>
      <c r="J2910" s="31">
        <v>10</v>
      </c>
      <c r="K2910" s="33" t="s">
        <v>70</v>
      </c>
      <c r="L2910" s="31" t="s">
        <v>71</v>
      </c>
    </row>
    <row r="2911" spans="1:12">
      <c r="A2911" s="31" t="s">
        <v>72</v>
      </c>
      <c r="B2911" s="39" t="e">
        <f>TRUNC((A2898-C2910)/1000000)</f>
        <v>#REF!</v>
      </c>
      <c r="C2911" s="31" t="e">
        <f>B2911*1000000</f>
        <v>#REF!</v>
      </c>
      <c r="D2911" s="31" t="e">
        <f t="shared" si="280"/>
        <v>#REF!</v>
      </c>
      <c r="E2911" s="31" t="e">
        <f>IF(B2910+B2911=0,"",IF(B2911=1," Million "," Millions "))</f>
        <v>#REF!</v>
      </c>
      <c r="J2911" s="31">
        <v>11</v>
      </c>
      <c r="K2911" s="33" t="s">
        <v>73</v>
      </c>
      <c r="L2911" s="31" t="s">
        <v>74</v>
      </c>
    </row>
    <row r="2912" spans="1:12">
      <c r="A2912" s="31" t="s">
        <v>75</v>
      </c>
      <c r="B2912" s="39" t="e">
        <f>TRUNC((A2898-SUM(C2910:C2911))/100000)</f>
        <v>#REF!</v>
      </c>
      <c r="C2912" s="31" t="e">
        <f>B2912*100000</f>
        <v>#REF!</v>
      </c>
      <c r="D2912" s="31" t="e">
        <f t="shared" si="280"/>
        <v>#REF!</v>
      </c>
      <c r="E2912" s="31" t="e">
        <f>IF(B2912&lt;1,"",IF(B2912&gt;1," Hundreds "," Hundred "))</f>
        <v>#REF!</v>
      </c>
      <c r="J2912" s="31">
        <v>12</v>
      </c>
      <c r="K2912" s="33" t="s">
        <v>76</v>
      </c>
      <c r="L2912" s="31" t="str">
        <f t="shared" ref="L2912:L2919" si="281">L2902&amp;" Belas"</f>
        <v>Dua Belas</v>
      </c>
    </row>
    <row r="2913" spans="1:12">
      <c r="A2913" s="33" t="s">
        <v>77</v>
      </c>
      <c r="B2913" s="40" t="e">
        <f>TRUNC((A2898-SUM(C2910:C2912))/1000)</f>
        <v>#REF!</v>
      </c>
      <c r="C2913" s="31" t="e">
        <f>B2913*1000</f>
        <v>#REF!</v>
      </c>
      <c r="D2913" s="31" t="e">
        <f t="shared" si="280"/>
        <v>#REF!</v>
      </c>
      <c r="E2913" s="31" t="e">
        <f>IF(B2912+B2913=0,"",IF(B2913=1," Thousand "," Thousands "))</f>
        <v>#REF!</v>
      </c>
      <c r="J2913" s="31">
        <v>13</v>
      </c>
      <c r="K2913" s="33" t="s">
        <v>78</v>
      </c>
      <c r="L2913" s="31" t="str">
        <f t="shared" si="281"/>
        <v>Tiga Belas</v>
      </c>
    </row>
    <row r="2914" spans="1:12">
      <c r="A2914" s="33" t="s">
        <v>79</v>
      </c>
      <c r="B2914" s="40" t="e">
        <f>TRUNC((A2898-SUM(C2910:C2913))/100)</f>
        <v>#REF!</v>
      </c>
      <c r="C2914" s="31" t="e">
        <f>B2914*100</f>
        <v>#REF!</v>
      </c>
      <c r="D2914" s="31" t="e">
        <f t="shared" si="280"/>
        <v>#REF!</v>
      </c>
      <c r="E2914" s="31" t="e">
        <f>IF(B2914&lt;1,"",IF(B2914&gt;1," Hundreds "," Hundred "))</f>
        <v>#REF!</v>
      </c>
      <c r="J2914" s="31">
        <v>14</v>
      </c>
      <c r="K2914" s="33" t="s">
        <v>80</v>
      </c>
      <c r="L2914" s="31" t="str">
        <f t="shared" si="281"/>
        <v>Empat Belas</v>
      </c>
    </row>
    <row r="2915" spans="1:12">
      <c r="A2915" s="33" t="s">
        <v>81</v>
      </c>
      <c r="B2915" s="41" t="e">
        <f>TRUNC((A2898-SUM(C2910:C2914)))</f>
        <v>#REF!</v>
      </c>
      <c r="C2915" s="42" t="e">
        <f>B2915</f>
        <v>#REF!</v>
      </c>
      <c r="D2915" s="31" t="e">
        <f t="shared" si="280"/>
        <v>#REF!</v>
      </c>
      <c r="E2915" s="31" t="e">
        <f>IF(SUM(C2910:C2915)&lt;1,"",IF(B2916&lt;1,""," And "))</f>
        <v>#REF!</v>
      </c>
      <c r="J2915" s="31">
        <v>15</v>
      </c>
      <c r="K2915" s="33" t="s">
        <v>82</v>
      </c>
      <c r="L2915" s="31" t="str">
        <f t="shared" si="281"/>
        <v>Lima Belas</v>
      </c>
    </row>
    <row r="2916" spans="1:12">
      <c r="A2916" s="33" t="s">
        <v>83</v>
      </c>
      <c r="B2916" s="40" t="e">
        <f>ROUND(A2898-SUM(C2910:C2915),2)*100</f>
        <v>#REF!</v>
      </c>
      <c r="D2916" s="43" t="e">
        <f t="shared" si="280"/>
        <v>#REF!</v>
      </c>
      <c r="E2916" s="31" t="e">
        <f>IF(B2916&lt;1,"",IF(B2916=1," Cent "," Cents "))</f>
        <v>#REF!</v>
      </c>
      <c r="J2916" s="31">
        <v>16</v>
      </c>
      <c r="K2916" s="33" t="s">
        <v>84</v>
      </c>
      <c r="L2916" s="31" t="str">
        <f t="shared" si="281"/>
        <v>Enam Belas</v>
      </c>
    </row>
    <row r="2917" spans="1:12">
      <c r="J2917" s="31">
        <v>17</v>
      </c>
      <c r="K2917" s="33" t="s">
        <v>85</v>
      </c>
      <c r="L2917" s="31" t="str">
        <f t="shared" si="281"/>
        <v>Tujuh Belas</v>
      </c>
    </row>
    <row r="2918" spans="1:12">
      <c r="A2918" s="44"/>
      <c r="J2918" s="31">
        <v>18</v>
      </c>
      <c r="K2918" s="33" t="s">
        <v>86</v>
      </c>
      <c r="L2918" s="31" t="str">
        <f t="shared" si="281"/>
        <v>Delapan Belas</v>
      </c>
    </row>
    <row r="2919" spans="1:12">
      <c r="A2919" s="38" t="s">
        <v>87</v>
      </c>
      <c r="J2919" s="31">
        <v>19</v>
      </c>
      <c r="K2919" s="33" t="s">
        <v>88</v>
      </c>
      <c r="L2919" s="31" t="str">
        <f t="shared" si="281"/>
        <v>Sembilan Belas</v>
      </c>
    </row>
    <row r="2920" spans="1:12">
      <c r="A2920" s="31" t="s">
        <v>69</v>
      </c>
      <c r="B2920" s="39" t="e">
        <f>TRUNC(A2898/100000000)</f>
        <v>#REF!</v>
      </c>
      <c r="C2920" s="31" t="e">
        <f>B2920*100000000</f>
        <v>#REF!</v>
      </c>
      <c r="D2920" s="31" t="e">
        <f>IF(B2920&lt;1,"",IF(B2920=1,"",VLOOKUP(B2920,$J$3:$L$102,3)))</f>
        <v>#REF!</v>
      </c>
      <c r="E2920" s="31" t="e">
        <f>IF(B2920&lt;1,"",IF(B2920=1,"Seratus "," Ratus "))</f>
        <v>#REF!</v>
      </c>
      <c r="J2920" s="31">
        <v>20</v>
      </c>
      <c r="K2920" s="33" t="s">
        <v>89</v>
      </c>
      <c r="L2920" s="31" t="s">
        <v>90</v>
      </c>
    </row>
    <row r="2921" spans="1:12">
      <c r="A2921" s="31" t="s">
        <v>72</v>
      </c>
      <c r="B2921" s="39" t="e">
        <f>TRUNC((A2898-C2920)/1000000)</f>
        <v>#REF!</v>
      </c>
      <c r="C2921" s="31" t="e">
        <f>B2921*1000000</f>
        <v>#REF!</v>
      </c>
      <c r="D2921" s="31" t="e">
        <f>IF(B2921&lt;1,"",VLOOKUP(B2921,$J$3:$L$102,3))</f>
        <v>#REF!</v>
      </c>
      <c r="E2921" s="31" t="e">
        <f>IF(B2920+B2921=0,""," Juta ")</f>
        <v>#REF!</v>
      </c>
      <c r="J2921" s="31">
        <v>21</v>
      </c>
      <c r="K2921" s="33" t="s">
        <v>91</v>
      </c>
      <c r="L2921" s="31" t="str">
        <f t="shared" ref="L2921:L2929" si="282">$L$23&amp;" "&amp;L2901</f>
        <v>Dua Puluh Satu</v>
      </c>
    </row>
    <row r="2922" spans="1:12">
      <c r="A2922" s="31" t="s">
        <v>75</v>
      </c>
      <c r="B2922" s="39" t="e">
        <f>TRUNC((A2898-SUM(C2920:C2921))/100000)</f>
        <v>#REF!</v>
      </c>
      <c r="C2922" s="31" t="e">
        <f>B2922*100000</f>
        <v>#REF!</v>
      </c>
      <c r="D2922" s="31" t="e">
        <f>IF(B2922&lt;1,"",IF(B2922=1,"",VLOOKUP(B2922,$J$3:$L$102,3)))</f>
        <v>#REF!</v>
      </c>
      <c r="E2922" s="31" t="e">
        <f>IF(B2922&lt;1,"",IF(B2922=1," Seratus "," Ratus "))</f>
        <v>#REF!</v>
      </c>
      <c r="J2922" s="31">
        <v>22</v>
      </c>
      <c r="K2922" s="33" t="s">
        <v>92</v>
      </c>
      <c r="L2922" s="31" t="str">
        <f t="shared" si="282"/>
        <v>Dua Puluh Dua</v>
      </c>
    </row>
    <row r="2923" spans="1:12">
      <c r="A2923" s="33" t="s">
        <v>77</v>
      </c>
      <c r="B2923" s="40" t="e">
        <f>TRUNC((A2898-SUM(C2920:C2922))/1000)</f>
        <v>#REF!</v>
      </c>
      <c r="C2923" s="31" t="e">
        <f>B2923*1000</f>
        <v>#REF!</v>
      </c>
      <c r="D2923" s="31" t="e">
        <f>IF(B2923&lt;1,"",IF(B2923=1,"",VLOOKUP(B2923,$J$3:$L$102,3)))</f>
        <v>#REF!</v>
      </c>
      <c r="E2923" s="31" t="e">
        <f>IF(B2922+B2923&lt;1,"",IF(B2923=1," Seribu "," Ribu "))</f>
        <v>#REF!</v>
      </c>
      <c r="J2923" s="31">
        <v>23</v>
      </c>
      <c r="K2923" s="33" t="s">
        <v>93</v>
      </c>
      <c r="L2923" s="31" t="str">
        <f t="shared" si="282"/>
        <v>Dua Puluh Tiga</v>
      </c>
    </row>
    <row r="2924" spans="1:12">
      <c r="A2924" s="33" t="s">
        <v>79</v>
      </c>
      <c r="B2924" s="40" t="e">
        <f>TRUNC((A2898-SUM(C2920:C2923))/100)</f>
        <v>#REF!</v>
      </c>
      <c r="C2924" s="31" t="e">
        <f>B2924*100</f>
        <v>#REF!</v>
      </c>
      <c r="D2924" s="31" t="e">
        <f>IF(B2924&lt;1,"",IF(B2924=1,"",VLOOKUP(B2924,$J$3:$L$102,3)))</f>
        <v>#REF!</v>
      </c>
      <c r="E2924" s="31" t="e">
        <f>IF(B2924&lt;1,"",IF(B2924=1," Seratus "," Ratus "))</f>
        <v>#REF!</v>
      </c>
      <c r="J2924" s="31">
        <v>24</v>
      </c>
      <c r="K2924" s="33" t="s">
        <v>94</v>
      </c>
      <c r="L2924" s="31" t="str">
        <f t="shared" si="282"/>
        <v>Dua Puluh Empat</v>
      </c>
    </row>
    <row r="2925" spans="1:12">
      <c r="A2925" s="33" t="s">
        <v>81</v>
      </c>
      <c r="B2925" s="41" t="e">
        <f>TRUNC((A2898-SUM(C2920:C2924)))</f>
        <v>#REF!</v>
      </c>
      <c r="C2925" s="42" t="e">
        <f>B2925</f>
        <v>#REF!</v>
      </c>
      <c r="D2925" s="31" t="e">
        <f>IF(B2925&lt;1,"",VLOOKUP(B2925,$J$3:$L$102,3))</f>
        <v>#REF!</v>
      </c>
      <c r="E2925" s="31" t="e">
        <f>IF(SUM(C2920:C2925)&lt;1,"",IF(B2926&lt;1,""," Dan "))</f>
        <v>#REF!</v>
      </c>
      <c r="J2925" s="31">
        <v>25</v>
      </c>
      <c r="K2925" s="33" t="s">
        <v>95</v>
      </c>
      <c r="L2925" s="31" t="str">
        <f t="shared" si="282"/>
        <v>Dua Puluh Lima</v>
      </c>
    </row>
    <row r="2926" spans="1:12">
      <c r="A2926" s="33" t="s">
        <v>83</v>
      </c>
      <c r="B2926" s="40" t="e">
        <f>ROUND(A2898-SUM(C2920:C2925),2)*100</f>
        <v>#REF!</v>
      </c>
      <c r="D2926" s="31" t="e">
        <f>IF(B2926&lt;1,"",VLOOKUP(B2926,$J$3:$L$102,3))</f>
        <v>#REF!</v>
      </c>
      <c r="E2926" s="31" t="e">
        <f>IF(B2926&lt;1,""," Sen ")</f>
        <v>#REF!</v>
      </c>
      <c r="J2926" s="31">
        <v>26</v>
      </c>
      <c r="K2926" s="33" t="s">
        <v>96</v>
      </c>
      <c r="L2926" s="31" t="str">
        <f t="shared" si="282"/>
        <v>Dua Puluh Enam</v>
      </c>
    </row>
    <row r="2927" spans="1:12">
      <c r="J2927" s="31">
        <v>27</v>
      </c>
      <c r="K2927" s="33" t="s">
        <v>97</v>
      </c>
      <c r="L2927" s="31" t="str">
        <f t="shared" si="282"/>
        <v>Dua Puluh Tujuh</v>
      </c>
    </row>
    <row r="2928" spans="1:12">
      <c r="J2928" s="31">
        <v>28</v>
      </c>
      <c r="K2928" s="33" t="s">
        <v>98</v>
      </c>
      <c r="L2928" s="31" t="str">
        <f t="shared" si="282"/>
        <v>Dua Puluh Delapan</v>
      </c>
    </row>
    <row r="2929" spans="1:12">
      <c r="J2929" s="31">
        <v>29</v>
      </c>
      <c r="K2929" s="33" t="s">
        <v>99</v>
      </c>
      <c r="L2929" s="31" t="str">
        <f t="shared" si="282"/>
        <v>Dua Puluh Sembilan</v>
      </c>
    </row>
    <row r="2930" spans="1:12">
      <c r="J2930" s="31">
        <v>30</v>
      </c>
      <c r="K2930" s="33" t="s">
        <v>100</v>
      </c>
      <c r="L2930" s="31" t="s">
        <v>101</v>
      </c>
    </row>
    <row r="2931" spans="1:12">
      <c r="J2931" s="31">
        <v>31</v>
      </c>
      <c r="K2931" s="33" t="s">
        <v>102</v>
      </c>
      <c r="L2931" s="31" t="str">
        <f t="shared" ref="L2931:L2939" si="283">$L$33&amp;" "&amp;L2901</f>
        <v>Tiga Puluh Satu</v>
      </c>
    </row>
    <row r="2932" spans="1:12">
      <c r="J2932" s="31">
        <v>32</v>
      </c>
      <c r="K2932" s="33" t="s">
        <v>103</v>
      </c>
      <c r="L2932" s="31" t="str">
        <f t="shared" si="283"/>
        <v>Tiga Puluh Dua</v>
      </c>
    </row>
    <row r="2933" spans="1:12">
      <c r="J2933" s="31">
        <v>33</v>
      </c>
      <c r="K2933" s="33" t="s">
        <v>104</v>
      </c>
      <c r="L2933" s="31" t="str">
        <f t="shared" si="283"/>
        <v>Tiga Puluh Tiga</v>
      </c>
    </row>
    <row r="2934" spans="1:12">
      <c r="J2934" s="31">
        <v>34</v>
      </c>
      <c r="K2934" s="33" t="s">
        <v>105</v>
      </c>
      <c r="L2934" s="31" t="str">
        <f t="shared" si="283"/>
        <v>Tiga Puluh Empat</v>
      </c>
    </row>
    <row r="2935" spans="1:12">
      <c r="J2935" s="31">
        <v>35</v>
      </c>
      <c r="K2935" s="33" t="s">
        <v>106</v>
      </c>
      <c r="L2935" s="31" t="str">
        <f t="shared" si="283"/>
        <v>Tiga Puluh Lima</v>
      </c>
    </row>
    <row r="2936" spans="1:12">
      <c r="J2936" s="31">
        <v>36</v>
      </c>
      <c r="K2936" s="33" t="s">
        <v>107</v>
      </c>
      <c r="L2936" s="31" t="str">
        <f t="shared" si="283"/>
        <v>Tiga Puluh Enam</v>
      </c>
    </row>
    <row r="2937" spans="1:12">
      <c r="J2937" s="31">
        <v>37</v>
      </c>
      <c r="K2937" s="33" t="s">
        <v>108</v>
      </c>
      <c r="L2937" s="31" t="str">
        <f t="shared" si="283"/>
        <v>Tiga Puluh Tujuh</v>
      </c>
    </row>
    <row r="2938" spans="1:12">
      <c r="J2938" s="31">
        <v>38</v>
      </c>
      <c r="K2938" s="33" t="s">
        <v>109</v>
      </c>
      <c r="L2938" s="31" t="str">
        <f t="shared" si="283"/>
        <v>Tiga Puluh Delapan</v>
      </c>
    </row>
    <row r="2939" spans="1:12">
      <c r="J2939" s="31">
        <v>39</v>
      </c>
      <c r="K2939" s="33" t="s">
        <v>110</v>
      </c>
      <c r="L2939" s="31" t="str">
        <f t="shared" si="283"/>
        <v>Tiga Puluh Sembilan</v>
      </c>
    </row>
    <row r="2940" spans="1:12">
      <c r="B2940" s="35"/>
      <c r="C2940" s="35"/>
      <c r="D2940" s="35"/>
      <c r="J2940" s="31">
        <v>40</v>
      </c>
      <c r="K2940" s="33" t="s">
        <v>111</v>
      </c>
      <c r="L2940" s="31" t="s">
        <v>112</v>
      </c>
    </row>
    <row r="2941" spans="1:12">
      <c r="A2941" s="35"/>
      <c r="B2941" s="35"/>
      <c r="C2941" s="35"/>
      <c r="D2941" s="35"/>
      <c r="J2941" s="31">
        <v>41</v>
      </c>
      <c r="K2941" s="33" t="s">
        <v>113</v>
      </c>
      <c r="L2941" s="31" t="str">
        <f t="shared" ref="L2941:L2949" si="284">$L$43&amp;" "&amp;L2901</f>
        <v>Empat Puluh Satu</v>
      </c>
    </row>
    <row r="2942" spans="1:12">
      <c r="J2942" s="31">
        <v>42</v>
      </c>
      <c r="K2942" s="33" t="s">
        <v>114</v>
      </c>
      <c r="L2942" s="31" t="str">
        <f t="shared" si="284"/>
        <v>Empat Puluh Dua</v>
      </c>
    </row>
    <row r="2943" spans="1:12">
      <c r="A2943" s="38"/>
      <c r="J2943" s="31">
        <v>43</v>
      </c>
      <c r="K2943" s="33" t="s">
        <v>115</v>
      </c>
      <c r="L2943" s="31" t="str">
        <f t="shared" si="284"/>
        <v>Empat Puluh Tiga</v>
      </c>
    </row>
    <row r="2944" spans="1:12">
      <c r="J2944" s="31">
        <v>44</v>
      </c>
      <c r="K2944" s="33" t="s">
        <v>116</v>
      </c>
      <c r="L2944" s="31" t="str">
        <f t="shared" si="284"/>
        <v>Empat Puluh Empat</v>
      </c>
    </row>
    <row r="2945" spans="10:12">
      <c r="J2945" s="31">
        <v>45</v>
      </c>
      <c r="K2945" s="33" t="s">
        <v>117</v>
      </c>
      <c r="L2945" s="31" t="str">
        <f t="shared" si="284"/>
        <v>Empat Puluh Lima</v>
      </c>
    </row>
    <row r="2946" spans="10:12">
      <c r="J2946" s="31">
        <v>46</v>
      </c>
      <c r="K2946" s="33" t="s">
        <v>118</v>
      </c>
      <c r="L2946" s="31" t="str">
        <f t="shared" si="284"/>
        <v>Empat Puluh Enam</v>
      </c>
    </row>
    <row r="2947" spans="10:12">
      <c r="J2947" s="31">
        <v>47</v>
      </c>
      <c r="K2947" s="33" t="s">
        <v>119</v>
      </c>
      <c r="L2947" s="31" t="str">
        <f t="shared" si="284"/>
        <v>Empat Puluh Tujuh</v>
      </c>
    </row>
    <row r="2948" spans="10:12">
      <c r="J2948" s="31">
        <v>48</v>
      </c>
      <c r="K2948" s="33" t="s">
        <v>120</v>
      </c>
      <c r="L2948" s="31" t="str">
        <f t="shared" si="284"/>
        <v>Empat Puluh Delapan</v>
      </c>
    </row>
    <row r="2949" spans="10:12">
      <c r="J2949" s="31">
        <v>49</v>
      </c>
      <c r="K2949" s="33" t="s">
        <v>121</v>
      </c>
      <c r="L2949" s="31" t="str">
        <f t="shared" si="284"/>
        <v>Empat Puluh Sembilan</v>
      </c>
    </row>
    <row r="2950" spans="10:12">
      <c r="J2950" s="31">
        <v>50</v>
      </c>
      <c r="K2950" s="33" t="s">
        <v>122</v>
      </c>
      <c r="L2950" s="31" t="s">
        <v>123</v>
      </c>
    </row>
    <row r="2951" spans="10:12">
      <c r="J2951" s="31">
        <v>51</v>
      </c>
      <c r="K2951" s="33" t="s">
        <v>124</v>
      </c>
      <c r="L2951" s="31" t="str">
        <f t="shared" ref="L2951:L2959" si="285">$L$53&amp;" "&amp;L2901</f>
        <v>Lima Puluh Satu</v>
      </c>
    </row>
    <row r="2952" spans="10:12">
      <c r="J2952" s="31">
        <v>52</v>
      </c>
      <c r="K2952" s="33" t="s">
        <v>125</v>
      </c>
      <c r="L2952" s="31" t="str">
        <f t="shared" si="285"/>
        <v>Lima Puluh Dua</v>
      </c>
    </row>
    <row r="2953" spans="10:12">
      <c r="J2953" s="31">
        <v>53</v>
      </c>
      <c r="K2953" s="33" t="s">
        <v>126</v>
      </c>
      <c r="L2953" s="31" t="str">
        <f t="shared" si="285"/>
        <v>Lima Puluh Tiga</v>
      </c>
    </row>
    <row r="2954" spans="10:12">
      <c r="J2954" s="31">
        <v>54</v>
      </c>
      <c r="K2954" s="33" t="s">
        <v>127</v>
      </c>
      <c r="L2954" s="31" t="str">
        <f t="shared" si="285"/>
        <v>Lima Puluh Empat</v>
      </c>
    </row>
    <row r="2955" spans="10:12">
      <c r="J2955" s="31">
        <v>55</v>
      </c>
      <c r="K2955" s="33" t="s">
        <v>128</v>
      </c>
      <c r="L2955" s="31" t="str">
        <f t="shared" si="285"/>
        <v>Lima Puluh Lima</v>
      </c>
    </row>
    <row r="2956" spans="10:12">
      <c r="J2956" s="31">
        <v>56</v>
      </c>
      <c r="K2956" s="33" t="s">
        <v>129</v>
      </c>
      <c r="L2956" s="31" t="str">
        <f t="shared" si="285"/>
        <v>Lima Puluh Enam</v>
      </c>
    </row>
    <row r="2957" spans="10:12">
      <c r="J2957" s="31">
        <v>57</v>
      </c>
      <c r="K2957" s="33" t="s">
        <v>130</v>
      </c>
      <c r="L2957" s="31" t="str">
        <f t="shared" si="285"/>
        <v>Lima Puluh Tujuh</v>
      </c>
    </row>
    <row r="2958" spans="10:12">
      <c r="J2958" s="31">
        <v>58</v>
      </c>
      <c r="K2958" s="33" t="s">
        <v>131</v>
      </c>
      <c r="L2958" s="31" t="str">
        <f t="shared" si="285"/>
        <v>Lima Puluh Delapan</v>
      </c>
    </row>
    <row r="2959" spans="10:12">
      <c r="J2959" s="31">
        <v>59</v>
      </c>
      <c r="K2959" s="33" t="s">
        <v>132</v>
      </c>
      <c r="L2959" s="31" t="str">
        <f t="shared" si="285"/>
        <v>Lima Puluh Sembilan</v>
      </c>
    </row>
    <row r="2960" spans="10:12">
      <c r="J2960" s="31">
        <v>60</v>
      </c>
      <c r="K2960" s="33" t="s">
        <v>133</v>
      </c>
      <c r="L2960" s="31" t="s">
        <v>134</v>
      </c>
    </row>
    <row r="2961" spans="10:12">
      <c r="J2961" s="31">
        <v>61</v>
      </c>
      <c r="K2961" s="33" t="s">
        <v>135</v>
      </c>
      <c r="L2961" s="31" t="str">
        <f t="shared" ref="L2961:L2969" si="286">$L$63&amp;" "&amp;L2901</f>
        <v>Enam Puluh Satu</v>
      </c>
    </row>
    <row r="2962" spans="10:12">
      <c r="J2962" s="31">
        <v>62</v>
      </c>
      <c r="K2962" s="33" t="s">
        <v>136</v>
      </c>
      <c r="L2962" s="31" t="str">
        <f t="shared" si="286"/>
        <v>Enam Puluh Dua</v>
      </c>
    </row>
    <row r="2963" spans="10:12">
      <c r="J2963" s="31">
        <v>63</v>
      </c>
      <c r="K2963" s="33" t="s">
        <v>137</v>
      </c>
      <c r="L2963" s="31" t="str">
        <f t="shared" si="286"/>
        <v>Enam Puluh Tiga</v>
      </c>
    </row>
    <row r="2964" spans="10:12">
      <c r="J2964" s="31">
        <v>64</v>
      </c>
      <c r="K2964" s="33" t="s">
        <v>138</v>
      </c>
      <c r="L2964" s="31" t="str">
        <f t="shared" si="286"/>
        <v>Enam Puluh Empat</v>
      </c>
    </row>
    <row r="2965" spans="10:12">
      <c r="J2965" s="31">
        <v>65</v>
      </c>
      <c r="K2965" s="33" t="s">
        <v>139</v>
      </c>
      <c r="L2965" s="31" t="str">
        <f t="shared" si="286"/>
        <v>Enam Puluh Lima</v>
      </c>
    </row>
    <row r="2966" spans="10:12">
      <c r="J2966" s="31">
        <v>66</v>
      </c>
      <c r="K2966" s="33" t="s">
        <v>140</v>
      </c>
      <c r="L2966" s="31" t="str">
        <f t="shared" si="286"/>
        <v>Enam Puluh Enam</v>
      </c>
    </row>
    <row r="2967" spans="10:12">
      <c r="J2967" s="31">
        <v>67</v>
      </c>
      <c r="K2967" s="33" t="s">
        <v>141</v>
      </c>
      <c r="L2967" s="31" t="str">
        <f t="shared" si="286"/>
        <v>Enam Puluh Tujuh</v>
      </c>
    </row>
    <row r="2968" spans="10:12">
      <c r="J2968" s="31">
        <v>68</v>
      </c>
      <c r="K2968" s="33" t="s">
        <v>142</v>
      </c>
      <c r="L2968" s="31" t="str">
        <f t="shared" si="286"/>
        <v>Enam Puluh Delapan</v>
      </c>
    </row>
    <row r="2969" spans="10:12">
      <c r="J2969" s="31">
        <v>69</v>
      </c>
      <c r="K2969" s="33" t="s">
        <v>143</v>
      </c>
      <c r="L2969" s="31" t="str">
        <f t="shared" si="286"/>
        <v>Enam Puluh Sembilan</v>
      </c>
    </row>
    <row r="2970" spans="10:12">
      <c r="J2970" s="31">
        <v>70</v>
      </c>
      <c r="K2970" s="33" t="s">
        <v>144</v>
      </c>
      <c r="L2970" s="31" t="s">
        <v>145</v>
      </c>
    </row>
    <row r="2971" spans="10:12">
      <c r="J2971" s="31">
        <v>71</v>
      </c>
      <c r="K2971" s="33" t="s">
        <v>146</v>
      </c>
      <c r="L2971" s="31" t="str">
        <f t="shared" ref="L2971:L2979" si="287">$L$73&amp;" "&amp;L2901</f>
        <v>Tujuh Puluh Satu</v>
      </c>
    </row>
    <row r="2972" spans="10:12">
      <c r="J2972" s="31">
        <v>72</v>
      </c>
      <c r="K2972" s="33" t="s">
        <v>147</v>
      </c>
      <c r="L2972" s="31" t="str">
        <f t="shared" si="287"/>
        <v>Tujuh Puluh Dua</v>
      </c>
    </row>
    <row r="2973" spans="10:12">
      <c r="J2973" s="31">
        <v>73</v>
      </c>
      <c r="K2973" s="33" t="s">
        <v>148</v>
      </c>
      <c r="L2973" s="31" t="str">
        <f t="shared" si="287"/>
        <v>Tujuh Puluh Tiga</v>
      </c>
    </row>
    <row r="2974" spans="10:12">
      <c r="J2974" s="31">
        <v>74</v>
      </c>
      <c r="K2974" s="33" t="s">
        <v>149</v>
      </c>
      <c r="L2974" s="31" t="str">
        <f t="shared" si="287"/>
        <v>Tujuh Puluh Empat</v>
      </c>
    </row>
    <row r="2975" spans="10:12">
      <c r="J2975" s="31">
        <v>75</v>
      </c>
      <c r="K2975" s="33" t="s">
        <v>150</v>
      </c>
      <c r="L2975" s="31" t="str">
        <f t="shared" si="287"/>
        <v>Tujuh Puluh Lima</v>
      </c>
    </row>
    <row r="2976" spans="10:12">
      <c r="J2976" s="31">
        <v>76</v>
      </c>
      <c r="K2976" s="33" t="s">
        <v>151</v>
      </c>
      <c r="L2976" s="31" t="str">
        <f t="shared" si="287"/>
        <v>Tujuh Puluh Enam</v>
      </c>
    </row>
    <row r="2977" spans="10:12">
      <c r="J2977" s="31">
        <v>77</v>
      </c>
      <c r="K2977" s="33" t="s">
        <v>152</v>
      </c>
      <c r="L2977" s="31" t="str">
        <f t="shared" si="287"/>
        <v>Tujuh Puluh Tujuh</v>
      </c>
    </row>
    <row r="2978" spans="10:12">
      <c r="J2978" s="31">
        <v>78</v>
      </c>
      <c r="K2978" s="33" t="s">
        <v>153</v>
      </c>
      <c r="L2978" s="31" t="str">
        <f t="shared" si="287"/>
        <v>Tujuh Puluh Delapan</v>
      </c>
    </row>
    <row r="2979" spans="10:12">
      <c r="J2979" s="31">
        <v>79</v>
      </c>
      <c r="K2979" s="33" t="s">
        <v>154</v>
      </c>
      <c r="L2979" s="31" t="str">
        <f t="shared" si="287"/>
        <v>Tujuh Puluh Sembilan</v>
      </c>
    </row>
    <row r="2980" spans="10:12">
      <c r="J2980" s="31">
        <v>80</v>
      </c>
      <c r="K2980" s="33" t="s">
        <v>155</v>
      </c>
      <c r="L2980" s="31" t="s">
        <v>156</v>
      </c>
    </row>
    <row r="2981" spans="10:12">
      <c r="J2981" s="31">
        <v>81</v>
      </c>
      <c r="K2981" s="33" t="s">
        <v>157</v>
      </c>
      <c r="L2981" s="31" t="str">
        <f t="shared" ref="L2981:L2989" si="288">$L$83&amp;" "&amp;L2901</f>
        <v>Delapan Puluh Satu</v>
      </c>
    </row>
    <row r="2982" spans="10:12">
      <c r="J2982" s="31">
        <v>82</v>
      </c>
      <c r="K2982" s="33" t="s">
        <v>158</v>
      </c>
      <c r="L2982" s="31" t="str">
        <f t="shared" si="288"/>
        <v>Delapan Puluh Dua</v>
      </c>
    </row>
    <row r="2983" spans="10:12">
      <c r="J2983" s="31">
        <v>83</v>
      </c>
      <c r="K2983" s="33" t="s">
        <v>159</v>
      </c>
      <c r="L2983" s="31" t="str">
        <f t="shared" si="288"/>
        <v>Delapan Puluh Tiga</v>
      </c>
    </row>
    <row r="2984" spans="10:12">
      <c r="J2984" s="31">
        <v>84</v>
      </c>
      <c r="K2984" s="33" t="s">
        <v>160</v>
      </c>
      <c r="L2984" s="31" t="str">
        <f t="shared" si="288"/>
        <v>Delapan Puluh Empat</v>
      </c>
    </row>
    <row r="2985" spans="10:12">
      <c r="J2985" s="31">
        <v>85</v>
      </c>
      <c r="K2985" s="33" t="s">
        <v>161</v>
      </c>
      <c r="L2985" s="31" t="str">
        <f t="shared" si="288"/>
        <v>Delapan Puluh Lima</v>
      </c>
    </row>
    <row r="2986" spans="10:12">
      <c r="J2986" s="31">
        <v>86</v>
      </c>
      <c r="K2986" s="33" t="s">
        <v>162</v>
      </c>
      <c r="L2986" s="31" t="str">
        <f t="shared" si="288"/>
        <v>Delapan Puluh Enam</v>
      </c>
    </row>
    <row r="2987" spans="10:12">
      <c r="J2987" s="31">
        <v>87</v>
      </c>
      <c r="K2987" s="33" t="s">
        <v>163</v>
      </c>
      <c r="L2987" s="31" t="str">
        <f t="shared" si="288"/>
        <v>Delapan Puluh Tujuh</v>
      </c>
    </row>
    <row r="2988" spans="10:12">
      <c r="J2988" s="31">
        <v>88</v>
      </c>
      <c r="K2988" s="33" t="s">
        <v>164</v>
      </c>
      <c r="L2988" s="31" t="str">
        <f t="shared" si="288"/>
        <v>Delapan Puluh Delapan</v>
      </c>
    </row>
    <row r="2989" spans="10:12">
      <c r="J2989" s="31">
        <v>89</v>
      </c>
      <c r="K2989" s="33" t="s">
        <v>165</v>
      </c>
      <c r="L2989" s="31" t="str">
        <f t="shared" si="288"/>
        <v>Delapan Puluh Sembilan</v>
      </c>
    </row>
    <row r="2990" spans="10:12">
      <c r="J2990" s="31">
        <v>90</v>
      </c>
      <c r="K2990" s="33" t="s">
        <v>166</v>
      </c>
      <c r="L2990" s="31" t="s">
        <v>167</v>
      </c>
    </row>
    <row r="2991" spans="10:12">
      <c r="J2991" s="31">
        <v>91</v>
      </c>
      <c r="K2991" s="33" t="s">
        <v>168</v>
      </c>
      <c r="L2991" s="31" t="str">
        <f t="shared" ref="L2991:L2999" si="289">$L$93&amp;" "&amp;L2901</f>
        <v>Sembilan Puluh Satu</v>
      </c>
    </row>
    <row r="2992" spans="10:12">
      <c r="J2992" s="31">
        <v>92</v>
      </c>
      <c r="K2992" s="33" t="s">
        <v>169</v>
      </c>
      <c r="L2992" s="31" t="str">
        <f t="shared" si="289"/>
        <v>Sembilan Puluh Dua</v>
      </c>
    </row>
    <row r="2993" spans="1:12">
      <c r="J2993" s="31">
        <v>93</v>
      </c>
      <c r="K2993" s="33" t="s">
        <v>170</v>
      </c>
      <c r="L2993" s="31" t="str">
        <f t="shared" si="289"/>
        <v>Sembilan Puluh Tiga</v>
      </c>
    </row>
    <row r="2994" spans="1:12">
      <c r="J2994" s="31">
        <v>94</v>
      </c>
      <c r="K2994" s="33" t="s">
        <v>171</v>
      </c>
      <c r="L2994" s="31" t="str">
        <f t="shared" si="289"/>
        <v>Sembilan Puluh Empat</v>
      </c>
    </row>
    <row r="2995" spans="1:12">
      <c r="J2995" s="31">
        <v>95</v>
      </c>
      <c r="K2995" s="33" t="s">
        <v>172</v>
      </c>
      <c r="L2995" s="31" t="str">
        <f t="shared" si="289"/>
        <v>Sembilan Puluh Lima</v>
      </c>
    </row>
    <row r="2996" spans="1:12">
      <c r="J2996" s="31">
        <v>96</v>
      </c>
      <c r="K2996" s="33" t="s">
        <v>173</v>
      </c>
      <c r="L2996" s="31" t="str">
        <f t="shared" si="289"/>
        <v>Sembilan Puluh Enam</v>
      </c>
    </row>
    <row r="2997" spans="1:12">
      <c r="J2997" s="31">
        <v>97</v>
      </c>
      <c r="K2997" s="33" t="s">
        <v>174</v>
      </c>
      <c r="L2997" s="31" t="str">
        <f t="shared" si="289"/>
        <v>Sembilan Puluh Tujuh</v>
      </c>
    </row>
    <row r="2998" spans="1:12">
      <c r="J2998" s="31">
        <v>98</v>
      </c>
      <c r="K2998" s="33" t="s">
        <v>175</v>
      </c>
      <c r="L2998" s="31" t="str">
        <f t="shared" si="289"/>
        <v>Sembilan Puluh Delapan</v>
      </c>
    </row>
    <row r="2999" spans="1:12">
      <c r="J2999" s="31">
        <v>99</v>
      </c>
      <c r="K2999" s="33" t="s">
        <v>176</v>
      </c>
      <c r="L2999" s="31" t="str">
        <f t="shared" si="289"/>
        <v>Sembilan Puluh Sembilan</v>
      </c>
    </row>
    <row r="3002" spans="1:12">
      <c r="A3002" s="30" t="e">
        <f>#REF!</f>
        <v>#REF!</v>
      </c>
      <c r="C3002" s="31" t="s">
        <v>228</v>
      </c>
    </row>
    <row r="3003" spans="1:12">
      <c r="A3003" s="32"/>
    </row>
    <row r="3004" spans="1:12">
      <c r="J3004" s="31">
        <v>0</v>
      </c>
      <c r="K3004" s="33" t="s">
        <v>48</v>
      </c>
      <c r="L3004" s="31" t="s">
        <v>49</v>
      </c>
    </row>
    <row r="3005" spans="1:12">
      <c r="A3005" s="34"/>
      <c r="J3005" s="31">
        <v>1</v>
      </c>
      <c r="K3005" s="33" t="s">
        <v>50</v>
      </c>
      <c r="L3005" s="31" t="s">
        <v>51</v>
      </c>
    </row>
    <row r="3006" spans="1:12">
      <c r="A3006" s="255" t="e">
        <f>TRIM(D3014&amp;E3014&amp;D3015&amp;E3015&amp;D3016&amp;E3016&amp;D3017&amp;E3017&amp;D3018&amp;E3018&amp;D3019&amp;E3019&amp;E3020&amp;D3020&amp;" Only")</f>
        <v>#REF!</v>
      </c>
      <c r="B3006" s="255"/>
      <c r="C3006" s="255"/>
      <c r="D3006" s="255"/>
      <c r="E3006" s="35"/>
      <c r="F3006" s="36"/>
      <c r="J3006" s="31">
        <v>2</v>
      </c>
      <c r="K3006" s="33" t="s">
        <v>52</v>
      </c>
      <c r="L3006" s="31" t="s">
        <v>53</v>
      </c>
    </row>
    <row r="3007" spans="1:12">
      <c r="A3007" s="37"/>
      <c r="B3007" s="37"/>
      <c r="C3007" s="37"/>
      <c r="D3007" s="37"/>
      <c r="E3007" s="35"/>
      <c r="F3007" s="36"/>
      <c r="J3007" s="31">
        <v>3</v>
      </c>
      <c r="K3007" s="33" t="s">
        <v>54</v>
      </c>
      <c r="L3007" s="31" t="s">
        <v>55</v>
      </c>
    </row>
    <row r="3008" spans="1:12">
      <c r="A3008" s="37"/>
      <c r="B3008" s="37"/>
      <c r="C3008" s="37"/>
      <c r="D3008" s="37"/>
      <c r="J3008" s="31">
        <v>4</v>
      </c>
      <c r="K3008" s="33" t="s">
        <v>56</v>
      </c>
      <c r="L3008" s="31" t="s">
        <v>57</v>
      </c>
    </row>
    <row r="3009" spans="1:12">
      <c r="A3009" s="255" t="e">
        <f>TRIM(D3024&amp;E3024&amp;D3025&amp;E3025&amp;D3026&amp;E3026&amp;D3027&amp;E3027&amp;D3028&amp;E3028&amp;D3029&amp;E3029&amp;D3030&amp;E3030&amp;" Rupiah")</f>
        <v>#REF!</v>
      </c>
      <c r="B3009" s="255"/>
      <c r="C3009" s="255"/>
      <c r="D3009" s="255"/>
      <c r="E3009" s="35"/>
      <c r="F3009" s="36"/>
      <c r="J3009" s="31">
        <v>5</v>
      </c>
      <c r="K3009" s="33" t="s">
        <v>58</v>
      </c>
      <c r="L3009" s="31" t="s">
        <v>59</v>
      </c>
    </row>
    <row r="3010" spans="1:12">
      <c r="A3010" s="35"/>
      <c r="B3010" s="35"/>
      <c r="C3010" s="35"/>
      <c r="D3010" s="35"/>
      <c r="E3010" s="35"/>
      <c r="F3010" s="36"/>
      <c r="J3010" s="31">
        <v>6</v>
      </c>
      <c r="K3010" s="33" t="s">
        <v>60</v>
      </c>
      <c r="L3010" s="31" t="s">
        <v>61</v>
      </c>
    </row>
    <row r="3011" spans="1:12">
      <c r="J3011" s="31">
        <v>7</v>
      </c>
      <c r="K3011" s="33" t="s">
        <v>62</v>
      </c>
      <c r="L3011" s="31" t="s">
        <v>63</v>
      </c>
    </row>
    <row r="3012" spans="1:12">
      <c r="J3012" s="31">
        <v>8</v>
      </c>
      <c r="K3012" s="33" t="s">
        <v>64</v>
      </c>
      <c r="L3012" s="31" t="s">
        <v>65</v>
      </c>
    </row>
    <row r="3013" spans="1:12">
      <c r="A3013" s="38" t="s">
        <v>66</v>
      </c>
      <c r="J3013" s="31">
        <v>9</v>
      </c>
      <c r="K3013" s="33" t="s">
        <v>67</v>
      </c>
      <c r="L3013" s="31" t="s">
        <v>68</v>
      </c>
    </row>
    <row r="3014" spans="1:12">
      <c r="A3014" s="31" t="s">
        <v>69</v>
      </c>
      <c r="B3014" s="39" t="e">
        <f>TRUNC(A3002/100000000)</f>
        <v>#REF!</v>
      </c>
      <c r="C3014" s="31" t="e">
        <f>B3014*100000000</f>
        <v>#REF!</v>
      </c>
      <c r="D3014" s="31" t="e">
        <f t="shared" ref="D3014:D3020" si="290">IF(B3014&lt;1,"",VLOOKUP(B3014,$J$3:$K$102,2))</f>
        <v>#REF!</v>
      </c>
      <c r="E3014" s="31" t="e">
        <f>IF(B3014&lt;1,"",IF(B3014&gt;1," Hundreds "," Hundred "))</f>
        <v>#REF!</v>
      </c>
      <c r="J3014" s="31">
        <v>10</v>
      </c>
      <c r="K3014" s="33" t="s">
        <v>70</v>
      </c>
      <c r="L3014" s="31" t="s">
        <v>71</v>
      </c>
    </row>
    <row r="3015" spans="1:12">
      <c r="A3015" s="31" t="s">
        <v>72</v>
      </c>
      <c r="B3015" s="39" t="e">
        <f>TRUNC((A3002-C3014)/1000000)</f>
        <v>#REF!</v>
      </c>
      <c r="C3015" s="31" t="e">
        <f>B3015*1000000</f>
        <v>#REF!</v>
      </c>
      <c r="D3015" s="31" t="e">
        <f t="shared" si="290"/>
        <v>#REF!</v>
      </c>
      <c r="E3015" s="31" t="e">
        <f>IF(B3014+B3015=0,"",IF(B3015=1," Million "," Millions "))</f>
        <v>#REF!</v>
      </c>
      <c r="J3015" s="31">
        <v>11</v>
      </c>
      <c r="K3015" s="33" t="s">
        <v>73</v>
      </c>
      <c r="L3015" s="31" t="s">
        <v>74</v>
      </c>
    </row>
    <row r="3016" spans="1:12">
      <c r="A3016" s="31" t="s">
        <v>75</v>
      </c>
      <c r="B3016" s="39" t="e">
        <f>TRUNC((A3002-SUM(C3014:C3015))/100000)</f>
        <v>#REF!</v>
      </c>
      <c r="C3016" s="31" t="e">
        <f>B3016*100000</f>
        <v>#REF!</v>
      </c>
      <c r="D3016" s="31" t="e">
        <f t="shared" si="290"/>
        <v>#REF!</v>
      </c>
      <c r="E3016" s="31" t="e">
        <f>IF(B3016&lt;1,"",IF(B3016&gt;1," Hundreds "," Hundred "))</f>
        <v>#REF!</v>
      </c>
      <c r="J3016" s="31">
        <v>12</v>
      </c>
      <c r="K3016" s="33" t="s">
        <v>76</v>
      </c>
      <c r="L3016" s="31" t="str">
        <f t="shared" ref="L3016:L3023" si="291">L3006&amp;" Belas"</f>
        <v>Dua Belas</v>
      </c>
    </row>
    <row r="3017" spans="1:12">
      <c r="A3017" s="33" t="s">
        <v>77</v>
      </c>
      <c r="B3017" s="40" t="e">
        <f>TRUNC((A3002-SUM(C3014:C3016))/1000)</f>
        <v>#REF!</v>
      </c>
      <c r="C3017" s="31" t="e">
        <f>B3017*1000</f>
        <v>#REF!</v>
      </c>
      <c r="D3017" s="31" t="e">
        <f t="shared" si="290"/>
        <v>#REF!</v>
      </c>
      <c r="E3017" s="31" t="e">
        <f>IF(B3016+B3017=0,"",IF(B3017=1," Thousand "," Thousands "))</f>
        <v>#REF!</v>
      </c>
      <c r="J3017" s="31">
        <v>13</v>
      </c>
      <c r="K3017" s="33" t="s">
        <v>78</v>
      </c>
      <c r="L3017" s="31" t="str">
        <f t="shared" si="291"/>
        <v>Tiga Belas</v>
      </c>
    </row>
    <row r="3018" spans="1:12">
      <c r="A3018" s="33" t="s">
        <v>79</v>
      </c>
      <c r="B3018" s="40" t="e">
        <f>TRUNC((A3002-SUM(C3014:C3017))/100)</f>
        <v>#REF!</v>
      </c>
      <c r="C3018" s="31" t="e">
        <f>B3018*100</f>
        <v>#REF!</v>
      </c>
      <c r="D3018" s="31" t="e">
        <f t="shared" si="290"/>
        <v>#REF!</v>
      </c>
      <c r="E3018" s="31" t="e">
        <f>IF(B3018&lt;1,"",IF(B3018&gt;1," Hundreds "," Hundred "))</f>
        <v>#REF!</v>
      </c>
      <c r="J3018" s="31">
        <v>14</v>
      </c>
      <c r="K3018" s="33" t="s">
        <v>80</v>
      </c>
      <c r="L3018" s="31" t="str">
        <f t="shared" si="291"/>
        <v>Empat Belas</v>
      </c>
    </row>
    <row r="3019" spans="1:12">
      <c r="A3019" s="33" t="s">
        <v>81</v>
      </c>
      <c r="B3019" s="41" t="e">
        <f>TRUNC((A3002-SUM(C3014:C3018)))</f>
        <v>#REF!</v>
      </c>
      <c r="C3019" s="42" t="e">
        <f>B3019</f>
        <v>#REF!</v>
      </c>
      <c r="D3019" s="31" t="e">
        <f t="shared" si="290"/>
        <v>#REF!</v>
      </c>
      <c r="E3019" s="31" t="e">
        <f>IF(SUM(C3014:C3019)&lt;1,"",IF(B3020&lt;1,""," And "))</f>
        <v>#REF!</v>
      </c>
      <c r="J3019" s="31">
        <v>15</v>
      </c>
      <c r="K3019" s="33" t="s">
        <v>82</v>
      </c>
      <c r="L3019" s="31" t="str">
        <f t="shared" si="291"/>
        <v>Lima Belas</v>
      </c>
    </row>
    <row r="3020" spans="1:12">
      <c r="A3020" s="33" t="s">
        <v>83</v>
      </c>
      <c r="B3020" s="40" t="e">
        <f>ROUND(A3002-SUM(C3014:C3019),2)*100</f>
        <v>#REF!</v>
      </c>
      <c r="D3020" s="43" t="e">
        <f t="shared" si="290"/>
        <v>#REF!</v>
      </c>
      <c r="E3020" s="31" t="e">
        <f>IF(B3020&lt;1,"",IF(B3020=1," Cent "," Cents "))</f>
        <v>#REF!</v>
      </c>
      <c r="J3020" s="31">
        <v>16</v>
      </c>
      <c r="K3020" s="33" t="s">
        <v>84</v>
      </c>
      <c r="L3020" s="31" t="str">
        <f t="shared" si="291"/>
        <v>Enam Belas</v>
      </c>
    </row>
    <row r="3021" spans="1:12">
      <c r="J3021" s="31">
        <v>17</v>
      </c>
      <c r="K3021" s="33" t="s">
        <v>85</v>
      </c>
      <c r="L3021" s="31" t="str">
        <f t="shared" si="291"/>
        <v>Tujuh Belas</v>
      </c>
    </row>
    <row r="3022" spans="1:12">
      <c r="A3022" s="44"/>
      <c r="J3022" s="31">
        <v>18</v>
      </c>
      <c r="K3022" s="33" t="s">
        <v>86</v>
      </c>
      <c r="L3022" s="31" t="str">
        <f t="shared" si="291"/>
        <v>Delapan Belas</v>
      </c>
    </row>
    <row r="3023" spans="1:12">
      <c r="A3023" s="38" t="s">
        <v>87</v>
      </c>
      <c r="J3023" s="31">
        <v>19</v>
      </c>
      <c r="K3023" s="33" t="s">
        <v>88</v>
      </c>
      <c r="L3023" s="31" t="str">
        <f t="shared" si="291"/>
        <v>Sembilan Belas</v>
      </c>
    </row>
    <row r="3024" spans="1:12">
      <c r="A3024" s="31" t="s">
        <v>69</v>
      </c>
      <c r="B3024" s="39" t="e">
        <f>TRUNC(A3002/100000000)</f>
        <v>#REF!</v>
      </c>
      <c r="C3024" s="31" t="e">
        <f>B3024*100000000</f>
        <v>#REF!</v>
      </c>
      <c r="D3024" s="31" t="e">
        <f>IF(B3024&lt;1,"",IF(B3024=1,"",VLOOKUP(B3024,$J$3:$L$102,3)))</f>
        <v>#REF!</v>
      </c>
      <c r="E3024" s="31" t="e">
        <f>IF(B3024&lt;1,"",IF(B3024=1,"Seratus "," Ratus "))</f>
        <v>#REF!</v>
      </c>
      <c r="J3024" s="31">
        <v>20</v>
      </c>
      <c r="K3024" s="33" t="s">
        <v>89</v>
      </c>
      <c r="L3024" s="31" t="s">
        <v>90</v>
      </c>
    </row>
    <row r="3025" spans="1:12">
      <c r="A3025" s="31" t="s">
        <v>72</v>
      </c>
      <c r="B3025" s="39" t="e">
        <f>TRUNC((A3002-C3024)/1000000)</f>
        <v>#REF!</v>
      </c>
      <c r="C3025" s="31" t="e">
        <f>B3025*1000000</f>
        <v>#REF!</v>
      </c>
      <c r="D3025" s="31" t="e">
        <f>IF(B3025&lt;1,"",VLOOKUP(B3025,$J$3:$L$102,3))</f>
        <v>#REF!</v>
      </c>
      <c r="E3025" s="31" t="e">
        <f>IF(B3024+B3025=0,""," Juta ")</f>
        <v>#REF!</v>
      </c>
      <c r="J3025" s="31">
        <v>21</v>
      </c>
      <c r="K3025" s="33" t="s">
        <v>91</v>
      </c>
      <c r="L3025" s="31" t="str">
        <f t="shared" ref="L3025:L3033" si="292">$L$23&amp;" "&amp;L3005</f>
        <v>Dua Puluh Satu</v>
      </c>
    </row>
    <row r="3026" spans="1:12">
      <c r="A3026" s="31" t="s">
        <v>75</v>
      </c>
      <c r="B3026" s="39" t="e">
        <f>TRUNC((A3002-SUM(C3024:C3025))/100000)</f>
        <v>#REF!</v>
      </c>
      <c r="C3026" s="31" t="e">
        <f>B3026*100000</f>
        <v>#REF!</v>
      </c>
      <c r="D3026" s="31" t="e">
        <f>IF(B3026&lt;1,"",IF(B3026=1,"",VLOOKUP(B3026,$J$3:$L$102,3)))</f>
        <v>#REF!</v>
      </c>
      <c r="E3026" s="31" t="e">
        <f>IF(B3026&lt;1,"",IF(B3026=1," Seratus "," Ratus "))</f>
        <v>#REF!</v>
      </c>
      <c r="J3026" s="31">
        <v>22</v>
      </c>
      <c r="K3026" s="33" t="s">
        <v>92</v>
      </c>
      <c r="L3026" s="31" t="str">
        <f t="shared" si="292"/>
        <v>Dua Puluh Dua</v>
      </c>
    </row>
    <row r="3027" spans="1:12">
      <c r="A3027" s="33" t="s">
        <v>77</v>
      </c>
      <c r="B3027" s="40" t="e">
        <f>TRUNC((A3002-SUM(C3024:C3026))/1000)</f>
        <v>#REF!</v>
      </c>
      <c r="C3027" s="31" t="e">
        <f>B3027*1000</f>
        <v>#REF!</v>
      </c>
      <c r="D3027" s="31" t="e">
        <f>IF(B3027&lt;1,"",IF(B3027=1,"",VLOOKUP(B3027,$J$3:$L$102,3)))</f>
        <v>#REF!</v>
      </c>
      <c r="E3027" s="31" t="e">
        <f>IF(B3026+B3027&lt;1,"",IF(B3027=1," Seribu "," Ribu "))</f>
        <v>#REF!</v>
      </c>
      <c r="J3027" s="31">
        <v>23</v>
      </c>
      <c r="K3027" s="33" t="s">
        <v>93</v>
      </c>
      <c r="L3027" s="31" t="str">
        <f t="shared" si="292"/>
        <v>Dua Puluh Tiga</v>
      </c>
    </row>
    <row r="3028" spans="1:12">
      <c r="A3028" s="33" t="s">
        <v>79</v>
      </c>
      <c r="B3028" s="40" t="e">
        <f>TRUNC((A3002-SUM(C3024:C3027))/100)</f>
        <v>#REF!</v>
      </c>
      <c r="C3028" s="31" t="e">
        <f>B3028*100</f>
        <v>#REF!</v>
      </c>
      <c r="D3028" s="31" t="e">
        <f>IF(B3028&lt;1,"",IF(B3028=1,"",VLOOKUP(B3028,$J$3:$L$102,3)))</f>
        <v>#REF!</v>
      </c>
      <c r="E3028" s="31" t="e">
        <f>IF(B3028&lt;1,"",IF(B3028=1," Seratus "," Ratus "))</f>
        <v>#REF!</v>
      </c>
      <c r="J3028" s="31">
        <v>24</v>
      </c>
      <c r="K3028" s="33" t="s">
        <v>94</v>
      </c>
      <c r="L3028" s="31" t="str">
        <f t="shared" si="292"/>
        <v>Dua Puluh Empat</v>
      </c>
    </row>
    <row r="3029" spans="1:12">
      <c r="A3029" s="33" t="s">
        <v>81</v>
      </c>
      <c r="B3029" s="41" t="e">
        <f>TRUNC((A3002-SUM(C3024:C3028)))</f>
        <v>#REF!</v>
      </c>
      <c r="C3029" s="42" t="e">
        <f>B3029</f>
        <v>#REF!</v>
      </c>
      <c r="D3029" s="31" t="e">
        <f>IF(B3029&lt;1,"",VLOOKUP(B3029,$J$3:$L$102,3))</f>
        <v>#REF!</v>
      </c>
      <c r="E3029" s="31" t="e">
        <f>IF(SUM(C3024:C3029)&lt;1,"",IF(B3030&lt;1,""," Dan "))</f>
        <v>#REF!</v>
      </c>
      <c r="J3029" s="31">
        <v>25</v>
      </c>
      <c r="K3029" s="33" t="s">
        <v>95</v>
      </c>
      <c r="L3029" s="31" t="str">
        <f t="shared" si="292"/>
        <v>Dua Puluh Lima</v>
      </c>
    </row>
    <row r="3030" spans="1:12">
      <c r="A3030" s="33" t="s">
        <v>83</v>
      </c>
      <c r="B3030" s="40" t="e">
        <f>ROUND(A3002-SUM(C3024:C3029),2)*100</f>
        <v>#REF!</v>
      </c>
      <c r="D3030" s="31" t="e">
        <f>IF(B3030&lt;1,"",VLOOKUP(B3030,$J$3:$L$102,3))</f>
        <v>#REF!</v>
      </c>
      <c r="E3030" s="31" t="e">
        <f>IF(B3030&lt;1,""," Sen ")</f>
        <v>#REF!</v>
      </c>
      <c r="J3030" s="31">
        <v>26</v>
      </c>
      <c r="K3030" s="33" t="s">
        <v>96</v>
      </c>
      <c r="L3030" s="31" t="str">
        <f t="shared" si="292"/>
        <v>Dua Puluh Enam</v>
      </c>
    </row>
    <row r="3031" spans="1:12">
      <c r="J3031" s="31">
        <v>27</v>
      </c>
      <c r="K3031" s="33" t="s">
        <v>97</v>
      </c>
      <c r="L3031" s="31" t="str">
        <f t="shared" si="292"/>
        <v>Dua Puluh Tujuh</v>
      </c>
    </row>
    <row r="3032" spans="1:12">
      <c r="J3032" s="31">
        <v>28</v>
      </c>
      <c r="K3032" s="33" t="s">
        <v>98</v>
      </c>
      <c r="L3032" s="31" t="str">
        <f t="shared" si="292"/>
        <v>Dua Puluh Delapan</v>
      </c>
    </row>
    <row r="3033" spans="1:12">
      <c r="J3033" s="31">
        <v>29</v>
      </c>
      <c r="K3033" s="33" t="s">
        <v>99</v>
      </c>
      <c r="L3033" s="31" t="str">
        <f t="shared" si="292"/>
        <v>Dua Puluh Sembilan</v>
      </c>
    </row>
    <row r="3034" spans="1:12">
      <c r="J3034" s="31">
        <v>30</v>
      </c>
      <c r="K3034" s="33" t="s">
        <v>100</v>
      </c>
      <c r="L3034" s="31" t="s">
        <v>101</v>
      </c>
    </row>
    <row r="3035" spans="1:12">
      <c r="J3035" s="31">
        <v>31</v>
      </c>
      <c r="K3035" s="33" t="s">
        <v>102</v>
      </c>
      <c r="L3035" s="31" t="str">
        <f t="shared" ref="L3035:L3043" si="293">$L$33&amp;" "&amp;L3005</f>
        <v>Tiga Puluh Satu</v>
      </c>
    </row>
    <row r="3036" spans="1:12">
      <c r="J3036" s="31">
        <v>32</v>
      </c>
      <c r="K3036" s="33" t="s">
        <v>103</v>
      </c>
      <c r="L3036" s="31" t="str">
        <f t="shared" si="293"/>
        <v>Tiga Puluh Dua</v>
      </c>
    </row>
    <row r="3037" spans="1:12">
      <c r="J3037" s="31">
        <v>33</v>
      </c>
      <c r="K3037" s="33" t="s">
        <v>104</v>
      </c>
      <c r="L3037" s="31" t="str">
        <f t="shared" si="293"/>
        <v>Tiga Puluh Tiga</v>
      </c>
    </row>
    <row r="3038" spans="1:12">
      <c r="J3038" s="31">
        <v>34</v>
      </c>
      <c r="K3038" s="33" t="s">
        <v>105</v>
      </c>
      <c r="L3038" s="31" t="str">
        <f t="shared" si="293"/>
        <v>Tiga Puluh Empat</v>
      </c>
    </row>
    <row r="3039" spans="1:12">
      <c r="J3039" s="31">
        <v>35</v>
      </c>
      <c r="K3039" s="33" t="s">
        <v>106</v>
      </c>
      <c r="L3039" s="31" t="str">
        <f t="shared" si="293"/>
        <v>Tiga Puluh Lima</v>
      </c>
    </row>
    <row r="3040" spans="1:12">
      <c r="J3040" s="31">
        <v>36</v>
      </c>
      <c r="K3040" s="33" t="s">
        <v>107</v>
      </c>
      <c r="L3040" s="31" t="str">
        <f t="shared" si="293"/>
        <v>Tiga Puluh Enam</v>
      </c>
    </row>
    <row r="3041" spans="1:12">
      <c r="J3041" s="31">
        <v>37</v>
      </c>
      <c r="K3041" s="33" t="s">
        <v>108</v>
      </c>
      <c r="L3041" s="31" t="str">
        <f t="shared" si="293"/>
        <v>Tiga Puluh Tujuh</v>
      </c>
    </row>
    <row r="3042" spans="1:12">
      <c r="J3042" s="31">
        <v>38</v>
      </c>
      <c r="K3042" s="33" t="s">
        <v>109</v>
      </c>
      <c r="L3042" s="31" t="str">
        <f t="shared" si="293"/>
        <v>Tiga Puluh Delapan</v>
      </c>
    </row>
    <row r="3043" spans="1:12">
      <c r="J3043" s="31">
        <v>39</v>
      </c>
      <c r="K3043" s="33" t="s">
        <v>110</v>
      </c>
      <c r="L3043" s="31" t="str">
        <f t="shared" si="293"/>
        <v>Tiga Puluh Sembilan</v>
      </c>
    </row>
    <row r="3044" spans="1:12">
      <c r="B3044" s="35"/>
      <c r="C3044" s="35"/>
      <c r="D3044" s="35"/>
      <c r="J3044" s="31">
        <v>40</v>
      </c>
      <c r="K3044" s="33" t="s">
        <v>111</v>
      </c>
      <c r="L3044" s="31" t="s">
        <v>112</v>
      </c>
    </row>
    <row r="3045" spans="1:12">
      <c r="A3045" s="35"/>
      <c r="B3045" s="35"/>
      <c r="C3045" s="35"/>
      <c r="D3045" s="35"/>
      <c r="J3045" s="31">
        <v>41</v>
      </c>
      <c r="K3045" s="33" t="s">
        <v>113</v>
      </c>
      <c r="L3045" s="31" t="str">
        <f t="shared" ref="L3045:L3053" si="294">$L$43&amp;" "&amp;L3005</f>
        <v>Empat Puluh Satu</v>
      </c>
    </row>
    <row r="3046" spans="1:12">
      <c r="J3046" s="31">
        <v>42</v>
      </c>
      <c r="K3046" s="33" t="s">
        <v>114</v>
      </c>
      <c r="L3046" s="31" t="str">
        <f t="shared" si="294"/>
        <v>Empat Puluh Dua</v>
      </c>
    </row>
    <row r="3047" spans="1:12">
      <c r="A3047" s="38"/>
      <c r="J3047" s="31">
        <v>43</v>
      </c>
      <c r="K3047" s="33" t="s">
        <v>115</v>
      </c>
      <c r="L3047" s="31" t="str">
        <f t="shared" si="294"/>
        <v>Empat Puluh Tiga</v>
      </c>
    </row>
    <row r="3048" spans="1:12">
      <c r="J3048" s="31">
        <v>44</v>
      </c>
      <c r="K3048" s="33" t="s">
        <v>116</v>
      </c>
      <c r="L3048" s="31" t="str">
        <f t="shared" si="294"/>
        <v>Empat Puluh Empat</v>
      </c>
    </row>
    <row r="3049" spans="1:12">
      <c r="J3049" s="31">
        <v>45</v>
      </c>
      <c r="K3049" s="33" t="s">
        <v>117</v>
      </c>
      <c r="L3049" s="31" t="str">
        <f t="shared" si="294"/>
        <v>Empat Puluh Lima</v>
      </c>
    </row>
    <row r="3050" spans="1:12">
      <c r="J3050" s="31">
        <v>46</v>
      </c>
      <c r="K3050" s="33" t="s">
        <v>118</v>
      </c>
      <c r="L3050" s="31" t="str">
        <f t="shared" si="294"/>
        <v>Empat Puluh Enam</v>
      </c>
    </row>
    <row r="3051" spans="1:12">
      <c r="J3051" s="31">
        <v>47</v>
      </c>
      <c r="K3051" s="33" t="s">
        <v>119</v>
      </c>
      <c r="L3051" s="31" t="str">
        <f t="shared" si="294"/>
        <v>Empat Puluh Tujuh</v>
      </c>
    </row>
    <row r="3052" spans="1:12">
      <c r="J3052" s="31">
        <v>48</v>
      </c>
      <c r="K3052" s="33" t="s">
        <v>120</v>
      </c>
      <c r="L3052" s="31" t="str">
        <f t="shared" si="294"/>
        <v>Empat Puluh Delapan</v>
      </c>
    </row>
    <row r="3053" spans="1:12">
      <c r="J3053" s="31">
        <v>49</v>
      </c>
      <c r="K3053" s="33" t="s">
        <v>121</v>
      </c>
      <c r="L3053" s="31" t="str">
        <f t="shared" si="294"/>
        <v>Empat Puluh Sembilan</v>
      </c>
    </row>
    <row r="3054" spans="1:12">
      <c r="J3054" s="31">
        <v>50</v>
      </c>
      <c r="K3054" s="33" t="s">
        <v>122</v>
      </c>
      <c r="L3054" s="31" t="s">
        <v>123</v>
      </c>
    </row>
    <row r="3055" spans="1:12">
      <c r="J3055" s="31">
        <v>51</v>
      </c>
      <c r="K3055" s="33" t="s">
        <v>124</v>
      </c>
      <c r="L3055" s="31" t="str">
        <f t="shared" ref="L3055:L3063" si="295">$L$53&amp;" "&amp;L3005</f>
        <v>Lima Puluh Satu</v>
      </c>
    </row>
    <row r="3056" spans="1:12">
      <c r="J3056" s="31">
        <v>52</v>
      </c>
      <c r="K3056" s="33" t="s">
        <v>125</v>
      </c>
      <c r="L3056" s="31" t="str">
        <f t="shared" si="295"/>
        <v>Lima Puluh Dua</v>
      </c>
    </row>
    <row r="3057" spans="10:12">
      <c r="J3057" s="31">
        <v>53</v>
      </c>
      <c r="K3057" s="33" t="s">
        <v>126</v>
      </c>
      <c r="L3057" s="31" t="str">
        <f t="shared" si="295"/>
        <v>Lima Puluh Tiga</v>
      </c>
    </row>
    <row r="3058" spans="10:12">
      <c r="J3058" s="31">
        <v>54</v>
      </c>
      <c r="K3058" s="33" t="s">
        <v>127</v>
      </c>
      <c r="L3058" s="31" t="str">
        <f t="shared" si="295"/>
        <v>Lima Puluh Empat</v>
      </c>
    </row>
    <row r="3059" spans="10:12">
      <c r="J3059" s="31">
        <v>55</v>
      </c>
      <c r="K3059" s="33" t="s">
        <v>128</v>
      </c>
      <c r="L3059" s="31" t="str">
        <f t="shared" si="295"/>
        <v>Lima Puluh Lima</v>
      </c>
    </row>
    <row r="3060" spans="10:12">
      <c r="J3060" s="31">
        <v>56</v>
      </c>
      <c r="K3060" s="33" t="s">
        <v>129</v>
      </c>
      <c r="L3060" s="31" t="str">
        <f t="shared" si="295"/>
        <v>Lima Puluh Enam</v>
      </c>
    </row>
    <row r="3061" spans="10:12">
      <c r="J3061" s="31">
        <v>57</v>
      </c>
      <c r="K3061" s="33" t="s">
        <v>130</v>
      </c>
      <c r="L3061" s="31" t="str">
        <f t="shared" si="295"/>
        <v>Lima Puluh Tujuh</v>
      </c>
    </row>
    <row r="3062" spans="10:12">
      <c r="J3062" s="31">
        <v>58</v>
      </c>
      <c r="K3062" s="33" t="s">
        <v>131</v>
      </c>
      <c r="L3062" s="31" t="str">
        <f t="shared" si="295"/>
        <v>Lima Puluh Delapan</v>
      </c>
    </row>
    <row r="3063" spans="10:12">
      <c r="J3063" s="31">
        <v>59</v>
      </c>
      <c r="K3063" s="33" t="s">
        <v>132</v>
      </c>
      <c r="L3063" s="31" t="str">
        <f t="shared" si="295"/>
        <v>Lima Puluh Sembilan</v>
      </c>
    </row>
    <row r="3064" spans="10:12">
      <c r="J3064" s="31">
        <v>60</v>
      </c>
      <c r="K3064" s="33" t="s">
        <v>133</v>
      </c>
      <c r="L3064" s="31" t="s">
        <v>134</v>
      </c>
    </row>
    <row r="3065" spans="10:12">
      <c r="J3065" s="31">
        <v>61</v>
      </c>
      <c r="K3065" s="33" t="s">
        <v>135</v>
      </c>
      <c r="L3065" s="31" t="str">
        <f t="shared" ref="L3065:L3073" si="296">$L$63&amp;" "&amp;L3005</f>
        <v>Enam Puluh Satu</v>
      </c>
    </row>
    <row r="3066" spans="10:12">
      <c r="J3066" s="31">
        <v>62</v>
      </c>
      <c r="K3066" s="33" t="s">
        <v>136</v>
      </c>
      <c r="L3066" s="31" t="str">
        <f t="shared" si="296"/>
        <v>Enam Puluh Dua</v>
      </c>
    </row>
    <row r="3067" spans="10:12">
      <c r="J3067" s="31">
        <v>63</v>
      </c>
      <c r="K3067" s="33" t="s">
        <v>137</v>
      </c>
      <c r="L3067" s="31" t="str">
        <f t="shared" si="296"/>
        <v>Enam Puluh Tiga</v>
      </c>
    </row>
    <row r="3068" spans="10:12">
      <c r="J3068" s="31">
        <v>64</v>
      </c>
      <c r="K3068" s="33" t="s">
        <v>138</v>
      </c>
      <c r="L3068" s="31" t="str">
        <f t="shared" si="296"/>
        <v>Enam Puluh Empat</v>
      </c>
    </row>
    <row r="3069" spans="10:12">
      <c r="J3069" s="31">
        <v>65</v>
      </c>
      <c r="K3069" s="33" t="s">
        <v>139</v>
      </c>
      <c r="L3069" s="31" t="str">
        <f t="shared" si="296"/>
        <v>Enam Puluh Lima</v>
      </c>
    </row>
    <row r="3070" spans="10:12">
      <c r="J3070" s="31">
        <v>66</v>
      </c>
      <c r="K3070" s="33" t="s">
        <v>140</v>
      </c>
      <c r="L3070" s="31" t="str">
        <f t="shared" si="296"/>
        <v>Enam Puluh Enam</v>
      </c>
    </row>
    <row r="3071" spans="10:12">
      <c r="J3071" s="31">
        <v>67</v>
      </c>
      <c r="K3071" s="33" t="s">
        <v>141</v>
      </c>
      <c r="L3071" s="31" t="str">
        <f t="shared" si="296"/>
        <v>Enam Puluh Tujuh</v>
      </c>
    </row>
    <row r="3072" spans="10:12">
      <c r="J3072" s="31">
        <v>68</v>
      </c>
      <c r="K3072" s="33" t="s">
        <v>142</v>
      </c>
      <c r="L3072" s="31" t="str">
        <f t="shared" si="296"/>
        <v>Enam Puluh Delapan</v>
      </c>
    </row>
    <row r="3073" spans="10:12">
      <c r="J3073" s="31">
        <v>69</v>
      </c>
      <c r="K3073" s="33" t="s">
        <v>143</v>
      </c>
      <c r="L3073" s="31" t="str">
        <f t="shared" si="296"/>
        <v>Enam Puluh Sembilan</v>
      </c>
    </row>
    <row r="3074" spans="10:12">
      <c r="J3074" s="31">
        <v>70</v>
      </c>
      <c r="K3074" s="33" t="s">
        <v>144</v>
      </c>
      <c r="L3074" s="31" t="s">
        <v>145</v>
      </c>
    </row>
    <row r="3075" spans="10:12">
      <c r="J3075" s="31">
        <v>71</v>
      </c>
      <c r="K3075" s="33" t="s">
        <v>146</v>
      </c>
      <c r="L3075" s="31" t="str">
        <f t="shared" ref="L3075:L3083" si="297">$L$73&amp;" "&amp;L3005</f>
        <v>Tujuh Puluh Satu</v>
      </c>
    </row>
    <row r="3076" spans="10:12">
      <c r="J3076" s="31">
        <v>72</v>
      </c>
      <c r="K3076" s="33" t="s">
        <v>147</v>
      </c>
      <c r="L3076" s="31" t="str">
        <f t="shared" si="297"/>
        <v>Tujuh Puluh Dua</v>
      </c>
    </row>
    <row r="3077" spans="10:12">
      <c r="J3077" s="31">
        <v>73</v>
      </c>
      <c r="K3077" s="33" t="s">
        <v>148</v>
      </c>
      <c r="L3077" s="31" t="str">
        <f t="shared" si="297"/>
        <v>Tujuh Puluh Tiga</v>
      </c>
    </row>
    <row r="3078" spans="10:12">
      <c r="J3078" s="31">
        <v>74</v>
      </c>
      <c r="K3078" s="33" t="s">
        <v>149</v>
      </c>
      <c r="L3078" s="31" t="str">
        <f t="shared" si="297"/>
        <v>Tujuh Puluh Empat</v>
      </c>
    </row>
    <row r="3079" spans="10:12">
      <c r="J3079" s="31">
        <v>75</v>
      </c>
      <c r="K3079" s="33" t="s">
        <v>150</v>
      </c>
      <c r="L3079" s="31" t="str">
        <f t="shared" si="297"/>
        <v>Tujuh Puluh Lima</v>
      </c>
    </row>
    <row r="3080" spans="10:12">
      <c r="J3080" s="31">
        <v>76</v>
      </c>
      <c r="K3080" s="33" t="s">
        <v>151</v>
      </c>
      <c r="L3080" s="31" t="str">
        <f t="shared" si="297"/>
        <v>Tujuh Puluh Enam</v>
      </c>
    </row>
    <row r="3081" spans="10:12">
      <c r="J3081" s="31">
        <v>77</v>
      </c>
      <c r="K3081" s="33" t="s">
        <v>152</v>
      </c>
      <c r="L3081" s="31" t="str">
        <f t="shared" si="297"/>
        <v>Tujuh Puluh Tujuh</v>
      </c>
    </row>
    <row r="3082" spans="10:12">
      <c r="J3082" s="31">
        <v>78</v>
      </c>
      <c r="K3082" s="33" t="s">
        <v>153</v>
      </c>
      <c r="L3082" s="31" t="str">
        <f t="shared" si="297"/>
        <v>Tujuh Puluh Delapan</v>
      </c>
    </row>
    <row r="3083" spans="10:12">
      <c r="J3083" s="31">
        <v>79</v>
      </c>
      <c r="K3083" s="33" t="s">
        <v>154</v>
      </c>
      <c r="L3083" s="31" t="str">
        <f t="shared" si="297"/>
        <v>Tujuh Puluh Sembilan</v>
      </c>
    </row>
    <row r="3084" spans="10:12">
      <c r="J3084" s="31">
        <v>80</v>
      </c>
      <c r="K3084" s="33" t="s">
        <v>155</v>
      </c>
      <c r="L3084" s="31" t="s">
        <v>156</v>
      </c>
    </row>
    <row r="3085" spans="10:12">
      <c r="J3085" s="31">
        <v>81</v>
      </c>
      <c r="K3085" s="33" t="s">
        <v>157</v>
      </c>
      <c r="L3085" s="31" t="str">
        <f t="shared" ref="L3085:L3093" si="298">$L$83&amp;" "&amp;L3005</f>
        <v>Delapan Puluh Satu</v>
      </c>
    </row>
    <row r="3086" spans="10:12">
      <c r="J3086" s="31">
        <v>82</v>
      </c>
      <c r="K3086" s="33" t="s">
        <v>158</v>
      </c>
      <c r="L3086" s="31" t="str">
        <f t="shared" si="298"/>
        <v>Delapan Puluh Dua</v>
      </c>
    </row>
    <row r="3087" spans="10:12">
      <c r="J3087" s="31">
        <v>83</v>
      </c>
      <c r="K3087" s="33" t="s">
        <v>159</v>
      </c>
      <c r="L3087" s="31" t="str">
        <f t="shared" si="298"/>
        <v>Delapan Puluh Tiga</v>
      </c>
    </row>
    <row r="3088" spans="10:12">
      <c r="J3088" s="31">
        <v>84</v>
      </c>
      <c r="K3088" s="33" t="s">
        <v>160</v>
      </c>
      <c r="L3088" s="31" t="str">
        <f t="shared" si="298"/>
        <v>Delapan Puluh Empat</v>
      </c>
    </row>
    <row r="3089" spans="10:12">
      <c r="J3089" s="31">
        <v>85</v>
      </c>
      <c r="K3089" s="33" t="s">
        <v>161</v>
      </c>
      <c r="L3089" s="31" t="str">
        <f t="shared" si="298"/>
        <v>Delapan Puluh Lima</v>
      </c>
    </row>
    <row r="3090" spans="10:12">
      <c r="J3090" s="31">
        <v>86</v>
      </c>
      <c r="K3090" s="33" t="s">
        <v>162</v>
      </c>
      <c r="L3090" s="31" t="str">
        <f t="shared" si="298"/>
        <v>Delapan Puluh Enam</v>
      </c>
    </row>
    <row r="3091" spans="10:12">
      <c r="J3091" s="31">
        <v>87</v>
      </c>
      <c r="K3091" s="33" t="s">
        <v>163</v>
      </c>
      <c r="L3091" s="31" t="str">
        <f t="shared" si="298"/>
        <v>Delapan Puluh Tujuh</v>
      </c>
    </row>
    <row r="3092" spans="10:12">
      <c r="J3092" s="31">
        <v>88</v>
      </c>
      <c r="K3092" s="33" t="s">
        <v>164</v>
      </c>
      <c r="L3092" s="31" t="str">
        <f t="shared" si="298"/>
        <v>Delapan Puluh Delapan</v>
      </c>
    </row>
    <row r="3093" spans="10:12">
      <c r="J3093" s="31">
        <v>89</v>
      </c>
      <c r="K3093" s="33" t="s">
        <v>165</v>
      </c>
      <c r="L3093" s="31" t="str">
        <f t="shared" si="298"/>
        <v>Delapan Puluh Sembilan</v>
      </c>
    </row>
    <row r="3094" spans="10:12">
      <c r="J3094" s="31">
        <v>90</v>
      </c>
      <c r="K3094" s="33" t="s">
        <v>166</v>
      </c>
      <c r="L3094" s="31" t="s">
        <v>167</v>
      </c>
    </row>
    <row r="3095" spans="10:12">
      <c r="J3095" s="31">
        <v>91</v>
      </c>
      <c r="K3095" s="33" t="s">
        <v>168</v>
      </c>
      <c r="L3095" s="31" t="str">
        <f t="shared" ref="L3095:L3103" si="299">$L$93&amp;" "&amp;L3005</f>
        <v>Sembilan Puluh Satu</v>
      </c>
    </row>
    <row r="3096" spans="10:12">
      <c r="J3096" s="31">
        <v>92</v>
      </c>
      <c r="K3096" s="33" t="s">
        <v>169</v>
      </c>
      <c r="L3096" s="31" t="str">
        <f t="shared" si="299"/>
        <v>Sembilan Puluh Dua</v>
      </c>
    </row>
    <row r="3097" spans="10:12">
      <c r="J3097" s="31">
        <v>93</v>
      </c>
      <c r="K3097" s="33" t="s">
        <v>170</v>
      </c>
      <c r="L3097" s="31" t="str">
        <f t="shared" si="299"/>
        <v>Sembilan Puluh Tiga</v>
      </c>
    </row>
    <row r="3098" spans="10:12">
      <c r="J3098" s="31">
        <v>94</v>
      </c>
      <c r="K3098" s="33" t="s">
        <v>171</v>
      </c>
      <c r="L3098" s="31" t="str">
        <f t="shared" si="299"/>
        <v>Sembilan Puluh Empat</v>
      </c>
    </row>
    <row r="3099" spans="10:12">
      <c r="J3099" s="31">
        <v>95</v>
      </c>
      <c r="K3099" s="33" t="s">
        <v>172</v>
      </c>
      <c r="L3099" s="31" t="str">
        <f t="shared" si="299"/>
        <v>Sembilan Puluh Lima</v>
      </c>
    </row>
    <row r="3100" spans="10:12">
      <c r="J3100" s="31">
        <v>96</v>
      </c>
      <c r="K3100" s="33" t="s">
        <v>173</v>
      </c>
      <c r="L3100" s="31" t="str">
        <f t="shared" si="299"/>
        <v>Sembilan Puluh Enam</v>
      </c>
    </row>
    <row r="3101" spans="10:12">
      <c r="J3101" s="31">
        <v>97</v>
      </c>
      <c r="K3101" s="33" t="s">
        <v>174</v>
      </c>
      <c r="L3101" s="31" t="str">
        <f t="shared" si="299"/>
        <v>Sembilan Puluh Tujuh</v>
      </c>
    </row>
    <row r="3102" spans="10:12">
      <c r="J3102" s="31">
        <v>98</v>
      </c>
      <c r="K3102" s="33" t="s">
        <v>175</v>
      </c>
      <c r="L3102" s="31" t="str">
        <f t="shared" si="299"/>
        <v>Sembilan Puluh Delapan</v>
      </c>
    </row>
    <row r="3103" spans="10:12">
      <c r="J3103" s="31">
        <v>99</v>
      </c>
      <c r="K3103" s="33" t="s">
        <v>176</v>
      </c>
      <c r="L3103" s="31" t="str">
        <f t="shared" si="299"/>
        <v>Sembilan Puluh Sembilan</v>
      </c>
    </row>
    <row r="3105" spans="1:12">
      <c r="A3105" s="30" t="e">
        <f>#REF!</f>
        <v>#REF!</v>
      </c>
      <c r="C3105" s="31" t="s">
        <v>230</v>
      </c>
    </row>
    <row r="3106" spans="1:12">
      <c r="A3106" s="32"/>
    </row>
    <row r="3107" spans="1:12">
      <c r="J3107" s="31">
        <v>0</v>
      </c>
      <c r="K3107" s="33" t="s">
        <v>48</v>
      </c>
      <c r="L3107" s="31" t="s">
        <v>49</v>
      </c>
    </row>
    <row r="3108" spans="1:12">
      <c r="A3108" s="34"/>
      <c r="J3108" s="31">
        <v>1</v>
      </c>
      <c r="K3108" s="33" t="s">
        <v>50</v>
      </c>
      <c r="L3108" s="31" t="s">
        <v>51</v>
      </c>
    </row>
    <row r="3109" spans="1:12">
      <c r="A3109" s="255" t="e">
        <f>TRIM(D3117&amp;E3117&amp;D3118&amp;E3118&amp;D3119&amp;E3119&amp;D3120&amp;E3120&amp;D3121&amp;E3121&amp;D3122&amp;E3122&amp;E3123&amp;D3123&amp;" Only")</f>
        <v>#REF!</v>
      </c>
      <c r="B3109" s="255"/>
      <c r="C3109" s="255"/>
      <c r="D3109" s="255"/>
      <c r="E3109" s="35"/>
      <c r="F3109" s="36"/>
      <c r="J3109" s="31">
        <v>2</v>
      </c>
      <c r="K3109" s="33" t="s">
        <v>52</v>
      </c>
      <c r="L3109" s="31" t="s">
        <v>53</v>
      </c>
    </row>
    <row r="3110" spans="1:12">
      <c r="A3110" s="37"/>
      <c r="B3110" s="37"/>
      <c r="C3110" s="37"/>
      <c r="D3110" s="37"/>
      <c r="E3110" s="35"/>
      <c r="F3110" s="36"/>
      <c r="J3110" s="31">
        <v>3</v>
      </c>
      <c r="K3110" s="33" t="s">
        <v>54</v>
      </c>
      <c r="L3110" s="31" t="s">
        <v>55</v>
      </c>
    </row>
    <row r="3111" spans="1:12">
      <c r="A3111" s="37"/>
      <c r="B3111" s="37"/>
      <c r="C3111" s="37"/>
      <c r="D3111" s="37"/>
      <c r="J3111" s="31">
        <v>4</v>
      </c>
      <c r="K3111" s="33" t="s">
        <v>56</v>
      </c>
      <c r="L3111" s="31" t="s">
        <v>57</v>
      </c>
    </row>
    <row r="3112" spans="1:12">
      <c r="A3112" s="255" t="e">
        <f>TRIM(D3127&amp;E3127&amp;D3128&amp;E3128&amp;D3129&amp;E3129&amp;D3130&amp;E3130&amp;D3131&amp;E3131&amp;D3132&amp;E3132&amp;D3133&amp;E3133&amp;" Rupiah")</f>
        <v>#REF!</v>
      </c>
      <c r="B3112" s="255"/>
      <c r="C3112" s="255"/>
      <c r="D3112" s="255"/>
      <c r="E3112" s="35"/>
      <c r="F3112" s="36"/>
      <c r="J3112" s="31">
        <v>5</v>
      </c>
      <c r="K3112" s="33" t="s">
        <v>58</v>
      </c>
      <c r="L3112" s="31" t="s">
        <v>59</v>
      </c>
    </row>
    <row r="3113" spans="1:12">
      <c r="A3113" s="35"/>
      <c r="B3113" s="35"/>
      <c r="C3113" s="35"/>
      <c r="D3113" s="35"/>
      <c r="E3113" s="35"/>
      <c r="F3113" s="36"/>
      <c r="J3113" s="31">
        <v>6</v>
      </c>
      <c r="K3113" s="33" t="s">
        <v>60</v>
      </c>
      <c r="L3113" s="31" t="s">
        <v>61</v>
      </c>
    </row>
    <row r="3114" spans="1:12">
      <c r="J3114" s="31">
        <v>7</v>
      </c>
      <c r="K3114" s="33" t="s">
        <v>62</v>
      </c>
      <c r="L3114" s="31" t="s">
        <v>63</v>
      </c>
    </row>
    <row r="3115" spans="1:12">
      <c r="J3115" s="31">
        <v>8</v>
      </c>
      <c r="K3115" s="33" t="s">
        <v>64</v>
      </c>
      <c r="L3115" s="31" t="s">
        <v>65</v>
      </c>
    </row>
    <row r="3116" spans="1:12">
      <c r="A3116" s="38" t="s">
        <v>66</v>
      </c>
      <c r="J3116" s="31">
        <v>9</v>
      </c>
      <c r="K3116" s="33" t="s">
        <v>67</v>
      </c>
      <c r="L3116" s="31" t="s">
        <v>68</v>
      </c>
    </row>
    <row r="3117" spans="1:12">
      <c r="A3117" s="31" t="s">
        <v>69</v>
      </c>
      <c r="B3117" s="39" t="e">
        <f>TRUNC(A3105/100000000)</f>
        <v>#REF!</v>
      </c>
      <c r="C3117" s="31" t="e">
        <f>B3117*100000000</f>
        <v>#REF!</v>
      </c>
      <c r="D3117" s="31" t="e">
        <f t="shared" ref="D3117:D3123" si="300">IF(B3117&lt;1,"",VLOOKUP(B3117,$J$3:$K$102,2))</f>
        <v>#REF!</v>
      </c>
      <c r="E3117" s="31" t="e">
        <f>IF(B3117&lt;1,"",IF(B3117&gt;1," Hundreds "," Hundred "))</f>
        <v>#REF!</v>
      </c>
      <c r="J3117" s="31">
        <v>10</v>
      </c>
      <c r="K3117" s="33" t="s">
        <v>70</v>
      </c>
      <c r="L3117" s="31" t="s">
        <v>71</v>
      </c>
    </row>
    <row r="3118" spans="1:12">
      <c r="A3118" s="31" t="s">
        <v>72</v>
      </c>
      <c r="B3118" s="39" t="e">
        <f>TRUNC((A3105-C3117)/1000000)</f>
        <v>#REF!</v>
      </c>
      <c r="C3118" s="31" t="e">
        <f>B3118*1000000</f>
        <v>#REF!</v>
      </c>
      <c r="D3118" s="31" t="e">
        <f t="shared" si="300"/>
        <v>#REF!</v>
      </c>
      <c r="E3118" s="31" t="e">
        <f>IF(B3117+B3118=0,"",IF(B3118=1," Million "," Millions "))</f>
        <v>#REF!</v>
      </c>
      <c r="J3118" s="31">
        <v>11</v>
      </c>
      <c r="K3118" s="33" t="s">
        <v>73</v>
      </c>
      <c r="L3118" s="31" t="s">
        <v>74</v>
      </c>
    </row>
    <row r="3119" spans="1:12">
      <c r="A3119" s="31" t="s">
        <v>75</v>
      </c>
      <c r="B3119" s="39" t="e">
        <f>TRUNC((A3105-SUM(C3117:C3118))/100000)</f>
        <v>#REF!</v>
      </c>
      <c r="C3119" s="31" t="e">
        <f>B3119*100000</f>
        <v>#REF!</v>
      </c>
      <c r="D3119" s="31" t="e">
        <f t="shared" si="300"/>
        <v>#REF!</v>
      </c>
      <c r="E3119" s="31" t="e">
        <f>IF(B3119&lt;1,"",IF(B3119&gt;1," Hundreds "," Hundred "))</f>
        <v>#REF!</v>
      </c>
      <c r="J3119" s="31">
        <v>12</v>
      </c>
      <c r="K3119" s="33" t="s">
        <v>76</v>
      </c>
      <c r="L3119" s="31" t="str">
        <f t="shared" ref="L3119:L3126" si="301">L3109&amp;" Belas"</f>
        <v>Dua Belas</v>
      </c>
    </row>
    <row r="3120" spans="1:12">
      <c r="A3120" s="33" t="s">
        <v>77</v>
      </c>
      <c r="B3120" s="40" t="e">
        <f>TRUNC((A3105-SUM(C3117:C3119))/1000)</f>
        <v>#REF!</v>
      </c>
      <c r="C3120" s="31" t="e">
        <f>B3120*1000</f>
        <v>#REF!</v>
      </c>
      <c r="D3120" s="31" t="e">
        <f t="shared" si="300"/>
        <v>#REF!</v>
      </c>
      <c r="E3120" s="31" t="e">
        <f>IF(B3119+B3120=0,"",IF(B3120=1," Thousand "," Thousands "))</f>
        <v>#REF!</v>
      </c>
      <c r="J3120" s="31">
        <v>13</v>
      </c>
      <c r="K3120" s="33" t="s">
        <v>78</v>
      </c>
      <c r="L3120" s="31" t="str">
        <f t="shared" si="301"/>
        <v>Tiga Belas</v>
      </c>
    </row>
    <row r="3121" spans="1:12">
      <c r="A3121" s="33" t="s">
        <v>79</v>
      </c>
      <c r="B3121" s="40" t="e">
        <f>TRUNC((A3105-SUM(C3117:C3120))/100)</f>
        <v>#REF!</v>
      </c>
      <c r="C3121" s="31" t="e">
        <f>B3121*100</f>
        <v>#REF!</v>
      </c>
      <c r="D3121" s="31" t="e">
        <f t="shared" si="300"/>
        <v>#REF!</v>
      </c>
      <c r="E3121" s="31" t="e">
        <f>IF(B3121&lt;1,"",IF(B3121&gt;1," Hundreds "," Hundred "))</f>
        <v>#REF!</v>
      </c>
      <c r="J3121" s="31">
        <v>14</v>
      </c>
      <c r="K3121" s="33" t="s">
        <v>80</v>
      </c>
      <c r="L3121" s="31" t="str">
        <f t="shared" si="301"/>
        <v>Empat Belas</v>
      </c>
    </row>
    <row r="3122" spans="1:12">
      <c r="A3122" s="33" t="s">
        <v>81</v>
      </c>
      <c r="B3122" s="41" t="e">
        <f>TRUNC((A3105-SUM(C3117:C3121)))</f>
        <v>#REF!</v>
      </c>
      <c r="C3122" s="42" t="e">
        <f>B3122</f>
        <v>#REF!</v>
      </c>
      <c r="D3122" s="31" t="e">
        <f t="shared" si="300"/>
        <v>#REF!</v>
      </c>
      <c r="E3122" s="31" t="e">
        <f>IF(SUM(C3117:C3122)&lt;1,"",IF(B3123&lt;1,""," And "))</f>
        <v>#REF!</v>
      </c>
      <c r="J3122" s="31">
        <v>15</v>
      </c>
      <c r="K3122" s="33" t="s">
        <v>82</v>
      </c>
      <c r="L3122" s="31" t="str">
        <f t="shared" si="301"/>
        <v>Lima Belas</v>
      </c>
    </row>
    <row r="3123" spans="1:12">
      <c r="A3123" s="33" t="s">
        <v>83</v>
      </c>
      <c r="B3123" s="40" t="e">
        <f>ROUND(A3105-SUM(C3117:C3122),2)*100</f>
        <v>#REF!</v>
      </c>
      <c r="D3123" s="43" t="e">
        <f t="shared" si="300"/>
        <v>#REF!</v>
      </c>
      <c r="E3123" s="31" t="e">
        <f>IF(B3123&lt;1,"",IF(B3123=1," Cent "," Cents "))</f>
        <v>#REF!</v>
      </c>
      <c r="J3123" s="31">
        <v>16</v>
      </c>
      <c r="K3123" s="33" t="s">
        <v>84</v>
      </c>
      <c r="L3123" s="31" t="str">
        <f t="shared" si="301"/>
        <v>Enam Belas</v>
      </c>
    </row>
    <row r="3124" spans="1:12">
      <c r="J3124" s="31">
        <v>17</v>
      </c>
      <c r="K3124" s="33" t="s">
        <v>85</v>
      </c>
      <c r="L3124" s="31" t="str">
        <f t="shared" si="301"/>
        <v>Tujuh Belas</v>
      </c>
    </row>
    <row r="3125" spans="1:12">
      <c r="A3125" s="44"/>
      <c r="J3125" s="31">
        <v>18</v>
      </c>
      <c r="K3125" s="33" t="s">
        <v>86</v>
      </c>
      <c r="L3125" s="31" t="str">
        <f t="shared" si="301"/>
        <v>Delapan Belas</v>
      </c>
    </row>
    <row r="3126" spans="1:12">
      <c r="A3126" s="38" t="s">
        <v>87</v>
      </c>
      <c r="J3126" s="31">
        <v>19</v>
      </c>
      <c r="K3126" s="33" t="s">
        <v>88</v>
      </c>
      <c r="L3126" s="31" t="str">
        <f t="shared" si="301"/>
        <v>Sembilan Belas</v>
      </c>
    </row>
    <row r="3127" spans="1:12">
      <c r="A3127" s="31" t="s">
        <v>69</v>
      </c>
      <c r="B3127" s="39" t="e">
        <f>TRUNC(A3105/100000000)</f>
        <v>#REF!</v>
      </c>
      <c r="C3127" s="31" t="e">
        <f>B3127*100000000</f>
        <v>#REF!</v>
      </c>
      <c r="D3127" s="31" t="e">
        <f>IF(B3127&lt;1,"",IF(B3127=1,"",VLOOKUP(B3127,$J$3:$L$102,3)))</f>
        <v>#REF!</v>
      </c>
      <c r="E3127" s="31" t="e">
        <f>IF(B3127&lt;1,"",IF(B3127=1,"Seratus "," Ratus "))</f>
        <v>#REF!</v>
      </c>
      <c r="J3127" s="31">
        <v>20</v>
      </c>
      <c r="K3127" s="33" t="s">
        <v>89</v>
      </c>
      <c r="L3127" s="31" t="s">
        <v>90</v>
      </c>
    </row>
    <row r="3128" spans="1:12">
      <c r="A3128" s="31" t="s">
        <v>72</v>
      </c>
      <c r="B3128" s="39" t="e">
        <f>TRUNC((A3105-C3127)/1000000)</f>
        <v>#REF!</v>
      </c>
      <c r="C3128" s="31" t="e">
        <f>B3128*1000000</f>
        <v>#REF!</v>
      </c>
      <c r="D3128" s="31" t="e">
        <f>IF(B3128&lt;1,"",VLOOKUP(B3128,$J$3:$L$102,3))</f>
        <v>#REF!</v>
      </c>
      <c r="E3128" s="31" t="e">
        <f>IF(B3127+B3128=0,""," Juta ")</f>
        <v>#REF!</v>
      </c>
      <c r="J3128" s="31">
        <v>21</v>
      </c>
      <c r="K3128" s="33" t="s">
        <v>91</v>
      </c>
      <c r="L3128" s="31" t="str">
        <f t="shared" ref="L3128:L3136" si="302">$L$23&amp;" "&amp;L3108</f>
        <v>Dua Puluh Satu</v>
      </c>
    </row>
    <row r="3129" spans="1:12">
      <c r="A3129" s="31" t="s">
        <v>75</v>
      </c>
      <c r="B3129" s="39" t="e">
        <f>TRUNC((A3105-SUM(C3127:C3128))/100000)</f>
        <v>#REF!</v>
      </c>
      <c r="C3129" s="31" t="e">
        <f>B3129*100000</f>
        <v>#REF!</v>
      </c>
      <c r="D3129" s="31" t="e">
        <f>IF(B3129&lt;1,"",IF(B3129=1,"",VLOOKUP(B3129,$J$3:$L$102,3)))</f>
        <v>#REF!</v>
      </c>
      <c r="E3129" s="31" t="e">
        <f>IF(B3129&lt;1,"",IF(B3129=1," Seratus "," Ratus "))</f>
        <v>#REF!</v>
      </c>
      <c r="J3129" s="31">
        <v>22</v>
      </c>
      <c r="K3129" s="33" t="s">
        <v>92</v>
      </c>
      <c r="L3129" s="31" t="str">
        <f t="shared" si="302"/>
        <v>Dua Puluh Dua</v>
      </c>
    </row>
    <row r="3130" spans="1:12">
      <c r="A3130" s="33" t="s">
        <v>77</v>
      </c>
      <c r="B3130" s="40" t="e">
        <f>TRUNC((A3105-SUM(C3127:C3129))/1000)</f>
        <v>#REF!</v>
      </c>
      <c r="C3130" s="31" t="e">
        <f>B3130*1000</f>
        <v>#REF!</v>
      </c>
      <c r="D3130" s="31" t="e">
        <f>IF(B3130&lt;1,"",IF(B3130=1,"",VLOOKUP(B3130,$J$3:$L$102,3)))</f>
        <v>#REF!</v>
      </c>
      <c r="E3130" s="31" t="e">
        <f>IF(B3129+B3130&lt;1,"",IF(B3130=1," Seribu "," Ribu "))</f>
        <v>#REF!</v>
      </c>
      <c r="J3130" s="31">
        <v>23</v>
      </c>
      <c r="K3130" s="33" t="s">
        <v>93</v>
      </c>
      <c r="L3130" s="31" t="str">
        <f t="shared" si="302"/>
        <v>Dua Puluh Tiga</v>
      </c>
    </row>
    <row r="3131" spans="1:12">
      <c r="A3131" s="33" t="s">
        <v>79</v>
      </c>
      <c r="B3131" s="40" t="e">
        <f>TRUNC((A3105-SUM(C3127:C3130))/100)</f>
        <v>#REF!</v>
      </c>
      <c r="C3131" s="31" t="e">
        <f>B3131*100</f>
        <v>#REF!</v>
      </c>
      <c r="D3131" s="31" t="e">
        <f>IF(B3131&lt;1,"",IF(B3131=1,"",VLOOKUP(B3131,$J$3:$L$102,3)))</f>
        <v>#REF!</v>
      </c>
      <c r="E3131" s="31" t="e">
        <f>IF(B3131&lt;1,"",IF(B3131=1," Seratus "," Ratus "))</f>
        <v>#REF!</v>
      </c>
      <c r="J3131" s="31">
        <v>24</v>
      </c>
      <c r="K3131" s="33" t="s">
        <v>94</v>
      </c>
      <c r="L3131" s="31" t="str">
        <f t="shared" si="302"/>
        <v>Dua Puluh Empat</v>
      </c>
    </row>
    <row r="3132" spans="1:12">
      <c r="A3132" s="33" t="s">
        <v>81</v>
      </c>
      <c r="B3132" s="41" t="e">
        <f>TRUNC((A3105-SUM(C3127:C3131)))</f>
        <v>#REF!</v>
      </c>
      <c r="C3132" s="42" t="e">
        <f>B3132</f>
        <v>#REF!</v>
      </c>
      <c r="D3132" s="31" t="e">
        <f>IF(B3132&lt;1,"",VLOOKUP(B3132,$J$3:$L$102,3))</f>
        <v>#REF!</v>
      </c>
      <c r="E3132" s="31" t="e">
        <f>IF(SUM(C3127:C3132)&lt;1,"",IF(B3133&lt;1,""," Dan "))</f>
        <v>#REF!</v>
      </c>
      <c r="J3132" s="31">
        <v>25</v>
      </c>
      <c r="K3132" s="33" t="s">
        <v>95</v>
      </c>
      <c r="L3132" s="31" t="str">
        <f t="shared" si="302"/>
        <v>Dua Puluh Lima</v>
      </c>
    </row>
    <row r="3133" spans="1:12">
      <c r="A3133" s="33" t="s">
        <v>83</v>
      </c>
      <c r="B3133" s="40" t="e">
        <f>ROUND(A3105-SUM(C3127:C3132),2)*100</f>
        <v>#REF!</v>
      </c>
      <c r="D3133" s="31" t="e">
        <f>IF(B3133&lt;1,"",VLOOKUP(B3133,$J$3:$L$102,3))</f>
        <v>#REF!</v>
      </c>
      <c r="E3133" s="31" t="e">
        <f>IF(B3133&lt;1,""," Sen ")</f>
        <v>#REF!</v>
      </c>
      <c r="J3133" s="31">
        <v>26</v>
      </c>
      <c r="K3133" s="33" t="s">
        <v>96</v>
      </c>
      <c r="L3133" s="31" t="str">
        <f t="shared" si="302"/>
        <v>Dua Puluh Enam</v>
      </c>
    </row>
    <row r="3134" spans="1:12">
      <c r="J3134" s="31">
        <v>27</v>
      </c>
      <c r="K3134" s="33" t="s">
        <v>97</v>
      </c>
      <c r="L3134" s="31" t="str">
        <f t="shared" si="302"/>
        <v>Dua Puluh Tujuh</v>
      </c>
    </row>
    <row r="3135" spans="1:12">
      <c r="J3135" s="31">
        <v>28</v>
      </c>
      <c r="K3135" s="33" t="s">
        <v>98</v>
      </c>
      <c r="L3135" s="31" t="str">
        <f t="shared" si="302"/>
        <v>Dua Puluh Delapan</v>
      </c>
    </row>
    <row r="3136" spans="1:12">
      <c r="J3136" s="31">
        <v>29</v>
      </c>
      <c r="K3136" s="33" t="s">
        <v>99</v>
      </c>
      <c r="L3136" s="31" t="str">
        <f t="shared" si="302"/>
        <v>Dua Puluh Sembilan</v>
      </c>
    </row>
    <row r="3137" spans="1:12">
      <c r="J3137" s="31">
        <v>30</v>
      </c>
      <c r="K3137" s="33" t="s">
        <v>100</v>
      </c>
      <c r="L3137" s="31" t="s">
        <v>101</v>
      </c>
    </row>
    <row r="3138" spans="1:12">
      <c r="J3138" s="31">
        <v>31</v>
      </c>
      <c r="K3138" s="33" t="s">
        <v>102</v>
      </c>
      <c r="L3138" s="31" t="str">
        <f t="shared" ref="L3138:L3146" si="303">$L$33&amp;" "&amp;L3108</f>
        <v>Tiga Puluh Satu</v>
      </c>
    </row>
    <row r="3139" spans="1:12">
      <c r="J3139" s="31">
        <v>32</v>
      </c>
      <c r="K3139" s="33" t="s">
        <v>103</v>
      </c>
      <c r="L3139" s="31" t="str">
        <f t="shared" si="303"/>
        <v>Tiga Puluh Dua</v>
      </c>
    </row>
    <row r="3140" spans="1:12">
      <c r="J3140" s="31">
        <v>33</v>
      </c>
      <c r="K3140" s="33" t="s">
        <v>104</v>
      </c>
      <c r="L3140" s="31" t="str">
        <f t="shared" si="303"/>
        <v>Tiga Puluh Tiga</v>
      </c>
    </row>
    <row r="3141" spans="1:12">
      <c r="J3141" s="31">
        <v>34</v>
      </c>
      <c r="K3141" s="33" t="s">
        <v>105</v>
      </c>
      <c r="L3141" s="31" t="str">
        <f t="shared" si="303"/>
        <v>Tiga Puluh Empat</v>
      </c>
    </row>
    <row r="3142" spans="1:12">
      <c r="J3142" s="31">
        <v>35</v>
      </c>
      <c r="K3142" s="33" t="s">
        <v>106</v>
      </c>
      <c r="L3142" s="31" t="str">
        <f t="shared" si="303"/>
        <v>Tiga Puluh Lima</v>
      </c>
    </row>
    <row r="3143" spans="1:12">
      <c r="J3143" s="31">
        <v>36</v>
      </c>
      <c r="K3143" s="33" t="s">
        <v>107</v>
      </c>
      <c r="L3143" s="31" t="str">
        <f t="shared" si="303"/>
        <v>Tiga Puluh Enam</v>
      </c>
    </row>
    <row r="3144" spans="1:12">
      <c r="J3144" s="31">
        <v>37</v>
      </c>
      <c r="K3144" s="33" t="s">
        <v>108</v>
      </c>
      <c r="L3144" s="31" t="str">
        <f t="shared" si="303"/>
        <v>Tiga Puluh Tujuh</v>
      </c>
    </row>
    <row r="3145" spans="1:12">
      <c r="J3145" s="31">
        <v>38</v>
      </c>
      <c r="K3145" s="33" t="s">
        <v>109</v>
      </c>
      <c r="L3145" s="31" t="str">
        <f t="shared" si="303"/>
        <v>Tiga Puluh Delapan</v>
      </c>
    </row>
    <row r="3146" spans="1:12">
      <c r="J3146" s="31">
        <v>39</v>
      </c>
      <c r="K3146" s="33" t="s">
        <v>110</v>
      </c>
      <c r="L3146" s="31" t="str">
        <f t="shared" si="303"/>
        <v>Tiga Puluh Sembilan</v>
      </c>
    </row>
    <row r="3147" spans="1:12">
      <c r="B3147" s="35"/>
      <c r="C3147" s="35"/>
      <c r="D3147" s="35"/>
      <c r="J3147" s="31">
        <v>40</v>
      </c>
      <c r="K3147" s="33" t="s">
        <v>111</v>
      </c>
      <c r="L3147" s="31" t="s">
        <v>112</v>
      </c>
    </row>
    <row r="3148" spans="1:12">
      <c r="A3148" s="35"/>
      <c r="B3148" s="35"/>
      <c r="C3148" s="35"/>
      <c r="D3148" s="35"/>
      <c r="J3148" s="31">
        <v>41</v>
      </c>
      <c r="K3148" s="33" t="s">
        <v>113</v>
      </c>
      <c r="L3148" s="31" t="str">
        <f t="shared" ref="L3148:L3156" si="304">$L$43&amp;" "&amp;L3108</f>
        <v>Empat Puluh Satu</v>
      </c>
    </row>
    <row r="3149" spans="1:12">
      <c r="J3149" s="31">
        <v>42</v>
      </c>
      <c r="K3149" s="33" t="s">
        <v>114</v>
      </c>
      <c r="L3149" s="31" t="str">
        <f t="shared" si="304"/>
        <v>Empat Puluh Dua</v>
      </c>
    </row>
    <row r="3150" spans="1:12">
      <c r="A3150" s="38"/>
      <c r="J3150" s="31">
        <v>43</v>
      </c>
      <c r="K3150" s="33" t="s">
        <v>115</v>
      </c>
      <c r="L3150" s="31" t="str">
        <f t="shared" si="304"/>
        <v>Empat Puluh Tiga</v>
      </c>
    </row>
    <row r="3151" spans="1:12">
      <c r="J3151" s="31">
        <v>44</v>
      </c>
      <c r="K3151" s="33" t="s">
        <v>116</v>
      </c>
      <c r="L3151" s="31" t="str">
        <f t="shared" si="304"/>
        <v>Empat Puluh Empat</v>
      </c>
    </row>
    <row r="3152" spans="1:12">
      <c r="J3152" s="31">
        <v>45</v>
      </c>
      <c r="K3152" s="33" t="s">
        <v>117</v>
      </c>
      <c r="L3152" s="31" t="str">
        <f t="shared" si="304"/>
        <v>Empat Puluh Lima</v>
      </c>
    </row>
    <row r="3153" spans="10:12">
      <c r="J3153" s="31">
        <v>46</v>
      </c>
      <c r="K3153" s="33" t="s">
        <v>118</v>
      </c>
      <c r="L3153" s="31" t="str">
        <f t="shared" si="304"/>
        <v>Empat Puluh Enam</v>
      </c>
    </row>
    <row r="3154" spans="10:12">
      <c r="J3154" s="31">
        <v>47</v>
      </c>
      <c r="K3154" s="33" t="s">
        <v>119</v>
      </c>
      <c r="L3154" s="31" t="str">
        <f t="shared" si="304"/>
        <v>Empat Puluh Tujuh</v>
      </c>
    </row>
    <row r="3155" spans="10:12">
      <c r="J3155" s="31">
        <v>48</v>
      </c>
      <c r="K3155" s="33" t="s">
        <v>120</v>
      </c>
      <c r="L3155" s="31" t="str">
        <f t="shared" si="304"/>
        <v>Empat Puluh Delapan</v>
      </c>
    </row>
    <row r="3156" spans="10:12">
      <c r="J3156" s="31">
        <v>49</v>
      </c>
      <c r="K3156" s="33" t="s">
        <v>121</v>
      </c>
      <c r="L3156" s="31" t="str">
        <f t="shared" si="304"/>
        <v>Empat Puluh Sembilan</v>
      </c>
    </row>
    <row r="3157" spans="10:12">
      <c r="J3157" s="31">
        <v>50</v>
      </c>
      <c r="K3157" s="33" t="s">
        <v>122</v>
      </c>
      <c r="L3157" s="31" t="s">
        <v>123</v>
      </c>
    </row>
    <row r="3158" spans="10:12">
      <c r="J3158" s="31">
        <v>51</v>
      </c>
      <c r="K3158" s="33" t="s">
        <v>124</v>
      </c>
      <c r="L3158" s="31" t="str">
        <f t="shared" ref="L3158:L3166" si="305">$L$53&amp;" "&amp;L3108</f>
        <v>Lima Puluh Satu</v>
      </c>
    </row>
    <row r="3159" spans="10:12">
      <c r="J3159" s="31">
        <v>52</v>
      </c>
      <c r="K3159" s="33" t="s">
        <v>125</v>
      </c>
      <c r="L3159" s="31" t="str">
        <f t="shared" si="305"/>
        <v>Lima Puluh Dua</v>
      </c>
    </row>
    <row r="3160" spans="10:12">
      <c r="J3160" s="31">
        <v>53</v>
      </c>
      <c r="K3160" s="33" t="s">
        <v>126</v>
      </c>
      <c r="L3160" s="31" t="str">
        <f t="shared" si="305"/>
        <v>Lima Puluh Tiga</v>
      </c>
    </row>
    <row r="3161" spans="10:12">
      <c r="J3161" s="31">
        <v>54</v>
      </c>
      <c r="K3161" s="33" t="s">
        <v>127</v>
      </c>
      <c r="L3161" s="31" t="str">
        <f t="shared" si="305"/>
        <v>Lima Puluh Empat</v>
      </c>
    </row>
    <row r="3162" spans="10:12">
      <c r="J3162" s="31">
        <v>55</v>
      </c>
      <c r="K3162" s="33" t="s">
        <v>128</v>
      </c>
      <c r="L3162" s="31" t="str">
        <f t="shared" si="305"/>
        <v>Lima Puluh Lima</v>
      </c>
    </row>
    <row r="3163" spans="10:12">
      <c r="J3163" s="31">
        <v>56</v>
      </c>
      <c r="K3163" s="33" t="s">
        <v>129</v>
      </c>
      <c r="L3163" s="31" t="str">
        <f t="shared" si="305"/>
        <v>Lima Puluh Enam</v>
      </c>
    </row>
    <row r="3164" spans="10:12">
      <c r="J3164" s="31">
        <v>57</v>
      </c>
      <c r="K3164" s="33" t="s">
        <v>130</v>
      </c>
      <c r="L3164" s="31" t="str">
        <f t="shared" si="305"/>
        <v>Lima Puluh Tujuh</v>
      </c>
    </row>
    <row r="3165" spans="10:12">
      <c r="J3165" s="31">
        <v>58</v>
      </c>
      <c r="K3165" s="33" t="s">
        <v>131</v>
      </c>
      <c r="L3165" s="31" t="str">
        <f t="shared" si="305"/>
        <v>Lima Puluh Delapan</v>
      </c>
    </row>
    <row r="3166" spans="10:12">
      <c r="J3166" s="31">
        <v>59</v>
      </c>
      <c r="K3166" s="33" t="s">
        <v>132</v>
      </c>
      <c r="L3166" s="31" t="str">
        <f t="shared" si="305"/>
        <v>Lima Puluh Sembilan</v>
      </c>
    </row>
    <row r="3167" spans="10:12">
      <c r="J3167" s="31">
        <v>60</v>
      </c>
      <c r="K3167" s="33" t="s">
        <v>133</v>
      </c>
      <c r="L3167" s="31" t="s">
        <v>134</v>
      </c>
    </row>
    <row r="3168" spans="10:12">
      <c r="J3168" s="31">
        <v>61</v>
      </c>
      <c r="K3168" s="33" t="s">
        <v>135</v>
      </c>
      <c r="L3168" s="31" t="str">
        <f t="shared" ref="L3168:L3176" si="306">$L$63&amp;" "&amp;L3108</f>
        <v>Enam Puluh Satu</v>
      </c>
    </row>
    <row r="3169" spans="10:12">
      <c r="J3169" s="31">
        <v>62</v>
      </c>
      <c r="K3169" s="33" t="s">
        <v>136</v>
      </c>
      <c r="L3169" s="31" t="str">
        <f t="shared" si="306"/>
        <v>Enam Puluh Dua</v>
      </c>
    </row>
    <row r="3170" spans="10:12">
      <c r="J3170" s="31">
        <v>63</v>
      </c>
      <c r="K3170" s="33" t="s">
        <v>137</v>
      </c>
      <c r="L3170" s="31" t="str">
        <f t="shared" si="306"/>
        <v>Enam Puluh Tiga</v>
      </c>
    </row>
    <row r="3171" spans="10:12">
      <c r="J3171" s="31">
        <v>64</v>
      </c>
      <c r="K3171" s="33" t="s">
        <v>138</v>
      </c>
      <c r="L3171" s="31" t="str">
        <f t="shared" si="306"/>
        <v>Enam Puluh Empat</v>
      </c>
    </row>
    <row r="3172" spans="10:12">
      <c r="J3172" s="31">
        <v>65</v>
      </c>
      <c r="K3172" s="33" t="s">
        <v>139</v>
      </c>
      <c r="L3172" s="31" t="str">
        <f t="shared" si="306"/>
        <v>Enam Puluh Lima</v>
      </c>
    </row>
    <row r="3173" spans="10:12">
      <c r="J3173" s="31">
        <v>66</v>
      </c>
      <c r="K3173" s="33" t="s">
        <v>140</v>
      </c>
      <c r="L3173" s="31" t="str">
        <f t="shared" si="306"/>
        <v>Enam Puluh Enam</v>
      </c>
    </row>
    <row r="3174" spans="10:12">
      <c r="J3174" s="31">
        <v>67</v>
      </c>
      <c r="K3174" s="33" t="s">
        <v>141</v>
      </c>
      <c r="L3174" s="31" t="str">
        <f t="shared" si="306"/>
        <v>Enam Puluh Tujuh</v>
      </c>
    </row>
    <row r="3175" spans="10:12">
      <c r="J3175" s="31">
        <v>68</v>
      </c>
      <c r="K3175" s="33" t="s">
        <v>142</v>
      </c>
      <c r="L3175" s="31" t="str">
        <f t="shared" si="306"/>
        <v>Enam Puluh Delapan</v>
      </c>
    </row>
    <row r="3176" spans="10:12">
      <c r="J3176" s="31">
        <v>69</v>
      </c>
      <c r="K3176" s="33" t="s">
        <v>143</v>
      </c>
      <c r="L3176" s="31" t="str">
        <f t="shared" si="306"/>
        <v>Enam Puluh Sembilan</v>
      </c>
    </row>
    <row r="3177" spans="10:12">
      <c r="J3177" s="31">
        <v>70</v>
      </c>
      <c r="K3177" s="33" t="s">
        <v>144</v>
      </c>
      <c r="L3177" s="31" t="s">
        <v>145</v>
      </c>
    </row>
    <row r="3178" spans="10:12">
      <c r="J3178" s="31">
        <v>71</v>
      </c>
      <c r="K3178" s="33" t="s">
        <v>146</v>
      </c>
      <c r="L3178" s="31" t="str">
        <f t="shared" ref="L3178:L3186" si="307">$L$73&amp;" "&amp;L3108</f>
        <v>Tujuh Puluh Satu</v>
      </c>
    </row>
    <row r="3179" spans="10:12">
      <c r="J3179" s="31">
        <v>72</v>
      </c>
      <c r="K3179" s="33" t="s">
        <v>147</v>
      </c>
      <c r="L3179" s="31" t="str">
        <f t="shared" si="307"/>
        <v>Tujuh Puluh Dua</v>
      </c>
    </row>
    <row r="3180" spans="10:12">
      <c r="J3180" s="31">
        <v>73</v>
      </c>
      <c r="K3180" s="33" t="s">
        <v>148</v>
      </c>
      <c r="L3180" s="31" t="str">
        <f t="shared" si="307"/>
        <v>Tujuh Puluh Tiga</v>
      </c>
    </row>
    <row r="3181" spans="10:12">
      <c r="J3181" s="31">
        <v>74</v>
      </c>
      <c r="K3181" s="33" t="s">
        <v>149</v>
      </c>
      <c r="L3181" s="31" t="str">
        <f t="shared" si="307"/>
        <v>Tujuh Puluh Empat</v>
      </c>
    </row>
    <row r="3182" spans="10:12">
      <c r="J3182" s="31">
        <v>75</v>
      </c>
      <c r="K3182" s="33" t="s">
        <v>150</v>
      </c>
      <c r="L3182" s="31" t="str">
        <f t="shared" si="307"/>
        <v>Tujuh Puluh Lima</v>
      </c>
    </row>
    <row r="3183" spans="10:12">
      <c r="J3183" s="31">
        <v>76</v>
      </c>
      <c r="K3183" s="33" t="s">
        <v>151</v>
      </c>
      <c r="L3183" s="31" t="str">
        <f t="shared" si="307"/>
        <v>Tujuh Puluh Enam</v>
      </c>
    </row>
    <row r="3184" spans="10:12">
      <c r="J3184" s="31">
        <v>77</v>
      </c>
      <c r="K3184" s="33" t="s">
        <v>152</v>
      </c>
      <c r="L3184" s="31" t="str">
        <f t="shared" si="307"/>
        <v>Tujuh Puluh Tujuh</v>
      </c>
    </row>
    <row r="3185" spans="10:12">
      <c r="J3185" s="31">
        <v>78</v>
      </c>
      <c r="K3185" s="33" t="s">
        <v>153</v>
      </c>
      <c r="L3185" s="31" t="str">
        <f t="shared" si="307"/>
        <v>Tujuh Puluh Delapan</v>
      </c>
    </row>
    <row r="3186" spans="10:12">
      <c r="J3186" s="31">
        <v>79</v>
      </c>
      <c r="K3186" s="33" t="s">
        <v>154</v>
      </c>
      <c r="L3186" s="31" t="str">
        <f t="shared" si="307"/>
        <v>Tujuh Puluh Sembilan</v>
      </c>
    </row>
    <row r="3187" spans="10:12">
      <c r="J3187" s="31">
        <v>80</v>
      </c>
      <c r="K3187" s="33" t="s">
        <v>155</v>
      </c>
      <c r="L3187" s="31" t="s">
        <v>156</v>
      </c>
    </row>
    <row r="3188" spans="10:12">
      <c r="J3188" s="31">
        <v>81</v>
      </c>
      <c r="K3188" s="33" t="s">
        <v>157</v>
      </c>
      <c r="L3188" s="31" t="str">
        <f t="shared" ref="L3188:L3196" si="308">$L$83&amp;" "&amp;L3108</f>
        <v>Delapan Puluh Satu</v>
      </c>
    </row>
    <row r="3189" spans="10:12">
      <c r="J3189" s="31">
        <v>82</v>
      </c>
      <c r="K3189" s="33" t="s">
        <v>158</v>
      </c>
      <c r="L3189" s="31" t="str">
        <f t="shared" si="308"/>
        <v>Delapan Puluh Dua</v>
      </c>
    </row>
    <row r="3190" spans="10:12">
      <c r="J3190" s="31">
        <v>83</v>
      </c>
      <c r="K3190" s="33" t="s">
        <v>159</v>
      </c>
      <c r="L3190" s="31" t="str">
        <f t="shared" si="308"/>
        <v>Delapan Puluh Tiga</v>
      </c>
    </row>
    <row r="3191" spans="10:12">
      <c r="J3191" s="31">
        <v>84</v>
      </c>
      <c r="K3191" s="33" t="s">
        <v>160</v>
      </c>
      <c r="L3191" s="31" t="str">
        <f t="shared" si="308"/>
        <v>Delapan Puluh Empat</v>
      </c>
    </row>
    <row r="3192" spans="10:12">
      <c r="J3192" s="31">
        <v>85</v>
      </c>
      <c r="K3192" s="33" t="s">
        <v>161</v>
      </c>
      <c r="L3192" s="31" t="str">
        <f t="shared" si="308"/>
        <v>Delapan Puluh Lima</v>
      </c>
    </row>
    <row r="3193" spans="10:12">
      <c r="J3193" s="31">
        <v>86</v>
      </c>
      <c r="K3193" s="33" t="s">
        <v>162</v>
      </c>
      <c r="L3193" s="31" t="str">
        <f t="shared" si="308"/>
        <v>Delapan Puluh Enam</v>
      </c>
    </row>
    <row r="3194" spans="10:12">
      <c r="J3194" s="31">
        <v>87</v>
      </c>
      <c r="K3194" s="33" t="s">
        <v>163</v>
      </c>
      <c r="L3194" s="31" t="str">
        <f t="shared" si="308"/>
        <v>Delapan Puluh Tujuh</v>
      </c>
    </row>
    <row r="3195" spans="10:12">
      <c r="J3195" s="31">
        <v>88</v>
      </c>
      <c r="K3195" s="33" t="s">
        <v>164</v>
      </c>
      <c r="L3195" s="31" t="str">
        <f t="shared" si="308"/>
        <v>Delapan Puluh Delapan</v>
      </c>
    </row>
    <row r="3196" spans="10:12">
      <c r="J3196" s="31">
        <v>89</v>
      </c>
      <c r="K3196" s="33" t="s">
        <v>165</v>
      </c>
      <c r="L3196" s="31" t="str">
        <f t="shared" si="308"/>
        <v>Delapan Puluh Sembilan</v>
      </c>
    </row>
    <row r="3197" spans="10:12">
      <c r="J3197" s="31">
        <v>90</v>
      </c>
      <c r="K3197" s="33" t="s">
        <v>166</v>
      </c>
      <c r="L3197" s="31" t="s">
        <v>167</v>
      </c>
    </row>
    <row r="3198" spans="10:12">
      <c r="J3198" s="31">
        <v>91</v>
      </c>
      <c r="K3198" s="33" t="s">
        <v>168</v>
      </c>
      <c r="L3198" s="31" t="str">
        <f t="shared" ref="L3198:L3206" si="309">$L$93&amp;" "&amp;L3108</f>
        <v>Sembilan Puluh Satu</v>
      </c>
    </row>
    <row r="3199" spans="10:12">
      <c r="J3199" s="31">
        <v>92</v>
      </c>
      <c r="K3199" s="33" t="s">
        <v>169</v>
      </c>
      <c r="L3199" s="31" t="str">
        <f t="shared" si="309"/>
        <v>Sembilan Puluh Dua</v>
      </c>
    </row>
    <row r="3200" spans="10:12">
      <c r="J3200" s="31">
        <v>93</v>
      </c>
      <c r="K3200" s="33" t="s">
        <v>170</v>
      </c>
      <c r="L3200" s="31" t="str">
        <f t="shared" si="309"/>
        <v>Sembilan Puluh Tiga</v>
      </c>
    </row>
    <row r="3201" spans="1:12">
      <c r="J3201" s="31">
        <v>94</v>
      </c>
      <c r="K3201" s="33" t="s">
        <v>171</v>
      </c>
      <c r="L3201" s="31" t="str">
        <f t="shared" si="309"/>
        <v>Sembilan Puluh Empat</v>
      </c>
    </row>
    <row r="3202" spans="1:12">
      <c r="J3202" s="31">
        <v>95</v>
      </c>
      <c r="K3202" s="33" t="s">
        <v>172</v>
      </c>
      <c r="L3202" s="31" t="str">
        <f t="shared" si="309"/>
        <v>Sembilan Puluh Lima</v>
      </c>
    </row>
    <row r="3203" spans="1:12">
      <c r="J3203" s="31">
        <v>96</v>
      </c>
      <c r="K3203" s="33" t="s">
        <v>173</v>
      </c>
      <c r="L3203" s="31" t="str">
        <f t="shared" si="309"/>
        <v>Sembilan Puluh Enam</v>
      </c>
    </row>
    <row r="3204" spans="1:12">
      <c r="J3204" s="31">
        <v>97</v>
      </c>
      <c r="K3204" s="33" t="s">
        <v>174</v>
      </c>
      <c r="L3204" s="31" t="str">
        <f t="shared" si="309"/>
        <v>Sembilan Puluh Tujuh</v>
      </c>
    </row>
    <row r="3205" spans="1:12">
      <c r="J3205" s="31">
        <v>98</v>
      </c>
      <c r="K3205" s="33" t="s">
        <v>175</v>
      </c>
      <c r="L3205" s="31" t="str">
        <f t="shared" si="309"/>
        <v>Sembilan Puluh Delapan</v>
      </c>
    </row>
    <row r="3206" spans="1:12">
      <c r="J3206" s="31">
        <v>99</v>
      </c>
      <c r="K3206" s="33" t="s">
        <v>176</v>
      </c>
      <c r="L3206" s="31" t="str">
        <f t="shared" si="309"/>
        <v>Sembilan Puluh Sembilan</v>
      </c>
    </row>
    <row r="3209" spans="1:12">
      <c r="A3209" s="30" t="e">
        <f>#REF!</f>
        <v>#REF!</v>
      </c>
      <c r="C3209" s="31" t="s">
        <v>208</v>
      </c>
    </row>
    <row r="3210" spans="1:12">
      <c r="A3210" s="32"/>
    </row>
    <row r="3211" spans="1:12">
      <c r="J3211" s="31">
        <v>0</v>
      </c>
      <c r="K3211" s="33" t="s">
        <v>48</v>
      </c>
      <c r="L3211" s="31" t="s">
        <v>49</v>
      </c>
    </row>
    <row r="3212" spans="1:12">
      <c r="A3212" s="34"/>
      <c r="J3212" s="31">
        <v>1</v>
      </c>
      <c r="K3212" s="33" t="s">
        <v>50</v>
      </c>
      <c r="L3212" s="31" t="s">
        <v>51</v>
      </c>
    </row>
    <row r="3213" spans="1:12">
      <c r="A3213" s="255" t="e">
        <f>TRIM(D3221&amp;E3221&amp;D3222&amp;E3222&amp;D3223&amp;E3223&amp;D3224&amp;E3224&amp;D3225&amp;E3225&amp;D3226&amp;E3226&amp;E3227&amp;D3227&amp;" Only")</f>
        <v>#REF!</v>
      </c>
      <c r="B3213" s="255"/>
      <c r="C3213" s="255"/>
      <c r="D3213" s="255"/>
      <c r="E3213" s="35"/>
      <c r="F3213" s="36"/>
      <c r="J3213" s="31">
        <v>2</v>
      </c>
      <c r="K3213" s="33" t="s">
        <v>52</v>
      </c>
      <c r="L3213" s="31" t="s">
        <v>53</v>
      </c>
    </row>
    <row r="3214" spans="1:12">
      <c r="A3214" s="37"/>
      <c r="B3214" s="37"/>
      <c r="C3214" s="37"/>
      <c r="D3214" s="37"/>
      <c r="E3214" s="35"/>
      <c r="F3214" s="36"/>
      <c r="J3214" s="31">
        <v>3</v>
      </c>
      <c r="K3214" s="33" t="s">
        <v>54</v>
      </c>
      <c r="L3214" s="31" t="s">
        <v>55</v>
      </c>
    </row>
    <row r="3215" spans="1:12">
      <c r="A3215" s="37"/>
      <c r="B3215" s="37"/>
      <c r="C3215" s="37"/>
      <c r="D3215" s="37"/>
      <c r="J3215" s="31">
        <v>4</v>
      </c>
      <c r="K3215" s="33" t="s">
        <v>56</v>
      </c>
      <c r="L3215" s="31" t="s">
        <v>57</v>
      </c>
    </row>
    <row r="3216" spans="1:12">
      <c r="A3216" s="255" t="e">
        <f>TRIM(D3231&amp;E3231&amp;D3232&amp;E3232&amp;D3233&amp;E3233&amp;D3234&amp;E3234&amp;D3235&amp;E3235&amp;D3236&amp;E3236&amp;D3237&amp;E3237&amp;" Rupiah")</f>
        <v>#REF!</v>
      </c>
      <c r="B3216" s="255"/>
      <c r="C3216" s="255"/>
      <c r="D3216" s="255"/>
      <c r="E3216" s="35"/>
      <c r="F3216" s="36"/>
      <c r="J3216" s="31">
        <v>5</v>
      </c>
      <c r="K3216" s="33" t="s">
        <v>58</v>
      </c>
      <c r="L3216" s="31" t="s">
        <v>59</v>
      </c>
    </row>
    <row r="3217" spans="1:12">
      <c r="A3217" s="35"/>
      <c r="B3217" s="35"/>
      <c r="C3217" s="35"/>
      <c r="D3217" s="35"/>
      <c r="E3217" s="35"/>
      <c r="F3217" s="36"/>
      <c r="J3217" s="31">
        <v>6</v>
      </c>
      <c r="K3217" s="33" t="s">
        <v>60</v>
      </c>
      <c r="L3217" s="31" t="s">
        <v>61</v>
      </c>
    </row>
    <row r="3218" spans="1:12">
      <c r="J3218" s="31">
        <v>7</v>
      </c>
      <c r="K3218" s="33" t="s">
        <v>62</v>
      </c>
      <c r="L3218" s="31" t="s">
        <v>63</v>
      </c>
    </row>
    <row r="3219" spans="1:12">
      <c r="J3219" s="31">
        <v>8</v>
      </c>
      <c r="K3219" s="33" t="s">
        <v>64</v>
      </c>
      <c r="L3219" s="31" t="s">
        <v>65</v>
      </c>
    </row>
    <row r="3220" spans="1:12">
      <c r="A3220" s="38" t="s">
        <v>66</v>
      </c>
      <c r="J3220" s="31">
        <v>9</v>
      </c>
      <c r="K3220" s="33" t="s">
        <v>67</v>
      </c>
      <c r="L3220" s="31" t="s">
        <v>68</v>
      </c>
    </row>
    <row r="3221" spans="1:12">
      <c r="A3221" s="31" t="s">
        <v>69</v>
      </c>
      <c r="B3221" s="39" t="e">
        <f>TRUNC(A3209/100000000)</f>
        <v>#REF!</v>
      </c>
      <c r="C3221" s="31" t="e">
        <f>B3221*100000000</f>
        <v>#REF!</v>
      </c>
      <c r="D3221" s="31" t="e">
        <f t="shared" ref="D3221:D3227" si="310">IF(B3221&lt;1,"",VLOOKUP(B3221,$J$3:$K$102,2))</f>
        <v>#REF!</v>
      </c>
      <c r="E3221" s="31" t="e">
        <f>IF(B3221&lt;1,"",IF(B3221&gt;1," Hundreds "," Hundred "))</f>
        <v>#REF!</v>
      </c>
      <c r="J3221" s="31">
        <v>10</v>
      </c>
      <c r="K3221" s="33" t="s">
        <v>70</v>
      </c>
      <c r="L3221" s="31" t="s">
        <v>71</v>
      </c>
    </row>
    <row r="3222" spans="1:12">
      <c r="A3222" s="31" t="s">
        <v>72</v>
      </c>
      <c r="B3222" s="39" t="e">
        <f>TRUNC((A3209-C3221)/1000000)</f>
        <v>#REF!</v>
      </c>
      <c r="C3222" s="31" t="e">
        <f>B3222*1000000</f>
        <v>#REF!</v>
      </c>
      <c r="D3222" s="31" t="e">
        <f t="shared" si="310"/>
        <v>#REF!</v>
      </c>
      <c r="E3222" s="31" t="e">
        <f>IF(B3221+B3222=0,"",IF(B3222=1," Million "," Millions "))</f>
        <v>#REF!</v>
      </c>
      <c r="J3222" s="31">
        <v>11</v>
      </c>
      <c r="K3222" s="33" t="s">
        <v>73</v>
      </c>
      <c r="L3222" s="31" t="s">
        <v>74</v>
      </c>
    </row>
    <row r="3223" spans="1:12">
      <c r="A3223" s="31" t="s">
        <v>75</v>
      </c>
      <c r="B3223" s="39" t="e">
        <f>TRUNC((A3209-SUM(C3221:C3222))/100000)</f>
        <v>#REF!</v>
      </c>
      <c r="C3223" s="31" t="e">
        <f>B3223*100000</f>
        <v>#REF!</v>
      </c>
      <c r="D3223" s="31" t="e">
        <f t="shared" si="310"/>
        <v>#REF!</v>
      </c>
      <c r="E3223" s="31" t="e">
        <f>IF(B3223&lt;1,"",IF(B3223&gt;1," Hundreds "," Hundred "))</f>
        <v>#REF!</v>
      </c>
      <c r="J3223" s="31">
        <v>12</v>
      </c>
      <c r="K3223" s="33" t="s">
        <v>76</v>
      </c>
      <c r="L3223" s="31" t="str">
        <f t="shared" ref="L3223:L3230" si="311">L3213&amp;" Belas"</f>
        <v>Dua Belas</v>
      </c>
    </row>
    <row r="3224" spans="1:12">
      <c r="A3224" s="33" t="s">
        <v>77</v>
      </c>
      <c r="B3224" s="40" t="e">
        <f>TRUNC((A3209-SUM(C3221:C3223))/1000)</f>
        <v>#REF!</v>
      </c>
      <c r="C3224" s="31" t="e">
        <f>B3224*1000</f>
        <v>#REF!</v>
      </c>
      <c r="D3224" s="31" t="e">
        <f t="shared" si="310"/>
        <v>#REF!</v>
      </c>
      <c r="E3224" s="31" t="e">
        <f>IF(B3223+B3224=0,"",IF(B3224=1," Thousand "," Thousands "))</f>
        <v>#REF!</v>
      </c>
      <c r="J3224" s="31">
        <v>13</v>
      </c>
      <c r="K3224" s="33" t="s">
        <v>78</v>
      </c>
      <c r="L3224" s="31" t="str">
        <f t="shared" si="311"/>
        <v>Tiga Belas</v>
      </c>
    </row>
    <row r="3225" spans="1:12">
      <c r="A3225" s="33" t="s">
        <v>79</v>
      </c>
      <c r="B3225" s="40" t="e">
        <f>TRUNC((A3209-SUM(C3221:C3224))/100)</f>
        <v>#REF!</v>
      </c>
      <c r="C3225" s="31" t="e">
        <f>B3225*100</f>
        <v>#REF!</v>
      </c>
      <c r="D3225" s="31" t="e">
        <f t="shared" si="310"/>
        <v>#REF!</v>
      </c>
      <c r="E3225" s="31" t="e">
        <f>IF(B3225&lt;1,"",IF(B3225&gt;1," Hundreds "," Hundred "))</f>
        <v>#REF!</v>
      </c>
      <c r="J3225" s="31">
        <v>14</v>
      </c>
      <c r="K3225" s="33" t="s">
        <v>80</v>
      </c>
      <c r="L3225" s="31" t="str">
        <f t="shared" si="311"/>
        <v>Empat Belas</v>
      </c>
    </row>
    <row r="3226" spans="1:12">
      <c r="A3226" s="33" t="s">
        <v>81</v>
      </c>
      <c r="B3226" s="41" t="e">
        <f>TRUNC((A3209-SUM(C3221:C3225)))</f>
        <v>#REF!</v>
      </c>
      <c r="C3226" s="42" t="e">
        <f>B3226</f>
        <v>#REF!</v>
      </c>
      <c r="D3226" s="31" t="e">
        <f t="shared" si="310"/>
        <v>#REF!</v>
      </c>
      <c r="E3226" s="31" t="e">
        <f>IF(SUM(C3221:C3226)&lt;1,"",IF(B3227&lt;1,""," And "))</f>
        <v>#REF!</v>
      </c>
      <c r="J3226" s="31">
        <v>15</v>
      </c>
      <c r="K3226" s="33" t="s">
        <v>82</v>
      </c>
      <c r="L3226" s="31" t="str">
        <f t="shared" si="311"/>
        <v>Lima Belas</v>
      </c>
    </row>
    <row r="3227" spans="1:12">
      <c r="A3227" s="33" t="s">
        <v>83</v>
      </c>
      <c r="B3227" s="40" t="e">
        <f>ROUND(A3209-SUM(C3221:C3226),2)*100</f>
        <v>#REF!</v>
      </c>
      <c r="D3227" s="43" t="e">
        <f t="shared" si="310"/>
        <v>#REF!</v>
      </c>
      <c r="E3227" s="31" t="e">
        <f>IF(B3227&lt;1,"",IF(B3227=1," Cent "," Cents "))</f>
        <v>#REF!</v>
      </c>
      <c r="J3227" s="31">
        <v>16</v>
      </c>
      <c r="K3227" s="33" t="s">
        <v>84</v>
      </c>
      <c r="L3227" s="31" t="str">
        <f t="shared" si="311"/>
        <v>Enam Belas</v>
      </c>
    </row>
    <row r="3228" spans="1:12">
      <c r="J3228" s="31">
        <v>17</v>
      </c>
      <c r="K3228" s="33" t="s">
        <v>85</v>
      </c>
      <c r="L3228" s="31" t="str">
        <f t="shared" si="311"/>
        <v>Tujuh Belas</v>
      </c>
    </row>
    <row r="3229" spans="1:12">
      <c r="A3229" s="44"/>
      <c r="J3229" s="31">
        <v>18</v>
      </c>
      <c r="K3229" s="33" t="s">
        <v>86</v>
      </c>
      <c r="L3229" s="31" t="str">
        <f t="shared" si="311"/>
        <v>Delapan Belas</v>
      </c>
    </row>
    <row r="3230" spans="1:12">
      <c r="A3230" s="38" t="s">
        <v>87</v>
      </c>
      <c r="J3230" s="31">
        <v>19</v>
      </c>
      <c r="K3230" s="33" t="s">
        <v>88</v>
      </c>
      <c r="L3230" s="31" t="str">
        <f t="shared" si="311"/>
        <v>Sembilan Belas</v>
      </c>
    </row>
    <row r="3231" spans="1:12">
      <c r="A3231" s="31" t="s">
        <v>69</v>
      </c>
      <c r="B3231" s="39" t="e">
        <f>TRUNC(A3209/100000000)</f>
        <v>#REF!</v>
      </c>
      <c r="C3231" s="31" t="e">
        <f>B3231*100000000</f>
        <v>#REF!</v>
      </c>
      <c r="D3231" s="31" t="e">
        <f>IF(B3231&lt;1,"",IF(B3231=1,"",VLOOKUP(B3231,$J$3:$L$102,3)))</f>
        <v>#REF!</v>
      </c>
      <c r="E3231" s="31" t="e">
        <f>IF(B3231&lt;1,"",IF(B3231=1,"Seratus "," Ratus "))</f>
        <v>#REF!</v>
      </c>
      <c r="J3231" s="31">
        <v>20</v>
      </c>
      <c r="K3231" s="33" t="s">
        <v>89</v>
      </c>
      <c r="L3231" s="31" t="s">
        <v>90</v>
      </c>
    </row>
    <row r="3232" spans="1:12">
      <c r="A3232" s="31" t="s">
        <v>72</v>
      </c>
      <c r="B3232" s="39" t="e">
        <f>TRUNC((A3209-C3231)/1000000)</f>
        <v>#REF!</v>
      </c>
      <c r="C3232" s="31" t="e">
        <f>B3232*1000000</f>
        <v>#REF!</v>
      </c>
      <c r="D3232" s="31" t="e">
        <f>IF(B3232&lt;1,"",VLOOKUP(B3232,$J$3:$L$102,3))</f>
        <v>#REF!</v>
      </c>
      <c r="E3232" s="31" t="e">
        <f>IF(B3231+B3232=0,""," Juta ")</f>
        <v>#REF!</v>
      </c>
      <c r="J3232" s="31">
        <v>21</v>
      </c>
      <c r="K3232" s="33" t="s">
        <v>91</v>
      </c>
      <c r="L3232" s="31" t="str">
        <f t="shared" ref="L3232:L3240" si="312">$L$23&amp;" "&amp;L3212</f>
        <v>Dua Puluh Satu</v>
      </c>
    </row>
    <row r="3233" spans="1:12">
      <c r="A3233" s="31" t="s">
        <v>75</v>
      </c>
      <c r="B3233" s="39" t="e">
        <f>TRUNC((A3209-SUM(C3231:C3232))/100000)</f>
        <v>#REF!</v>
      </c>
      <c r="C3233" s="31" t="e">
        <f>B3233*100000</f>
        <v>#REF!</v>
      </c>
      <c r="D3233" s="31" t="e">
        <f>IF(B3233&lt;1,"",IF(B3233=1,"",VLOOKUP(B3233,$J$3:$L$102,3)))</f>
        <v>#REF!</v>
      </c>
      <c r="E3233" s="31" t="e">
        <f>IF(B3233&lt;1,"",IF(B3233=1," Seratus "," Ratus "))</f>
        <v>#REF!</v>
      </c>
      <c r="J3233" s="31">
        <v>22</v>
      </c>
      <c r="K3233" s="33" t="s">
        <v>92</v>
      </c>
      <c r="L3233" s="31" t="str">
        <f t="shared" si="312"/>
        <v>Dua Puluh Dua</v>
      </c>
    </row>
    <row r="3234" spans="1:12">
      <c r="A3234" s="33" t="s">
        <v>77</v>
      </c>
      <c r="B3234" s="40" t="e">
        <f>TRUNC((A3209-SUM(C3231:C3233))/1000)</f>
        <v>#REF!</v>
      </c>
      <c r="C3234" s="31" t="e">
        <f>B3234*1000</f>
        <v>#REF!</v>
      </c>
      <c r="D3234" s="31" t="e">
        <f>IF(B3234&lt;1,"",IF(B3234=1,"",VLOOKUP(B3234,$J$3:$L$102,3)))</f>
        <v>#REF!</v>
      </c>
      <c r="E3234" s="31" t="e">
        <f>IF(B3233+B3234&lt;1,"",IF(B3234=1," Seribu "," Ribu "))</f>
        <v>#REF!</v>
      </c>
      <c r="J3234" s="31">
        <v>23</v>
      </c>
      <c r="K3234" s="33" t="s">
        <v>93</v>
      </c>
      <c r="L3234" s="31" t="str">
        <f t="shared" si="312"/>
        <v>Dua Puluh Tiga</v>
      </c>
    </row>
    <row r="3235" spans="1:12">
      <c r="A3235" s="33" t="s">
        <v>79</v>
      </c>
      <c r="B3235" s="40" t="e">
        <f>TRUNC((A3209-SUM(C3231:C3234))/100)</f>
        <v>#REF!</v>
      </c>
      <c r="C3235" s="31" t="e">
        <f>B3235*100</f>
        <v>#REF!</v>
      </c>
      <c r="D3235" s="31" t="e">
        <f>IF(B3235&lt;1,"",IF(B3235=1,"",VLOOKUP(B3235,$J$3:$L$102,3)))</f>
        <v>#REF!</v>
      </c>
      <c r="E3235" s="31" t="e">
        <f>IF(B3235&lt;1,"",IF(B3235=1," Seratus "," Ratus "))</f>
        <v>#REF!</v>
      </c>
      <c r="J3235" s="31">
        <v>24</v>
      </c>
      <c r="K3235" s="33" t="s">
        <v>94</v>
      </c>
      <c r="L3235" s="31" t="str">
        <f t="shared" si="312"/>
        <v>Dua Puluh Empat</v>
      </c>
    </row>
    <row r="3236" spans="1:12">
      <c r="A3236" s="33" t="s">
        <v>81</v>
      </c>
      <c r="B3236" s="41" t="e">
        <f>TRUNC((A3209-SUM(C3231:C3235)))</f>
        <v>#REF!</v>
      </c>
      <c r="C3236" s="42" t="e">
        <f>B3236</f>
        <v>#REF!</v>
      </c>
      <c r="D3236" s="31" t="e">
        <f>IF(B3236&lt;1,"",VLOOKUP(B3236,$J$3:$L$102,3))</f>
        <v>#REF!</v>
      </c>
      <c r="E3236" s="31" t="e">
        <f>IF(SUM(C3231:C3236)&lt;1,"",IF(B3237&lt;1,""," Dan "))</f>
        <v>#REF!</v>
      </c>
      <c r="J3236" s="31">
        <v>25</v>
      </c>
      <c r="K3236" s="33" t="s">
        <v>95</v>
      </c>
      <c r="L3236" s="31" t="str">
        <f t="shared" si="312"/>
        <v>Dua Puluh Lima</v>
      </c>
    </row>
    <row r="3237" spans="1:12">
      <c r="A3237" s="33" t="s">
        <v>83</v>
      </c>
      <c r="B3237" s="40" t="e">
        <f>ROUND(A3209-SUM(C3231:C3236),2)*100</f>
        <v>#REF!</v>
      </c>
      <c r="D3237" s="31" t="e">
        <f>IF(B3237&lt;1,"",VLOOKUP(B3237,$J$3:$L$102,3))</f>
        <v>#REF!</v>
      </c>
      <c r="E3237" s="31" t="e">
        <f>IF(B3237&lt;1,""," Sen ")</f>
        <v>#REF!</v>
      </c>
      <c r="J3237" s="31">
        <v>26</v>
      </c>
      <c r="K3237" s="33" t="s">
        <v>96</v>
      </c>
      <c r="L3237" s="31" t="str">
        <f t="shared" si="312"/>
        <v>Dua Puluh Enam</v>
      </c>
    </row>
    <row r="3238" spans="1:12">
      <c r="J3238" s="31">
        <v>27</v>
      </c>
      <c r="K3238" s="33" t="s">
        <v>97</v>
      </c>
      <c r="L3238" s="31" t="str">
        <f t="shared" si="312"/>
        <v>Dua Puluh Tujuh</v>
      </c>
    </row>
    <row r="3239" spans="1:12">
      <c r="J3239" s="31">
        <v>28</v>
      </c>
      <c r="K3239" s="33" t="s">
        <v>98</v>
      </c>
      <c r="L3239" s="31" t="str">
        <f t="shared" si="312"/>
        <v>Dua Puluh Delapan</v>
      </c>
    </row>
    <row r="3240" spans="1:12">
      <c r="J3240" s="31">
        <v>29</v>
      </c>
      <c r="K3240" s="33" t="s">
        <v>99</v>
      </c>
      <c r="L3240" s="31" t="str">
        <f t="shared" si="312"/>
        <v>Dua Puluh Sembilan</v>
      </c>
    </row>
    <row r="3241" spans="1:12">
      <c r="J3241" s="31">
        <v>30</v>
      </c>
      <c r="K3241" s="33" t="s">
        <v>100</v>
      </c>
      <c r="L3241" s="31" t="s">
        <v>101</v>
      </c>
    </row>
    <row r="3242" spans="1:12">
      <c r="J3242" s="31">
        <v>31</v>
      </c>
      <c r="K3242" s="33" t="s">
        <v>102</v>
      </c>
      <c r="L3242" s="31" t="str">
        <f t="shared" ref="L3242:L3250" si="313">$L$33&amp;" "&amp;L3212</f>
        <v>Tiga Puluh Satu</v>
      </c>
    </row>
    <row r="3243" spans="1:12">
      <c r="J3243" s="31">
        <v>32</v>
      </c>
      <c r="K3243" s="33" t="s">
        <v>103</v>
      </c>
      <c r="L3243" s="31" t="str">
        <f t="shared" si="313"/>
        <v>Tiga Puluh Dua</v>
      </c>
    </row>
    <row r="3244" spans="1:12">
      <c r="J3244" s="31">
        <v>33</v>
      </c>
      <c r="K3244" s="33" t="s">
        <v>104</v>
      </c>
      <c r="L3244" s="31" t="str">
        <f t="shared" si="313"/>
        <v>Tiga Puluh Tiga</v>
      </c>
    </row>
    <row r="3245" spans="1:12">
      <c r="J3245" s="31">
        <v>34</v>
      </c>
      <c r="K3245" s="33" t="s">
        <v>105</v>
      </c>
      <c r="L3245" s="31" t="str">
        <f t="shared" si="313"/>
        <v>Tiga Puluh Empat</v>
      </c>
    </row>
    <row r="3246" spans="1:12">
      <c r="J3246" s="31">
        <v>35</v>
      </c>
      <c r="K3246" s="33" t="s">
        <v>106</v>
      </c>
      <c r="L3246" s="31" t="str">
        <f t="shared" si="313"/>
        <v>Tiga Puluh Lima</v>
      </c>
    </row>
    <row r="3247" spans="1:12">
      <c r="J3247" s="31">
        <v>36</v>
      </c>
      <c r="K3247" s="33" t="s">
        <v>107</v>
      </c>
      <c r="L3247" s="31" t="str">
        <f t="shared" si="313"/>
        <v>Tiga Puluh Enam</v>
      </c>
    </row>
    <row r="3248" spans="1:12">
      <c r="J3248" s="31">
        <v>37</v>
      </c>
      <c r="K3248" s="33" t="s">
        <v>108</v>
      </c>
      <c r="L3248" s="31" t="str">
        <f t="shared" si="313"/>
        <v>Tiga Puluh Tujuh</v>
      </c>
    </row>
    <row r="3249" spans="1:12">
      <c r="J3249" s="31">
        <v>38</v>
      </c>
      <c r="K3249" s="33" t="s">
        <v>109</v>
      </c>
      <c r="L3249" s="31" t="str">
        <f t="shared" si="313"/>
        <v>Tiga Puluh Delapan</v>
      </c>
    </row>
    <row r="3250" spans="1:12">
      <c r="J3250" s="31">
        <v>39</v>
      </c>
      <c r="K3250" s="33" t="s">
        <v>110</v>
      </c>
      <c r="L3250" s="31" t="str">
        <f t="shared" si="313"/>
        <v>Tiga Puluh Sembilan</v>
      </c>
    </row>
    <row r="3251" spans="1:12">
      <c r="B3251" s="35"/>
      <c r="C3251" s="35"/>
      <c r="D3251" s="35"/>
      <c r="J3251" s="31">
        <v>40</v>
      </c>
      <c r="K3251" s="33" t="s">
        <v>111</v>
      </c>
      <c r="L3251" s="31" t="s">
        <v>112</v>
      </c>
    </row>
    <row r="3252" spans="1:12">
      <c r="A3252" s="35"/>
      <c r="B3252" s="35"/>
      <c r="C3252" s="35"/>
      <c r="D3252" s="35"/>
      <c r="J3252" s="31">
        <v>41</v>
      </c>
      <c r="K3252" s="33" t="s">
        <v>113</v>
      </c>
      <c r="L3252" s="31" t="str">
        <f t="shared" ref="L3252:L3260" si="314">$L$43&amp;" "&amp;L3212</f>
        <v>Empat Puluh Satu</v>
      </c>
    </row>
    <row r="3253" spans="1:12">
      <c r="J3253" s="31">
        <v>42</v>
      </c>
      <c r="K3253" s="33" t="s">
        <v>114</v>
      </c>
      <c r="L3253" s="31" t="str">
        <f t="shared" si="314"/>
        <v>Empat Puluh Dua</v>
      </c>
    </row>
    <row r="3254" spans="1:12">
      <c r="A3254" s="38"/>
      <c r="J3254" s="31">
        <v>43</v>
      </c>
      <c r="K3254" s="33" t="s">
        <v>115</v>
      </c>
      <c r="L3254" s="31" t="str">
        <f t="shared" si="314"/>
        <v>Empat Puluh Tiga</v>
      </c>
    </row>
    <row r="3255" spans="1:12">
      <c r="J3255" s="31">
        <v>44</v>
      </c>
      <c r="K3255" s="33" t="s">
        <v>116</v>
      </c>
      <c r="L3255" s="31" t="str">
        <f t="shared" si="314"/>
        <v>Empat Puluh Empat</v>
      </c>
    </row>
    <row r="3256" spans="1:12">
      <c r="J3256" s="31">
        <v>45</v>
      </c>
      <c r="K3256" s="33" t="s">
        <v>117</v>
      </c>
      <c r="L3256" s="31" t="str">
        <f t="shared" si="314"/>
        <v>Empat Puluh Lima</v>
      </c>
    </row>
    <row r="3257" spans="1:12">
      <c r="J3257" s="31">
        <v>46</v>
      </c>
      <c r="K3257" s="33" t="s">
        <v>118</v>
      </c>
      <c r="L3257" s="31" t="str">
        <f t="shared" si="314"/>
        <v>Empat Puluh Enam</v>
      </c>
    </row>
    <row r="3258" spans="1:12">
      <c r="J3258" s="31">
        <v>47</v>
      </c>
      <c r="K3258" s="33" t="s">
        <v>119</v>
      </c>
      <c r="L3258" s="31" t="str">
        <f t="shared" si="314"/>
        <v>Empat Puluh Tujuh</v>
      </c>
    </row>
    <row r="3259" spans="1:12">
      <c r="J3259" s="31">
        <v>48</v>
      </c>
      <c r="K3259" s="33" t="s">
        <v>120</v>
      </c>
      <c r="L3259" s="31" t="str">
        <f t="shared" si="314"/>
        <v>Empat Puluh Delapan</v>
      </c>
    </row>
    <row r="3260" spans="1:12">
      <c r="J3260" s="31">
        <v>49</v>
      </c>
      <c r="K3260" s="33" t="s">
        <v>121</v>
      </c>
      <c r="L3260" s="31" t="str">
        <f t="shared" si="314"/>
        <v>Empat Puluh Sembilan</v>
      </c>
    </row>
    <row r="3261" spans="1:12">
      <c r="J3261" s="31">
        <v>50</v>
      </c>
      <c r="K3261" s="33" t="s">
        <v>122</v>
      </c>
      <c r="L3261" s="31" t="s">
        <v>123</v>
      </c>
    </row>
    <row r="3262" spans="1:12">
      <c r="J3262" s="31">
        <v>51</v>
      </c>
      <c r="K3262" s="33" t="s">
        <v>124</v>
      </c>
      <c r="L3262" s="31" t="str">
        <f t="shared" ref="L3262:L3270" si="315">$L$53&amp;" "&amp;L3212</f>
        <v>Lima Puluh Satu</v>
      </c>
    </row>
    <row r="3263" spans="1:12">
      <c r="J3263" s="31">
        <v>52</v>
      </c>
      <c r="K3263" s="33" t="s">
        <v>125</v>
      </c>
      <c r="L3263" s="31" t="str">
        <f t="shared" si="315"/>
        <v>Lima Puluh Dua</v>
      </c>
    </row>
    <row r="3264" spans="1:12">
      <c r="J3264" s="31">
        <v>53</v>
      </c>
      <c r="K3264" s="33" t="s">
        <v>126</v>
      </c>
      <c r="L3264" s="31" t="str">
        <f t="shared" si="315"/>
        <v>Lima Puluh Tiga</v>
      </c>
    </row>
    <row r="3265" spans="10:12">
      <c r="J3265" s="31">
        <v>54</v>
      </c>
      <c r="K3265" s="33" t="s">
        <v>127</v>
      </c>
      <c r="L3265" s="31" t="str">
        <f t="shared" si="315"/>
        <v>Lima Puluh Empat</v>
      </c>
    </row>
    <row r="3266" spans="10:12">
      <c r="J3266" s="31">
        <v>55</v>
      </c>
      <c r="K3266" s="33" t="s">
        <v>128</v>
      </c>
      <c r="L3266" s="31" t="str">
        <f t="shared" si="315"/>
        <v>Lima Puluh Lima</v>
      </c>
    </row>
    <row r="3267" spans="10:12">
      <c r="J3267" s="31">
        <v>56</v>
      </c>
      <c r="K3267" s="33" t="s">
        <v>129</v>
      </c>
      <c r="L3267" s="31" t="str">
        <f t="shared" si="315"/>
        <v>Lima Puluh Enam</v>
      </c>
    </row>
    <row r="3268" spans="10:12">
      <c r="J3268" s="31">
        <v>57</v>
      </c>
      <c r="K3268" s="33" t="s">
        <v>130</v>
      </c>
      <c r="L3268" s="31" t="str">
        <f t="shared" si="315"/>
        <v>Lima Puluh Tujuh</v>
      </c>
    </row>
    <row r="3269" spans="10:12">
      <c r="J3269" s="31">
        <v>58</v>
      </c>
      <c r="K3269" s="33" t="s">
        <v>131</v>
      </c>
      <c r="L3269" s="31" t="str">
        <f t="shared" si="315"/>
        <v>Lima Puluh Delapan</v>
      </c>
    </row>
    <row r="3270" spans="10:12">
      <c r="J3270" s="31">
        <v>59</v>
      </c>
      <c r="K3270" s="33" t="s">
        <v>132</v>
      </c>
      <c r="L3270" s="31" t="str">
        <f t="shared" si="315"/>
        <v>Lima Puluh Sembilan</v>
      </c>
    </row>
    <row r="3271" spans="10:12">
      <c r="J3271" s="31">
        <v>60</v>
      </c>
      <c r="K3271" s="33" t="s">
        <v>133</v>
      </c>
      <c r="L3271" s="31" t="s">
        <v>134</v>
      </c>
    </row>
    <row r="3272" spans="10:12">
      <c r="J3272" s="31">
        <v>61</v>
      </c>
      <c r="K3272" s="33" t="s">
        <v>135</v>
      </c>
      <c r="L3272" s="31" t="str">
        <f t="shared" ref="L3272:L3280" si="316">$L$63&amp;" "&amp;L3212</f>
        <v>Enam Puluh Satu</v>
      </c>
    </row>
    <row r="3273" spans="10:12">
      <c r="J3273" s="31">
        <v>62</v>
      </c>
      <c r="K3273" s="33" t="s">
        <v>136</v>
      </c>
      <c r="L3273" s="31" t="str">
        <f t="shared" si="316"/>
        <v>Enam Puluh Dua</v>
      </c>
    </row>
    <row r="3274" spans="10:12">
      <c r="J3274" s="31">
        <v>63</v>
      </c>
      <c r="K3274" s="33" t="s">
        <v>137</v>
      </c>
      <c r="L3274" s="31" t="str">
        <f t="shared" si="316"/>
        <v>Enam Puluh Tiga</v>
      </c>
    </row>
    <row r="3275" spans="10:12">
      <c r="J3275" s="31">
        <v>64</v>
      </c>
      <c r="K3275" s="33" t="s">
        <v>138</v>
      </c>
      <c r="L3275" s="31" t="str">
        <f t="shared" si="316"/>
        <v>Enam Puluh Empat</v>
      </c>
    </row>
    <row r="3276" spans="10:12">
      <c r="J3276" s="31">
        <v>65</v>
      </c>
      <c r="K3276" s="33" t="s">
        <v>139</v>
      </c>
      <c r="L3276" s="31" t="str">
        <f t="shared" si="316"/>
        <v>Enam Puluh Lima</v>
      </c>
    </row>
    <row r="3277" spans="10:12">
      <c r="J3277" s="31">
        <v>66</v>
      </c>
      <c r="K3277" s="33" t="s">
        <v>140</v>
      </c>
      <c r="L3277" s="31" t="str">
        <f t="shared" si="316"/>
        <v>Enam Puluh Enam</v>
      </c>
    </row>
    <row r="3278" spans="10:12">
      <c r="J3278" s="31">
        <v>67</v>
      </c>
      <c r="K3278" s="33" t="s">
        <v>141</v>
      </c>
      <c r="L3278" s="31" t="str">
        <f t="shared" si="316"/>
        <v>Enam Puluh Tujuh</v>
      </c>
    </row>
    <row r="3279" spans="10:12">
      <c r="J3279" s="31">
        <v>68</v>
      </c>
      <c r="K3279" s="33" t="s">
        <v>142</v>
      </c>
      <c r="L3279" s="31" t="str">
        <f t="shared" si="316"/>
        <v>Enam Puluh Delapan</v>
      </c>
    </row>
    <row r="3280" spans="10:12">
      <c r="J3280" s="31">
        <v>69</v>
      </c>
      <c r="K3280" s="33" t="s">
        <v>143</v>
      </c>
      <c r="L3280" s="31" t="str">
        <f t="shared" si="316"/>
        <v>Enam Puluh Sembilan</v>
      </c>
    </row>
    <row r="3281" spans="10:12">
      <c r="J3281" s="31">
        <v>70</v>
      </c>
      <c r="K3281" s="33" t="s">
        <v>144</v>
      </c>
      <c r="L3281" s="31" t="s">
        <v>145</v>
      </c>
    </row>
    <row r="3282" spans="10:12">
      <c r="J3282" s="31">
        <v>71</v>
      </c>
      <c r="K3282" s="33" t="s">
        <v>146</v>
      </c>
      <c r="L3282" s="31" t="str">
        <f t="shared" ref="L3282:L3290" si="317">$L$73&amp;" "&amp;L3212</f>
        <v>Tujuh Puluh Satu</v>
      </c>
    </row>
    <row r="3283" spans="10:12">
      <c r="J3283" s="31">
        <v>72</v>
      </c>
      <c r="K3283" s="33" t="s">
        <v>147</v>
      </c>
      <c r="L3283" s="31" t="str">
        <f t="shared" si="317"/>
        <v>Tujuh Puluh Dua</v>
      </c>
    </row>
    <row r="3284" spans="10:12">
      <c r="J3284" s="31">
        <v>73</v>
      </c>
      <c r="K3284" s="33" t="s">
        <v>148</v>
      </c>
      <c r="L3284" s="31" t="str">
        <f t="shared" si="317"/>
        <v>Tujuh Puluh Tiga</v>
      </c>
    </row>
    <row r="3285" spans="10:12">
      <c r="J3285" s="31">
        <v>74</v>
      </c>
      <c r="K3285" s="33" t="s">
        <v>149</v>
      </c>
      <c r="L3285" s="31" t="str">
        <f t="shared" si="317"/>
        <v>Tujuh Puluh Empat</v>
      </c>
    </row>
    <row r="3286" spans="10:12">
      <c r="J3286" s="31">
        <v>75</v>
      </c>
      <c r="K3286" s="33" t="s">
        <v>150</v>
      </c>
      <c r="L3286" s="31" t="str">
        <f t="shared" si="317"/>
        <v>Tujuh Puluh Lima</v>
      </c>
    </row>
    <row r="3287" spans="10:12">
      <c r="J3287" s="31">
        <v>76</v>
      </c>
      <c r="K3287" s="33" t="s">
        <v>151</v>
      </c>
      <c r="L3287" s="31" t="str">
        <f t="shared" si="317"/>
        <v>Tujuh Puluh Enam</v>
      </c>
    </row>
    <row r="3288" spans="10:12">
      <c r="J3288" s="31">
        <v>77</v>
      </c>
      <c r="K3288" s="33" t="s">
        <v>152</v>
      </c>
      <c r="L3288" s="31" t="str">
        <f t="shared" si="317"/>
        <v>Tujuh Puluh Tujuh</v>
      </c>
    </row>
    <row r="3289" spans="10:12">
      <c r="J3289" s="31">
        <v>78</v>
      </c>
      <c r="K3289" s="33" t="s">
        <v>153</v>
      </c>
      <c r="L3289" s="31" t="str">
        <f t="shared" si="317"/>
        <v>Tujuh Puluh Delapan</v>
      </c>
    </row>
    <row r="3290" spans="10:12">
      <c r="J3290" s="31">
        <v>79</v>
      </c>
      <c r="K3290" s="33" t="s">
        <v>154</v>
      </c>
      <c r="L3290" s="31" t="str">
        <f t="shared" si="317"/>
        <v>Tujuh Puluh Sembilan</v>
      </c>
    </row>
    <row r="3291" spans="10:12">
      <c r="J3291" s="31">
        <v>80</v>
      </c>
      <c r="K3291" s="33" t="s">
        <v>155</v>
      </c>
      <c r="L3291" s="31" t="s">
        <v>156</v>
      </c>
    </row>
    <row r="3292" spans="10:12">
      <c r="J3292" s="31">
        <v>81</v>
      </c>
      <c r="K3292" s="33" t="s">
        <v>157</v>
      </c>
      <c r="L3292" s="31" t="str">
        <f t="shared" ref="L3292:L3300" si="318">$L$83&amp;" "&amp;L3212</f>
        <v>Delapan Puluh Satu</v>
      </c>
    </row>
    <row r="3293" spans="10:12">
      <c r="J3293" s="31">
        <v>82</v>
      </c>
      <c r="K3293" s="33" t="s">
        <v>158</v>
      </c>
      <c r="L3293" s="31" t="str">
        <f t="shared" si="318"/>
        <v>Delapan Puluh Dua</v>
      </c>
    </row>
    <row r="3294" spans="10:12">
      <c r="J3294" s="31">
        <v>83</v>
      </c>
      <c r="K3294" s="33" t="s">
        <v>159</v>
      </c>
      <c r="L3294" s="31" t="str">
        <f t="shared" si="318"/>
        <v>Delapan Puluh Tiga</v>
      </c>
    </row>
    <row r="3295" spans="10:12">
      <c r="J3295" s="31">
        <v>84</v>
      </c>
      <c r="K3295" s="33" t="s">
        <v>160</v>
      </c>
      <c r="L3295" s="31" t="str">
        <f t="shared" si="318"/>
        <v>Delapan Puluh Empat</v>
      </c>
    </row>
    <row r="3296" spans="10:12">
      <c r="J3296" s="31">
        <v>85</v>
      </c>
      <c r="K3296" s="33" t="s">
        <v>161</v>
      </c>
      <c r="L3296" s="31" t="str">
        <f t="shared" si="318"/>
        <v>Delapan Puluh Lima</v>
      </c>
    </row>
    <row r="3297" spans="10:12">
      <c r="J3297" s="31">
        <v>86</v>
      </c>
      <c r="K3297" s="33" t="s">
        <v>162</v>
      </c>
      <c r="L3297" s="31" t="str">
        <f t="shared" si="318"/>
        <v>Delapan Puluh Enam</v>
      </c>
    </row>
    <row r="3298" spans="10:12">
      <c r="J3298" s="31">
        <v>87</v>
      </c>
      <c r="K3298" s="33" t="s">
        <v>163</v>
      </c>
      <c r="L3298" s="31" t="str">
        <f t="shared" si="318"/>
        <v>Delapan Puluh Tujuh</v>
      </c>
    </row>
    <row r="3299" spans="10:12">
      <c r="J3299" s="31">
        <v>88</v>
      </c>
      <c r="K3299" s="33" t="s">
        <v>164</v>
      </c>
      <c r="L3299" s="31" t="str">
        <f t="shared" si="318"/>
        <v>Delapan Puluh Delapan</v>
      </c>
    </row>
    <row r="3300" spans="10:12">
      <c r="J3300" s="31">
        <v>89</v>
      </c>
      <c r="K3300" s="33" t="s">
        <v>165</v>
      </c>
      <c r="L3300" s="31" t="str">
        <f t="shared" si="318"/>
        <v>Delapan Puluh Sembilan</v>
      </c>
    </row>
    <row r="3301" spans="10:12">
      <c r="J3301" s="31">
        <v>90</v>
      </c>
      <c r="K3301" s="33" t="s">
        <v>166</v>
      </c>
      <c r="L3301" s="31" t="s">
        <v>167</v>
      </c>
    </row>
    <row r="3302" spans="10:12">
      <c r="J3302" s="31">
        <v>91</v>
      </c>
      <c r="K3302" s="33" t="s">
        <v>168</v>
      </c>
      <c r="L3302" s="31" t="str">
        <f t="shared" ref="L3302:L3310" si="319">$L$93&amp;" "&amp;L3212</f>
        <v>Sembilan Puluh Satu</v>
      </c>
    </row>
    <row r="3303" spans="10:12">
      <c r="J3303" s="31">
        <v>92</v>
      </c>
      <c r="K3303" s="33" t="s">
        <v>169</v>
      </c>
      <c r="L3303" s="31" t="str">
        <f t="shared" si="319"/>
        <v>Sembilan Puluh Dua</v>
      </c>
    </row>
    <row r="3304" spans="10:12">
      <c r="J3304" s="31">
        <v>93</v>
      </c>
      <c r="K3304" s="33" t="s">
        <v>170</v>
      </c>
      <c r="L3304" s="31" t="str">
        <f t="shared" si="319"/>
        <v>Sembilan Puluh Tiga</v>
      </c>
    </row>
    <row r="3305" spans="10:12">
      <c r="J3305" s="31">
        <v>94</v>
      </c>
      <c r="K3305" s="33" t="s">
        <v>171</v>
      </c>
      <c r="L3305" s="31" t="str">
        <f t="shared" si="319"/>
        <v>Sembilan Puluh Empat</v>
      </c>
    </row>
    <row r="3306" spans="10:12">
      <c r="J3306" s="31">
        <v>95</v>
      </c>
      <c r="K3306" s="33" t="s">
        <v>172</v>
      </c>
      <c r="L3306" s="31" t="str">
        <f t="shared" si="319"/>
        <v>Sembilan Puluh Lima</v>
      </c>
    </row>
    <row r="3307" spans="10:12">
      <c r="J3307" s="31">
        <v>96</v>
      </c>
      <c r="K3307" s="33" t="s">
        <v>173</v>
      </c>
      <c r="L3307" s="31" t="str">
        <f t="shared" si="319"/>
        <v>Sembilan Puluh Enam</v>
      </c>
    </row>
    <row r="3308" spans="10:12">
      <c r="J3308" s="31">
        <v>97</v>
      </c>
      <c r="K3308" s="33" t="s">
        <v>174</v>
      </c>
      <c r="L3308" s="31" t="str">
        <f t="shared" si="319"/>
        <v>Sembilan Puluh Tujuh</v>
      </c>
    </row>
    <row r="3309" spans="10:12">
      <c r="J3309" s="31">
        <v>98</v>
      </c>
      <c r="K3309" s="33" t="s">
        <v>175</v>
      </c>
      <c r="L3309" s="31" t="str">
        <f t="shared" si="319"/>
        <v>Sembilan Puluh Delapan</v>
      </c>
    </row>
    <row r="3310" spans="10:12">
      <c r="J3310" s="31">
        <v>99</v>
      </c>
      <c r="K3310" s="33" t="s">
        <v>176</v>
      </c>
      <c r="L3310" s="31" t="str">
        <f t="shared" si="319"/>
        <v>Sembilan Puluh Sembilan</v>
      </c>
    </row>
    <row r="3313" spans="1:12">
      <c r="A3313" s="30" t="e">
        <f>#REF!</f>
        <v>#REF!</v>
      </c>
      <c r="C3313" s="31" t="s">
        <v>216</v>
      </c>
    </row>
    <row r="3314" spans="1:12">
      <c r="A3314" s="32"/>
    </row>
    <row r="3315" spans="1:12">
      <c r="J3315" s="31">
        <v>0</v>
      </c>
      <c r="K3315" s="33" t="s">
        <v>48</v>
      </c>
      <c r="L3315" s="31" t="s">
        <v>49</v>
      </c>
    </row>
    <row r="3316" spans="1:12">
      <c r="A3316" s="34"/>
      <c r="J3316" s="31">
        <v>1</v>
      </c>
      <c r="K3316" s="33" t="s">
        <v>50</v>
      </c>
      <c r="L3316" s="31" t="s">
        <v>51</v>
      </c>
    </row>
    <row r="3317" spans="1:12">
      <c r="A3317" s="255" t="e">
        <f>TRIM(D3325&amp;E3325&amp;D3326&amp;E3326&amp;D3327&amp;E3327&amp;D3328&amp;E3328&amp;D3329&amp;E3329&amp;D3330&amp;E3330&amp;E3331&amp;D3331&amp;" Only")</f>
        <v>#REF!</v>
      </c>
      <c r="B3317" s="255"/>
      <c r="C3317" s="255"/>
      <c r="D3317" s="255"/>
      <c r="E3317" s="35"/>
      <c r="F3317" s="36"/>
      <c r="J3317" s="31">
        <v>2</v>
      </c>
      <c r="K3317" s="33" t="s">
        <v>52</v>
      </c>
      <c r="L3317" s="31" t="s">
        <v>53</v>
      </c>
    </row>
    <row r="3318" spans="1:12">
      <c r="A3318" s="37"/>
      <c r="B3318" s="37"/>
      <c r="C3318" s="37"/>
      <c r="D3318" s="37"/>
      <c r="E3318" s="35"/>
      <c r="F3318" s="36"/>
      <c r="J3318" s="31">
        <v>3</v>
      </c>
      <c r="K3318" s="33" t="s">
        <v>54</v>
      </c>
      <c r="L3318" s="31" t="s">
        <v>55</v>
      </c>
    </row>
    <row r="3319" spans="1:12">
      <c r="A3319" s="37"/>
      <c r="B3319" s="37"/>
      <c r="C3319" s="37"/>
      <c r="D3319" s="37"/>
      <c r="J3319" s="31">
        <v>4</v>
      </c>
      <c r="K3319" s="33" t="s">
        <v>56</v>
      </c>
      <c r="L3319" s="31" t="s">
        <v>57</v>
      </c>
    </row>
    <row r="3320" spans="1:12">
      <c r="A3320" s="255" t="e">
        <f>TRIM(D3335&amp;E3335&amp;D3336&amp;E3336&amp;D3337&amp;E3337&amp;D3338&amp;E3338&amp;D3339&amp;E3339&amp;D3340&amp;E3340&amp;D3341&amp;E3341&amp;" Rupiah")</f>
        <v>#REF!</v>
      </c>
      <c r="B3320" s="255"/>
      <c r="C3320" s="255"/>
      <c r="D3320" s="255"/>
      <c r="E3320" s="35"/>
      <c r="F3320" s="36"/>
      <c r="J3320" s="31">
        <v>5</v>
      </c>
      <c r="K3320" s="33" t="s">
        <v>58</v>
      </c>
      <c r="L3320" s="31" t="s">
        <v>59</v>
      </c>
    </row>
    <row r="3321" spans="1:12">
      <c r="A3321" s="35"/>
      <c r="B3321" s="35"/>
      <c r="C3321" s="35"/>
      <c r="D3321" s="35"/>
      <c r="E3321" s="35"/>
      <c r="F3321" s="36"/>
      <c r="J3321" s="31">
        <v>6</v>
      </c>
      <c r="K3321" s="33" t="s">
        <v>60</v>
      </c>
      <c r="L3321" s="31" t="s">
        <v>61</v>
      </c>
    </row>
    <row r="3322" spans="1:12">
      <c r="J3322" s="31">
        <v>7</v>
      </c>
      <c r="K3322" s="33" t="s">
        <v>62</v>
      </c>
      <c r="L3322" s="31" t="s">
        <v>63</v>
      </c>
    </row>
    <row r="3323" spans="1:12">
      <c r="J3323" s="31">
        <v>8</v>
      </c>
      <c r="K3323" s="33" t="s">
        <v>64</v>
      </c>
      <c r="L3323" s="31" t="s">
        <v>65</v>
      </c>
    </row>
    <row r="3324" spans="1:12">
      <c r="A3324" s="38" t="s">
        <v>66</v>
      </c>
      <c r="J3324" s="31">
        <v>9</v>
      </c>
      <c r="K3324" s="33" t="s">
        <v>67</v>
      </c>
      <c r="L3324" s="31" t="s">
        <v>68</v>
      </c>
    </row>
    <row r="3325" spans="1:12">
      <c r="A3325" s="31" t="s">
        <v>69</v>
      </c>
      <c r="B3325" s="39" t="e">
        <f>TRUNC(A3313/100000000)</f>
        <v>#REF!</v>
      </c>
      <c r="C3325" s="31" t="e">
        <f>B3325*100000000</f>
        <v>#REF!</v>
      </c>
      <c r="D3325" s="31" t="e">
        <f t="shared" ref="D3325:D3331" si="320">IF(B3325&lt;1,"",VLOOKUP(B3325,$J$3:$K$102,2))</f>
        <v>#REF!</v>
      </c>
      <c r="E3325" s="31" t="e">
        <f>IF(B3325&lt;1,"",IF(B3325&gt;1," Hundreds "," Hundred "))</f>
        <v>#REF!</v>
      </c>
      <c r="J3325" s="31">
        <v>10</v>
      </c>
      <c r="K3325" s="33" t="s">
        <v>70</v>
      </c>
      <c r="L3325" s="31" t="s">
        <v>71</v>
      </c>
    </row>
    <row r="3326" spans="1:12">
      <c r="A3326" s="31" t="s">
        <v>72</v>
      </c>
      <c r="B3326" s="39" t="e">
        <f>TRUNC((A3313-C3325)/1000000)</f>
        <v>#REF!</v>
      </c>
      <c r="C3326" s="31" t="e">
        <f>B3326*1000000</f>
        <v>#REF!</v>
      </c>
      <c r="D3326" s="31" t="e">
        <f t="shared" si="320"/>
        <v>#REF!</v>
      </c>
      <c r="E3326" s="31" t="e">
        <f>IF(B3325+B3326=0,"",IF(B3326=1," Million "," Millions "))</f>
        <v>#REF!</v>
      </c>
      <c r="J3326" s="31">
        <v>11</v>
      </c>
      <c r="K3326" s="33" t="s">
        <v>73</v>
      </c>
      <c r="L3326" s="31" t="s">
        <v>74</v>
      </c>
    </row>
    <row r="3327" spans="1:12">
      <c r="A3327" s="31" t="s">
        <v>75</v>
      </c>
      <c r="B3327" s="39" t="e">
        <f>TRUNC((A3313-SUM(C3325:C3326))/100000)</f>
        <v>#REF!</v>
      </c>
      <c r="C3327" s="31" t="e">
        <f>B3327*100000</f>
        <v>#REF!</v>
      </c>
      <c r="D3327" s="31" t="e">
        <f t="shared" si="320"/>
        <v>#REF!</v>
      </c>
      <c r="E3327" s="31" t="e">
        <f>IF(B3327&lt;1,"",IF(B3327&gt;1," Hundreds "," Hundred "))</f>
        <v>#REF!</v>
      </c>
      <c r="J3327" s="31">
        <v>12</v>
      </c>
      <c r="K3327" s="33" t="s">
        <v>76</v>
      </c>
      <c r="L3327" s="31" t="str">
        <f t="shared" ref="L3327:L3334" si="321">L3317&amp;" Belas"</f>
        <v>Dua Belas</v>
      </c>
    </row>
    <row r="3328" spans="1:12">
      <c r="A3328" s="33" t="s">
        <v>77</v>
      </c>
      <c r="B3328" s="40" t="e">
        <f>TRUNC((A3313-SUM(C3325:C3327))/1000)</f>
        <v>#REF!</v>
      </c>
      <c r="C3328" s="31" t="e">
        <f>B3328*1000</f>
        <v>#REF!</v>
      </c>
      <c r="D3328" s="31" t="e">
        <f t="shared" si="320"/>
        <v>#REF!</v>
      </c>
      <c r="E3328" s="31" t="e">
        <f>IF(B3327+B3328=0,"",IF(B3328=1," Thousand "," Thousands "))</f>
        <v>#REF!</v>
      </c>
      <c r="J3328" s="31">
        <v>13</v>
      </c>
      <c r="K3328" s="33" t="s">
        <v>78</v>
      </c>
      <c r="L3328" s="31" t="str">
        <f t="shared" si="321"/>
        <v>Tiga Belas</v>
      </c>
    </row>
    <row r="3329" spans="1:12">
      <c r="A3329" s="33" t="s">
        <v>79</v>
      </c>
      <c r="B3329" s="40" t="e">
        <f>TRUNC((A3313-SUM(C3325:C3328))/100)</f>
        <v>#REF!</v>
      </c>
      <c r="C3329" s="31" t="e">
        <f>B3329*100</f>
        <v>#REF!</v>
      </c>
      <c r="D3329" s="31" t="e">
        <f t="shared" si="320"/>
        <v>#REF!</v>
      </c>
      <c r="E3329" s="31" t="e">
        <f>IF(B3329&lt;1,"",IF(B3329&gt;1," Hundreds "," Hundred "))</f>
        <v>#REF!</v>
      </c>
      <c r="J3329" s="31">
        <v>14</v>
      </c>
      <c r="K3329" s="33" t="s">
        <v>80</v>
      </c>
      <c r="L3329" s="31" t="str">
        <f t="shared" si="321"/>
        <v>Empat Belas</v>
      </c>
    </row>
    <row r="3330" spans="1:12">
      <c r="A3330" s="33" t="s">
        <v>81</v>
      </c>
      <c r="B3330" s="41" t="e">
        <f>TRUNC((A3313-SUM(C3325:C3329)))</f>
        <v>#REF!</v>
      </c>
      <c r="C3330" s="42" t="e">
        <f>B3330</f>
        <v>#REF!</v>
      </c>
      <c r="D3330" s="31" t="e">
        <f t="shared" si="320"/>
        <v>#REF!</v>
      </c>
      <c r="E3330" s="31" t="e">
        <f>IF(SUM(C3325:C3330)&lt;1,"",IF(B3331&lt;1,""," And "))</f>
        <v>#REF!</v>
      </c>
      <c r="J3330" s="31">
        <v>15</v>
      </c>
      <c r="K3330" s="33" t="s">
        <v>82</v>
      </c>
      <c r="L3330" s="31" t="str">
        <f t="shared" si="321"/>
        <v>Lima Belas</v>
      </c>
    </row>
    <row r="3331" spans="1:12">
      <c r="A3331" s="33" t="s">
        <v>83</v>
      </c>
      <c r="B3331" s="40" t="e">
        <f>ROUND(A3313-SUM(C3325:C3330),2)*100</f>
        <v>#REF!</v>
      </c>
      <c r="D3331" s="43" t="e">
        <f t="shared" si="320"/>
        <v>#REF!</v>
      </c>
      <c r="E3331" s="31" t="e">
        <f>IF(B3331&lt;1,"",IF(B3331=1," Cent "," Cents "))</f>
        <v>#REF!</v>
      </c>
      <c r="J3331" s="31">
        <v>16</v>
      </c>
      <c r="K3331" s="33" t="s">
        <v>84</v>
      </c>
      <c r="L3331" s="31" t="str">
        <f t="shared" si="321"/>
        <v>Enam Belas</v>
      </c>
    </row>
    <row r="3332" spans="1:12">
      <c r="J3332" s="31">
        <v>17</v>
      </c>
      <c r="K3332" s="33" t="s">
        <v>85</v>
      </c>
      <c r="L3332" s="31" t="str">
        <f t="shared" si="321"/>
        <v>Tujuh Belas</v>
      </c>
    </row>
    <row r="3333" spans="1:12">
      <c r="A3333" s="44"/>
      <c r="J3333" s="31">
        <v>18</v>
      </c>
      <c r="K3333" s="33" t="s">
        <v>86</v>
      </c>
      <c r="L3333" s="31" t="str">
        <f t="shared" si="321"/>
        <v>Delapan Belas</v>
      </c>
    </row>
    <row r="3334" spans="1:12">
      <c r="A3334" s="38" t="s">
        <v>87</v>
      </c>
      <c r="J3334" s="31">
        <v>19</v>
      </c>
      <c r="K3334" s="33" t="s">
        <v>88</v>
      </c>
      <c r="L3334" s="31" t="str">
        <f t="shared" si="321"/>
        <v>Sembilan Belas</v>
      </c>
    </row>
    <row r="3335" spans="1:12">
      <c r="A3335" s="31" t="s">
        <v>69</v>
      </c>
      <c r="B3335" s="39" t="e">
        <f>TRUNC(A3313/100000000)</f>
        <v>#REF!</v>
      </c>
      <c r="C3335" s="31" t="e">
        <f>B3335*100000000</f>
        <v>#REF!</v>
      </c>
      <c r="D3335" s="31" t="e">
        <f>IF(B3335&lt;1,"",IF(B3335=1,"",VLOOKUP(B3335,$J$3:$L$102,3)))</f>
        <v>#REF!</v>
      </c>
      <c r="E3335" s="31" t="e">
        <f>IF(B3335&lt;1,"",IF(B3335=1,"Seratus "," Ratus "))</f>
        <v>#REF!</v>
      </c>
      <c r="J3335" s="31">
        <v>20</v>
      </c>
      <c r="K3335" s="33" t="s">
        <v>89</v>
      </c>
      <c r="L3335" s="31" t="s">
        <v>90</v>
      </c>
    </row>
    <row r="3336" spans="1:12">
      <c r="A3336" s="31" t="s">
        <v>72</v>
      </c>
      <c r="B3336" s="39" t="e">
        <f>TRUNC((A3313-C3335)/1000000)</f>
        <v>#REF!</v>
      </c>
      <c r="C3336" s="31" t="e">
        <f>B3336*1000000</f>
        <v>#REF!</v>
      </c>
      <c r="D3336" s="31" t="e">
        <f>IF(B3336&lt;1,"",VLOOKUP(B3336,$J$3:$L$102,3))</f>
        <v>#REF!</v>
      </c>
      <c r="E3336" s="31" t="e">
        <f>IF(B3335+B3336=0,""," Juta ")</f>
        <v>#REF!</v>
      </c>
      <c r="J3336" s="31">
        <v>21</v>
      </c>
      <c r="K3336" s="33" t="s">
        <v>91</v>
      </c>
      <c r="L3336" s="31" t="str">
        <f t="shared" ref="L3336:L3344" si="322">$L$23&amp;" "&amp;L3316</f>
        <v>Dua Puluh Satu</v>
      </c>
    </row>
    <row r="3337" spans="1:12">
      <c r="A3337" s="31" t="s">
        <v>75</v>
      </c>
      <c r="B3337" s="39" t="e">
        <f>TRUNC((A3313-SUM(C3335:C3336))/100000)</f>
        <v>#REF!</v>
      </c>
      <c r="C3337" s="31" t="e">
        <f>B3337*100000</f>
        <v>#REF!</v>
      </c>
      <c r="D3337" s="31" t="e">
        <f>IF(B3337&lt;1,"",IF(B3337=1,"",VLOOKUP(B3337,$J$3:$L$102,3)))</f>
        <v>#REF!</v>
      </c>
      <c r="E3337" s="31" t="e">
        <f>IF(B3337&lt;1,"",IF(B3337=1," Seratus "," Ratus "))</f>
        <v>#REF!</v>
      </c>
      <c r="J3337" s="31">
        <v>22</v>
      </c>
      <c r="K3337" s="33" t="s">
        <v>92</v>
      </c>
      <c r="L3337" s="31" t="str">
        <f t="shared" si="322"/>
        <v>Dua Puluh Dua</v>
      </c>
    </row>
    <row r="3338" spans="1:12">
      <c r="A3338" s="33" t="s">
        <v>77</v>
      </c>
      <c r="B3338" s="40" t="e">
        <f>TRUNC((A3313-SUM(C3335:C3337))/1000)</f>
        <v>#REF!</v>
      </c>
      <c r="C3338" s="31" t="e">
        <f>B3338*1000</f>
        <v>#REF!</v>
      </c>
      <c r="D3338" s="31" t="e">
        <f>IF(B3338&lt;1,"",IF(B3338=1,"",VLOOKUP(B3338,$J$3:$L$102,3)))</f>
        <v>#REF!</v>
      </c>
      <c r="E3338" s="31" t="e">
        <f>IF(B3337+B3338&lt;1,"",IF(B3338=1," Seribu "," Ribu "))</f>
        <v>#REF!</v>
      </c>
      <c r="J3338" s="31">
        <v>23</v>
      </c>
      <c r="K3338" s="33" t="s">
        <v>93</v>
      </c>
      <c r="L3338" s="31" t="str">
        <f t="shared" si="322"/>
        <v>Dua Puluh Tiga</v>
      </c>
    </row>
    <row r="3339" spans="1:12">
      <c r="A3339" s="33" t="s">
        <v>79</v>
      </c>
      <c r="B3339" s="40" t="e">
        <f>TRUNC((A3313-SUM(C3335:C3338))/100)</f>
        <v>#REF!</v>
      </c>
      <c r="C3339" s="31" t="e">
        <f>B3339*100</f>
        <v>#REF!</v>
      </c>
      <c r="D3339" s="31" t="e">
        <f>IF(B3339&lt;1,"",IF(B3339=1,"",VLOOKUP(B3339,$J$3:$L$102,3)))</f>
        <v>#REF!</v>
      </c>
      <c r="E3339" s="31" t="e">
        <f>IF(B3339&lt;1,"",IF(B3339=1," Seratus "," Ratus "))</f>
        <v>#REF!</v>
      </c>
      <c r="J3339" s="31">
        <v>24</v>
      </c>
      <c r="K3339" s="33" t="s">
        <v>94</v>
      </c>
      <c r="L3339" s="31" t="str">
        <f t="shared" si="322"/>
        <v>Dua Puluh Empat</v>
      </c>
    </row>
    <row r="3340" spans="1:12">
      <c r="A3340" s="33" t="s">
        <v>81</v>
      </c>
      <c r="B3340" s="41" t="e">
        <f>TRUNC((A3313-SUM(C3335:C3339)))</f>
        <v>#REF!</v>
      </c>
      <c r="C3340" s="42" t="e">
        <f>B3340</f>
        <v>#REF!</v>
      </c>
      <c r="D3340" s="31" t="e">
        <f>IF(B3340&lt;1,"",VLOOKUP(B3340,$J$3:$L$102,3))</f>
        <v>#REF!</v>
      </c>
      <c r="E3340" s="31" t="e">
        <f>IF(SUM(C3335:C3340)&lt;1,"",IF(B3341&lt;1,""," Dan "))</f>
        <v>#REF!</v>
      </c>
      <c r="J3340" s="31">
        <v>25</v>
      </c>
      <c r="K3340" s="33" t="s">
        <v>95</v>
      </c>
      <c r="L3340" s="31" t="str">
        <f t="shared" si="322"/>
        <v>Dua Puluh Lima</v>
      </c>
    </row>
    <row r="3341" spans="1:12">
      <c r="A3341" s="33" t="s">
        <v>83</v>
      </c>
      <c r="B3341" s="40" t="e">
        <f>ROUND(A3313-SUM(C3335:C3340),2)*100</f>
        <v>#REF!</v>
      </c>
      <c r="D3341" s="31" t="e">
        <f>IF(B3341&lt;1,"",VLOOKUP(B3341,$J$3:$L$102,3))</f>
        <v>#REF!</v>
      </c>
      <c r="E3341" s="31" t="e">
        <f>IF(B3341&lt;1,""," Sen ")</f>
        <v>#REF!</v>
      </c>
      <c r="J3341" s="31">
        <v>26</v>
      </c>
      <c r="K3341" s="33" t="s">
        <v>96</v>
      </c>
      <c r="L3341" s="31" t="str">
        <f t="shared" si="322"/>
        <v>Dua Puluh Enam</v>
      </c>
    </row>
    <row r="3342" spans="1:12">
      <c r="J3342" s="31">
        <v>27</v>
      </c>
      <c r="K3342" s="33" t="s">
        <v>97</v>
      </c>
      <c r="L3342" s="31" t="str">
        <f t="shared" si="322"/>
        <v>Dua Puluh Tujuh</v>
      </c>
    </row>
    <row r="3343" spans="1:12">
      <c r="J3343" s="31">
        <v>28</v>
      </c>
      <c r="K3343" s="33" t="s">
        <v>98</v>
      </c>
      <c r="L3343" s="31" t="str">
        <f t="shared" si="322"/>
        <v>Dua Puluh Delapan</v>
      </c>
    </row>
    <row r="3344" spans="1:12">
      <c r="J3344" s="31">
        <v>29</v>
      </c>
      <c r="K3344" s="33" t="s">
        <v>99</v>
      </c>
      <c r="L3344" s="31" t="str">
        <f t="shared" si="322"/>
        <v>Dua Puluh Sembilan</v>
      </c>
    </row>
    <row r="3345" spans="1:12">
      <c r="J3345" s="31">
        <v>30</v>
      </c>
      <c r="K3345" s="33" t="s">
        <v>100</v>
      </c>
      <c r="L3345" s="31" t="s">
        <v>101</v>
      </c>
    </row>
    <row r="3346" spans="1:12">
      <c r="J3346" s="31">
        <v>31</v>
      </c>
      <c r="K3346" s="33" t="s">
        <v>102</v>
      </c>
      <c r="L3346" s="31" t="str">
        <f t="shared" ref="L3346:L3354" si="323">$L$33&amp;" "&amp;L3316</f>
        <v>Tiga Puluh Satu</v>
      </c>
    </row>
    <row r="3347" spans="1:12">
      <c r="J3347" s="31">
        <v>32</v>
      </c>
      <c r="K3347" s="33" t="s">
        <v>103</v>
      </c>
      <c r="L3347" s="31" t="str">
        <f t="shared" si="323"/>
        <v>Tiga Puluh Dua</v>
      </c>
    </row>
    <row r="3348" spans="1:12">
      <c r="J3348" s="31">
        <v>33</v>
      </c>
      <c r="K3348" s="33" t="s">
        <v>104</v>
      </c>
      <c r="L3348" s="31" t="str">
        <f t="shared" si="323"/>
        <v>Tiga Puluh Tiga</v>
      </c>
    </row>
    <row r="3349" spans="1:12">
      <c r="J3349" s="31">
        <v>34</v>
      </c>
      <c r="K3349" s="33" t="s">
        <v>105</v>
      </c>
      <c r="L3349" s="31" t="str">
        <f t="shared" si="323"/>
        <v>Tiga Puluh Empat</v>
      </c>
    </row>
    <row r="3350" spans="1:12">
      <c r="J3350" s="31">
        <v>35</v>
      </c>
      <c r="K3350" s="33" t="s">
        <v>106</v>
      </c>
      <c r="L3350" s="31" t="str">
        <f t="shared" si="323"/>
        <v>Tiga Puluh Lima</v>
      </c>
    </row>
    <row r="3351" spans="1:12">
      <c r="J3351" s="31">
        <v>36</v>
      </c>
      <c r="K3351" s="33" t="s">
        <v>107</v>
      </c>
      <c r="L3351" s="31" t="str">
        <f t="shared" si="323"/>
        <v>Tiga Puluh Enam</v>
      </c>
    </row>
    <row r="3352" spans="1:12">
      <c r="J3352" s="31">
        <v>37</v>
      </c>
      <c r="K3352" s="33" t="s">
        <v>108</v>
      </c>
      <c r="L3352" s="31" t="str">
        <f t="shared" si="323"/>
        <v>Tiga Puluh Tujuh</v>
      </c>
    </row>
    <row r="3353" spans="1:12">
      <c r="J3353" s="31">
        <v>38</v>
      </c>
      <c r="K3353" s="33" t="s">
        <v>109</v>
      </c>
      <c r="L3353" s="31" t="str">
        <f t="shared" si="323"/>
        <v>Tiga Puluh Delapan</v>
      </c>
    </row>
    <row r="3354" spans="1:12">
      <c r="J3354" s="31">
        <v>39</v>
      </c>
      <c r="K3354" s="33" t="s">
        <v>110</v>
      </c>
      <c r="L3354" s="31" t="str">
        <f t="shared" si="323"/>
        <v>Tiga Puluh Sembilan</v>
      </c>
    </row>
    <row r="3355" spans="1:12">
      <c r="B3355" s="35"/>
      <c r="C3355" s="35"/>
      <c r="D3355" s="35"/>
      <c r="J3355" s="31">
        <v>40</v>
      </c>
      <c r="K3355" s="33" t="s">
        <v>111</v>
      </c>
      <c r="L3355" s="31" t="s">
        <v>112</v>
      </c>
    </row>
    <row r="3356" spans="1:12">
      <c r="A3356" s="35"/>
      <c r="B3356" s="35"/>
      <c r="C3356" s="35"/>
      <c r="D3356" s="35"/>
      <c r="J3356" s="31">
        <v>41</v>
      </c>
      <c r="K3356" s="33" t="s">
        <v>113</v>
      </c>
      <c r="L3356" s="31" t="str">
        <f t="shared" ref="L3356:L3364" si="324">$L$43&amp;" "&amp;L3316</f>
        <v>Empat Puluh Satu</v>
      </c>
    </row>
    <row r="3357" spans="1:12">
      <c r="J3357" s="31">
        <v>42</v>
      </c>
      <c r="K3357" s="33" t="s">
        <v>114</v>
      </c>
      <c r="L3357" s="31" t="str">
        <f t="shared" si="324"/>
        <v>Empat Puluh Dua</v>
      </c>
    </row>
    <row r="3358" spans="1:12">
      <c r="A3358" s="38"/>
      <c r="J3358" s="31">
        <v>43</v>
      </c>
      <c r="K3358" s="33" t="s">
        <v>115</v>
      </c>
      <c r="L3358" s="31" t="str">
        <f t="shared" si="324"/>
        <v>Empat Puluh Tiga</v>
      </c>
    </row>
    <row r="3359" spans="1:12">
      <c r="J3359" s="31">
        <v>44</v>
      </c>
      <c r="K3359" s="33" t="s">
        <v>116</v>
      </c>
      <c r="L3359" s="31" t="str">
        <f t="shared" si="324"/>
        <v>Empat Puluh Empat</v>
      </c>
    </row>
    <row r="3360" spans="1:12">
      <c r="J3360" s="31">
        <v>45</v>
      </c>
      <c r="K3360" s="33" t="s">
        <v>117</v>
      </c>
      <c r="L3360" s="31" t="str">
        <f t="shared" si="324"/>
        <v>Empat Puluh Lima</v>
      </c>
    </row>
    <row r="3361" spans="10:12">
      <c r="J3361" s="31">
        <v>46</v>
      </c>
      <c r="K3361" s="33" t="s">
        <v>118</v>
      </c>
      <c r="L3361" s="31" t="str">
        <f t="shared" si="324"/>
        <v>Empat Puluh Enam</v>
      </c>
    </row>
    <row r="3362" spans="10:12">
      <c r="J3362" s="31">
        <v>47</v>
      </c>
      <c r="K3362" s="33" t="s">
        <v>119</v>
      </c>
      <c r="L3362" s="31" t="str">
        <f t="shared" si="324"/>
        <v>Empat Puluh Tujuh</v>
      </c>
    </row>
    <row r="3363" spans="10:12">
      <c r="J3363" s="31">
        <v>48</v>
      </c>
      <c r="K3363" s="33" t="s">
        <v>120</v>
      </c>
      <c r="L3363" s="31" t="str">
        <f t="shared" si="324"/>
        <v>Empat Puluh Delapan</v>
      </c>
    </row>
    <row r="3364" spans="10:12">
      <c r="J3364" s="31">
        <v>49</v>
      </c>
      <c r="K3364" s="33" t="s">
        <v>121</v>
      </c>
      <c r="L3364" s="31" t="str">
        <f t="shared" si="324"/>
        <v>Empat Puluh Sembilan</v>
      </c>
    </row>
    <row r="3365" spans="10:12">
      <c r="J3365" s="31">
        <v>50</v>
      </c>
      <c r="K3365" s="33" t="s">
        <v>122</v>
      </c>
      <c r="L3365" s="31" t="s">
        <v>123</v>
      </c>
    </row>
    <row r="3366" spans="10:12">
      <c r="J3366" s="31">
        <v>51</v>
      </c>
      <c r="K3366" s="33" t="s">
        <v>124</v>
      </c>
      <c r="L3366" s="31" t="str">
        <f t="shared" ref="L3366:L3374" si="325">$L$53&amp;" "&amp;L3316</f>
        <v>Lima Puluh Satu</v>
      </c>
    </row>
    <row r="3367" spans="10:12">
      <c r="J3367" s="31">
        <v>52</v>
      </c>
      <c r="K3367" s="33" t="s">
        <v>125</v>
      </c>
      <c r="L3367" s="31" t="str">
        <f t="shared" si="325"/>
        <v>Lima Puluh Dua</v>
      </c>
    </row>
    <row r="3368" spans="10:12">
      <c r="J3368" s="31">
        <v>53</v>
      </c>
      <c r="K3368" s="33" t="s">
        <v>126</v>
      </c>
      <c r="L3368" s="31" t="str">
        <f t="shared" si="325"/>
        <v>Lima Puluh Tiga</v>
      </c>
    </row>
    <row r="3369" spans="10:12">
      <c r="J3369" s="31">
        <v>54</v>
      </c>
      <c r="K3369" s="33" t="s">
        <v>127</v>
      </c>
      <c r="L3369" s="31" t="str">
        <f t="shared" si="325"/>
        <v>Lima Puluh Empat</v>
      </c>
    </row>
    <row r="3370" spans="10:12">
      <c r="J3370" s="31">
        <v>55</v>
      </c>
      <c r="K3370" s="33" t="s">
        <v>128</v>
      </c>
      <c r="L3370" s="31" t="str">
        <f t="shared" si="325"/>
        <v>Lima Puluh Lima</v>
      </c>
    </row>
    <row r="3371" spans="10:12">
      <c r="J3371" s="31">
        <v>56</v>
      </c>
      <c r="K3371" s="33" t="s">
        <v>129</v>
      </c>
      <c r="L3371" s="31" t="str">
        <f t="shared" si="325"/>
        <v>Lima Puluh Enam</v>
      </c>
    </row>
    <row r="3372" spans="10:12">
      <c r="J3372" s="31">
        <v>57</v>
      </c>
      <c r="K3372" s="33" t="s">
        <v>130</v>
      </c>
      <c r="L3372" s="31" t="str">
        <f t="shared" si="325"/>
        <v>Lima Puluh Tujuh</v>
      </c>
    </row>
    <row r="3373" spans="10:12">
      <c r="J3373" s="31">
        <v>58</v>
      </c>
      <c r="K3373" s="33" t="s">
        <v>131</v>
      </c>
      <c r="L3373" s="31" t="str">
        <f t="shared" si="325"/>
        <v>Lima Puluh Delapan</v>
      </c>
    </row>
    <row r="3374" spans="10:12">
      <c r="J3374" s="31">
        <v>59</v>
      </c>
      <c r="K3374" s="33" t="s">
        <v>132</v>
      </c>
      <c r="L3374" s="31" t="str">
        <f t="shared" si="325"/>
        <v>Lima Puluh Sembilan</v>
      </c>
    </row>
    <row r="3375" spans="10:12">
      <c r="J3375" s="31">
        <v>60</v>
      </c>
      <c r="K3375" s="33" t="s">
        <v>133</v>
      </c>
      <c r="L3375" s="31" t="s">
        <v>134</v>
      </c>
    </row>
    <row r="3376" spans="10:12">
      <c r="J3376" s="31">
        <v>61</v>
      </c>
      <c r="K3376" s="33" t="s">
        <v>135</v>
      </c>
      <c r="L3376" s="31" t="str">
        <f t="shared" ref="L3376:L3384" si="326">$L$63&amp;" "&amp;L3316</f>
        <v>Enam Puluh Satu</v>
      </c>
    </row>
    <row r="3377" spans="10:12">
      <c r="J3377" s="31">
        <v>62</v>
      </c>
      <c r="K3377" s="33" t="s">
        <v>136</v>
      </c>
      <c r="L3377" s="31" t="str">
        <f t="shared" si="326"/>
        <v>Enam Puluh Dua</v>
      </c>
    </row>
    <row r="3378" spans="10:12">
      <c r="J3378" s="31">
        <v>63</v>
      </c>
      <c r="K3378" s="33" t="s">
        <v>137</v>
      </c>
      <c r="L3378" s="31" t="str">
        <f t="shared" si="326"/>
        <v>Enam Puluh Tiga</v>
      </c>
    </row>
    <row r="3379" spans="10:12">
      <c r="J3379" s="31">
        <v>64</v>
      </c>
      <c r="K3379" s="33" t="s">
        <v>138</v>
      </c>
      <c r="L3379" s="31" t="str">
        <f t="shared" si="326"/>
        <v>Enam Puluh Empat</v>
      </c>
    </row>
    <row r="3380" spans="10:12">
      <c r="J3380" s="31">
        <v>65</v>
      </c>
      <c r="K3380" s="33" t="s">
        <v>139</v>
      </c>
      <c r="L3380" s="31" t="str">
        <f t="shared" si="326"/>
        <v>Enam Puluh Lima</v>
      </c>
    </row>
    <row r="3381" spans="10:12">
      <c r="J3381" s="31">
        <v>66</v>
      </c>
      <c r="K3381" s="33" t="s">
        <v>140</v>
      </c>
      <c r="L3381" s="31" t="str">
        <f t="shared" si="326"/>
        <v>Enam Puluh Enam</v>
      </c>
    </row>
    <row r="3382" spans="10:12">
      <c r="J3382" s="31">
        <v>67</v>
      </c>
      <c r="K3382" s="33" t="s">
        <v>141</v>
      </c>
      <c r="L3382" s="31" t="str">
        <f t="shared" si="326"/>
        <v>Enam Puluh Tujuh</v>
      </c>
    </row>
    <row r="3383" spans="10:12">
      <c r="J3383" s="31">
        <v>68</v>
      </c>
      <c r="K3383" s="33" t="s">
        <v>142</v>
      </c>
      <c r="L3383" s="31" t="str">
        <f t="shared" si="326"/>
        <v>Enam Puluh Delapan</v>
      </c>
    </row>
    <row r="3384" spans="10:12">
      <c r="J3384" s="31">
        <v>69</v>
      </c>
      <c r="K3384" s="33" t="s">
        <v>143</v>
      </c>
      <c r="L3384" s="31" t="str">
        <f t="shared" si="326"/>
        <v>Enam Puluh Sembilan</v>
      </c>
    </row>
    <row r="3385" spans="10:12">
      <c r="J3385" s="31">
        <v>70</v>
      </c>
      <c r="K3385" s="33" t="s">
        <v>144</v>
      </c>
      <c r="L3385" s="31" t="s">
        <v>145</v>
      </c>
    </row>
    <row r="3386" spans="10:12">
      <c r="J3386" s="31">
        <v>71</v>
      </c>
      <c r="K3386" s="33" t="s">
        <v>146</v>
      </c>
      <c r="L3386" s="31" t="str">
        <f t="shared" ref="L3386:L3394" si="327">$L$73&amp;" "&amp;L3316</f>
        <v>Tujuh Puluh Satu</v>
      </c>
    </row>
    <row r="3387" spans="10:12">
      <c r="J3387" s="31">
        <v>72</v>
      </c>
      <c r="K3387" s="33" t="s">
        <v>147</v>
      </c>
      <c r="L3387" s="31" t="str">
        <f t="shared" si="327"/>
        <v>Tujuh Puluh Dua</v>
      </c>
    </row>
    <row r="3388" spans="10:12">
      <c r="J3388" s="31">
        <v>73</v>
      </c>
      <c r="K3388" s="33" t="s">
        <v>148</v>
      </c>
      <c r="L3388" s="31" t="str">
        <f t="shared" si="327"/>
        <v>Tujuh Puluh Tiga</v>
      </c>
    </row>
    <row r="3389" spans="10:12">
      <c r="J3389" s="31">
        <v>74</v>
      </c>
      <c r="K3389" s="33" t="s">
        <v>149</v>
      </c>
      <c r="L3389" s="31" t="str">
        <f t="shared" si="327"/>
        <v>Tujuh Puluh Empat</v>
      </c>
    </row>
    <row r="3390" spans="10:12">
      <c r="J3390" s="31">
        <v>75</v>
      </c>
      <c r="K3390" s="33" t="s">
        <v>150</v>
      </c>
      <c r="L3390" s="31" t="str">
        <f t="shared" si="327"/>
        <v>Tujuh Puluh Lima</v>
      </c>
    </row>
    <row r="3391" spans="10:12">
      <c r="J3391" s="31">
        <v>76</v>
      </c>
      <c r="K3391" s="33" t="s">
        <v>151</v>
      </c>
      <c r="L3391" s="31" t="str">
        <f t="shared" si="327"/>
        <v>Tujuh Puluh Enam</v>
      </c>
    </row>
    <row r="3392" spans="10:12">
      <c r="J3392" s="31">
        <v>77</v>
      </c>
      <c r="K3392" s="33" t="s">
        <v>152</v>
      </c>
      <c r="L3392" s="31" t="str">
        <f t="shared" si="327"/>
        <v>Tujuh Puluh Tujuh</v>
      </c>
    </row>
    <row r="3393" spans="10:12">
      <c r="J3393" s="31">
        <v>78</v>
      </c>
      <c r="K3393" s="33" t="s">
        <v>153</v>
      </c>
      <c r="L3393" s="31" t="str">
        <f t="shared" si="327"/>
        <v>Tujuh Puluh Delapan</v>
      </c>
    </row>
    <row r="3394" spans="10:12">
      <c r="J3394" s="31">
        <v>79</v>
      </c>
      <c r="K3394" s="33" t="s">
        <v>154</v>
      </c>
      <c r="L3394" s="31" t="str">
        <f t="shared" si="327"/>
        <v>Tujuh Puluh Sembilan</v>
      </c>
    </row>
    <row r="3395" spans="10:12">
      <c r="J3395" s="31">
        <v>80</v>
      </c>
      <c r="K3395" s="33" t="s">
        <v>155</v>
      </c>
      <c r="L3395" s="31" t="s">
        <v>156</v>
      </c>
    </row>
    <row r="3396" spans="10:12">
      <c r="J3396" s="31">
        <v>81</v>
      </c>
      <c r="K3396" s="33" t="s">
        <v>157</v>
      </c>
      <c r="L3396" s="31" t="str">
        <f t="shared" ref="L3396:L3404" si="328">$L$83&amp;" "&amp;L3316</f>
        <v>Delapan Puluh Satu</v>
      </c>
    </row>
    <row r="3397" spans="10:12">
      <c r="J3397" s="31">
        <v>82</v>
      </c>
      <c r="K3397" s="33" t="s">
        <v>158</v>
      </c>
      <c r="L3397" s="31" t="str">
        <f t="shared" si="328"/>
        <v>Delapan Puluh Dua</v>
      </c>
    </row>
    <row r="3398" spans="10:12">
      <c r="J3398" s="31">
        <v>83</v>
      </c>
      <c r="K3398" s="33" t="s">
        <v>159</v>
      </c>
      <c r="L3398" s="31" t="str">
        <f t="shared" si="328"/>
        <v>Delapan Puluh Tiga</v>
      </c>
    </row>
    <row r="3399" spans="10:12">
      <c r="J3399" s="31">
        <v>84</v>
      </c>
      <c r="K3399" s="33" t="s">
        <v>160</v>
      </c>
      <c r="L3399" s="31" t="str">
        <f t="shared" si="328"/>
        <v>Delapan Puluh Empat</v>
      </c>
    </row>
    <row r="3400" spans="10:12">
      <c r="J3400" s="31">
        <v>85</v>
      </c>
      <c r="K3400" s="33" t="s">
        <v>161</v>
      </c>
      <c r="L3400" s="31" t="str">
        <f t="shared" si="328"/>
        <v>Delapan Puluh Lima</v>
      </c>
    </row>
    <row r="3401" spans="10:12">
      <c r="J3401" s="31">
        <v>86</v>
      </c>
      <c r="K3401" s="33" t="s">
        <v>162</v>
      </c>
      <c r="L3401" s="31" t="str">
        <f t="shared" si="328"/>
        <v>Delapan Puluh Enam</v>
      </c>
    </row>
    <row r="3402" spans="10:12">
      <c r="J3402" s="31">
        <v>87</v>
      </c>
      <c r="K3402" s="33" t="s">
        <v>163</v>
      </c>
      <c r="L3402" s="31" t="str">
        <f t="shared" si="328"/>
        <v>Delapan Puluh Tujuh</v>
      </c>
    </row>
    <row r="3403" spans="10:12">
      <c r="J3403" s="31">
        <v>88</v>
      </c>
      <c r="K3403" s="33" t="s">
        <v>164</v>
      </c>
      <c r="L3403" s="31" t="str">
        <f t="shared" si="328"/>
        <v>Delapan Puluh Delapan</v>
      </c>
    </row>
    <row r="3404" spans="10:12">
      <c r="J3404" s="31">
        <v>89</v>
      </c>
      <c r="K3404" s="33" t="s">
        <v>165</v>
      </c>
      <c r="L3404" s="31" t="str">
        <f t="shared" si="328"/>
        <v>Delapan Puluh Sembilan</v>
      </c>
    </row>
    <row r="3405" spans="10:12">
      <c r="J3405" s="31">
        <v>90</v>
      </c>
      <c r="K3405" s="33" t="s">
        <v>166</v>
      </c>
      <c r="L3405" s="31" t="s">
        <v>167</v>
      </c>
    </row>
    <row r="3406" spans="10:12">
      <c r="J3406" s="31">
        <v>91</v>
      </c>
      <c r="K3406" s="33" t="s">
        <v>168</v>
      </c>
      <c r="L3406" s="31" t="str">
        <f t="shared" ref="L3406:L3414" si="329">$L$93&amp;" "&amp;L3316</f>
        <v>Sembilan Puluh Satu</v>
      </c>
    </row>
    <row r="3407" spans="10:12">
      <c r="J3407" s="31">
        <v>92</v>
      </c>
      <c r="K3407" s="33" t="s">
        <v>169</v>
      </c>
      <c r="L3407" s="31" t="str">
        <f t="shared" si="329"/>
        <v>Sembilan Puluh Dua</v>
      </c>
    </row>
    <row r="3408" spans="10:12">
      <c r="J3408" s="31">
        <v>93</v>
      </c>
      <c r="K3408" s="33" t="s">
        <v>170</v>
      </c>
      <c r="L3408" s="31" t="str">
        <f t="shared" si="329"/>
        <v>Sembilan Puluh Tiga</v>
      </c>
    </row>
    <row r="3409" spans="1:12">
      <c r="J3409" s="31">
        <v>94</v>
      </c>
      <c r="K3409" s="33" t="s">
        <v>171</v>
      </c>
      <c r="L3409" s="31" t="str">
        <f t="shared" si="329"/>
        <v>Sembilan Puluh Empat</v>
      </c>
    </row>
    <row r="3410" spans="1:12">
      <c r="J3410" s="31">
        <v>95</v>
      </c>
      <c r="K3410" s="33" t="s">
        <v>172</v>
      </c>
      <c r="L3410" s="31" t="str">
        <f t="shared" si="329"/>
        <v>Sembilan Puluh Lima</v>
      </c>
    </row>
    <row r="3411" spans="1:12">
      <c r="J3411" s="31">
        <v>96</v>
      </c>
      <c r="K3411" s="33" t="s">
        <v>173</v>
      </c>
      <c r="L3411" s="31" t="str">
        <f t="shared" si="329"/>
        <v>Sembilan Puluh Enam</v>
      </c>
    </row>
    <row r="3412" spans="1:12">
      <c r="J3412" s="31">
        <v>97</v>
      </c>
      <c r="K3412" s="33" t="s">
        <v>174</v>
      </c>
      <c r="L3412" s="31" t="str">
        <f t="shared" si="329"/>
        <v>Sembilan Puluh Tujuh</v>
      </c>
    </row>
    <row r="3413" spans="1:12">
      <c r="J3413" s="31">
        <v>98</v>
      </c>
      <c r="K3413" s="33" t="s">
        <v>175</v>
      </c>
      <c r="L3413" s="31" t="str">
        <f t="shared" si="329"/>
        <v>Sembilan Puluh Delapan</v>
      </c>
    </row>
    <row r="3414" spans="1:12">
      <c r="J3414" s="31">
        <v>99</v>
      </c>
      <c r="K3414" s="33" t="s">
        <v>176</v>
      </c>
      <c r="L3414" s="31" t="str">
        <f t="shared" si="329"/>
        <v>Sembilan Puluh Sembilan</v>
      </c>
    </row>
    <row r="3418" spans="1:12">
      <c r="A3418" s="30" t="e">
        <f>#REF!</f>
        <v>#REF!</v>
      </c>
      <c r="C3418" s="31" t="s">
        <v>217</v>
      </c>
    </row>
    <row r="3419" spans="1:12">
      <c r="A3419" s="32"/>
    </row>
    <row r="3420" spans="1:12">
      <c r="J3420" s="31">
        <v>0</v>
      </c>
      <c r="K3420" s="33" t="s">
        <v>48</v>
      </c>
      <c r="L3420" s="31" t="s">
        <v>49</v>
      </c>
    </row>
    <row r="3421" spans="1:12">
      <c r="A3421" s="34"/>
      <c r="J3421" s="31">
        <v>1</v>
      </c>
      <c r="K3421" s="33" t="s">
        <v>50</v>
      </c>
      <c r="L3421" s="31" t="s">
        <v>51</v>
      </c>
    </row>
    <row r="3422" spans="1:12">
      <c r="A3422" s="255" t="e">
        <f>TRIM(D3430&amp;E3430&amp;D3431&amp;E3431&amp;D3432&amp;E3432&amp;D3433&amp;E3433&amp;D3434&amp;E3434&amp;D3435&amp;E3435&amp;E3436&amp;D3436&amp;" Only")</f>
        <v>#REF!</v>
      </c>
      <c r="B3422" s="255"/>
      <c r="C3422" s="255"/>
      <c r="D3422" s="255"/>
      <c r="E3422" s="35"/>
      <c r="F3422" s="36"/>
      <c r="J3422" s="31">
        <v>2</v>
      </c>
      <c r="K3422" s="33" t="s">
        <v>52</v>
      </c>
      <c r="L3422" s="31" t="s">
        <v>53</v>
      </c>
    </row>
    <row r="3423" spans="1:12">
      <c r="A3423" s="37"/>
      <c r="B3423" s="37"/>
      <c r="C3423" s="37"/>
      <c r="D3423" s="37"/>
      <c r="E3423" s="35"/>
      <c r="F3423" s="36"/>
      <c r="J3423" s="31">
        <v>3</v>
      </c>
      <c r="K3423" s="33" t="s">
        <v>54</v>
      </c>
      <c r="L3423" s="31" t="s">
        <v>55</v>
      </c>
    </row>
    <row r="3424" spans="1:12">
      <c r="A3424" s="37"/>
      <c r="B3424" s="37"/>
      <c r="C3424" s="37"/>
      <c r="D3424" s="37"/>
      <c r="J3424" s="31">
        <v>4</v>
      </c>
      <c r="K3424" s="33" t="s">
        <v>56</v>
      </c>
      <c r="L3424" s="31" t="s">
        <v>57</v>
      </c>
    </row>
    <row r="3425" spans="1:12">
      <c r="A3425" s="255" t="e">
        <f>TRIM(D3440&amp;E3440&amp;D3441&amp;E3441&amp;D3442&amp;E3442&amp;D3443&amp;E3443&amp;D3444&amp;E3444&amp;D3445&amp;E3445&amp;D3446&amp;E3446&amp;" Rupiah")</f>
        <v>#REF!</v>
      </c>
      <c r="B3425" s="255"/>
      <c r="C3425" s="255"/>
      <c r="D3425" s="255"/>
      <c r="E3425" s="35"/>
      <c r="F3425" s="36"/>
      <c r="J3425" s="31">
        <v>5</v>
      </c>
      <c r="K3425" s="33" t="s">
        <v>58</v>
      </c>
      <c r="L3425" s="31" t="s">
        <v>59</v>
      </c>
    </row>
    <row r="3426" spans="1:12">
      <c r="A3426" s="35"/>
      <c r="B3426" s="35"/>
      <c r="C3426" s="35"/>
      <c r="D3426" s="35"/>
      <c r="E3426" s="35"/>
      <c r="F3426" s="36"/>
      <c r="J3426" s="31">
        <v>6</v>
      </c>
      <c r="K3426" s="33" t="s">
        <v>60</v>
      </c>
      <c r="L3426" s="31" t="s">
        <v>61</v>
      </c>
    </row>
    <row r="3427" spans="1:12">
      <c r="J3427" s="31">
        <v>7</v>
      </c>
      <c r="K3427" s="33" t="s">
        <v>62</v>
      </c>
      <c r="L3427" s="31" t="s">
        <v>63</v>
      </c>
    </row>
    <row r="3428" spans="1:12">
      <c r="J3428" s="31">
        <v>8</v>
      </c>
      <c r="K3428" s="33" t="s">
        <v>64</v>
      </c>
      <c r="L3428" s="31" t="s">
        <v>65</v>
      </c>
    </row>
    <row r="3429" spans="1:12">
      <c r="A3429" s="38" t="s">
        <v>66</v>
      </c>
      <c r="J3429" s="31">
        <v>9</v>
      </c>
      <c r="K3429" s="33" t="s">
        <v>67</v>
      </c>
      <c r="L3429" s="31" t="s">
        <v>68</v>
      </c>
    </row>
    <row r="3430" spans="1:12">
      <c r="A3430" s="31" t="s">
        <v>69</v>
      </c>
      <c r="B3430" s="39" t="e">
        <f>TRUNC(A3418/100000000)</f>
        <v>#REF!</v>
      </c>
      <c r="C3430" s="31" t="e">
        <f>B3430*100000000</f>
        <v>#REF!</v>
      </c>
      <c r="D3430" s="31" t="e">
        <f t="shared" ref="D3430:D3436" si="330">IF(B3430&lt;1,"",VLOOKUP(B3430,$J$3:$K$102,2))</f>
        <v>#REF!</v>
      </c>
      <c r="E3430" s="31" t="e">
        <f>IF(B3430&lt;1,"",IF(B3430&gt;1," Hundreds "," Hundred "))</f>
        <v>#REF!</v>
      </c>
      <c r="J3430" s="31">
        <v>10</v>
      </c>
      <c r="K3430" s="33" t="s">
        <v>70</v>
      </c>
      <c r="L3430" s="31" t="s">
        <v>71</v>
      </c>
    </row>
    <row r="3431" spans="1:12">
      <c r="A3431" s="31" t="s">
        <v>72</v>
      </c>
      <c r="B3431" s="39" t="e">
        <f>TRUNC((A3418-C3430)/1000000)</f>
        <v>#REF!</v>
      </c>
      <c r="C3431" s="31" t="e">
        <f>B3431*1000000</f>
        <v>#REF!</v>
      </c>
      <c r="D3431" s="31" t="e">
        <f t="shared" si="330"/>
        <v>#REF!</v>
      </c>
      <c r="E3431" s="31" t="e">
        <f>IF(B3430+B3431=0,"",IF(B3431=1," Million "," Millions "))</f>
        <v>#REF!</v>
      </c>
      <c r="J3431" s="31">
        <v>11</v>
      </c>
      <c r="K3431" s="33" t="s">
        <v>73</v>
      </c>
      <c r="L3431" s="31" t="s">
        <v>74</v>
      </c>
    </row>
    <row r="3432" spans="1:12">
      <c r="A3432" s="31" t="s">
        <v>75</v>
      </c>
      <c r="B3432" s="39" t="e">
        <f>TRUNC((A3418-SUM(C3430:C3431))/100000)</f>
        <v>#REF!</v>
      </c>
      <c r="C3432" s="31" t="e">
        <f>B3432*100000</f>
        <v>#REF!</v>
      </c>
      <c r="D3432" s="31" t="e">
        <f t="shared" si="330"/>
        <v>#REF!</v>
      </c>
      <c r="E3432" s="31" t="e">
        <f>IF(B3432&lt;1,"",IF(B3432&gt;1," Hundreds "," Hundred "))</f>
        <v>#REF!</v>
      </c>
      <c r="J3432" s="31">
        <v>12</v>
      </c>
      <c r="K3432" s="33" t="s">
        <v>76</v>
      </c>
      <c r="L3432" s="31" t="str">
        <f t="shared" ref="L3432:L3439" si="331">L3422&amp;" Belas"</f>
        <v>Dua Belas</v>
      </c>
    </row>
    <row r="3433" spans="1:12">
      <c r="A3433" s="33" t="s">
        <v>77</v>
      </c>
      <c r="B3433" s="40" t="e">
        <f>TRUNC((A3418-SUM(C3430:C3432))/1000)</f>
        <v>#REF!</v>
      </c>
      <c r="C3433" s="31" t="e">
        <f>B3433*1000</f>
        <v>#REF!</v>
      </c>
      <c r="D3433" s="31" t="e">
        <f t="shared" si="330"/>
        <v>#REF!</v>
      </c>
      <c r="E3433" s="31" t="e">
        <f>IF(B3432+B3433=0,"",IF(B3433=1," Thousand "," Thousands "))</f>
        <v>#REF!</v>
      </c>
      <c r="J3433" s="31">
        <v>13</v>
      </c>
      <c r="K3433" s="33" t="s">
        <v>78</v>
      </c>
      <c r="L3433" s="31" t="str">
        <f t="shared" si="331"/>
        <v>Tiga Belas</v>
      </c>
    </row>
    <row r="3434" spans="1:12">
      <c r="A3434" s="33" t="s">
        <v>79</v>
      </c>
      <c r="B3434" s="40" t="e">
        <f>TRUNC((A3418-SUM(C3430:C3433))/100)</f>
        <v>#REF!</v>
      </c>
      <c r="C3434" s="31" t="e">
        <f>B3434*100</f>
        <v>#REF!</v>
      </c>
      <c r="D3434" s="31" t="e">
        <f t="shared" si="330"/>
        <v>#REF!</v>
      </c>
      <c r="E3434" s="31" t="e">
        <f>IF(B3434&lt;1,"",IF(B3434&gt;1," Hundreds "," Hundred "))</f>
        <v>#REF!</v>
      </c>
      <c r="J3434" s="31">
        <v>14</v>
      </c>
      <c r="K3434" s="33" t="s">
        <v>80</v>
      </c>
      <c r="L3434" s="31" t="str">
        <f t="shared" si="331"/>
        <v>Empat Belas</v>
      </c>
    </row>
    <row r="3435" spans="1:12">
      <c r="A3435" s="33" t="s">
        <v>81</v>
      </c>
      <c r="B3435" s="41" t="e">
        <f>TRUNC((A3418-SUM(C3430:C3434)))</f>
        <v>#REF!</v>
      </c>
      <c r="C3435" s="42" t="e">
        <f>B3435</f>
        <v>#REF!</v>
      </c>
      <c r="D3435" s="31" t="e">
        <f t="shared" si="330"/>
        <v>#REF!</v>
      </c>
      <c r="E3435" s="31" t="e">
        <f>IF(SUM(C3430:C3435)&lt;1,"",IF(B3436&lt;1,""," And "))</f>
        <v>#REF!</v>
      </c>
      <c r="J3435" s="31">
        <v>15</v>
      </c>
      <c r="K3435" s="33" t="s">
        <v>82</v>
      </c>
      <c r="L3435" s="31" t="str">
        <f t="shared" si="331"/>
        <v>Lima Belas</v>
      </c>
    </row>
    <row r="3436" spans="1:12">
      <c r="A3436" s="33" t="s">
        <v>83</v>
      </c>
      <c r="B3436" s="40" t="e">
        <f>ROUND(A3418-SUM(C3430:C3435),2)*100</f>
        <v>#REF!</v>
      </c>
      <c r="D3436" s="43" t="e">
        <f t="shared" si="330"/>
        <v>#REF!</v>
      </c>
      <c r="E3436" s="31" t="e">
        <f>IF(B3436&lt;1,"",IF(B3436=1," Cent "," Cents "))</f>
        <v>#REF!</v>
      </c>
      <c r="J3436" s="31">
        <v>16</v>
      </c>
      <c r="K3436" s="33" t="s">
        <v>84</v>
      </c>
      <c r="L3436" s="31" t="str">
        <f t="shared" si="331"/>
        <v>Enam Belas</v>
      </c>
    </row>
    <row r="3437" spans="1:12">
      <c r="J3437" s="31">
        <v>17</v>
      </c>
      <c r="K3437" s="33" t="s">
        <v>85</v>
      </c>
      <c r="L3437" s="31" t="str">
        <f t="shared" si="331"/>
        <v>Tujuh Belas</v>
      </c>
    </row>
    <row r="3438" spans="1:12">
      <c r="A3438" s="44"/>
      <c r="J3438" s="31">
        <v>18</v>
      </c>
      <c r="K3438" s="33" t="s">
        <v>86</v>
      </c>
      <c r="L3438" s="31" t="str">
        <f t="shared" si="331"/>
        <v>Delapan Belas</v>
      </c>
    </row>
    <row r="3439" spans="1:12">
      <c r="A3439" s="38" t="s">
        <v>87</v>
      </c>
      <c r="J3439" s="31">
        <v>19</v>
      </c>
      <c r="K3439" s="33" t="s">
        <v>88</v>
      </c>
      <c r="L3439" s="31" t="str">
        <f t="shared" si="331"/>
        <v>Sembilan Belas</v>
      </c>
    </row>
    <row r="3440" spans="1:12">
      <c r="A3440" s="31" t="s">
        <v>69</v>
      </c>
      <c r="B3440" s="39" t="e">
        <f>TRUNC(A3418/100000000)</f>
        <v>#REF!</v>
      </c>
      <c r="C3440" s="31" t="e">
        <f>B3440*100000000</f>
        <v>#REF!</v>
      </c>
      <c r="D3440" s="31" t="e">
        <f>IF(B3440&lt;1,"",IF(B3440=1,"",VLOOKUP(B3440,$J$3:$L$102,3)))</f>
        <v>#REF!</v>
      </c>
      <c r="E3440" s="31" t="e">
        <f>IF(B3440&lt;1,"",IF(B3440=1,"Seratus "," Ratus "))</f>
        <v>#REF!</v>
      </c>
      <c r="J3440" s="31">
        <v>20</v>
      </c>
      <c r="K3440" s="33" t="s">
        <v>89</v>
      </c>
      <c r="L3440" s="31" t="s">
        <v>90</v>
      </c>
    </row>
    <row r="3441" spans="1:12">
      <c r="A3441" s="31" t="s">
        <v>72</v>
      </c>
      <c r="B3441" s="39" t="e">
        <f>TRUNC((A3418-C3440)/1000000)</f>
        <v>#REF!</v>
      </c>
      <c r="C3441" s="31" t="e">
        <f>B3441*1000000</f>
        <v>#REF!</v>
      </c>
      <c r="D3441" s="31" t="e">
        <f>IF(B3441&lt;1,"",VLOOKUP(B3441,$J$3:$L$102,3))</f>
        <v>#REF!</v>
      </c>
      <c r="E3441" s="31" t="e">
        <f>IF(B3440+B3441=0,""," Juta ")</f>
        <v>#REF!</v>
      </c>
      <c r="J3441" s="31">
        <v>21</v>
      </c>
      <c r="K3441" s="33" t="s">
        <v>91</v>
      </c>
      <c r="L3441" s="31" t="str">
        <f t="shared" ref="L3441:L3449" si="332">$L$23&amp;" "&amp;L3421</f>
        <v>Dua Puluh Satu</v>
      </c>
    </row>
    <row r="3442" spans="1:12">
      <c r="A3442" s="31" t="s">
        <v>75</v>
      </c>
      <c r="B3442" s="39" t="e">
        <f>TRUNC((A3418-SUM(C3440:C3441))/100000)</f>
        <v>#REF!</v>
      </c>
      <c r="C3442" s="31" t="e">
        <f>B3442*100000</f>
        <v>#REF!</v>
      </c>
      <c r="D3442" s="31" t="e">
        <f>IF(B3442&lt;1,"",IF(B3442=1,"",VLOOKUP(B3442,$J$3:$L$102,3)))</f>
        <v>#REF!</v>
      </c>
      <c r="E3442" s="31" t="e">
        <f>IF(B3442&lt;1,"",IF(B3442=1," Seratus "," Ratus "))</f>
        <v>#REF!</v>
      </c>
      <c r="J3442" s="31">
        <v>22</v>
      </c>
      <c r="K3442" s="33" t="s">
        <v>92</v>
      </c>
      <c r="L3442" s="31" t="str">
        <f t="shared" si="332"/>
        <v>Dua Puluh Dua</v>
      </c>
    </row>
    <row r="3443" spans="1:12">
      <c r="A3443" s="33" t="s">
        <v>77</v>
      </c>
      <c r="B3443" s="40" t="e">
        <f>TRUNC((A3418-SUM(C3440:C3442))/1000)</f>
        <v>#REF!</v>
      </c>
      <c r="C3443" s="31" t="e">
        <f>B3443*1000</f>
        <v>#REF!</v>
      </c>
      <c r="D3443" s="31" t="e">
        <f>IF(B3443&lt;1,"",IF(B3443=1,"",VLOOKUP(B3443,$J$3:$L$102,3)))</f>
        <v>#REF!</v>
      </c>
      <c r="E3443" s="31" t="e">
        <f>IF(B3442+B3443&lt;1,"",IF(B3443=1," Seribu "," Ribu "))</f>
        <v>#REF!</v>
      </c>
      <c r="J3443" s="31">
        <v>23</v>
      </c>
      <c r="K3443" s="33" t="s">
        <v>93</v>
      </c>
      <c r="L3443" s="31" t="str">
        <f t="shared" si="332"/>
        <v>Dua Puluh Tiga</v>
      </c>
    </row>
    <row r="3444" spans="1:12">
      <c r="A3444" s="33" t="s">
        <v>79</v>
      </c>
      <c r="B3444" s="40" t="e">
        <f>TRUNC((A3418-SUM(C3440:C3443))/100)</f>
        <v>#REF!</v>
      </c>
      <c r="C3444" s="31" t="e">
        <f>B3444*100</f>
        <v>#REF!</v>
      </c>
      <c r="D3444" s="31" t="e">
        <f>IF(B3444&lt;1,"",IF(B3444=1,"",VLOOKUP(B3444,$J$3:$L$102,3)))</f>
        <v>#REF!</v>
      </c>
      <c r="E3444" s="31" t="e">
        <f>IF(B3444&lt;1,"",IF(B3444=1," Seratus "," Ratus "))</f>
        <v>#REF!</v>
      </c>
      <c r="J3444" s="31">
        <v>24</v>
      </c>
      <c r="K3444" s="33" t="s">
        <v>94</v>
      </c>
      <c r="L3444" s="31" t="str">
        <f t="shared" si="332"/>
        <v>Dua Puluh Empat</v>
      </c>
    </row>
    <row r="3445" spans="1:12">
      <c r="A3445" s="33" t="s">
        <v>81</v>
      </c>
      <c r="B3445" s="41" t="e">
        <f>TRUNC((A3418-SUM(C3440:C3444)))</f>
        <v>#REF!</v>
      </c>
      <c r="C3445" s="42" t="e">
        <f>B3445</f>
        <v>#REF!</v>
      </c>
      <c r="D3445" s="31" t="e">
        <f>IF(B3445&lt;1,"",VLOOKUP(B3445,$J$3:$L$102,3))</f>
        <v>#REF!</v>
      </c>
      <c r="E3445" s="31" t="e">
        <f>IF(SUM(C3440:C3445)&lt;1,"",IF(B3446&lt;1,""," Dan "))</f>
        <v>#REF!</v>
      </c>
      <c r="J3445" s="31">
        <v>25</v>
      </c>
      <c r="K3445" s="33" t="s">
        <v>95</v>
      </c>
      <c r="L3445" s="31" t="str">
        <f t="shared" si="332"/>
        <v>Dua Puluh Lima</v>
      </c>
    </row>
    <row r="3446" spans="1:12">
      <c r="A3446" s="33" t="s">
        <v>83</v>
      </c>
      <c r="B3446" s="40" t="e">
        <f>ROUND(A3418-SUM(C3440:C3445),2)*100</f>
        <v>#REF!</v>
      </c>
      <c r="D3446" s="31" t="e">
        <f>IF(B3446&lt;1,"",VLOOKUP(B3446,$J$3:$L$102,3))</f>
        <v>#REF!</v>
      </c>
      <c r="E3446" s="31" t="e">
        <f>IF(B3446&lt;1,""," Sen ")</f>
        <v>#REF!</v>
      </c>
      <c r="J3446" s="31">
        <v>26</v>
      </c>
      <c r="K3446" s="33" t="s">
        <v>96</v>
      </c>
      <c r="L3446" s="31" t="str">
        <f t="shared" si="332"/>
        <v>Dua Puluh Enam</v>
      </c>
    </row>
    <row r="3447" spans="1:12">
      <c r="J3447" s="31">
        <v>27</v>
      </c>
      <c r="K3447" s="33" t="s">
        <v>97</v>
      </c>
      <c r="L3447" s="31" t="str">
        <f t="shared" si="332"/>
        <v>Dua Puluh Tujuh</v>
      </c>
    </row>
    <row r="3448" spans="1:12">
      <c r="J3448" s="31">
        <v>28</v>
      </c>
      <c r="K3448" s="33" t="s">
        <v>98</v>
      </c>
      <c r="L3448" s="31" t="str">
        <f t="shared" si="332"/>
        <v>Dua Puluh Delapan</v>
      </c>
    </row>
    <row r="3449" spans="1:12">
      <c r="J3449" s="31">
        <v>29</v>
      </c>
      <c r="K3449" s="33" t="s">
        <v>99</v>
      </c>
      <c r="L3449" s="31" t="str">
        <f t="shared" si="332"/>
        <v>Dua Puluh Sembilan</v>
      </c>
    </row>
    <row r="3450" spans="1:12">
      <c r="J3450" s="31">
        <v>30</v>
      </c>
      <c r="K3450" s="33" t="s">
        <v>100</v>
      </c>
      <c r="L3450" s="31" t="s">
        <v>101</v>
      </c>
    </row>
    <row r="3451" spans="1:12">
      <c r="J3451" s="31">
        <v>31</v>
      </c>
      <c r="K3451" s="33" t="s">
        <v>102</v>
      </c>
      <c r="L3451" s="31" t="str">
        <f t="shared" ref="L3451:L3459" si="333">$L$33&amp;" "&amp;L3421</f>
        <v>Tiga Puluh Satu</v>
      </c>
    </row>
    <row r="3452" spans="1:12">
      <c r="J3452" s="31">
        <v>32</v>
      </c>
      <c r="K3452" s="33" t="s">
        <v>103</v>
      </c>
      <c r="L3452" s="31" t="str">
        <f t="shared" si="333"/>
        <v>Tiga Puluh Dua</v>
      </c>
    </row>
    <row r="3453" spans="1:12">
      <c r="J3453" s="31">
        <v>33</v>
      </c>
      <c r="K3453" s="33" t="s">
        <v>104</v>
      </c>
      <c r="L3453" s="31" t="str">
        <f t="shared" si="333"/>
        <v>Tiga Puluh Tiga</v>
      </c>
    </row>
    <row r="3454" spans="1:12">
      <c r="J3454" s="31">
        <v>34</v>
      </c>
      <c r="K3454" s="33" t="s">
        <v>105</v>
      </c>
      <c r="L3454" s="31" t="str">
        <f t="shared" si="333"/>
        <v>Tiga Puluh Empat</v>
      </c>
    </row>
    <row r="3455" spans="1:12">
      <c r="J3455" s="31">
        <v>35</v>
      </c>
      <c r="K3455" s="33" t="s">
        <v>106</v>
      </c>
      <c r="L3455" s="31" t="str">
        <f t="shared" si="333"/>
        <v>Tiga Puluh Lima</v>
      </c>
    </row>
    <row r="3456" spans="1:12">
      <c r="J3456" s="31">
        <v>36</v>
      </c>
      <c r="K3456" s="33" t="s">
        <v>107</v>
      </c>
      <c r="L3456" s="31" t="str">
        <f t="shared" si="333"/>
        <v>Tiga Puluh Enam</v>
      </c>
    </row>
    <row r="3457" spans="1:12">
      <c r="J3457" s="31">
        <v>37</v>
      </c>
      <c r="K3457" s="33" t="s">
        <v>108</v>
      </c>
      <c r="L3457" s="31" t="str">
        <f t="shared" si="333"/>
        <v>Tiga Puluh Tujuh</v>
      </c>
    </row>
    <row r="3458" spans="1:12">
      <c r="J3458" s="31">
        <v>38</v>
      </c>
      <c r="K3458" s="33" t="s">
        <v>109</v>
      </c>
      <c r="L3458" s="31" t="str">
        <f t="shared" si="333"/>
        <v>Tiga Puluh Delapan</v>
      </c>
    </row>
    <row r="3459" spans="1:12">
      <c r="J3459" s="31">
        <v>39</v>
      </c>
      <c r="K3459" s="33" t="s">
        <v>110</v>
      </c>
      <c r="L3459" s="31" t="str">
        <f t="shared" si="333"/>
        <v>Tiga Puluh Sembilan</v>
      </c>
    </row>
    <row r="3460" spans="1:12">
      <c r="B3460" s="35"/>
      <c r="C3460" s="35"/>
      <c r="D3460" s="35"/>
      <c r="J3460" s="31">
        <v>40</v>
      </c>
      <c r="K3460" s="33" t="s">
        <v>111</v>
      </c>
      <c r="L3460" s="31" t="s">
        <v>112</v>
      </c>
    </row>
    <row r="3461" spans="1:12">
      <c r="A3461" s="35"/>
      <c r="B3461" s="35"/>
      <c r="C3461" s="35"/>
      <c r="D3461" s="35"/>
      <c r="J3461" s="31">
        <v>41</v>
      </c>
      <c r="K3461" s="33" t="s">
        <v>113</v>
      </c>
      <c r="L3461" s="31" t="str">
        <f t="shared" ref="L3461:L3469" si="334">$L$43&amp;" "&amp;L3421</f>
        <v>Empat Puluh Satu</v>
      </c>
    </row>
    <row r="3462" spans="1:12">
      <c r="J3462" s="31">
        <v>42</v>
      </c>
      <c r="K3462" s="33" t="s">
        <v>114</v>
      </c>
      <c r="L3462" s="31" t="str">
        <f t="shared" si="334"/>
        <v>Empat Puluh Dua</v>
      </c>
    </row>
    <row r="3463" spans="1:12">
      <c r="A3463" s="38"/>
      <c r="J3463" s="31">
        <v>43</v>
      </c>
      <c r="K3463" s="33" t="s">
        <v>115</v>
      </c>
      <c r="L3463" s="31" t="str">
        <f t="shared" si="334"/>
        <v>Empat Puluh Tiga</v>
      </c>
    </row>
    <row r="3464" spans="1:12">
      <c r="J3464" s="31">
        <v>44</v>
      </c>
      <c r="K3464" s="33" t="s">
        <v>116</v>
      </c>
      <c r="L3464" s="31" t="str">
        <f t="shared" si="334"/>
        <v>Empat Puluh Empat</v>
      </c>
    </row>
    <row r="3465" spans="1:12">
      <c r="J3465" s="31">
        <v>45</v>
      </c>
      <c r="K3465" s="33" t="s">
        <v>117</v>
      </c>
      <c r="L3465" s="31" t="str">
        <f t="shared" si="334"/>
        <v>Empat Puluh Lima</v>
      </c>
    </row>
    <row r="3466" spans="1:12">
      <c r="J3466" s="31">
        <v>46</v>
      </c>
      <c r="K3466" s="33" t="s">
        <v>118</v>
      </c>
      <c r="L3466" s="31" t="str">
        <f t="shared" si="334"/>
        <v>Empat Puluh Enam</v>
      </c>
    </row>
    <row r="3467" spans="1:12">
      <c r="J3467" s="31">
        <v>47</v>
      </c>
      <c r="K3467" s="33" t="s">
        <v>119</v>
      </c>
      <c r="L3467" s="31" t="str">
        <f t="shared" si="334"/>
        <v>Empat Puluh Tujuh</v>
      </c>
    </row>
    <row r="3468" spans="1:12">
      <c r="J3468" s="31">
        <v>48</v>
      </c>
      <c r="K3468" s="33" t="s">
        <v>120</v>
      </c>
      <c r="L3468" s="31" t="str">
        <f t="shared" si="334"/>
        <v>Empat Puluh Delapan</v>
      </c>
    </row>
    <row r="3469" spans="1:12">
      <c r="J3469" s="31">
        <v>49</v>
      </c>
      <c r="K3469" s="33" t="s">
        <v>121</v>
      </c>
      <c r="L3469" s="31" t="str">
        <f t="shared" si="334"/>
        <v>Empat Puluh Sembilan</v>
      </c>
    </row>
    <row r="3470" spans="1:12">
      <c r="J3470" s="31">
        <v>50</v>
      </c>
      <c r="K3470" s="33" t="s">
        <v>122</v>
      </c>
      <c r="L3470" s="31" t="s">
        <v>123</v>
      </c>
    </row>
    <row r="3471" spans="1:12">
      <c r="J3471" s="31">
        <v>51</v>
      </c>
      <c r="K3471" s="33" t="s">
        <v>124</v>
      </c>
      <c r="L3471" s="31" t="str">
        <f t="shared" ref="L3471:L3479" si="335">$L$53&amp;" "&amp;L3421</f>
        <v>Lima Puluh Satu</v>
      </c>
    </row>
    <row r="3472" spans="1:12">
      <c r="J3472" s="31">
        <v>52</v>
      </c>
      <c r="K3472" s="33" t="s">
        <v>125</v>
      </c>
      <c r="L3472" s="31" t="str">
        <f t="shared" si="335"/>
        <v>Lima Puluh Dua</v>
      </c>
    </row>
    <row r="3473" spans="10:12">
      <c r="J3473" s="31">
        <v>53</v>
      </c>
      <c r="K3473" s="33" t="s">
        <v>126</v>
      </c>
      <c r="L3473" s="31" t="str">
        <f t="shared" si="335"/>
        <v>Lima Puluh Tiga</v>
      </c>
    </row>
    <row r="3474" spans="10:12">
      <c r="J3474" s="31">
        <v>54</v>
      </c>
      <c r="K3474" s="33" t="s">
        <v>127</v>
      </c>
      <c r="L3474" s="31" t="str">
        <f t="shared" si="335"/>
        <v>Lima Puluh Empat</v>
      </c>
    </row>
    <row r="3475" spans="10:12">
      <c r="J3475" s="31">
        <v>55</v>
      </c>
      <c r="K3475" s="33" t="s">
        <v>128</v>
      </c>
      <c r="L3475" s="31" t="str">
        <f t="shared" si="335"/>
        <v>Lima Puluh Lima</v>
      </c>
    </row>
    <row r="3476" spans="10:12">
      <c r="J3476" s="31">
        <v>56</v>
      </c>
      <c r="K3476" s="33" t="s">
        <v>129</v>
      </c>
      <c r="L3476" s="31" t="str">
        <f t="shared" si="335"/>
        <v>Lima Puluh Enam</v>
      </c>
    </row>
    <row r="3477" spans="10:12">
      <c r="J3477" s="31">
        <v>57</v>
      </c>
      <c r="K3477" s="33" t="s">
        <v>130</v>
      </c>
      <c r="L3477" s="31" t="str">
        <f t="shared" si="335"/>
        <v>Lima Puluh Tujuh</v>
      </c>
    </row>
    <row r="3478" spans="10:12">
      <c r="J3478" s="31">
        <v>58</v>
      </c>
      <c r="K3478" s="33" t="s">
        <v>131</v>
      </c>
      <c r="L3478" s="31" t="str">
        <f t="shared" si="335"/>
        <v>Lima Puluh Delapan</v>
      </c>
    </row>
    <row r="3479" spans="10:12">
      <c r="J3479" s="31">
        <v>59</v>
      </c>
      <c r="K3479" s="33" t="s">
        <v>132</v>
      </c>
      <c r="L3479" s="31" t="str">
        <f t="shared" si="335"/>
        <v>Lima Puluh Sembilan</v>
      </c>
    </row>
    <row r="3480" spans="10:12">
      <c r="J3480" s="31">
        <v>60</v>
      </c>
      <c r="K3480" s="33" t="s">
        <v>133</v>
      </c>
      <c r="L3480" s="31" t="s">
        <v>134</v>
      </c>
    </row>
    <row r="3481" spans="10:12">
      <c r="J3481" s="31">
        <v>61</v>
      </c>
      <c r="K3481" s="33" t="s">
        <v>135</v>
      </c>
      <c r="L3481" s="31" t="str">
        <f t="shared" ref="L3481:L3489" si="336">$L$63&amp;" "&amp;L3421</f>
        <v>Enam Puluh Satu</v>
      </c>
    </row>
    <row r="3482" spans="10:12">
      <c r="J3482" s="31">
        <v>62</v>
      </c>
      <c r="K3482" s="33" t="s">
        <v>136</v>
      </c>
      <c r="L3482" s="31" t="str">
        <f t="shared" si="336"/>
        <v>Enam Puluh Dua</v>
      </c>
    </row>
    <row r="3483" spans="10:12">
      <c r="J3483" s="31">
        <v>63</v>
      </c>
      <c r="K3483" s="33" t="s">
        <v>137</v>
      </c>
      <c r="L3483" s="31" t="str">
        <f t="shared" si="336"/>
        <v>Enam Puluh Tiga</v>
      </c>
    </row>
    <row r="3484" spans="10:12">
      <c r="J3484" s="31">
        <v>64</v>
      </c>
      <c r="K3484" s="33" t="s">
        <v>138</v>
      </c>
      <c r="L3484" s="31" t="str">
        <f t="shared" si="336"/>
        <v>Enam Puluh Empat</v>
      </c>
    </row>
    <row r="3485" spans="10:12">
      <c r="J3485" s="31">
        <v>65</v>
      </c>
      <c r="K3485" s="33" t="s">
        <v>139</v>
      </c>
      <c r="L3485" s="31" t="str">
        <f t="shared" si="336"/>
        <v>Enam Puluh Lima</v>
      </c>
    </row>
    <row r="3486" spans="10:12">
      <c r="J3486" s="31">
        <v>66</v>
      </c>
      <c r="K3486" s="33" t="s">
        <v>140</v>
      </c>
      <c r="L3486" s="31" t="str">
        <f t="shared" si="336"/>
        <v>Enam Puluh Enam</v>
      </c>
    </row>
    <row r="3487" spans="10:12">
      <c r="J3487" s="31">
        <v>67</v>
      </c>
      <c r="K3487" s="33" t="s">
        <v>141</v>
      </c>
      <c r="L3487" s="31" t="str">
        <f t="shared" si="336"/>
        <v>Enam Puluh Tujuh</v>
      </c>
    </row>
    <row r="3488" spans="10:12">
      <c r="J3488" s="31">
        <v>68</v>
      </c>
      <c r="K3488" s="33" t="s">
        <v>142</v>
      </c>
      <c r="L3488" s="31" t="str">
        <f t="shared" si="336"/>
        <v>Enam Puluh Delapan</v>
      </c>
    </row>
    <row r="3489" spans="10:12">
      <c r="J3489" s="31">
        <v>69</v>
      </c>
      <c r="K3489" s="33" t="s">
        <v>143</v>
      </c>
      <c r="L3489" s="31" t="str">
        <f t="shared" si="336"/>
        <v>Enam Puluh Sembilan</v>
      </c>
    </row>
    <row r="3490" spans="10:12">
      <c r="J3490" s="31">
        <v>70</v>
      </c>
      <c r="K3490" s="33" t="s">
        <v>144</v>
      </c>
      <c r="L3490" s="31" t="s">
        <v>145</v>
      </c>
    </row>
    <row r="3491" spans="10:12">
      <c r="J3491" s="31">
        <v>71</v>
      </c>
      <c r="K3491" s="33" t="s">
        <v>146</v>
      </c>
      <c r="L3491" s="31" t="str">
        <f t="shared" ref="L3491:L3499" si="337">$L$73&amp;" "&amp;L3421</f>
        <v>Tujuh Puluh Satu</v>
      </c>
    </row>
    <row r="3492" spans="10:12">
      <c r="J3492" s="31">
        <v>72</v>
      </c>
      <c r="K3492" s="33" t="s">
        <v>147</v>
      </c>
      <c r="L3492" s="31" t="str">
        <f t="shared" si="337"/>
        <v>Tujuh Puluh Dua</v>
      </c>
    </row>
    <row r="3493" spans="10:12">
      <c r="J3493" s="31">
        <v>73</v>
      </c>
      <c r="K3493" s="33" t="s">
        <v>148</v>
      </c>
      <c r="L3493" s="31" t="str">
        <f t="shared" si="337"/>
        <v>Tujuh Puluh Tiga</v>
      </c>
    </row>
    <row r="3494" spans="10:12">
      <c r="J3494" s="31">
        <v>74</v>
      </c>
      <c r="K3494" s="33" t="s">
        <v>149</v>
      </c>
      <c r="L3494" s="31" t="str">
        <f t="shared" si="337"/>
        <v>Tujuh Puluh Empat</v>
      </c>
    </row>
    <row r="3495" spans="10:12">
      <c r="J3495" s="31">
        <v>75</v>
      </c>
      <c r="K3495" s="33" t="s">
        <v>150</v>
      </c>
      <c r="L3495" s="31" t="str">
        <f t="shared" si="337"/>
        <v>Tujuh Puluh Lima</v>
      </c>
    </row>
    <row r="3496" spans="10:12">
      <c r="J3496" s="31">
        <v>76</v>
      </c>
      <c r="K3496" s="33" t="s">
        <v>151</v>
      </c>
      <c r="L3496" s="31" t="str">
        <f t="shared" si="337"/>
        <v>Tujuh Puluh Enam</v>
      </c>
    </row>
    <row r="3497" spans="10:12">
      <c r="J3497" s="31">
        <v>77</v>
      </c>
      <c r="K3497" s="33" t="s">
        <v>152</v>
      </c>
      <c r="L3497" s="31" t="str">
        <f t="shared" si="337"/>
        <v>Tujuh Puluh Tujuh</v>
      </c>
    </row>
    <row r="3498" spans="10:12">
      <c r="J3498" s="31">
        <v>78</v>
      </c>
      <c r="K3498" s="33" t="s">
        <v>153</v>
      </c>
      <c r="L3498" s="31" t="str">
        <f t="shared" si="337"/>
        <v>Tujuh Puluh Delapan</v>
      </c>
    </row>
    <row r="3499" spans="10:12">
      <c r="J3499" s="31">
        <v>79</v>
      </c>
      <c r="K3499" s="33" t="s">
        <v>154</v>
      </c>
      <c r="L3499" s="31" t="str">
        <f t="shared" si="337"/>
        <v>Tujuh Puluh Sembilan</v>
      </c>
    </row>
    <row r="3500" spans="10:12">
      <c r="J3500" s="31">
        <v>80</v>
      </c>
      <c r="K3500" s="33" t="s">
        <v>155</v>
      </c>
      <c r="L3500" s="31" t="s">
        <v>156</v>
      </c>
    </row>
    <row r="3501" spans="10:12">
      <c r="J3501" s="31">
        <v>81</v>
      </c>
      <c r="K3501" s="33" t="s">
        <v>157</v>
      </c>
      <c r="L3501" s="31" t="str">
        <f t="shared" ref="L3501:L3509" si="338">$L$83&amp;" "&amp;L3421</f>
        <v>Delapan Puluh Satu</v>
      </c>
    </row>
    <row r="3502" spans="10:12">
      <c r="J3502" s="31">
        <v>82</v>
      </c>
      <c r="K3502" s="33" t="s">
        <v>158</v>
      </c>
      <c r="L3502" s="31" t="str">
        <f t="shared" si="338"/>
        <v>Delapan Puluh Dua</v>
      </c>
    </row>
    <row r="3503" spans="10:12">
      <c r="J3503" s="31">
        <v>83</v>
      </c>
      <c r="K3503" s="33" t="s">
        <v>159</v>
      </c>
      <c r="L3503" s="31" t="str">
        <f t="shared" si="338"/>
        <v>Delapan Puluh Tiga</v>
      </c>
    </row>
    <row r="3504" spans="10:12">
      <c r="J3504" s="31">
        <v>84</v>
      </c>
      <c r="K3504" s="33" t="s">
        <v>160</v>
      </c>
      <c r="L3504" s="31" t="str">
        <f t="shared" si="338"/>
        <v>Delapan Puluh Empat</v>
      </c>
    </row>
    <row r="3505" spans="10:12">
      <c r="J3505" s="31">
        <v>85</v>
      </c>
      <c r="K3505" s="33" t="s">
        <v>161</v>
      </c>
      <c r="L3505" s="31" t="str">
        <f t="shared" si="338"/>
        <v>Delapan Puluh Lima</v>
      </c>
    </row>
    <row r="3506" spans="10:12">
      <c r="J3506" s="31">
        <v>86</v>
      </c>
      <c r="K3506" s="33" t="s">
        <v>162</v>
      </c>
      <c r="L3506" s="31" t="str">
        <f t="shared" si="338"/>
        <v>Delapan Puluh Enam</v>
      </c>
    </row>
    <row r="3507" spans="10:12">
      <c r="J3507" s="31">
        <v>87</v>
      </c>
      <c r="K3507" s="33" t="s">
        <v>163</v>
      </c>
      <c r="L3507" s="31" t="str">
        <f t="shared" si="338"/>
        <v>Delapan Puluh Tujuh</v>
      </c>
    </row>
    <row r="3508" spans="10:12">
      <c r="J3508" s="31">
        <v>88</v>
      </c>
      <c r="K3508" s="33" t="s">
        <v>164</v>
      </c>
      <c r="L3508" s="31" t="str">
        <f t="shared" si="338"/>
        <v>Delapan Puluh Delapan</v>
      </c>
    </row>
    <row r="3509" spans="10:12">
      <c r="J3509" s="31">
        <v>89</v>
      </c>
      <c r="K3509" s="33" t="s">
        <v>165</v>
      </c>
      <c r="L3509" s="31" t="str">
        <f t="shared" si="338"/>
        <v>Delapan Puluh Sembilan</v>
      </c>
    </row>
    <row r="3510" spans="10:12">
      <c r="J3510" s="31">
        <v>90</v>
      </c>
      <c r="K3510" s="33" t="s">
        <v>166</v>
      </c>
      <c r="L3510" s="31" t="s">
        <v>167</v>
      </c>
    </row>
    <row r="3511" spans="10:12">
      <c r="J3511" s="31">
        <v>91</v>
      </c>
      <c r="K3511" s="33" t="s">
        <v>168</v>
      </c>
      <c r="L3511" s="31" t="str">
        <f t="shared" ref="L3511:L3519" si="339">$L$93&amp;" "&amp;L3421</f>
        <v>Sembilan Puluh Satu</v>
      </c>
    </row>
    <row r="3512" spans="10:12">
      <c r="J3512" s="31">
        <v>92</v>
      </c>
      <c r="K3512" s="33" t="s">
        <v>169</v>
      </c>
      <c r="L3512" s="31" t="str">
        <f t="shared" si="339"/>
        <v>Sembilan Puluh Dua</v>
      </c>
    </row>
    <row r="3513" spans="10:12">
      <c r="J3513" s="31">
        <v>93</v>
      </c>
      <c r="K3513" s="33" t="s">
        <v>170</v>
      </c>
      <c r="L3513" s="31" t="str">
        <f t="shared" si="339"/>
        <v>Sembilan Puluh Tiga</v>
      </c>
    </row>
    <row r="3514" spans="10:12">
      <c r="J3514" s="31">
        <v>94</v>
      </c>
      <c r="K3514" s="33" t="s">
        <v>171</v>
      </c>
      <c r="L3514" s="31" t="str">
        <f t="shared" si="339"/>
        <v>Sembilan Puluh Empat</v>
      </c>
    </row>
    <row r="3515" spans="10:12">
      <c r="J3515" s="31">
        <v>95</v>
      </c>
      <c r="K3515" s="33" t="s">
        <v>172</v>
      </c>
      <c r="L3515" s="31" t="str">
        <f t="shared" si="339"/>
        <v>Sembilan Puluh Lima</v>
      </c>
    </row>
    <row r="3516" spans="10:12">
      <c r="J3516" s="31">
        <v>96</v>
      </c>
      <c r="K3516" s="33" t="s">
        <v>173</v>
      </c>
      <c r="L3516" s="31" t="str">
        <f t="shared" si="339"/>
        <v>Sembilan Puluh Enam</v>
      </c>
    </row>
    <row r="3517" spans="10:12">
      <c r="J3517" s="31">
        <v>97</v>
      </c>
      <c r="K3517" s="33" t="s">
        <v>174</v>
      </c>
      <c r="L3517" s="31" t="str">
        <f t="shared" si="339"/>
        <v>Sembilan Puluh Tujuh</v>
      </c>
    </row>
    <row r="3518" spans="10:12">
      <c r="J3518" s="31">
        <v>98</v>
      </c>
      <c r="K3518" s="33" t="s">
        <v>175</v>
      </c>
      <c r="L3518" s="31" t="str">
        <f t="shared" si="339"/>
        <v>Sembilan Puluh Delapan</v>
      </c>
    </row>
    <row r="3519" spans="10:12">
      <c r="J3519" s="31">
        <v>99</v>
      </c>
      <c r="K3519" s="33" t="s">
        <v>176</v>
      </c>
      <c r="L3519" s="31" t="str">
        <f t="shared" si="339"/>
        <v>Sembilan Puluh Sembilan</v>
      </c>
    </row>
    <row r="3522" spans="1:12">
      <c r="A3522" s="30" t="e">
        <f>#REF!</f>
        <v>#REF!</v>
      </c>
      <c r="C3522" s="31" t="s">
        <v>193</v>
      </c>
    </row>
    <row r="3523" spans="1:12">
      <c r="A3523" s="32"/>
    </row>
    <row r="3524" spans="1:12">
      <c r="J3524" s="31">
        <v>0</v>
      </c>
      <c r="K3524" s="33" t="s">
        <v>48</v>
      </c>
      <c r="L3524" s="31" t="s">
        <v>49</v>
      </c>
    </row>
    <row r="3525" spans="1:12">
      <c r="A3525" s="34"/>
      <c r="J3525" s="31">
        <v>1</v>
      </c>
      <c r="K3525" s="33" t="s">
        <v>50</v>
      </c>
      <c r="L3525" s="31" t="s">
        <v>51</v>
      </c>
    </row>
    <row r="3526" spans="1:12">
      <c r="A3526" s="255" t="e">
        <f>TRIM(D3534&amp;E3534&amp;D3535&amp;E3535&amp;D3536&amp;E3536&amp;D3537&amp;E3537&amp;D3538&amp;E3538&amp;D3539&amp;E3539&amp;E3540&amp;D3540&amp;" Only")</f>
        <v>#REF!</v>
      </c>
      <c r="B3526" s="255"/>
      <c r="C3526" s="255"/>
      <c r="D3526" s="255"/>
      <c r="E3526" s="35"/>
      <c r="F3526" s="36"/>
      <c r="J3526" s="31">
        <v>2</v>
      </c>
      <c r="K3526" s="33" t="s">
        <v>52</v>
      </c>
      <c r="L3526" s="31" t="s">
        <v>53</v>
      </c>
    </row>
    <row r="3527" spans="1:12">
      <c r="A3527" s="37"/>
      <c r="B3527" s="37"/>
      <c r="C3527" s="37"/>
      <c r="D3527" s="37"/>
      <c r="E3527" s="35"/>
      <c r="F3527" s="36"/>
      <c r="J3527" s="31">
        <v>3</v>
      </c>
      <c r="K3527" s="33" t="s">
        <v>54</v>
      </c>
      <c r="L3527" s="31" t="s">
        <v>55</v>
      </c>
    </row>
    <row r="3528" spans="1:12">
      <c r="A3528" s="37"/>
      <c r="B3528" s="37"/>
      <c r="C3528" s="37"/>
      <c r="D3528" s="37"/>
      <c r="J3528" s="31">
        <v>4</v>
      </c>
      <c r="K3528" s="33" t="s">
        <v>56</v>
      </c>
      <c r="L3528" s="31" t="s">
        <v>57</v>
      </c>
    </row>
    <row r="3529" spans="1:12">
      <c r="A3529" s="255" t="e">
        <f>TRIM(D3544&amp;E3544&amp;D3545&amp;E3545&amp;D3546&amp;E3546&amp;D3547&amp;E3547&amp;D3548&amp;E3548&amp;D3549&amp;E3549&amp;D3550&amp;E3550&amp;" Rupiah")</f>
        <v>#REF!</v>
      </c>
      <c r="B3529" s="255"/>
      <c r="C3529" s="255"/>
      <c r="D3529" s="255"/>
      <c r="E3529" s="35"/>
      <c r="F3529" s="36"/>
      <c r="J3529" s="31">
        <v>5</v>
      </c>
      <c r="K3529" s="33" t="s">
        <v>58</v>
      </c>
      <c r="L3529" s="31" t="s">
        <v>59</v>
      </c>
    </row>
    <row r="3530" spans="1:12">
      <c r="A3530" s="35"/>
      <c r="B3530" s="35"/>
      <c r="C3530" s="35"/>
      <c r="D3530" s="35"/>
      <c r="E3530" s="35"/>
      <c r="F3530" s="36"/>
      <c r="J3530" s="31">
        <v>6</v>
      </c>
      <c r="K3530" s="33" t="s">
        <v>60</v>
      </c>
      <c r="L3530" s="31" t="s">
        <v>61</v>
      </c>
    </row>
    <row r="3531" spans="1:12">
      <c r="J3531" s="31">
        <v>7</v>
      </c>
      <c r="K3531" s="33" t="s">
        <v>62</v>
      </c>
      <c r="L3531" s="31" t="s">
        <v>63</v>
      </c>
    </row>
    <row r="3532" spans="1:12">
      <c r="J3532" s="31">
        <v>8</v>
      </c>
      <c r="K3532" s="33" t="s">
        <v>64</v>
      </c>
      <c r="L3532" s="31" t="s">
        <v>65</v>
      </c>
    </row>
    <row r="3533" spans="1:12">
      <c r="A3533" s="38" t="s">
        <v>66</v>
      </c>
      <c r="J3533" s="31">
        <v>9</v>
      </c>
      <c r="K3533" s="33" t="s">
        <v>67</v>
      </c>
      <c r="L3533" s="31" t="s">
        <v>68</v>
      </c>
    </row>
    <row r="3534" spans="1:12">
      <c r="A3534" s="31" t="s">
        <v>69</v>
      </c>
      <c r="B3534" s="39" t="e">
        <f>TRUNC(A3522/100000000)</f>
        <v>#REF!</v>
      </c>
      <c r="C3534" s="31" t="e">
        <f>B3534*100000000</f>
        <v>#REF!</v>
      </c>
      <c r="D3534" s="31" t="e">
        <f t="shared" ref="D3534:D3540" si="340">IF(B3534&lt;1,"",VLOOKUP(B3534,$J$3:$K$102,2))</f>
        <v>#REF!</v>
      </c>
      <c r="E3534" s="31" t="e">
        <f>IF(B3534&lt;1,"",IF(B3534&gt;1," Hundreds "," Hundred "))</f>
        <v>#REF!</v>
      </c>
      <c r="J3534" s="31">
        <v>10</v>
      </c>
      <c r="K3534" s="33" t="s">
        <v>70</v>
      </c>
      <c r="L3534" s="31" t="s">
        <v>71</v>
      </c>
    </row>
    <row r="3535" spans="1:12">
      <c r="A3535" s="31" t="s">
        <v>72</v>
      </c>
      <c r="B3535" s="39" t="e">
        <f>TRUNC((A3522-C3534)/1000000)</f>
        <v>#REF!</v>
      </c>
      <c r="C3535" s="31" t="e">
        <f>B3535*1000000</f>
        <v>#REF!</v>
      </c>
      <c r="D3535" s="31" t="e">
        <f t="shared" si="340"/>
        <v>#REF!</v>
      </c>
      <c r="E3535" s="31" t="e">
        <f>IF(B3534+B3535=0,"",IF(B3535=1," Million "," Millions "))</f>
        <v>#REF!</v>
      </c>
      <c r="J3535" s="31">
        <v>11</v>
      </c>
      <c r="K3535" s="33" t="s">
        <v>73</v>
      </c>
      <c r="L3535" s="31" t="s">
        <v>74</v>
      </c>
    </row>
    <row r="3536" spans="1:12">
      <c r="A3536" s="31" t="s">
        <v>75</v>
      </c>
      <c r="B3536" s="39" t="e">
        <f>TRUNC((A3522-SUM(C3534:C3535))/100000)</f>
        <v>#REF!</v>
      </c>
      <c r="C3536" s="31" t="e">
        <f>B3536*100000</f>
        <v>#REF!</v>
      </c>
      <c r="D3536" s="31" t="e">
        <f t="shared" si="340"/>
        <v>#REF!</v>
      </c>
      <c r="E3536" s="31" t="e">
        <f>IF(B3536&lt;1,"",IF(B3536&gt;1," Hundreds "," Hundred "))</f>
        <v>#REF!</v>
      </c>
      <c r="J3536" s="31">
        <v>12</v>
      </c>
      <c r="K3536" s="33" t="s">
        <v>76</v>
      </c>
      <c r="L3536" s="31" t="str">
        <f t="shared" ref="L3536:L3543" si="341">L3526&amp;" Belas"</f>
        <v>Dua Belas</v>
      </c>
    </row>
    <row r="3537" spans="1:12">
      <c r="A3537" s="33" t="s">
        <v>77</v>
      </c>
      <c r="B3537" s="40" t="e">
        <f>TRUNC((A3522-SUM(C3534:C3536))/1000)</f>
        <v>#REF!</v>
      </c>
      <c r="C3537" s="31" t="e">
        <f>B3537*1000</f>
        <v>#REF!</v>
      </c>
      <c r="D3537" s="31" t="e">
        <f t="shared" si="340"/>
        <v>#REF!</v>
      </c>
      <c r="E3537" s="31" t="e">
        <f>IF(B3536+B3537=0,"",IF(B3537=1," Thousand "," Thousands "))</f>
        <v>#REF!</v>
      </c>
      <c r="J3537" s="31">
        <v>13</v>
      </c>
      <c r="K3537" s="33" t="s">
        <v>78</v>
      </c>
      <c r="L3537" s="31" t="str">
        <f t="shared" si="341"/>
        <v>Tiga Belas</v>
      </c>
    </row>
    <row r="3538" spans="1:12">
      <c r="A3538" s="33" t="s">
        <v>79</v>
      </c>
      <c r="B3538" s="40" t="e">
        <f>TRUNC((A3522-SUM(C3534:C3537))/100)</f>
        <v>#REF!</v>
      </c>
      <c r="C3538" s="31" t="e">
        <f>B3538*100</f>
        <v>#REF!</v>
      </c>
      <c r="D3538" s="31" t="e">
        <f t="shared" si="340"/>
        <v>#REF!</v>
      </c>
      <c r="E3538" s="31" t="e">
        <f>IF(B3538&lt;1,"",IF(B3538&gt;1," Hundreds "," Hundred "))</f>
        <v>#REF!</v>
      </c>
      <c r="J3538" s="31">
        <v>14</v>
      </c>
      <c r="K3538" s="33" t="s">
        <v>80</v>
      </c>
      <c r="L3538" s="31" t="str">
        <f t="shared" si="341"/>
        <v>Empat Belas</v>
      </c>
    </row>
    <row r="3539" spans="1:12">
      <c r="A3539" s="33" t="s">
        <v>81</v>
      </c>
      <c r="B3539" s="41" t="e">
        <f>TRUNC((A3522-SUM(C3534:C3538)))</f>
        <v>#REF!</v>
      </c>
      <c r="C3539" s="42" t="e">
        <f>B3539</f>
        <v>#REF!</v>
      </c>
      <c r="D3539" s="31" t="e">
        <f t="shared" si="340"/>
        <v>#REF!</v>
      </c>
      <c r="E3539" s="31" t="e">
        <f>IF(SUM(C3534:C3539)&lt;1,"",IF(B3540&lt;1,""," And "))</f>
        <v>#REF!</v>
      </c>
      <c r="J3539" s="31">
        <v>15</v>
      </c>
      <c r="K3539" s="33" t="s">
        <v>82</v>
      </c>
      <c r="L3539" s="31" t="str">
        <f t="shared" si="341"/>
        <v>Lima Belas</v>
      </c>
    </row>
    <row r="3540" spans="1:12">
      <c r="A3540" s="33" t="s">
        <v>83</v>
      </c>
      <c r="B3540" s="40" t="e">
        <f>ROUND(A3522-SUM(C3534:C3539),2)*100</f>
        <v>#REF!</v>
      </c>
      <c r="D3540" s="43" t="e">
        <f t="shared" si="340"/>
        <v>#REF!</v>
      </c>
      <c r="E3540" s="31" t="e">
        <f>IF(B3540&lt;1,"",IF(B3540=1," Cent "," Cents "))</f>
        <v>#REF!</v>
      </c>
      <c r="J3540" s="31">
        <v>16</v>
      </c>
      <c r="K3540" s="33" t="s">
        <v>84</v>
      </c>
      <c r="L3540" s="31" t="str">
        <f t="shared" si="341"/>
        <v>Enam Belas</v>
      </c>
    </row>
    <row r="3541" spans="1:12">
      <c r="J3541" s="31">
        <v>17</v>
      </c>
      <c r="K3541" s="33" t="s">
        <v>85</v>
      </c>
      <c r="L3541" s="31" t="str">
        <f t="shared" si="341"/>
        <v>Tujuh Belas</v>
      </c>
    </row>
    <row r="3542" spans="1:12">
      <c r="A3542" s="44"/>
      <c r="J3542" s="31">
        <v>18</v>
      </c>
      <c r="K3542" s="33" t="s">
        <v>86</v>
      </c>
      <c r="L3542" s="31" t="str">
        <f t="shared" si="341"/>
        <v>Delapan Belas</v>
      </c>
    </row>
    <row r="3543" spans="1:12">
      <c r="A3543" s="38" t="s">
        <v>87</v>
      </c>
      <c r="J3543" s="31">
        <v>19</v>
      </c>
      <c r="K3543" s="33" t="s">
        <v>88</v>
      </c>
      <c r="L3543" s="31" t="str">
        <f t="shared" si="341"/>
        <v>Sembilan Belas</v>
      </c>
    </row>
    <row r="3544" spans="1:12">
      <c r="A3544" s="31" t="s">
        <v>69</v>
      </c>
      <c r="B3544" s="39" t="e">
        <f>TRUNC(A3522/100000000)</f>
        <v>#REF!</v>
      </c>
      <c r="C3544" s="31" t="e">
        <f>B3544*100000000</f>
        <v>#REF!</v>
      </c>
      <c r="D3544" s="31" t="e">
        <f>IF(B3544&lt;1,"",IF(B3544=1,"",VLOOKUP(B3544,$J$3:$L$102,3)))</f>
        <v>#REF!</v>
      </c>
      <c r="E3544" s="31" t="e">
        <f>IF(B3544&lt;1,"",IF(B3544=1,"Seratus "," Ratus "))</f>
        <v>#REF!</v>
      </c>
      <c r="J3544" s="31">
        <v>20</v>
      </c>
      <c r="K3544" s="33" t="s">
        <v>89</v>
      </c>
      <c r="L3544" s="31" t="s">
        <v>90</v>
      </c>
    </row>
    <row r="3545" spans="1:12">
      <c r="A3545" s="31" t="s">
        <v>72</v>
      </c>
      <c r="B3545" s="39" t="e">
        <f>TRUNC((A3522-C3544)/1000000)</f>
        <v>#REF!</v>
      </c>
      <c r="C3545" s="31" t="e">
        <f>B3545*1000000</f>
        <v>#REF!</v>
      </c>
      <c r="D3545" s="31" t="e">
        <f>IF(B3545&lt;1,"",VLOOKUP(B3545,$J$3:$L$102,3))</f>
        <v>#REF!</v>
      </c>
      <c r="E3545" s="31" t="e">
        <f>IF(B3544+B3545=0,""," Juta ")</f>
        <v>#REF!</v>
      </c>
      <c r="J3545" s="31">
        <v>21</v>
      </c>
      <c r="K3545" s="33" t="s">
        <v>91</v>
      </c>
      <c r="L3545" s="31" t="str">
        <f t="shared" ref="L3545:L3553" si="342">$L$23&amp;" "&amp;L3525</f>
        <v>Dua Puluh Satu</v>
      </c>
    </row>
    <row r="3546" spans="1:12">
      <c r="A3546" s="31" t="s">
        <v>75</v>
      </c>
      <c r="B3546" s="39" t="e">
        <f>TRUNC((A3522-SUM(C3544:C3545))/100000)</f>
        <v>#REF!</v>
      </c>
      <c r="C3546" s="31" t="e">
        <f>B3546*100000</f>
        <v>#REF!</v>
      </c>
      <c r="D3546" s="31" t="e">
        <f>IF(B3546&lt;1,"",IF(B3546=1,"",VLOOKUP(B3546,$J$3:$L$102,3)))</f>
        <v>#REF!</v>
      </c>
      <c r="E3546" s="31" t="e">
        <f>IF(B3546&lt;1,"",IF(B3546=1," Seratus "," Ratus "))</f>
        <v>#REF!</v>
      </c>
      <c r="J3546" s="31">
        <v>22</v>
      </c>
      <c r="K3546" s="33" t="s">
        <v>92</v>
      </c>
      <c r="L3546" s="31" t="str">
        <f t="shared" si="342"/>
        <v>Dua Puluh Dua</v>
      </c>
    </row>
    <row r="3547" spans="1:12">
      <c r="A3547" s="33" t="s">
        <v>77</v>
      </c>
      <c r="B3547" s="40" t="e">
        <f>TRUNC((A3522-SUM(C3544:C3546))/1000)</f>
        <v>#REF!</v>
      </c>
      <c r="C3547" s="31" t="e">
        <f>B3547*1000</f>
        <v>#REF!</v>
      </c>
      <c r="D3547" s="31" t="e">
        <f>IF(B3547&lt;1,"",IF(B3547=1,"",VLOOKUP(B3547,$J$3:$L$102,3)))</f>
        <v>#REF!</v>
      </c>
      <c r="E3547" s="31" t="e">
        <f>IF(B3546+B3547&lt;1,"",IF(B3547=1," Seribu "," Ribu "))</f>
        <v>#REF!</v>
      </c>
      <c r="J3547" s="31">
        <v>23</v>
      </c>
      <c r="K3547" s="33" t="s">
        <v>93</v>
      </c>
      <c r="L3547" s="31" t="str">
        <f t="shared" si="342"/>
        <v>Dua Puluh Tiga</v>
      </c>
    </row>
    <row r="3548" spans="1:12">
      <c r="A3548" s="33" t="s">
        <v>79</v>
      </c>
      <c r="B3548" s="40" t="e">
        <f>TRUNC((A3522-SUM(C3544:C3547))/100)</f>
        <v>#REF!</v>
      </c>
      <c r="C3548" s="31" t="e">
        <f>B3548*100</f>
        <v>#REF!</v>
      </c>
      <c r="D3548" s="31" t="e">
        <f>IF(B3548&lt;1,"",IF(B3548=1,"",VLOOKUP(B3548,$J$3:$L$102,3)))</f>
        <v>#REF!</v>
      </c>
      <c r="E3548" s="31" t="e">
        <f>IF(B3548&lt;1,"",IF(B3548=1," Seratus "," Ratus "))</f>
        <v>#REF!</v>
      </c>
      <c r="J3548" s="31">
        <v>24</v>
      </c>
      <c r="K3548" s="33" t="s">
        <v>94</v>
      </c>
      <c r="L3548" s="31" t="str">
        <f t="shared" si="342"/>
        <v>Dua Puluh Empat</v>
      </c>
    </row>
    <row r="3549" spans="1:12">
      <c r="A3549" s="33" t="s">
        <v>81</v>
      </c>
      <c r="B3549" s="41" t="e">
        <f>TRUNC((A3522-SUM(C3544:C3548)))</f>
        <v>#REF!</v>
      </c>
      <c r="C3549" s="42" t="e">
        <f>B3549</f>
        <v>#REF!</v>
      </c>
      <c r="D3549" s="31" t="e">
        <f>IF(B3549&lt;1,"",VLOOKUP(B3549,$J$3:$L$102,3))</f>
        <v>#REF!</v>
      </c>
      <c r="E3549" s="31" t="e">
        <f>IF(SUM(C3544:C3549)&lt;1,"",IF(B3550&lt;1,""," Dan "))</f>
        <v>#REF!</v>
      </c>
      <c r="J3549" s="31">
        <v>25</v>
      </c>
      <c r="K3549" s="33" t="s">
        <v>95</v>
      </c>
      <c r="L3549" s="31" t="str">
        <f t="shared" si="342"/>
        <v>Dua Puluh Lima</v>
      </c>
    </row>
    <row r="3550" spans="1:12">
      <c r="A3550" s="33" t="s">
        <v>83</v>
      </c>
      <c r="B3550" s="40" t="e">
        <f>ROUND(A3522-SUM(C3544:C3549),2)*100</f>
        <v>#REF!</v>
      </c>
      <c r="D3550" s="31" t="e">
        <f>IF(B3550&lt;1,"",VLOOKUP(B3550,$J$3:$L$102,3))</f>
        <v>#REF!</v>
      </c>
      <c r="E3550" s="31" t="e">
        <f>IF(B3550&lt;1,""," Sen ")</f>
        <v>#REF!</v>
      </c>
      <c r="J3550" s="31">
        <v>26</v>
      </c>
      <c r="K3550" s="33" t="s">
        <v>96</v>
      </c>
      <c r="L3550" s="31" t="str">
        <f t="shared" si="342"/>
        <v>Dua Puluh Enam</v>
      </c>
    </row>
    <row r="3551" spans="1:12">
      <c r="J3551" s="31">
        <v>27</v>
      </c>
      <c r="K3551" s="33" t="s">
        <v>97</v>
      </c>
      <c r="L3551" s="31" t="str">
        <f t="shared" si="342"/>
        <v>Dua Puluh Tujuh</v>
      </c>
    </row>
    <row r="3552" spans="1:12">
      <c r="J3552" s="31">
        <v>28</v>
      </c>
      <c r="K3552" s="33" t="s">
        <v>98</v>
      </c>
      <c r="L3552" s="31" t="str">
        <f t="shared" si="342"/>
        <v>Dua Puluh Delapan</v>
      </c>
    </row>
    <row r="3553" spans="1:12">
      <c r="J3553" s="31">
        <v>29</v>
      </c>
      <c r="K3553" s="33" t="s">
        <v>99</v>
      </c>
      <c r="L3553" s="31" t="str">
        <f t="shared" si="342"/>
        <v>Dua Puluh Sembilan</v>
      </c>
    </row>
    <row r="3554" spans="1:12">
      <c r="J3554" s="31">
        <v>30</v>
      </c>
      <c r="K3554" s="33" t="s">
        <v>100</v>
      </c>
      <c r="L3554" s="31" t="s">
        <v>101</v>
      </c>
    </row>
    <row r="3555" spans="1:12">
      <c r="J3555" s="31">
        <v>31</v>
      </c>
      <c r="K3555" s="33" t="s">
        <v>102</v>
      </c>
      <c r="L3555" s="31" t="str">
        <f t="shared" ref="L3555:L3563" si="343">$L$33&amp;" "&amp;L3525</f>
        <v>Tiga Puluh Satu</v>
      </c>
    </row>
    <row r="3556" spans="1:12">
      <c r="J3556" s="31">
        <v>32</v>
      </c>
      <c r="K3556" s="33" t="s">
        <v>103</v>
      </c>
      <c r="L3556" s="31" t="str">
        <f t="shared" si="343"/>
        <v>Tiga Puluh Dua</v>
      </c>
    </row>
    <row r="3557" spans="1:12">
      <c r="J3557" s="31">
        <v>33</v>
      </c>
      <c r="K3557" s="33" t="s">
        <v>104</v>
      </c>
      <c r="L3557" s="31" t="str">
        <f t="shared" si="343"/>
        <v>Tiga Puluh Tiga</v>
      </c>
    </row>
    <row r="3558" spans="1:12">
      <c r="J3558" s="31">
        <v>34</v>
      </c>
      <c r="K3558" s="33" t="s">
        <v>105</v>
      </c>
      <c r="L3558" s="31" t="str">
        <f t="shared" si="343"/>
        <v>Tiga Puluh Empat</v>
      </c>
    </row>
    <row r="3559" spans="1:12">
      <c r="J3559" s="31">
        <v>35</v>
      </c>
      <c r="K3559" s="33" t="s">
        <v>106</v>
      </c>
      <c r="L3559" s="31" t="str">
        <f t="shared" si="343"/>
        <v>Tiga Puluh Lima</v>
      </c>
    </row>
    <row r="3560" spans="1:12">
      <c r="J3560" s="31">
        <v>36</v>
      </c>
      <c r="K3560" s="33" t="s">
        <v>107</v>
      </c>
      <c r="L3560" s="31" t="str">
        <f t="shared" si="343"/>
        <v>Tiga Puluh Enam</v>
      </c>
    </row>
    <row r="3561" spans="1:12">
      <c r="J3561" s="31">
        <v>37</v>
      </c>
      <c r="K3561" s="33" t="s">
        <v>108</v>
      </c>
      <c r="L3561" s="31" t="str">
        <f t="shared" si="343"/>
        <v>Tiga Puluh Tujuh</v>
      </c>
    </row>
    <row r="3562" spans="1:12">
      <c r="J3562" s="31">
        <v>38</v>
      </c>
      <c r="K3562" s="33" t="s">
        <v>109</v>
      </c>
      <c r="L3562" s="31" t="str">
        <f t="shared" si="343"/>
        <v>Tiga Puluh Delapan</v>
      </c>
    </row>
    <row r="3563" spans="1:12">
      <c r="J3563" s="31">
        <v>39</v>
      </c>
      <c r="K3563" s="33" t="s">
        <v>110</v>
      </c>
      <c r="L3563" s="31" t="str">
        <f t="shared" si="343"/>
        <v>Tiga Puluh Sembilan</v>
      </c>
    </row>
    <row r="3564" spans="1:12">
      <c r="B3564" s="35"/>
      <c r="C3564" s="35"/>
      <c r="D3564" s="35"/>
      <c r="J3564" s="31">
        <v>40</v>
      </c>
      <c r="K3564" s="33" t="s">
        <v>111</v>
      </c>
      <c r="L3564" s="31" t="s">
        <v>112</v>
      </c>
    </row>
    <row r="3565" spans="1:12">
      <c r="A3565" s="35"/>
      <c r="B3565" s="35"/>
      <c r="C3565" s="35"/>
      <c r="D3565" s="35"/>
      <c r="J3565" s="31">
        <v>41</v>
      </c>
      <c r="K3565" s="33" t="s">
        <v>113</v>
      </c>
      <c r="L3565" s="31" t="str">
        <f t="shared" ref="L3565:L3573" si="344">$L$43&amp;" "&amp;L3525</f>
        <v>Empat Puluh Satu</v>
      </c>
    </row>
    <row r="3566" spans="1:12">
      <c r="J3566" s="31">
        <v>42</v>
      </c>
      <c r="K3566" s="33" t="s">
        <v>114</v>
      </c>
      <c r="L3566" s="31" t="str">
        <f t="shared" si="344"/>
        <v>Empat Puluh Dua</v>
      </c>
    </row>
    <row r="3567" spans="1:12">
      <c r="A3567" s="38"/>
      <c r="J3567" s="31">
        <v>43</v>
      </c>
      <c r="K3567" s="33" t="s">
        <v>115</v>
      </c>
      <c r="L3567" s="31" t="str">
        <f t="shared" si="344"/>
        <v>Empat Puluh Tiga</v>
      </c>
    </row>
    <row r="3568" spans="1:12">
      <c r="J3568" s="31">
        <v>44</v>
      </c>
      <c r="K3568" s="33" t="s">
        <v>116</v>
      </c>
      <c r="L3568" s="31" t="str">
        <f t="shared" si="344"/>
        <v>Empat Puluh Empat</v>
      </c>
    </row>
    <row r="3569" spans="10:12">
      <c r="J3569" s="31">
        <v>45</v>
      </c>
      <c r="K3569" s="33" t="s">
        <v>117</v>
      </c>
      <c r="L3569" s="31" t="str">
        <f t="shared" si="344"/>
        <v>Empat Puluh Lima</v>
      </c>
    </row>
    <row r="3570" spans="10:12">
      <c r="J3570" s="31">
        <v>46</v>
      </c>
      <c r="K3570" s="33" t="s">
        <v>118</v>
      </c>
      <c r="L3570" s="31" t="str">
        <f t="shared" si="344"/>
        <v>Empat Puluh Enam</v>
      </c>
    </row>
    <row r="3571" spans="10:12">
      <c r="J3571" s="31">
        <v>47</v>
      </c>
      <c r="K3571" s="33" t="s">
        <v>119</v>
      </c>
      <c r="L3571" s="31" t="str">
        <f t="shared" si="344"/>
        <v>Empat Puluh Tujuh</v>
      </c>
    </row>
    <row r="3572" spans="10:12">
      <c r="J3572" s="31">
        <v>48</v>
      </c>
      <c r="K3572" s="33" t="s">
        <v>120</v>
      </c>
      <c r="L3572" s="31" t="str">
        <f t="shared" si="344"/>
        <v>Empat Puluh Delapan</v>
      </c>
    </row>
    <row r="3573" spans="10:12">
      <c r="J3573" s="31">
        <v>49</v>
      </c>
      <c r="K3573" s="33" t="s">
        <v>121</v>
      </c>
      <c r="L3573" s="31" t="str">
        <f t="shared" si="344"/>
        <v>Empat Puluh Sembilan</v>
      </c>
    </row>
    <row r="3574" spans="10:12">
      <c r="J3574" s="31">
        <v>50</v>
      </c>
      <c r="K3574" s="33" t="s">
        <v>122</v>
      </c>
      <c r="L3574" s="31" t="s">
        <v>123</v>
      </c>
    </row>
    <row r="3575" spans="10:12">
      <c r="J3575" s="31">
        <v>51</v>
      </c>
      <c r="K3575" s="33" t="s">
        <v>124</v>
      </c>
      <c r="L3575" s="31" t="str">
        <f t="shared" ref="L3575:L3583" si="345">$L$53&amp;" "&amp;L3525</f>
        <v>Lima Puluh Satu</v>
      </c>
    </row>
    <row r="3576" spans="10:12">
      <c r="J3576" s="31">
        <v>52</v>
      </c>
      <c r="K3576" s="33" t="s">
        <v>125</v>
      </c>
      <c r="L3576" s="31" t="str">
        <f t="shared" si="345"/>
        <v>Lima Puluh Dua</v>
      </c>
    </row>
    <row r="3577" spans="10:12">
      <c r="J3577" s="31">
        <v>53</v>
      </c>
      <c r="K3577" s="33" t="s">
        <v>126</v>
      </c>
      <c r="L3577" s="31" t="str">
        <f t="shared" si="345"/>
        <v>Lima Puluh Tiga</v>
      </c>
    </row>
    <row r="3578" spans="10:12">
      <c r="J3578" s="31">
        <v>54</v>
      </c>
      <c r="K3578" s="33" t="s">
        <v>127</v>
      </c>
      <c r="L3578" s="31" t="str">
        <f t="shared" si="345"/>
        <v>Lima Puluh Empat</v>
      </c>
    </row>
    <row r="3579" spans="10:12">
      <c r="J3579" s="31">
        <v>55</v>
      </c>
      <c r="K3579" s="33" t="s">
        <v>128</v>
      </c>
      <c r="L3579" s="31" t="str">
        <f t="shared" si="345"/>
        <v>Lima Puluh Lima</v>
      </c>
    </row>
    <row r="3580" spans="10:12">
      <c r="J3580" s="31">
        <v>56</v>
      </c>
      <c r="K3580" s="33" t="s">
        <v>129</v>
      </c>
      <c r="L3580" s="31" t="str">
        <f t="shared" si="345"/>
        <v>Lima Puluh Enam</v>
      </c>
    </row>
    <row r="3581" spans="10:12">
      <c r="J3581" s="31">
        <v>57</v>
      </c>
      <c r="K3581" s="33" t="s">
        <v>130</v>
      </c>
      <c r="L3581" s="31" t="str">
        <f t="shared" si="345"/>
        <v>Lima Puluh Tujuh</v>
      </c>
    </row>
    <row r="3582" spans="10:12">
      <c r="J3582" s="31">
        <v>58</v>
      </c>
      <c r="K3582" s="33" t="s">
        <v>131</v>
      </c>
      <c r="L3582" s="31" t="str">
        <f t="shared" si="345"/>
        <v>Lima Puluh Delapan</v>
      </c>
    </row>
    <row r="3583" spans="10:12">
      <c r="J3583" s="31">
        <v>59</v>
      </c>
      <c r="K3583" s="33" t="s">
        <v>132</v>
      </c>
      <c r="L3583" s="31" t="str">
        <f t="shared" si="345"/>
        <v>Lima Puluh Sembilan</v>
      </c>
    </row>
    <row r="3584" spans="10:12">
      <c r="J3584" s="31">
        <v>60</v>
      </c>
      <c r="K3584" s="33" t="s">
        <v>133</v>
      </c>
      <c r="L3584" s="31" t="s">
        <v>134</v>
      </c>
    </row>
    <row r="3585" spans="10:12">
      <c r="J3585" s="31">
        <v>61</v>
      </c>
      <c r="K3585" s="33" t="s">
        <v>135</v>
      </c>
      <c r="L3585" s="31" t="str">
        <f t="shared" ref="L3585:L3593" si="346">$L$63&amp;" "&amp;L3525</f>
        <v>Enam Puluh Satu</v>
      </c>
    </row>
    <row r="3586" spans="10:12">
      <c r="J3586" s="31">
        <v>62</v>
      </c>
      <c r="K3586" s="33" t="s">
        <v>136</v>
      </c>
      <c r="L3586" s="31" t="str">
        <f t="shared" si="346"/>
        <v>Enam Puluh Dua</v>
      </c>
    </row>
    <row r="3587" spans="10:12">
      <c r="J3587" s="31">
        <v>63</v>
      </c>
      <c r="K3587" s="33" t="s">
        <v>137</v>
      </c>
      <c r="L3587" s="31" t="str">
        <f t="shared" si="346"/>
        <v>Enam Puluh Tiga</v>
      </c>
    </row>
    <row r="3588" spans="10:12">
      <c r="J3588" s="31">
        <v>64</v>
      </c>
      <c r="K3588" s="33" t="s">
        <v>138</v>
      </c>
      <c r="L3588" s="31" t="str">
        <f t="shared" si="346"/>
        <v>Enam Puluh Empat</v>
      </c>
    </row>
    <row r="3589" spans="10:12">
      <c r="J3589" s="31">
        <v>65</v>
      </c>
      <c r="K3589" s="33" t="s">
        <v>139</v>
      </c>
      <c r="L3589" s="31" t="str">
        <f t="shared" si="346"/>
        <v>Enam Puluh Lima</v>
      </c>
    </row>
    <row r="3590" spans="10:12">
      <c r="J3590" s="31">
        <v>66</v>
      </c>
      <c r="K3590" s="33" t="s">
        <v>140</v>
      </c>
      <c r="L3590" s="31" t="str">
        <f t="shared" si="346"/>
        <v>Enam Puluh Enam</v>
      </c>
    </row>
    <row r="3591" spans="10:12">
      <c r="J3591" s="31">
        <v>67</v>
      </c>
      <c r="K3591" s="33" t="s">
        <v>141</v>
      </c>
      <c r="L3591" s="31" t="str">
        <f t="shared" si="346"/>
        <v>Enam Puluh Tujuh</v>
      </c>
    </row>
    <row r="3592" spans="10:12">
      <c r="J3592" s="31">
        <v>68</v>
      </c>
      <c r="K3592" s="33" t="s">
        <v>142</v>
      </c>
      <c r="L3592" s="31" t="str">
        <f t="shared" si="346"/>
        <v>Enam Puluh Delapan</v>
      </c>
    </row>
    <row r="3593" spans="10:12">
      <c r="J3593" s="31">
        <v>69</v>
      </c>
      <c r="K3593" s="33" t="s">
        <v>143</v>
      </c>
      <c r="L3593" s="31" t="str">
        <f t="shared" si="346"/>
        <v>Enam Puluh Sembilan</v>
      </c>
    </row>
    <row r="3594" spans="10:12">
      <c r="J3594" s="31">
        <v>70</v>
      </c>
      <c r="K3594" s="33" t="s">
        <v>144</v>
      </c>
      <c r="L3594" s="31" t="s">
        <v>145</v>
      </c>
    </row>
    <row r="3595" spans="10:12">
      <c r="J3595" s="31">
        <v>71</v>
      </c>
      <c r="K3595" s="33" t="s">
        <v>146</v>
      </c>
      <c r="L3595" s="31" t="str">
        <f t="shared" ref="L3595:L3603" si="347">$L$73&amp;" "&amp;L3525</f>
        <v>Tujuh Puluh Satu</v>
      </c>
    </row>
    <row r="3596" spans="10:12">
      <c r="J3596" s="31">
        <v>72</v>
      </c>
      <c r="K3596" s="33" t="s">
        <v>147</v>
      </c>
      <c r="L3596" s="31" t="str">
        <f t="shared" si="347"/>
        <v>Tujuh Puluh Dua</v>
      </c>
    </row>
    <row r="3597" spans="10:12">
      <c r="J3597" s="31">
        <v>73</v>
      </c>
      <c r="K3597" s="33" t="s">
        <v>148</v>
      </c>
      <c r="L3597" s="31" t="str">
        <f t="shared" si="347"/>
        <v>Tujuh Puluh Tiga</v>
      </c>
    </row>
    <row r="3598" spans="10:12">
      <c r="J3598" s="31">
        <v>74</v>
      </c>
      <c r="K3598" s="33" t="s">
        <v>149</v>
      </c>
      <c r="L3598" s="31" t="str">
        <f t="shared" si="347"/>
        <v>Tujuh Puluh Empat</v>
      </c>
    </row>
    <row r="3599" spans="10:12">
      <c r="J3599" s="31">
        <v>75</v>
      </c>
      <c r="K3599" s="33" t="s">
        <v>150</v>
      </c>
      <c r="L3599" s="31" t="str">
        <f t="shared" si="347"/>
        <v>Tujuh Puluh Lima</v>
      </c>
    </row>
    <row r="3600" spans="10:12">
      <c r="J3600" s="31">
        <v>76</v>
      </c>
      <c r="K3600" s="33" t="s">
        <v>151</v>
      </c>
      <c r="L3600" s="31" t="str">
        <f t="shared" si="347"/>
        <v>Tujuh Puluh Enam</v>
      </c>
    </row>
    <row r="3601" spans="10:12">
      <c r="J3601" s="31">
        <v>77</v>
      </c>
      <c r="K3601" s="33" t="s">
        <v>152</v>
      </c>
      <c r="L3601" s="31" t="str">
        <f t="shared" si="347"/>
        <v>Tujuh Puluh Tujuh</v>
      </c>
    </row>
    <row r="3602" spans="10:12">
      <c r="J3602" s="31">
        <v>78</v>
      </c>
      <c r="K3602" s="33" t="s">
        <v>153</v>
      </c>
      <c r="L3602" s="31" t="str">
        <f t="shared" si="347"/>
        <v>Tujuh Puluh Delapan</v>
      </c>
    </row>
    <row r="3603" spans="10:12">
      <c r="J3603" s="31">
        <v>79</v>
      </c>
      <c r="K3603" s="33" t="s">
        <v>154</v>
      </c>
      <c r="L3603" s="31" t="str">
        <f t="shared" si="347"/>
        <v>Tujuh Puluh Sembilan</v>
      </c>
    </row>
    <row r="3604" spans="10:12">
      <c r="J3604" s="31">
        <v>80</v>
      </c>
      <c r="K3604" s="33" t="s">
        <v>155</v>
      </c>
      <c r="L3604" s="31" t="s">
        <v>156</v>
      </c>
    </row>
    <row r="3605" spans="10:12">
      <c r="J3605" s="31">
        <v>81</v>
      </c>
      <c r="K3605" s="33" t="s">
        <v>157</v>
      </c>
      <c r="L3605" s="31" t="str">
        <f t="shared" ref="L3605:L3613" si="348">$L$83&amp;" "&amp;L3525</f>
        <v>Delapan Puluh Satu</v>
      </c>
    </row>
    <row r="3606" spans="10:12">
      <c r="J3606" s="31">
        <v>82</v>
      </c>
      <c r="K3606" s="33" t="s">
        <v>158</v>
      </c>
      <c r="L3606" s="31" t="str">
        <f t="shared" si="348"/>
        <v>Delapan Puluh Dua</v>
      </c>
    </row>
    <row r="3607" spans="10:12">
      <c r="J3607" s="31">
        <v>83</v>
      </c>
      <c r="K3607" s="33" t="s">
        <v>159</v>
      </c>
      <c r="L3607" s="31" t="str">
        <f t="shared" si="348"/>
        <v>Delapan Puluh Tiga</v>
      </c>
    </row>
    <row r="3608" spans="10:12">
      <c r="J3608" s="31">
        <v>84</v>
      </c>
      <c r="K3608" s="33" t="s">
        <v>160</v>
      </c>
      <c r="L3608" s="31" t="str">
        <f t="shared" si="348"/>
        <v>Delapan Puluh Empat</v>
      </c>
    </row>
    <row r="3609" spans="10:12">
      <c r="J3609" s="31">
        <v>85</v>
      </c>
      <c r="K3609" s="33" t="s">
        <v>161</v>
      </c>
      <c r="L3609" s="31" t="str">
        <f t="shared" si="348"/>
        <v>Delapan Puluh Lima</v>
      </c>
    </row>
    <row r="3610" spans="10:12">
      <c r="J3610" s="31">
        <v>86</v>
      </c>
      <c r="K3610" s="33" t="s">
        <v>162</v>
      </c>
      <c r="L3610" s="31" t="str">
        <f t="shared" si="348"/>
        <v>Delapan Puluh Enam</v>
      </c>
    </row>
    <row r="3611" spans="10:12">
      <c r="J3611" s="31">
        <v>87</v>
      </c>
      <c r="K3611" s="33" t="s">
        <v>163</v>
      </c>
      <c r="L3611" s="31" t="str">
        <f t="shared" si="348"/>
        <v>Delapan Puluh Tujuh</v>
      </c>
    </row>
    <row r="3612" spans="10:12">
      <c r="J3612" s="31">
        <v>88</v>
      </c>
      <c r="K3612" s="33" t="s">
        <v>164</v>
      </c>
      <c r="L3612" s="31" t="str">
        <f t="shared" si="348"/>
        <v>Delapan Puluh Delapan</v>
      </c>
    </row>
    <row r="3613" spans="10:12">
      <c r="J3613" s="31">
        <v>89</v>
      </c>
      <c r="K3613" s="33" t="s">
        <v>165</v>
      </c>
      <c r="L3613" s="31" t="str">
        <f t="shared" si="348"/>
        <v>Delapan Puluh Sembilan</v>
      </c>
    </row>
    <row r="3614" spans="10:12">
      <c r="J3614" s="31">
        <v>90</v>
      </c>
      <c r="K3614" s="33" t="s">
        <v>166</v>
      </c>
      <c r="L3614" s="31" t="s">
        <v>167</v>
      </c>
    </row>
    <row r="3615" spans="10:12">
      <c r="J3615" s="31">
        <v>91</v>
      </c>
      <c r="K3615" s="33" t="s">
        <v>168</v>
      </c>
      <c r="L3615" s="31" t="str">
        <f t="shared" ref="L3615:L3623" si="349">$L$93&amp;" "&amp;L3525</f>
        <v>Sembilan Puluh Satu</v>
      </c>
    </row>
    <row r="3616" spans="10:12">
      <c r="J3616" s="31">
        <v>92</v>
      </c>
      <c r="K3616" s="33" t="s">
        <v>169</v>
      </c>
      <c r="L3616" s="31" t="str">
        <f t="shared" si="349"/>
        <v>Sembilan Puluh Dua</v>
      </c>
    </row>
    <row r="3617" spans="1:12">
      <c r="J3617" s="31">
        <v>93</v>
      </c>
      <c r="K3617" s="33" t="s">
        <v>170</v>
      </c>
      <c r="L3617" s="31" t="str">
        <f t="shared" si="349"/>
        <v>Sembilan Puluh Tiga</v>
      </c>
    </row>
    <row r="3618" spans="1:12">
      <c r="J3618" s="31">
        <v>94</v>
      </c>
      <c r="K3618" s="33" t="s">
        <v>171</v>
      </c>
      <c r="L3618" s="31" t="str">
        <f t="shared" si="349"/>
        <v>Sembilan Puluh Empat</v>
      </c>
    </row>
    <row r="3619" spans="1:12">
      <c r="J3619" s="31">
        <v>95</v>
      </c>
      <c r="K3619" s="33" t="s">
        <v>172</v>
      </c>
      <c r="L3619" s="31" t="str">
        <f t="shared" si="349"/>
        <v>Sembilan Puluh Lima</v>
      </c>
    </row>
    <row r="3620" spans="1:12">
      <c r="J3620" s="31">
        <v>96</v>
      </c>
      <c r="K3620" s="33" t="s">
        <v>173</v>
      </c>
      <c r="L3620" s="31" t="str">
        <f t="shared" si="349"/>
        <v>Sembilan Puluh Enam</v>
      </c>
    </row>
    <row r="3621" spans="1:12">
      <c r="J3621" s="31">
        <v>97</v>
      </c>
      <c r="K3621" s="33" t="s">
        <v>174</v>
      </c>
      <c r="L3621" s="31" t="str">
        <f t="shared" si="349"/>
        <v>Sembilan Puluh Tujuh</v>
      </c>
    </row>
    <row r="3622" spans="1:12">
      <c r="J3622" s="31">
        <v>98</v>
      </c>
      <c r="K3622" s="33" t="s">
        <v>175</v>
      </c>
      <c r="L3622" s="31" t="str">
        <f t="shared" si="349"/>
        <v>Sembilan Puluh Delapan</v>
      </c>
    </row>
    <row r="3623" spans="1:12">
      <c r="J3623" s="31">
        <v>99</v>
      </c>
      <c r="K3623" s="33" t="s">
        <v>176</v>
      </c>
      <c r="L3623" s="31" t="str">
        <f t="shared" si="349"/>
        <v>Sembilan Puluh Sembilan</v>
      </c>
    </row>
    <row r="3625" spans="1:12">
      <c r="A3625" s="30" t="e">
        <f>#REF!</f>
        <v>#REF!</v>
      </c>
      <c r="C3625" s="31" t="s">
        <v>218</v>
      </c>
    </row>
    <row r="3626" spans="1:12">
      <c r="A3626" s="32"/>
    </row>
    <row r="3627" spans="1:12">
      <c r="J3627" s="31">
        <v>0</v>
      </c>
      <c r="K3627" s="33" t="s">
        <v>48</v>
      </c>
      <c r="L3627" s="31" t="s">
        <v>49</v>
      </c>
    </row>
    <row r="3628" spans="1:12">
      <c r="A3628" s="34"/>
      <c r="J3628" s="31">
        <v>1</v>
      </c>
      <c r="K3628" s="33" t="s">
        <v>50</v>
      </c>
      <c r="L3628" s="31" t="s">
        <v>51</v>
      </c>
    </row>
    <row r="3629" spans="1:12">
      <c r="A3629" s="255" t="e">
        <f>TRIM(D3637&amp;E3637&amp;D3638&amp;E3638&amp;D3639&amp;E3639&amp;D3640&amp;E3640&amp;D3641&amp;E3641&amp;D3642&amp;E3642&amp;E3643&amp;D3643&amp;" Only")</f>
        <v>#REF!</v>
      </c>
      <c r="B3629" s="255"/>
      <c r="C3629" s="255"/>
      <c r="D3629" s="255"/>
      <c r="E3629" s="35"/>
      <c r="F3629" s="36"/>
      <c r="J3629" s="31">
        <v>2</v>
      </c>
      <c r="K3629" s="33" t="s">
        <v>52</v>
      </c>
      <c r="L3629" s="31" t="s">
        <v>53</v>
      </c>
    </row>
    <row r="3630" spans="1:12">
      <c r="A3630" s="37"/>
      <c r="B3630" s="37"/>
      <c r="C3630" s="37"/>
      <c r="D3630" s="37"/>
      <c r="E3630" s="35"/>
      <c r="F3630" s="36"/>
      <c r="J3630" s="31">
        <v>3</v>
      </c>
      <c r="K3630" s="33" t="s">
        <v>54</v>
      </c>
      <c r="L3630" s="31" t="s">
        <v>55</v>
      </c>
    </row>
    <row r="3631" spans="1:12">
      <c r="A3631" s="37"/>
      <c r="B3631" s="37"/>
      <c r="C3631" s="37"/>
      <c r="D3631" s="37"/>
      <c r="J3631" s="31">
        <v>4</v>
      </c>
      <c r="K3631" s="33" t="s">
        <v>56</v>
      </c>
      <c r="L3631" s="31" t="s">
        <v>57</v>
      </c>
    </row>
    <row r="3632" spans="1:12">
      <c r="A3632" s="255" t="e">
        <f>TRIM(D3647&amp;E3647&amp;D3648&amp;E3648&amp;D3649&amp;E3649&amp;D3650&amp;E3650&amp;D3651&amp;E3651&amp;D3652&amp;E3652&amp;D3653&amp;E3653&amp;" Rupiah")</f>
        <v>#REF!</v>
      </c>
      <c r="B3632" s="255"/>
      <c r="C3632" s="255"/>
      <c r="D3632" s="255"/>
      <c r="E3632" s="35"/>
      <c r="F3632" s="36"/>
      <c r="J3632" s="31">
        <v>5</v>
      </c>
      <c r="K3632" s="33" t="s">
        <v>58</v>
      </c>
      <c r="L3632" s="31" t="s">
        <v>59</v>
      </c>
    </row>
    <row r="3633" spans="1:12">
      <c r="A3633" s="35"/>
      <c r="B3633" s="35"/>
      <c r="C3633" s="35"/>
      <c r="D3633" s="35"/>
      <c r="E3633" s="35"/>
      <c r="F3633" s="36"/>
      <c r="J3633" s="31">
        <v>6</v>
      </c>
      <c r="K3633" s="33" t="s">
        <v>60</v>
      </c>
      <c r="L3633" s="31" t="s">
        <v>61</v>
      </c>
    </row>
    <row r="3634" spans="1:12">
      <c r="J3634" s="31">
        <v>7</v>
      </c>
      <c r="K3634" s="33" t="s">
        <v>62</v>
      </c>
      <c r="L3634" s="31" t="s">
        <v>63</v>
      </c>
    </row>
    <row r="3635" spans="1:12">
      <c r="J3635" s="31">
        <v>8</v>
      </c>
      <c r="K3635" s="33" t="s">
        <v>64</v>
      </c>
      <c r="L3635" s="31" t="s">
        <v>65</v>
      </c>
    </row>
    <row r="3636" spans="1:12">
      <c r="A3636" s="38" t="s">
        <v>66</v>
      </c>
      <c r="J3636" s="31">
        <v>9</v>
      </c>
      <c r="K3636" s="33" t="s">
        <v>67</v>
      </c>
      <c r="L3636" s="31" t="s">
        <v>68</v>
      </c>
    </row>
    <row r="3637" spans="1:12">
      <c r="A3637" s="31" t="s">
        <v>69</v>
      </c>
      <c r="B3637" s="39" t="e">
        <f>TRUNC(A3625/100000000)</f>
        <v>#REF!</v>
      </c>
      <c r="C3637" s="31" t="e">
        <f>B3637*100000000</f>
        <v>#REF!</v>
      </c>
      <c r="D3637" s="31" t="e">
        <f t="shared" ref="D3637:D3643" si="350">IF(B3637&lt;1,"",VLOOKUP(B3637,$J$3:$K$102,2))</f>
        <v>#REF!</v>
      </c>
      <c r="E3637" s="31" t="e">
        <f>IF(B3637&lt;1,"",IF(B3637&gt;1," Hundreds "," Hundred "))</f>
        <v>#REF!</v>
      </c>
      <c r="J3637" s="31">
        <v>10</v>
      </c>
      <c r="K3637" s="33" t="s">
        <v>70</v>
      </c>
      <c r="L3637" s="31" t="s">
        <v>71</v>
      </c>
    </row>
    <row r="3638" spans="1:12">
      <c r="A3638" s="31" t="s">
        <v>72</v>
      </c>
      <c r="B3638" s="39" t="e">
        <f>TRUNC((A3625-C3637)/1000000)</f>
        <v>#REF!</v>
      </c>
      <c r="C3638" s="31" t="e">
        <f>B3638*1000000</f>
        <v>#REF!</v>
      </c>
      <c r="D3638" s="31" t="e">
        <f t="shared" si="350"/>
        <v>#REF!</v>
      </c>
      <c r="E3638" s="31" t="e">
        <f>IF(B3637+B3638=0,"",IF(B3638=1," Million "," Millions "))</f>
        <v>#REF!</v>
      </c>
      <c r="J3638" s="31">
        <v>11</v>
      </c>
      <c r="K3638" s="33" t="s">
        <v>73</v>
      </c>
      <c r="L3638" s="31" t="s">
        <v>74</v>
      </c>
    </row>
    <row r="3639" spans="1:12">
      <c r="A3639" s="31" t="s">
        <v>75</v>
      </c>
      <c r="B3639" s="39" t="e">
        <f>TRUNC((A3625-SUM(C3637:C3638))/100000)</f>
        <v>#REF!</v>
      </c>
      <c r="C3639" s="31" t="e">
        <f>B3639*100000</f>
        <v>#REF!</v>
      </c>
      <c r="D3639" s="31" t="e">
        <f t="shared" si="350"/>
        <v>#REF!</v>
      </c>
      <c r="E3639" s="31" t="e">
        <f>IF(B3639&lt;1,"",IF(B3639&gt;1," Hundreds "," Hundred "))</f>
        <v>#REF!</v>
      </c>
      <c r="J3639" s="31">
        <v>12</v>
      </c>
      <c r="K3639" s="33" t="s">
        <v>76</v>
      </c>
      <c r="L3639" s="31" t="str">
        <f t="shared" ref="L3639:L3646" si="351">L3629&amp;" Belas"</f>
        <v>Dua Belas</v>
      </c>
    </row>
    <row r="3640" spans="1:12">
      <c r="A3640" s="33" t="s">
        <v>77</v>
      </c>
      <c r="B3640" s="40" t="e">
        <f>TRUNC((A3625-SUM(C3637:C3639))/1000)</f>
        <v>#REF!</v>
      </c>
      <c r="C3640" s="31" t="e">
        <f>B3640*1000</f>
        <v>#REF!</v>
      </c>
      <c r="D3640" s="31" t="e">
        <f t="shared" si="350"/>
        <v>#REF!</v>
      </c>
      <c r="E3640" s="31" t="e">
        <f>IF(B3639+B3640=0,"",IF(B3640=1," Thousand "," Thousands "))</f>
        <v>#REF!</v>
      </c>
      <c r="J3640" s="31">
        <v>13</v>
      </c>
      <c r="K3640" s="33" t="s">
        <v>78</v>
      </c>
      <c r="L3640" s="31" t="str">
        <f t="shared" si="351"/>
        <v>Tiga Belas</v>
      </c>
    </row>
    <row r="3641" spans="1:12">
      <c r="A3641" s="33" t="s">
        <v>79</v>
      </c>
      <c r="B3641" s="40" t="e">
        <f>TRUNC((A3625-SUM(C3637:C3640))/100)</f>
        <v>#REF!</v>
      </c>
      <c r="C3641" s="31" t="e">
        <f>B3641*100</f>
        <v>#REF!</v>
      </c>
      <c r="D3641" s="31" t="e">
        <f t="shared" si="350"/>
        <v>#REF!</v>
      </c>
      <c r="E3641" s="31" t="e">
        <f>IF(B3641&lt;1,"",IF(B3641&gt;1," Hundreds "," Hundred "))</f>
        <v>#REF!</v>
      </c>
      <c r="J3641" s="31">
        <v>14</v>
      </c>
      <c r="K3641" s="33" t="s">
        <v>80</v>
      </c>
      <c r="L3641" s="31" t="str">
        <f t="shared" si="351"/>
        <v>Empat Belas</v>
      </c>
    </row>
    <row r="3642" spans="1:12">
      <c r="A3642" s="33" t="s">
        <v>81</v>
      </c>
      <c r="B3642" s="41" t="e">
        <f>TRUNC((A3625-SUM(C3637:C3641)))</f>
        <v>#REF!</v>
      </c>
      <c r="C3642" s="42" t="e">
        <f>B3642</f>
        <v>#REF!</v>
      </c>
      <c r="D3642" s="31" t="e">
        <f t="shared" si="350"/>
        <v>#REF!</v>
      </c>
      <c r="E3642" s="31" t="e">
        <f>IF(SUM(C3637:C3642)&lt;1,"",IF(B3643&lt;1,""," And "))</f>
        <v>#REF!</v>
      </c>
      <c r="J3642" s="31">
        <v>15</v>
      </c>
      <c r="K3642" s="33" t="s">
        <v>82</v>
      </c>
      <c r="L3642" s="31" t="str">
        <f t="shared" si="351"/>
        <v>Lima Belas</v>
      </c>
    </row>
    <row r="3643" spans="1:12">
      <c r="A3643" s="33" t="s">
        <v>83</v>
      </c>
      <c r="B3643" s="40" t="e">
        <f>ROUND(A3625-SUM(C3637:C3642),2)*100</f>
        <v>#REF!</v>
      </c>
      <c r="D3643" s="43" t="e">
        <f t="shared" si="350"/>
        <v>#REF!</v>
      </c>
      <c r="E3643" s="31" t="e">
        <f>IF(B3643&lt;1,"",IF(B3643=1," Cent "," Cents "))</f>
        <v>#REF!</v>
      </c>
      <c r="J3643" s="31">
        <v>16</v>
      </c>
      <c r="K3643" s="33" t="s">
        <v>84</v>
      </c>
      <c r="L3643" s="31" t="str">
        <f t="shared" si="351"/>
        <v>Enam Belas</v>
      </c>
    </row>
    <row r="3644" spans="1:12">
      <c r="J3644" s="31">
        <v>17</v>
      </c>
      <c r="K3644" s="33" t="s">
        <v>85</v>
      </c>
      <c r="L3644" s="31" t="str">
        <f t="shared" si="351"/>
        <v>Tujuh Belas</v>
      </c>
    </row>
    <row r="3645" spans="1:12">
      <c r="A3645" s="44"/>
      <c r="J3645" s="31">
        <v>18</v>
      </c>
      <c r="K3645" s="33" t="s">
        <v>86</v>
      </c>
      <c r="L3645" s="31" t="str">
        <f t="shared" si="351"/>
        <v>Delapan Belas</v>
      </c>
    </row>
    <row r="3646" spans="1:12">
      <c r="A3646" s="38" t="s">
        <v>87</v>
      </c>
      <c r="J3646" s="31">
        <v>19</v>
      </c>
      <c r="K3646" s="33" t="s">
        <v>88</v>
      </c>
      <c r="L3646" s="31" t="str">
        <f t="shared" si="351"/>
        <v>Sembilan Belas</v>
      </c>
    </row>
    <row r="3647" spans="1:12">
      <c r="A3647" s="31" t="s">
        <v>69</v>
      </c>
      <c r="B3647" s="39" t="e">
        <f>TRUNC(A3625/100000000)</f>
        <v>#REF!</v>
      </c>
      <c r="C3647" s="31" t="e">
        <f>B3647*100000000</f>
        <v>#REF!</v>
      </c>
      <c r="D3647" s="31" t="e">
        <f>IF(B3647&lt;1,"",IF(B3647=1,"",VLOOKUP(B3647,$J$3:$L$102,3)))</f>
        <v>#REF!</v>
      </c>
      <c r="E3647" s="31" t="e">
        <f>IF(B3647&lt;1,"",IF(B3647=1,"Seratus "," Ratus "))</f>
        <v>#REF!</v>
      </c>
      <c r="J3647" s="31">
        <v>20</v>
      </c>
      <c r="K3647" s="33" t="s">
        <v>89</v>
      </c>
      <c r="L3647" s="31" t="s">
        <v>90</v>
      </c>
    </row>
    <row r="3648" spans="1:12">
      <c r="A3648" s="31" t="s">
        <v>72</v>
      </c>
      <c r="B3648" s="39" t="e">
        <f>TRUNC((A3625-C3647)/1000000)</f>
        <v>#REF!</v>
      </c>
      <c r="C3648" s="31" t="e">
        <f>B3648*1000000</f>
        <v>#REF!</v>
      </c>
      <c r="D3648" s="31" t="e">
        <f>IF(B3648&lt;1,"",VLOOKUP(B3648,$J$3:$L$102,3))</f>
        <v>#REF!</v>
      </c>
      <c r="E3648" s="31" t="e">
        <f>IF(B3647+B3648=0,""," Juta ")</f>
        <v>#REF!</v>
      </c>
      <c r="J3648" s="31">
        <v>21</v>
      </c>
      <c r="K3648" s="33" t="s">
        <v>91</v>
      </c>
      <c r="L3648" s="31" t="str">
        <f t="shared" ref="L3648:L3656" si="352">$L$23&amp;" "&amp;L3628</f>
        <v>Dua Puluh Satu</v>
      </c>
    </row>
    <row r="3649" spans="1:12">
      <c r="A3649" s="31" t="s">
        <v>75</v>
      </c>
      <c r="B3649" s="39" t="e">
        <f>TRUNC((A3625-SUM(C3647:C3648))/100000)</f>
        <v>#REF!</v>
      </c>
      <c r="C3649" s="31" t="e">
        <f>B3649*100000</f>
        <v>#REF!</v>
      </c>
      <c r="D3649" s="31" t="e">
        <f>IF(B3649&lt;1,"",IF(B3649=1,"",VLOOKUP(B3649,$J$3:$L$102,3)))</f>
        <v>#REF!</v>
      </c>
      <c r="E3649" s="31" t="e">
        <f>IF(B3649&lt;1,"",IF(B3649=1," Seratus "," Ratus "))</f>
        <v>#REF!</v>
      </c>
      <c r="J3649" s="31">
        <v>22</v>
      </c>
      <c r="K3649" s="33" t="s">
        <v>92</v>
      </c>
      <c r="L3649" s="31" t="str">
        <f t="shared" si="352"/>
        <v>Dua Puluh Dua</v>
      </c>
    </row>
    <row r="3650" spans="1:12">
      <c r="A3650" s="33" t="s">
        <v>77</v>
      </c>
      <c r="B3650" s="40" t="e">
        <f>TRUNC((A3625-SUM(C3647:C3649))/1000)</f>
        <v>#REF!</v>
      </c>
      <c r="C3650" s="31" t="e">
        <f>B3650*1000</f>
        <v>#REF!</v>
      </c>
      <c r="D3650" s="31" t="e">
        <f>IF(B3650&lt;1,"",IF(B3650=1,"",VLOOKUP(B3650,$J$3:$L$102,3)))</f>
        <v>#REF!</v>
      </c>
      <c r="E3650" s="31" t="e">
        <f>IF(B3649+B3650&lt;1,"",IF(B3650=1," Seribu "," Ribu "))</f>
        <v>#REF!</v>
      </c>
      <c r="J3650" s="31">
        <v>23</v>
      </c>
      <c r="K3650" s="33" t="s">
        <v>93</v>
      </c>
      <c r="L3650" s="31" t="str">
        <f t="shared" si="352"/>
        <v>Dua Puluh Tiga</v>
      </c>
    </row>
    <row r="3651" spans="1:12">
      <c r="A3651" s="33" t="s">
        <v>79</v>
      </c>
      <c r="B3651" s="40" t="e">
        <f>TRUNC((A3625-SUM(C3647:C3650))/100)</f>
        <v>#REF!</v>
      </c>
      <c r="C3651" s="31" t="e">
        <f>B3651*100</f>
        <v>#REF!</v>
      </c>
      <c r="D3651" s="31" t="e">
        <f>IF(B3651&lt;1,"",IF(B3651=1,"",VLOOKUP(B3651,$J$3:$L$102,3)))</f>
        <v>#REF!</v>
      </c>
      <c r="E3651" s="31" t="e">
        <f>IF(B3651&lt;1,"",IF(B3651=1," Seratus "," Ratus "))</f>
        <v>#REF!</v>
      </c>
      <c r="J3651" s="31">
        <v>24</v>
      </c>
      <c r="K3651" s="33" t="s">
        <v>94</v>
      </c>
      <c r="L3651" s="31" t="str">
        <f t="shared" si="352"/>
        <v>Dua Puluh Empat</v>
      </c>
    </row>
    <row r="3652" spans="1:12">
      <c r="A3652" s="33" t="s">
        <v>81</v>
      </c>
      <c r="B3652" s="41" t="e">
        <f>TRUNC((A3625-SUM(C3647:C3651)))</f>
        <v>#REF!</v>
      </c>
      <c r="C3652" s="42" t="e">
        <f>B3652</f>
        <v>#REF!</v>
      </c>
      <c r="D3652" s="31" t="e">
        <f>IF(B3652&lt;1,"",VLOOKUP(B3652,$J$3:$L$102,3))</f>
        <v>#REF!</v>
      </c>
      <c r="E3652" s="31" t="e">
        <f>IF(SUM(C3647:C3652)&lt;1,"",IF(B3653&lt;1,""," Dan "))</f>
        <v>#REF!</v>
      </c>
      <c r="J3652" s="31">
        <v>25</v>
      </c>
      <c r="K3652" s="33" t="s">
        <v>95</v>
      </c>
      <c r="L3652" s="31" t="str">
        <f t="shared" si="352"/>
        <v>Dua Puluh Lima</v>
      </c>
    </row>
    <row r="3653" spans="1:12">
      <c r="A3653" s="33" t="s">
        <v>83</v>
      </c>
      <c r="B3653" s="40" t="e">
        <f>ROUND(A3625-SUM(C3647:C3652),2)*100</f>
        <v>#REF!</v>
      </c>
      <c r="D3653" s="31" t="e">
        <f>IF(B3653&lt;1,"",VLOOKUP(B3653,$J$3:$L$102,3))</f>
        <v>#REF!</v>
      </c>
      <c r="E3653" s="31" t="e">
        <f>IF(B3653&lt;1,""," Sen ")</f>
        <v>#REF!</v>
      </c>
      <c r="J3653" s="31">
        <v>26</v>
      </c>
      <c r="K3653" s="33" t="s">
        <v>96</v>
      </c>
      <c r="L3653" s="31" t="str">
        <f t="shared" si="352"/>
        <v>Dua Puluh Enam</v>
      </c>
    </row>
    <row r="3654" spans="1:12">
      <c r="J3654" s="31">
        <v>27</v>
      </c>
      <c r="K3654" s="33" t="s">
        <v>97</v>
      </c>
      <c r="L3654" s="31" t="str">
        <f t="shared" si="352"/>
        <v>Dua Puluh Tujuh</v>
      </c>
    </row>
    <row r="3655" spans="1:12">
      <c r="J3655" s="31">
        <v>28</v>
      </c>
      <c r="K3655" s="33" t="s">
        <v>98</v>
      </c>
      <c r="L3655" s="31" t="str">
        <f t="shared" si="352"/>
        <v>Dua Puluh Delapan</v>
      </c>
    </row>
    <row r="3656" spans="1:12">
      <c r="J3656" s="31">
        <v>29</v>
      </c>
      <c r="K3656" s="33" t="s">
        <v>99</v>
      </c>
      <c r="L3656" s="31" t="str">
        <f t="shared" si="352"/>
        <v>Dua Puluh Sembilan</v>
      </c>
    </row>
    <row r="3657" spans="1:12">
      <c r="J3657" s="31">
        <v>30</v>
      </c>
      <c r="K3657" s="33" t="s">
        <v>100</v>
      </c>
      <c r="L3657" s="31" t="s">
        <v>101</v>
      </c>
    </row>
    <row r="3658" spans="1:12">
      <c r="J3658" s="31">
        <v>31</v>
      </c>
      <c r="K3658" s="33" t="s">
        <v>102</v>
      </c>
      <c r="L3658" s="31" t="str">
        <f t="shared" ref="L3658:L3666" si="353">$L$33&amp;" "&amp;L3628</f>
        <v>Tiga Puluh Satu</v>
      </c>
    </row>
    <row r="3659" spans="1:12">
      <c r="J3659" s="31">
        <v>32</v>
      </c>
      <c r="K3659" s="33" t="s">
        <v>103</v>
      </c>
      <c r="L3659" s="31" t="str">
        <f t="shared" si="353"/>
        <v>Tiga Puluh Dua</v>
      </c>
    </row>
    <row r="3660" spans="1:12">
      <c r="J3660" s="31">
        <v>33</v>
      </c>
      <c r="K3660" s="33" t="s">
        <v>104</v>
      </c>
      <c r="L3660" s="31" t="str">
        <f t="shared" si="353"/>
        <v>Tiga Puluh Tiga</v>
      </c>
    </row>
    <row r="3661" spans="1:12">
      <c r="J3661" s="31">
        <v>34</v>
      </c>
      <c r="K3661" s="33" t="s">
        <v>105</v>
      </c>
      <c r="L3661" s="31" t="str">
        <f t="shared" si="353"/>
        <v>Tiga Puluh Empat</v>
      </c>
    </row>
    <row r="3662" spans="1:12">
      <c r="J3662" s="31">
        <v>35</v>
      </c>
      <c r="K3662" s="33" t="s">
        <v>106</v>
      </c>
      <c r="L3662" s="31" t="str">
        <f t="shared" si="353"/>
        <v>Tiga Puluh Lima</v>
      </c>
    </row>
    <row r="3663" spans="1:12">
      <c r="J3663" s="31">
        <v>36</v>
      </c>
      <c r="K3663" s="33" t="s">
        <v>107</v>
      </c>
      <c r="L3663" s="31" t="str">
        <f t="shared" si="353"/>
        <v>Tiga Puluh Enam</v>
      </c>
    </row>
    <row r="3664" spans="1:12">
      <c r="J3664" s="31">
        <v>37</v>
      </c>
      <c r="K3664" s="33" t="s">
        <v>108</v>
      </c>
      <c r="L3664" s="31" t="str">
        <f t="shared" si="353"/>
        <v>Tiga Puluh Tujuh</v>
      </c>
    </row>
    <row r="3665" spans="1:12">
      <c r="J3665" s="31">
        <v>38</v>
      </c>
      <c r="K3665" s="33" t="s">
        <v>109</v>
      </c>
      <c r="L3665" s="31" t="str">
        <f t="shared" si="353"/>
        <v>Tiga Puluh Delapan</v>
      </c>
    </row>
    <row r="3666" spans="1:12">
      <c r="J3666" s="31">
        <v>39</v>
      </c>
      <c r="K3666" s="33" t="s">
        <v>110</v>
      </c>
      <c r="L3666" s="31" t="str">
        <f t="shared" si="353"/>
        <v>Tiga Puluh Sembilan</v>
      </c>
    </row>
    <row r="3667" spans="1:12">
      <c r="B3667" s="35"/>
      <c r="C3667" s="35"/>
      <c r="D3667" s="35"/>
      <c r="J3667" s="31">
        <v>40</v>
      </c>
      <c r="K3667" s="33" t="s">
        <v>111</v>
      </c>
      <c r="L3667" s="31" t="s">
        <v>112</v>
      </c>
    </row>
    <row r="3668" spans="1:12">
      <c r="A3668" s="35"/>
      <c r="B3668" s="35"/>
      <c r="C3668" s="35"/>
      <c r="D3668" s="35"/>
      <c r="J3668" s="31">
        <v>41</v>
      </c>
      <c r="K3668" s="33" t="s">
        <v>113</v>
      </c>
      <c r="L3668" s="31" t="str">
        <f t="shared" ref="L3668:L3676" si="354">$L$43&amp;" "&amp;L3628</f>
        <v>Empat Puluh Satu</v>
      </c>
    </row>
    <row r="3669" spans="1:12">
      <c r="J3669" s="31">
        <v>42</v>
      </c>
      <c r="K3669" s="33" t="s">
        <v>114</v>
      </c>
      <c r="L3669" s="31" t="str">
        <f t="shared" si="354"/>
        <v>Empat Puluh Dua</v>
      </c>
    </row>
    <row r="3670" spans="1:12">
      <c r="A3670" s="38"/>
      <c r="J3670" s="31">
        <v>43</v>
      </c>
      <c r="K3670" s="33" t="s">
        <v>115</v>
      </c>
      <c r="L3670" s="31" t="str">
        <f t="shared" si="354"/>
        <v>Empat Puluh Tiga</v>
      </c>
    </row>
    <row r="3671" spans="1:12">
      <c r="J3671" s="31">
        <v>44</v>
      </c>
      <c r="K3671" s="33" t="s">
        <v>116</v>
      </c>
      <c r="L3671" s="31" t="str">
        <f t="shared" si="354"/>
        <v>Empat Puluh Empat</v>
      </c>
    </row>
    <row r="3672" spans="1:12">
      <c r="J3672" s="31">
        <v>45</v>
      </c>
      <c r="K3672" s="33" t="s">
        <v>117</v>
      </c>
      <c r="L3672" s="31" t="str">
        <f t="shared" si="354"/>
        <v>Empat Puluh Lima</v>
      </c>
    </row>
    <row r="3673" spans="1:12">
      <c r="J3673" s="31">
        <v>46</v>
      </c>
      <c r="K3673" s="33" t="s">
        <v>118</v>
      </c>
      <c r="L3673" s="31" t="str">
        <f t="shared" si="354"/>
        <v>Empat Puluh Enam</v>
      </c>
    </row>
    <row r="3674" spans="1:12">
      <c r="J3674" s="31">
        <v>47</v>
      </c>
      <c r="K3674" s="33" t="s">
        <v>119</v>
      </c>
      <c r="L3674" s="31" t="str">
        <f t="shared" si="354"/>
        <v>Empat Puluh Tujuh</v>
      </c>
    </row>
    <row r="3675" spans="1:12">
      <c r="J3675" s="31">
        <v>48</v>
      </c>
      <c r="K3675" s="33" t="s">
        <v>120</v>
      </c>
      <c r="L3675" s="31" t="str">
        <f t="shared" si="354"/>
        <v>Empat Puluh Delapan</v>
      </c>
    </row>
    <row r="3676" spans="1:12">
      <c r="J3676" s="31">
        <v>49</v>
      </c>
      <c r="K3676" s="33" t="s">
        <v>121</v>
      </c>
      <c r="L3676" s="31" t="str">
        <f t="shared" si="354"/>
        <v>Empat Puluh Sembilan</v>
      </c>
    </row>
    <row r="3677" spans="1:12">
      <c r="J3677" s="31">
        <v>50</v>
      </c>
      <c r="K3677" s="33" t="s">
        <v>122</v>
      </c>
      <c r="L3677" s="31" t="s">
        <v>123</v>
      </c>
    </row>
    <row r="3678" spans="1:12">
      <c r="J3678" s="31">
        <v>51</v>
      </c>
      <c r="K3678" s="33" t="s">
        <v>124</v>
      </c>
      <c r="L3678" s="31" t="str">
        <f t="shared" ref="L3678:L3686" si="355">$L$53&amp;" "&amp;L3628</f>
        <v>Lima Puluh Satu</v>
      </c>
    </row>
    <row r="3679" spans="1:12">
      <c r="J3679" s="31">
        <v>52</v>
      </c>
      <c r="K3679" s="33" t="s">
        <v>125</v>
      </c>
      <c r="L3679" s="31" t="str">
        <f t="shared" si="355"/>
        <v>Lima Puluh Dua</v>
      </c>
    </row>
    <row r="3680" spans="1:12">
      <c r="J3680" s="31">
        <v>53</v>
      </c>
      <c r="K3680" s="33" t="s">
        <v>126</v>
      </c>
      <c r="L3680" s="31" t="str">
        <f t="shared" si="355"/>
        <v>Lima Puluh Tiga</v>
      </c>
    </row>
    <row r="3681" spans="10:12">
      <c r="J3681" s="31">
        <v>54</v>
      </c>
      <c r="K3681" s="33" t="s">
        <v>127</v>
      </c>
      <c r="L3681" s="31" t="str">
        <f t="shared" si="355"/>
        <v>Lima Puluh Empat</v>
      </c>
    </row>
    <row r="3682" spans="10:12">
      <c r="J3682" s="31">
        <v>55</v>
      </c>
      <c r="K3682" s="33" t="s">
        <v>128</v>
      </c>
      <c r="L3682" s="31" t="str">
        <f t="shared" si="355"/>
        <v>Lima Puluh Lima</v>
      </c>
    </row>
    <row r="3683" spans="10:12">
      <c r="J3683" s="31">
        <v>56</v>
      </c>
      <c r="K3683" s="33" t="s">
        <v>129</v>
      </c>
      <c r="L3683" s="31" t="str">
        <f t="shared" si="355"/>
        <v>Lima Puluh Enam</v>
      </c>
    </row>
    <row r="3684" spans="10:12">
      <c r="J3684" s="31">
        <v>57</v>
      </c>
      <c r="K3684" s="33" t="s">
        <v>130</v>
      </c>
      <c r="L3684" s="31" t="str">
        <f t="shared" si="355"/>
        <v>Lima Puluh Tujuh</v>
      </c>
    </row>
    <row r="3685" spans="10:12">
      <c r="J3685" s="31">
        <v>58</v>
      </c>
      <c r="K3685" s="33" t="s">
        <v>131</v>
      </c>
      <c r="L3685" s="31" t="str">
        <f t="shared" si="355"/>
        <v>Lima Puluh Delapan</v>
      </c>
    </row>
    <row r="3686" spans="10:12">
      <c r="J3686" s="31">
        <v>59</v>
      </c>
      <c r="K3686" s="33" t="s">
        <v>132</v>
      </c>
      <c r="L3686" s="31" t="str">
        <f t="shared" si="355"/>
        <v>Lima Puluh Sembilan</v>
      </c>
    </row>
    <row r="3687" spans="10:12">
      <c r="J3687" s="31">
        <v>60</v>
      </c>
      <c r="K3687" s="33" t="s">
        <v>133</v>
      </c>
      <c r="L3687" s="31" t="s">
        <v>134</v>
      </c>
    </row>
    <row r="3688" spans="10:12">
      <c r="J3688" s="31">
        <v>61</v>
      </c>
      <c r="K3688" s="33" t="s">
        <v>135</v>
      </c>
      <c r="L3688" s="31" t="str">
        <f t="shared" ref="L3688:L3696" si="356">$L$63&amp;" "&amp;L3628</f>
        <v>Enam Puluh Satu</v>
      </c>
    </row>
    <row r="3689" spans="10:12">
      <c r="J3689" s="31">
        <v>62</v>
      </c>
      <c r="K3689" s="33" t="s">
        <v>136</v>
      </c>
      <c r="L3689" s="31" t="str">
        <f t="shared" si="356"/>
        <v>Enam Puluh Dua</v>
      </c>
    </row>
    <row r="3690" spans="10:12">
      <c r="J3690" s="31">
        <v>63</v>
      </c>
      <c r="K3690" s="33" t="s">
        <v>137</v>
      </c>
      <c r="L3690" s="31" t="str">
        <f t="shared" si="356"/>
        <v>Enam Puluh Tiga</v>
      </c>
    </row>
    <row r="3691" spans="10:12">
      <c r="J3691" s="31">
        <v>64</v>
      </c>
      <c r="K3691" s="33" t="s">
        <v>138</v>
      </c>
      <c r="L3691" s="31" t="str">
        <f t="shared" si="356"/>
        <v>Enam Puluh Empat</v>
      </c>
    </row>
    <row r="3692" spans="10:12">
      <c r="J3692" s="31">
        <v>65</v>
      </c>
      <c r="K3692" s="33" t="s">
        <v>139</v>
      </c>
      <c r="L3692" s="31" t="str">
        <f t="shared" si="356"/>
        <v>Enam Puluh Lima</v>
      </c>
    </row>
    <row r="3693" spans="10:12">
      <c r="J3693" s="31">
        <v>66</v>
      </c>
      <c r="K3693" s="33" t="s">
        <v>140</v>
      </c>
      <c r="L3693" s="31" t="str">
        <f t="shared" si="356"/>
        <v>Enam Puluh Enam</v>
      </c>
    </row>
    <row r="3694" spans="10:12">
      <c r="J3694" s="31">
        <v>67</v>
      </c>
      <c r="K3694" s="33" t="s">
        <v>141</v>
      </c>
      <c r="L3694" s="31" t="str">
        <f t="shared" si="356"/>
        <v>Enam Puluh Tujuh</v>
      </c>
    </row>
    <row r="3695" spans="10:12">
      <c r="J3695" s="31">
        <v>68</v>
      </c>
      <c r="K3695" s="33" t="s">
        <v>142</v>
      </c>
      <c r="L3695" s="31" t="str">
        <f t="shared" si="356"/>
        <v>Enam Puluh Delapan</v>
      </c>
    </row>
    <row r="3696" spans="10:12">
      <c r="J3696" s="31">
        <v>69</v>
      </c>
      <c r="K3696" s="33" t="s">
        <v>143</v>
      </c>
      <c r="L3696" s="31" t="str">
        <f t="shared" si="356"/>
        <v>Enam Puluh Sembilan</v>
      </c>
    </row>
    <row r="3697" spans="10:12">
      <c r="J3697" s="31">
        <v>70</v>
      </c>
      <c r="K3697" s="33" t="s">
        <v>144</v>
      </c>
      <c r="L3697" s="31" t="s">
        <v>145</v>
      </c>
    </row>
    <row r="3698" spans="10:12">
      <c r="J3698" s="31">
        <v>71</v>
      </c>
      <c r="K3698" s="33" t="s">
        <v>146</v>
      </c>
      <c r="L3698" s="31" t="str">
        <f t="shared" ref="L3698:L3706" si="357">$L$73&amp;" "&amp;L3628</f>
        <v>Tujuh Puluh Satu</v>
      </c>
    </row>
    <row r="3699" spans="10:12">
      <c r="J3699" s="31">
        <v>72</v>
      </c>
      <c r="K3699" s="33" t="s">
        <v>147</v>
      </c>
      <c r="L3699" s="31" t="str">
        <f t="shared" si="357"/>
        <v>Tujuh Puluh Dua</v>
      </c>
    </row>
    <row r="3700" spans="10:12">
      <c r="J3700" s="31">
        <v>73</v>
      </c>
      <c r="K3700" s="33" t="s">
        <v>148</v>
      </c>
      <c r="L3700" s="31" t="str">
        <f t="shared" si="357"/>
        <v>Tujuh Puluh Tiga</v>
      </c>
    </row>
    <row r="3701" spans="10:12">
      <c r="J3701" s="31">
        <v>74</v>
      </c>
      <c r="K3701" s="33" t="s">
        <v>149</v>
      </c>
      <c r="L3701" s="31" t="str">
        <f t="shared" si="357"/>
        <v>Tujuh Puluh Empat</v>
      </c>
    </row>
    <row r="3702" spans="10:12">
      <c r="J3702" s="31">
        <v>75</v>
      </c>
      <c r="K3702" s="33" t="s">
        <v>150</v>
      </c>
      <c r="L3702" s="31" t="str">
        <f t="shared" si="357"/>
        <v>Tujuh Puluh Lima</v>
      </c>
    </row>
    <row r="3703" spans="10:12">
      <c r="J3703" s="31">
        <v>76</v>
      </c>
      <c r="K3703" s="33" t="s">
        <v>151</v>
      </c>
      <c r="L3703" s="31" t="str">
        <f t="shared" si="357"/>
        <v>Tujuh Puluh Enam</v>
      </c>
    </row>
    <row r="3704" spans="10:12">
      <c r="J3704" s="31">
        <v>77</v>
      </c>
      <c r="K3704" s="33" t="s">
        <v>152</v>
      </c>
      <c r="L3704" s="31" t="str">
        <f t="shared" si="357"/>
        <v>Tujuh Puluh Tujuh</v>
      </c>
    </row>
    <row r="3705" spans="10:12">
      <c r="J3705" s="31">
        <v>78</v>
      </c>
      <c r="K3705" s="33" t="s">
        <v>153</v>
      </c>
      <c r="L3705" s="31" t="str">
        <f t="shared" si="357"/>
        <v>Tujuh Puluh Delapan</v>
      </c>
    </row>
    <row r="3706" spans="10:12">
      <c r="J3706" s="31">
        <v>79</v>
      </c>
      <c r="K3706" s="33" t="s">
        <v>154</v>
      </c>
      <c r="L3706" s="31" t="str">
        <f t="shared" si="357"/>
        <v>Tujuh Puluh Sembilan</v>
      </c>
    </row>
    <row r="3707" spans="10:12">
      <c r="J3707" s="31">
        <v>80</v>
      </c>
      <c r="K3707" s="33" t="s">
        <v>155</v>
      </c>
      <c r="L3707" s="31" t="s">
        <v>156</v>
      </c>
    </row>
    <row r="3708" spans="10:12">
      <c r="J3708" s="31">
        <v>81</v>
      </c>
      <c r="K3708" s="33" t="s">
        <v>157</v>
      </c>
      <c r="L3708" s="31" t="str">
        <f t="shared" ref="L3708:L3716" si="358">$L$83&amp;" "&amp;L3628</f>
        <v>Delapan Puluh Satu</v>
      </c>
    </row>
    <row r="3709" spans="10:12">
      <c r="J3709" s="31">
        <v>82</v>
      </c>
      <c r="K3709" s="33" t="s">
        <v>158</v>
      </c>
      <c r="L3709" s="31" t="str">
        <f t="shared" si="358"/>
        <v>Delapan Puluh Dua</v>
      </c>
    </row>
    <row r="3710" spans="10:12">
      <c r="J3710" s="31">
        <v>83</v>
      </c>
      <c r="K3710" s="33" t="s">
        <v>159</v>
      </c>
      <c r="L3710" s="31" t="str">
        <f t="shared" si="358"/>
        <v>Delapan Puluh Tiga</v>
      </c>
    </row>
    <row r="3711" spans="10:12">
      <c r="J3711" s="31">
        <v>84</v>
      </c>
      <c r="K3711" s="33" t="s">
        <v>160</v>
      </c>
      <c r="L3711" s="31" t="str">
        <f t="shared" si="358"/>
        <v>Delapan Puluh Empat</v>
      </c>
    </row>
    <row r="3712" spans="10:12">
      <c r="J3712" s="31">
        <v>85</v>
      </c>
      <c r="K3712" s="33" t="s">
        <v>161</v>
      </c>
      <c r="L3712" s="31" t="str">
        <f t="shared" si="358"/>
        <v>Delapan Puluh Lima</v>
      </c>
    </row>
    <row r="3713" spans="10:12">
      <c r="J3713" s="31">
        <v>86</v>
      </c>
      <c r="K3713" s="33" t="s">
        <v>162</v>
      </c>
      <c r="L3713" s="31" t="str">
        <f t="shared" si="358"/>
        <v>Delapan Puluh Enam</v>
      </c>
    </row>
    <row r="3714" spans="10:12">
      <c r="J3714" s="31">
        <v>87</v>
      </c>
      <c r="K3714" s="33" t="s">
        <v>163</v>
      </c>
      <c r="L3714" s="31" t="str">
        <f t="shared" si="358"/>
        <v>Delapan Puluh Tujuh</v>
      </c>
    </row>
    <row r="3715" spans="10:12">
      <c r="J3715" s="31">
        <v>88</v>
      </c>
      <c r="K3715" s="33" t="s">
        <v>164</v>
      </c>
      <c r="L3715" s="31" t="str">
        <f t="shared" si="358"/>
        <v>Delapan Puluh Delapan</v>
      </c>
    </row>
    <row r="3716" spans="10:12">
      <c r="J3716" s="31">
        <v>89</v>
      </c>
      <c r="K3716" s="33" t="s">
        <v>165</v>
      </c>
      <c r="L3716" s="31" t="str">
        <f t="shared" si="358"/>
        <v>Delapan Puluh Sembilan</v>
      </c>
    </row>
    <row r="3717" spans="10:12">
      <c r="J3717" s="31">
        <v>90</v>
      </c>
      <c r="K3717" s="33" t="s">
        <v>166</v>
      </c>
      <c r="L3717" s="31" t="s">
        <v>167</v>
      </c>
    </row>
    <row r="3718" spans="10:12">
      <c r="J3718" s="31">
        <v>91</v>
      </c>
      <c r="K3718" s="33" t="s">
        <v>168</v>
      </c>
      <c r="L3718" s="31" t="str">
        <f t="shared" ref="L3718:L3726" si="359">$L$93&amp;" "&amp;L3628</f>
        <v>Sembilan Puluh Satu</v>
      </c>
    </row>
    <row r="3719" spans="10:12">
      <c r="J3719" s="31">
        <v>92</v>
      </c>
      <c r="K3719" s="33" t="s">
        <v>169</v>
      </c>
      <c r="L3719" s="31" t="str">
        <f t="shared" si="359"/>
        <v>Sembilan Puluh Dua</v>
      </c>
    </row>
    <row r="3720" spans="10:12">
      <c r="J3720" s="31">
        <v>93</v>
      </c>
      <c r="K3720" s="33" t="s">
        <v>170</v>
      </c>
      <c r="L3720" s="31" t="str">
        <f t="shared" si="359"/>
        <v>Sembilan Puluh Tiga</v>
      </c>
    </row>
    <row r="3721" spans="10:12">
      <c r="J3721" s="31">
        <v>94</v>
      </c>
      <c r="K3721" s="33" t="s">
        <v>171</v>
      </c>
      <c r="L3721" s="31" t="str">
        <f t="shared" si="359"/>
        <v>Sembilan Puluh Empat</v>
      </c>
    </row>
    <row r="3722" spans="10:12">
      <c r="J3722" s="31">
        <v>95</v>
      </c>
      <c r="K3722" s="33" t="s">
        <v>172</v>
      </c>
      <c r="L3722" s="31" t="str">
        <f t="shared" si="359"/>
        <v>Sembilan Puluh Lima</v>
      </c>
    </row>
    <row r="3723" spans="10:12">
      <c r="J3723" s="31">
        <v>96</v>
      </c>
      <c r="K3723" s="33" t="s">
        <v>173</v>
      </c>
      <c r="L3723" s="31" t="str">
        <f t="shared" si="359"/>
        <v>Sembilan Puluh Enam</v>
      </c>
    </row>
    <row r="3724" spans="10:12">
      <c r="J3724" s="31">
        <v>97</v>
      </c>
      <c r="K3724" s="33" t="s">
        <v>174</v>
      </c>
      <c r="L3724" s="31" t="str">
        <f t="shared" si="359"/>
        <v>Sembilan Puluh Tujuh</v>
      </c>
    </row>
    <row r="3725" spans="10:12">
      <c r="J3725" s="31">
        <v>98</v>
      </c>
      <c r="K3725" s="33" t="s">
        <v>175</v>
      </c>
      <c r="L3725" s="31" t="str">
        <f t="shared" si="359"/>
        <v>Sembilan Puluh Delapan</v>
      </c>
    </row>
    <row r="3726" spans="10:12">
      <c r="J3726" s="31">
        <v>99</v>
      </c>
      <c r="K3726" s="33" t="s">
        <v>176</v>
      </c>
      <c r="L3726" s="31" t="str">
        <f t="shared" si="359"/>
        <v>Sembilan Puluh Sembilan</v>
      </c>
    </row>
    <row r="3729" spans="1:12">
      <c r="A3729" s="30" t="e">
        <f>#REF!</f>
        <v>#REF!</v>
      </c>
      <c r="C3729" s="31" t="s">
        <v>219</v>
      </c>
    </row>
    <row r="3730" spans="1:12">
      <c r="A3730" s="32"/>
    </row>
    <row r="3731" spans="1:12">
      <c r="J3731" s="31">
        <v>0</v>
      </c>
      <c r="K3731" s="33" t="s">
        <v>48</v>
      </c>
      <c r="L3731" s="31" t="s">
        <v>49</v>
      </c>
    </row>
    <row r="3732" spans="1:12">
      <c r="A3732" s="34"/>
      <c r="J3732" s="31">
        <v>1</v>
      </c>
      <c r="K3732" s="33" t="s">
        <v>50</v>
      </c>
      <c r="L3732" s="31" t="s">
        <v>51</v>
      </c>
    </row>
    <row r="3733" spans="1:12">
      <c r="A3733" s="255" t="e">
        <f>TRIM(D3741&amp;E3741&amp;D3742&amp;E3742&amp;D3743&amp;E3743&amp;D3744&amp;E3744&amp;D3745&amp;E3745&amp;D3746&amp;E3746&amp;E3747&amp;D3747&amp;" Only")</f>
        <v>#REF!</v>
      </c>
      <c r="B3733" s="255"/>
      <c r="C3733" s="255"/>
      <c r="D3733" s="255"/>
      <c r="E3733" s="35"/>
      <c r="F3733" s="36"/>
      <c r="J3733" s="31">
        <v>2</v>
      </c>
      <c r="K3733" s="33" t="s">
        <v>52</v>
      </c>
      <c r="L3733" s="31" t="s">
        <v>53</v>
      </c>
    </row>
    <row r="3734" spans="1:12">
      <c r="A3734" s="37"/>
      <c r="B3734" s="37"/>
      <c r="C3734" s="37"/>
      <c r="D3734" s="37"/>
      <c r="E3734" s="35"/>
      <c r="F3734" s="36"/>
      <c r="J3734" s="31">
        <v>3</v>
      </c>
      <c r="K3734" s="33" t="s">
        <v>54</v>
      </c>
      <c r="L3734" s="31" t="s">
        <v>55</v>
      </c>
    </row>
    <row r="3735" spans="1:12">
      <c r="A3735" s="37"/>
      <c r="B3735" s="37"/>
      <c r="C3735" s="37"/>
      <c r="D3735" s="37"/>
      <c r="J3735" s="31">
        <v>4</v>
      </c>
      <c r="K3735" s="33" t="s">
        <v>56</v>
      </c>
      <c r="L3735" s="31" t="s">
        <v>57</v>
      </c>
    </row>
    <row r="3736" spans="1:12">
      <c r="A3736" s="255" t="e">
        <f>TRIM(D3751&amp;E3751&amp;D3752&amp;E3752&amp;D3753&amp;E3753&amp;D3754&amp;E3754&amp;D3755&amp;E3755&amp;D3756&amp;E3756&amp;D3757&amp;E3757&amp;" Rupiah")</f>
        <v>#REF!</v>
      </c>
      <c r="B3736" s="255"/>
      <c r="C3736" s="255"/>
      <c r="D3736" s="255"/>
      <c r="E3736" s="35"/>
      <c r="F3736" s="36"/>
      <c r="J3736" s="31">
        <v>5</v>
      </c>
      <c r="K3736" s="33" t="s">
        <v>58</v>
      </c>
      <c r="L3736" s="31" t="s">
        <v>59</v>
      </c>
    </row>
    <row r="3737" spans="1:12">
      <c r="A3737" s="35"/>
      <c r="B3737" s="35"/>
      <c r="C3737" s="35"/>
      <c r="D3737" s="35"/>
      <c r="E3737" s="35"/>
      <c r="F3737" s="36"/>
      <c r="J3737" s="31">
        <v>6</v>
      </c>
      <c r="K3737" s="33" t="s">
        <v>60</v>
      </c>
      <c r="L3737" s="31" t="s">
        <v>61</v>
      </c>
    </row>
    <row r="3738" spans="1:12">
      <c r="J3738" s="31">
        <v>7</v>
      </c>
      <c r="K3738" s="33" t="s">
        <v>62</v>
      </c>
      <c r="L3738" s="31" t="s">
        <v>63</v>
      </c>
    </row>
    <row r="3739" spans="1:12">
      <c r="J3739" s="31">
        <v>8</v>
      </c>
      <c r="K3739" s="33" t="s">
        <v>64</v>
      </c>
      <c r="L3739" s="31" t="s">
        <v>65</v>
      </c>
    </row>
    <row r="3740" spans="1:12">
      <c r="A3740" s="38" t="s">
        <v>66</v>
      </c>
      <c r="J3740" s="31">
        <v>9</v>
      </c>
      <c r="K3740" s="33" t="s">
        <v>67</v>
      </c>
      <c r="L3740" s="31" t="s">
        <v>68</v>
      </c>
    </row>
    <row r="3741" spans="1:12">
      <c r="A3741" s="31" t="s">
        <v>69</v>
      </c>
      <c r="B3741" s="39" t="e">
        <f>TRUNC(A3729/100000000)</f>
        <v>#REF!</v>
      </c>
      <c r="C3741" s="31" t="e">
        <f>B3741*100000000</f>
        <v>#REF!</v>
      </c>
      <c r="D3741" s="31" t="e">
        <f t="shared" ref="D3741:D3747" si="360">IF(B3741&lt;1,"",VLOOKUP(B3741,$J$3:$K$102,2))</f>
        <v>#REF!</v>
      </c>
      <c r="E3741" s="31" t="e">
        <f>IF(B3741&lt;1,"",IF(B3741&gt;1," Hundreds "," Hundred "))</f>
        <v>#REF!</v>
      </c>
      <c r="J3741" s="31">
        <v>10</v>
      </c>
      <c r="K3741" s="33" t="s">
        <v>70</v>
      </c>
      <c r="L3741" s="31" t="s">
        <v>71</v>
      </c>
    </row>
    <row r="3742" spans="1:12">
      <c r="A3742" s="31" t="s">
        <v>72</v>
      </c>
      <c r="B3742" s="39" t="e">
        <f>TRUNC((A3729-C3741)/1000000)</f>
        <v>#REF!</v>
      </c>
      <c r="C3742" s="31" t="e">
        <f>B3742*1000000</f>
        <v>#REF!</v>
      </c>
      <c r="D3742" s="31" t="e">
        <f t="shared" si="360"/>
        <v>#REF!</v>
      </c>
      <c r="E3742" s="31" t="e">
        <f>IF(B3741+B3742=0,"",IF(B3742=1," Million "," Millions "))</f>
        <v>#REF!</v>
      </c>
      <c r="J3742" s="31">
        <v>11</v>
      </c>
      <c r="K3742" s="33" t="s">
        <v>73</v>
      </c>
      <c r="L3742" s="31" t="s">
        <v>74</v>
      </c>
    </row>
    <row r="3743" spans="1:12">
      <c r="A3743" s="31" t="s">
        <v>75</v>
      </c>
      <c r="B3743" s="39" t="e">
        <f>TRUNC((A3729-SUM(C3741:C3742))/100000)</f>
        <v>#REF!</v>
      </c>
      <c r="C3743" s="31" t="e">
        <f>B3743*100000</f>
        <v>#REF!</v>
      </c>
      <c r="D3743" s="31" t="e">
        <f t="shared" si="360"/>
        <v>#REF!</v>
      </c>
      <c r="E3743" s="31" t="e">
        <f>IF(B3743&lt;1,"",IF(B3743&gt;1," Hundreds "," Hundred "))</f>
        <v>#REF!</v>
      </c>
      <c r="J3743" s="31">
        <v>12</v>
      </c>
      <c r="K3743" s="33" t="s">
        <v>76</v>
      </c>
      <c r="L3743" s="31" t="str">
        <f t="shared" ref="L3743:L3750" si="361">L3733&amp;" Belas"</f>
        <v>Dua Belas</v>
      </c>
    </row>
    <row r="3744" spans="1:12">
      <c r="A3744" s="33" t="s">
        <v>77</v>
      </c>
      <c r="B3744" s="40" t="e">
        <f>TRUNC((A3729-SUM(C3741:C3743))/1000)</f>
        <v>#REF!</v>
      </c>
      <c r="C3744" s="31" t="e">
        <f>B3744*1000</f>
        <v>#REF!</v>
      </c>
      <c r="D3744" s="31" t="e">
        <f t="shared" si="360"/>
        <v>#REF!</v>
      </c>
      <c r="E3744" s="31" t="e">
        <f>IF(B3743+B3744=0,"",IF(B3744=1," Thousand "," Thousands "))</f>
        <v>#REF!</v>
      </c>
      <c r="J3744" s="31">
        <v>13</v>
      </c>
      <c r="K3744" s="33" t="s">
        <v>78</v>
      </c>
      <c r="L3744" s="31" t="str">
        <f t="shared" si="361"/>
        <v>Tiga Belas</v>
      </c>
    </row>
    <row r="3745" spans="1:12">
      <c r="A3745" s="33" t="s">
        <v>79</v>
      </c>
      <c r="B3745" s="40" t="e">
        <f>TRUNC((A3729-SUM(C3741:C3744))/100)</f>
        <v>#REF!</v>
      </c>
      <c r="C3745" s="31" t="e">
        <f>B3745*100</f>
        <v>#REF!</v>
      </c>
      <c r="D3745" s="31" t="e">
        <f t="shared" si="360"/>
        <v>#REF!</v>
      </c>
      <c r="E3745" s="31" t="e">
        <f>IF(B3745&lt;1,"",IF(B3745&gt;1," Hundreds "," Hundred "))</f>
        <v>#REF!</v>
      </c>
      <c r="J3745" s="31">
        <v>14</v>
      </c>
      <c r="K3745" s="33" t="s">
        <v>80</v>
      </c>
      <c r="L3745" s="31" t="str">
        <f t="shared" si="361"/>
        <v>Empat Belas</v>
      </c>
    </row>
    <row r="3746" spans="1:12">
      <c r="A3746" s="33" t="s">
        <v>81</v>
      </c>
      <c r="B3746" s="41" t="e">
        <f>TRUNC((A3729-SUM(C3741:C3745)))</f>
        <v>#REF!</v>
      </c>
      <c r="C3746" s="42" t="e">
        <f>B3746</f>
        <v>#REF!</v>
      </c>
      <c r="D3746" s="31" t="e">
        <f t="shared" si="360"/>
        <v>#REF!</v>
      </c>
      <c r="E3746" s="31" t="e">
        <f>IF(SUM(C3741:C3746)&lt;1,"",IF(B3747&lt;1,""," And "))</f>
        <v>#REF!</v>
      </c>
      <c r="J3746" s="31">
        <v>15</v>
      </c>
      <c r="K3746" s="33" t="s">
        <v>82</v>
      </c>
      <c r="L3746" s="31" t="str">
        <f t="shared" si="361"/>
        <v>Lima Belas</v>
      </c>
    </row>
    <row r="3747" spans="1:12">
      <c r="A3747" s="33" t="s">
        <v>83</v>
      </c>
      <c r="B3747" s="40" t="e">
        <f>ROUND(A3729-SUM(C3741:C3746),2)*100</f>
        <v>#REF!</v>
      </c>
      <c r="D3747" s="43" t="e">
        <f t="shared" si="360"/>
        <v>#REF!</v>
      </c>
      <c r="E3747" s="31" t="e">
        <f>IF(B3747&lt;1,"",IF(B3747=1," Cent "," Cents "))</f>
        <v>#REF!</v>
      </c>
      <c r="J3747" s="31">
        <v>16</v>
      </c>
      <c r="K3747" s="33" t="s">
        <v>84</v>
      </c>
      <c r="L3747" s="31" t="str">
        <f t="shared" si="361"/>
        <v>Enam Belas</v>
      </c>
    </row>
    <row r="3748" spans="1:12">
      <c r="J3748" s="31">
        <v>17</v>
      </c>
      <c r="K3748" s="33" t="s">
        <v>85</v>
      </c>
      <c r="L3748" s="31" t="str">
        <f t="shared" si="361"/>
        <v>Tujuh Belas</v>
      </c>
    </row>
    <row r="3749" spans="1:12">
      <c r="A3749" s="44"/>
      <c r="J3749" s="31">
        <v>18</v>
      </c>
      <c r="K3749" s="33" t="s">
        <v>86</v>
      </c>
      <c r="L3749" s="31" t="str">
        <f t="shared" si="361"/>
        <v>Delapan Belas</v>
      </c>
    </row>
    <row r="3750" spans="1:12">
      <c r="A3750" s="38" t="s">
        <v>87</v>
      </c>
      <c r="J3750" s="31">
        <v>19</v>
      </c>
      <c r="K3750" s="33" t="s">
        <v>88</v>
      </c>
      <c r="L3750" s="31" t="str">
        <f t="shared" si="361"/>
        <v>Sembilan Belas</v>
      </c>
    </row>
    <row r="3751" spans="1:12">
      <c r="A3751" s="31" t="s">
        <v>69</v>
      </c>
      <c r="B3751" s="39" t="e">
        <f>TRUNC(A3729/100000000)</f>
        <v>#REF!</v>
      </c>
      <c r="C3751" s="31" t="e">
        <f>B3751*100000000</f>
        <v>#REF!</v>
      </c>
      <c r="D3751" s="31" t="e">
        <f>IF(B3751&lt;1,"",IF(B3751=1,"",VLOOKUP(B3751,$J$3:$L$102,3)))</f>
        <v>#REF!</v>
      </c>
      <c r="E3751" s="31" t="e">
        <f>IF(B3751&lt;1,"",IF(B3751=1,"Seratus "," Ratus "))</f>
        <v>#REF!</v>
      </c>
      <c r="J3751" s="31">
        <v>20</v>
      </c>
      <c r="K3751" s="33" t="s">
        <v>89</v>
      </c>
      <c r="L3751" s="31" t="s">
        <v>90</v>
      </c>
    </row>
    <row r="3752" spans="1:12">
      <c r="A3752" s="31" t="s">
        <v>72</v>
      </c>
      <c r="B3752" s="39" t="e">
        <f>TRUNC((A3729-C3751)/1000000)</f>
        <v>#REF!</v>
      </c>
      <c r="C3752" s="31" t="e">
        <f>B3752*1000000</f>
        <v>#REF!</v>
      </c>
      <c r="D3752" s="31" t="e">
        <f>IF(B3752&lt;1,"",VLOOKUP(B3752,$J$3:$L$102,3))</f>
        <v>#REF!</v>
      </c>
      <c r="E3752" s="31" t="e">
        <f>IF(B3751+B3752=0,""," Juta ")</f>
        <v>#REF!</v>
      </c>
      <c r="J3752" s="31">
        <v>21</v>
      </c>
      <c r="K3752" s="33" t="s">
        <v>91</v>
      </c>
      <c r="L3752" s="31" t="str">
        <f t="shared" ref="L3752:L3760" si="362">$L$23&amp;" "&amp;L3732</f>
        <v>Dua Puluh Satu</v>
      </c>
    </row>
    <row r="3753" spans="1:12">
      <c r="A3753" s="31" t="s">
        <v>75</v>
      </c>
      <c r="B3753" s="39" t="e">
        <f>TRUNC((A3729-SUM(C3751:C3752))/100000)</f>
        <v>#REF!</v>
      </c>
      <c r="C3753" s="31" t="e">
        <f>B3753*100000</f>
        <v>#REF!</v>
      </c>
      <c r="D3753" s="31" t="e">
        <f>IF(B3753&lt;1,"",IF(B3753=1,"",VLOOKUP(B3753,$J$3:$L$102,3)))</f>
        <v>#REF!</v>
      </c>
      <c r="E3753" s="31" t="e">
        <f>IF(B3753&lt;1,"",IF(B3753=1," Seratus "," Ratus "))</f>
        <v>#REF!</v>
      </c>
      <c r="J3753" s="31">
        <v>22</v>
      </c>
      <c r="K3753" s="33" t="s">
        <v>92</v>
      </c>
      <c r="L3753" s="31" t="str">
        <f t="shared" si="362"/>
        <v>Dua Puluh Dua</v>
      </c>
    </row>
    <row r="3754" spans="1:12">
      <c r="A3754" s="33" t="s">
        <v>77</v>
      </c>
      <c r="B3754" s="40" t="e">
        <f>TRUNC((A3729-SUM(C3751:C3753))/1000)</f>
        <v>#REF!</v>
      </c>
      <c r="C3754" s="31" t="e">
        <f>B3754*1000</f>
        <v>#REF!</v>
      </c>
      <c r="D3754" s="31" t="e">
        <f>IF(B3754&lt;1,"",IF(B3754=1,"",VLOOKUP(B3754,$J$3:$L$102,3)))</f>
        <v>#REF!</v>
      </c>
      <c r="E3754" s="31" t="e">
        <f>IF(B3753+B3754&lt;1,"",IF(B3754=1," Seribu "," Ribu "))</f>
        <v>#REF!</v>
      </c>
      <c r="J3754" s="31">
        <v>23</v>
      </c>
      <c r="K3754" s="33" t="s">
        <v>93</v>
      </c>
      <c r="L3754" s="31" t="str">
        <f t="shared" si="362"/>
        <v>Dua Puluh Tiga</v>
      </c>
    </row>
    <row r="3755" spans="1:12">
      <c r="A3755" s="33" t="s">
        <v>79</v>
      </c>
      <c r="B3755" s="40" t="e">
        <f>TRUNC((A3729-SUM(C3751:C3754))/100)</f>
        <v>#REF!</v>
      </c>
      <c r="C3755" s="31" t="e">
        <f>B3755*100</f>
        <v>#REF!</v>
      </c>
      <c r="D3755" s="31" t="e">
        <f>IF(B3755&lt;1,"",IF(B3755=1,"",VLOOKUP(B3755,$J$3:$L$102,3)))</f>
        <v>#REF!</v>
      </c>
      <c r="E3755" s="31" t="e">
        <f>IF(B3755&lt;1,"",IF(B3755=1," Seratus "," Ratus "))</f>
        <v>#REF!</v>
      </c>
      <c r="J3755" s="31">
        <v>24</v>
      </c>
      <c r="K3755" s="33" t="s">
        <v>94</v>
      </c>
      <c r="L3755" s="31" t="str">
        <f t="shared" si="362"/>
        <v>Dua Puluh Empat</v>
      </c>
    </row>
    <row r="3756" spans="1:12">
      <c r="A3756" s="33" t="s">
        <v>81</v>
      </c>
      <c r="B3756" s="41" t="e">
        <f>TRUNC((A3729-SUM(C3751:C3755)))</f>
        <v>#REF!</v>
      </c>
      <c r="C3756" s="42" t="e">
        <f>B3756</f>
        <v>#REF!</v>
      </c>
      <c r="D3756" s="31" t="e">
        <f>IF(B3756&lt;1,"",VLOOKUP(B3756,$J$3:$L$102,3))</f>
        <v>#REF!</v>
      </c>
      <c r="E3756" s="31" t="e">
        <f>IF(SUM(C3751:C3756)&lt;1,"",IF(B3757&lt;1,""," Dan "))</f>
        <v>#REF!</v>
      </c>
      <c r="J3756" s="31">
        <v>25</v>
      </c>
      <c r="K3756" s="33" t="s">
        <v>95</v>
      </c>
      <c r="L3756" s="31" t="str">
        <f t="shared" si="362"/>
        <v>Dua Puluh Lima</v>
      </c>
    </row>
    <row r="3757" spans="1:12">
      <c r="A3757" s="33" t="s">
        <v>83</v>
      </c>
      <c r="B3757" s="40" t="e">
        <f>ROUND(A3729-SUM(C3751:C3756),2)*100</f>
        <v>#REF!</v>
      </c>
      <c r="D3757" s="31" t="e">
        <f>IF(B3757&lt;1,"",VLOOKUP(B3757,$J$3:$L$102,3))</f>
        <v>#REF!</v>
      </c>
      <c r="E3757" s="31" t="e">
        <f>IF(B3757&lt;1,""," Sen ")</f>
        <v>#REF!</v>
      </c>
      <c r="J3757" s="31">
        <v>26</v>
      </c>
      <c r="K3757" s="33" t="s">
        <v>96</v>
      </c>
      <c r="L3757" s="31" t="str">
        <f t="shared" si="362"/>
        <v>Dua Puluh Enam</v>
      </c>
    </row>
    <row r="3758" spans="1:12">
      <c r="J3758" s="31">
        <v>27</v>
      </c>
      <c r="K3758" s="33" t="s">
        <v>97</v>
      </c>
      <c r="L3758" s="31" t="str">
        <f t="shared" si="362"/>
        <v>Dua Puluh Tujuh</v>
      </c>
    </row>
    <row r="3759" spans="1:12">
      <c r="J3759" s="31">
        <v>28</v>
      </c>
      <c r="K3759" s="33" t="s">
        <v>98</v>
      </c>
      <c r="L3759" s="31" t="str">
        <f t="shared" si="362"/>
        <v>Dua Puluh Delapan</v>
      </c>
    </row>
    <row r="3760" spans="1:12">
      <c r="J3760" s="31">
        <v>29</v>
      </c>
      <c r="K3760" s="33" t="s">
        <v>99</v>
      </c>
      <c r="L3760" s="31" t="str">
        <f t="shared" si="362"/>
        <v>Dua Puluh Sembilan</v>
      </c>
    </row>
    <row r="3761" spans="1:12">
      <c r="J3761" s="31">
        <v>30</v>
      </c>
      <c r="K3761" s="33" t="s">
        <v>100</v>
      </c>
      <c r="L3761" s="31" t="s">
        <v>101</v>
      </c>
    </row>
    <row r="3762" spans="1:12">
      <c r="J3762" s="31">
        <v>31</v>
      </c>
      <c r="K3762" s="33" t="s">
        <v>102</v>
      </c>
      <c r="L3762" s="31" t="str">
        <f t="shared" ref="L3762:L3770" si="363">$L$33&amp;" "&amp;L3732</f>
        <v>Tiga Puluh Satu</v>
      </c>
    </row>
    <row r="3763" spans="1:12">
      <c r="J3763" s="31">
        <v>32</v>
      </c>
      <c r="K3763" s="33" t="s">
        <v>103</v>
      </c>
      <c r="L3763" s="31" t="str">
        <f t="shared" si="363"/>
        <v>Tiga Puluh Dua</v>
      </c>
    </row>
    <row r="3764" spans="1:12">
      <c r="J3764" s="31">
        <v>33</v>
      </c>
      <c r="K3764" s="33" t="s">
        <v>104</v>
      </c>
      <c r="L3764" s="31" t="str">
        <f t="shared" si="363"/>
        <v>Tiga Puluh Tiga</v>
      </c>
    </row>
    <row r="3765" spans="1:12">
      <c r="J3765" s="31">
        <v>34</v>
      </c>
      <c r="K3765" s="33" t="s">
        <v>105</v>
      </c>
      <c r="L3765" s="31" t="str">
        <f t="shared" si="363"/>
        <v>Tiga Puluh Empat</v>
      </c>
    </row>
    <row r="3766" spans="1:12">
      <c r="J3766" s="31">
        <v>35</v>
      </c>
      <c r="K3766" s="33" t="s">
        <v>106</v>
      </c>
      <c r="L3766" s="31" t="str">
        <f t="shared" si="363"/>
        <v>Tiga Puluh Lima</v>
      </c>
    </row>
    <row r="3767" spans="1:12">
      <c r="J3767" s="31">
        <v>36</v>
      </c>
      <c r="K3767" s="33" t="s">
        <v>107</v>
      </c>
      <c r="L3767" s="31" t="str">
        <f t="shared" si="363"/>
        <v>Tiga Puluh Enam</v>
      </c>
    </row>
    <row r="3768" spans="1:12">
      <c r="J3768" s="31">
        <v>37</v>
      </c>
      <c r="K3768" s="33" t="s">
        <v>108</v>
      </c>
      <c r="L3768" s="31" t="str">
        <f t="shared" si="363"/>
        <v>Tiga Puluh Tujuh</v>
      </c>
    </row>
    <row r="3769" spans="1:12">
      <c r="J3769" s="31">
        <v>38</v>
      </c>
      <c r="K3769" s="33" t="s">
        <v>109</v>
      </c>
      <c r="L3769" s="31" t="str">
        <f t="shared" si="363"/>
        <v>Tiga Puluh Delapan</v>
      </c>
    </row>
    <row r="3770" spans="1:12">
      <c r="J3770" s="31">
        <v>39</v>
      </c>
      <c r="K3770" s="33" t="s">
        <v>110</v>
      </c>
      <c r="L3770" s="31" t="str">
        <f t="shared" si="363"/>
        <v>Tiga Puluh Sembilan</v>
      </c>
    </row>
    <row r="3771" spans="1:12">
      <c r="B3771" s="35"/>
      <c r="C3771" s="35"/>
      <c r="D3771" s="35"/>
      <c r="J3771" s="31">
        <v>40</v>
      </c>
      <c r="K3771" s="33" t="s">
        <v>111</v>
      </c>
      <c r="L3771" s="31" t="s">
        <v>112</v>
      </c>
    </row>
    <row r="3772" spans="1:12">
      <c r="A3772" s="35"/>
      <c r="B3772" s="35"/>
      <c r="C3772" s="35"/>
      <c r="D3772" s="35"/>
      <c r="J3772" s="31">
        <v>41</v>
      </c>
      <c r="K3772" s="33" t="s">
        <v>113</v>
      </c>
      <c r="L3772" s="31" t="str">
        <f t="shared" ref="L3772:L3780" si="364">$L$43&amp;" "&amp;L3732</f>
        <v>Empat Puluh Satu</v>
      </c>
    </row>
    <row r="3773" spans="1:12">
      <c r="J3773" s="31">
        <v>42</v>
      </c>
      <c r="K3773" s="33" t="s">
        <v>114</v>
      </c>
      <c r="L3773" s="31" t="str">
        <f t="shared" si="364"/>
        <v>Empat Puluh Dua</v>
      </c>
    </row>
    <row r="3774" spans="1:12">
      <c r="A3774" s="38"/>
      <c r="J3774" s="31">
        <v>43</v>
      </c>
      <c r="K3774" s="33" t="s">
        <v>115</v>
      </c>
      <c r="L3774" s="31" t="str">
        <f t="shared" si="364"/>
        <v>Empat Puluh Tiga</v>
      </c>
    </row>
    <row r="3775" spans="1:12">
      <c r="J3775" s="31">
        <v>44</v>
      </c>
      <c r="K3775" s="33" t="s">
        <v>116</v>
      </c>
      <c r="L3775" s="31" t="str">
        <f t="shared" si="364"/>
        <v>Empat Puluh Empat</v>
      </c>
    </row>
    <row r="3776" spans="1:12">
      <c r="J3776" s="31">
        <v>45</v>
      </c>
      <c r="K3776" s="33" t="s">
        <v>117</v>
      </c>
      <c r="L3776" s="31" t="str">
        <f t="shared" si="364"/>
        <v>Empat Puluh Lima</v>
      </c>
    </row>
    <row r="3777" spans="10:12">
      <c r="J3777" s="31">
        <v>46</v>
      </c>
      <c r="K3777" s="33" t="s">
        <v>118</v>
      </c>
      <c r="L3777" s="31" t="str">
        <f t="shared" si="364"/>
        <v>Empat Puluh Enam</v>
      </c>
    </row>
    <row r="3778" spans="10:12">
      <c r="J3778" s="31">
        <v>47</v>
      </c>
      <c r="K3778" s="33" t="s">
        <v>119</v>
      </c>
      <c r="L3778" s="31" t="str">
        <f t="shared" si="364"/>
        <v>Empat Puluh Tujuh</v>
      </c>
    </row>
    <row r="3779" spans="10:12">
      <c r="J3779" s="31">
        <v>48</v>
      </c>
      <c r="K3779" s="33" t="s">
        <v>120</v>
      </c>
      <c r="L3779" s="31" t="str">
        <f t="shared" si="364"/>
        <v>Empat Puluh Delapan</v>
      </c>
    </row>
    <row r="3780" spans="10:12">
      <c r="J3780" s="31">
        <v>49</v>
      </c>
      <c r="K3780" s="33" t="s">
        <v>121</v>
      </c>
      <c r="L3780" s="31" t="str">
        <f t="shared" si="364"/>
        <v>Empat Puluh Sembilan</v>
      </c>
    </row>
    <row r="3781" spans="10:12">
      <c r="J3781" s="31">
        <v>50</v>
      </c>
      <c r="K3781" s="33" t="s">
        <v>122</v>
      </c>
      <c r="L3781" s="31" t="s">
        <v>123</v>
      </c>
    </row>
    <row r="3782" spans="10:12">
      <c r="J3782" s="31">
        <v>51</v>
      </c>
      <c r="K3782" s="33" t="s">
        <v>124</v>
      </c>
      <c r="L3782" s="31" t="str">
        <f t="shared" ref="L3782:L3790" si="365">$L$53&amp;" "&amp;L3732</f>
        <v>Lima Puluh Satu</v>
      </c>
    </row>
    <row r="3783" spans="10:12">
      <c r="J3783" s="31">
        <v>52</v>
      </c>
      <c r="K3783" s="33" t="s">
        <v>125</v>
      </c>
      <c r="L3783" s="31" t="str">
        <f t="shared" si="365"/>
        <v>Lima Puluh Dua</v>
      </c>
    </row>
    <row r="3784" spans="10:12">
      <c r="J3784" s="31">
        <v>53</v>
      </c>
      <c r="K3784" s="33" t="s">
        <v>126</v>
      </c>
      <c r="L3784" s="31" t="str">
        <f t="shared" si="365"/>
        <v>Lima Puluh Tiga</v>
      </c>
    </row>
    <row r="3785" spans="10:12">
      <c r="J3785" s="31">
        <v>54</v>
      </c>
      <c r="K3785" s="33" t="s">
        <v>127</v>
      </c>
      <c r="L3785" s="31" t="str">
        <f t="shared" si="365"/>
        <v>Lima Puluh Empat</v>
      </c>
    </row>
    <row r="3786" spans="10:12">
      <c r="J3786" s="31">
        <v>55</v>
      </c>
      <c r="K3786" s="33" t="s">
        <v>128</v>
      </c>
      <c r="L3786" s="31" t="str">
        <f t="shared" si="365"/>
        <v>Lima Puluh Lima</v>
      </c>
    </row>
    <row r="3787" spans="10:12">
      <c r="J3787" s="31">
        <v>56</v>
      </c>
      <c r="K3787" s="33" t="s">
        <v>129</v>
      </c>
      <c r="L3787" s="31" t="str">
        <f t="shared" si="365"/>
        <v>Lima Puluh Enam</v>
      </c>
    </row>
    <row r="3788" spans="10:12">
      <c r="J3788" s="31">
        <v>57</v>
      </c>
      <c r="K3788" s="33" t="s">
        <v>130</v>
      </c>
      <c r="L3788" s="31" t="str">
        <f t="shared" si="365"/>
        <v>Lima Puluh Tujuh</v>
      </c>
    </row>
    <row r="3789" spans="10:12">
      <c r="J3789" s="31">
        <v>58</v>
      </c>
      <c r="K3789" s="33" t="s">
        <v>131</v>
      </c>
      <c r="L3789" s="31" t="str">
        <f t="shared" si="365"/>
        <v>Lima Puluh Delapan</v>
      </c>
    </row>
    <row r="3790" spans="10:12">
      <c r="J3790" s="31">
        <v>59</v>
      </c>
      <c r="K3790" s="33" t="s">
        <v>132</v>
      </c>
      <c r="L3790" s="31" t="str">
        <f t="shared" si="365"/>
        <v>Lima Puluh Sembilan</v>
      </c>
    </row>
    <row r="3791" spans="10:12">
      <c r="J3791" s="31">
        <v>60</v>
      </c>
      <c r="K3791" s="33" t="s">
        <v>133</v>
      </c>
      <c r="L3791" s="31" t="s">
        <v>134</v>
      </c>
    </row>
    <row r="3792" spans="10:12">
      <c r="J3792" s="31">
        <v>61</v>
      </c>
      <c r="K3792" s="33" t="s">
        <v>135</v>
      </c>
      <c r="L3792" s="31" t="str">
        <f t="shared" ref="L3792:L3800" si="366">$L$63&amp;" "&amp;L3732</f>
        <v>Enam Puluh Satu</v>
      </c>
    </row>
    <row r="3793" spans="10:12">
      <c r="J3793" s="31">
        <v>62</v>
      </c>
      <c r="K3793" s="33" t="s">
        <v>136</v>
      </c>
      <c r="L3793" s="31" t="str">
        <f t="shared" si="366"/>
        <v>Enam Puluh Dua</v>
      </c>
    </row>
    <row r="3794" spans="10:12">
      <c r="J3794" s="31">
        <v>63</v>
      </c>
      <c r="K3794" s="33" t="s">
        <v>137</v>
      </c>
      <c r="L3794" s="31" t="str">
        <f t="shared" si="366"/>
        <v>Enam Puluh Tiga</v>
      </c>
    </row>
    <row r="3795" spans="10:12">
      <c r="J3795" s="31">
        <v>64</v>
      </c>
      <c r="K3795" s="33" t="s">
        <v>138</v>
      </c>
      <c r="L3795" s="31" t="str">
        <f t="shared" si="366"/>
        <v>Enam Puluh Empat</v>
      </c>
    </row>
    <row r="3796" spans="10:12">
      <c r="J3796" s="31">
        <v>65</v>
      </c>
      <c r="K3796" s="33" t="s">
        <v>139</v>
      </c>
      <c r="L3796" s="31" t="str">
        <f t="shared" si="366"/>
        <v>Enam Puluh Lima</v>
      </c>
    </row>
    <row r="3797" spans="10:12">
      <c r="J3797" s="31">
        <v>66</v>
      </c>
      <c r="K3797" s="33" t="s">
        <v>140</v>
      </c>
      <c r="L3797" s="31" t="str">
        <f t="shared" si="366"/>
        <v>Enam Puluh Enam</v>
      </c>
    </row>
    <row r="3798" spans="10:12">
      <c r="J3798" s="31">
        <v>67</v>
      </c>
      <c r="K3798" s="33" t="s">
        <v>141</v>
      </c>
      <c r="L3798" s="31" t="str">
        <f t="shared" si="366"/>
        <v>Enam Puluh Tujuh</v>
      </c>
    </row>
    <row r="3799" spans="10:12">
      <c r="J3799" s="31">
        <v>68</v>
      </c>
      <c r="K3799" s="33" t="s">
        <v>142</v>
      </c>
      <c r="L3799" s="31" t="str">
        <f t="shared" si="366"/>
        <v>Enam Puluh Delapan</v>
      </c>
    </row>
    <row r="3800" spans="10:12">
      <c r="J3800" s="31">
        <v>69</v>
      </c>
      <c r="K3800" s="33" t="s">
        <v>143</v>
      </c>
      <c r="L3800" s="31" t="str">
        <f t="shared" si="366"/>
        <v>Enam Puluh Sembilan</v>
      </c>
    </row>
    <row r="3801" spans="10:12">
      <c r="J3801" s="31">
        <v>70</v>
      </c>
      <c r="K3801" s="33" t="s">
        <v>144</v>
      </c>
      <c r="L3801" s="31" t="s">
        <v>145</v>
      </c>
    </row>
    <row r="3802" spans="10:12">
      <c r="J3802" s="31">
        <v>71</v>
      </c>
      <c r="K3802" s="33" t="s">
        <v>146</v>
      </c>
      <c r="L3802" s="31" t="str">
        <f t="shared" ref="L3802:L3810" si="367">$L$73&amp;" "&amp;L3732</f>
        <v>Tujuh Puluh Satu</v>
      </c>
    </row>
    <row r="3803" spans="10:12">
      <c r="J3803" s="31">
        <v>72</v>
      </c>
      <c r="K3803" s="33" t="s">
        <v>147</v>
      </c>
      <c r="L3803" s="31" t="str">
        <f t="shared" si="367"/>
        <v>Tujuh Puluh Dua</v>
      </c>
    </row>
    <row r="3804" spans="10:12">
      <c r="J3804" s="31">
        <v>73</v>
      </c>
      <c r="K3804" s="33" t="s">
        <v>148</v>
      </c>
      <c r="L3804" s="31" t="str">
        <f t="shared" si="367"/>
        <v>Tujuh Puluh Tiga</v>
      </c>
    </row>
    <row r="3805" spans="10:12">
      <c r="J3805" s="31">
        <v>74</v>
      </c>
      <c r="K3805" s="33" t="s">
        <v>149</v>
      </c>
      <c r="L3805" s="31" t="str">
        <f t="shared" si="367"/>
        <v>Tujuh Puluh Empat</v>
      </c>
    </row>
    <row r="3806" spans="10:12">
      <c r="J3806" s="31">
        <v>75</v>
      </c>
      <c r="K3806" s="33" t="s">
        <v>150</v>
      </c>
      <c r="L3806" s="31" t="str">
        <f t="shared" si="367"/>
        <v>Tujuh Puluh Lima</v>
      </c>
    </row>
    <row r="3807" spans="10:12">
      <c r="J3807" s="31">
        <v>76</v>
      </c>
      <c r="K3807" s="33" t="s">
        <v>151</v>
      </c>
      <c r="L3807" s="31" t="str">
        <f t="shared" si="367"/>
        <v>Tujuh Puluh Enam</v>
      </c>
    </row>
    <row r="3808" spans="10:12">
      <c r="J3808" s="31">
        <v>77</v>
      </c>
      <c r="K3808" s="33" t="s">
        <v>152</v>
      </c>
      <c r="L3808" s="31" t="str">
        <f t="shared" si="367"/>
        <v>Tujuh Puluh Tujuh</v>
      </c>
    </row>
    <row r="3809" spans="10:12">
      <c r="J3809" s="31">
        <v>78</v>
      </c>
      <c r="K3809" s="33" t="s">
        <v>153</v>
      </c>
      <c r="L3809" s="31" t="str">
        <f t="shared" si="367"/>
        <v>Tujuh Puluh Delapan</v>
      </c>
    </row>
    <row r="3810" spans="10:12">
      <c r="J3810" s="31">
        <v>79</v>
      </c>
      <c r="K3810" s="33" t="s">
        <v>154</v>
      </c>
      <c r="L3810" s="31" t="str">
        <f t="shared" si="367"/>
        <v>Tujuh Puluh Sembilan</v>
      </c>
    </row>
    <row r="3811" spans="10:12">
      <c r="J3811" s="31">
        <v>80</v>
      </c>
      <c r="K3811" s="33" t="s">
        <v>155</v>
      </c>
      <c r="L3811" s="31" t="s">
        <v>156</v>
      </c>
    </row>
    <row r="3812" spans="10:12">
      <c r="J3812" s="31">
        <v>81</v>
      </c>
      <c r="K3812" s="33" t="s">
        <v>157</v>
      </c>
      <c r="L3812" s="31" t="str">
        <f t="shared" ref="L3812:L3820" si="368">$L$83&amp;" "&amp;L3732</f>
        <v>Delapan Puluh Satu</v>
      </c>
    </row>
    <row r="3813" spans="10:12">
      <c r="J3813" s="31">
        <v>82</v>
      </c>
      <c r="K3813" s="33" t="s">
        <v>158</v>
      </c>
      <c r="L3813" s="31" t="str">
        <f t="shared" si="368"/>
        <v>Delapan Puluh Dua</v>
      </c>
    </row>
    <row r="3814" spans="10:12">
      <c r="J3814" s="31">
        <v>83</v>
      </c>
      <c r="K3814" s="33" t="s">
        <v>159</v>
      </c>
      <c r="L3814" s="31" t="str">
        <f t="shared" si="368"/>
        <v>Delapan Puluh Tiga</v>
      </c>
    </row>
    <row r="3815" spans="10:12">
      <c r="J3815" s="31">
        <v>84</v>
      </c>
      <c r="K3815" s="33" t="s">
        <v>160</v>
      </c>
      <c r="L3815" s="31" t="str">
        <f t="shared" si="368"/>
        <v>Delapan Puluh Empat</v>
      </c>
    </row>
    <row r="3816" spans="10:12">
      <c r="J3816" s="31">
        <v>85</v>
      </c>
      <c r="K3816" s="33" t="s">
        <v>161</v>
      </c>
      <c r="L3816" s="31" t="str">
        <f t="shared" si="368"/>
        <v>Delapan Puluh Lima</v>
      </c>
    </row>
    <row r="3817" spans="10:12">
      <c r="J3817" s="31">
        <v>86</v>
      </c>
      <c r="K3817" s="33" t="s">
        <v>162</v>
      </c>
      <c r="L3817" s="31" t="str">
        <f t="shared" si="368"/>
        <v>Delapan Puluh Enam</v>
      </c>
    </row>
    <row r="3818" spans="10:12">
      <c r="J3818" s="31">
        <v>87</v>
      </c>
      <c r="K3818" s="33" t="s">
        <v>163</v>
      </c>
      <c r="L3818" s="31" t="str">
        <f t="shared" si="368"/>
        <v>Delapan Puluh Tujuh</v>
      </c>
    </row>
    <row r="3819" spans="10:12">
      <c r="J3819" s="31">
        <v>88</v>
      </c>
      <c r="K3819" s="33" t="s">
        <v>164</v>
      </c>
      <c r="L3819" s="31" t="str">
        <f t="shared" si="368"/>
        <v>Delapan Puluh Delapan</v>
      </c>
    </row>
    <row r="3820" spans="10:12">
      <c r="J3820" s="31">
        <v>89</v>
      </c>
      <c r="K3820" s="33" t="s">
        <v>165</v>
      </c>
      <c r="L3820" s="31" t="str">
        <f t="shared" si="368"/>
        <v>Delapan Puluh Sembilan</v>
      </c>
    </row>
    <row r="3821" spans="10:12">
      <c r="J3821" s="31">
        <v>90</v>
      </c>
      <c r="K3821" s="33" t="s">
        <v>166</v>
      </c>
      <c r="L3821" s="31" t="s">
        <v>167</v>
      </c>
    </row>
    <row r="3822" spans="10:12">
      <c r="J3822" s="31">
        <v>91</v>
      </c>
      <c r="K3822" s="33" t="s">
        <v>168</v>
      </c>
      <c r="L3822" s="31" t="str">
        <f t="shared" ref="L3822:L3830" si="369">$L$93&amp;" "&amp;L3732</f>
        <v>Sembilan Puluh Satu</v>
      </c>
    </row>
    <row r="3823" spans="10:12">
      <c r="J3823" s="31">
        <v>92</v>
      </c>
      <c r="K3823" s="33" t="s">
        <v>169</v>
      </c>
      <c r="L3823" s="31" t="str">
        <f t="shared" si="369"/>
        <v>Sembilan Puluh Dua</v>
      </c>
    </row>
    <row r="3824" spans="10:12">
      <c r="J3824" s="31">
        <v>93</v>
      </c>
      <c r="K3824" s="33" t="s">
        <v>170</v>
      </c>
      <c r="L3824" s="31" t="str">
        <f t="shared" si="369"/>
        <v>Sembilan Puluh Tiga</v>
      </c>
    </row>
    <row r="3825" spans="1:12">
      <c r="J3825" s="31">
        <v>94</v>
      </c>
      <c r="K3825" s="33" t="s">
        <v>171</v>
      </c>
      <c r="L3825" s="31" t="str">
        <f t="shared" si="369"/>
        <v>Sembilan Puluh Empat</v>
      </c>
    </row>
    <row r="3826" spans="1:12">
      <c r="J3826" s="31">
        <v>95</v>
      </c>
      <c r="K3826" s="33" t="s">
        <v>172</v>
      </c>
      <c r="L3826" s="31" t="str">
        <f t="shared" si="369"/>
        <v>Sembilan Puluh Lima</v>
      </c>
    </row>
    <row r="3827" spans="1:12">
      <c r="J3827" s="31">
        <v>96</v>
      </c>
      <c r="K3827" s="33" t="s">
        <v>173</v>
      </c>
      <c r="L3827" s="31" t="str">
        <f t="shared" si="369"/>
        <v>Sembilan Puluh Enam</v>
      </c>
    </row>
    <row r="3828" spans="1:12">
      <c r="J3828" s="31">
        <v>97</v>
      </c>
      <c r="K3828" s="33" t="s">
        <v>174</v>
      </c>
      <c r="L3828" s="31" t="str">
        <f t="shared" si="369"/>
        <v>Sembilan Puluh Tujuh</v>
      </c>
    </row>
    <row r="3829" spans="1:12">
      <c r="J3829" s="31">
        <v>98</v>
      </c>
      <c r="K3829" s="33" t="s">
        <v>175</v>
      </c>
      <c r="L3829" s="31" t="str">
        <f t="shared" si="369"/>
        <v>Sembilan Puluh Delapan</v>
      </c>
    </row>
    <row r="3830" spans="1:12">
      <c r="J3830" s="31">
        <v>99</v>
      </c>
      <c r="K3830" s="33" t="s">
        <v>176</v>
      </c>
      <c r="L3830" s="31" t="str">
        <f t="shared" si="369"/>
        <v>Sembilan Puluh Sembilan</v>
      </c>
    </row>
    <row r="3834" spans="1:12">
      <c r="A3834" s="30" t="e">
        <f>#REF!</f>
        <v>#REF!</v>
      </c>
      <c r="C3834" s="31" t="s">
        <v>220</v>
      </c>
    </row>
    <row r="3835" spans="1:12">
      <c r="A3835" s="32"/>
    </row>
    <row r="3836" spans="1:12">
      <c r="J3836" s="31">
        <v>0</v>
      </c>
      <c r="K3836" s="33" t="s">
        <v>48</v>
      </c>
      <c r="L3836" s="31" t="s">
        <v>49</v>
      </c>
    </row>
    <row r="3837" spans="1:12">
      <c r="A3837" s="34"/>
      <c r="J3837" s="31">
        <v>1</v>
      </c>
      <c r="K3837" s="33" t="s">
        <v>50</v>
      </c>
      <c r="L3837" s="31" t="s">
        <v>51</v>
      </c>
    </row>
    <row r="3838" spans="1:12">
      <c r="A3838" s="255" t="e">
        <f>TRIM(D3846&amp;E3846&amp;D3847&amp;E3847&amp;D3848&amp;E3848&amp;D3849&amp;E3849&amp;D3850&amp;E3850&amp;D3851&amp;E3851&amp;E3852&amp;D3852&amp;" Only")</f>
        <v>#REF!</v>
      </c>
      <c r="B3838" s="255"/>
      <c r="C3838" s="255"/>
      <c r="D3838" s="255"/>
      <c r="E3838" s="35"/>
      <c r="F3838" s="36"/>
      <c r="J3838" s="31">
        <v>2</v>
      </c>
      <c r="K3838" s="33" t="s">
        <v>52</v>
      </c>
      <c r="L3838" s="31" t="s">
        <v>53</v>
      </c>
    </row>
    <row r="3839" spans="1:12">
      <c r="A3839" s="37"/>
      <c r="B3839" s="37"/>
      <c r="C3839" s="37"/>
      <c r="D3839" s="37"/>
      <c r="E3839" s="35"/>
      <c r="F3839" s="36"/>
      <c r="J3839" s="31">
        <v>3</v>
      </c>
      <c r="K3839" s="33" t="s">
        <v>54</v>
      </c>
      <c r="L3839" s="31" t="s">
        <v>55</v>
      </c>
    </row>
    <row r="3840" spans="1:12">
      <c r="A3840" s="37"/>
      <c r="B3840" s="37"/>
      <c r="C3840" s="37"/>
      <c r="D3840" s="37"/>
      <c r="J3840" s="31">
        <v>4</v>
      </c>
      <c r="K3840" s="33" t="s">
        <v>56</v>
      </c>
      <c r="L3840" s="31" t="s">
        <v>57</v>
      </c>
    </row>
    <row r="3841" spans="1:12">
      <c r="A3841" s="255" t="e">
        <f>TRIM(D3856&amp;E3856&amp;D3857&amp;E3857&amp;D3858&amp;E3858&amp;D3859&amp;E3859&amp;D3860&amp;E3860&amp;D3861&amp;E3861&amp;D3862&amp;E3862&amp;" Rupiah")</f>
        <v>#REF!</v>
      </c>
      <c r="B3841" s="255"/>
      <c r="C3841" s="255"/>
      <c r="D3841" s="255"/>
      <c r="E3841" s="35"/>
      <c r="F3841" s="36"/>
      <c r="J3841" s="31">
        <v>5</v>
      </c>
      <c r="K3841" s="33" t="s">
        <v>58</v>
      </c>
      <c r="L3841" s="31" t="s">
        <v>59</v>
      </c>
    </row>
    <row r="3842" spans="1:12">
      <c r="A3842" s="35"/>
      <c r="B3842" s="35"/>
      <c r="C3842" s="35"/>
      <c r="D3842" s="35"/>
      <c r="E3842" s="35"/>
      <c r="F3842" s="36"/>
      <c r="J3842" s="31">
        <v>6</v>
      </c>
      <c r="K3842" s="33" t="s">
        <v>60</v>
      </c>
      <c r="L3842" s="31" t="s">
        <v>61</v>
      </c>
    </row>
    <row r="3843" spans="1:12">
      <c r="J3843" s="31">
        <v>7</v>
      </c>
      <c r="K3843" s="33" t="s">
        <v>62</v>
      </c>
      <c r="L3843" s="31" t="s">
        <v>63</v>
      </c>
    </row>
    <row r="3844" spans="1:12">
      <c r="J3844" s="31">
        <v>8</v>
      </c>
      <c r="K3844" s="33" t="s">
        <v>64</v>
      </c>
      <c r="L3844" s="31" t="s">
        <v>65</v>
      </c>
    </row>
    <row r="3845" spans="1:12">
      <c r="A3845" s="38" t="s">
        <v>66</v>
      </c>
      <c r="J3845" s="31">
        <v>9</v>
      </c>
      <c r="K3845" s="33" t="s">
        <v>67</v>
      </c>
      <c r="L3845" s="31" t="s">
        <v>68</v>
      </c>
    </row>
    <row r="3846" spans="1:12">
      <c r="A3846" s="31" t="s">
        <v>69</v>
      </c>
      <c r="B3846" s="39" t="e">
        <f>TRUNC(A3834/100000000)</f>
        <v>#REF!</v>
      </c>
      <c r="C3846" s="31" t="e">
        <f>B3846*100000000</f>
        <v>#REF!</v>
      </c>
      <c r="D3846" s="31" t="e">
        <f t="shared" ref="D3846:D3852" si="370">IF(B3846&lt;1,"",VLOOKUP(B3846,$J$3:$K$102,2))</f>
        <v>#REF!</v>
      </c>
      <c r="E3846" s="31" t="e">
        <f>IF(B3846&lt;1,"",IF(B3846&gt;1," Hundreds "," Hundred "))</f>
        <v>#REF!</v>
      </c>
      <c r="J3846" s="31">
        <v>10</v>
      </c>
      <c r="K3846" s="33" t="s">
        <v>70</v>
      </c>
      <c r="L3846" s="31" t="s">
        <v>71</v>
      </c>
    </row>
    <row r="3847" spans="1:12">
      <c r="A3847" s="31" t="s">
        <v>72</v>
      </c>
      <c r="B3847" s="39" t="e">
        <f>TRUNC((A3834-C3846)/1000000)</f>
        <v>#REF!</v>
      </c>
      <c r="C3847" s="31" t="e">
        <f>B3847*1000000</f>
        <v>#REF!</v>
      </c>
      <c r="D3847" s="31" t="e">
        <f t="shared" si="370"/>
        <v>#REF!</v>
      </c>
      <c r="E3847" s="31" t="e">
        <f>IF(B3846+B3847=0,"",IF(B3847=1," Million "," Millions "))</f>
        <v>#REF!</v>
      </c>
      <c r="J3847" s="31">
        <v>11</v>
      </c>
      <c r="K3847" s="33" t="s">
        <v>73</v>
      </c>
      <c r="L3847" s="31" t="s">
        <v>74</v>
      </c>
    </row>
    <row r="3848" spans="1:12">
      <c r="A3848" s="31" t="s">
        <v>75</v>
      </c>
      <c r="B3848" s="39" t="e">
        <f>TRUNC((A3834-SUM(C3846:C3847))/100000)</f>
        <v>#REF!</v>
      </c>
      <c r="C3848" s="31" t="e">
        <f>B3848*100000</f>
        <v>#REF!</v>
      </c>
      <c r="D3848" s="31" t="e">
        <f t="shared" si="370"/>
        <v>#REF!</v>
      </c>
      <c r="E3848" s="31" t="e">
        <f>IF(B3848&lt;1,"",IF(B3848&gt;1," Hundreds "," Hundred "))</f>
        <v>#REF!</v>
      </c>
      <c r="J3848" s="31">
        <v>12</v>
      </c>
      <c r="K3848" s="33" t="s">
        <v>76</v>
      </c>
      <c r="L3848" s="31" t="str">
        <f t="shared" ref="L3848:L3855" si="371">L3838&amp;" Belas"</f>
        <v>Dua Belas</v>
      </c>
    </row>
    <row r="3849" spans="1:12">
      <c r="A3849" s="33" t="s">
        <v>77</v>
      </c>
      <c r="B3849" s="40" t="e">
        <f>TRUNC((A3834-SUM(C3846:C3848))/1000)</f>
        <v>#REF!</v>
      </c>
      <c r="C3849" s="31" t="e">
        <f>B3849*1000</f>
        <v>#REF!</v>
      </c>
      <c r="D3849" s="31" t="e">
        <f t="shared" si="370"/>
        <v>#REF!</v>
      </c>
      <c r="E3849" s="31" t="e">
        <f>IF(B3848+B3849=0,"",IF(B3849=1," Thousand "," Thousands "))</f>
        <v>#REF!</v>
      </c>
      <c r="J3849" s="31">
        <v>13</v>
      </c>
      <c r="K3849" s="33" t="s">
        <v>78</v>
      </c>
      <c r="L3849" s="31" t="str">
        <f t="shared" si="371"/>
        <v>Tiga Belas</v>
      </c>
    </row>
    <row r="3850" spans="1:12">
      <c r="A3850" s="33" t="s">
        <v>79</v>
      </c>
      <c r="B3850" s="40" t="e">
        <f>TRUNC((A3834-SUM(C3846:C3849))/100)</f>
        <v>#REF!</v>
      </c>
      <c r="C3850" s="31" t="e">
        <f>B3850*100</f>
        <v>#REF!</v>
      </c>
      <c r="D3850" s="31" t="e">
        <f t="shared" si="370"/>
        <v>#REF!</v>
      </c>
      <c r="E3850" s="31" t="e">
        <f>IF(B3850&lt;1,"",IF(B3850&gt;1," Hundreds "," Hundred "))</f>
        <v>#REF!</v>
      </c>
      <c r="J3850" s="31">
        <v>14</v>
      </c>
      <c r="K3850" s="33" t="s">
        <v>80</v>
      </c>
      <c r="L3850" s="31" t="str">
        <f t="shared" si="371"/>
        <v>Empat Belas</v>
      </c>
    </row>
    <row r="3851" spans="1:12">
      <c r="A3851" s="33" t="s">
        <v>81</v>
      </c>
      <c r="B3851" s="41" t="e">
        <f>TRUNC((A3834-SUM(C3846:C3850)))</f>
        <v>#REF!</v>
      </c>
      <c r="C3851" s="42" t="e">
        <f>B3851</f>
        <v>#REF!</v>
      </c>
      <c r="D3851" s="31" t="e">
        <f t="shared" si="370"/>
        <v>#REF!</v>
      </c>
      <c r="E3851" s="31" t="e">
        <f>IF(SUM(C3846:C3851)&lt;1,"",IF(B3852&lt;1,""," And "))</f>
        <v>#REF!</v>
      </c>
      <c r="J3851" s="31">
        <v>15</v>
      </c>
      <c r="K3851" s="33" t="s">
        <v>82</v>
      </c>
      <c r="L3851" s="31" t="str">
        <f t="shared" si="371"/>
        <v>Lima Belas</v>
      </c>
    </row>
    <row r="3852" spans="1:12">
      <c r="A3852" s="33" t="s">
        <v>83</v>
      </c>
      <c r="B3852" s="40" t="e">
        <f>ROUND(A3834-SUM(C3846:C3851),2)*100</f>
        <v>#REF!</v>
      </c>
      <c r="D3852" s="43" t="e">
        <f t="shared" si="370"/>
        <v>#REF!</v>
      </c>
      <c r="E3852" s="31" t="e">
        <f>IF(B3852&lt;1,"",IF(B3852=1," Cent "," Cents "))</f>
        <v>#REF!</v>
      </c>
      <c r="J3852" s="31">
        <v>16</v>
      </c>
      <c r="K3852" s="33" t="s">
        <v>84</v>
      </c>
      <c r="L3852" s="31" t="str">
        <f t="shared" si="371"/>
        <v>Enam Belas</v>
      </c>
    </row>
    <row r="3853" spans="1:12">
      <c r="J3853" s="31">
        <v>17</v>
      </c>
      <c r="K3853" s="33" t="s">
        <v>85</v>
      </c>
      <c r="L3853" s="31" t="str">
        <f t="shared" si="371"/>
        <v>Tujuh Belas</v>
      </c>
    </row>
    <row r="3854" spans="1:12">
      <c r="A3854" s="44"/>
      <c r="J3854" s="31">
        <v>18</v>
      </c>
      <c r="K3854" s="33" t="s">
        <v>86</v>
      </c>
      <c r="L3854" s="31" t="str">
        <f t="shared" si="371"/>
        <v>Delapan Belas</v>
      </c>
    </row>
    <row r="3855" spans="1:12">
      <c r="A3855" s="38" t="s">
        <v>87</v>
      </c>
      <c r="J3855" s="31">
        <v>19</v>
      </c>
      <c r="K3855" s="33" t="s">
        <v>88</v>
      </c>
      <c r="L3855" s="31" t="str">
        <f t="shared" si="371"/>
        <v>Sembilan Belas</v>
      </c>
    </row>
    <row r="3856" spans="1:12">
      <c r="A3856" s="31" t="s">
        <v>69</v>
      </c>
      <c r="B3856" s="39" t="e">
        <f>TRUNC(A3834/100000000)</f>
        <v>#REF!</v>
      </c>
      <c r="C3856" s="31" t="e">
        <f>B3856*100000000</f>
        <v>#REF!</v>
      </c>
      <c r="D3856" s="31" t="e">
        <f>IF(B3856&lt;1,"",IF(B3856=1,"",VLOOKUP(B3856,$J$3:$L$102,3)))</f>
        <v>#REF!</v>
      </c>
      <c r="E3856" s="31" t="e">
        <f>IF(B3856&lt;1,"",IF(B3856=1,"Seratus "," Ratus "))</f>
        <v>#REF!</v>
      </c>
      <c r="J3856" s="31">
        <v>20</v>
      </c>
      <c r="K3856" s="33" t="s">
        <v>89</v>
      </c>
      <c r="L3856" s="31" t="s">
        <v>90</v>
      </c>
    </row>
    <row r="3857" spans="1:12">
      <c r="A3857" s="31" t="s">
        <v>72</v>
      </c>
      <c r="B3857" s="39" t="e">
        <f>TRUNC((A3834-C3856)/1000000)</f>
        <v>#REF!</v>
      </c>
      <c r="C3857" s="31" t="e">
        <f>B3857*1000000</f>
        <v>#REF!</v>
      </c>
      <c r="D3857" s="31" t="e">
        <f>IF(B3857&lt;1,"",VLOOKUP(B3857,$J$3:$L$102,3))</f>
        <v>#REF!</v>
      </c>
      <c r="E3857" s="31" t="e">
        <f>IF(B3856+B3857=0,""," Juta ")</f>
        <v>#REF!</v>
      </c>
      <c r="J3857" s="31">
        <v>21</v>
      </c>
      <c r="K3857" s="33" t="s">
        <v>91</v>
      </c>
      <c r="L3857" s="31" t="str">
        <f t="shared" ref="L3857:L3865" si="372">$L$23&amp;" "&amp;L3837</f>
        <v>Dua Puluh Satu</v>
      </c>
    </row>
    <row r="3858" spans="1:12">
      <c r="A3858" s="31" t="s">
        <v>75</v>
      </c>
      <c r="B3858" s="39" t="e">
        <f>TRUNC((A3834-SUM(C3856:C3857))/100000)</f>
        <v>#REF!</v>
      </c>
      <c r="C3858" s="31" t="e">
        <f>B3858*100000</f>
        <v>#REF!</v>
      </c>
      <c r="D3858" s="31" t="e">
        <f>IF(B3858&lt;1,"",IF(B3858=1,"",VLOOKUP(B3858,$J$3:$L$102,3)))</f>
        <v>#REF!</v>
      </c>
      <c r="E3858" s="31" t="e">
        <f>IF(B3858&lt;1,"",IF(B3858=1," Seratus "," Ratus "))</f>
        <v>#REF!</v>
      </c>
      <c r="J3858" s="31">
        <v>22</v>
      </c>
      <c r="K3858" s="33" t="s">
        <v>92</v>
      </c>
      <c r="L3858" s="31" t="str">
        <f t="shared" si="372"/>
        <v>Dua Puluh Dua</v>
      </c>
    </row>
    <row r="3859" spans="1:12">
      <c r="A3859" s="33" t="s">
        <v>77</v>
      </c>
      <c r="B3859" s="40" t="e">
        <f>TRUNC((A3834-SUM(C3856:C3858))/1000)</f>
        <v>#REF!</v>
      </c>
      <c r="C3859" s="31" t="e">
        <f>B3859*1000</f>
        <v>#REF!</v>
      </c>
      <c r="D3859" s="31" t="e">
        <f>IF(B3859&lt;1,"",IF(B3859=1,"",VLOOKUP(B3859,$J$3:$L$102,3)))</f>
        <v>#REF!</v>
      </c>
      <c r="E3859" s="31" t="e">
        <f>IF(B3858+B3859&lt;1,"",IF(B3859=1," Seribu "," Ribu "))</f>
        <v>#REF!</v>
      </c>
      <c r="J3859" s="31">
        <v>23</v>
      </c>
      <c r="K3859" s="33" t="s">
        <v>93</v>
      </c>
      <c r="L3859" s="31" t="str">
        <f t="shared" si="372"/>
        <v>Dua Puluh Tiga</v>
      </c>
    </row>
    <row r="3860" spans="1:12">
      <c r="A3860" s="33" t="s">
        <v>79</v>
      </c>
      <c r="B3860" s="40" t="e">
        <f>TRUNC((A3834-SUM(C3856:C3859))/100)</f>
        <v>#REF!</v>
      </c>
      <c r="C3860" s="31" t="e">
        <f>B3860*100</f>
        <v>#REF!</v>
      </c>
      <c r="D3860" s="31" t="e">
        <f>IF(B3860&lt;1,"",IF(B3860=1,"",VLOOKUP(B3860,$J$3:$L$102,3)))</f>
        <v>#REF!</v>
      </c>
      <c r="E3860" s="31" t="e">
        <f>IF(B3860&lt;1,"",IF(B3860=1," Seratus "," Ratus "))</f>
        <v>#REF!</v>
      </c>
      <c r="J3860" s="31">
        <v>24</v>
      </c>
      <c r="K3860" s="33" t="s">
        <v>94</v>
      </c>
      <c r="L3860" s="31" t="str">
        <f t="shared" si="372"/>
        <v>Dua Puluh Empat</v>
      </c>
    </row>
    <row r="3861" spans="1:12">
      <c r="A3861" s="33" t="s">
        <v>81</v>
      </c>
      <c r="B3861" s="41" t="e">
        <f>TRUNC((A3834-SUM(C3856:C3860)))</f>
        <v>#REF!</v>
      </c>
      <c r="C3861" s="42" t="e">
        <f>B3861</f>
        <v>#REF!</v>
      </c>
      <c r="D3861" s="31" t="e">
        <f>IF(B3861&lt;1,"",VLOOKUP(B3861,$J$3:$L$102,3))</f>
        <v>#REF!</v>
      </c>
      <c r="E3861" s="31" t="e">
        <f>IF(SUM(C3856:C3861)&lt;1,"",IF(B3862&lt;1,""," Dan "))</f>
        <v>#REF!</v>
      </c>
      <c r="J3861" s="31">
        <v>25</v>
      </c>
      <c r="K3861" s="33" t="s">
        <v>95</v>
      </c>
      <c r="L3861" s="31" t="str">
        <f t="shared" si="372"/>
        <v>Dua Puluh Lima</v>
      </c>
    </row>
    <row r="3862" spans="1:12">
      <c r="A3862" s="33" t="s">
        <v>83</v>
      </c>
      <c r="B3862" s="40" t="e">
        <f>ROUND(A3834-SUM(C3856:C3861),2)*100</f>
        <v>#REF!</v>
      </c>
      <c r="D3862" s="31" t="e">
        <f>IF(B3862&lt;1,"",VLOOKUP(B3862,$J$3:$L$102,3))</f>
        <v>#REF!</v>
      </c>
      <c r="E3862" s="31" t="e">
        <f>IF(B3862&lt;1,""," Sen ")</f>
        <v>#REF!</v>
      </c>
      <c r="J3862" s="31">
        <v>26</v>
      </c>
      <c r="K3862" s="33" t="s">
        <v>96</v>
      </c>
      <c r="L3862" s="31" t="str">
        <f t="shared" si="372"/>
        <v>Dua Puluh Enam</v>
      </c>
    </row>
    <row r="3863" spans="1:12">
      <c r="J3863" s="31">
        <v>27</v>
      </c>
      <c r="K3863" s="33" t="s">
        <v>97</v>
      </c>
      <c r="L3863" s="31" t="str">
        <f t="shared" si="372"/>
        <v>Dua Puluh Tujuh</v>
      </c>
    </row>
    <row r="3864" spans="1:12">
      <c r="J3864" s="31">
        <v>28</v>
      </c>
      <c r="K3864" s="33" t="s">
        <v>98</v>
      </c>
      <c r="L3864" s="31" t="str">
        <f t="shared" si="372"/>
        <v>Dua Puluh Delapan</v>
      </c>
    </row>
    <row r="3865" spans="1:12">
      <c r="J3865" s="31">
        <v>29</v>
      </c>
      <c r="K3865" s="33" t="s">
        <v>99</v>
      </c>
      <c r="L3865" s="31" t="str">
        <f t="shared" si="372"/>
        <v>Dua Puluh Sembilan</v>
      </c>
    </row>
    <row r="3866" spans="1:12">
      <c r="J3866" s="31">
        <v>30</v>
      </c>
      <c r="K3866" s="33" t="s">
        <v>100</v>
      </c>
      <c r="L3866" s="31" t="s">
        <v>101</v>
      </c>
    </row>
    <row r="3867" spans="1:12">
      <c r="J3867" s="31">
        <v>31</v>
      </c>
      <c r="K3867" s="33" t="s">
        <v>102</v>
      </c>
      <c r="L3867" s="31" t="str">
        <f t="shared" ref="L3867:L3875" si="373">$L$33&amp;" "&amp;L3837</f>
        <v>Tiga Puluh Satu</v>
      </c>
    </row>
    <row r="3868" spans="1:12">
      <c r="J3868" s="31">
        <v>32</v>
      </c>
      <c r="K3868" s="33" t="s">
        <v>103</v>
      </c>
      <c r="L3868" s="31" t="str">
        <f t="shared" si="373"/>
        <v>Tiga Puluh Dua</v>
      </c>
    </row>
    <row r="3869" spans="1:12">
      <c r="J3869" s="31">
        <v>33</v>
      </c>
      <c r="K3869" s="33" t="s">
        <v>104</v>
      </c>
      <c r="L3869" s="31" t="str">
        <f t="shared" si="373"/>
        <v>Tiga Puluh Tiga</v>
      </c>
    </row>
    <row r="3870" spans="1:12">
      <c r="J3870" s="31">
        <v>34</v>
      </c>
      <c r="K3870" s="33" t="s">
        <v>105</v>
      </c>
      <c r="L3870" s="31" t="str">
        <f t="shared" si="373"/>
        <v>Tiga Puluh Empat</v>
      </c>
    </row>
    <row r="3871" spans="1:12">
      <c r="J3871" s="31">
        <v>35</v>
      </c>
      <c r="K3871" s="33" t="s">
        <v>106</v>
      </c>
      <c r="L3871" s="31" t="str">
        <f t="shared" si="373"/>
        <v>Tiga Puluh Lima</v>
      </c>
    </row>
    <row r="3872" spans="1:12">
      <c r="J3872" s="31">
        <v>36</v>
      </c>
      <c r="K3872" s="33" t="s">
        <v>107</v>
      </c>
      <c r="L3872" s="31" t="str">
        <f t="shared" si="373"/>
        <v>Tiga Puluh Enam</v>
      </c>
    </row>
    <row r="3873" spans="1:12">
      <c r="J3873" s="31">
        <v>37</v>
      </c>
      <c r="K3873" s="33" t="s">
        <v>108</v>
      </c>
      <c r="L3873" s="31" t="str">
        <f t="shared" si="373"/>
        <v>Tiga Puluh Tujuh</v>
      </c>
    </row>
    <row r="3874" spans="1:12">
      <c r="J3874" s="31">
        <v>38</v>
      </c>
      <c r="K3874" s="33" t="s">
        <v>109</v>
      </c>
      <c r="L3874" s="31" t="str">
        <f t="shared" si="373"/>
        <v>Tiga Puluh Delapan</v>
      </c>
    </row>
    <row r="3875" spans="1:12">
      <c r="J3875" s="31">
        <v>39</v>
      </c>
      <c r="K3875" s="33" t="s">
        <v>110</v>
      </c>
      <c r="L3875" s="31" t="str">
        <f t="shared" si="373"/>
        <v>Tiga Puluh Sembilan</v>
      </c>
    </row>
    <row r="3876" spans="1:12">
      <c r="B3876" s="35"/>
      <c r="C3876" s="35"/>
      <c r="D3876" s="35"/>
      <c r="J3876" s="31">
        <v>40</v>
      </c>
      <c r="K3876" s="33" t="s">
        <v>111</v>
      </c>
      <c r="L3876" s="31" t="s">
        <v>112</v>
      </c>
    </row>
    <row r="3877" spans="1:12">
      <c r="A3877" s="35"/>
      <c r="B3877" s="35"/>
      <c r="C3877" s="35"/>
      <c r="D3877" s="35"/>
      <c r="J3877" s="31">
        <v>41</v>
      </c>
      <c r="K3877" s="33" t="s">
        <v>113</v>
      </c>
      <c r="L3877" s="31" t="str">
        <f t="shared" ref="L3877:L3885" si="374">$L$43&amp;" "&amp;L3837</f>
        <v>Empat Puluh Satu</v>
      </c>
    </row>
    <row r="3878" spans="1:12">
      <c r="J3878" s="31">
        <v>42</v>
      </c>
      <c r="K3878" s="33" t="s">
        <v>114</v>
      </c>
      <c r="L3878" s="31" t="str">
        <f t="shared" si="374"/>
        <v>Empat Puluh Dua</v>
      </c>
    </row>
    <row r="3879" spans="1:12">
      <c r="A3879" s="38"/>
      <c r="J3879" s="31">
        <v>43</v>
      </c>
      <c r="K3879" s="33" t="s">
        <v>115</v>
      </c>
      <c r="L3879" s="31" t="str">
        <f t="shared" si="374"/>
        <v>Empat Puluh Tiga</v>
      </c>
    </row>
    <row r="3880" spans="1:12">
      <c r="J3880" s="31">
        <v>44</v>
      </c>
      <c r="K3880" s="33" t="s">
        <v>116</v>
      </c>
      <c r="L3880" s="31" t="str">
        <f t="shared" si="374"/>
        <v>Empat Puluh Empat</v>
      </c>
    </row>
    <row r="3881" spans="1:12">
      <c r="J3881" s="31">
        <v>45</v>
      </c>
      <c r="K3881" s="33" t="s">
        <v>117</v>
      </c>
      <c r="L3881" s="31" t="str">
        <f t="shared" si="374"/>
        <v>Empat Puluh Lima</v>
      </c>
    </row>
    <row r="3882" spans="1:12">
      <c r="J3882" s="31">
        <v>46</v>
      </c>
      <c r="K3882" s="33" t="s">
        <v>118</v>
      </c>
      <c r="L3882" s="31" t="str">
        <f t="shared" si="374"/>
        <v>Empat Puluh Enam</v>
      </c>
    </row>
    <row r="3883" spans="1:12">
      <c r="J3883" s="31">
        <v>47</v>
      </c>
      <c r="K3883" s="33" t="s">
        <v>119</v>
      </c>
      <c r="L3883" s="31" t="str">
        <f t="shared" si="374"/>
        <v>Empat Puluh Tujuh</v>
      </c>
    </row>
    <row r="3884" spans="1:12">
      <c r="J3884" s="31">
        <v>48</v>
      </c>
      <c r="K3884" s="33" t="s">
        <v>120</v>
      </c>
      <c r="L3884" s="31" t="str">
        <f t="shared" si="374"/>
        <v>Empat Puluh Delapan</v>
      </c>
    </row>
    <row r="3885" spans="1:12">
      <c r="J3885" s="31">
        <v>49</v>
      </c>
      <c r="K3885" s="33" t="s">
        <v>121</v>
      </c>
      <c r="L3885" s="31" t="str">
        <f t="shared" si="374"/>
        <v>Empat Puluh Sembilan</v>
      </c>
    </row>
    <row r="3886" spans="1:12">
      <c r="J3886" s="31">
        <v>50</v>
      </c>
      <c r="K3886" s="33" t="s">
        <v>122</v>
      </c>
      <c r="L3886" s="31" t="s">
        <v>123</v>
      </c>
    </row>
    <row r="3887" spans="1:12">
      <c r="J3887" s="31">
        <v>51</v>
      </c>
      <c r="K3887" s="33" t="s">
        <v>124</v>
      </c>
      <c r="L3887" s="31" t="str">
        <f t="shared" ref="L3887:L3895" si="375">$L$53&amp;" "&amp;L3837</f>
        <v>Lima Puluh Satu</v>
      </c>
    </row>
    <row r="3888" spans="1:12">
      <c r="J3888" s="31">
        <v>52</v>
      </c>
      <c r="K3888" s="33" t="s">
        <v>125</v>
      </c>
      <c r="L3888" s="31" t="str">
        <f t="shared" si="375"/>
        <v>Lima Puluh Dua</v>
      </c>
    </row>
    <row r="3889" spans="10:12">
      <c r="J3889" s="31">
        <v>53</v>
      </c>
      <c r="K3889" s="33" t="s">
        <v>126</v>
      </c>
      <c r="L3889" s="31" t="str">
        <f t="shared" si="375"/>
        <v>Lima Puluh Tiga</v>
      </c>
    </row>
    <row r="3890" spans="10:12">
      <c r="J3890" s="31">
        <v>54</v>
      </c>
      <c r="K3890" s="33" t="s">
        <v>127</v>
      </c>
      <c r="L3890" s="31" t="str">
        <f t="shared" si="375"/>
        <v>Lima Puluh Empat</v>
      </c>
    </row>
    <row r="3891" spans="10:12">
      <c r="J3891" s="31">
        <v>55</v>
      </c>
      <c r="K3891" s="33" t="s">
        <v>128</v>
      </c>
      <c r="L3891" s="31" t="str">
        <f t="shared" si="375"/>
        <v>Lima Puluh Lima</v>
      </c>
    </row>
    <row r="3892" spans="10:12">
      <c r="J3892" s="31">
        <v>56</v>
      </c>
      <c r="K3892" s="33" t="s">
        <v>129</v>
      </c>
      <c r="L3892" s="31" t="str">
        <f t="shared" si="375"/>
        <v>Lima Puluh Enam</v>
      </c>
    </row>
    <row r="3893" spans="10:12">
      <c r="J3893" s="31">
        <v>57</v>
      </c>
      <c r="K3893" s="33" t="s">
        <v>130</v>
      </c>
      <c r="L3893" s="31" t="str">
        <f t="shared" si="375"/>
        <v>Lima Puluh Tujuh</v>
      </c>
    </row>
    <row r="3894" spans="10:12">
      <c r="J3894" s="31">
        <v>58</v>
      </c>
      <c r="K3894" s="33" t="s">
        <v>131</v>
      </c>
      <c r="L3894" s="31" t="str">
        <f t="shared" si="375"/>
        <v>Lima Puluh Delapan</v>
      </c>
    </row>
    <row r="3895" spans="10:12">
      <c r="J3895" s="31">
        <v>59</v>
      </c>
      <c r="K3895" s="33" t="s">
        <v>132</v>
      </c>
      <c r="L3895" s="31" t="str">
        <f t="shared" si="375"/>
        <v>Lima Puluh Sembilan</v>
      </c>
    </row>
    <row r="3896" spans="10:12">
      <c r="J3896" s="31">
        <v>60</v>
      </c>
      <c r="K3896" s="33" t="s">
        <v>133</v>
      </c>
      <c r="L3896" s="31" t="s">
        <v>134</v>
      </c>
    </row>
    <row r="3897" spans="10:12">
      <c r="J3897" s="31">
        <v>61</v>
      </c>
      <c r="K3897" s="33" t="s">
        <v>135</v>
      </c>
      <c r="L3897" s="31" t="str">
        <f t="shared" ref="L3897:L3905" si="376">$L$63&amp;" "&amp;L3837</f>
        <v>Enam Puluh Satu</v>
      </c>
    </row>
    <row r="3898" spans="10:12">
      <c r="J3898" s="31">
        <v>62</v>
      </c>
      <c r="K3898" s="33" t="s">
        <v>136</v>
      </c>
      <c r="L3898" s="31" t="str">
        <f t="shared" si="376"/>
        <v>Enam Puluh Dua</v>
      </c>
    </row>
    <row r="3899" spans="10:12">
      <c r="J3899" s="31">
        <v>63</v>
      </c>
      <c r="K3899" s="33" t="s">
        <v>137</v>
      </c>
      <c r="L3899" s="31" t="str">
        <f t="shared" si="376"/>
        <v>Enam Puluh Tiga</v>
      </c>
    </row>
    <row r="3900" spans="10:12">
      <c r="J3900" s="31">
        <v>64</v>
      </c>
      <c r="K3900" s="33" t="s">
        <v>138</v>
      </c>
      <c r="L3900" s="31" t="str">
        <f t="shared" si="376"/>
        <v>Enam Puluh Empat</v>
      </c>
    </row>
    <row r="3901" spans="10:12">
      <c r="J3901" s="31">
        <v>65</v>
      </c>
      <c r="K3901" s="33" t="s">
        <v>139</v>
      </c>
      <c r="L3901" s="31" t="str">
        <f t="shared" si="376"/>
        <v>Enam Puluh Lima</v>
      </c>
    </row>
    <row r="3902" spans="10:12">
      <c r="J3902" s="31">
        <v>66</v>
      </c>
      <c r="K3902" s="33" t="s">
        <v>140</v>
      </c>
      <c r="L3902" s="31" t="str">
        <f t="shared" si="376"/>
        <v>Enam Puluh Enam</v>
      </c>
    </row>
    <row r="3903" spans="10:12">
      <c r="J3903" s="31">
        <v>67</v>
      </c>
      <c r="K3903" s="33" t="s">
        <v>141</v>
      </c>
      <c r="L3903" s="31" t="str">
        <f t="shared" si="376"/>
        <v>Enam Puluh Tujuh</v>
      </c>
    </row>
    <row r="3904" spans="10:12">
      <c r="J3904" s="31">
        <v>68</v>
      </c>
      <c r="K3904" s="33" t="s">
        <v>142</v>
      </c>
      <c r="L3904" s="31" t="str">
        <f t="shared" si="376"/>
        <v>Enam Puluh Delapan</v>
      </c>
    </row>
    <row r="3905" spans="10:12">
      <c r="J3905" s="31">
        <v>69</v>
      </c>
      <c r="K3905" s="33" t="s">
        <v>143</v>
      </c>
      <c r="L3905" s="31" t="str">
        <f t="shared" si="376"/>
        <v>Enam Puluh Sembilan</v>
      </c>
    </row>
    <row r="3906" spans="10:12">
      <c r="J3906" s="31">
        <v>70</v>
      </c>
      <c r="K3906" s="33" t="s">
        <v>144</v>
      </c>
      <c r="L3906" s="31" t="s">
        <v>145</v>
      </c>
    </row>
    <row r="3907" spans="10:12">
      <c r="J3907" s="31">
        <v>71</v>
      </c>
      <c r="K3907" s="33" t="s">
        <v>146</v>
      </c>
      <c r="L3907" s="31" t="str">
        <f t="shared" ref="L3907:L3915" si="377">$L$73&amp;" "&amp;L3837</f>
        <v>Tujuh Puluh Satu</v>
      </c>
    </row>
    <row r="3908" spans="10:12">
      <c r="J3908" s="31">
        <v>72</v>
      </c>
      <c r="K3908" s="33" t="s">
        <v>147</v>
      </c>
      <c r="L3908" s="31" t="str">
        <f t="shared" si="377"/>
        <v>Tujuh Puluh Dua</v>
      </c>
    </row>
    <row r="3909" spans="10:12">
      <c r="J3909" s="31">
        <v>73</v>
      </c>
      <c r="K3909" s="33" t="s">
        <v>148</v>
      </c>
      <c r="L3909" s="31" t="str">
        <f t="shared" si="377"/>
        <v>Tujuh Puluh Tiga</v>
      </c>
    </row>
    <row r="3910" spans="10:12">
      <c r="J3910" s="31">
        <v>74</v>
      </c>
      <c r="K3910" s="33" t="s">
        <v>149</v>
      </c>
      <c r="L3910" s="31" t="str">
        <f t="shared" si="377"/>
        <v>Tujuh Puluh Empat</v>
      </c>
    </row>
    <row r="3911" spans="10:12">
      <c r="J3911" s="31">
        <v>75</v>
      </c>
      <c r="K3911" s="33" t="s">
        <v>150</v>
      </c>
      <c r="L3911" s="31" t="str">
        <f t="shared" si="377"/>
        <v>Tujuh Puluh Lima</v>
      </c>
    </row>
    <row r="3912" spans="10:12">
      <c r="J3912" s="31">
        <v>76</v>
      </c>
      <c r="K3912" s="33" t="s">
        <v>151</v>
      </c>
      <c r="L3912" s="31" t="str">
        <f t="shared" si="377"/>
        <v>Tujuh Puluh Enam</v>
      </c>
    </row>
    <row r="3913" spans="10:12">
      <c r="J3913" s="31">
        <v>77</v>
      </c>
      <c r="K3913" s="33" t="s">
        <v>152</v>
      </c>
      <c r="L3913" s="31" t="str">
        <f t="shared" si="377"/>
        <v>Tujuh Puluh Tujuh</v>
      </c>
    </row>
    <row r="3914" spans="10:12">
      <c r="J3914" s="31">
        <v>78</v>
      </c>
      <c r="K3914" s="33" t="s">
        <v>153</v>
      </c>
      <c r="L3914" s="31" t="str">
        <f t="shared" si="377"/>
        <v>Tujuh Puluh Delapan</v>
      </c>
    </row>
    <row r="3915" spans="10:12">
      <c r="J3915" s="31">
        <v>79</v>
      </c>
      <c r="K3915" s="33" t="s">
        <v>154</v>
      </c>
      <c r="L3915" s="31" t="str">
        <f t="shared" si="377"/>
        <v>Tujuh Puluh Sembilan</v>
      </c>
    </row>
    <row r="3916" spans="10:12">
      <c r="J3916" s="31">
        <v>80</v>
      </c>
      <c r="K3916" s="33" t="s">
        <v>155</v>
      </c>
      <c r="L3916" s="31" t="s">
        <v>156</v>
      </c>
    </row>
    <row r="3917" spans="10:12">
      <c r="J3917" s="31">
        <v>81</v>
      </c>
      <c r="K3917" s="33" t="s">
        <v>157</v>
      </c>
      <c r="L3917" s="31" t="str">
        <f t="shared" ref="L3917:L3925" si="378">$L$83&amp;" "&amp;L3837</f>
        <v>Delapan Puluh Satu</v>
      </c>
    </row>
    <row r="3918" spans="10:12">
      <c r="J3918" s="31">
        <v>82</v>
      </c>
      <c r="K3918" s="33" t="s">
        <v>158</v>
      </c>
      <c r="L3918" s="31" t="str">
        <f t="shared" si="378"/>
        <v>Delapan Puluh Dua</v>
      </c>
    </row>
    <row r="3919" spans="10:12">
      <c r="J3919" s="31">
        <v>83</v>
      </c>
      <c r="K3919" s="33" t="s">
        <v>159</v>
      </c>
      <c r="L3919" s="31" t="str">
        <f t="shared" si="378"/>
        <v>Delapan Puluh Tiga</v>
      </c>
    </row>
    <row r="3920" spans="10:12">
      <c r="J3920" s="31">
        <v>84</v>
      </c>
      <c r="K3920" s="33" t="s">
        <v>160</v>
      </c>
      <c r="L3920" s="31" t="str">
        <f t="shared" si="378"/>
        <v>Delapan Puluh Empat</v>
      </c>
    </row>
    <row r="3921" spans="10:12">
      <c r="J3921" s="31">
        <v>85</v>
      </c>
      <c r="K3921" s="33" t="s">
        <v>161</v>
      </c>
      <c r="L3921" s="31" t="str">
        <f t="shared" si="378"/>
        <v>Delapan Puluh Lima</v>
      </c>
    </row>
    <row r="3922" spans="10:12">
      <c r="J3922" s="31">
        <v>86</v>
      </c>
      <c r="K3922" s="33" t="s">
        <v>162</v>
      </c>
      <c r="L3922" s="31" t="str">
        <f t="shared" si="378"/>
        <v>Delapan Puluh Enam</v>
      </c>
    </row>
    <row r="3923" spans="10:12">
      <c r="J3923" s="31">
        <v>87</v>
      </c>
      <c r="K3923" s="33" t="s">
        <v>163</v>
      </c>
      <c r="L3923" s="31" t="str">
        <f t="shared" si="378"/>
        <v>Delapan Puluh Tujuh</v>
      </c>
    </row>
    <row r="3924" spans="10:12">
      <c r="J3924" s="31">
        <v>88</v>
      </c>
      <c r="K3924" s="33" t="s">
        <v>164</v>
      </c>
      <c r="L3924" s="31" t="str">
        <f t="shared" si="378"/>
        <v>Delapan Puluh Delapan</v>
      </c>
    </row>
    <row r="3925" spans="10:12">
      <c r="J3925" s="31">
        <v>89</v>
      </c>
      <c r="K3925" s="33" t="s">
        <v>165</v>
      </c>
      <c r="L3925" s="31" t="str">
        <f t="shared" si="378"/>
        <v>Delapan Puluh Sembilan</v>
      </c>
    </row>
    <row r="3926" spans="10:12">
      <c r="J3926" s="31">
        <v>90</v>
      </c>
      <c r="K3926" s="33" t="s">
        <v>166</v>
      </c>
      <c r="L3926" s="31" t="s">
        <v>167</v>
      </c>
    </row>
    <row r="3927" spans="10:12">
      <c r="J3927" s="31">
        <v>91</v>
      </c>
      <c r="K3927" s="33" t="s">
        <v>168</v>
      </c>
      <c r="L3927" s="31" t="str">
        <f t="shared" ref="L3927:L3935" si="379">$L$93&amp;" "&amp;L3837</f>
        <v>Sembilan Puluh Satu</v>
      </c>
    </row>
    <row r="3928" spans="10:12">
      <c r="J3928" s="31">
        <v>92</v>
      </c>
      <c r="K3928" s="33" t="s">
        <v>169</v>
      </c>
      <c r="L3928" s="31" t="str">
        <f t="shared" si="379"/>
        <v>Sembilan Puluh Dua</v>
      </c>
    </row>
    <row r="3929" spans="10:12">
      <c r="J3929" s="31">
        <v>93</v>
      </c>
      <c r="K3929" s="33" t="s">
        <v>170</v>
      </c>
      <c r="L3929" s="31" t="str">
        <f t="shared" si="379"/>
        <v>Sembilan Puluh Tiga</v>
      </c>
    </row>
    <row r="3930" spans="10:12">
      <c r="J3930" s="31">
        <v>94</v>
      </c>
      <c r="K3930" s="33" t="s">
        <v>171</v>
      </c>
      <c r="L3930" s="31" t="str">
        <f t="shared" si="379"/>
        <v>Sembilan Puluh Empat</v>
      </c>
    </row>
    <row r="3931" spans="10:12">
      <c r="J3931" s="31">
        <v>95</v>
      </c>
      <c r="K3931" s="33" t="s">
        <v>172</v>
      </c>
      <c r="L3931" s="31" t="str">
        <f t="shared" si="379"/>
        <v>Sembilan Puluh Lima</v>
      </c>
    </row>
    <row r="3932" spans="10:12">
      <c r="J3932" s="31">
        <v>96</v>
      </c>
      <c r="K3932" s="33" t="s">
        <v>173</v>
      </c>
      <c r="L3932" s="31" t="str">
        <f t="shared" si="379"/>
        <v>Sembilan Puluh Enam</v>
      </c>
    </row>
    <row r="3933" spans="10:12">
      <c r="J3933" s="31">
        <v>97</v>
      </c>
      <c r="K3933" s="33" t="s">
        <v>174</v>
      </c>
      <c r="L3933" s="31" t="str">
        <f t="shared" si="379"/>
        <v>Sembilan Puluh Tujuh</v>
      </c>
    </row>
    <row r="3934" spans="10:12">
      <c r="J3934" s="31">
        <v>98</v>
      </c>
      <c r="K3934" s="33" t="s">
        <v>175</v>
      </c>
      <c r="L3934" s="31" t="str">
        <f t="shared" si="379"/>
        <v>Sembilan Puluh Delapan</v>
      </c>
    </row>
    <row r="3935" spans="10:12">
      <c r="J3935" s="31">
        <v>99</v>
      </c>
      <c r="K3935" s="33" t="s">
        <v>176</v>
      </c>
      <c r="L3935" s="31" t="str">
        <f t="shared" si="379"/>
        <v>Sembilan Puluh Sembilan</v>
      </c>
    </row>
    <row r="3939" spans="1:12">
      <c r="A3939" s="30" t="e">
        <f>#REF!</f>
        <v>#REF!</v>
      </c>
      <c r="C3939" s="31" t="s">
        <v>221</v>
      </c>
    </row>
    <row r="3940" spans="1:12">
      <c r="A3940" s="32"/>
    </row>
    <row r="3941" spans="1:12">
      <c r="J3941" s="31">
        <v>0</v>
      </c>
      <c r="K3941" s="33" t="s">
        <v>48</v>
      </c>
      <c r="L3941" s="31" t="s">
        <v>49</v>
      </c>
    </row>
    <row r="3942" spans="1:12">
      <c r="A3942" s="34"/>
      <c r="J3942" s="31">
        <v>1</v>
      </c>
      <c r="K3942" s="33" t="s">
        <v>50</v>
      </c>
      <c r="L3942" s="31" t="s">
        <v>51</v>
      </c>
    </row>
    <row r="3943" spans="1:12">
      <c r="A3943" s="255" t="e">
        <f>TRIM(D3951&amp;E3951&amp;D3952&amp;E3952&amp;D3953&amp;E3953&amp;D3954&amp;E3954&amp;D3955&amp;E3955&amp;D3956&amp;E3956&amp;E3957&amp;D3957&amp;" Only")</f>
        <v>#REF!</v>
      </c>
      <c r="B3943" s="255"/>
      <c r="C3943" s="255"/>
      <c r="D3943" s="255"/>
      <c r="E3943" s="35"/>
      <c r="F3943" s="36"/>
      <c r="J3943" s="31">
        <v>2</v>
      </c>
      <c r="K3943" s="33" t="s">
        <v>52</v>
      </c>
      <c r="L3943" s="31" t="s">
        <v>53</v>
      </c>
    </row>
    <row r="3944" spans="1:12">
      <c r="A3944" s="37"/>
      <c r="B3944" s="37"/>
      <c r="C3944" s="37"/>
      <c r="D3944" s="37"/>
      <c r="E3944" s="35"/>
      <c r="F3944" s="36"/>
      <c r="J3944" s="31">
        <v>3</v>
      </c>
      <c r="K3944" s="33" t="s">
        <v>54</v>
      </c>
      <c r="L3944" s="31" t="s">
        <v>55</v>
      </c>
    </row>
    <row r="3945" spans="1:12">
      <c r="A3945" s="37"/>
      <c r="B3945" s="37"/>
      <c r="C3945" s="37"/>
      <c r="D3945" s="37"/>
      <c r="J3945" s="31">
        <v>4</v>
      </c>
      <c r="K3945" s="33" t="s">
        <v>56</v>
      </c>
      <c r="L3945" s="31" t="s">
        <v>57</v>
      </c>
    </row>
    <row r="3946" spans="1:12">
      <c r="A3946" s="255" t="e">
        <f>TRIM(D3961&amp;E3961&amp;D3962&amp;E3962&amp;D3963&amp;E3963&amp;D3964&amp;E3964&amp;D3965&amp;E3965&amp;D3966&amp;E3966&amp;D3967&amp;E3967&amp;" Rupiah")</f>
        <v>#REF!</v>
      </c>
      <c r="B3946" s="255"/>
      <c r="C3946" s="255"/>
      <c r="D3946" s="255"/>
      <c r="E3946" s="35"/>
      <c r="F3946" s="36"/>
      <c r="J3946" s="31">
        <v>5</v>
      </c>
      <c r="K3946" s="33" t="s">
        <v>58</v>
      </c>
      <c r="L3946" s="31" t="s">
        <v>59</v>
      </c>
    </row>
    <row r="3947" spans="1:12">
      <c r="A3947" s="35"/>
      <c r="B3947" s="35"/>
      <c r="C3947" s="35"/>
      <c r="D3947" s="35"/>
      <c r="E3947" s="35"/>
      <c r="F3947" s="36"/>
      <c r="J3947" s="31">
        <v>6</v>
      </c>
      <c r="K3947" s="33" t="s">
        <v>60</v>
      </c>
      <c r="L3947" s="31" t="s">
        <v>61</v>
      </c>
    </row>
    <row r="3948" spans="1:12">
      <c r="J3948" s="31">
        <v>7</v>
      </c>
      <c r="K3948" s="33" t="s">
        <v>62</v>
      </c>
      <c r="L3948" s="31" t="s">
        <v>63</v>
      </c>
    </row>
    <row r="3949" spans="1:12">
      <c r="J3949" s="31">
        <v>8</v>
      </c>
      <c r="K3949" s="33" t="s">
        <v>64</v>
      </c>
      <c r="L3949" s="31" t="s">
        <v>65</v>
      </c>
    </row>
    <row r="3950" spans="1:12">
      <c r="A3950" s="38" t="s">
        <v>66</v>
      </c>
      <c r="J3950" s="31">
        <v>9</v>
      </c>
      <c r="K3950" s="33" t="s">
        <v>67</v>
      </c>
      <c r="L3950" s="31" t="s">
        <v>68</v>
      </c>
    </row>
    <row r="3951" spans="1:12">
      <c r="A3951" s="31" t="s">
        <v>69</v>
      </c>
      <c r="B3951" s="39" t="e">
        <f>TRUNC(A3939/100000000)</f>
        <v>#REF!</v>
      </c>
      <c r="C3951" s="31" t="e">
        <f>B3951*100000000</f>
        <v>#REF!</v>
      </c>
      <c r="D3951" s="31" t="e">
        <f t="shared" ref="D3951:D3957" si="380">IF(B3951&lt;1,"",VLOOKUP(B3951,$J$3:$K$102,2))</f>
        <v>#REF!</v>
      </c>
      <c r="E3951" s="31" t="e">
        <f>IF(B3951&lt;1,"",IF(B3951&gt;1," Hundreds "," Hundred "))</f>
        <v>#REF!</v>
      </c>
      <c r="J3951" s="31">
        <v>10</v>
      </c>
      <c r="K3951" s="33" t="s">
        <v>70</v>
      </c>
      <c r="L3951" s="31" t="s">
        <v>71</v>
      </c>
    </row>
    <row r="3952" spans="1:12">
      <c r="A3952" s="31" t="s">
        <v>72</v>
      </c>
      <c r="B3952" s="39" t="e">
        <f>TRUNC((A3939-C3951)/1000000)</f>
        <v>#REF!</v>
      </c>
      <c r="C3952" s="31" t="e">
        <f>B3952*1000000</f>
        <v>#REF!</v>
      </c>
      <c r="D3952" s="31" t="e">
        <f t="shared" si="380"/>
        <v>#REF!</v>
      </c>
      <c r="E3952" s="31" t="e">
        <f>IF(B3951+B3952=0,"",IF(B3952=1," Million "," Millions "))</f>
        <v>#REF!</v>
      </c>
      <c r="J3952" s="31">
        <v>11</v>
      </c>
      <c r="K3952" s="33" t="s">
        <v>73</v>
      </c>
      <c r="L3952" s="31" t="s">
        <v>74</v>
      </c>
    </row>
    <row r="3953" spans="1:12">
      <c r="A3953" s="31" t="s">
        <v>75</v>
      </c>
      <c r="B3953" s="39" t="e">
        <f>TRUNC((A3939-SUM(C3951:C3952))/100000)</f>
        <v>#REF!</v>
      </c>
      <c r="C3953" s="31" t="e">
        <f>B3953*100000</f>
        <v>#REF!</v>
      </c>
      <c r="D3953" s="31" t="e">
        <f t="shared" si="380"/>
        <v>#REF!</v>
      </c>
      <c r="E3953" s="31" t="e">
        <f>IF(B3953&lt;1,"",IF(B3953&gt;1," Hundreds "," Hundred "))</f>
        <v>#REF!</v>
      </c>
      <c r="J3953" s="31">
        <v>12</v>
      </c>
      <c r="K3953" s="33" t="s">
        <v>76</v>
      </c>
      <c r="L3953" s="31" t="str">
        <f t="shared" ref="L3953:L3960" si="381">L3943&amp;" Belas"</f>
        <v>Dua Belas</v>
      </c>
    </row>
    <row r="3954" spans="1:12">
      <c r="A3954" s="33" t="s">
        <v>77</v>
      </c>
      <c r="B3954" s="40" t="e">
        <f>TRUNC((A3939-SUM(C3951:C3953))/1000)</f>
        <v>#REF!</v>
      </c>
      <c r="C3954" s="31" t="e">
        <f>B3954*1000</f>
        <v>#REF!</v>
      </c>
      <c r="D3954" s="31" t="e">
        <f t="shared" si="380"/>
        <v>#REF!</v>
      </c>
      <c r="E3954" s="31" t="e">
        <f>IF(B3953+B3954=0,"",IF(B3954=1," Thousand "," Thousands "))</f>
        <v>#REF!</v>
      </c>
      <c r="J3954" s="31">
        <v>13</v>
      </c>
      <c r="K3954" s="33" t="s">
        <v>78</v>
      </c>
      <c r="L3954" s="31" t="str">
        <f t="shared" si="381"/>
        <v>Tiga Belas</v>
      </c>
    </row>
    <row r="3955" spans="1:12">
      <c r="A3955" s="33" t="s">
        <v>79</v>
      </c>
      <c r="B3955" s="40" t="e">
        <f>TRUNC((A3939-SUM(C3951:C3954))/100)</f>
        <v>#REF!</v>
      </c>
      <c r="C3955" s="31" t="e">
        <f>B3955*100</f>
        <v>#REF!</v>
      </c>
      <c r="D3955" s="31" t="e">
        <f t="shared" si="380"/>
        <v>#REF!</v>
      </c>
      <c r="E3955" s="31" t="e">
        <f>IF(B3955&lt;1,"",IF(B3955&gt;1," Hundreds "," Hundred "))</f>
        <v>#REF!</v>
      </c>
      <c r="J3955" s="31">
        <v>14</v>
      </c>
      <c r="K3955" s="33" t="s">
        <v>80</v>
      </c>
      <c r="L3955" s="31" t="str">
        <f t="shared" si="381"/>
        <v>Empat Belas</v>
      </c>
    </row>
    <row r="3956" spans="1:12">
      <c r="A3956" s="33" t="s">
        <v>81</v>
      </c>
      <c r="B3956" s="41" t="e">
        <f>TRUNC((A3939-SUM(C3951:C3955)))</f>
        <v>#REF!</v>
      </c>
      <c r="C3956" s="42" t="e">
        <f>B3956</f>
        <v>#REF!</v>
      </c>
      <c r="D3956" s="31" t="e">
        <f t="shared" si="380"/>
        <v>#REF!</v>
      </c>
      <c r="E3956" s="31" t="e">
        <f>IF(SUM(C3951:C3956)&lt;1,"",IF(B3957&lt;1,""," And "))</f>
        <v>#REF!</v>
      </c>
      <c r="J3956" s="31">
        <v>15</v>
      </c>
      <c r="K3956" s="33" t="s">
        <v>82</v>
      </c>
      <c r="L3956" s="31" t="str">
        <f t="shared" si="381"/>
        <v>Lima Belas</v>
      </c>
    </row>
    <row r="3957" spans="1:12">
      <c r="A3957" s="33" t="s">
        <v>83</v>
      </c>
      <c r="B3957" s="40" t="e">
        <f>ROUND(A3939-SUM(C3951:C3956),2)*100</f>
        <v>#REF!</v>
      </c>
      <c r="D3957" s="43" t="e">
        <f t="shared" si="380"/>
        <v>#REF!</v>
      </c>
      <c r="E3957" s="31" t="e">
        <f>IF(B3957&lt;1,"",IF(B3957=1," Cent "," Cents "))</f>
        <v>#REF!</v>
      </c>
      <c r="J3957" s="31">
        <v>16</v>
      </c>
      <c r="K3957" s="33" t="s">
        <v>84</v>
      </c>
      <c r="L3957" s="31" t="str">
        <f t="shared" si="381"/>
        <v>Enam Belas</v>
      </c>
    </row>
    <row r="3958" spans="1:12">
      <c r="J3958" s="31">
        <v>17</v>
      </c>
      <c r="K3958" s="33" t="s">
        <v>85</v>
      </c>
      <c r="L3958" s="31" t="str">
        <f t="shared" si="381"/>
        <v>Tujuh Belas</v>
      </c>
    </row>
    <row r="3959" spans="1:12">
      <c r="A3959" s="44"/>
      <c r="J3959" s="31">
        <v>18</v>
      </c>
      <c r="K3959" s="33" t="s">
        <v>86</v>
      </c>
      <c r="L3959" s="31" t="str">
        <f t="shared" si="381"/>
        <v>Delapan Belas</v>
      </c>
    </row>
    <row r="3960" spans="1:12">
      <c r="A3960" s="38" t="s">
        <v>87</v>
      </c>
      <c r="J3960" s="31">
        <v>19</v>
      </c>
      <c r="K3960" s="33" t="s">
        <v>88</v>
      </c>
      <c r="L3960" s="31" t="str">
        <f t="shared" si="381"/>
        <v>Sembilan Belas</v>
      </c>
    </row>
    <row r="3961" spans="1:12">
      <c r="A3961" s="31" t="s">
        <v>69</v>
      </c>
      <c r="B3961" s="39" t="e">
        <f>TRUNC(A3939/100000000)</f>
        <v>#REF!</v>
      </c>
      <c r="C3961" s="31" t="e">
        <f>B3961*100000000</f>
        <v>#REF!</v>
      </c>
      <c r="D3961" s="31" t="e">
        <f>IF(B3961&lt;1,"",IF(B3961=1,"",VLOOKUP(B3961,$J$3:$L$102,3)))</f>
        <v>#REF!</v>
      </c>
      <c r="E3961" s="31" t="e">
        <f>IF(B3961&lt;1,"",IF(B3961=1,"Seratus "," Ratus "))</f>
        <v>#REF!</v>
      </c>
      <c r="J3961" s="31">
        <v>20</v>
      </c>
      <c r="K3961" s="33" t="s">
        <v>89</v>
      </c>
      <c r="L3961" s="31" t="s">
        <v>90</v>
      </c>
    </row>
    <row r="3962" spans="1:12">
      <c r="A3962" s="31" t="s">
        <v>72</v>
      </c>
      <c r="B3962" s="39" t="e">
        <f>TRUNC((A3939-C3961)/1000000)</f>
        <v>#REF!</v>
      </c>
      <c r="C3962" s="31" t="e">
        <f>B3962*1000000</f>
        <v>#REF!</v>
      </c>
      <c r="D3962" s="31" t="e">
        <f>IF(B3962&lt;1,"",VLOOKUP(B3962,$J$3:$L$102,3))</f>
        <v>#REF!</v>
      </c>
      <c r="E3962" s="31" t="e">
        <f>IF(B3961+B3962=0,""," Juta ")</f>
        <v>#REF!</v>
      </c>
      <c r="J3962" s="31">
        <v>21</v>
      </c>
      <c r="K3962" s="33" t="s">
        <v>91</v>
      </c>
      <c r="L3962" s="31" t="str">
        <f t="shared" ref="L3962:L3970" si="382">$L$23&amp;" "&amp;L3942</f>
        <v>Dua Puluh Satu</v>
      </c>
    </row>
    <row r="3963" spans="1:12">
      <c r="A3963" s="31" t="s">
        <v>75</v>
      </c>
      <c r="B3963" s="39" t="e">
        <f>TRUNC((A3939-SUM(C3961:C3962))/100000)</f>
        <v>#REF!</v>
      </c>
      <c r="C3963" s="31" t="e">
        <f>B3963*100000</f>
        <v>#REF!</v>
      </c>
      <c r="D3963" s="31" t="e">
        <f>IF(B3963&lt;1,"",IF(B3963=1,"",VLOOKUP(B3963,$J$3:$L$102,3)))</f>
        <v>#REF!</v>
      </c>
      <c r="E3963" s="31" t="e">
        <f>IF(B3963&lt;1,"",IF(B3963=1," Seratus "," Ratus "))</f>
        <v>#REF!</v>
      </c>
      <c r="J3963" s="31">
        <v>22</v>
      </c>
      <c r="K3963" s="33" t="s">
        <v>92</v>
      </c>
      <c r="L3963" s="31" t="str">
        <f t="shared" si="382"/>
        <v>Dua Puluh Dua</v>
      </c>
    </row>
    <row r="3964" spans="1:12">
      <c r="A3964" s="33" t="s">
        <v>77</v>
      </c>
      <c r="B3964" s="40" t="e">
        <f>TRUNC((A3939-SUM(C3961:C3963))/1000)</f>
        <v>#REF!</v>
      </c>
      <c r="C3964" s="31" t="e">
        <f>B3964*1000</f>
        <v>#REF!</v>
      </c>
      <c r="D3964" s="31" t="e">
        <f>IF(B3964&lt;1,"",IF(B3964=1,"",VLOOKUP(B3964,$J$3:$L$102,3)))</f>
        <v>#REF!</v>
      </c>
      <c r="E3964" s="31" t="e">
        <f>IF(B3963+B3964&lt;1,"",IF(B3964=1," Seribu "," Ribu "))</f>
        <v>#REF!</v>
      </c>
      <c r="J3964" s="31">
        <v>23</v>
      </c>
      <c r="K3964" s="33" t="s">
        <v>93</v>
      </c>
      <c r="L3964" s="31" t="str">
        <f t="shared" si="382"/>
        <v>Dua Puluh Tiga</v>
      </c>
    </row>
    <row r="3965" spans="1:12">
      <c r="A3965" s="33" t="s">
        <v>79</v>
      </c>
      <c r="B3965" s="40" t="e">
        <f>TRUNC((A3939-SUM(C3961:C3964))/100)</f>
        <v>#REF!</v>
      </c>
      <c r="C3965" s="31" t="e">
        <f>B3965*100</f>
        <v>#REF!</v>
      </c>
      <c r="D3965" s="31" t="e">
        <f>IF(B3965&lt;1,"",IF(B3965=1,"",VLOOKUP(B3965,$J$3:$L$102,3)))</f>
        <v>#REF!</v>
      </c>
      <c r="E3965" s="31" t="e">
        <f>IF(B3965&lt;1,"",IF(B3965=1," Seratus "," Ratus "))</f>
        <v>#REF!</v>
      </c>
      <c r="J3965" s="31">
        <v>24</v>
      </c>
      <c r="K3965" s="33" t="s">
        <v>94</v>
      </c>
      <c r="L3965" s="31" t="str">
        <f t="shared" si="382"/>
        <v>Dua Puluh Empat</v>
      </c>
    </row>
    <row r="3966" spans="1:12">
      <c r="A3966" s="33" t="s">
        <v>81</v>
      </c>
      <c r="B3966" s="41" t="e">
        <f>TRUNC((A3939-SUM(C3961:C3965)))</f>
        <v>#REF!</v>
      </c>
      <c r="C3966" s="42" t="e">
        <f>B3966</f>
        <v>#REF!</v>
      </c>
      <c r="D3966" s="31" t="e">
        <f>IF(B3966&lt;1,"",VLOOKUP(B3966,$J$3:$L$102,3))</f>
        <v>#REF!</v>
      </c>
      <c r="E3966" s="31" t="e">
        <f>IF(SUM(C3961:C3966)&lt;1,"",IF(B3967&lt;1,""," Dan "))</f>
        <v>#REF!</v>
      </c>
      <c r="J3966" s="31">
        <v>25</v>
      </c>
      <c r="K3966" s="33" t="s">
        <v>95</v>
      </c>
      <c r="L3966" s="31" t="str">
        <f t="shared" si="382"/>
        <v>Dua Puluh Lima</v>
      </c>
    </row>
    <row r="3967" spans="1:12">
      <c r="A3967" s="33" t="s">
        <v>83</v>
      </c>
      <c r="B3967" s="40" t="e">
        <f>ROUND(A3939-SUM(C3961:C3966),2)*100</f>
        <v>#REF!</v>
      </c>
      <c r="D3967" s="31" t="e">
        <f>IF(B3967&lt;1,"",VLOOKUP(B3967,$J$3:$L$102,3))</f>
        <v>#REF!</v>
      </c>
      <c r="E3967" s="31" t="e">
        <f>IF(B3967&lt;1,""," Sen ")</f>
        <v>#REF!</v>
      </c>
      <c r="J3967" s="31">
        <v>26</v>
      </c>
      <c r="K3967" s="33" t="s">
        <v>96</v>
      </c>
      <c r="L3967" s="31" t="str">
        <f t="shared" si="382"/>
        <v>Dua Puluh Enam</v>
      </c>
    </row>
    <row r="3968" spans="1:12">
      <c r="J3968" s="31">
        <v>27</v>
      </c>
      <c r="K3968" s="33" t="s">
        <v>97</v>
      </c>
      <c r="L3968" s="31" t="str">
        <f t="shared" si="382"/>
        <v>Dua Puluh Tujuh</v>
      </c>
    </row>
    <row r="3969" spans="1:12">
      <c r="J3969" s="31">
        <v>28</v>
      </c>
      <c r="K3969" s="33" t="s">
        <v>98</v>
      </c>
      <c r="L3969" s="31" t="str">
        <f t="shared" si="382"/>
        <v>Dua Puluh Delapan</v>
      </c>
    </row>
    <row r="3970" spans="1:12">
      <c r="J3970" s="31">
        <v>29</v>
      </c>
      <c r="K3970" s="33" t="s">
        <v>99</v>
      </c>
      <c r="L3970" s="31" t="str">
        <f t="shared" si="382"/>
        <v>Dua Puluh Sembilan</v>
      </c>
    </row>
    <row r="3971" spans="1:12">
      <c r="J3971" s="31">
        <v>30</v>
      </c>
      <c r="K3971" s="33" t="s">
        <v>100</v>
      </c>
      <c r="L3971" s="31" t="s">
        <v>101</v>
      </c>
    </row>
    <row r="3972" spans="1:12">
      <c r="J3972" s="31">
        <v>31</v>
      </c>
      <c r="K3972" s="33" t="s">
        <v>102</v>
      </c>
      <c r="L3972" s="31" t="str">
        <f t="shared" ref="L3972:L3980" si="383">$L$33&amp;" "&amp;L3942</f>
        <v>Tiga Puluh Satu</v>
      </c>
    </row>
    <row r="3973" spans="1:12">
      <c r="J3973" s="31">
        <v>32</v>
      </c>
      <c r="K3973" s="33" t="s">
        <v>103</v>
      </c>
      <c r="L3973" s="31" t="str">
        <f t="shared" si="383"/>
        <v>Tiga Puluh Dua</v>
      </c>
    </row>
    <row r="3974" spans="1:12">
      <c r="J3974" s="31">
        <v>33</v>
      </c>
      <c r="K3974" s="33" t="s">
        <v>104</v>
      </c>
      <c r="L3974" s="31" t="str">
        <f t="shared" si="383"/>
        <v>Tiga Puluh Tiga</v>
      </c>
    </row>
    <row r="3975" spans="1:12">
      <c r="J3975" s="31">
        <v>34</v>
      </c>
      <c r="K3975" s="33" t="s">
        <v>105</v>
      </c>
      <c r="L3975" s="31" t="str">
        <f t="shared" si="383"/>
        <v>Tiga Puluh Empat</v>
      </c>
    </row>
    <row r="3976" spans="1:12">
      <c r="J3976" s="31">
        <v>35</v>
      </c>
      <c r="K3976" s="33" t="s">
        <v>106</v>
      </c>
      <c r="L3976" s="31" t="str">
        <f t="shared" si="383"/>
        <v>Tiga Puluh Lima</v>
      </c>
    </row>
    <row r="3977" spans="1:12">
      <c r="J3977" s="31">
        <v>36</v>
      </c>
      <c r="K3977" s="33" t="s">
        <v>107</v>
      </c>
      <c r="L3977" s="31" t="str">
        <f t="shared" si="383"/>
        <v>Tiga Puluh Enam</v>
      </c>
    </row>
    <row r="3978" spans="1:12">
      <c r="J3978" s="31">
        <v>37</v>
      </c>
      <c r="K3978" s="33" t="s">
        <v>108</v>
      </c>
      <c r="L3978" s="31" t="str">
        <f t="shared" si="383"/>
        <v>Tiga Puluh Tujuh</v>
      </c>
    </row>
    <row r="3979" spans="1:12">
      <c r="J3979" s="31">
        <v>38</v>
      </c>
      <c r="K3979" s="33" t="s">
        <v>109</v>
      </c>
      <c r="L3979" s="31" t="str">
        <f t="shared" si="383"/>
        <v>Tiga Puluh Delapan</v>
      </c>
    </row>
    <row r="3980" spans="1:12">
      <c r="J3980" s="31">
        <v>39</v>
      </c>
      <c r="K3980" s="33" t="s">
        <v>110</v>
      </c>
      <c r="L3980" s="31" t="str">
        <f t="shared" si="383"/>
        <v>Tiga Puluh Sembilan</v>
      </c>
    </row>
    <row r="3981" spans="1:12">
      <c r="B3981" s="35"/>
      <c r="C3981" s="35"/>
      <c r="D3981" s="35"/>
      <c r="J3981" s="31">
        <v>40</v>
      </c>
      <c r="K3981" s="33" t="s">
        <v>111</v>
      </c>
      <c r="L3981" s="31" t="s">
        <v>112</v>
      </c>
    </row>
    <row r="3982" spans="1:12">
      <c r="A3982" s="35"/>
      <c r="B3982" s="35"/>
      <c r="C3982" s="35"/>
      <c r="D3982" s="35"/>
      <c r="J3982" s="31">
        <v>41</v>
      </c>
      <c r="K3982" s="33" t="s">
        <v>113</v>
      </c>
      <c r="L3982" s="31" t="str">
        <f t="shared" ref="L3982:L3990" si="384">$L$43&amp;" "&amp;L3942</f>
        <v>Empat Puluh Satu</v>
      </c>
    </row>
    <row r="3983" spans="1:12">
      <c r="J3983" s="31">
        <v>42</v>
      </c>
      <c r="K3983" s="33" t="s">
        <v>114</v>
      </c>
      <c r="L3983" s="31" t="str">
        <f t="shared" si="384"/>
        <v>Empat Puluh Dua</v>
      </c>
    </row>
    <row r="3984" spans="1:12">
      <c r="A3984" s="38"/>
      <c r="J3984" s="31">
        <v>43</v>
      </c>
      <c r="K3984" s="33" t="s">
        <v>115</v>
      </c>
      <c r="L3984" s="31" t="str">
        <f t="shared" si="384"/>
        <v>Empat Puluh Tiga</v>
      </c>
    </row>
    <row r="3985" spans="10:12">
      <c r="J3985" s="31">
        <v>44</v>
      </c>
      <c r="K3985" s="33" t="s">
        <v>116</v>
      </c>
      <c r="L3985" s="31" t="str">
        <f t="shared" si="384"/>
        <v>Empat Puluh Empat</v>
      </c>
    </row>
    <row r="3986" spans="10:12">
      <c r="J3986" s="31">
        <v>45</v>
      </c>
      <c r="K3986" s="33" t="s">
        <v>117</v>
      </c>
      <c r="L3986" s="31" t="str">
        <f t="shared" si="384"/>
        <v>Empat Puluh Lima</v>
      </c>
    </row>
    <row r="3987" spans="10:12">
      <c r="J3987" s="31">
        <v>46</v>
      </c>
      <c r="K3987" s="33" t="s">
        <v>118</v>
      </c>
      <c r="L3987" s="31" t="str">
        <f t="shared" si="384"/>
        <v>Empat Puluh Enam</v>
      </c>
    </row>
    <row r="3988" spans="10:12">
      <c r="J3988" s="31">
        <v>47</v>
      </c>
      <c r="K3988" s="33" t="s">
        <v>119</v>
      </c>
      <c r="L3988" s="31" t="str">
        <f t="shared" si="384"/>
        <v>Empat Puluh Tujuh</v>
      </c>
    </row>
    <row r="3989" spans="10:12">
      <c r="J3989" s="31">
        <v>48</v>
      </c>
      <c r="K3989" s="33" t="s">
        <v>120</v>
      </c>
      <c r="L3989" s="31" t="str">
        <f t="shared" si="384"/>
        <v>Empat Puluh Delapan</v>
      </c>
    </row>
    <row r="3990" spans="10:12">
      <c r="J3990" s="31">
        <v>49</v>
      </c>
      <c r="K3990" s="33" t="s">
        <v>121</v>
      </c>
      <c r="L3990" s="31" t="str">
        <f t="shared" si="384"/>
        <v>Empat Puluh Sembilan</v>
      </c>
    </row>
    <row r="3991" spans="10:12">
      <c r="J3991" s="31">
        <v>50</v>
      </c>
      <c r="K3991" s="33" t="s">
        <v>122</v>
      </c>
      <c r="L3991" s="31" t="s">
        <v>123</v>
      </c>
    </row>
    <row r="3992" spans="10:12">
      <c r="J3992" s="31">
        <v>51</v>
      </c>
      <c r="K3992" s="33" t="s">
        <v>124</v>
      </c>
      <c r="L3992" s="31" t="str">
        <f t="shared" ref="L3992:L4000" si="385">$L$53&amp;" "&amp;L3942</f>
        <v>Lima Puluh Satu</v>
      </c>
    </row>
    <row r="3993" spans="10:12">
      <c r="J3993" s="31">
        <v>52</v>
      </c>
      <c r="K3993" s="33" t="s">
        <v>125</v>
      </c>
      <c r="L3993" s="31" t="str">
        <f t="shared" si="385"/>
        <v>Lima Puluh Dua</v>
      </c>
    </row>
    <row r="3994" spans="10:12">
      <c r="J3994" s="31">
        <v>53</v>
      </c>
      <c r="K3994" s="33" t="s">
        <v>126</v>
      </c>
      <c r="L3994" s="31" t="str">
        <f t="shared" si="385"/>
        <v>Lima Puluh Tiga</v>
      </c>
    </row>
    <row r="3995" spans="10:12">
      <c r="J3995" s="31">
        <v>54</v>
      </c>
      <c r="K3995" s="33" t="s">
        <v>127</v>
      </c>
      <c r="L3995" s="31" t="str">
        <f t="shared" si="385"/>
        <v>Lima Puluh Empat</v>
      </c>
    </row>
    <row r="3996" spans="10:12">
      <c r="J3996" s="31">
        <v>55</v>
      </c>
      <c r="K3996" s="33" t="s">
        <v>128</v>
      </c>
      <c r="L3996" s="31" t="str">
        <f t="shared" si="385"/>
        <v>Lima Puluh Lima</v>
      </c>
    </row>
    <row r="3997" spans="10:12">
      <c r="J3997" s="31">
        <v>56</v>
      </c>
      <c r="K3997" s="33" t="s">
        <v>129</v>
      </c>
      <c r="L3997" s="31" t="str">
        <f t="shared" si="385"/>
        <v>Lima Puluh Enam</v>
      </c>
    </row>
    <row r="3998" spans="10:12">
      <c r="J3998" s="31">
        <v>57</v>
      </c>
      <c r="K3998" s="33" t="s">
        <v>130</v>
      </c>
      <c r="L3998" s="31" t="str">
        <f t="shared" si="385"/>
        <v>Lima Puluh Tujuh</v>
      </c>
    </row>
    <row r="3999" spans="10:12">
      <c r="J3999" s="31">
        <v>58</v>
      </c>
      <c r="K3999" s="33" t="s">
        <v>131</v>
      </c>
      <c r="L3999" s="31" t="str">
        <f t="shared" si="385"/>
        <v>Lima Puluh Delapan</v>
      </c>
    </row>
    <row r="4000" spans="10:12">
      <c r="J4000" s="31">
        <v>59</v>
      </c>
      <c r="K4000" s="33" t="s">
        <v>132</v>
      </c>
      <c r="L4000" s="31" t="str">
        <f t="shared" si="385"/>
        <v>Lima Puluh Sembilan</v>
      </c>
    </row>
    <row r="4001" spans="10:12">
      <c r="J4001" s="31">
        <v>60</v>
      </c>
      <c r="K4001" s="33" t="s">
        <v>133</v>
      </c>
      <c r="L4001" s="31" t="s">
        <v>134</v>
      </c>
    </row>
    <row r="4002" spans="10:12">
      <c r="J4002" s="31">
        <v>61</v>
      </c>
      <c r="K4002" s="33" t="s">
        <v>135</v>
      </c>
      <c r="L4002" s="31" t="str">
        <f t="shared" ref="L4002:L4010" si="386">$L$63&amp;" "&amp;L3942</f>
        <v>Enam Puluh Satu</v>
      </c>
    </row>
    <row r="4003" spans="10:12">
      <c r="J4003" s="31">
        <v>62</v>
      </c>
      <c r="K4003" s="33" t="s">
        <v>136</v>
      </c>
      <c r="L4003" s="31" t="str">
        <f t="shared" si="386"/>
        <v>Enam Puluh Dua</v>
      </c>
    </row>
    <row r="4004" spans="10:12">
      <c r="J4004" s="31">
        <v>63</v>
      </c>
      <c r="K4004" s="33" t="s">
        <v>137</v>
      </c>
      <c r="L4004" s="31" t="str">
        <f t="shared" si="386"/>
        <v>Enam Puluh Tiga</v>
      </c>
    </row>
    <row r="4005" spans="10:12">
      <c r="J4005" s="31">
        <v>64</v>
      </c>
      <c r="K4005" s="33" t="s">
        <v>138</v>
      </c>
      <c r="L4005" s="31" t="str">
        <f t="shared" si="386"/>
        <v>Enam Puluh Empat</v>
      </c>
    </row>
    <row r="4006" spans="10:12">
      <c r="J4006" s="31">
        <v>65</v>
      </c>
      <c r="K4006" s="33" t="s">
        <v>139</v>
      </c>
      <c r="L4006" s="31" t="str">
        <f t="shared" si="386"/>
        <v>Enam Puluh Lima</v>
      </c>
    </row>
    <row r="4007" spans="10:12">
      <c r="J4007" s="31">
        <v>66</v>
      </c>
      <c r="K4007" s="33" t="s">
        <v>140</v>
      </c>
      <c r="L4007" s="31" t="str">
        <f t="shared" si="386"/>
        <v>Enam Puluh Enam</v>
      </c>
    </row>
    <row r="4008" spans="10:12">
      <c r="J4008" s="31">
        <v>67</v>
      </c>
      <c r="K4008" s="33" t="s">
        <v>141</v>
      </c>
      <c r="L4008" s="31" t="str">
        <f t="shared" si="386"/>
        <v>Enam Puluh Tujuh</v>
      </c>
    </row>
    <row r="4009" spans="10:12">
      <c r="J4009" s="31">
        <v>68</v>
      </c>
      <c r="K4009" s="33" t="s">
        <v>142</v>
      </c>
      <c r="L4009" s="31" t="str">
        <f t="shared" si="386"/>
        <v>Enam Puluh Delapan</v>
      </c>
    </row>
    <row r="4010" spans="10:12">
      <c r="J4010" s="31">
        <v>69</v>
      </c>
      <c r="K4010" s="33" t="s">
        <v>143</v>
      </c>
      <c r="L4010" s="31" t="str">
        <f t="shared" si="386"/>
        <v>Enam Puluh Sembilan</v>
      </c>
    </row>
    <row r="4011" spans="10:12">
      <c r="J4011" s="31">
        <v>70</v>
      </c>
      <c r="K4011" s="33" t="s">
        <v>144</v>
      </c>
      <c r="L4011" s="31" t="s">
        <v>145</v>
      </c>
    </row>
    <row r="4012" spans="10:12">
      <c r="J4012" s="31">
        <v>71</v>
      </c>
      <c r="K4012" s="33" t="s">
        <v>146</v>
      </c>
      <c r="L4012" s="31" t="str">
        <f t="shared" ref="L4012:L4020" si="387">$L$73&amp;" "&amp;L3942</f>
        <v>Tujuh Puluh Satu</v>
      </c>
    </row>
    <row r="4013" spans="10:12">
      <c r="J4013" s="31">
        <v>72</v>
      </c>
      <c r="K4013" s="33" t="s">
        <v>147</v>
      </c>
      <c r="L4013" s="31" t="str">
        <f t="shared" si="387"/>
        <v>Tujuh Puluh Dua</v>
      </c>
    </row>
    <row r="4014" spans="10:12">
      <c r="J4014" s="31">
        <v>73</v>
      </c>
      <c r="K4014" s="33" t="s">
        <v>148</v>
      </c>
      <c r="L4014" s="31" t="str">
        <f t="shared" si="387"/>
        <v>Tujuh Puluh Tiga</v>
      </c>
    </row>
    <row r="4015" spans="10:12">
      <c r="J4015" s="31">
        <v>74</v>
      </c>
      <c r="K4015" s="33" t="s">
        <v>149</v>
      </c>
      <c r="L4015" s="31" t="str">
        <f t="shared" si="387"/>
        <v>Tujuh Puluh Empat</v>
      </c>
    </row>
    <row r="4016" spans="10:12">
      <c r="J4016" s="31">
        <v>75</v>
      </c>
      <c r="K4016" s="33" t="s">
        <v>150</v>
      </c>
      <c r="L4016" s="31" t="str">
        <f t="shared" si="387"/>
        <v>Tujuh Puluh Lima</v>
      </c>
    </row>
    <row r="4017" spans="10:12">
      <c r="J4017" s="31">
        <v>76</v>
      </c>
      <c r="K4017" s="33" t="s">
        <v>151</v>
      </c>
      <c r="L4017" s="31" t="str">
        <f t="shared" si="387"/>
        <v>Tujuh Puluh Enam</v>
      </c>
    </row>
    <row r="4018" spans="10:12">
      <c r="J4018" s="31">
        <v>77</v>
      </c>
      <c r="K4018" s="33" t="s">
        <v>152</v>
      </c>
      <c r="L4018" s="31" t="str">
        <f t="shared" si="387"/>
        <v>Tujuh Puluh Tujuh</v>
      </c>
    </row>
    <row r="4019" spans="10:12">
      <c r="J4019" s="31">
        <v>78</v>
      </c>
      <c r="K4019" s="33" t="s">
        <v>153</v>
      </c>
      <c r="L4019" s="31" t="str">
        <f t="shared" si="387"/>
        <v>Tujuh Puluh Delapan</v>
      </c>
    </row>
    <row r="4020" spans="10:12">
      <c r="J4020" s="31">
        <v>79</v>
      </c>
      <c r="K4020" s="33" t="s">
        <v>154</v>
      </c>
      <c r="L4020" s="31" t="str">
        <f t="shared" si="387"/>
        <v>Tujuh Puluh Sembilan</v>
      </c>
    </row>
    <row r="4021" spans="10:12">
      <c r="J4021" s="31">
        <v>80</v>
      </c>
      <c r="K4021" s="33" t="s">
        <v>155</v>
      </c>
      <c r="L4021" s="31" t="s">
        <v>156</v>
      </c>
    </row>
    <row r="4022" spans="10:12">
      <c r="J4022" s="31">
        <v>81</v>
      </c>
      <c r="K4022" s="33" t="s">
        <v>157</v>
      </c>
      <c r="L4022" s="31" t="str">
        <f t="shared" ref="L4022:L4030" si="388">$L$83&amp;" "&amp;L3942</f>
        <v>Delapan Puluh Satu</v>
      </c>
    </row>
    <row r="4023" spans="10:12">
      <c r="J4023" s="31">
        <v>82</v>
      </c>
      <c r="K4023" s="33" t="s">
        <v>158</v>
      </c>
      <c r="L4023" s="31" t="str">
        <f t="shared" si="388"/>
        <v>Delapan Puluh Dua</v>
      </c>
    </row>
    <row r="4024" spans="10:12">
      <c r="J4024" s="31">
        <v>83</v>
      </c>
      <c r="K4024" s="33" t="s">
        <v>159</v>
      </c>
      <c r="L4024" s="31" t="str">
        <f t="shared" si="388"/>
        <v>Delapan Puluh Tiga</v>
      </c>
    </row>
    <row r="4025" spans="10:12">
      <c r="J4025" s="31">
        <v>84</v>
      </c>
      <c r="K4025" s="33" t="s">
        <v>160</v>
      </c>
      <c r="L4025" s="31" t="str">
        <f t="shared" si="388"/>
        <v>Delapan Puluh Empat</v>
      </c>
    </row>
    <row r="4026" spans="10:12">
      <c r="J4026" s="31">
        <v>85</v>
      </c>
      <c r="K4026" s="33" t="s">
        <v>161</v>
      </c>
      <c r="L4026" s="31" t="str">
        <f t="shared" si="388"/>
        <v>Delapan Puluh Lima</v>
      </c>
    </row>
    <row r="4027" spans="10:12">
      <c r="J4027" s="31">
        <v>86</v>
      </c>
      <c r="K4027" s="33" t="s">
        <v>162</v>
      </c>
      <c r="L4027" s="31" t="str">
        <f t="shared" si="388"/>
        <v>Delapan Puluh Enam</v>
      </c>
    </row>
    <row r="4028" spans="10:12">
      <c r="J4028" s="31">
        <v>87</v>
      </c>
      <c r="K4028" s="33" t="s">
        <v>163</v>
      </c>
      <c r="L4028" s="31" t="str">
        <f t="shared" si="388"/>
        <v>Delapan Puluh Tujuh</v>
      </c>
    </row>
    <row r="4029" spans="10:12">
      <c r="J4029" s="31">
        <v>88</v>
      </c>
      <c r="K4029" s="33" t="s">
        <v>164</v>
      </c>
      <c r="L4029" s="31" t="str">
        <f t="shared" si="388"/>
        <v>Delapan Puluh Delapan</v>
      </c>
    </row>
    <row r="4030" spans="10:12">
      <c r="J4030" s="31">
        <v>89</v>
      </c>
      <c r="K4030" s="33" t="s">
        <v>165</v>
      </c>
      <c r="L4030" s="31" t="str">
        <f t="shared" si="388"/>
        <v>Delapan Puluh Sembilan</v>
      </c>
    </row>
    <row r="4031" spans="10:12">
      <c r="J4031" s="31">
        <v>90</v>
      </c>
      <c r="K4031" s="33" t="s">
        <v>166</v>
      </c>
      <c r="L4031" s="31" t="s">
        <v>167</v>
      </c>
    </row>
    <row r="4032" spans="10:12">
      <c r="J4032" s="31">
        <v>91</v>
      </c>
      <c r="K4032" s="33" t="s">
        <v>168</v>
      </c>
      <c r="L4032" s="31" t="str">
        <f t="shared" ref="L4032:L4040" si="389">$L$93&amp;" "&amp;L3942</f>
        <v>Sembilan Puluh Satu</v>
      </c>
    </row>
    <row r="4033" spans="1:12">
      <c r="J4033" s="31">
        <v>92</v>
      </c>
      <c r="K4033" s="33" t="s">
        <v>169</v>
      </c>
      <c r="L4033" s="31" t="str">
        <f t="shared" si="389"/>
        <v>Sembilan Puluh Dua</v>
      </c>
    </row>
    <row r="4034" spans="1:12">
      <c r="J4034" s="31">
        <v>93</v>
      </c>
      <c r="K4034" s="33" t="s">
        <v>170</v>
      </c>
      <c r="L4034" s="31" t="str">
        <f t="shared" si="389"/>
        <v>Sembilan Puluh Tiga</v>
      </c>
    </row>
    <row r="4035" spans="1:12">
      <c r="J4035" s="31">
        <v>94</v>
      </c>
      <c r="K4035" s="33" t="s">
        <v>171</v>
      </c>
      <c r="L4035" s="31" t="str">
        <f t="shared" si="389"/>
        <v>Sembilan Puluh Empat</v>
      </c>
    </row>
    <row r="4036" spans="1:12">
      <c r="J4036" s="31">
        <v>95</v>
      </c>
      <c r="K4036" s="33" t="s">
        <v>172</v>
      </c>
      <c r="L4036" s="31" t="str">
        <f t="shared" si="389"/>
        <v>Sembilan Puluh Lima</v>
      </c>
    </row>
    <row r="4037" spans="1:12">
      <c r="J4037" s="31">
        <v>96</v>
      </c>
      <c r="K4037" s="33" t="s">
        <v>173</v>
      </c>
      <c r="L4037" s="31" t="str">
        <f t="shared" si="389"/>
        <v>Sembilan Puluh Enam</v>
      </c>
    </row>
    <row r="4038" spans="1:12">
      <c r="J4038" s="31">
        <v>97</v>
      </c>
      <c r="K4038" s="33" t="s">
        <v>174</v>
      </c>
      <c r="L4038" s="31" t="str">
        <f t="shared" si="389"/>
        <v>Sembilan Puluh Tujuh</v>
      </c>
    </row>
    <row r="4039" spans="1:12">
      <c r="J4039" s="31">
        <v>98</v>
      </c>
      <c r="K4039" s="33" t="s">
        <v>175</v>
      </c>
      <c r="L4039" s="31" t="str">
        <f t="shared" si="389"/>
        <v>Sembilan Puluh Delapan</v>
      </c>
    </row>
    <row r="4040" spans="1:12">
      <c r="J4040" s="31">
        <v>99</v>
      </c>
      <c r="K4040" s="33" t="s">
        <v>176</v>
      </c>
      <c r="L4040" s="31" t="str">
        <f t="shared" si="389"/>
        <v>Sembilan Puluh Sembilan</v>
      </c>
    </row>
    <row r="4043" spans="1:12">
      <c r="A4043" s="30" t="e">
        <f>#REF!</f>
        <v>#REF!</v>
      </c>
      <c r="C4043" s="31" t="s">
        <v>239</v>
      </c>
    </row>
    <row r="4044" spans="1:12">
      <c r="A4044" s="32"/>
    </row>
    <row r="4045" spans="1:12">
      <c r="J4045" s="31">
        <v>0</v>
      </c>
      <c r="K4045" s="33" t="s">
        <v>48</v>
      </c>
      <c r="L4045" s="31" t="s">
        <v>49</v>
      </c>
    </row>
    <row r="4046" spans="1:12">
      <c r="A4046" s="34"/>
      <c r="J4046" s="31">
        <v>1</v>
      </c>
      <c r="K4046" s="33" t="s">
        <v>50</v>
      </c>
      <c r="L4046" s="31" t="s">
        <v>51</v>
      </c>
    </row>
    <row r="4047" spans="1:12">
      <c r="A4047" s="255" t="e">
        <f>TRIM(D4055&amp;E4055&amp;D4056&amp;E4056&amp;D4057&amp;E4057&amp;D4058&amp;E4058&amp;D4059&amp;E4059&amp;D4060&amp;E4060&amp;E4061&amp;D4061&amp;" Only")</f>
        <v>#REF!</v>
      </c>
      <c r="B4047" s="255"/>
      <c r="C4047" s="255"/>
      <c r="D4047" s="255"/>
      <c r="E4047" s="35"/>
      <c r="F4047" s="36"/>
      <c r="J4047" s="31">
        <v>2</v>
      </c>
      <c r="K4047" s="33" t="s">
        <v>52</v>
      </c>
      <c r="L4047" s="31" t="s">
        <v>53</v>
      </c>
    </row>
    <row r="4048" spans="1:12">
      <c r="A4048" s="37"/>
      <c r="B4048" s="37"/>
      <c r="C4048" s="37"/>
      <c r="D4048" s="37"/>
      <c r="E4048" s="35"/>
      <c r="F4048" s="36"/>
      <c r="J4048" s="31">
        <v>3</v>
      </c>
      <c r="K4048" s="33" t="s">
        <v>54</v>
      </c>
      <c r="L4048" s="31" t="s">
        <v>55</v>
      </c>
    </row>
    <row r="4049" spans="1:12">
      <c r="A4049" s="37"/>
      <c r="B4049" s="37"/>
      <c r="C4049" s="37"/>
      <c r="D4049" s="37"/>
      <c r="J4049" s="31">
        <v>4</v>
      </c>
      <c r="K4049" s="33" t="s">
        <v>56</v>
      </c>
      <c r="L4049" s="31" t="s">
        <v>57</v>
      </c>
    </row>
    <row r="4050" spans="1:12">
      <c r="A4050" s="255" t="e">
        <f>TRIM(D4065&amp;E4065&amp;D4066&amp;E4066&amp;D4067&amp;E4067&amp;D4068&amp;E4068&amp;D4069&amp;E4069&amp;D4070&amp;E4070&amp;D4071&amp;E4071&amp;" Rupiah")</f>
        <v>#REF!</v>
      </c>
      <c r="B4050" s="255"/>
      <c r="C4050" s="255"/>
      <c r="D4050" s="255"/>
      <c r="E4050" s="35"/>
      <c r="F4050" s="36"/>
      <c r="J4050" s="31">
        <v>5</v>
      </c>
      <c r="K4050" s="33" t="s">
        <v>58</v>
      </c>
      <c r="L4050" s="31" t="s">
        <v>59</v>
      </c>
    </row>
    <row r="4051" spans="1:12">
      <c r="A4051" s="35"/>
      <c r="B4051" s="35"/>
      <c r="C4051" s="35"/>
      <c r="D4051" s="35"/>
      <c r="E4051" s="35"/>
      <c r="F4051" s="36"/>
      <c r="J4051" s="31">
        <v>6</v>
      </c>
      <c r="K4051" s="33" t="s">
        <v>60</v>
      </c>
      <c r="L4051" s="31" t="s">
        <v>61</v>
      </c>
    </row>
    <row r="4052" spans="1:12">
      <c r="J4052" s="31">
        <v>7</v>
      </c>
      <c r="K4052" s="33" t="s">
        <v>62</v>
      </c>
      <c r="L4052" s="31" t="s">
        <v>63</v>
      </c>
    </row>
    <row r="4053" spans="1:12">
      <c r="J4053" s="31">
        <v>8</v>
      </c>
      <c r="K4053" s="33" t="s">
        <v>64</v>
      </c>
      <c r="L4053" s="31" t="s">
        <v>65</v>
      </c>
    </row>
    <row r="4054" spans="1:12">
      <c r="A4054" s="38" t="s">
        <v>66</v>
      </c>
      <c r="J4054" s="31">
        <v>9</v>
      </c>
      <c r="K4054" s="33" t="s">
        <v>67</v>
      </c>
      <c r="L4054" s="31" t="s">
        <v>68</v>
      </c>
    </row>
    <row r="4055" spans="1:12">
      <c r="A4055" s="31" t="s">
        <v>69</v>
      </c>
      <c r="B4055" s="39" t="e">
        <f>TRUNC(A4043/100000000)</f>
        <v>#REF!</v>
      </c>
      <c r="C4055" s="31" t="e">
        <f>B4055*100000000</f>
        <v>#REF!</v>
      </c>
      <c r="D4055" s="31" t="e">
        <f t="shared" ref="D4055:D4061" si="390">IF(B4055&lt;1,"",VLOOKUP(B4055,$J$3:$K$102,2))</f>
        <v>#REF!</v>
      </c>
      <c r="E4055" s="31" t="e">
        <f>IF(B4055&lt;1,"",IF(B4055&gt;1," Hundreds "," Hundred "))</f>
        <v>#REF!</v>
      </c>
      <c r="J4055" s="31">
        <v>10</v>
      </c>
      <c r="K4055" s="33" t="s">
        <v>70</v>
      </c>
      <c r="L4055" s="31" t="s">
        <v>71</v>
      </c>
    </row>
    <row r="4056" spans="1:12">
      <c r="A4056" s="31" t="s">
        <v>72</v>
      </c>
      <c r="B4056" s="39" t="e">
        <f>TRUNC((A4043-C4055)/1000000)</f>
        <v>#REF!</v>
      </c>
      <c r="C4056" s="31" t="e">
        <f>B4056*1000000</f>
        <v>#REF!</v>
      </c>
      <c r="D4056" s="31" t="e">
        <f t="shared" si="390"/>
        <v>#REF!</v>
      </c>
      <c r="E4056" s="31" t="e">
        <f>IF(B4055+B4056=0,"",IF(B4056=1," Million "," Millions "))</f>
        <v>#REF!</v>
      </c>
      <c r="J4056" s="31">
        <v>11</v>
      </c>
      <c r="K4056" s="33" t="s">
        <v>73</v>
      </c>
      <c r="L4056" s="31" t="s">
        <v>74</v>
      </c>
    </row>
    <row r="4057" spans="1:12">
      <c r="A4057" s="31" t="s">
        <v>75</v>
      </c>
      <c r="B4057" s="39" t="e">
        <f>TRUNC((A4043-SUM(C4055:C4056))/100000)</f>
        <v>#REF!</v>
      </c>
      <c r="C4057" s="31" t="e">
        <f>B4057*100000</f>
        <v>#REF!</v>
      </c>
      <c r="D4057" s="31" t="e">
        <f t="shared" si="390"/>
        <v>#REF!</v>
      </c>
      <c r="E4057" s="31" t="e">
        <f>IF(B4057&lt;1,"",IF(B4057&gt;1," Hundreds "," Hundred "))</f>
        <v>#REF!</v>
      </c>
      <c r="J4057" s="31">
        <v>12</v>
      </c>
      <c r="K4057" s="33" t="s">
        <v>76</v>
      </c>
      <c r="L4057" s="31" t="str">
        <f t="shared" ref="L4057:L4064" si="391">L4047&amp;" Belas"</f>
        <v>Dua Belas</v>
      </c>
    </row>
    <row r="4058" spans="1:12">
      <c r="A4058" s="33" t="s">
        <v>77</v>
      </c>
      <c r="B4058" s="40" t="e">
        <f>TRUNC((A4043-SUM(C4055:C4057))/1000)</f>
        <v>#REF!</v>
      </c>
      <c r="C4058" s="31" t="e">
        <f>B4058*1000</f>
        <v>#REF!</v>
      </c>
      <c r="D4058" s="31" t="e">
        <f t="shared" si="390"/>
        <v>#REF!</v>
      </c>
      <c r="E4058" s="31" t="e">
        <f>IF(B4057+B4058=0,"",IF(B4058=1," Thousand "," Thousands "))</f>
        <v>#REF!</v>
      </c>
      <c r="J4058" s="31">
        <v>13</v>
      </c>
      <c r="K4058" s="33" t="s">
        <v>78</v>
      </c>
      <c r="L4058" s="31" t="str">
        <f t="shared" si="391"/>
        <v>Tiga Belas</v>
      </c>
    </row>
    <row r="4059" spans="1:12">
      <c r="A4059" s="33" t="s">
        <v>79</v>
      </c>
      <c r="B4059" s="40" t="e">
        <f>TRUNC((A4043-SUM(C4055:C4058))/100)</f>
        <v>#REF!</v>
      </c>
      <c r="C4059" s="31" t="e">
        <f>B4059*100</f>
        <v>#REF!</v>
      </c>
      <c r="D4059" s="31" t="e">
        <f t="shared" si="390"/>
        <v>#REF!</v>
      </c>
      <c r="E4059" s="31" t="e">
        <f>IF(B4059&lt;1,"",IF(B4059&gt;1," Hundreds "," Hundred "))</f>
        <v>#REF!</v>
      </c>
      <c r="J4059" s="31">
        <v>14</v>
      </c>
      <c r="K4059" s="33" t="s">
        <v>80</v>
      </c>
      <c r="L4059" s="31" t="str">
        <f t="shared" si="391"/>
        <v>Empat Belas</v>
      </c>
    </row>
    <row r="4060" spans="1:12">
      <c r="A4060" s="33" t="s">
        <v>81</v>
      </c>
      <c r="B4060" s="41" t="e">
        <f>TRUNC((A4043-SUM(C4055:C4059)))</f>
        <v>#REF!</v>
      </c>
      <c r="C4060" s="42" t="e">
        <f>B4060</f>
        <v>#REF!</v>
      </c>
      <c r="D4060" s="31" t="e">
        <f t="shared" si="390"/>
        <v>#REF!</v>
      </c>
      <c r="E4060" s="31" t="e">
        <f>IF(SUM(C4055:C4060)&lt;1,"",IF(B4061&lt;1,""," And "))</f>
        <v>#REF!</v>
      </c>
      <c r="J4060" s="31">
        <v>15</v>
      </c>
      <c r="K4060" s="33" t="s">
        <v>82</v>
      </c>
      <c r="L4060" s="31" t="str">
        <f t="shared" si="391"/>
        <v>Lima Belas</v>
      </c>
    </row>
    <row r="4061" spans="1:12">
      <c r="A4061" s="33" t="s">
        <v>83</v>
      </c>
      <c r="B4061" s="40" t="e">
        <f>ROUND(A4043-SUM(C4055:C4060),2)*100</f>
        <v>#REF!</v>
      </c>
      <c r="D4061" s="43" t="e">
        <f t="shared" si="390"/>
        <v>#REF!</v>
      </c>
      <c r="E4061" s="31" t="e">
        <f>IF(B4061&lt;1,"",IF(B4061=1," Cent "," Cents "))</f>
        <v>#REF!</v>
      </c>
      <c r="J4061" s="31">
        <v>16</v>
      </c>
      <c r="K4061" s="33" t="s">
        <v>84</v>
      </c>
      <c r="L4061" s="31" t="str">
        <f t="shared" si="391"/>
        <v>Enam Belas</v>
      </c>
    </row>
    <row r="4062" spans="1:12">
      <c r="J4062" s="31">
        <v>17</v>
      </c>
      <c r="K4062" s="33" t="s">
        <v>85</v>
      </c>
      <c r="L4062" s="31" t="str">
        <f t="shared" si="391"/>
        <v>Tujuh Belas</v>
      </c>
    </row>
    <row r="4063" spans="1:12">
      <c r="A4063" s="44"/>
      <c r="J4063" s="31">
        <v>18</v>
      </c>
      <c r="K4063" s="33" t="s">
        <v>86</v>
      </c>
      <c r="L4063" s="31" t="str">
        <f t="shared" si="391"/>
        <v>Delapan Belas</v>
      </c>
    </row>
    <row r="4064" spans="1:12">
      <c r="A4064" s="38" t="s">
        <v>87</v>
      </c>
      <c r="J4064" s="31">
        <v>19</v>
      </c>
      <c r="K4064" s="33" t="s">
        <v>88</v>
      </c>
      <c r="L4064" s="31" t="str">
        <f t="shared" si="391"/>
        <v>Sembilan Belas</v>
      </c>
    </row>
    <row r="4065" spans="1:12">
      <c r="A4065" s="31" t="s">
        <v>69</v>
      </c>
      <c r="B4065" s="39" t="e">
        <f>TRUNC(A4043/100000000)</f>
        <v>#REF!</v>
      </c>
      <c r="C4065" s="31" t="e">
        <f>B4065*100000000</f>
        <v>#REF!</v>
      </c>
      <c r="D4065" s="31" t="e">
        <f>IF(B4065&lt;1,"",IF(B4065=1,"",VLOOKUP(B4065,$J$3:$L$102,3)))</f>
        <v>#REF!</v>
      </c>
      <c r="E4065" s="31" t="e">
        <f>IF(B4065&lt;1,"",IF(B4065=1,"Seratus "," Ratus "))</f>
        <v>#REF!</v>
      </c>
      <c r="J4065" s="31">
        <v>20</v>
      </c>
      <c r="K4065" s="33" t="s">
        <v>89</v>
      </c>
      <c r="L4065" s="31" t="s">
        <v>90</v>
      </c>
    </row>
    <row r="4066" spans="1:12">
      <c r="A4066" s="31" t="s">
        <v>72</v>
      </c>
      <c r="B4066" s="39" t="e">
        <f>TRUNC((A4043-C4065)/1000000)</f>
        <v>#REF!</v>
      </c>
      <c r="C4066" s="31" t="e">
        <f>B4066*1000000</f>
        <v>#REF!</v>
      </c>
      <c r="D4066" s="31" t="e">
        <f>IF(B4066&lt;1,"",VLOOKUP(B4066,$J$3:$L$102,3))</f>
        <v>#REF!</v>
      </c>
      <c r="E4066" s="31" t="e">
        <f>IF(B4065+B4066=0,""," Juta ")</f>
        <v>#REF!</v>
      </c>
      <c r="J4066" s="31">
        <v>21</v>
      </c>
      <c r="K4066" s="33" t="s">
        <v>91</v>
      </c>
      <c r="L4066" s="31" t="str">
        <f t="shared" ref="L4066:L4074" si="392">$L$23&amp;" "&amp;L4046</f>
        <v>Dua Puluh Satu</v>
      </c>
    </row>
    <row r="4067" spans="1:12">
      <c r="A4067" s="31" t="s">
        <v>75</v>
      </c>
      <c r="B4067" s="39" t="e">
        <f>TRUNC((A4043-SUM(C4065:C4066))/100000)</f>
        <v>#REF!</v>
      </c>
      <c r="C4067" s="31" t="e">
        <f>B4067*100000</f>
        <v>#REF!</v>
      </c>
      <c r="D4067" s="31" t="e">
        <f>IF(B4067&lt;1,"",IF(B4067=1,"",VLOOKUP(B4067,$J$3:$L$102,3)))</f>
        <v>#REF!</v>
      </c>
      <c r="E4067" s="31" t="e">
        <f>IF(B4067&lt;1,"",IF(B4067=1," Seratus "," Ratus "))</f>
        <v>#REF!</v>
      </c>
      <c r="J4067" s="31">
        <v>22</v>
      </c>
      <c r="K4067" s="33" t="s">
        <v>92</v>
      </c>
      <c r="L4067" s="31" t="str">
        <f t="shared" si="392"/>
        <v>Dua Puluh Dua</v>
      </c>
    </row>
    <row r="4068" spans="1:12">
      <c r="A4068" s="33" t="s">
        <v>77</v>
      </c>
      <c r="B4068" s="40" t="e">
        <f>TRUNC((A4043-SUM(C4065:C4067))/1000)</f>
        <v>#REF!</v>
      </c>
      <c r="C4068" s="31" t="e">
        <f>B4068*1000</f>
        <v>#REF!</v>
      </c>
      <c r="D4068" s="31" t="e">
        <f>IF(B4068&lt;1,"",IF(B4068=1,"",VLOOKUP(B4068,$J$3:$L$102,3)))</f>
        <v>#REF!</v>
      </c>
      <c r="E4068" s="31" t="e">
        <f>IF(B4067+B4068&lt;1,"",IF(B4068=1," Seribu "," Ribu "))</f>
        <v>#REF!</v>
      </c>
      <c r="J4068" s="31">
        <v>23</v>
      </c>
      <c r="K4068" s="33" t="s">
        <v>93</v>
      </c>
      <c r="L4068" s="31" t="str">
        <f t="shared" si="392"/>
        <v>Dua Puluh Tiga</v>
      </c>
    </row>
    <row r="4069" spans="1:12">
      <c r="A4069" s="33" t="s">
        <v>79</v>
      </c>
      <c r="B4069" s="40" t="e">
        <f>TRUNC((A4043-SUM(C4065:C4068))/100)</f>
        <v>#REF!</v>
      </c>
      <c r="C4069" s="31" t="e">
        <f>B4069*100</f>
        <v>#REF!</v>
      </c>
      <c r="D4069" s="31" t="e">
        <f>IF(B4069&lt;1,"",IF(B4069=1,"",VLOOKUP(B4069,$J$3:$L$102,3)))</f>
        <v>#REF!</v>
      </c>
      <c r="E4069" s="31" t="e">
        <f>IF(B4069&lt;1,"",IF(B4069=1," Seratus "," Ratus "))</f>
        <v>#REF!</v>
      </c>
      <c r="J4069" s="31">
        <v>24</v>
      </c>
      <c r="K4069" s="33" t="s">
        <v>94</v>
      </c>
      <c r="L4069" s="31" t="str">
        <f t="shared" si="392"/>
        <v>Dua Puluh Empat</v>
      </c>
    </row>
    <row r="4070" spans="1:12">
      <c r="A4070" s="33" t="s">
        <v>81</v>
      </c>
      <c r="B4070" s="41" t="e">
        <f>TRUNC((A4043-SUM(C4065:C4069)))</f>
        <v>#REF!</v>
      </c>
      <c r="C4070" s="42" t="e">
        <f>B4070</f>
        <v>#REF!</v>
      </c>
      <c r="D4070" s="31" t="e">
        <f>IF(B4070&lt;1,"",VLOOKUP(B4070,$J$3:$L$102,3))</f>
        <v>#REF!</v>
      </c>
      <c r="E4070" s="31" t="e">
        <f>IF(SUM(C4065:C4070)&lt;1,"",IF(B4071&lt;1,""," Dan "))</f>
        <v>#REF!</v>
      </c>
      <c r="J4070" s="31">
        <v>25</v>
      </c>
      <c r="K4070" s="33" t="s">
        <v>95</v>
      </c>
      <c r="L4070" s="31" t="str">
        <f t="shared" si="392"/>
        <v>Dua Puluh Lima</v>
      </c>
    </row>
    <row r="4071" spans="1:12">
      <c r="A4071" s="33" t="s">
        <v>83</v>
      </c>
      <c r="B4071" s="40" t="e">
        <f>ROUND(A4043-SUM(C4065:C4070),2)*100</f>
        <v>#REF!</v>
      </c>
      <c r="D4071" s="31" t="e">
        <f>IF(B4071&lt;1,"",VLOOKUP(B4071,$J$3:$L$102,3))</f>
        <v>#REF!</v>
      </c>
      <c r="E4071" s="31" t="e">
        <f>IF(B4071&lt;1,""," Sen ")</f>
        <v>#REF!</v>
      </c>
      <c r="J4071" s="31">
        <v>26</v>
      </c>
      <c r="K4071" s="33" t="s">
        <v>96</v>
      </c>
      <c r="L4071" s="31" t="str">
        <f t="shared" si="392"/>
        <v>Dua Puluh Enam</v>
      </c>
    </row>
    <row r="4072" spans="1:12">
      <c r="J4072" s="31">
        <v>27</v>
      </c>
      <c r="K4072" s="33" t="s">
        <v>97</v>
      </c>
      <c r="L4072" s="31" t="str">
        <f t="shared" si="392"/>
        <v>Dua Puluh Tujuh</v>
      </c>
    </row>
    <row r="4073" spans="1:12">
      <c r="J4073" s="31">
        <v>28</v>
      </c>
      <c r="K4073" s="33" t="s">
        <v>98</v>
      </c>
      <c r="L4073" s="31" t="str">
        <f t="shared" si="392"/>
        <v>Dua Puluh Delapan</v>
      </c>
    </row>
    <row r="4074" spans="1:12">
      <c r="J4074" s="31">
        <v>29</v>
      </c>
      <c r="K4074" s="33" t="s">
        <v>99</v>
      </c>
      <c r="L4074" s="31" t="str">
        <f t="shared" si="392"/>
        <v>Dua Puluh Sembilan</v>
      </c>
    </row>
    <row r="4075" spans="1:12">
      <c r="J4075" s="31">
        <v>30</v>
      </c>
      <c r="K4075" s="33" t="s">
        <v>100</v>
      </c>
      <c r="L4075" s="31" t="s">
        <v>101</v>
      </c>
    </row>
    <row r="4076" spans="1:12">
      <c r="J4076" s="31">
        <v>31</v>
      </c>
      <c r="K4076" s="33" t="s">
        <v>102</v>
      </c>
      <c r="L4076" s="31" t="str">
        <f t="shared" ref="L4076:L4084" si="393">$L$33&amp;" "&amp;L4046</f>
        <v>Tiga Puluh Satu</v>
      </c>
    </row>
    <row r="4077" spans="1:12">
      <c r="J4077" s="31">
        <v>32</v>
      </c>
      <c r="K4077" s="33" t="s">
        <v>103</v>
      </c>
      <c r="L4077" s="31" t="str">
        <f t="shared" si="393"/>
        <v>Tiga Puluh Dua</v>
      </c>
    </row>
    <row r="4078" spans="1:12">
      <c r="J4078" s="31">
        <v>33</v>
      </c>
      <c r="K4078" s="33" t="s">
        <v>104</v>
      </c>
      <c r="L4078" s="31" t="str">
        <f t="shared" si="393"/>
        <v>Tiga Puluh Tiga</v>
      </c>
    </row>
    <row r="4079" spans="1:12">
      <c r="J4079" s="31">
        <v>34</v>
      </c>
      <c r="K4079" s="33" t="s">
        <v>105</v>
      </c>
      <c r="L4079" s="31" t="str">
        <f t="shared" si="393"/>
        <v>Tiga Puluh Empat</v>
      </c>
    </row>
    <row r="4080" spans="1:12">
      <c r="J4080" s="31">
        <v>35</v>
      </c>
      <c r="K4080" s="33" t="s">
        <v>106</v>
      </c>
      <c r="L4080" s="31" t="str">
        <f t="shared" si="393"/>
        <v>Tiga Puluh Lima</v>
      </c>
    </row>
    <row r="4081" spans="1:12">
      <c r="J4081" s="31">
        <v>36</v>
      </c>
      <c r="K4081" s="33" t="s">
        <v>107</v>
      </c>
      <c r="L4081" s="31" t="str">
        <f t="shared" si="393"/>
        <v>Tiga Puluh Enam</v>
      </c>
    </row>
    <row r="4082" spans="1:12">
      <c r="J4082" s="31">
        <v>37</v>
      </c>
      <c r="K4082" s="33" t="s">
        <v>108</v>
      </c>
      <c r="L4082" s="31" t="str">
        <f t="shared" si="393"/>
        <v>Tiga Puluh Tujuh</v>
      </c>
    </row>
    <row r="4083" spans="1:12">
      <c r="J4083" s="31">
        <v>38</v>
      </c>
      <c r="K4083" s="33" t="s">
        <v>109</v>
      </c>
      <c r="L4083" s="31" t="str">
        <f t="shared" si="393"/>
        <v>Tiga Puluh Delapan</v>
      </c>
    </row>
    <row r="4084" spans="1:12">
      <c r="J4084" s="31">
        <v>39</v>
      </c>
      <c r="K4084" s="33" t="s">
        <v>110</v>
      </c>
      <c r="L4084" s="31" t="str">
        <f t="shared" si="393"/>
        <v>Tiga Puluh Sembilan</v>
      </c>
    </row>
    <row r="4085" spans="1:12">
      <c r="B4085" s="35"/>
      <c r="C4085" s="35"/>
      <c r="D4085" s="35"/>
      <c r="J4085" s="31">
        <v>40</v>
      </c>
      <c r="K4085" s="33" t="s">
        <v>111</v>
      </c>
      <c r="L4085" s="31" t="s">
        <v>112</v>
      </c>
    </row>
    <row r="4086" spans="1:12">
      <c r="A4086" s="35"/>
      <c r="B4086" s="35"/>
      <c r="C4086" s="35"/>
      <c r="D4086" s="35"/>
      <c r="J4086" s="31">
        <v>41</v>
      </c>
      <c r="K4086" s="33" t="s">
        <v>113</v>
      </c>
      <c r="L4086" s="31" t="str">
        <f t="shared" ref="L4086:L4094" si="394">$L$43&amp;" "&amp;L4046</f>
        <v>Empat Puluh Satu</v>
      </c>
    </row>
    <row r="4087" spans="1:12">
      <c r="J4087" s="31">
        <v>42</v>
      </c>
      <c r="K4087" s="33" t="s">
        <v>114</v>
      </c>
      <c r="L4087" s="31" t="str">
        <f t="shared" si="394"/>
        <v>Empat Puluh Dua</v>
      </c>
    </row>
    <row r="4088" spans="1:12">
      <c r="A4088" s="38"/>
      <c r="J4088" s="31">
        <v>43</v>
      </c>
      <c r="K4088" s="33" t="s">
        <v>115</v>
      </c>
      <c r="L4088" s="31" t="str">
        <f t="shared" si="394"/>
        <v>Empat Puluh Tiga</v>
      </c>
    </row>
    <row r="4089" spans="1:12">
      <c r="J4089" s="31">
        <v>44</v>
      </c>
      <c r="K4089" s="33" t="s">
        <v>116</v>
      </c>
      <c r="L4089" s="31" t="str">
        <f t="shared" si="394"/>
        <v>Empat Puluh Empat</v>
      </c>
    </row>
    <row r="4090" spans="1:12">
      <c r="J4090" s="31">
        <v>45</v>
      </c>
      <c r="K4090" s="33" t="s">
        <v>117</v>
      </c>
      <c r="L4090" s="31" t="str">
        <f t="shared" si="394"/>
        <v>Empat Puluh Lima</v>
      </c>
    </row>
    <row r="4091" spans="1:12">
      <c r="J4091" s="31">
        <v>46</v>
      </c>
      <c r="K4091" s="33" t="s">
        <v>118</v>
      </c>
      <c r="L4091" s="31" t="str">
        <f t="shared" si="394"/>
        <v>Empat Puluh Enam</v>
      </c>
    </row>
    <row r="4092" spans="1:12">
      <c r="J4092" s="31">
        <v>47</v>
      </c>
      <c r="K4092" s="33" t="s">
        <v>119</v>
      </c>
      <c r="L4092" s="31" t="str">
        <f t="shared" si="394"/>
        <v>Empat Puluh Tujuh</v>
      </c>
    </row>
    <row r="4093" spans="1:12">
      <c r="J4093" s="31">
        <v>48</v>
      </c>
      <c r="K4093" s="33" t="s">
        <v>120</v>
      </c>
      <c r="L4093" s="31" t="str">
        <f t="shared" si="394"/>
        <v>Empat Puluh Delapan</v>
      </c>
    </row>
    <row r="4094" spans="1:12">
      <c r="J4094" s="31">
        <v>49</v>
      </c>
      <c r="K4094" s="33" t="s">
        <v>121</v>
      </c>
      <c r="L4094" s="31" t="str">
        <f t="shared" si="394"/>
        <v>Empat Puluh Sembilan</v>
      </c>
    </row>
    <row r="4095" spans="1:12">
      <c r="J4095" s="31">
        <v>50</v>
      </c>
      <c r="K4095" s="33" t="s">
        <v>122</v>
      </c>
      <c r="L4095" s="31" t="s">
        <v>123</v>
      </c>
    </row>
    <row r="4096" spans="1:12">
      <c r="J4096" s="31">
        <v>51</v>
      </c>
      <c r="K4096" s="33" t="s">
        <v>124</v>
      </c>
      <c r="L4096" s="31" t="str">
        <f t="shared" ref="L4096:L4104" si="395">$L$53&amp;" "&amp;L4046</f>
        <v>Lima Puluh Satu</v>
      </c>
    </row>
    <row r="4097" spans="10:12">
      <c r="J4097" s="31">
        <v>52</v>
      </c>
      <c r="K4097" s="33" t="s">
        <v>125</v>
      </c>
      <c r="L4097" s="31" t="str">
        <f t="shared" si="395"/>
        <v>Lima Puluh Dua</v>
      </c>
    </row>
    <row r="4098" spans="10:12">
      <c r="J4098" s="31">
        <v>53</v>
      </c>
      <c r="K4098" s="33" t="s">
        <v>126</v>
      </c>
      <c r="L4098" s="31" t="str">
        <f t="shared" si="395"/>
        <v>Lima Puluh Tiga</v>
      </c>
    </row>
    <row r="4099" spans="10:12">
      <c r="J4099" s="31">
        <v>54</v>
      </c>
      <c r="K4099" s="33" t="s">
        <v>127</v>
      </c>
      <c r="L4099" s="31" t="str">
        <f t="shared" si="395"/>
        <v>Lima Puluh Empat</v>
      </c>
    </row>
    <row r="4100" spans="10:12">
      <c r="J4100" s="31">
        <v>55</v>
      </c>
      <c r="K4100" s="33" t="s">
        <v>128</v>
      </c>
      <c r="L4100" s="31" t="str">
        <f t="shared" si="395"/>
        <v>Lima Puluh Lima</v>
      </c>
    </row>
    <row r="4101" spans="10:12">
      <c r="J4101" s="31">
        <v>56</v>
      </c>
      <c r="K4101" s="33" t="s">
        <v>129</v>
      </c>
      <c r="L4101" s="31" t="str">
        <f t="shared" si="395"/>
        <v>Lima Puluh Enam</v>
      </c>
    </row>
    <row r="4102" spans="10:12">
      <c r="J4102" s="31">
        <v>57</v>
      </c>
      <c r="K4102" s="33" t="s">
        <v>130</v>
      </c>
      <c r="L4102" s="31" t="str">
        <f t="shared" si="395"/>
        <v>Lima Puluh Tujuh</v>
      </c>
    </row>
    <row r="4103" spans="10:12">
      <c r="J4103" s="31">
        <v>58</v>
      </c>
      <c r="K4103" s="33" t="s">
        <v>131</v>
      </c>
      <c r="L4103" s="31" t="str">
        <f t="shared" si="395"/>
        <v>Lima Puluh Delapan</v>
      </c>
    </row>
    <row r="4104" spans="10:12">
      <c r="J4104" s="31">
        <v>59</v>
      </c>
      <c r="K4104" s="33" t="s">
        <v>132</v>
      </c>
      <c r="L4104" s="31" t="str">
        <f t="shared" si="395"/>
        <v>Lima Puluh Sembilan</v>
      </c>
    </row>
    <row r="4105" spans="10:12">
      <c r="J4105" s="31">
        <v>60</v>
      </c>
      <c r="K4105" s="33" t="s">
        <v>133</v>
      </c>
      <c r="L4105" s="31" t="s">
        <v>134</v>
      </c>
    </row>
    <row r="4106" spans="10:12">
      <c r="J4106" s="31">
        <v>61</v>
      </c>
      <c r="K4106" s="33" t="s">
        <v>135</v>
      </c>
      <c r="L4106" s="31" t="str">
        <f t="shared" ref="L4106:L4114" si="396">$L$63&amp;" "&amp;L4046</f>
        <v>Enam Puluh Satu</v>
      </c>
    </row>
    <row r="4107" spans="10:12">
      <c r="J4107" s="31">
        <v>62</v>
      </c>
      <c r="K4107" s="33" t="s">
        <v>136</v>
      </c>
      <c r="L4107" s="31" t="str">
        <f t="shared" si="396"/>
        <v>Enam Puluh Dua</v>
      </c>
    </row>
    <row r="4108" spans="10:12">
      <c r="J4108" s="31">
        <v>63</v>
      </c>
      <c r="K4108" s="33" t="s">
        <v>137</v>
      </c>
      <c r="L4108" s="31" t="str">
        <f t="shared" si="396"/>
        <v>Enam Puluh Tiga</v>
      </c>
    </row>
    <row r="4109" spans="10:12">
      <c r="J4109" s="31">
        <v>64</v>
      </c>
      <c r="K4109" s="33" t="s">
        <v>138</v>
      </c>
      <c r="L4109" s="31" t="str">
        <f t="shared" si="396"/>
        <v>Enam Puluh Empat</v>
      </c>
    </row>
    <row r="4110" spans="10:12">
      <c r="J4110" s="31">
        <v>65</v>
      </c>
      <c r="K4110" s="33" t="s">
        <v>139</v>
      </c>
      <c r="L4110" s="31" t="str">
        <f t="shared" si="396"/>
        <v>Enam Puluh Lima</v>
      </c>
    </row>
    <row r="4111" spans="10:12">
      <c r="J4111" s="31">
        <v>66</v>
      </c>
      <c r="K4111" s="33" t="s">
        <v>140</v>
      </c>
      <c r="L4111" s="31" t="str">
        <f t="shared" si="396"/>
        <v>Enam Puluh Enam</v>
      </c>
    </row>
    <row r="4112" spans="10:12">
      <c r="J4112" s="31">
        <v>67</v>
      </c>
      <c r="K4112" s="33" t="s">
        <v>141</v>
      </c>
      <c r="L4112" s="31" t="str">
        <f t="shared" si="396"/>
        <v>Enam Puluh Tujuh</v>
      </c>
    </row>
    <row r="4113" spans="10:12">
      <c r="J4113" s="31">
        <v>68</v>
      </c>
      <c r="K4113" s="33" t="s">
        <v>142</v>
      </c>
      <c r="L4113" s="31" t="str">
        <f t="shared" si="396"/>
        <v>Enam Puluh Delapan</v>
      </c>
    </row>
    <row r="4114" spans="10:12">
      <c r="J4114" s="31">
        <v>69</v>
      </c>
      <c r="K4114" s="33" t="s">
        <v>143</v>
      </c>
      <c r="L4114" s="31" t="str">
        <f t="shared" si="396"/>
        <v>Enam Puluh Sembilan</v>
      </c>
    </row>
    <row r="4115" spans="10:12">
      <c r="J4115" s="31">
        <v>70</v>
      </c>
      <c r="K4115" s="33" t="s">
        <v>144</v>
      </c>
      <c r="L4115" s="31" t="s">
        <v>145</v>
      </c>
    </row>
    <row r="4116" spans="10:12">
      <c r="J4116" s="31">
        <v>71</v>
      </c>
      <c r="K4116" s="33" t="s">
        <v>146</v>
      </c>
      <c r="L4116" s="31" t="str">
        <f t="shared" ref="L4116:L4124" si="397">$L$73&amp;" "&amp;L4046</f>
        <v>Tujuh Puluh Satu</v>
      </c>
    </row>
    <row r="4117" spans="10:12">
      <c r="J4117" s="31">
        <v>72</v>
      </c>
      <c r="K4117" s="33" t="s">
        <v>147</v>
      </c>
      <c r="L4117" s="31" t="str">
        <f t="shared" si="397"/>
        <v>Tujuh Puluh Dua</v>
      </c>
    </row>
    <row r="4118" spans="10:12">
      <c r="J4118" s="31">
        <v>73</v>
      </c>
      <c r="K4118" s="33" t="s">
        <v>148</v>
      </c>
      <c r="L4118" s="31" t="str">
        <f t="shared" si="397"/>
        <v>Tujuh Puluh Tiga</v>
      </c>
    </row>
    <row r="4119" spans="10:12">
      <c r="J4119" s="31">
        <v>74</v>
      </c>
      <c r="K4119" s="33" t="s">
        <v>149</v>
      </c>
      <c r="L4119" s="31" t="str">
        <f t="shared" si="397"/>
        <v>Tujuh Puluh Empat</v>
      </c>
    </row>
    <row r="4120" spans="10:12">
      <c r="J4120" s="31">
        <v>75</v>
      </c>
      <c r="K4120" s="33" t="s">
        <v>150</v>
      </c>
      <c r="L4120" s="31" t="str">
        <f t="shared" si="397"/>
        <v>Tujuh Puluh Lima</v>
      </c>
    </row>
    <row r="4121" spans="10:12">
      <c r="J4121" s="31">
        <v>76</v>
      </c>
      <c r="K4121" s="33" t="s">
        <v>151</v>
      </c>
      <c r="L4121" s="31" t="str">
        <f t="shared" si="397"/>
        <v>Tujuh Puluh Enam</v>
      </c>
    </row>
    <row r="4122" spans="10:12">
      <c r="J4122" s="31">
        <v>77</v>
      </c>
      <c r="K4122" s="33" t="s">
        <v>152</v>
      </c>
      <c r="L4122" s="31" t="str">
        <f t="shared" si="397"/>
        <v>Tujuh Puluh Tujuh</v>
      </c>
    </row>
    <row r="4123" spans="10:12">
      <c r="J4123" s="31">
        <v>78</v>
      </c>
      <c r="K4123" s="33" t="s">
        <v>153</v>
      </c>
      <c r="L4123" s="31" t="str">
        <f t="shared" si="397"/>
        <v>Tujuh Puluh Delapan</v>
      </c>
    </row>
    <row r="4124" spans="10:12">
      <c r="J4124" s="31">
        <v>79</v>
      </c>
      <c r="K4124" s="33" t="s">
        <v>154</v>
      </c>
      <c r="L4124" s="31" t="str">
        <f t="shared" si="397"/>
        <v>Tujuh Puluh Sembilan</v>
      </c>
    </row>
    <row r="4125" spans="10:12">
      <c r="J4125" s="31">
        <v>80</v>
      </c>
      <c r="K4125" s="33" t="s">
        <v>155</v>
      </c>
      <c r="L4125" s="31" t="s">
        <v>156</v>
      </c>
    </row>
    <row r="4126" spans="10:12">
      <c r="J4126" s="31">
        <v>81</v>
      </c>
      <c r="K4126" s="33" t="s">
        <v>157</v>
      </c>
      <c r="L4126" s="31" t="str">
        <f t="shared" ref="L4126:L4134" si="398">$L$83&amp;" "&amp;L4046</f>
        <v>Delapan Puluh Satu</v>
      </c>
    </row>
    <row r="4127" spans="10:12">
      <c r="J4127" s="31">
        <v>82</v>
      </c>
      <c r="K4127" s="33" t="s">
        <v>158</v>
      </c>
      <c r="L4127" s="31" t="str">
        <f t="shared" si="398"/>
        <v>Delapan Puluh Dua</v>
      </c>
    </row>
    <row r="4128" spans="10:12">
      <c r="J4128" s="31">
        <v>83</v>
      </c>
      <c r="K4128" s="33" t="s">
        <v>159</v>
      </c>
      <c r="L4128" s="31" t="str">
        <f t="shared" si="398"/>
        <v>Delapan Puluh Tiga</v>
      </c>
    </row>
    <row r="4129" spans="10:12">
      <c r="J4129" s="31">
        <v>84</v>
      </c>
      <c r="K4129" s="33" t="s">
        <v>160</v>
      </c>
      <c r="L4129" s="31" t="str">
        <f t="shared" si="398"/>
        <v>Delapan Puluh Empat</v>
      </c>
    </row>
    <row r="4130" spans="10:12">
      <c r="J4130" s="31">
        <v>85</v>
      </c>
      <c r="K4130" s="33" t="s">
        <v>161</v>
      </c>
      <c r="L4130" s="31" t="str">
        <f t="shared" si="398"/>
        <v>Delapan Puluh Lima</v>
      </c>
    </row>
    <row r="4131" spans="10:12">
      <c r="J4131" s="31">
        <v>86</v>
      </c>
      <c r="K4131" s="33" t="s">
        <v>162</v>
      </c>
      <c r="L4131" s="31" t="str">
        <f t="shared" si="398"/>
        <v>Delapan Puluh Enam</v>
      </c>
    </row>
    <row r="4132" spans="10:12">
      <c r="J4132" s="31">
        <v>87</v>
      </c>
      <c r="K4132" s="33" t="s">
        <v>163</v>
      </c>
      <c r="L4132" s="31" t="str">
        <f t="shared" si="398"/>
        <v>Delapan Puluh Tujuh</v>
      </c>
    </row>
    <row r="4133" spans="10:12">
      <c r="J4133" s="31">
        <v>88</v>
      </c>
      <c r="K4133" s="33" t="s">
        <v>164</v>
      </c>
      <c r="L4133" s="31" t="str">
        <f t="shared" si="398"/>
        <v>Delapan Puluh Delapan</v>
      </c>
    </row>
    <row r="4134" spans="10:12">
      <c r="J4134" s="31">
        <v>89</v>
      </c>
      <c r="K4134" s="33" t="s">
        <v>165</v>
      </c>
      <c r="L4134" s="31" t="str">
        <f t="shared" si="398"/>
        <v>Delapan Puluh Sembilan</v>
      </c>
    </row>
    <row r="4135" spans="10:12">
      <c r="J4135" s="31">
        <v>90</v>
      </c>
      <c r="K4135" s="33" t="s">
        <v>166</v>
      </c>
      <c r="L4135" s="31" t="s">
        <v>167</v>
      </c>
    </row>
    <row r="4136" spans="10:12">
      <c r="J4136" s="31">
        <v>91</v>
      </c>
      <c r="K4136" s="33" t="s">
        <v>168</v>
      </c>
      <c r="L4136" s="31" t="str">
        <f t="shared" ref="L4136:L4144" si="399">$L$93&amp;" "&amp;L4046</f>
        <v>Sembilan Puluh Satu</v>
      </c>
    </row>
    <row r="4137" spans="10:12">
      <c r="J4137" s="31">
        <v>92</v>
      </c>
      <c r="K4137" s="33" t="s">
        <v>169</v>
      </c>
      <c r="L4137" s="31" t="str">
        <f t="shared" si="399"/>
        <v>Sembilan Puluh Dua</v>
      </c>
    </row>
    <row r="4138" spans="10:12">
      <c r="J4138" s="31">
        <v>93</v>
      </c>
      <c r="K4138" s="33" t="s">
        <v>170</v>
      </c>
      <c r="L4138" s="31" t="str">
        <f t="shared" si="399"/>
        <v>Sembilan Puluh Tiga</v>
      </c>
    </row>
    <row r="4139" spans="10:12">
      <c r="J4139" s="31">
        <v>94</v>
      </c>
      <c r="K4139" s="33" t="s">
        <v>171</v>
      </c>
      <c r="L4139" s="31" t="str">
        <f t="shared" si="399"/>
        <v>Sembilan Puluh Empat</v>
      </c>
    </row>
    <row r="4140" spans="10:12">
      <c r="J4140" s="31">
        <v>95</v>
      </c>
      <c r="K4140" s="33" t="s">
        <v>172</v>
      </c>
      <c r="L4140" s="31" t="str">
        <f t="shared" si="399"/>
        <v>Sembilan Puluh Lima</v>
      </c>
    </row>
    <row r="4141" spans="10:12">
      <c r="J4141" s="31">
        <v>96</v>
      </c>
      <c r="K4141" s="33" t="s">
        <v>173</v>
      </c>
      <c r="L4141" s="31" t="str">
        <f t="shared" si="399"/>
        <v>Sembilan Puluh Enam</v>
      </c>
    </row>
    <row r="4142" spans="10:12">
      <c r="J4142" s="31">
        <v>97</v>
      </c>
      <c r="K4142" s="33" t="s">
        <v>174</v>
      </c>
      <c r="L4142" s="31" t="str">
        <f t="shared" si="399"/>
        <v>Sembilan Puluh Tujuh</v>
      </c>
    </row>
    <row r="4143" spans="10:12">
      <c r="J4143" s="31">
        <v>98</v>
      </c>
      <c r="K4143" s="33" t="s">
        <v>175</v>
      </c>
      <c r="L4143" s="31" t="str">
        <f t="shared" si="399"/>
        <v>Sembilan Puluh Delapan</v>
      </c>
    </row>
    <row r="4144" spans="10:12">
      <c r="J4144" s="31">
        <v>99</v>
      </c>
      <c r="K4144" s="33" t="s">
        <v>176</v>
      </c>
      <c r="L4144" s="31" t="str">
        <f t="shared" si="399"/>
        <v>Sembilan Puluh Sembilan</v>
      </c>
    </row>
    <row r="4147" spans="1:12">
      <c r="A4147" s="30" t="e">
        <f>#REF!</f>
        <v>#REF!</v>
      </c>
      <c r="C4147" s="31" t="s">
        <v>222</v>
      </c>
    </row>
    <row r="4148" spans="1:12">
      <c r="A4148" s="32"/>
    </row>
    <row r="4149" spans="1:12">
      <c r="J4149" s="31">
        <v>0</v>
      </c>
      <c r="K4149" s="33" t="s">
        <v>48</v>
      </c>
      <c r="L4149" s="31" t="s">
        <v>49</v>
      </c>
    </row>
    <row r="4150" spans="1:12">
      <c r="A4150" s="34"/>
      <c r="J4150" s="31">
        <v>1</v>
      </c>
      <c r="K4150" s="33" t="s">
        <v>50</v>
      </c>
      <c r="L4150" s="31" t="s">
        <v>51</v>
      </c>
    </row>
    <row r="4151" spans="1:12">
      <c r="A4151" s="255" t="e">
        <f>TRIM(D4159&amp;E4159&amp;D4160&amp;E4160&amp;D4161&amp;E4161&amp;D4162&amp;E4162&amp;D4163&amp;E4163&amp;D4164&amp;E4164&amp;E4165&amp;D4165&amp;" Only")</f>
        <v>#REF!</v>
      </c>
      <c r="B4151" s="255"/>
      <c r="C4151" s="255"/>
      <c r="D4151" s="255"/>
      <c r="E4151" s="35"/>
      <c r="F4151" s="36"/>
      <c r="J4151" s="31">
        <v>2</v>
      </c>
      <c r="K4151" s="33" t="s">
        <v>52</v>
      </c>
      <c r="L4151" s="31" t="s">
        <v>53</v>
      </c>
    </row>
    <row r="4152" spans="1:12">
      <c r="A4152" s="37"/>
      <c r="B4152" s="37"/>
      <c r="C4152" s="37"/>
      <c r="D4152" s="37"/>
      <c r="E4152" s="35"/>
      <c r="F4152" s="36"/>
      <c r="J4152" s="31">
        <v>3</v>
      </c>
      <c r="K4152" s="33" t="s">
        <v>54</v>
      </c>
      <c r="L4152" s="31" t="s">
        <v>55</v>
      </c>
    </row>
    <row r="4153" spans="1:12">
      <c r="A4153" s="37"/>
      <c r="B4153" s="37"/>
      <c r="C4153" s="37"/>
      <c r="D4153" s="37"/>
      <c r="J4153" s="31">
        <v>4</v>
      </c>
      <c r="K4153" s="33" t="s">
        <v>56</v>
      </c>
      <c r="L4153" s="31" t="s">
        <v>57</v>
      </c>
    </row>
    <row r="4154" spans="1:12">
      <c r="A4154" s="255" t="e">
        <f>TRIM(D4169&amp;E4169&amp;D4170&amp;E4170&amp;D4171&amp;E4171&amp;D4172&amp;E4172&amp;D4173&amp;E4173&amp;D4174&amp;E4174&amp;D4175&amp;E4175&amp;" Rupiah")</f>
        <v>#REF!</v>
      </c>
      <c r="B4154" s="255"/>
      <c r="C4154" s="255"/>
      <c r="D4154" s="255"/>
      <c r="E4154" s="35"/>
      <c r="F4154" s="36"/>
      <c r="J4154" s="31">
        <v>5</v>
      </c>
      <c r="K4154" s="33" t="s">
        <v>58</v>
      </c>
      <c r="L4154" s="31" t="s">
        <v>59</v>
      </c>
    </row>
    <row r="4155" spans="1:12">
      <c r="A4155" s="35"/>
      <c r="B4155" s="35"/>
      <c r="C4155" s="35"/>
      <c r="D4155" s="35"/>
      <c r="E4155" s="35"/>
      <c r="F4155" s="36"/>
      <c r="J4155" s="31">
        <v>6</v>
      </c>
      <c r="K4155" s="33" t="s">
        <v>60</v>
      </c>
      <c r="L4155" s="31" t="s">
        <v>61</v>
      </c>
    </row>
    <row r="4156" spans="1:12">
      <c r="J4156" s="31">
        <v>7</v>
      </c>
      <c r="K4156" s="33" t="s">
        <v>62</v>
      </c>
      <c r="L4156" s="31" t="s">
        <v>63</v>
      </c>
    </row>
    <row r="4157" spans="1:12">
      <c r="J4157" s="31">
        <v>8</v>
      </c>
      <c r="K4157" s="33" t="s">
        <v>64</v>
      </c>
      <c r="L4157" s="31" t="s">
        <v>65</v>
      </c>
    </row>
    <row r="4158" spans="1:12">
      <c r="A4158" s="38" t="s">
        <v>66</v>
      </c>
      <c r="J4158" s="31">
        <v>9</v>
      </c>
      <c r="K4158" s="33" t="s">
        <v>67</v>
      </c>
      <c r="L4158" s="31" t="s">
        <v>68</v>
      </c>
    </row>
    <row r="4159" spans="1:12">
      <c r="A4159" s="31" t="s">
        <v>69</v>
      </c>
      <c r="B4159" s="39" t="e">
        <f>TRUNC(A4147/100000000)</f>
        <v>#REF!</v>
      </c>
      <c r="C4159" s="31" t="e">
        <f>B4159*100000000</f>
        <v>#REF!</v>
      </c>
      <c r="D4159" s="31" t="e">
        <f t="shared" ref="D4159:D4165" si="400">IF(B4159&lt;1,"",VLOOKUP(B4159,$J$3:$K$102,2))</f>
        <v>#REF!</v>
      </c>
      <c r="E4159" s="31" t="e">
        <f>IF(B4159&lt;1,"",IF(B4159&gt;1," Hundreds "," Hundred "))</f>
        <v>#REF!</v>
      </c>
      <c r="J4159" s="31">
        <v>10</v>
      </c>
      <c r="K4159" s="33" t="s">
        <v>70</v>
      </c>
      <c r="L4159" s="31" t="s">
        <v>71</v>
      </c>
    </row>
    <row r="4160" spans="1:12">
      <c r="A4160" s="31" t="s">
        <v>72</v>
      </c>
      <c r="B4160" s="39" t="e">
        <f>TRUNC((A4147-C4159)/1000000)</f>
        <v>#REF!</v>
      </c>
      <c r="C4160" s="31" t="e">
        <f>B4160*1000000</f>
        <v>#REF!</v>
      </c>
      <c r="D4160" s="31" t="e">
        <f t="shared" si="400"/>
        <v>#REF!</v>
      </c>
      <c r="E4160" s="31" t="e">
        <f>IF(B4159+B4160=0,"",IF(B4160=1," Million "," Millions "))</f>
        <v>#REF!</v>
      </c>
      <c r="J4160" s="31">
        <v>11</v>
      </c>
      <c r="K4160" s="33" t="s">
        <v>73</v>
      </c>
      <c r="L4160" s="31" t="s">
        <v>74</v>
      </c>
    </row>
    <row r="4161" spans="1:12">
      <c r="A4161" s="31" t="s">
        <v>75</v>
      </c>
      <c r="B4161" s="39" t="e">
        <f>TRUNC((A4147-SUM(C4159:C4160))/100000)</f>
        <v>#REF!</v>
      </c>
      <c r="C4161" s="31" t="e">
        <f>B4161*100000</f>
        <v>#REF!</v>
      </c>
      <c r="D4161" s="31" t="e">
        <f t="shared" si="400"/>
        <v>#REF!</v>
      </c>
      <c r="E4161" s="31" t="e">
        <f>IF(B4161&lt;1,"",IF(B4161&gt;1," Hundreds "," Hundred "))</f>
        <v>#REF!</v>
      </c>
      <c r="J4161" s="31">
        <v>12</v>
      </c>
      <c r="K4161" s="33" t="s">
        <v>76</v>
      </c>
      <c r="L4161" s="31" t="str">
        <f t="shared" ref="L4161:L4168" si="401">L4151&amp;" Belas"</f>
        <v>Dua Belas</v>
      </c>
    </row>
    <row r="4162" spans="1:12">
      <c r="A4162" s="33" t="s">
        <v>77</v>
      </c>
      <c r="B4162" s="40" t="e">
        <f>TRUNC((A4147-SUM(C4159:C4161))/1000)</f>
        <v>#REF!</v>
      </c>
      <c r="C4162" s="31" t="e">
        <f>B4162*1000</f>
        <v>#REF!</v>
      </c>
      <c r="D4162" s="31" t="e">
        <f t="shared" si="400"/>
        <v>#REF!</v>
      </c>
      <c r="E4162" s="31" t="e">
        <f>IF(B4161+B4162=0,"",IF(B4162=1," Thousand "," Thousands "))</f>
        <v>#REF!</v>
      </c>
      <c r="J4162" s="31">
        <v>13</v>
      </c>
      <c r="K4162" s="33" t="s">
        <v>78</v>
      </c>
      <c r="L4162" s="31" t="str">
        <f t="shared" si="401"/>
        <v>Tiga Belas</v>
      </c>
    </row>
    <row r="4163" spans="1:12">
      <c r="A4163" s="33" t="s">
        <v>79</v>
      </c>
      <c r="B4163" s="40" t="e">
        <f>TRUNC((A4147-SUM(C4159:C4162))/100)</f>
        <v>#REF!</v>
      </c>
      <c r="C4163" s="31" t="e">
        <f>B4163*100</f>
        <v>#REF!</v>
      </c>
      <c r="D4163" s="31" t="e">
        <f t="shared" si="400"/>
        <v>#REF!</v>
      </c>
      <c r="E4163" s="31" t="e">
        <f>IF(B4163&lt;1,"",IF(B4163&gt;1," Hundreds "," Hundred "))</f>
        <v>#REF!</v>
      </c>
      <c r="J4163" s="31">
        <v>14</v>
      </c>
      <c r="K4163" s="33" t="s">
        <v>80</v>
      </c>
      <c r="L4163" s="31" t="str">
        <f t="shared" si="401"/>
        <v>Empat Belas</v>
      </c>
    </row>
    <row r="4164" spans="1:12">
      <c r="A4164" s="33" t="s">
        <v>81</v>
      </c>
      <c r="B4164" s="41" t="e">
        <f>TRUNC((A4147-SUM(C4159:C4163)))</f>
        <v>#REF!</v>
      </c>
      <c r="C4164" s="42" t="e">
        <f>B4164</f>
        <v>#REF!</v>
      </c>
      <c r="D4164" s="31" t="e">
        <f t="shared" si="400"/>
        <v>#REF!</v>
      </c>
      <c r="E4164" s="31" t="e">
        <f>IF(SUM(C4159:C4164)&lt;1,"",IF(B4165&lt;1,""," And "))</f>
        <v>#REF!</v>
      </c>
      <c r="J4164" s="31">
        <v>15</v>
      </c>
      <c r="K4164" s="33" t="s">
        <v>82</v>
      </c>
      <c r="L4164" s="31" t="str">
        <f t="shared" si="401"/>
        <v>Lima Belas</v>
      </c>
    </row>
    <row r="4165" spans="1:12">
      <c r="A4165" s="33" t="s">
        <v>83</v>
      </c>
      <c r="B4165" s="40" t="e">
        <f>ROUND(A4147-SUM(C4159:C4164),2)*100</f>
        <v>#REF!</v>
      </c>
      <c r="D4165" s="43" t="e">
        <f t="shared" si="400"/>
        <v>#REF!</v>
      </c>
      <c r="E4165" s="31" t="e">
        <f>IF(B4165&lt;1,"",IF(B4165=1," Cent "," Cents "))</f>
        <v>#REF!</v>
      </c>
      <c r="J4165" s="31">
        <v>16</v>
      </c>
      <c r="K4165" s="33" t="s">
        <v>84</v>
      </c>
      <c r="L4165" s="31" t="str">
        <f t="shared" si="401"/>
        <v>Enam Belas</v>
      </c>
    </row>
    <row r="4166" spans="1:12">
      <c r="J4166" s="31">
        <v>17</v>
      </c>
      <c r="K4166" s="33" t="s">
        <v>85</v>
      </c>
      <c r="L4166" s="31" t="str">
        <f t="shared" si="401"/>
        <v>Tujuh Belas</v>
      </c>
    </row>
    <row r="4167" spans="1:12">
      <c r="A4167" s="44"/>
      <c r="J4167" s="31">
        <v>18</v>
      </c>
      <c r="K4167" s="33" t="s">
        <v>86</v>
      </c>
      <c r="L4167" s="31" t="str">
        <f t="shared" si="401"/>
        <v>Delapan Belas</v>
      </c>
    </row>
    <row r="4168" spans="1:12">
      <c r="A4168" s="38" t="s">
        <v>87</v>
      </c>
      <c r="J4168" s="31">
        <v>19</v>
      </c>
      <c r="K4168" s="33" t="s">
        <v>88</v>
      </c>
      <c r="L4168" s="31" t="str">
        <f t="shared" si="401"/>
        <v>Sembilan Belas</v>
      </c>
    </row>
    <row r="4169" spans="1:12">
      <c r="A4169" s="31" t="s">
        <v>69</v>
      </c>
      <c r="B4169" s="39" t="e">
        <f>TRUNC(A4147/100000000)</f>
        <v>#REF!</v>
      </c>
      <c r="C4169" s="31" t="e">
        <f>B4169*100000000</f>
        <v>#REF!</v>
      </c>
      <c r="D4169" s="31" t="e">
        <f>IF(B4169&lt;1,"",IF(B4169=1,"",VLOOKUP(B4169,$J$3:$L$102,3)))</f>
        <v>#REF!</v>
      </c>
      <c r="E4169" s="31" t="e">
        <f>IF(B4169&lt;1,"",IF(B4169=1,"Seratus "," Ratus "))</f>
        <v>#REF!</v>
      </c>
      <c r="J4169" s="31">
        <v>20</v>
      </c>
      <c r="K4169" s="33" t="s">
        <v>89</v>
      </c>
      <c r="L4169" s="31" t="s">
        <v>90</v>
      </c>
    </row>
    <row r="4170" spans="1:12">
      <c r="A4170" s="31" t="s">
        <v>72</v>
      </c>
      <c r="B4170" s="39" t="e">
        <f>TRUNC((A4147-C4169)/1000000)</f>
        <v>#REF!</v>
      </c>
      <c r="C4170" s="31" t="e">
        <f>B4170*1000000</f>
        <v>#REF!</v>
      </c>
      <c r="D4170" s="31" t="e">
        <f>IF(B4170&lt;1,"",VLOOKUP(B4170,$J$3:$L$102,3))</f>
        <v>#REF!</v>
      </c>
      <c r="E4170" s="31" t="e">
        <f>IF(B4169+B4170=0,""," Juta ")</f>
        <v>#REF!</v>
      </c>
      <c r="J4170" s="31">
        <v>21</v>
      </c>
      <c r="K4170" s="33" t="s">
        <v>91</v>
      </c>
      <c r="L4170" s="31" t="str">
        <f t="shared" ref="L4170:L4178" si="402">$L$23&amp;" "&amp;L4150</f>
        <v>Dua Puluh Satu</v>
      </c>
    </row>
    <row r="4171" spans="1:12">
      <c r="A4171" s="31" t="s">
        <v>75</v>
      </c>
      <c r="B4171" s="39" t="e">
        <f>TRUNC((A4147-SUM(C4169:C4170))/100000)</f>
        <v>#REF!</v>
      </c>
      <c r="C4171" s="31" t="e">
        <f>B4171*100000</f>
        <v>#REF!</v>
      </c>
      <c r="D4171" s="31" t="e">
        <f>IF(B4171&lt;1,"",IF(B4171=1,"",VLOOKUP(B4171,$J$3:$L$102,3)))</f>
        <v>#REF!</v>
      </c>
      <c r="E4171" s="31" t="e">
        <f>IF(B4171&lt;1,"",IF(B4171=1," Seratus "," Ratus "))</f>
        <v>#REF!</v>
      </c>
      <c r="J4171" s="31">
        <v>22</v>
      </c>
      <c r="K4171" s="33" t="s">
        <v>92</v>
      </c>
      <c r="L4171" s="31" t="str">
        <f t="shared" si="402"/>
        <v>Dua Puluh Dua</v>
      </c>
    </row>
    <row r="4172" spans="1:12">
      <c r="A4172" s="33" t="s">
        <v>77</v>
      </c>
      <c r="B4172" s="40" t="e">
        <f>TRUNC((A4147-SUM(C4169:C4171))/1000)</f>
        <v>#REF!</v>
      </c>
      <c r="C4172" s="31" t="e">
        <f>B4172*1000</f>
        <v>#REF!</v>
      </c>
      <c r="D4172" s="31" t="e">
        <f>IF(B4172&lt;1,"",IF(B4172=1,"",VLOOKUP(B4172,$J$3:$L$102,3)))</f>
        <v>#REF!</v>
      </c>
      <c r="E4172" s="31" t="e">
        <f>IF(B4171+B4172&lt;1,"",IF(B4172=1," Seribu "," Ribu "))</f>
        <v>#REF!</v>
      </c>
      <c r="J4172" s="31">
        <v>23</v>
      </c>
      <c r="K4172" s="33" t="s">
        <v>93</v>
      </c>
      <c r="L4172" s="31" t="str">
        <f t="shared" si="402"/>
        <v>Dua Puluh Tiga</v>
      </c>
    </row>
    <row r="4173" spans="1:12">
      <c r="A4173" s="33" t="s">
        <v>79</v>
      </c>
      <c r="B4173" s="40" t="e">
        <f>TRUNC((A4147-SUM(C4169:C4172))/100)</f>
        <v>#REF!</v>
      </c>
      <c r="C4173" s="31" t="e">
        <f>B4173*100</f>
        <v>#REF!</v>
      </c>
      <c r="D4173" s="31" t="e">
        <f>IF(B4173&lt;1,"",IF(B4173=1,"",VLOOKUP(B4173,$J$3:$L$102,3)))</f>
        <v>#REF!</v>
      </c>
      <c r="E4173" s="31" t="e">
        <f>IF(B4173&lt;1,"",IF(B4173=1," Seratus "," Ratus "))</f>
        <v>#REF!</v>
      </c>
      <c r="J4173" s="31">
        <v>24</v>
      </c>
      <c r="K4173" s="33" t="s">
        <v>94</v>
      </c>
      <c r="L4173" s="31" t="str">
        <f t="shared" si="402"/>
        <v>Dua Puluh Empat</v>
      </c>
    </row>
    <row r="4174" spans="1:12">
      <c r="A4174" s="33" t="s">
        <v>81</v>
      </c>
      <c r="B4174" s="41" t="e">
        <f>TRUNC((A4147-SUM(C4169:C4173)))</f>
        <v>#REF!</v>
      </c>
      <c r="C4174" s="42" t="e">
        <f>B4174</f>
        <v>#REF!</v>
      </c>
      <c r="D4174" s="31" t="e">
        <f>IF(B4174&lt;1,"",VLOOKUP(B4174,$J$3:$L$102,3))</f>
        <v>#REF!</v>
      </c>
      <c r="E4174" s="31" t="e">
        <f>IF(SUM(C4169:C4174)&lt;1,"",IF(B4175&lt;1,""," Dan "))</f>
        <v>#REF!</v>
      </c>
      <c r="J4174" s="31">
        <v>25</v>
      </c>
      <c r="K4174" s="33" t="s">
        <v>95</v>
      </c>
      <c r="L4174" s="31" t="str">
        <f t="shared" si="402"/>
        <v>Dua Puluh Lima</v>
      </c>
    </row>
    <row r="4175" spans="1:12">
      <c r="A4175" s="33" t="s">
        <v>83</v>
      </c>
      <c r="B4175" s="40" t="e">
        <f>ROUND(A4147-SUM(C4169:C4174),2)*100</f>
        <v>#REF!</v>
      </c>
      <c r="D4175" s="31" t="e">
        <f>IF(B4175&lt;1,"",VLOOKUP(B4175,$J$3:$L$102,3))</f>
        <v>#REF!</v>
      </c>
      <c r="E4175" s="31" t="e">
        <f>IF(B4175&lt;1,""," Sen ")</f>
        <v>#REF!</v>
      </c>
      <c r="J4175" s="31">
        <v>26</v>
      </c>
      <c r="K4175" s="33" t="s">
        <v>96</v>
      </c>
      <c r="L4175" s="31" t="str">
        <f t="shared" si="402"/>
        <v>Dua Puluh Enam</v>
      </c>
    </row>
    <row r="4176" spans="1:12">
      <c r="J4176" s="31">
        <v>27</v>
      </c>
      <c r="K4176" s="33" t="s">
        <v>97</v>
      </c>
      <c r="L4176" s="31" t="str">
        <f t="shared" si="402"/>
        <v>Dua Puluh Tujuh</v>
      </c>
    </row>
    <row r="4177" spans="1:12">
      <c r="J4177" s="31">
        <v>28</v>
      </c>
      <c r="K4177" s="33" t="s">
        <v>98</v>
      </c>
      <c r="L4177" s="31" t="str">
        <f t="shared" si="402"/>
        <v>Dua Puluh Delapan</v>
      </c>
    </row>
    <row r="4178" spans="1:12">
      <c r="J4178" s="31">
        <v>29</v>
      </c>
      <c r="K4178" s="33" t="s">
        <v>99</v>
      </c>
      <c r="L4178" s="31" t="str">
        <f t="shared" si="402"/>
        <v>Dua Puluh Sembilan</v>
      </c>
    </row>
    <row r="4179" spans="1:12">
      <c r="J4179" s="31">
        <v>30</v>
      </c>
      <c r="K4179" s="33" t="s">
        <v>100</v>
      </c>
      <c r="L4179" s="31" t="s">
        <v>101</v>
      </c>
    </row>
    <row r="4180" spans="1:12">
      <c r="J4180" s="31">
        <v>31</v>
      </c>
      <c r="K4180" s="33" t="s">
        <v>102</v>
      </c>
      <c r="L4180" s="31" t="str">
        <f t="shared" ref="L4180:L4188" si="403">$L$33&amp;" "&amp;L4150</f>
        <v>Tiga Puluh Satu</v>
      </c>
    </row>
    <row r="4181" spans="1:12">
      <c r="J4181" s="31">
        <v>32</v>
      </c>
      <c r="K4181" s="33" t="s">
        <v>103</v>
      </c>
      <c r="L4181" s="31" t="str">
        <f t="shared" si="403"/>
        <v>Tiga Puluh Dua</v>
      </c>
    </row>
    <row r="4182" spans="1:12">
      <c r="J4182" s="31">
        <v>33</v>
      </c>
      <c r="K4182" s="33" t="s">
        <v>104</v>
      </c>
      <c r="L4182" s="31" t="str">
        <f t="shared" si="403"/>
        <v>Tiga Puluh Tiga</v>
      </c>
    </row>
    <row r="4183" spans="1:12">
      <c r="J4183" s="31">
        <v>34</v>
      </c>
      <c r="K4183" s="33" t="s">
        <v>105</v>
      </c>
      <c r="L4183" s="31" t="str">
        <f t="shared" si="403"/>
        <v>Tiga Puluh Empat</v>
      </c>
    </row>
    <row r="4184" spans="1:12">
      <c r="J4184" s="31">
        <v>35</v>
      </c>
      <c r="K4184" s="33" t="s">
        <v>106</v>
      </c>
      <c r="L4184" s="31" t="str">
        <f t="shared" si="403"/>
        <v>Tiga Puluh Lima</v>
      </c>
    </row>
    <row r="4185" spans="1:12">
      <c r="J4185" s="31">
        <v>36</v>
      </c>
      <c r="K4185" s="33" t="s">
        <v>107</v>
      </c>
      <c r="L4185" s="31" t="str">
        <f t="shared" si="403"/>
        <v>Tiga Puluh Enam</v>
      </c>
    </row>
    <row r="4186" spans="1:12">
      <c r="J4186" s="31">
        <v>37</v>
      </c>
      <c r="K4186" s="33" t="s">
        <v>108</v>
      </c>
      <c r="L4186" s="31" t="str">
        <f t="shared" si="403"/>
        <v>Tiga Puluh Tujuh</v>
      </c>
    </row>
    <row r="4187" spans="1:12">
      <c r="J4187" s="31">
        <v>38</v>
      </c>
      <c r="K4187" s="33" t="s">
        <v>109</v>
      </c>
      <c r="L4187" s="31" t="str">
        <f t="shared" si="403"/>
        <v>Tiga Puluh Delapan</v>
      </c>
    </row>
    <row r="4188" spans="1:12">
      <c r="J4188" s="31">
        <v>39</v>
      </c>
      <c r="K4188" s="33" t="s">
        <v>110</v>
      </c>
      <c r="L4188" s="31" t="str">
        <f t="shared" si="403"/>
        <v>Tiga Puluh Sembilan</v>
      </c>
    </row>
    <row r="4189" spans="1:12">
      <c r="B4189" s="35"/>
      <c r="C4189" s="35"/>
      <c r="D4189" s="35"/>
      <c r="J4189" s="31">
        <v>40</v>
      </c>
      <c r="K4189" s="33" t="s">
        <v>111</v>
      </c>
      <c r="L4189" s="31" t="s">
        <v>112</v>
      </c>
    </row>
    <row r="4190" spans="1:12">
      <c r="A4190" s="35"/>
      <c r="B4190" s="35"/>
      <c r="C4190" s="35"/>
      <c r="D4190" s="35"/>
      <c r="J4190" s="31">
        <v>41</v>
      </c>
      <c r="K4190" s="33" t="s">
        <v>113</v>
      </c>
      <c r="L4190" s="31" t="str">
        <f t="shared" ref="L4190:L4198" si="404">$L$43&amp;" "&amp;L4150</f>
        <v>Empat Puluh Satu</v>
      </c>
    </row>
    <row r="4191" spans="1:12">
      <c r="J4191" s="31">
        <v>42</v>
      </c>
      <c r="K4191" s="33" t="s">
        <v>114</v>
      </c>
      <c r="L4191" s="31" t="str">
        <f t="shared" si="404"/>
        <v>Empat Puluh Dua</v>
      </c>
    </row>
    <row r="4192" spans="1:12">
      <c r="A4192" s="38"/>
      <c r="J4192" s="31">
        <v>43</v>
      </c>
      <c r="K4192" s="33" t="s">
        <v>115</v>
      </c>
      <c r="L4192" s="31" t="str">
        <f t="shared" si="404"/>
        <v>Empat Puluh Tiga</v>
      </c>
    </row>
    <row r="4193" spans="10:12">
      <c r="J4193" s="31">
        <v>44</v>
      </c>
      <c r="K4193" s="33" t="s">
        <v>116</v>
      </c>
      <c r="L4193" s="31" t="str">
        <f t="shared" si="404"/>
        <v>Empat Puluh Empat</v>
      </c>
    </row>
    <row r="4194" spans="10:12">
      <c r="J4194" s="31">
        <v>45</v>
      </c>
      <c r="K4194" s="33" t="s">
        <v>117</v>
      </c>
      <c r="L4194" s="31" t="str">
        <f t="shared" si="404"/>
        <v>Empat Puluh Lima</v>
      </c>
    </row>
    <row r="4195" spans="10:12">
      <c r="J4195" s="31">
        <v>46</v>
      </c>
      <c r="K4195" s="33" t="s">
        <v>118</v>
      </c>
      <c r="L4195" s="31" t="str">
        <f t="shared" si="404"/>
        <v>Empat Puluh Enam</v>
      </c>
    </row>
    <row r="4196" spans="10:12">
      <c r="J4196" s="31">
        <v>47</v>
      </c>
      <c r="K4196" s="33" t="s">
        <v>119</v>
      </c>
      <c r="L4196" s="31" t="str">
        <f t="shared" si="404"/>
        <v>Empat Puluh Tujuh</v>
      </c>
    </row>
    <row r="4197" spans="10:12">
      <c r="J4197" s="31">
        <v>48</v>
      </c>
      <c r="K4197" s="33" t="s">
        <v>120</v>
      </c>
      <c r="L4197" s="31" t="str">
        <f t="shared" si="404"/>
        <v>Empat Puluh Delapan</v>
      </c>
    </row>
    <row r="4198" spans="10:12">
      <c r="J4198" s="31">
        <v>49</v>
      </c>
      <c r="K4198" s="33" t="s">
        <v>121</v>
      </c>
      <c r="L4198" s="31" t="str">
        <f t="shared" si="404"/>
        <v>Empat Puluh Sembilan</v>
      </c>
    </row>
    <row r="4199" spans="10:12">
      <c r="J4199" s="31">
        <v>50</v>
      </c>
      <c r="K4199" s="33" t="s">
        <v>122</v>
      </c>
      <c r="L4199" s="31" t="s">
        <v>123</v>
      </c>
    </row>
    <row r="4200" spans="10:12">
      <c r="J4200" s="31">
        <v>51</v>
      </c>
      <c r="K4200" s="33" t="s">
        <v>124</v>
      </c>
      <c r="L4200" s="31" t="str">
        <f t="shared" ref="L4200:L4208" si="405">$L$53&amp;" "&amp;L4150</f>
        <v>Lima Puluh Satu</v>
      </c>
    </row>
    <row r="4201" spans="10:12">
      <c r="J4201" s="31">
        <v>52</v>
      </c>
      <c r="K4201" s="33" t="s">
        <v>125</v>
      </c>
      <c r="L4201" s="31" t="str">
        <f t="shared" si="405"/>
        <v>Lima Puluh Dua</v>
      </c>
    </row>
    <row r="4202" spans="10:12">
      <c r="J4202" s="31">
        <v>53</v>
      </c>
      <c r="K4202" s="33" t="s">
        <v>126</v>
      </c>
      <c r="L4202" s="31" t="str">
        <f t="shared" si="405"/>
        <v>Lima Puluh Tiga</v>
      </c>
    </row>
    <row r="4203" spans="10:12">
      <c r="J4203" s="31">
        <v>54</v>
      </c>
      <c r="K4203" s="33" t="s">
        <v>127</v>
      </c>
      <c r="L4203" s="31" t="str">
        <f t="shared" si="405"/>
        <v>Lima Puluh Empat</v>
      </c>
    </row>
    <row r="4204" spans="10:12">
      <c r="J4204" s="31">
        <v>55</v>
      </c>
      <c r="K4204" s="33" t="s">
        <v>128</v>
      </c>
      <c r="L4204" s="31" t="str">
        <f t="shared" si="405"/>
        <v>Lima Puluh Lima</v>
      </c>
    </row>
    <row r="4205" spans="10:12">
      <c r="J4205" s="31">
        <v>56</v>
      </c>
      <c r="K4205" s="33" t="s">
        <v>129</v>
      </c>
      <c r="L4205" s="31" t="str">
        <f t="shared" si="405"/>
        <v>Lima Puluh Enam</v>
      </c>
    </row>
    <row r="4206" spans="10:12">
      <c r="J4206" s="31">
        <v>57</v>
      </c>
      <c r="K4206" s="33" t="s">
        <v>130</v>
      </c>
      <c r="L4206" s="31" t="str">
        <f t="shared" si="405"/>
        <v>Lima Puluh Tujuh</v>
      </c>
    </row>
    <row r="4207" spans="10:12">
      <c r="J4207" s="31">
        <v>58</v>
      </c>
      <c r="K4207" s="33" t="s">
        <v>131</v>
      </c>
      <c r="L4207" s="31" t="str">
        <f t="shared" si="405"/>
        <v>Lima Puluh Delapan</v>
      </c>
    </row>
    <row r="4208" spans="10:12">
      <c r="J4208" s="31">
        <v>59</v>
      </c>
      <c r="K4208" s="33" t="s">
        <v>132</v>
      </c>
      <c r="L4208" s="31" t="str">
        <f t="shared" si="405"/>
        <v>Lima Puluh Sembilan</v>
      </c>
    </row>
    <row r="4209" spans="10:12">
      <c r="J4209" s="31">
        <v>60</v>
      </c>
      <c r="K4209" s="33" t="s">
        <v>133</v>
      </c>
      <c r="L4209" s="31" t="s">
        <v>134</v>
      </c>
    </row>
    <row r="4210" spans="10:12">
      <c r="J4210" s="31">
        <v>61</v>
      </c>
      <c r="K4210" s="33" t="s">
        <v>135</v>
      </c>
      <c r="L4210" s="31" t="str">
        <f t="shared" ref="L4210:L4218" si="406">$L$63&amp;" "&amp;L4150</f>
        <v>Enam Puluh Satu</v>
      </c>
    </row>
    <row r="4211" spans="10:12">
      <c r="J4211" s="31">
        <v>62</v>
      </c>
      <c r="K4211" s="33" t="s">
        <v>136</v>
      </c>
      <c r="L4211" s="31" t="str">
        <f t="shared" si="406"/>
        <v>Enam Puluh Dua</v>
      </c>
    </row>
    <row r="4212" spans="10:12">
      <c r="J4212" s="31">
        <v>63</v>
      </c>
      <c r="K4212" s="33" t="s">
        <v>137</v>
      </c>
      <c r="L4212" s="31" t="str">
        <f t="shared" si="406"/>
        <v>Enam Puluh Tiga</v>
      </c>
    </row>
    <row r="4213" spans="10:12">
      <c r="J4213" s="31">
        <v>64</v>
      </c>
      <c r="K4213" s="33" t="s">
        <v>138</v>
      </c>
      <c r="L4213" s="31" t="str">
        <f t="shared" si="406"/>
        <v>Enam Puluh Empat</v>
      </c>
    </row>
    <row r="4214" spans="10:12">
      <c r="J4214" s="31">
        <v>65</v>
      </c>
      <c r="K4214" s="33" t="s">
        <v>139</v>
      </c>
      <c r="L4214" s="31" t="str">
        <f t="shared" si="406"/>
        <v>Enam Puluh Lima</v>
      </c>
    </row>
    <row r="4215" spans="10:12">
      <c r="J4215" s="31">
        <v>66</v>
      </c>
      <c r="K4215" s="33" t="s">
        <v>140</v>
      </c>
      <c r="L4215" s="31" t="str">
        <f t="shared" si="406"/>
        <v>Enam Puluh Enam</v>
      </c>
    </row>
    <row r="4216" spans="10:12">
      <c r="J4216" s="31">
        <v>67</v>
      </c>
      <c r="K4216" s="33" t="s">
        <v>141</v>
      </c>
      <c r="L4216" s="31" t="str">
        <f t="shared" si="406"/>
        <v>Enam Puluh Tujuh</v>
      </c>
    </row>
    <row r="4217" spans="10:12">
      <c r="J4217" s="31">
        <v>68</v>
      </c>
      <c r="K4217" s="33" t="s">
        <v>142</v>
      </c>
      <c r="L4217" s="31" t="str">
        <f t="shared" si="406"/>
        <v>Enam Puluh Delapan</v>
      </c>
    </row>
    <row r="4218" spans="10:12">
      <c r="J4218" s="31">
        <v>69</v>
      </c>
      <c r="K4218" s="33" t="s">
        <v>143</v>
      </c>
      <c r="L4218" s="31" t="str">
        <f t="shared" si="406"/>
        <v>Enam Puluh Sembilan</v>
      </c>
    </row>
    <row r="4219" spans="10:12">
      <c r="J4219" s="31">
        <v>70</v>
      </c>
      <c r="K4219" s="33" t="s">
        <v>144</v>
      </c>
      <c r="L4219" s="31" t="s">
        <v>145</v>
      </c>
    </row>
    <row r="4220" spans="10:12">
      <c r="J4220" s="31">
        <v>71</v>
      </c>
      <c r="K4220" s="33" t="s">
        <v>146</v>
      </c>
      <c r="L4220" s="31" t="str">
        <f t="shared" ref="L4220:L4228" si="407">$L$73&amp;" "&amp;L4150</f>
        <v>Tujuh Puluh Satu</v>
      </c>
    </row>
    <row r="4221" spans="10:12">
      <c r="J4221" s="31">
        <v>72</v>
      </c>
      <c r="K4221" s="33" t="s">
        <v>147</v>
      </c>
      <c r="L4221" s="31" t="str">
        <f t="shared" si="407"/>
        <v>Tujuh Puluh Dua</v>
      </c>
    </row>
    <row r="4222" spans="10:12">
      <c r="J4222" s="31">
        <v>73</v>
      </c>
      <c r="K4222" s="33" t="s">
        <v>148</v>
      </c>
      <c r="L4222" s="31" t="str">
        <f t="shared" si="407"/>
        <v>Tujuh Puluh Tiga</v>
      </c>
    </row>
    <row r="4223" spans="10:12">
      <c r="J4223" s="31">
        <v>74</v>
      </c>
      <c r="K4223" s="33" t="s">
        <v>149</v>
      </c>
      <c r="L4223" s="31" t="str">
        <f t="shared" si="407"/>
        <v>Tujuh Puluh Empat</v>
      </c>
    </row>
    <row r="4224" spans="10:12">
      <c r="J4224" s="31">
        <v>75</v>
      </c>
      <c r="K4224" s="33" t="s">
        <v>150</v>
      </c>
      <c r="L4224" s="31" t="str">
        <f t="shared" si="407"/>
        <v>Tujuh Puluh Lima</v>
      </c>
    </row>
    <row r="4225" spans="10:12">
      <c r="J4225" s="31">
        <v>76</v>
      </c>
      <c r="K4225" s="33" t="s">
        <v>151</v>
      </c>
      <c r="L4225" s="31" t="str">
        <f t="shared" si="407"/>
        <v>Tujuh Puluh Enam</v>
      </c>
    </row>
    <row r="4226" spans="10:12">
      <c r="J4226" s="31">
        <v>77</v>
      </c>
      <c r="K4226" s="33" t="s">
        <v>152</v>
      </c>
      <c r="L4226" s="31" t="str">
        <f t="shared" si="407"/>
        <v>Tujuh Puluh Tujuh</v>
      </c>
    </row>
    <row r="4227" spans="10:12">
      <c r="J4227" s="31">
        <v>78</v>
      </c>
      <c r="K4227" s="33" t="s">
        <v>153</v>
      </c>
      <c r="L4227" s="31" t="str">
        <f t="shared" si="407"/>
        <v>Tujuh Puluh Delapan</v>
      </c>
    </row>
    <row r="4228" spans="10:12">
      <c r="J4228" s="31">
        <v>79</v>
      </c>
      <c r="K4228" s="33" t="s">
        <v>154</v>
      </c>
      <c r="L4228" s="31" t="str">
        <f t="shared" si="407"/>
        <v>Tujuh Puluh Sembilan</v>
      </c>
    </row>
    <row r="4229" spans="10:12">
      <c r="J4229" s="31">
        <v>80</v>
      </c>
      <c r="K4229" s="33" t="s">
        <v>155</v>
      </c>
      <c r="L4229" s="31" t="s">
        <v>156</v>
      </c>
    </row>
    <row r="4230" spans="10:12">
      <c r="J4230" s="31">
        <v>81</v>
      </c>
      <c r="K4230" s="33" t="s">
        <v>157</v>
      </c>
      <c r="L4230" s="31" t="str">
        <f t="shared" ref="L4230:L4238" si="408">$L$83&amp;" "&amp;L4150</f>
        <v>Delapan Puluh Satu</v>
      </c>
    </row>
    <row r="4231" spans="10:12">
      <c r="J4231" s="31">
        <v>82</v>
      </c>
      <c r="K4231" s="33" t="s">
        <v>158</v>
      </c>
      <c r="L4231" s="31" t="str">
        <f t="shared" si="408"/>
        <v>Delapan Puluh Dua</v>
      </c>
    </row>
    <row r="4232" spans="10:12">
      <c r="J4232" s="31">
        <v>83</v>
      </c>
      <c r="K4232" s="33" t="s">
        <v>159</v>
      </c>
      <c r="L4232" s="31" t="str">
        <f t="shared" si="408"/>
        <v>Delapan Puluh Tiga</v>
      </c>
    </row>
    <row r="4233" spans="10:12">
      <c r="J4233" s="31">
        <v>84</v>
      </c>
      <c r="K4233" s="33" t="s">
        <v>160</v>
      </c>
      <c r="L4233" s="31" t="str">
        <f t="shared" si="408"/>
        <v>Delapan Puluh Empat</v>
      </c>
    </row>
    <row r="4234" spans="10:12">
      <c r="J4234" s="31">
        <v>85</v>
      </c>
      <c r="K4234" s="33" t="s">
        <v>161</v>
      </c>
      <c r="L4234" s="31" t="str">
        <f t="shared" si="408"/>
        <v>Delapan Puluh Lima</v>
      </c>
    </row>
    <row r="4235" spans="10:12">
      <c r="J4235" s="31">
        <v>86</v>
      </c>
      <c r="K4235" s="33" t="s">
        <v>162</v>
      </c>
      <c r="L4235" s="31" t="str">
        <f t="shared" si="408"/>
        <v>Delapan Puluh Enam</v>
      </c>
    </row>
    <row r="4236" spans="10:12">
      <c r="J4236" s="31">
        <v>87</v>
      </c>
      <c r="K4236" s="33" t="s">
        <v>163</v>
      </c>
      <c r="L4236" s="31" t="str">
        <f t="shared" si="408"/>
        <v>Delapan Puluh Tujuh</v>
      </c>
    </row>
    <row r="4237" spans="10:12">
      <c r="J4237" s="31">
        <v>88</v>
      </c>
      <c r="K4237" s="33" t="s">
        <v>164</v>
      </c>
      <c r="L4237" s="31" t="str">
        <f t="shared" si="408"/>
        <v>Delapan Puluh Delapan</v>
      </c>
    </row>
    <row r="4238" spans="10:12">
      <c r="J4238" s="31">
        <v>89</v>
      </c>
      <c r="K4238" s="33" t="s">
        <v>165</v>
      </c>
      <c r="L4238" s="31" t="str">
        <f t="shared" si="408"/>
        <v>Delapan Puluh Sembilan</v>
      </c>
    </row>
    <row r="4239" spans="10:12">
      <c r="J4239" s="31">
        <v>90</v>
      </c>
      <c r="K4239" s="33" t="s">
        <v>166</v>
      </c>
      <c r="L4239" s="31" t="s">
        <v>167</v>
      </c>
    </row>
    <row r="4240" spans="10:12">
      <c r="J4240" s="31">
        <v>91</v>
      </c>
      <c r="K4240" s="33" t="s">
        <v>168</v>
      </c>
      <c r="L4240" s="31" t="str">
        <f t="shared" ref="L4240:L4248" si="409">$L$93&amp;" "&amp;L4150</f>
        <v>Sembilan Puluh Satu</v>
      </c>
    </row>
    <row r="4241" spans="1:12">
      <c r="J4241" s="31">
        <v>92</v>
      </c>
      <c r="K4241" s="33" t="s">
        <v>169</v>
      </c>
      <c r="L4241" s="31" t="str">
        <f t="shared" si="409"/>
        <v>Sembilan Puluh Dua</v>
      </c>
    </row>
    <row r="4242" spans="1:12">
      <c r="J4242" s="31">
        <v>93</v>
      </c>
      <c r="K4242" s="33" t="s">
        <v>170</v>
      </c>
      <c r="L4242" s="31" t="str">
        <f t="shared" si="409"/>
        <v>Sembilan Puluh Tiga</v>
      </c>
    </row>
    <row r="4243" spans="1:12">
      <c r="J4243" s="31">
        <v>94</v>
      </c>
      <c r="K4243" s="33" t="s">
        <v>171</v>
      </c>
      <c r="L4243" s="31" t="str">
        <f t="shared" si="409"/>
        <v>Sembilan Puluh Empat</v>
      </c>
    </row>
    <row r="4244" spans="1:12">
      <c r="J4244" s="31">
        <v>95</v>
      </c>
      <c r="K4244" s="33" t="s">
        <v>172</v>
      </c>
      <c r="L4244" s="31" t="str">
        <f t="shared" si="409"/>
        <v>Sembilan Puluh Lima</v>
      </c>
    </row>
    <row r="4245" spans="1:12">
      <c r="J4245" s="31">
        <v>96</v>
      </c>
      <c r="K4245" s="33" t="s">
        <v>173</v>
      </c>
      <c r="L4245" s="31" t="str">
        <f t="shared" si="409"/>
        <v>Sembilan Puluh Enam</v>
      </c>
    </row>
    <row r="4246" spans="1:12">
      <c r="J4246" s="31">
        <v>97</v>
      </c>
      <c r="K4246" s="33" t="s">
        <v>174</v>
      </c>
      <c r="L4246" s="31" t="str">
        <f t="shared" si="409"/>
        <v>Sembilan Puluh Tujuh</v>
      </c>
    </row>
    <row r="4247" spans="1:12">
      <c r="J4247" s="31">
        <v>98</v>
      </c>
      <c r="K4247" s="33" t="s">
        <v>175</v>
      </c>
      <c r="L4247" s="31" t="str">
        <f t="shared" si="409"/>
        <v>Sembilan Puluh Delapan</v>
      </c>
    </row>
    <row r="4248" spans="1:12">
      <c r="J4248" s="31">
        <v>99</v>
      </c>
      <c r="K4248" s="33" t="s">
        <v>176</v>
      </c>
      <c r="L4248" s="31" t="str">
        <f t="shared" si="409"/>
        <v>Sembilan Puluh Sembilan</v>
      </c>
    </row>
    <row r="4251" spans="1:12">
      <c r="A4251" s="30" t="e">
        <f>#REF!</f>
        <v>#REF!</v>
      </c>
      <c r="C4251" s="31" t="s">
        <v>240</v>
      </c>
    </row>
    <row r="4252" spans="1:12">
      <c r="A4252" s="32"/>
    </row>
    <row r="4253" spans="1:12">
      <c r="J4253" s="31">
        <v>0</v>
      </c>
      <c r="K4253" s="33" t="s">
        <v>48</v>
      </c>
      <c r="L4253" s="31" t="s">
        <v>49</v>
      </c>
    </row>
    <row r="4254" spans="1:12">
      <c r="A4254" s="34"/>
      <c r="J4254" s="31">
        <v>1</v>
      </c>
      <c r="K4254" s="33" t="s">
        <v>50</v>
      </c>
      <c r="L4254" s="31" t="s">
        <v>51</v>
      </c>
    </row>
    <row r="4255" spans="1:12">
      <c r="A4255" s="255" t="e">
        <f>TRIM(D4263&amp;E4263&amp;D4264&amp;E4264&amp;D4265&amp;E4265&amp;D4266&amp;E4266&amp;D4267&amp;E4267&amp;D4268&amp;E4268&amp;E4269&amp;D4269&amp;" Only")</f>
        <v>#REF!</v>
      </c>
      <c r="B4255" s="255"/>
      <c r="C4255" s="255"/>
      <c r="D4255" s="255"/>
      <c r="E4255" s="35"/>
      <c r="F4255" s="36"/>
      <c r="J4255" s="31">
        <v>2</v>
      </c>
      <c r="K4255" s="33" t="s">
        <v>52</v>
      </c>
      <c r="L4255" s="31" t="s">
        <v>53</v>
      </c>
    </row>
    <row r="4256" spans="1:12">
      <c r="A4256" s="37"/>
      <c r="B4256" s="37"/>
      <c r="C4256" s="37"/>
      <c r="D4256" s="37"/>
      <c r="E4256" s="35"/>
      <c r="F4256" s="36"/>
      <c r="J4256" s="31">
        <v>3</v>
      </c>
      <c r="K4256" s="33" t="s">
        <v>54</v>
      </c>
      <c r="L4256" s="31" t="s">
        <v>55</v>
      </c>
    </row>
    <row r="4257" spans="1:12">
      <c r="A4257" s="37"/>
      <c r="B4257" s="37"/>
      <c r="C4257" s="37"/>
      <c r="D4257" s="37"/>
      <c r="J4257" s="31">
        <v>4</v>
      </c>
      <c r="K4257" s="33" t="s">
        <v>56</v>
      </c>
      <c r="L4257" s="31" t="s">
        <v>57</v>
      </c>
    </row>
    <row r="4258" spans="1:12">
      <c r="A4258" s="255" t="e">
        <f>TRIM(D4273&amp;E4273&amp;D4274&amp;E4274&amp;D4275&amp;E4275&amp;D4276&amp;E4276&amp;D4277&amp;E4277&amp;D4278&amp;E4278&amp;D4279&amp;E4279&amp;" Rupiah")</f>
        <v>#REF!</v>
      </c>
      <c r="B4258" s="255"/>
      <c r="C4258" s="255"/>
      <c r="D4258" s="255"/>
      <c r="E4258" s="35"/>
      <c r="F4258" s="36"/>
      <c r="J4258" s="31">
        <v>5</v>
      </c>
      <c r="K4258" s="33" t="s">
        <v>58</v>
      </c>
      <c r="L4258" s="31" t="s">
        <v>59</v>
      </c>
    </row>
    <row r="4259" spans="1:12">
      <c r="A4259" s="35"/>
      <c r="B4259" s="35"/>
      <c r="C4259" s="35"/>
      <c r="D4259" s="35"/>
      <c r="E4259" s="35"/>
      <c r="F4259" s="36"/>
      <c r="J4259" s="31">
        <v>6</v>
      </c>
      <c r="K4259" s="33" t="s">
        <v>60</v>
      </c>
      <c r="L4259" s="31" t="s">
        <v>61</v>
      </c>
    </row>
    <row r="4260" spans="1:12">
      <c r="J4260" s="31">
        <v>7</v>
      </c>
      <c r="K4260" s="33" t="s">
        <v>62</v>
      </c>
      <c r="L4260" s="31" t="s">
        <v>63</v>
      </c>
    </row>
    <row r="4261" spans="1:12">
      <c r="J4261" s="31">
        <v>8</v>
      </c>
      <c r="K4261" s="33" t="s">
        <v>64</v>
      </c>
      <c r="L4261" s="31" t="s">
        <v>65</v>
      </c>
    </row>
    <row r="4262" spans="1:12">
      <c r="A4262" s="38" t="s">
        <v>66</v>
      </c>
      <c r="J4262" s="31">
        <v>9</v>
      </c>
      <c r="K4262" s="33" t="s">
        <v>67</v>
      </c>
      <c r="L4262" s="31" t="s">
        <v>68</v>
      </c>
    </row>
    <row r="4263" spans="1:12">
      <c r="A4263" s="31" t="s">
        <v>69</v>
      </c>
      <c r="B4263" s="39" t="e">
        <f>TRUNC(A4251/100000000)</f>
        <v>#REF!</v>
      </c>
      <c r="C4263" s="31" t="e">
        <f>B4263*100000000</f>
        <v>#REF!</v>
      </c>
      <c r="D4263" s="31" t="e">
        <f t="shared" ref="D4263:D4269" si="410">IF(B4263&lt;1,"",VLOOKUP(B4263,$J$3:$K$102,2))</f>
        <v>#REF!</v>
      </c>
      <c r="E4263" s="31" t="e">
        <f>IF(B4263&lt;1,"",IF(B4263&gt;1," Hundreds "," Hundred "))</f>
        <v>#REF!</v>
      </c>
      <c r="J4263" s="31">
        <v>10</v>
      </c>
      <c r="K4263" s="33" t="s">
        <v>70</v>
      </c>
      <c r="L4263" s="31" t="s">
        <v>71</v>
      </c>
    </row>
    <row r="4264" spans="1:12">
      <c r="A4264" s="31" t="s">
        <v>72</v>
      </c>
      <c r="B4264" s="39" t="e">
        <f>TRUNC((A4251-C4263)/1000000)</f>
        <v>#REF!</v>
      </c>
      <c r="C4264" s="31" t="e">
        <f>B4264*1000000</f>
        <v>#REF!</v>
      </c>
      <c r="D4264" s="31" t="e">
        <f t="shared" si="410"/>
        <v>#REF!</v>
      </c>
      <c r="E4264" s="31" t="e">
        <f>IF(B4263+B4264=0,"",IF(B4264=1," Million "," Millions "))</f>
        <v>#REF!</v>
      </c>
      <c r="J4264" s="31">
        <v>11</v>
      </c>
      <c r="K4264" s="33" t="s">
        <v>73</v>
      </c>
      <c r="L4264" s="31" t="s">
        <v>74</v>
      </c>
    </row>
    <row r="4265" spans="1:12">
      <c r="A4265" s="31" t="s">
        <v>75</v>
      </c>
      <c r="B4265" s="39" t="e">
        <f>TRUNC((A4251-SUM(C4263:C4264))/100000)</f>
        <v>#REF!</v>
      </c>
      <c r="C4265" s="31" t="e">
        <f>B4265*100000</f>
        <v>#REF!</v>
      </c>
      <c r="D4265" s="31" t="e">
        <f t="shared" si="410"/>
        <v>#REF!</v>
      </c>
      <c r="E4265" s="31" t="e">
        <f>IF(B4265&lt;1,"",IF(B4265&gt;1," Hundreds "," Hundred "))</f>
        <v>#REF!</v>
      </c>
      <c r="J4265" s="31">
        <v>12</v>
      </c>
      <c r="K4265" s="33" t="s">
        <v>76</v>
      </c>
      <c r="L4265" s="31" t="str">
        <f t="shared" ref="L4265:L4272" si="411">L4255&amp;" Belas"</f>
        <v>Dua Belas</v>
      </c>
    </row>
    <row r="4266" spans="1:12">
      <c r="A4266" s="33" t="s">
        <v>77</v>
      </c>
      <c r="B4266" s="40" t="e">
        <f>TRUNC((A4251-SUM(C4263:C4265))/1000)</f>
        <v>#REF!</v>
      </c>
      <c r="C4266" s="31" t="e">
        <f>B4266*1000</f>
        <v>#REF!</v>
      </c>
      <c r="D4266" s="31" t="e">
        <f t="shared" si="410"/>
        <v>#REF!</v>
      </c>
      <c r="E4266" s="31" t="e">
        <f>IF(B4265+B4266=0,"",IF(B4266=1," Thousand "," Thousands "))</f>
        <v>#REF!</v>
      </c>
      <c r="J4266" s="31">
        <v>13</v>
      </c>
      <c r="K4266" s="33" t="s">
        <v>78</v>
      </c>
      <c r="L4266" s="31" t="str">
        <f t="shared" si="411"/>
        <v>Tiga Belas</v>
      </c>
    </row>
    <row r="4267" spans="1:12">
      <c r="A4267" s="33" t="s">
        <v>79</v>
      </c>
      <c r="B4267" s="40" t="e">
        <f>TRUNC((A4251-SUM(C4263:C4266))/100)</f>
        <v>#REF!</v>
      </c>
      <c r="C4267" s="31" t="e">
        <f>B4267*100</f>
        <v>#REF!</v>
      </c>
      <c r="D4267" s="31" t="e">
        <f t="shared" si="410"/>
        <v>#REF!</v>
      </c>
      <c r="E4267" s="31" t="e">
        <f>IF(B4267&lt;1,"",IF(B4267&gt;1," Hundreds "," Hundred "))</f>
        <v>#REF!</v>
      </c>
      <c r="J4267" s="31">
        <v>14</v>
      </c>
      <c r="K4267" s="33" t="s">
        <v>80</v>
      </c>
      <c r="L4267" s="31" t="str">
        <f t="shared" si="411"/>
        <v>Empat Belas</v>
      </c>
    </row>
    <row r="4268" spans="1:12">
      <c r="A4268" s="33" t="s">
        <v>81</v>
      </c>
      <c r="B4268" s="41" t="e">
        <f>TRUNC((A4251-SUM(C4263:C4267)))</f>
        <v>#REF!</v>
      </c>
      <c r="C4268" s="42" t="e">
        <f>B4268</f>
        <v>#REF!</v>
      </c>
      <c r="D4268" s="31" t="e">
        <f t="shared" si="410"/>
        <v>#REF!</v>
      </c>
      <c r="E4268" s="31" t="e">
        <f>IF(SUM(C4263:C4268)&lt;1,"",IF(B4269&lt;1,""," And "))</f>
        <v>#REF!</v>
      </c>
      <c r="J4268" s="31">
        <v>15</v>
      </c>
      <c r="K4268" s="33" t="s">
        <v>82</v>
      </c>
      <c r="L4268" s="31" t="str">
        <f t="shared" si="411"/>
        <v>Lima Belas</v>
      </c>
    </row>
    <row r="4269" spans="1:12">
      <c r="A4269" s="33" t="s">
        <v>83</v>
      </c>
      <c r="B4269" s="40" t="e">
        <f>ROUND(A4251-SUM(C4263:C4268),2)*100</f>
        <v>#REF!</v>
      </c>
      <c r="D4269" s="43" t="e">
        <f t="shared" si="410"/>
        <v>#REF!</v>
      </c>
      <c r="E4269" s="31" t="e">
        <f>IF(B4269&lt;1,"",IF(B4269=1," Cent "," Cents "))</f>
        <v>#REF!</v>
      </c>
      <c r="J4269" s="31">
        <v>16</v>
      </c>
      <c r="K4269" s="33" t="s">
        <v>84</v>
      </c>
      <c r="L4269" s="31" t="str">
        <f t="shared" si="411"/>
        <v>Enam Belas</v>
      </c>
    </row>
    <row r="4270" spans="1:12">
      <c r="J4270" s="31">
        <v>17</v>
      </c>
      <c r="K4270" s="33" t="s">
        <v>85</v>
      </c>
      <c r="L4270" s="31" t="str">
        <f t="shared" si="411"/>
        <v>Tujuh Belas</v>
      </c>
    </row>
    <row r="4271" spans="1:12">
      <c r="A4271" s="44"/>
      <c r="J4271" s="31">
        <v>18</v>
      </c>
      <c r="K4271" s="33" t="s">
        <v>86</v>
      </c>
      <c r="L4271" s="31" t="str">
        <f t="shared" si="411"/>
        <v>Delapan Belas</v>
      </c>
    </row>
    <row r="4272" spans="1:12">
      <c r="A4272" s="38" t="s">
        <v>87</v>
      </c>
      <c r="J4272" s="31">
        <v>19</v>
      </c>
      <c r="K4272" s="33" t="s">
        <v>88</v>
      </c>
      <c r="L4272" s="31" t="str">
        <f t="shared" si="411"/>
        <v>Sembilan Belas</v>
      </c>
    </row>
    <row r="4273" spans="1:12">
      <c r="A4273" s="31" t="s">
        <v>69</v>
      </c>
      <c r="B4273" s="39" t="e">
        <f>TRUNC(A4251/100000000)</f>
        <v>#REF!</v>
      </c>
      <c r="C4273" s="31" t="e">
        <f>B4273*100000000</f>
        <v>#REF!</v>
      </c>
      <c r="D4273" s="31" t="e">
        <f>IF(B4273&lt;1,"",IF(B4273=1,"",VLOOKUP(B4273,$J$3:$L$102,3)))</f>
        <v>#REF!</v>
      </c>
      <c r="E4273" s="31" t="e">
        <f>IF(B4273&lt;1,"",IF(B4273=1,"Seratus "," Ratus "))</f>
        <v>#REF!</v>
      </c>
      <c r="J4273" s="31">
        <v>20</v>
      </c>
      <c r="K4273" s="33" t="s">
        <v>89</v>
      </c>
      <c r="L4273" s="31" t="s">
        <v>90</v>
      </c>
    </row>
    <row r="4274" spans="1:12">
      <c r="A4274" s="31" t="s">
        <v>72</v>
      </c>
      <c r="B4274" s="39" t="e">
        <f>TRUNC((A4251-C4273)/1000000)</f>
        <v>#REF!</v>
      </c>
      <c r="C4274" s="31" t="e">
        <f>B4274*1000000</f>
        <v>#REF!</v>
      </c>
      <c r="D4274" s="31" t="e">
        <f>IF(B4274&lt;1,"",VLOOKUP(B4274,$J$3:$L$102,3))</f>
        <v>#REF!</v>
      </c>
      <c r="E4274" s="31" t="e">
        <f>IF(B4273+B4274=0,""," Juta ")</f>
        <v>#REF!</v>
      </c>
      <c r="J4274" s="31">
        <v>21</v>
      </c>
      <c r="K4274" s="33" t="s">
        <v>91</v>
      </c>
      <c r="L4274" s="31" t="str">
        <f t="shared" ref="L4274:L4282" si="412">$L$23&amp;" "&amp;L4254</f>
        <v>Dua Puluh Satu</v>
      </c>
    </row>
    <row r="4275" spans="1:12">
      <c r="A4275" s="31" t="s">
        <v>75</v>
      </c>
      <c r="B4275" s="39" t="e">
        <f>TRUNC((A4251-SUM(C4273:C4274))/100000)</f>
        <v>#REF!</v>
      </c>
      <c r="C4275" s="31" t="e">
        <f>B4275*100000</f>
        <v>#REF!</v>
      </c>
      <c r="D4275" s="31" t="e">
        <f>IF(B4275&lt;1,"",IF(B4275=1,"",VLOOKUP(B4275,$J$3:$L$102,3)))</f>
        <v>#REF!</v>
      </c>
      <c r="E4275" s="31" t="e">
        <f>IF(B4275&lt;1,"",IF(B4275=1," Seratus "," Ratus "))</f>
        <v>#REF!</v>
      </c>
      <c r="J4275" s="31">
        <v>22</v>
      </c>
      <c r="K4275" s="33" t="s">
        <v>92</v>
      </c>
      <c r="L4275" s="31" t="str">
        <f t="shared" si="412"/>
        <v>Dua Puluh Dua</v>
      </c>
    </row>
    <row r="4276" spans="1:12">
      <c r="A4276" s="33" t="s">
        <v>77</v>
      </c>
      <c r="B4276" s="40" t="e">
        <f>TRUNC((A4251-SUM(C4273:C4275))/1000)</f>
        <v>#REF!</v>
      </c>
      <c r="C4276" s="31" t="e">
        <f>B4276*1000</f>
        <v>#REF!</v>
      </c>
      <c r="D4276" s="31" t="e">
        <f>IF(B4276&lt;1,"",IF(B4276=1,"",VLOOKUP(B4276,$J$3:$L$102,3)))</f>
        <v>#REF!</v>
      </c>
      <c r="E4276" s="31" t="e">
        <f>IF(B4275+B4276&lt;1,"",IF(B4276=1," Seribu "," Ribu "))</f>
        <v>#REF!</v>
      </c>
      <c r="J4276" s="31">
        <v>23</v>
      </c>
      <c r="K4276" s="33" t="s">
        <v>93</v>
      </c>
      <c r="L4276" s="31" t="str">
        <f t="shared" si="412"/>
        <v>Dua Puluh Tiga</v>
      </c>
    </row>
    <row r="4277" spans="1:12">
      <c r="A4277" s="33" t="s">
        <v>79</v>
      </c>
      <c r="B4277" s="40" t="e">
        <f>TRUNC((A4251-SUM(C4273:C4276))/100)</f>
        <v>#REF!</v>
      </c>
      <c r="C4277" s="31" t="e">
        <f>B4277*100</f>
        <v>#REF!</v>
      </c>
      <c r="D4277" s="31" t="e">
        <f>IF(B4277&lt;1,"",IF(B4277=1,"",VLOOKUP(B4277,$J$3:$L$102,3)))</f>
        <v>#REF!</v>
      </c>
      <c r="E4277" s="31" t="e">
        <f>IF(B4277&lt;1,"",IF(B4277=1," Seratus "," Ratus "))</f>
        <v>#REF!</v>
      </c>
      <c r="J4277" s="31">
        <v>24</v>
      </c>
      <c r="K4277" s="33" t="s">
        <v>94</v>
      </c>
      <c r="L4277" s="31" t="str">
        <f t="shared" si="412"/>
        <v>Dua Puluh Empat</v>
      </c>
    </row>
    <row r="4278" spans="1:12">
      <c r="A4278" s="33" t="s">
        <v>81</v>
      </c>
      <c r="B4278" s="41" t="e">
        <f>TRUNC((A4251-SUM(C4273:C4277)))</f>
        <v>#REF!</v>
      </c>
      <c r="C4278" s="42" t="e">
        <f>B4278</f>
        <v>#REF!</v>
      </c>
      <c r="D4278" s="31" t="e">
        <f>IF(B4278&lt;1,"",VLOOKUP(B4278,$J$3:$L$102,3))</f>
        <v>#REF!</v>
      </c>
      <c r="E4278" s="31" t="e">
        <f>IF(SUM(C4273:C4278)&lt;1,"",IF(B4279&lt;1,""," Dan "))</f>
        <v>#REF!</v>
      </c>
      <c r="J4278" s="31">
        <v>25</v>
      </c>
      <c r="K4278" s="33" t="s">
        <v>95</v>
      </c>
      <c r="L4278" s="31" t="str">
        <f t="shared" si="412"/>
        <v>Dua Puluh Lima</v>
      </c>
    </row>
    <row r="4279" spans="1:12">
      <c r="A4279" s="33" t="s">
        <v>83</v>
      </c>
      <c r="B4279" s="40" t="e">
        <f>ROUND(A4251-SUM(C4273:C4278),2)*100</f>
        <v>#REF!</v>
      </c>
      <c r="D4279" s="31" t="e">
        <f>IF(B4279&lt;1,"",VLOOKUP(B4279,$J$3:$L$102,3))</f>
        <v>#REF!</v>
      </c>
      <c r="E4279" s="31" t="e">
        <f>IF(B4279&lt;1,""," Sen ")</f>
        <v>#REF!</v>
      </c>
      <c r="J4279" s="31">
        <v>26</v>
      </c>
      <c r="K4279" s="33" t="s">
        <v>96</v>
      </c>
      <c r="L4279" s="31" t="str">
        <f t="shared" si="412"/>
        <v>Dua Puluh Enam</v>
      </c>
    </row>
    <row r="4280" spans="1:12">
      <c r="J4280" s="31">
        <v>27</v>
      </c>
      <c r="K4280" s="33" t="s">
        <v>97</v>
      </c>
      <c r="L4280" s="31" t="str">
        <f t="shared" si="412"/>
        <v>Dua Puluh Tujuh</v>
      </c>
    </row>
    <row r="4281" spans="1:12">
      <c r="J4281" s="31">
        <v>28</v>
      </c>
      <c r="K4281" s="33" t="s">
        <v>98</v>
      </c>
      <c r="L4281" s="31" t="str">
        <f t="shared" si="412"/>
        <v>Dua Puluh Delapan</v>
      </c>
    </row>
    <row r="4282" spans="1:12">
      <c r="J4282" s="31">
        <v>29</v>
      </c>
      <c r="K4282" s="33" t="s">
        <v>99</v>
      </c>
      <c r="L4282" s="31" t="str">
        <f t="shared" si="412"/>
        <v>Dua Puluh Sembilan</v>
      </c>
    </row>
    <row r="4283" spans="1:12">
      <c r="J4283" s="31">
        <v>30</v>
      </c>
      <c r="K4283" s="33" t="s">
        <v>100</v>
      </c>
      <c r="L4283" s="31" t="s">
        <v>101</v>
      </c>
    </row>
    <row r="4284" spans="1:12">
      <c r="J4284" s="31">
        <v>31</v>
      </c>
      <c r="K4284" s="33" t="s">
        <v>102</v>
      </c>
      <c r="L4284" s="31" t="str">
        <f t="shared" ref="L4284:L4292" si="413">$L$33&amp;" "&amp;L4254</f>
        <v>Tiga Puluh Satu</v>
      </c>
    </row>
    <row r="4285" spans="1:12">
      <c r="J4285" s="31">
        <v>32</v>
      </c>
      <c r="K4285" s="33" t="s">
        <v>103</v>
      </c>
      <c r="L4285" s="31" t="str">
        <f t="shared" si="413"/>
        <v>Tiga Puluh Dua</v>
      </c>
    </row>
    <row r="4286" spans="1:12">
      <c r="J4286" s="31">
        <v>33</v>
      </c>
      <c r="K4286" s="33" t="s">
        <v>104</v>
      </c>
      <c r="L4286" s="31" t="str">
        <f t="shared" si="413"/>
        <v>Tiga Puluh Tiga</v>
      </c>
    </row>
    <row r="4287" spans="1:12">
      <c r="J4287" s="31">
        <v>34</v>
      </c>
      <c r="K4287" s="33" t="s">
        <v>105</v>
      </c>
      <c r="L4287" s="31" t="str">
        <f t="shared" si="413"/>
        <v>Tiga Puluh Empat</v>
      </c>
    </row>
    <row r="4288" spans="1:12">
      <c r="J4288" s="31">
        <v>35</v>
      </c>
      <c r="K4288" s="33" t="s">
        <v>106</v>
      </c>
      <c r="L4288" s="31" t="str">
        <f t="shared" si="413"/>
        <v>Tiga Puluh Lima</v>
      </c>
    </row>
    <row r="4289" spans="1:12">
      <c r="J4289" s="31">
        <v>36</v>
      </c>
      <c r="K4289" s="33" t="s">
        <v>107</v>
      </c>
      <c r="L4289" s="31" t="str">
        <f t="shared" si="413"/>
        <v>Tiga Puluh Enam</v>
      </c>
    </row>
    <row r="4290" spans="1:12">
      <c r="J4290" s="31">
        <v>37</v>
      </c>
      <c r="K4290" s="33" t="s">
        <v>108</v>
      </c>
      <c r="L4290" s="31" t="str">
        <f t="shared" si="413"/>
        <v>Tiga Puluh Tujuh</v>
      </c>
    </row>
    <row r="4291" spans="1:12">
      <c r="J4291" s="31">
        <v>38</v>
      </c>
      <c r="K4291" s="33" t="s">
        <v>109</v>
      </c>
      <c r="L4291" s="31" t="str">
        <f t="shared" si="413"/>
        <v>Tiga Puluh Delapan</v>
      </c>
    </row>
    <row r="4292" spans="1:12">
      <c r="J4292" s="31">
        <v>39</v>
      </c>
      <c r="K4292" s="33" t="s">
        <v>110</v>
      </c>
      <c r="L4292" s="31" t="str">
        <f t="shared" si="413"/>
        <v>Tiga Puluh Sembilan</v>
      </c>
    </row>
    <row r="4293" spans="1:12">
      <c r="B4293" s="35"/>
      <c r="C4293" s="35"/>
      <c r="D4293" s="35"/>
      <c r="J4293" s="31">
        <v>40</v>
      </c>
      <c r="K4293" s="33" t="s">
        <v>111</v>
      </c>
      <c r="L4293" s="31" t="s">
        <v>112</v>
      </c>
    </row>
    <row r="4294" spans="1:12">
      <c r="A4294" s="35"/>
      <c r="B4294" s="35"/>
      <c r="C4294" s="35"/>
      <c r="D4294" s="35"/>
      <c r="J4294" s="31">
        <v>41</v>
      </c>
      <c r="K4294" s="33" t="s">
        <v>113</v>
      </c>
      <c r="L4294" s="31" t="str">
        <f t="shared" ref="L4294:L4302" si="414">$L$43&amp;" "&amp;L4254</f>
        <v>Empat Puluh Satu</v>
      </c>
    </row>
    <row r="4295" spans="1:12">
      <c r="J4295" s="31">
        <v>42</v>
      </c>
      <c r="K4295" s="33" t="s">
        <v>114</v>
      </c>
      <c r="L4295" s="31" t="str">
        <f t="shared" si="414"/>
        <v>Empat Puluh Dua</v>
      </c>
    </row>
    <row r="4296" spans="1:12">
      <c r="A4296" s="38"/>
      <c r="J4296" s="31">
        <v>43</v>
      </c>
      <c r="K4296" s="33" t="s">
        <v>115</v>
      </c>
      <c r="L4296" s="31" t="str">
        <f t="shared" si="414"/>
        <v>Empat Puluh Tiga</v>
      </c>
    </row>
    <row r="4297" spans="1:12">
      <c r="J4297" s="31">
        <v>44</v>
      </c>
      <c r="K4297" s="33" t="s">
        <v>116</v>
      </c>
      <c r="L4297" s="31" t="str">
        <f t="shared" si="414"/>
        <v>Empat Puluh Empat</v>
      </c>
    </row>
    <row r="4298" spans="1:12">
      <c r="J4298" s="31">
        <v>45</v>
      </c>
      <c r="K4298" s="33" t="s">
        <v>117</v>
      </c>
      <c r="L4298" s="31" t="str">
        <f t="shared" si="414"/>
        <v>Empat Puluh Lima</v>
      </c>
    </row>
    <row r="4299" spans="1:12">
      <c r="J4299" s="31">
        <v>46</v>
      </c>
      <c r="K4299" s="33" t="s">
        <v>118</v>
      </c>
      <c r="L4299" s="31" t="str">
        <f t="shared" si="414"/>
        <v>Empat Puluh Enam</v>
      </c>
    </row>
    <row r="4300" spans="1:12">
      <c r="J4300" s="31">
        <v>47</v>
      </c>
      <c r="K4300" s="33" t="s">
        <v>119</v>
      </c>
      <c r="L4300" s="31" t="str">
        <f t="shared" si="414"/>
        <v>Empat Puluh Tujuh</v>
      </c>
    </row>
    <row r="4301" spans="1:12">
      <c r="J4301" s="31">
        <v>48</v>
      </c>
      <c r="K4301" s="33" t="s">
        <v>120</v>
      </c>
      <c r="L4301" s="31" t="str">
        <f t="shared" si="414"/>
        <v>Empat Puluh Delapan</v>
      </c>
    </row>
    <row r="4302" spans="1:12">
      <c r="J4302" s="31">
        <v>49</v>
      </c>
      <c r="K4302" s="33" t="s">
        <v>121</v>
      </c>
      <c r="L4302" s="31" t="str">
        <f t="shared" si="414"/>
        <v>Empat Puluh Sembilan</v>
      </c>
    </row>
    <row r="4303" spans="1:12">
      <c r="J4303" s="31">
        <v>50</v>
      </c>
      <c r="K4303" s="33" t="s">
        <v>122</v>
      </c>
      <c r="L4303" s="31" t="s">
        <v>123</v>
      </c>
    </row>
    <row r="4304" spans="1:12">
      <c r="J4304" s="31">
        <v>51</v>
      </c>
      <c r="K4304" s="33" t="s">
        <v>124</v>
      </c>
      <c r="L4304" s="31" t="str">
        <f t="shared" ref="L4304:L4312" si="415">$L$53&amp;" "&amp;L4254</f>
        <v>Lima Puluh Satu</v>
      </c>
    </row>
    <row r="4305" spans="10:12">
      <c r="J4305" s="31">
        <v>52</v>
      </c>
      <c r="K4305" s="33" t="s">
        <v>125</v>
      </c>
      <c r="L4305" s="31" t="str">
        <f t="shared" si="415"/>
        <v>Lima Puluh Dua</v>
      </c>
    </row>
    <row r="4306" spans="10:12">
      <c r="J4306" s="31">
        <v>53</v>
      </c>
      <c r="K4306" s="33" t="s">
        <v>126</v>
      </c>
      <c r="L4306" s="31" t="str">
        <f t="shared" si="415"/>
        <v>Lima Puluh Tiga</v>
      </c>
    </row>
    <row r="4307" spans="10:12">
      <c r="J4307" s="31">
        <v>54</v>
      </c>
      <c r="K4307" s="33" t="s">
        <v>127</v>
      </c>
      <c r="L4307" s="31" t="str">
        <f t="shared" si="415"/>
        <v>Lima Puluh Empat</v>
      </c>
    </row>
    <row r="4308" spans="10:12">
      <c r="J4308" s="31">
        <v>55</v>
      </c>
      <c r="K4308" s="33" t="s">
        <v>128</v>
      </c>
      <c r="L4308" s="31" t="str">
        <f t="shared" si="415"/>
        <v>Lima Puluh Lima</v>
      </c>
    </row>
    <row r="4309" spans="10:12">
      <c r="J4309" s="31">
        <v>56</v>
      </c>
      <c r="K4309" s="33" t="s">
        <v>129</v>
      </c>
      <c r="L4309" s="31" t="str">
        <f t="shared" si="415"/>
        <v>Lima Puluh Enam</v>
      </c>
    </row>
    <row r="4310" spans="10:12">
      <c r="J4310" s="31">
        <v>57</v>
      </c>
      <c r="K4310" s="33" t="s">
        <v>130</v>
      </c>
      <c r="L4310" s="31" t="str">
        <f t="shared" si="415"/>
        <v>Lima Puluh Tujuh</v>
      </c>
    </row>
    <row r="4311" spans="10:12">
      <c r="J4311" s="31">
        <v>58</v>
      </c>
      <c r="K4311" s="33" t="s">
        <v>131</v>
      </c>
      <c r="L4311" s="31" t="str">
        <f t="shared" si="415"/>
        <v>Lima Puluh Delapan</v>
      </c>
    </row>
    <row r="4312" spans="10:12">
      <c r="J4312" s="31">
        <v>59</v>
      </c>
      <c r="K4312" s="33" t="s">
        <v>132</v>
      </c>
      <c r="L4312" s="31" t="str">
        <f t="shared" si="415"/>
        <v>Lima Puluh Sembilan</v>
      </c>
    </row>
    <row r="4313" spans="10:12">
      <c r="J4313" s="31">
        <v>60</v>
      </c>
      <c r="K4313" s="33" t="s">
        <v>133</v>
      </c>
      <c r="L4313" s="31" t="s">
        <v>134</v>
      </c>
    </row>
    <row r="4314" spans="10:12">
      <c r="J4314" s="31">
        <v>61</v>
      </c>
      <c r="K4314" s="33" t="s">
        <v>135</v>
      </c>
      <c r="L4314" s="31" t="str">
        <f t="shared" ref="L4314:L4322" si="416">$L$63&amp;" "&amp;L4254</f>
        <v>Enam Puluh Satu</v>
      </c>
    </row>
    <row r="4315" spans="10:12">
      <c r="J4315" s="31">
        <v>62</v>
      </c>
      <c r="K4315" s="33" t="s">
        <v>136</v>
      </c>
      <c r="L4315" s="31" t="str">
        <f t="shared" si="416"/>
        <v>Enam Puluh Dua</v>
      </c>
    </row>
    <row r="4316" spans="10:12">
      <c r="J4316" s="31">
        <v>63</v>
      </c>
      <c r="K4316" s="33" t="s">
        <v>137</v>
      </c>
      <c r="L4316" s="31" t="str">
        <f t="shared" si="416"/>
        <v>Enam Puluh Tiga</v>
      </c>
    </row>
    <row r="4317" spans="10:12">
      <c r="J4317" s="31">
        <v>64</v>
      </c>
      <c r="K4317" s="33" t="s">
        <v>138</v>
      </c>
      <c r="L4317" s="31" t="str">
        <f t="shared" si="416"/>
        <v>Enam Puluh Empat</v>
      </c>
    </row>
    <row r="4318" spans="10:12">
      <c r="J4318" s="31">
        <v>65</v>
      </c>
      <c r="K4318" s="33" t="s">
        <v>139</v>
      </c>
      <c r="L4318" s="31" t="str">
        <f t="shared" si="416"/>
        <v>Enam Puluh Lima</v>
      </c>
    </row>
    <row r="4319" spans="10:12">
      <c r="J4319" s="31">
        <v>66</v>
      </c>
      <c r="K4319" s="33" t="s">
        <v>140</v>
      </c>
      <c r="L4319" s="31" t="str">
        <f t="shared" si="416"/>
        <v>Enam Puluh Enam</v>
      </c>
    </row>
    <row r="4320" spans="10:12">
      <c r="J4320" s="31">
        <v>67</v>
      </c>
      <c r="K4320" s="33" t="s">
        <v>141</v>
      </c>
      <c r="L4320" s="31" t="str">
        <f t="shared" si="416"/>
        <v>Enam Puluh Tujuh</v>
      </c>
    </row>
    <row r="4321" spans="10:12">
      <c r="J4321" s="31">
        <v>68</v>
      </c>
      <c r="K4321" s="33" t="s">
        <v>142</v>
      </c>
      <c r="L4321" s="31" t="str">
        <f t="shared" si="416"/>
        <v>Enam Puluh Delapan</v>
      </c>
    </row>
    <row r="4322" spans="10:12">
      <c r="J4322" s="31">
        <v>69</v>
      </c>
      <c r="K4322" s="33" t="s">
        <v>143</v>
      </c>
      <c r="L4322" s="31" t="str">
        <f t="shared" si="416"/>
        <v>Enam Puluh Sembilan</v>
      </c>
    </row>
    <row r="4323" spans="10:12">
      <c r="J4323" s="31">
        <v>70</v>
      </c>
      <c r="K4323" s="33" t="s">
        <v>144</v>
      </c>
      <c r="L4323" s="31" t="s">
        <v>145</v>
      </c>
    </row>
    <row r="4324" spans="10:12">
      <c r="J4324" s="31">
        <v>71</v>
      </c>
      <c r="K4324" s="33" t="s">
        <v>146</v>
      </c>
      <c r="L4324" s="31" t="str">
        <f t="shared" ref="L4324:L4332" si="417">$L$73&amp;" "&amp;L4254</f>
        <v>Tujuh Puluh Satu</v>
      </c>
    </row>
    <row r="4325" spans="10:12">
      <c r="J4325" s="31">
        <v>72</v>
      </c>
      <c r="K4325" s="33" t="s">
        <v>147</v>
      </c>
      <c r="L4325" s="31" t="str">
        <f t="shared" si="417"/>
        <v>Tujuh Puluh Dua</v>
      </c>
    </row>
    <row r="4326" spans="10:12">
      <c r="J4326" s="31">
        <v>73</v>
      </c>
      <c r="K4326" s="33" t="s">
        <v>148</v>
      </c>
      <c r="L4326" s="31" t="str">
        <f t="shared" si="417"/>
        <v>Tujuh Puluh Tiga</v>
      </c>
    </row>
    <row r="4327" spans="10:12">
      <c r="J4327" s="31">
        <v>74</v>
      </c>
      <c r="K4327" s="33" t="s">
        <v>149</v>
      </c>
      <c r="L4327" s="31" t="str">
        <f t="shared" si="417"/>
        <v>Tujuh Puluh Empat</v>
      </c>
    </row>
    <row r="4328" spans="10:12">
      <c r="J4328" s="31">
        <v>75</v>
      </c>
      <c r="K4328" s="33" t="s">
        <v>150</v>
      </c>
      <c r="L4328" s="31" t="str">
        <f t="shared" si="417"/>
        <v>Tujuh Puluh Lima</v>
      </c>
    </row>
    <row r="4329" spans="10:12">
      <c r="J4329" s="31">
        <v>76</v>
      </c>
      <c r="K4329" s="33" t="s">
        <v>151</v>
      </c>
      <c r="L4329" s="31" t="str">
        <f t="shared" si="417"/>
        <v>Tujuh Puluh Enam</v>
      </c>
    </row>
    <row r="4330" spans="10:12">
      <c r="J4330" s="31">
        <v>77</v>
      </c>
      <c r="K4330" s="33" t="s">
        <v>152</v>
      </c>
      <c r="L4330" s="31" t="str">
        <f t="shared" si="417"/>
        <v>Tujuh Puluh Tujuh</v>
      </c>
    </row>
    <row r="4331" spans="10:12">
      <c r="J4331" s="31">
        <v>78</v>
      </c>
      <c r="K4331" s="33" t="s">
        <v>153</v>
      </c>
      <c r="L4331" s="31" t="str">
        <f t="shared" si="417"/>
        <v>Tujuh Puluh Delapan</v>
      </c>
    </row>
    <row r="4332" spans="10:12">
      <c r="J4332" s="31">
        <v>79</v>
      </c>
      <c r="K4332" s="33" t="s">
        <v>154</v>
      </c>
      <c r="L4332" s="31" t="str">
        <f t="shared" si="417"/>
        <v>Tujuh Puluh Sembilan</v>
      </c>
    </row>
    <row r="4333" spans="10:12">
      <c r="J4333" s="31">
        <v>80</v>
      </c>
      <c r="K4333" s="33" t="s">
        <v>155</v>
      </c>
      <c r="L4333" s="31" t="s">
        <v>156</v>
      </c>
    </row>
    <row r="4334" spans="10:12">
      <c r="J4334" s="31">
        <v>81</v>
      </c>
      <c r="K4334" s="33" t="s">
        <v>157</v>
      </c>
      <c r="L4334" s="31" t="str">
        <f t="shared" ref="L4334:L4342" si="418">$L$83&amp;" "&amp;L4254</f>
        <v>Delapan Puluh Satu</v>
      </c>
    </row>
    <row r="4335" spans="10:12">
      <c r="J4335" s="31">
        <v>82</v>
      </c>
      <c r="K4335" s="33" t="s">
        <v>158</v>
      </c>
      <c r="L4335" s="31" t="str">
        <f t="shared" si="418"/>
        <v>Delapan Puluh Dua</v>
      </c>
    </row>
    <row r="4336" spans="10:12">
      <c r="J4336" s="31">
        <v>83</v>
      </c>
      <c r="K4336" s="33" t="s">
        <v>159</v>
      </c>
      <c r="L4336" s="31" t="str">
        <f t="shared" si="418"/>
        <v>Delapan Puluh Tiga</v>
      </c>
    </row>
    <row r="4337" spans="10:12">
      <c r="J4337" s="31">
        <v>84</v>
      </c>
      <c r="K4337" s="33" t="s">
        <v>160</v>
      </c>
      <c r="L4337" s="31" t="str">
        <f t="shared" si="418"/>
        <v>Delapan Puluh Empat</v>
      </c>
    </row>
    <row r="4338" spans="10:12">
      <c r="J4338" s="31">
        <v>85</v>
      </c>
      <c r="K4338" s="33" t="s">
        <v>161</v>
      </c>
      <c r="L4338" s="31" t="str">
        <f t="shared" si="418"/>
        <v>Delapan Puluh Lima</v>
      </c>
    </row>
    <row r="4339" spans="10:12">
      <c r="J4339" s="31">
        <v>86</v>
      </c>
      <c r="K4339" s="33" t="s">
        <v>162</v>
      </c>
      <c r="L4339" s="31" t="str">
        <f t="shared" si="418"/>
        <v>Delapan Puluh Enam</v>
      </c>
    </row>
    <row r="4340" spans="10:12">
      <c r="J4340" s="31">
        <v>87</v>
      </c>
      <c r="K4340" s="33" t="s">
        <v>163</v>
      </c>
      <c r="L4340" s="31" t="str">
        <f t="shared" si="418"/>
        <v>Delapan Puluh Tujuh</v>
      </c>
    </row>
    <row r="4341" spans="10:12">
      <c r="J4341" s="31">
        <v>88</v>
      </c>
      <c r="K4341" s="33" t="s">
        <v>164</v>
      </c>
      <c r="L4341" s="31" t="str">
        <f t="shared" si="418"/>
        <v>Delapan Puluh Delapan</v>
      </c>
    </row>
    <row r="4342" spans="10:12">
      <c r="J4342" s="31">
        <v>89</v>
      </c>
      <c r="K4342" s="33" t="s">
        <v>165</v>
      </c>
      <c r="L4342" s="31" t="str">
        <f t="shared" si="418"/>
        <v>Delapan Puluh Sembilan</v>
      </c>
    </row>
    <row r="4343" spans="10:12">
      <c r="J4343" s="31">
        <v>90</v>
      </c>
      <c r="K4343" s="33" t="s">
        <v>166</v>
      </c>
      <c r="L4343" s="31" t="s">
        <v>167</v>
      </c>
    </row>
    <row r="4344" spans="10:12">
      <c r="J4344" s="31">
        <v>91</v>
      </c>
      <c r="K4344" s="33" t="s">
        <v>168</v>
      </c>
      <c r="L4344" s="31" t="str">
        <f t="shared" ref="L4344:L4352" si="419">$L$93&amp;" "&amp;L4254</f>
        <v>Sembilan Puluh Satu</v>
      </c>
    </row>
    <row r="4345" spans="10:12">
      <c r="J4345" s="31">
        <v>92</v>
      </c>
      <c r="K4345" s="33" t="s">
        <v>169</v>
      </c>
      <c r="L4345" s="31" t="str">
        <f t="shared" si="419"/>
        <v>Sembilan Puluh Dua</v>
      </c>
    </row>
    <row r="4346" spans="10:12">
      <c r="J4346" s="31">
        <v>93</v>
      </c>
      <c r="K4346" s="33" t="s">
        <v>170</v>
      </c>
      <c r="L4346" s="31" t="str">
        <f t="shared" si="419"/>
        <v>Sembilan Puluh Tiga</v>
      </c>
    </row>
    <row r="4347" spans="10:12">
      <c r="J4347" s="31">
        <v>94</v>
      </c>
      <c r="K4347" s="33" t="s">
        <v>171</v>
      </c>
      <c r="L4347" s="31" t="str">
        <f t="shared" si="419"/>
        <v>Sembilan Puluh Empat</v>
      </c>
    </row>
    <row r="4348" spans="10:12">
      <c r="J4348" s="31">
        <v>95</v>
      </c>
      <c r="K4348" s="33" t="s">
        <v>172</v>
      </c>
      <c r="L4348" s="31" t="str">
        <f t="shared" si="419"/>
        <v>Sembilan Puluh Lima</v>
      </c>
    </row>
    <row r="4349" spans="10:12">
      <c r="J4349" s="31">
        <v>96</v>
      </c>
      <c r="K4349" s="33" t="s">
        <v>173</v>
      </c>
      <c r="L4349" s="31" t="str">
        <f t="shared" si="419"/>
        <v>Sembilan Puluh Enam</v>
      </c>
    </row>
    <row r="4350" spans="10:12">
      <c r="J4350" s="31">
        <v>97</v>
      </c>
      <c r="K4350" s="33" t="s">
        <v>174</v>
      </c>
      <c r="L4350" s="31" t="str">
        <f t="shared" si="419"/>
        <v>Sembilan Puluh Tujuh</v>
      </c>
    </row>
    <row r="4351" spans="10:12">
      <c r="J4351" s="31">
        <v>98</v>
      </c>
      <c r="K4351" s="33" t="s">
        <v>175</v>
      </c>
      <c r="L4351" s="31" t="str">
        <f t="shared" si="419"/>
        <v>Sembilan Puluh Delapan</v>
      </c>
    </row>
    <row r="4352" spans="10:12">
      <c r="J4352" s="31">
        <v>99</v>
      </c>
      <c r="K4352" s="33" t="s">
        <v>176</v>
      </c>
      <c r="L4352" s="31" t="str">
        <f t="shared" si="419"/>
        <v>Sembilan Puluh Sembilan</v>
      </c>
    </row>
    <row r="4354" spans="1:12">
      <c r="A4354" s="30" t="e">
        <f>#REF!</f>
        <v>#REF!</v>
      </c>
      <c r="C4354" s="31" t="s">
        <v>241</v>
      </c>
    </row>
    <row r="4355" spans="1:12">
      <c r="A4355" s="32"/>
    </row>
    <row r="4356" spans="1:12">
      <c r="J4356" s="31">
        <v>0</v>
      </c>
      <c r="K4356" s="33" t="s">
        <v>48</v>
      </c>
      <c r="L4356" s="31" t="s">
        <v>49</v>
      </c>
    </row>
    <row r="4357" spans="1:12">
      <c r="A4357" s="34"/>
      <c r="J4357" s="31">
        <v>1</v>
      </c>
      <c r="K4357" s="33" t="s">
        <v>50</v>
      </c>
      <c r="L4357" s="31" t="s">
        <v>51</v>
      </c>
    </row>
    <row r="4358" spans="1:12">
      <c r="A4358" s="255" t="e">
        <f>TRIM(D4366&amp;E4366&amp;D4367&amp;E4367&amp;D4368&amp;E4368&amp;D4369&amp;E4369&amp;D4370&amp;E4370&amp;D4371&amp;E4371&amp;E4372&amp;D4372&amp;" Only")</f>
        <v>#REF!</v>
      </c>
      <c r="B4358" s="255"/>
      <c r="C4358" s="255"/>
      <c r="D4358" s="255"/>
      <c r="E4358" s="35"/>
      <c r="F4358" s="36"/>
      <c r="J4358" s="31">
        <v>2</v>
      </c>
      <c r="K4358" s="33" t="s">
        <v>52</v>
      </c>
      <c r="L4358" s="31" t="s">
        <v>53</v>
      </c>
    </row>
    <row r="4359" spans="1:12">
      <c r="A4359" s="37"/>
      <c r="B4359" s="37"/>
      <c r="C4359" s="37"/>
      <c r="D4359" s="37"/>
      <c r="E4359" s="35"/>
      <c r="F4359" s="36"/>
      <c r="J4359" s="31">
        <v>3</v>
      </c>
      <c r="K4359" s="33" t="s">
        <v>54</v>
      </c>
      <c r="L4359" s="31" t="s">
        <v>55</v>
      </c>
    </row>
    <row r="4360" spans="1:12">
      <c r="A4360" s="37"/>
      <c r="B4360" s="37"/>
      <c r="C4360" s="37"/>
      <c r="D4360" s="37"/>
      <c r="J4360" s="31">
        <v>4</v>
      </c>
      <c r="K4360" s="33" t="s">
        <v>56</v>
      </c>
      <c r="L4360" s="31" t="s">
        <v>57</v>
      </c>
    </row>
    <row r="4361" spans="1:12">
      <c r="A4361" s="255" t="e">
        <f>TRIM(D4376&amp;E4376&amp;D4377&amp;E4377&amp;D4378&amp;E4378&amp;D4379&amp;E4379&amp;D4380&amp;E4380&amp;D4381&amp;E4381&amp;D4382&amp;E4382&amp;" Rupiah")</f>
        <v>#REF!</v>
      </c>
      <c r="B4361" s="255"/>
      <c r="C4361" s="255"/>
      <c r="D4361" s="255"/>
      <c r="E4361" s="35"/>
      <c r="F4361" s="36"/>
      <c r="J4361" s="31">
        <v>5</v>
      </c>
      <c r="K4361" s="33" t="s">
        <v>58</v>
      </c>
      <c r="L4361" s="31" t="s">
        <v>59</v>
      </c>
    </row>
    <row r="4362" spans="1:12">
      <c r="A4362" s="35"/>
      <c r="B4362" s="35"/>
      <c r="C4362" s="35"/>
      <c r="D4362" s="35"/>
      <c r="E4362" s="35"/>
      <c r="F4362" s="36"/>
      <c r="J4362" s="31">
        <v>6</v>
      </c>
      <c r="K4362" s="33" t="s">
        <v>60</v>
      </c>
      <c r="L4362" s="31" t="s">
        <v>61</v>
      </c>
    </row>
    <row r="4363" spans="1:12">
      <c r="J4363" s="31">
        <v>7</v>
      </c>
      <c r="K4363" s="33" t="s">
        <v>62</v>
      </c>
      <c r="L4363" s="31" t="s">
        <v>63</v>
      </c>
    </row>
    <row r="4364" spans="1:12">
      <c r="J4364" s="31">
        <v>8</v>
      </c>
      <c r="K4364" s="33" t="s">
        <v>64</v>
      </c>
      <c r="L4364" s="31" t="s">
        <v>65</v>
      </c>
    </row>
    <row r="4365" spans="1:12">
      <c r="A4365" s="38" t="s">
        <v>66</v>
      </c>
      <c r="J4365" s="31">
        <v>9</v>
      </c>
      <c r="K4365" s="33" t="s">
        <v>67</v>
      </c>
      <c r="L4365" s="31" t="s">
        <v>68</v>
      </c>
    </row>
    <row r="4366" spans="1:12">
      <c r="A4366" s="31" t="s">
        <v>69</v>
      </c>
      <c r="B4366" s="39" t="e">
        <f>TRUNC(A4354/100000000)</f>
        <v>#REF!</v>
      </c>
      <c r="C4366" s="31" t="e">
        <f>B4366*100000000</f>
        <v>#REF!</v>
      </c>
      <c r="D4366" s="31" t="e">
        <f t="shared" ref="D4366:D4372" si="420">IF(B4366&lt;1,"",VLOOKUP(B4366,$J$3:$K$102,2))</f>
        <v>#REF!</v>
      </c>
      <c r="E4366" s="31" t="e">
        <f>IF(B4366&lt;1,"",IF(B4366&gt;1," Hundreds "," Hundred "))</f>
        <v>#REF!</v>
      </c>
      <c r="J4366" s="31">
        <v>10</v>
      </c>
      <c r="K4366" s="33" t="s">
        <v>70</v>
      </c>
      <c r="L4366" s="31" t="s">
        <v>71</v>
      </c>
    </row>
    <row r="4367" spans="1:12">
      <c r="A4367" s="31" t="s">
        <v>72</v>
      </c>
      <c r="B4367" s="39" t="e">
        <f>TRUNC((A4354-C4366)/1000000)</f>
        <v>#REF!</v>
      </c>
      <c r="C4367" s="31" t="e">
        <f>B4367*1000000</f>
        <v>#REF!</v>
      </c>
      <c r="D4367" s="31" t="e">
        <f t="shared" si="420"/>
        <v>#REF!</v>
      </c>
      <c r="E4367" s="31" t="e">
        <f>IF(B4366+B4367=0,"",IF(B4367=1," Million "," Millions "))</f>
        <v>#REF!</v>
      </c>
      <c r="J4367" s="31">
        <v>11</v>
      </c>
      <c r="K4367" s="33" t="s">
        <v>73</v>
      </c>
      <c r="L4367" s="31" t="s">
        <v>74</v>
      </c>
    </row>
    <row r="4368" spans="1:12">
      <c r="A4368" s="31" t="s">
        <v>75</v>
      </c>
      <c r="B4368" s="39" t="e">
        <f>TRUNC((A4354-SUM(C4366:C4367))/100000)</f>
        <v>#REF!</v>
      </c>
      <c r="C4368" s="31" t="e">
        <f>B4368*100000</f>
        <v>#REF!</v>
      </c>
      <c r="D4368" s="31" t="e">
        <f t="shared" si="420"/>
        <v>#REF!</v>
      </c>
      <c r="E4368" s="31" t="e">
        <f>IF(B4368&lt;1,"",IF(B4368&gt;1," Hundreds "," Hundred "))</f>
        <v>#REF!</v>
      </c>
      <c r="J4368" s="31">
        <v>12</v>
      </c>
      <c r="K4368" s="33" t="s">
        <v>76</v>
      </c>
      <c r="L4368" s="31" t="str">
        <f t="shared" ref="L4368:L4375" si="421">L4358&amp;" Belas"</f>
        <v>Dua Belas</v>
      </c>
    </row>
    <row r="4369" spans="1:12">
      <c r="A4369" s="33" t="s">
        <v>77</v>
      </c>
      <c r="B4369" s="40" t="e">
        <f>TRUNC((A4354-SUM(C4366:C4368))/1000)</f>
        <v>#REF!</v>
      </c>
      <c r="C4369" s="31" t="e">
        <f>B4369*1000</f>
        <v>#REF!</v>
      </c>
      <c r="D4369" s="31" t="e">
        <f t="shared" si="420"/>
        <v>#REF!</v>
      </c>
      <c r="E4369" s="31" t="e">
        <f>IF(B4368+B4369=0,"",IF(B4369=1," Thousand "," Thousands "))</f>
        <v>#REF!</v>
      </c>
      <c r="J4369" s="31">
        <v>13</v>
      </c>
      <c r="K4369" s="33" t="s">
        <v>78</v>
      </c>
      <c r="L4369" s="31" t="str">
        <f t="shared" si="421"/>
        <v>Tiga Belas</v>
      </c>
    </row>
    <row r="4370" spans="1:12">
      <c r="A4370" s="33" t="s">
        <v>79</v>
      </c>
      <c r="B4370" s="40" t="e">
        <f>TRUNC((A4354-SUM(C4366:C4369))/100)</f>
        <v>#REF!</v>
      </c>
      <c r="C4370" s="31" t="e">
        <f>B4370*100</f>
        <v>#REF!</v>
      </c>
      <c r="D4370" s="31" t="e">
        <f t="shared" si="420"/>
        <v>#REF!</v>
      </c>
      <c r="E4370" s="31" t="e">
        <f>IF(B4370&lt;1,"",IF(B4370&gt;1," Hundreds "," Hundred "))</f>
        <v>#REF!</v>
      </c>
      <c r="J4370" s="31">
        <v>14</v>
      </c>
      <c r="K4370" s="33" t="s">
        <v>80</v>
      </c>
      <c r="L4370" s="31" t="str">
        <f t="shared" si="421"/>
        <v>Empat Belas</v>
      </c>
    </row>
    <row r="4371" spans="1:12">
      <c r="A4371" s="33" t="s">
        <v>81</v>
      </c>
      <c r="B4371" s="41" t="e">
        <f>TRUNC((A4354-SUM(C4366:C4370)))</f>
        <v>#REF!</v>
      </c>
      <c r="C4371" s="42" t="e">
        <f>B4371</f>
        <v>#REF!</v>
      </c>
      <c r="D4371" s="31" t="e">
        <f t="shared" si="420"/>
        <v>#REF!</v>
      </c>
      <c r="E4371" s="31" t="e">
        <f>IF(SUM(C4366:C4371)&lt;1,"",IF(B4372&lt;1,""," And "))</f>
        <v>#REF!</v>
      </c>
      <c r="J4371" s="31">
        <v>15</v>
      </c>
      <c r="K4371" s="33" t="s">
        <v>82</v>
      </c>
      <c r="L4371" s="31" t="str">
        <f t="shared" si="421"/>
        <v>Lima Belas</v>
      </c>
    </row>
    <row r="4372" spans="1:12">
      <c r="A4372" s="33" t="s">
        <v>83</v>
      </c>
      <c r="B4372" s="40" t="e">
        <f>ROUND(A4354-SUM(C4366:C4371),2)*100</f>
        <v>#REF!</v>
      </c>
      <c r="D4372" s="43" t="e">
        <f t="shared" si="420"/>
        <v>#REF!</v>
      </c>
      <c r="E4372" s="31" t="e">
        <f>IF(B4372&lt;1,"",IF(B4372=1," Cent "," Cents "))</f>
        <v>#REF!</v>
      </c>
      <c r="J4372" s="31">
        <v>16</v>
      </c>
      <c r="K4372" s="33" t="s">
        <v>84</v>
      </c>
      <c r="L4372" s="31" t="str">
        <f t="shared" si="421"/>
        <v>Enam Belas</v>
      </c>
    </row>
    <row r="4373" spans="1:12">
      <c r="J4373" s="31">
        <v>17</v>
      </c>
      <c r="K4373" s="33" t="s">
        <v>85</v>
      </c>
      <c r="L4373" s="31" t="str">
        <f t="shared" si="421"/>
        <v>Tujuh Belas</v>
      </c>
    </row>
    <row r="4374" spans="1:12">
      <c r="A4374" s="44"/>
      <c r="J4374" s="31">
        <v>18</v>
      </c>
      <c r="K4374" s="33" t="s">
        <v>86</v>
      </c>
      <c r="L4374" s="31" t="str">
        <f t="shared" si="421"/>
        <v>Delapan Belas</v>
      </c>
    </row>
    <row r="4375" spans="1:12">
      <c r="A4375" s="38" t="s">
        <v>87</v>
      </c>
      <c r="J4375" s="31">
        <v>19</v>
      </c>
      <c r="K4375" s="33" t="s">
        <v>88</v>
      </c>
      <c r="L4375" s="31" t="str">
        <f t="shared" si="421"/>
        <v>Sembilan Belas</v>
      </c>
    </row>
    <row r="4376" spans="1:12">
      <c r="A4376" s="31" t="s">
        <v>69</v>
      </c>
      <c r="B4376" s="39" t="e">
        <f>TRUNC(A4354/100000000)</f>
        <v>#REF!</v>
      </c>
      <c r="C4376" s="31" t="e">
        <f>B4376*100000000</f>
        <v>#REF!</v>
      </c>
      <c r="D4376" s="31" t="e">
        <f>IF(B4376&lt;1,"",IF(B4376=1,"",VLOOKUP(B4376,$J$3:$L$102,3)))</f>
        <v>#REF!</v>
      </c>
      <c r="E4376" s="31" t="e">
        <f>IF(B4376&lt;1,"",IF(B4376=1,"Seratus "," Ratus "))</f>
        <v>#REF!</v>
      </c>
      <c r="J4376" s="31">
        <v>20</v>
      </c>
      <c r="K4376" s="33" t="s">
        <v>89</v>
      </c>
      <c r="L4376" s="31" t="s">
        <v>90</v>
      </c>
    </row>
    <row r="4377" spans="1:12">
      <c r="A4377" s="31" t="s">
        <v>72</v>
      </c>
      <c r="B4377" s="39" t="e">
        <f>TRUNC((A4354-C4376)/1000000)</f>
        <v>#REF!</v>
      </c>
      <c r="C4377" s="31" t="e">
        <f>B4377*1000000</f>
        <v>#REF!</v>
      </c>
      <c r="D4377" s="31" t="e">
        <f>IF(B4377&lt;1,"",VLOOKUP(B4377,$J$3:$L$102,3))</f>
        <v>#REF!</v>
      </c>
      <c r="E4377" s="31" t="e">
        <f>IF(B4376+B4377=0,""," Juta ")</f>
        <v>#REF!</v>
      </c>
      <c r="J4377" s="31">
        <v>21</v>
      </c>
      <c r="K4377" s="33" t="s">
        <v>91</v>
      </c>
      <c r="L4377" s="31" t="str">
        <f t="shared" ref="L4377:L4385" si="422">$L$23&amp;" "&amp;L4357</f>
        <v>Dua Puluh Satu</v>
      </c>
    </row>
    <row r="4378" spans="1:12">
      <c r="A4378" s="31" t="s">
        <v>75</v>
      </c>
      <c r="B4378" s="39" t="e">
        <f>TRUNC((A4354-SUM(C4376:C4377))/100000)</f>
        <v>#REF!</v>
      </c>
      <c r="C4378" s="31" t="e">
        <f>B4378*100000</f>
        <v>#REF!</v>
      </c>
      <c r="D4378" s="31" t="e">
        <f>IF(B4378&lt;1,"",IF(B4378=1,"",VLOOKUP(B4378,$J$3:$L$102,3)))</f>
        <v>#REF!</v>
      </c>
      <c r="E4378" s="31" t="e">
        <f>IF(B4378&lt;1,"",IF(B4378=1," Seratus "," Ratus "))</f>
        <v>#REF!</v>
      </c>
      <c r="J4378" s="31">
        <v>22</v>
      </c>
      <c r="K4378" s="33" t="s">
        <v>92</v>
      </c>
      <c r="L4378" s="31" t="str">
        <f t="shared" si="422"/>
        <v>Dua Puluh Dua</v>
      </c>
    </row>
    <row r="4379" spans="1:12">
      <c r="A4379" s="33" t="s">
        <v>77</v>
      </c>
      <c r="B4379" s="40" t="e">
        <f>TRUNC((A4354-SUM(C4376:C4378))/1000)</f>
        <v>#REF!</v>
      </c>
      <c r="C4379" s="31" t="e">
        <f>B4379*1000</f>
        <v>#REF!</v>
      </c>
      <c r="D4379" s="31" t="e">
        <f>IF(B4379&lt;1,"",IF(B4379=1,"",VLOOKUP(B4379,$J$3:$L$102,3)))</f>
        <v>#REF!</v>
      </c>
      <c r="E4379" s="31" t="e">
        <f>IF(B4378+B4379&lt;1,"",IF(B4379=1," Seribu "," Ribu "))</f>
        <v>#REF!</v>
      </c>
      <c r="J4379" s="31">
        <v>23</v>
      </c>
      <c r="K4379" s="33" t="s">
        <v>93</v>
      </c>
      <c r="L4379" s="31" t="str">
        <f t="shared" si="422"/>
        <v>Dua Puluh Tiga</v>
      </c>
    </row>
    <row r="4380" spans="1:12">
      <c r="A4380" s="33" t="s">
        <v>79</v>
      </c>
      <c r="B4380" s="40" t="e">
        <f>TRUNC((A4354-SUM(C4376:C4379))/100)</f>
        <v>#REF!</v>
      </c>
      <c r="C4380" s="31" t="e">
        <f>B4380*100</f>
        <v>#REF!</v>
      </c>
      <c r="D4380" s="31" t="e">
        <f>IF(B4380&lt;1,"",IF(B4380=1,"",VLOOKUP(B4380,$J$3:$L$102,3)))</f>
        <v>#REF!</v>
      </c>
      <c r="E4380" s="31" t="e">
        <f>IF(B4380&lt;1,"",IF(B4380=1," Seratus "," Ratus "))</f>
        <v>#REF!</v>
      </c>
      <c r="J4380" s="31">
        <v>24</v>
      </c>
      <c r="K4380" s="33" t="s">
        <v>94</v>
      </c>
      <c r="L4380" s="31" t="str">
        <f t="shared" si="422"/>
        <v>Dua Puluh Empat</v>
      </c>
    </row>
    <row r="4381" spans="1:12">
      <c r="A4381" s="33" t="s">
        <v>81</v>
      </c>
      <c r="B4381" s="41" t="e">
        <f>TRUNC((A4354-SUM(C4376:C4380)))</f>
        <v>#REF!</v>
      </c>
      <c r="C4381" s="42" t="e">
        <f>B4381</f>
        <v>#REF!</v>
      </c>
      <c r="D4381" s="31" t="e">
        <f>IF(B4381&lt;1,"",VLOOKUP(B4381,$J$3:$L$102,3))</f>
        <v>#REF!</v>
      </c>
      <c r="E4381" s="31" t="e">
        <f>IF(SUM(C4376:C4381)&lt;1,"",IF(B4382&lt;1,""," Dan "))</f>
        <v>#REF!</v>
      </c>
      <c r="J4381" s="31">
        <v>25</v>
      </c>
      <c r="K4381" s="33" t="s">
        <v>95</v>
      </c>
      <c r="L4381" s="31" t="str">
        <f t="shared" si="422"/>
        <v>Dua Puluh Lima</v>
      </c>
    </row>
    <row r="4382" spans="1:12">
      <c r="A4382" s="33" t="s">
        <v>83</v>
      </c>
      <c r="B4382" s="40" t="e">
        <f>ROUND(A4354-SUM(C4376:C4381),2)*100</f>
        <v>#REF!</v>
      </c>
      <c r="D4382" s="31" t="e">
        <f>IF(B4382&lt;1,"",VLOOKUP(B4382,$J$3:$L$102,3))</f>
        <v>#REF!</v>
      </c>
      <c r="E4382" s="31" t="e">
        <f>IF(B4382&lt;1,""," Sen ")</f>
        <v>#REF!</v>
      </c>
      <c r="J4382" s="31">
        <v>26</v>
      </c>
      <c r="K4382" s="33" t="s">
        <v>96</v>
      </c>
      <c r="L4382" s="31" t="str">
        <f t="shared" si="422"/>
        <v>Dua Puluh Enam</v>
      </c>
    </row>
    <row r="4383" spans="1:12">
      <c r="J4383" s="31">
        <v>27</v>
      </c>
      <c r="K4383" s="33" t="s">
        <v>97</v>
      </c>
      <c r="L4383" s="31" t="str">
        <f t="shared" si="422"/>
        <v>Dua Puluh Tujuh</v>
      </c>
    </row>
    <row r="4384" spans="1:12">
      <c r="J4384" s="31">
        <v>28</v>
      </c>
      <c r="K4384" s="33" t="s">
        <v>98</v>
      </c>
      <c r="L4384" s="31" t="str">
        <f t="shared" si="422"/>
        <v>Dua Puluh Delapan</v>
      </c>
    </row>
    <row r="4385" spans="1:12">
      <c r="J4385" s="31">
        <v>29</v>
      </c>
      <c r="K4385" s="33" t="s">
        <v>99</v>
      </c>
      <c r="L4385" s="31" t="str">
        <f t="shared" si="422"/>
        <v>Dua Puluh Sembilan</v>
      </c>
    </row>
    <row r="4386" spans="1:12">
      <c r="J4386" s="31">
        <v>30</v>
      </c>
      <c r="K4386" s="33" t="s">
        <v>100</v>
      </c>
      <c r="L4386" s="31" t="s">
        <v>101</v>
      </c>
    </row>
    <row r="4387" spans="1:12">
      <c r="J4387" s="31">
        <v>31</v>
      </c>
      <c r="K4387" s="33" t="s">
        <v>102</v>
      </c>
      <c r="L4387" s="31" t="str">
        <f t="shared" ref="L4387:L4395" si="423">$L$33&amp;" "&amp;L4357</f>
        <v>Tiga Puluh Satu</v>
      </c>
    </row>
    <row r="4388" spans="1:12">
      <c r="J4388" s="31">
        <v>32</v>
      </c>
      <c r="K4388" s="33" t="s">
        <v>103</v>
      </c>
      <c r="L4388" s="31" t="str">
        <f t="shared" si="423"/>
        <v>Tiga Puluh Dua</v>
      </c>
    </row>
    <row r="4389" spans="1:12">
      <c r="J4389" s="31">
        <v>33</v>
      </c>
      <c r="K4389" s="33" t="s">
        <v>104</v>
      </c>
      <c r="L4389" s="31" t="str">
        <f t="shared" si="423"/>
        <v>Tiga Puluh Tiga</v>
      </c>
    </row>
    <row r="4390" spans="1:12">
      <c r="J4390" s="31">
        <v>34</v>
      </c>
      <c r="K4390" s="33" t="s">
        <v>105</v>
      </c>
      <c r="L4390" s="31" t="str">
        <f t="shared" si="423"/>
        <v>Tiga Puluh Empat</v>
      </c>
    </row>
    <row r="4391" spans="1:12">
      <c r="J4391" s="31">
        <v>35</v>
      </c>
      <c r="K4391" s="33" t="s">
        <v>106</v>
      </c>
      <c r="L4391" s="31" t="str">
        <f t="shared" si="423"/>
        <v>Tiga Puluh Lima</v>
      </c>
    </row>
    <row r="4392" spans="1:12">
      <c r="J4392" s="31">
        <v>36</v>
      </c>
      <c r="K4392" s="33" t="s">
        <v>107</v>
      </c>
      <c r="L4392" s="31" t="str">
        <f t="shared" si="423"/>
        <v>Tiga Puluh Enam</v>
      </c>
    </row>
    <row r="4393" spans="1:12">
      <c r="J4393" s="31">
        <v>37</v>
      </c>
      <c r="K4393" s="33" t="s">
        <v>108</v>
      </c>
      <c r="L4393" s="31" t="str">
        <f t="shared" si="423"/>
        <v>Tiga Puluh Tujuh</v>
      </c>
    </row>
    <row r="4394" spans="1:12">
      <c r="J4394" s="31">
        <v>38</v>
      </c>
      <c r="K4394" s="33" t="s">
        <v>109</v>
      </c>
      <c r="L4394" s="31" t="str">
        <f t="shared" si="423"/>
        <v>Tiga Puluh Delapan</v>
      </c>
    </row>
    <row r="4395" spans="1:12">
      <c r="J4395" s="31">
        <v>39</v>
      </c>
      <c r="K4395" s="33" t="s">
        <v>110</v>
      </c>
      <c r="L4395" s="31" t="str">
        <f t="shared" si="423"/>
        <v>Tiga Puluh Sembilan</v>
      </c>
    </row>
    <row r="4396" spans="1:12">
      <c r="B4396" s="35"/>
      <c r="C4396" s="35"/>
      <c r="D4396" s="35"/>
      <c r="J4396" s="31">
        <v>40</v>
      </c>
      <c r="K4396" s="33" t="s">
        <v>111</v>
      </c>
      <c r="L4396" s="31" t="s">
        <v>112</v>
      </c>
    </row>
    <row r="4397" spans="1:12">
      <c r="A4397" s="35"/>
      <c r="B4397" s="35"/>
      <c r="C4397" s="35"/>
      <c r="D4397" s="35"/>
      <c r="J4397" s="31">
        <v>41</v>
      </c>
      <c r="K4397" s="33" t="s">
        <v>113</v>
      </c>
      <c r="L4397" s="31" t="str">
        <f t="shared" ref="L4397:L4405" si="424">$L$43&amp;" "&amp;L4357</f>
        <v>Empat Puluh Satu</v>
      </c>
    </row>
    <row r="4398" spans="1:12">
      <c r="J4398" s="31">
        <v>42</v>
      </c>
      <c r="K4398" s="33" t="s">
        <v>114</v>
      </c>
      <c r="L4398" s="31" t="str">
        <f t="shared" si="424"/>
        <v>Empat Puluh Dua</v>
      </c>
    </row>
    <row r="4399" spans="1:12">
      <c r="A4399" s="38"/>
      <c r="J4399" s="31">
        <v>43</v>
      </c>
      <c r="K4399" s="33" t="s">
        <v>115</v>
      </c>
      <c r="L4399" s="31" t="str">
        <f t="shared" si="424"/>
        <v>Empat Puluh Tiga</v>
      </c>
    </row>
    <row r="4400" spans="1:12">
      <c r="J4400" s="31">
        <v>44</v>
      </c>
      <c r="K4400" s="33" t="s">
        <v>116</v>
      </c>
      <c r="L4400" s="31" t="str">
        <f t="shared" si="424"/>
        <v>Empat Puluh Empat</v>
      </c>
    </row>
    <row r="4401" spans="10:12">
      <c r="J4401" s="31">
        <v>45</v>
      </c>
      <c r="K4401" s="33" t="s">
        <v>117</v>
      </c>
      <c r="L4401" s="31" t="str">
        <f t="shared" si="424"/>
        <v>Empat Puluh Lima</v>
      </c>
    </row>
    <row r="4402" spans="10:12">
      <c r="J4402" s="31">
        <v>46</v>
      </c>
      <c r="K4402" s="33" t="s">
        <v>118</v>
      </c>
      <c r="L4402" s="31" t="str">
        <f t="shared" si="424"/>
        <v>Empat Puluh Enam</v>
      </c>
    </row>
    <row r="4403" spans="10:12">
      <c r="J4403" s="31">
        <v>47</v>
      </c>
      <c r="K4403" s="33" t="s">
        <v>119</v>
      </c>
      <c r="L4403" s="31" t="str">
        <f t="shared" si="424"/>
        <v>Empat Puluh Tujuh</v>
      </c>
    </row>
    <row r="4404" spans="10:12">
      <c r="J4404" s="31">
        <v>48</v>
      </c>
      <c r="K4404" s="33" t="s">
        <v>120</v>
      </c>
      <c r="L4404" s="31" t="str">
        <f t="shared" si="424"/>
        <v>Empat Puluh Delapan</v>
      </c>
    </row>
    <row r="4405" spans="10:12">
      <c r="J4405" s="31">
        <v>49</v>
      </c>
      <c r="K4405" s="33" t="s">
        <v>121</v>
      </c>
      <c r="L4405" s="31" t="str">
        <f t="shared" si="424"/>
        <v>Empat Puluh Sembilan</v>
      </c>
    </row>
    <row r="4406" spans="10:12">
      <c r="J4406" s="31">
        <v>50</v>
      </c>
      <c r="K4406" s="33" t="s">
        <v>122</v>
      </c>
      <c r="L4406" s="31" t="s">
        <v>123</v>
      </c>
    </row>
    <row r="4407" spans="10:12">
      <c r="J4407" s="31">
        <v>51</v>
      </c>
      <c r="K4407" s="33" t="s">
        <v>124</v>
      </c>
      <c r="L4407" s="31" t="str">
        <f t="shared" ref="L4407:L4415" si="425">$L$53&amp;" "&amp;L4357</f>
        <v>Lima Puluh Satu</v>
      </c>
    </row>
    <row r="4408" spans="10:12">
      <c r="J4408" s="31">
        <v>52</v>
      </c>
      <c r="K4408" s="33" t="s">
        <v>125</v>
      </c>
      <c r="L4408" s="31" t="str">
        <f t="shared" si="425"/>
        <v>Lima Puluh Dua</v>
      </c>
    </row>
    <row r="4409" spans="10:12">
      <c r="J4409" s="31">
        <v>53</v>
      </c>
      <c r="K4409" s="33" t="s">
        <v>126</v>
      </c>
      <c r="L4409" s="31" t="str">
        <f t="shared" si="425"/>
        <v>Lima Puluh Tiga</v>
      </c>
    </row>
    <row r="4410" spans="10:12">
      <c r="J4410" s="31">
        <v>54</v>
      </c>
      <c r="K4410" s="33" t="s">
        <v>127</v>
      </c>
      <c r="L4410" s="31" t="str">
        <f t="shared" si="425"/>
        <v>Lima Puluh Empat</v>
      </c>
    </row>
    <row r="4411" spans="10:12">
      <c r="J4411" s="31">
        <v>55</v>
      </c>
      <c r="K4411" s="33" t="s">
        <v>128</v>
      </c>
      <c r="L4411" s="31" t="str">
        <f t="shared" si="425"/>
        <v>Lima Puluh Lima</v>
      </c>
    </row>
    <row r="4412" spans="10:12">
      <c r="J4412" s="31">
        <v>56</v>
      </c>
      <c r="K4412" s="33" t="s">
        <v>129</v>
      </c>
      <c r="L4412" s="31" t="str">
        <f t="shared" si="425"/>
        <v>Lima Puluh Enam</v>
      </c>
    </row>
    <row r="4413" spans="10:12">
      <c r="J4413" s="31">
        <v>57</v>
      </c>
      <c r="K4413" s="33" t="s">
        <v>130</v>
      </c>
      <c r="L4413" s="31" t="str">
        <f t="shared" si="425"/>
        <v>Lima Puluh Tujuh</v>
      </c>
    </row>
    <row r="4414" spans="10:12">
      <c r="J4414" s="31">
        <v>58</v>
      </c>
      <c r="K4414" s="33" t="s">
        <v>131</v>
      </c>
      <c r="L4414" s="31" t="str">
        <f t="shared" si="425"/>
        <v>Lima Puluh Delapan</v>
      </c>
    </row>
    <row r="4415" spans="10:12">
      <c r="J4415" s="31">
        <v>59</v>
      </c>
      <c r="K4415" s="33" t="s">
        <v>132</v>
      </c>
      <c r="L4415" s="31" t="str">
        <f t="shared" si="425"/>
        <v>Lima Puluh Sembilan</v>
      </c>
    </row>
    <row r="4416" spans="10:12">
      <c r="J4416" s="31">
        <v>60</v>
      </c>
      <c r="K4416" s="33" t="s">
        <v>133</v>
      </c>
      <c r="L4416" s="31" t="s">
        <v>134</v>
      </c>
    </row>
    <row r="4417" spans="10:12">
      <c r="J4417" s="31">
        <v>61</v>
      </c>
      <c r="K4417" s="33" t="s">
        <v>135</v>
      </c>
      <c r="L4417" s="31" t="str">
        <f t="shared" ref="L4417:L4425" si="426">$L$63&amp;" "&amp;L4357</f>
        <v>Enam Puluh Satu</v>
      </c>
    </row>
    <row r="4418" spans="10:12">
      <c r="J4418" s="31">
        <v>62</v>
      </c>
      <c r="K4418" s="33" t="s">
        <v>136</v>
      </c>
      <c r="L4418" s="31" t="str">
        <f t="shared" si="426"/>
        <v>Enam Puluh Dua</v>
      </c>
    </row>
    <row r="4419" spans="10:12">
      <c r="J4419" s="31">
        <v>63</v>
      </c>
      <c r="K4419" s="33" t="s">
        <v>137</v>
      </c>
      <c r="L4419" s="31" t="str">
        <f t="shared" si="426"/>
        <v>Enam Puluh Tiga</v>
      </c>
    </row>
    <row r="4420" spans="10:12">
      <c r="J4420" s="31">
        <v>64</v>
      </c>
      <c r="K4420" s="33" t="s">
        <v>138</v>
      </c>
      <c r="L4420" s="31" t="str">
        <f t="shared" si="426"/>
        <v>Enam Puluh Empat</v>
      </c>
    </row>
    <row r="4421" spans="10:12">
      <c r="J4421" s="31">
        <v>65</v>
      </c>
      <c r="K4421" s="33" t="s">
        <v>139</v>
      </c>
      <c r="L4421" s="31" t="str">
        <f t="shared" si="426"/>
        <v>Enam Puluh Lima</v>
      </c>
    </row>
    <row r="4422" spans="10:12">
      <c r="J4422" s="31">
        <v>66</v>
      </c>
      <c r="K4422" s="33" t="s">
        <v>140</v>
      </c>
      <c r="L4422" s="31" t="str">
        <f t="shared" si="426"/>
        <v>Enam Puluh Enam</v>
      </c>
    </row>
    <row r="4423" spans="10:12">
      <c r="J4423" s="31">
        <v>67</v>
      </c>
      <c r="K4423" s="33" t="s">
        <v>141</v>
      </c>
      <c r="L4423" s="31" t="str">
        <f t="shared" si="426"/>
        <v>Enam Puluh Tujuh</v>
      </c>
    </row>
    <row r="4424" spans="10:12">
      <c r="J4424" s="31">
        <v>68</v>
      </c>
      <c r="K4424" s="33" t="s">
        <v>142</v>
      </c>
      <c r="L4424" s="31" t="str">
        <f t="shared" si="426"/>
        <v>Enam Puluh Delapan</v>
      </c>
    </row>
    <row r="4425" spans="10:12">
      <c r="J4425" s="31">
        <v>69</v>
      </c>
      <c r="K4425" s="33" t="s">
        <v>143</v>
      </c>
      <c r="L4425" s="31" t="str">
        <f t="shared" si="426"/>
        <v>Enam Puluh Sembilan</v>
      </c>
    </row>
    <row r="4426" spans="10:12">
      <c r="J4426" s="31">
        <v>70</v>
      </c>
      <c r="K4426" s="33" t="s">
        <v>144</v>
      </c>
      <c r="L4426" s="31" t="s">
        <v>145</v>
      </c>
    </row>
    <row r="4427" spans="10:12">
      <c r="J4427" s="31">
        <v>71</v>
      </c>
      <c r="K4427" s="33" t="s">
        <v>146</v>
      </c>
      <c r="L4427" s="31" t="str">
        <f t="shared" ref="L4427:L4435" si="427">$L$73&amp;" "&amp;L4357</f>
        <v>Tujuh Puluh Satu</v>
      </c>
    </row>
    <row r="4428" spans="10:12">
      <c r="J4428" s="31">
        <v>72</v>
      </c>
      <c r="K4428" s="33" t="s">
        <v>147</v>
      </c>
      <c r="L4428" s="31" t="str">
        <f t="shared" si="427"/>
        <v>Tujuh Puluh Dua</v>
      </c>
    </row>
    <row r="4429" spans="10:12">
      <c r="J4429" s="31">
        <v>73</v>
      </c>
      <c r="K4429" s="33" t="s">
        <v>148</v>
      </c>
      <c r="L4429" s="31" t="str">
        <f t="shared" si="427"/>
        <v>Tujuh Puluh Tiga</v>
      </c>
    </row>
    <row r="4430" spans="10:12">
      <c r="J4430" s="31">
        <v>74</v>
      </c>
      <c r="K4430" s="33" t="s">
        <v>149</v>
      </c>
      <c r="L4430" s="31" t="str">
        <f t="shared" si="427"/>
        <v>Tujuh Puluh Empat</v>
      </c>
    </row>
    <row r="4431" spans="10:12">
      <c r="J4431" s="31">
        <v>75</v>
      </c>
      <c r="K4431" s="33" t="s">
        <v>150</v>
      </c>
      <c r="L4431" s="31" t="str">
        <f t="shared" si="427"/>
        <v>Tujuh Puluh Lima</v>
      </c>
    </row>
    <row r="4432" spans="10:12">
      <c r="J4432" s="31">
        <v>76</v>
      </c>
      <c r="K4432" s="33" t="s">
        <v>151</v>
      </c>
      <c r="L4432" s="31" t="str">
        <f t="shared" si="427"/>
        <v>Tujuh Puluh Enam</v>
      </c>
    </row>
    <row r="4433" spans="10:12">
      <c r="J4433" s="31">
        <v>77</v>
      </c>
      <c r="K4433" s="33" t="s">
        <v>152</v>
      </c>
      <c r="L4433" s="31" t="str">
        <f t="shared" si="427"/>
        <v>Tujuh Puluh Tujuh</v>
      </c>
    </row>
    <row r="4434" spans="10:12">
      <c r="J4434" s="31">
        <v>78</v>
      </c>
      <c r="K4434" s="33" t="s">
        <v>153</v>
      </c>
      <c r="L4434" s="31" t="str">
        <f t="shared" si="427"/>
        <v>Tujuh Puluh Delapan</v>
      </c>
    </row>
    <row r="4435" spans="10:12">
      <c r="J4435" s="31">
        <v>79</v>
      </c>
      <c r="K4435" s="33" t="s">
        <v>154</v>
      </c>
      <c r="L4435" s="31" t="str">
        <f t="shared" si="427"/>
        <v>Tujuh Puluh Sembilan</v>
      </c>
    </row>
    <row r="4436" spans="10:12">
      <c r="J4436" s="31">
        <v>80</v>
      </c>
      <c r="K4436" s="33" t="s">
        <v>155</v>
      </c>
      <c r="L4436" s="31" t="s">
        <v>156</v>
      </c>
    </row>
    <row r="4437" spans="10:12">
      <c r="J4437" s="31">
        <v>81</v>
      </c>
      <c r="K4437" s="33" t="s">
        <v>157</v>
      </c>
      <c r="L4437" s="31" t="str">
        <f t="shared" ref="L4437:L4445" si="428">$L$83&amp;" "&amp;L4357</f>
        <v>Delapan Puluh Satu</v>
      </c>
    </row>
    <row r="4438" spans="10:12">
      <c r="J4438" s="31">
        <v>82</v>
      </c>
      <c r="K4438" s="33" t="s">
        <v>158</v>
      </c>
      <c r="L4438" s="31" t="str">
        <f t="shared" si="428"/>
        <v>Delapan Puluh Dua</v>
      </c>
    </row>
    <row r="4439" spans="10:12">
      <c r="J4439" s="31">
        <v>83</v>
      </c>
      <c r="K4439" s="33" t="s">
        <v>159</v>
      </c>
      <c r="L4439" s="31" t="str">
        <f t="shared" si="428"/>
        <v>Delapan Puluh Tiga</v>
      </c>
    </row>
    <row r="4440" spans="10:12">
      <c r="J4440" s="31">
        <v>84</v>
      </c>
      <c r="K4440" s="33" t="s">
        <v>160</v>
      </c>
      <c r="L4440" s="31" t="str">
        <f t="shared" si="428"/>
        <v>Delapan Puluh Empat</v>
      </c>
    </row>
    <row r="4441" spans="10:12">
      <c r="J4441" s="31">
        <v>85</v>
      </c>
      <c r="K4441" s="33" t="s">
        <v>161</v>
      </c>
      <c r="L4441" s="31" t="str">
        <f t="shared" si="428"/>
        <v>Delapan Puluh Lima</v>
      </c>
    </row>
    <row r="4442" spans="10:12">
      <c r="J4442" s="31">
        <v>86</v>
      </c>
      <c r="K4442" s="33" t="s">
        <v>162</v>
      </c>
      <c r="L4442" s="31" t="str">
        <f t="shared" si="428"/>
        <v>Delapan Puluh Enam</v>
      </c>
    </row>
    <row r="4443" spans="10:12">
      <c r="J4443" s="31">
        <v>87</v>
      </c>
      <c r="K4443" s="33" t="s">
        <v>163</v>
      </c>
      <c r="L4443" s="31" t="str">
        <f t="shared" si="428"/>
        <v>Delapan Puluh Tujuh</v>
      </c>
    </row>
    <row r="4444" spans="10:12">
      <c r="J4444" s="31">
        <v>88</v>
      </c>
      <c r="K4444" s="33" t="s">
        <v>164</v>
      </c>
      <c r="L4444" s="31" t="str">
        <f t="shared" si="428"/>
        <v>Delapan Puluh Delapan</v>
      </c>
    </row>
    <row r="4445" spans="10:12">
      <c r="J4445" s="31">
        <v>89</v>
      </c>
      <c r="K4445" s="33" t="s">
        <v>165</v>
      </c>
      <c r="L4445" s="31" t="str">
        <f t="shared" si="428"/>
        <v>Delapan Puluh Sembilan</v>
      </c>
    </row>
    <row r="4446" spans="10:12">
      <c r="J4446" s="31">
        <v>90</v>
      </c>
      <c r="K4446" s="33" t="s">
        <v>166</v>
      </c>
      <c r="L4446" s="31" t="s">
        <v>167</v>
      </c>
    </row>
    <row r="4447" spans="10:12">
      <c r="J4447" s="31">
        <v>91</v>
      </c>
      <c r="K4447" s="33" t="s">
        <v>168</v>
      </c>
      <c r="L4447" s="31" t="str">
        <f t="shared" ref="L4447:L4455" si="429">$L$93&amp;" "&amp;L4357</f>
        <v>Sembilan Puluh Satu</v>
      </c>
    </row>
    <row r="4448" spans="10:12">
      <c r="J4448" s="31">
        <v>92</v>
      </c>
      <c r="K4448" s="33" t="s">
        <v>169</v>
      </c>
      <c r="L4448" s="31" t="str">
        <f t="shared" si="429"/>
        <v>Sembilan Puluh Dua</v>
      </c>
    </row>
    <row r="4449" spans="1:12">
      <c r="J4449" s="31">
        <v>93</v>
      </c>
      <c r="K4449" s="33" t="s">
        <v>170</v>
      </c>
      <c r="L4449" s="31" t="str">
        <f t="shared" si="429"/>
        <v>Sembilan Puluh Tiga</v>
      </c>
    </row>
    <row r="4450" spans="1:12">
      <c r="J4450" s="31">
        <v>94</v>
      </c>
      <c r="K4450" s="33" t="s">
        <v>171</v>
      </c>
      <c r="L4450" s="31" t="str">
        <f t="shared" si="429"/>
        <v>Sembilan Puluh Empat</v>
      </c>
    </row>
    <row r="4451" spans="1:12">
      <c r="J4451" s="31">
        <v>95</v>
      </c>
      <c r="K4451" s="33" t="s">
        <v>172</v>
      </c>
      <c r="L4451" s="31" t="str">
        <f t="shared" si="429"/>
        <v>Sembilan Puluh Lima</v>
      </c>
    </row>
    <row r="4452" spans="1:12">
      <c r="J4452" s="31">
        <v>96</v>
      </c>
      <c r="K4452" s="33" t="s">
        <v>173</v>
      </c>
      <c r="L4452" s="31" t="str">
        <f t="shared" si="429"/>
        <v>Sembilan Puluh Enam</v>
      </c>
    </row>
    <row r="4453" spans="1:12">
      <c r="J4453" s="31">
        <v>97</v>
      </c>
      <c r="K4453" s="33" t="s">
        <v>174</v>
      </c>
      <c r="L4453" s="31" t="str">
        <f t="shared" si="429"/>
        <v>Sembilan Puluh Tujuh</v>
      </c>
    </row>
    <row r="4454" spans="1:12">
      <c r="J4454" s="31">
        <v>98</v>
      </c>
      <c r="K4454" s="33" t="s">
        <v>175</v>
      </c>
      <c r="L4454" s="31" t="str">
        <f t="shared" si="429"/>
        <v>Sembilan Puluh Delapan</v>
      </c>
    </row>
    <row r="4455" spans="1:12">
      <c r="J4455" s="31">
        <v>99</v>
      </c>
      <c r="K4455" s="33" t="s">
        <v>176</v>
      </c>
      <c r="L4455" s="31" t="str">
        <f t="shared" si="429"/>
        <v>Sembilan Puluh Sembilan</v>
      </c>
    </row>
    <row r="4457" spans="1:12">
      <c r="A4457" s="30" t="e">
        <f>#REF!</f>
        <v>#REF!</v>
      </c>
      <c r="C4457" s="31" t="s">
        <v>224</v>
      </c>
    </row>
    <row r="4458" spans="1:12">
      <c r="A4458" s="32"/>
    </row>
    <row r="4459" spans="1:12">
      <c r="J4459" s="31">
        <v>0</v>
      </c>
      <c r="K4459" s="33" t="s">
        <v>48</v>
      </c>
      <c r="L4459" s="31" t="s">
        <v>49</v>
      </c>
    </row>
    <row r="4460" spans="1:12">
      <c r="A4460" s="34"/>
      <c r="J4460" s="31">
        <v>1</v>
      </c>
      <c r="K4460" s="33" t="s">
        <v>50</v>
      </c>
      <c r="L4460" s="31" t="s">
        <v>51</v>
      </c>
    </row>
    <row r="4461" spans="1:12">
      <c r="A4461" s="255" t="e">
        <f>TRIM(D4469&amp;E4469&amp;D4470&amp;E4470&amp;D4471&amp;E4471&amp;D4472&amp;E4472&amp;D4473&amp;E4473&amp;D4474&amp;E4474&amp;E4475&amp;D4475&amp;" Only")</f>
        <v>#REF!</v>
      </c>
      <c r="B4461" s="255"/>
      <c r="C4461" s="255"/>
      <c r="D4461" s="255"/>
      <c r="E4461" s="35"/>
      <c r="F4461" s="36"/>
      <c r="J4461" s="31">
        <v>2</v>
      </c>
      <c r="K4461" s="33" t="s">
        <v>52</v>
      </c>
      <c r="L4461" s="31" t="s">
        <v>53</v>
      </c>
    </row>
    <row r="4462" spans="1:12">
      <c r="A4462" s="37"/>
      <c r="B4462" s="37"/>
      <c r="C4462" s="37"/>
      <c r="D4462" s="37"/>
      <c r="E4462" s="35"/>
      <c r="F4462" s="36"/>
      <c r="J4462" s="31">
        <v>3</v>
      </c>
      <c r="K4462" s="33" t="s">
        <v>54</v>
      </c>
      <c r="L4462" s="31" t="s">
        <v>55</v>
      </c>
    </row>
    <row r="4463" spans="1:12">
      <c r="A4463" s="37"/>
      <c r="B4463" s="37"/>
      <c r="C4463" s="37"/>
      <c r="D4463" s="37"/>
      <c r="J4463" s="31">
        <v>4</v>
      </c>
      <c r="K4463" s="33" t="s">
        <v>56</v>
      </c>
      <c r="L4463" s="31" t="s">
        <v>57</v>
      </c>
    </row>
    <row r="4464" spans="1:12">
      <c r="A4464" s="255" t="e">
        <f>TRIM(D4479&amp;E4479&amp;D4480&amp;E4480&amp;D4481&amp;E4481&amp;D4482&amp;E4482&amp;D4483&amp;E4483&amp;D4484&amp;E4484&amp;D4485&amp;E4485&amp;" Rupiah")</f>
        <v>#REF!</v>
      </c>
      <c r="B4464" s="255"/>
      <c r="C4464" s="255"/>
      <c r="D4464" s="255"/>
      <c r="E4464" s="35"/>
      <c r="F4464" s="36"/>
      <c r="J4464" s="31">
        <v>5</v>
      </c>
      <c r="K4464" s="33" t="s">
        <v>58</v>
      </c>
      <c r="L4464" s="31" t="s">
        <v>59</v>
      </c>
    </row>
    <row r="4465" spans="1:12">
      <c r="A4465" s="35"/>
      <c r="B4465" s="35"/>
      <c r="C4465" s="35"/>
      <c r="D4465" s="35"/>
      <c r="E4465" s="35"/>
      <c r="F4465" s="36"/>
      <c r="J4465" s="31">
        <v>6</v>
      </c>
      <c r="K4465" s="33" t="s">
        <v>60</v>
      </c>
      <c r="L4465" s="31" t="s">
        <v>61</v>
      </c>
    </row>
    <row r="4466" spans="1:12">
      <c r="J4466" s="31">
        <v>7</v>
      </c>
      <c r="K4466" s="33" t="s">
        <v>62</v>
      </c>
      <c r="L4466" s="31" t="s">
        <v>63</v>
      </c>
    </row>
    <row r="4467" spans="1:12">
      <c r="J4467" s="31">
        <v>8</v>
      </c>
      <c r="K4467" s="33" t="s">
        <v>64</v>
      </c>
      <c r="L4467" s="31" t="s">
        <v>65</v>
      </c>
    </row>
    <row r="4468" spans="1:12">
      <c r="A4468" s="38" t="s">
        <v>66</v>
      </c>
      <c r="J4468" s="31">
        <v>9</v>
      </c>
      <c r="K4468" s="33" t="s">
        <v>67</v>
      </c>
      <c r="L4468" s="31" t="s">
        <v>68</v>
      </c>
    </row>
    <row r="4469" spans="1:12">
      <c r="A4469" s="31" t="s">
        <v>69</v>
      </c>
      <c r="B4469" s="39" t="e">
        <f>TRUNC(A4457/100000000)</f>
        <v>#REF!</v>
      </c>
      <c r="C4469" s="31" t="e">
        <f>B4469*100000000</f>
        <v>#REF!</v>
      </c>
      <c r="D4469" s="31" t="e">
        <f t="shared" ref="D4469:D4475" si="430">IF(B4469&lt;1,"",VLOOKUP(B4469,$J$3:$K$102,2))</f>
        <v>#REF!</v>
      </c>
      <c r="E4469" s="31" t="e">
        <f>IF(B4469&lt;1,"",IF(B4469&gt;1," Hundreds "," Hundred "))</f>
        <v>#REF!</v>
      </c>
      <c r="J4469" s="31">
        <v>10</v>
      </c>
      <c r="K4469" s="33" t="s">
        <v>70</v>
      </c>
      <c r="L4469" s="31" t="s">
        <v>71</v>
      </c>
    </row>
    <row r="4470" spans="1:12">
      <c r="A4470" s="31" t="s">
        <v>72</v>
      </c>
      <c r="B4470" s="39" t="e">
        <f>TRUNC((A4457-C4469)/1000000)</f>
        <v>#REF!</v>
      </c>
      <c r="C4470" s="31" t="e">
        <f>B4470*1000000</f>
        <v>#REF!</v>
      </c>
      <c r="D4470" s="31" t="e">
        <f t="shared" si="430"/>
        <v>#REF!</v>
      </c>
      <c r="E4470" s="31" t="e">
        <f>IF(B4469+B4470=0,"",IF(B4470=1," Million "," Millions "))</f>
        <v>#REF!</v>
      </c>
      <c r="J4470" s="31">
        <v>11</v>
      </c>
      <c r="K4470" s="33" t="s">
        <v>73</v>
      </c>
      <c r="L4470" s="31" t="s">
        <v>74</v>
      </c>
    </row>
    <row r="4471" spans="1:12">
      <c r="A4471" s="31" t="s">
        <v>75</v>
      </c>
      <c r="B4471" s="39" t="e">
        <f>TRUNC((A4457-SUM(C4469:C4470))/100000)</f>
        <v>#REF!</v>
      </c>
      <c r="C4471" s="31" t="e">
        <f>B4471*100000</f>
        <v>#REF!</v>
      </c>
      <c r="D4471" s="31" t="e">
        <f t="shared" si="430"/>
        <v>#REF!</v>
      </c>
      <c r="E4471" s="31" t="e">
        <f>IF(B4471&lt;1,"",IF(B4471&gt;1," Hundreds "," Hundred "))</f>
        <v>#REF!</v>
      </c>
      <c r="J4471" s="31">
        <v>12</v>
      </c>
      <c r="K4471" s="33" t="s">
        <v>76</v>
      </c>
      <c r="L4471" s="31" t="str">
        <f t="shared" ref="L4471:L4478" si="431">L4461&amp;" Belas"</f>
        <v>Dua Belas</v>
      </c>
    </row>
    <row r="4472" spans="1:12">
      <c r="A4472" s="33" t="s">
        <v>77</v>
      </c>
      <c r="B4472" s="40" t="e">
        <f>TRUNC((A4457-SUM(C4469:C4471))/1000)</f>
        <v>#REF!</v>
      </c>
      <c r="C4472" s="31" t="e">
        <f>B4472*1000</f>
        <v>#REF!</v>
      </c>
      <c r="D4472" s="31" t="e">
        <f t="shared" si="430"/>
        <v>#REF!</v>
      </c>
      <c r="E4472" s="31" t="e">
        <f>IF(B4471+B4472=0,"",IF(B4472=1," Thousand "," Thousands "))</f>
        <v>#REF!</v>
      </c>
      <c r="J4472" s="31">
        <v>13</v>
      </c>
      <c r="K4472" s="33" t="s">
        <v>78</v>
      </c>
      <c r="L4472" s="31" t="str">
        <f t="shared" si="431"/>
        <v>Tiga Belas</v>
      </c>
    </row>
    <row r="4473" spans="1:12">
      <c r="A4473" s="33" t="s">
        <v>79</v>
      </c>
      <c r="B4473" s="40" t="e">
        <f>TRUNC((A4457-SUM(C4469:C4472))/100)</f>
        <v>#REF!</v>
      </c>
      <c r="C4473" s="31" t="e">
        <f>B4473*100</f>
        <v>#REF!</v>
      </c>
      <c r="D4473" s="31" t="e">
        <f t="shared" si="430"/>
        <v>#REF!</v>
      </c>
      <c r="E4473" s="31" t="e">
        <f>IF(B4473&lt;1,"",IF(B4473&gt;1," Hundreds "," Hundred "))</f>
        <v>#REF!</v>
      </c>
      <c r="J4473" s="31">
        <v>14</v>
      </c>
      <c r="K4473" s="33" t="s">
        <v>80</v>
      </c>
      <c r="L4473" s="31" t="str">
        <f t="shared" si="431"/>
        <v>Empat Belas</v>
      </c>
    </row>
    <row r="4474" spans="1:12">
      <c r="A4474" s="33" t="s">
        <v>81</v>
      </c>
      <c r="B4474" s="41" t="e">
        <f>TRUNC((A4457-SUM(C4469:C4473)))</f>
        <v>#REF!</v>
      </c>
      <c r="C4474" s="42" t="e">
        <f>B4474</f>
        <v>#REF!</v>
      </c>
      <c r="D4474" s="31" t="e">
        <f t="shared" si="430"/>
        <v>#REF!</v>
      </c>
      <c r="E4474" s="31" t="e">
        <f>IF(SUM(C4469:C4474)&lt;1,"",IF(B4475&lt;1,""," And "))</f>
        <v>#REF!</v>
      </c>
      <c r="J4474" s="31">
        <v>15</v>
      </c>
      <c r="K4474" s="33" t="s">
        <v>82</v>
      </c>
      <c r="L4474" s="31" t="str">
        <f t="shared" si="431"/>
        <v>Lima Belas</v>
      </c>
    </row>
    <row r="4475" spans="1:12">
      <c r="A4475" s="33" t="s">
        <v>83</v>
      </c>
      <c r="B4475" s="40" t="e">
        <f>ROUND(A4457-SUM(C4469:C4474),2)*100</f>
        <v>#REF!</v>
      </c>
      <c r="D4475" s="43" t="e">
        <f t="shared" si="430"/>
        <v>#REF!</v>
      </c>
      <c r="E4475" s="31" t="e">
        <f>IF(B4475&lt;1,"",IF(B4475=1," Cent "," Cents "))</f>
        <v>#REF!</v>
      </c>
      <c r="J4475" s="31">
        <v>16</v>
      </c>
      <c r="K4475" s="33" t="s">
        <v>84</v>
      </c>
      <c r="L4475" s="31" t="str">
        <f t="shared" si="431"/>
        <v>Enam Belas</v>
      </c>
    </row>
    <row r="4476" spans="1:12">
      <c r="J4476" s="31">
        <v>17</v>
      </c>
      <c r="K4476" s="33" t="s">
        <v>85</v>
      </c>
      <c r="L4476" s="31" t="str">
        <f t="shared" si="431"/>
        <v>Tujuh Belas</v>
      </c>
    </row>
    <row r="4477" spans="1:12">
      <c r="A4477" s="44"/>
      <c r="J4477" s="31">
        <v>18</v>
      </c>
      <c r="K4477" s="33" t="s">
        <v>86</v>
      </c>
      <c r="L4477" s="31" t="str">
        <f t="shared" si="431"/>
        <v>Delapan Belas</v>
      </c>
    </row>
    <row r="4478" spans="1:12">
      <c r="A4478" s="38" t="s">
        <v>87</v>
      </c>
      <c r="J4478" s="31">
        <v>19</v>
      </c>
      <c r="K4478" s="33" t="s">
        <v>88</v>
      </c>
      <c r="L4478" s="31" t="str">
        <f t="shared" si="431"/>
        <v>Sembilan Belas</v>
      </c>
    </row>
    <row r="4479" spans="1:12">
      <c r="A4479" s="31" t="s">
        <v>69</v>
      </c>
      <c r="B4479" s="39" t="e">
        <f>TRUNC(A4457/100000000)</f>
        <v>#REF!</v>
      </c>
      <c r="C4479" s="31" t="e">
        <f>B4479*100000000</f>
        <v>#REF!</v>
      </c>
      <c r="D4479" s="31" t="e">
        <f>IF(B4479&lt;1,"",IF(B4479=1,"",VLOOKUP(B4479,$J$3:$L$102,3)))</f>
        <v>#REF!</v>
      </c>
      <c r="E4479" s="31" t="e">
        <f>IF(B4479&lt;1,"",IF(B4479=1,"Seratus "," Ratus "))</f>
        <v>#REF!</v>
      </c>
      <c r="J4479" s="31">
        <v>20</v>
      </c>
      <c r="K4479" s="33" t="s">
        <v>89</v>
      </c>
      <c r="L4479" s="31" t="s">
        <v>90</v>
      </c>
    </row>
    <row r="4480" spans="1:12">
      <c r="A4480" s="31" t="s">
        <v>72</v>
      </c>
      <c r="B4480" s="39" t="e">
        <f>TRUNC((A4457-C4479)/1000000)</f>
        <v>#REF!</v>
      </c>
      <c r="C4480" s="31" t="e">
        <f>B4480*1000000</f>
        <v>#REF!</v>
      </c>
      <c r="D4480" s="31" t="e">
        <f>IF(B4480&lt;1,"",VLOOKUP(B4480,$J$3:$L$102,3))</f>
        <v>#REF!</v>
      </c>
      <c r="E4480" s="31" t="e">
        <f>IF(B4479+B4480=0,""," Juta ")</f>
        <v>#REF!</v>
      </c>
      <c r="J4480" s="31">
        <v>21</v>
      </c>
      <c r="K4480" s="33" t="s">
        <v>91</v>
      </c>
      <c r="L4480" s="31" t="str">
        <f t="shared" ref="L4480:L4488" si="432">$L$23&amp;" "&amp;L4460</f>
        <v>Dua Puluh Satu</v>
      </c>
    </row>
    <row r="4481" spans="1:12">
      <c r="A4481" s="31" t="s">
        <v>75</v>
      </c>
      <c r="B4481" s="39" t="e">
        <f>TRUNC((A4457-SUM(C4479:C4480))/100000)</f>
        <v>#REF!</v>
      </c>
      <c r="C4481" s="31" t="e">
        <f>B4481*100000</f>
        <v>#REF!</v>
      </c>
      <c r="D4481" s="31" t="e">
        <f>IF(B4481&lt;1,"",IF(B4481=1,"",VLOOKUP(B4481,$J$3:$L$102,3)))</f>
        <v>#REF!</v>
      </c>
      <c r="E4481" s="31" t="e">
        <f>IF(B4481&lt;1,"",IF(B4481=1," Seratus "," Ratus "))</f>
        <v>#REF!</v>
      </c>
      <c r="J4481" s="31">
        <v>22</v>
      </c>
      <c r="K4481" s="33" t="s">
        <v>92</v>
      </c>
      <c r="L4481" s="31" t="str">
        <f t="shared" si="432"/>
        <v>Dua Puluh Dua</v>
      </c>
    </row>
    <row r="4482" spans="1:12">
      <c r="A4482" s="33" t="s">
        <v>77</v>
      </c>
      <c r="B4482" s="40" t="e">
        <f>TRUNC((A4457-SUM(C4479:C4481))/1000)</f>
        <v>#REF!</v>
      </c>
      <c r="C4482" s="31" t="e">
        <f>B4482*1000</f>
        <v>#REF!</v>
      </c>
      <c r="D4482" s="31" t="e">
        <f>IF(B4482&lt;1,"",IF(B4482=1,"",VLOOKUP(B4482,$J$3:$L$102,3)))</f>
        <v>#REF!</v>
      </c>
      <c r="E4482" s="31" t="e">
        <f>IF(B4481+B4482&lt;1,"",IF(B4482=1," Seribu "," Ribu "))</f>
        <v>#REF!</v>
      </c>
      <c r="J4482" s="31">
        <v>23</v>
      </c>
      <c r="K4482" s="33" t="s">
        <v>93</v>
      </c>
      <c r="L4482" s="31" t="str">
        <f t="shared" si="432"/>
        <v>Dua Puluh Tiga</v>
      </c>
    </row>
    <row r="4483" spans="1:12">
      <c r="A4483" s="33" t="s">
        <v>79</v>
      </c>
      <c r="B4483" s="40" t="e">
        <f>TRUNC((A4457-SUM(C4479:C4482))/100)</f>
        <v>#REF!</v>
      </c>
      <c r="C4483" s="31" t="e">
        <f>B4483*100</f>
        <v>#REF!</v>
      </c>
      <c r="D4483" s="31" t="e">
        <f>IF(B4483&lt;1,"",IF(B4483=1,"",VLOOKUP(B4483,$J$3:$L$102,3)))</f>
        <v>#REF!</v>
      </c>
      <c r="E4483" s="31" t="e">
        <f>IF(B4483&lt;1,"",IF(B4483=1," Seratus "," Ratus "))</f>
        <v>#REF!</v>
      </c>
      <c r="J4483" s="31">
        <v>24</v>
      </c>
      <c r="K4483" s="33" t="s">
        <v>94</v>
      </c>
      <c r="L4483" s="31" t="str">
        <f t="shared" si="432"/>
        <v>Dua Puluh Empat</v>
      </c>
    </row>
    <row r="4484" spans="1:12">
      <c r="A4484" s="33" t="s">
        <v>81</v>
      </c>
      <c r="B4484" s="41" t="e">
        <f>TRUNC((A4457-SUM(C4479:C4483)))</f>
        <v>#REF!</v>
      </c>
      <c r="C4484" s="42" t="e">
        <f>B4484</f>
        <v>#REF!</v>
      </c>
      <c r="D4484" s="31" t="e">
        <f>IF(B4484&lt;1,"",VLOOKUP(B4484,$J$3:$L$102,3))</f>
        <v>#REF!</v>
      </c>
      <c r="E4484" s="31" t="e">
        <f>IF(SUM(C4479:C4484)&lt;1,"",IF(B4485&lt;1,""," Dan "))</f>
        <v>#REF!</v>
      </c>
      <c r="J4484" s="31">
        <v>25</v>
      </c>
      <c r="K4484" s="33" t="s">
        <v>95</v>
      </c>
      <c r="L4484" s="31" t="str">
        <f t="shared" si="432"/>
        <v>Dua Puluh Lima</v>
      </c>
    </row>
    <row r="4485" spans="1:12">
      <c r="A4485" s="33" t="s">
        <v>83</v>
      </c>
      <c r="B4485" s="40" t="e">
        <f>ROUND(A4457-SUM(C4479:C4484),2)*100</f>
        <v>#REF!</v>
      </c>
      <c r="D4485" s="31" t="e">
        <f>IF(B4485&lt;1,"",VLOOKUP(B4485,$J$3:$L$102,3))</f>
        <v>#REF!</v>
      </c>
      <c r="E4485" s="31" t="e">
        <f>IF(B4485&lt;1,""," Sen ")</f>
        <v>#REF!</v>
      </c>
      <c r="J4485" s="31">
        <v>26</v>
      </c>
      <c r="K4485" s="33" t="s">
        <v>96</v>
      </c>
      <c r="L4485" s="31" t="str">
        <f t="shared" si="432"/>
        <v>Dua Puluh Enam</v>
      </c>
    </row>
    <row r="4486" spans="1:12">
      <c r="J4486" s="31">
        <v>27</v>
      </c>
      <c r="K4486" s="33" t="s">
        <v>97</v>
      </c>
      <c r="L4486" s="31" t="str">
        <f t="shared" si="432"/>
        <v>Dua Puluh Tujuh</v>
      </c>
    </row>
    <row r="4487" spans="1:12">
      <c r="J4487" s="31">
        <v>28</v>
      </c>
      <c r="K4487" s="33" t="s">
        <v>98</v>
      </c>
      <c r="L4487" s="31" t="str">
        <f t="shared" si="432"/>
        <v>Dua Puluh Delapan</v>
      </c>
    </row>
    <row r="4488" spans="1:12">
      <c r="J4488" s="31">
        <v>29</v>
      </c>
      <c r="K4488" s="33" t="s">
        <v>99</v>
      </c>
      <c r="L4488" s="31" t="str">
        <f t="shared" si="432"/>
        <v>Dua Puluh Sembilan</v>
      </c>
    </row>
    <row r="4489" spans="1:12">
      <c r="J4489" s="31">
        <v>30</v>
      </c>
      <c r="K4489" s="33" t="s">
        <v>100</v>
      </c>
      <c r="L4489" s="31" t="s">
        <v>101</v>
      </c>
    </row>
    <row r="4490" spans="1:12">
      <c r="J4490" s="31">
        <v>31</v>
      </c>
      <c r="K4490" s="33" t="s">
        <v>102</v>
      </c>
      <c r="L4490" s="31" t="str">
        <f t="shared" ref="L4490:L4498" si="433">$L$33&amp;" "&amp;L4460</f>
        <v>Tiga Puluh Satu</v>
      </c>
    </row>
    <row r="4491" spans="1:12">
      <c r="J4491" s="31">
        <v>32</v>
      </c>
      <c r="K4491" s="33" t="s">
        <v>103</v>
      </c>
      <c r="L4491" s="31" t="str">
        <f t="shared" si="433"/>
        <v>Tiga Puluh Dua</v>
      </c>
    </row>
    <row r="4492" spans="1:12">
      <c r="J4492" s="31">
        <v>33</v>
      </c>
      <c r="K4492" s="33" t="s">
        <v>104</v>
      </c>
      <c r="L4492" s="31" t="str">
        <f t="shared" si="433"/>
        <v>Tiga Puluh Tiga</v>
      </c>
    </row>
    <row r="4493" spans="1:12">
      <c r="J4493" s="31">
        <v>34</v>
      </c>
      <c r="K4493" s="33" t="s">
        <v>105</v>
      </c>
      <c r="L4493" s="31" t="str">
        <f t="shared" si="433"/>
        <v>Tiga Puluh Empat</v>
      </c>
    </row>
    <row r="4494" spans="1:12">
      <c r="J4494" s="31">
        <v>35</v>
      </c>
      <c r="K4494" s="33" t="s">
        <v>106</v>
      </c>
      <c r="L4494" s="31" t="str">
        <f t="shared" si="433"/>
        <v>Tiga Puluh Lima</v>
      </c>
    </row>
    <row r="4495" spans="1:12">
      <c r="J4495" s="31">
        <v>36</v>
      </c>
      <c r="K4495" s="33" t="s">
        <v>107</v>
      </c>
      <c r="L4495" s="31" t="str">
        <f t="shared" si="433"/>
        <v>Tiga Puluh Enam</v>
      </c>
    </row>
    <row r="4496" spans="1:12">
      <c r="J4496" s="31">
        <v>37</v>
      </c>
      <c r="K4496" s="33" t="s">
        <v>108</v>
      </c>
      <c r="L4496" s="31" t="str">
        <f t="shared" si="433"/>
        <v>Tiga Puluh Tujuh</v>
      </c>
    </row>
    <row r="4497" spans="1:12">
      <c r="J4497" s="31">
        <v>38</v>
      </c>
      <c r="K4497" s="33" t="s">
        <v>109</v>
      </c>
      <c r="L4497" s="31" t="str">
        <f t="shared" si="433"/>
        <v>Tiga Puluh Delapan</v>
      </c>
    </row>
    <row r="4498" spans="1:12">
      <c r="J4498" s="31">
        <v>39</v>
      </c>
      <c r="K4498" s="33" t="s">
        <v>110</v>
      </c>
      <c r="L4498" s="31" t="str">
        <f t="shared" si="433"/>
        <v>Tiga Puluh Sembilan</v>
      </c>
    </row>
    <row r="4499" spans="1:12">
      <c r="B4499" s="35"/>
      <c r="C4499" s="35"/>
      <c r="D4499" s="35"/>
      <c r="J4499" s="31">
        <v>40</v>
      </c>
      <c r="K4499" s="33" t="s">
        <v>111</v>
      </c>
      <c r="L4499" s="31" t="s">
        <v>112</v>
      </c>
    </row>
    <row r="4500" spans="1:12">
      <c r="A4500" s="35"/>
      <c r="B4500" s="35"/>
      <c r="C4500" s="35"/>
      <c r="D4500" s="35"/>
      <c r="J4500" s="31">
        <v>41</v>
      </c>
      <c r="K4500" s="33" t="s">
        <v>113</v>
      </c>
      <c r="L4500" s="31" t="str">
        <f t="shared" ref="L4500:L4508" si="434">$L$43&amp;" "&amp;L4460</f>
        <v>Empat Puluh Satu</v>
      </c>
    </row>
    <row r="4501" spans="1:12">
      <c r="J4501" s="31">
        <v>42</v>
      </c>
      <c r="K4501" s="33" t="s">
        <v>114</v>
      </c>
      <c r="L4501" s="31" t="str">
        <f t="shared" si="434"/>
        <v>Empat Puluh Dua</v>
      </c>
    </row>
    <row r="4502" spans="1:12">
      <c r="A4502" s="38"/>
      <c r="J4502" s="31">
        <v>43</v>
      </c>
      <c r="K4502" s="33" t="s">
        <v>115</v>
      </c>
      <c r="L4502" s="31" t="str">
        <f t="shared" si="434"/>
        <v>Empat Puluh Tiga</v>
      </c>
    </row>
    <row r="4503" spans="1:12">
      <c r="J4503" s="31">
        <v>44</v>
      </c>
      <c r="K4503" s="33" t="s">
        <v>116</v>
      </c>
      <c r="L4503" s="31" t="str">
        <f t="shared" si="434"/>
        <v>Empat Puluh Empat</v>
      </c>
    </row>
    <row r="4504" spans="1:12">
      <c r="J4504" s="31">
        <v>45</v>
      </c>
      <c r="K4504" s="33" t="s">
        <v>117</v>
      </c>
      <c r="L4504" s="31" t="str">
        <f t="shared" si="434"/>
        <v>Empat Puluh Lima</v>
      </c>
    </row>
    <row r="4505" spans="1:12">
      <c r="J4505" s="31">
        <v>46</v>
      </c>
      <c r="K4505" s="33" t="s">
        <v>118</v>
      </c>
      <c r="L4505" s="31" t="str">
        <f t="shared" si="434"/>
        <v>Empat Puluh Enam</v>
      </c>
    </row>
    <row r="4506" spans="1:12">
      <c r="J4506" s="31">
        <v>47</v>
      </c>
      <c r="K4506" s="33" t="s">
        <v>119</v>
      </c>
      <c r="L4506" s="31" t="str">
        <f t="shared" si="434"/>
        <v>Empat Puluh Tujuh</v>
      </c>
    </row>
    <row r="4507" spans="1:12">
      <c r="J4507" s="31">
        <v>48</v>
      </c>
      <c r="K4507" s="33" t="s">
        <v>120</v>
      </c>
      <c r="L4507" s="31" t="str">
        <f t="shared" si="434"/>
        <v>Empat Puluh Delapan</v>
      </c>
    </row>
    <row r="4508" spans="1:12">
      <c r="J4508" s="31">
        <v>49</v>
      </c>
      <c r="K4508" s="33" t="s">
        <v>121</v>
      </c>
      <c r="L4508" s="31" t="str">
        <f t="shared" si="434"/>
        <v>Empat Puluh Sembilan</v>
      </c>
    </row>
    <row r="4509" spans="1:12">
      <c r="J4509" s="31">
        <v>50</v>
      </c>
      <c r="K4509" s="33" t="s">
        <v>122</v>
      </c>
      <c r="L4509" s="31" t="s">
        <v>123</v>
      </c>
    </row>
    <row r="4510" spans="1:12">
      <c r="J4510" s="31">
        <v>51</v>
      </c>
      <c r="K4510" s="33" t="s">
        <v>124</v>
      </c>
      <c r="L4510" s="31" t="str">
        <f t="shared" ref="L4510:L4518" si="435">$L$53&amp;" "&amp;L4460</f>
        <v>Lima Puluh Satu</v>
      </c>
    </row>
    <row r="4511" spans="1:12">
      <c r="J4511" s="31">
        <v>52</v>
      </c>
      <c r="K4511" s="33" t="s">
        <v>125</v>
      </c>
      <c r="L4511" s="31" t="str">
        <f t="shared" si="435"/>
        <v>Lima Puluh Dua</v>
      </c>
    </row>
    <row r="4512" spans="1:12">
      <c r="J4512" s="31">
        <v>53</v>
      </c>
      <c r="K4512" s="33" t="s">
        <v>126</v>
      </c>
      <c r="L4512" s="31" t="str">
        <f t="shared" si="435"/>
        <v>Lima Puluh Tiga</v>
      </c>
    </row>
    <row r="4513" spans="10:12">
      <c r="J4513" s="31">
        <v>54</v>
      </c>
      <c r="K4513" s="33" t="s">
        <v>127</v>
      </c>
      <c r="L4513" s="31" t="str">
        <f t="shared" si="435"/>
        <v>Lima Puluh Empat</v>
      </c>
    </row>
    <row r="4514" spans="10:12">
      <c r="J4514" s="31">
        <v>55</v>
      </c>
      <c r="K4514" s="33" t="s">
        <v>128</v>
      </c>
      <c r="L4514" s="31" t="str">
        <f t="shared" si="435"/>
        <v>Lima Puluh Lima</v>
      </c>
    </row>
    <row r="4515" spans="10:12">
      <c r="J4515" s="31">
        <v>56</v>
      </c>
      <c r="K4515" s="33" t="s">
        <v>129</v>
      </c>
      <c r="L4515" s="31" t="str">
        <f t="shared" si="435"/>
        <v>Lima Puluh Enam</v>
      </c>
    </row>
    <row r="4516" spans="10:12">
      <c r="J4516" s="31">
        <v>57</v>
      </c>
      <c r="K4516" s="33" t="s">
        <v>130</v>
      </c>
      <c r="L4516" s="31" t="str">
        <f t="shared" si="435"/>
        <v>Lima Puluh Tujuh</v>
      </c>
    </row>
    <row r="4517" spans="10:12">
      <c r="J4517" s="31">
        <v>58</v>
      </c>
      <c r="K4517" s="33" t="s">
        <v>131</v>
      </c>
      <c r="L4517" s="31" t="str">
        <f t="shared" si="435"/>
        <v>Lima Puluh Delapan</v>
      </c>
    </row>
    <row r="4518" spans="10:12">
      <c r="J4518" s="31">
        <v>59</v>
      </c>
      <c r="K4518" s="33" t="s">
        <v>132</v>
      </c>
      <c r="L4518" s="31" t="str">
        <f t="shared" si="435"/>
        <v>Lima Puluh Sembilan</v>
      </c>
    </row>
    <row r="4519" spans="10:12">
      <c r="J4519" s="31">
        <v>60</v>
      </c>
      <c r="K4519" s="33" t="s">
        <v>133</v>
      </c>
      <c r="L4519" s="31" t="s">
        <v>134</v>
      </c>
    </row>
    <row r="4520" spans="10:12">
      <c r="J4520" s="31">
        <v>61</v>
      </c>
      <c r="K4520" s="33" t="s">
        <v>135</v>
      </c>
      <c r="L4520" s="31" t="str">
        <f t="shared" ref="L4520:L4528" si="436">$L$63&amp;" "&amp;L4460</f>
        <v>Enam Puluh Satu</v>
      </c>
    </row>
    <row r="4521" spans="10:12">
      <c r="J4521" s="31">
        <v>62</v>
      </c>
      <c r="K4521" s="33" t="s">
        <v>136</v>
      </c>
      <c r="L4521" s="31" t="str">
        <f t="shared" si="436"/>
        <v>Enam Puluh Dua</v>
      </c>
    </row>
    <row r="4522" spans="10:12">
      <c r="J4522" s="31">
        <v>63</v>
      </c>
      <c r="K4522" s="33" t="s">
        <v>137</v>
      </c>
      <c r="L4522" s="31" t="str">
        <f t="shared" si="436"/>
        <v>Enam Puluh Tiga</v>
      </c>
    </row>
    <row r="4523" spans="10:12">
      <c r="J4523" s="31">
        <v>64</v>
      </c>
      <c r="K4523" s="33" t="s">
        <v>138</v>
      </c>
      <c r="L4523" s="31" t="str">
        <f t="shared" si="436"/>
        <v>Enam Puluh Empat</v>
      </c>
    </row>
    <row r="4524" spans="10:12">
      <c r="J4524" s="31">
        <v>65</v>
      </c>
      <c r="K4524" s="33" t="s">
        <v>139</v>
      </c>
      <c r="L4524" s="31" t="str">
        <f t="shared" si="436"/>
        <v>Enam Puluh Lima</v>
      </c>
    </row>
    <row r="4525" spans="10:12">
      <c r="J4525" s="31">
        <v>66</v>
      </c>
      <c r="K4525" s="33" t="s">
        <v>140</v>
      </c>
      <c r="L4525" s="31" t="str">
        <f t="shared" si="436"/>
        <v>Enam Puluh Enam</v>
      </c>
    </row>
    <row r="4526" spans="10:12">
      <c r="J4526" s="31">
        <v>67</v>
      </c>
      <c r="K4526" s="33" t="s">
        <v>141</v>
      </c>
      <c r="L4526" s="31" t="str">
        <f t="shared" si="436"/>
        <v>Enam Puluh Tujuh</v>
      </c>
    </row>
    <row r="4527" spans="10:12">
      <c r="J4527" s="31">
        <v>68</v>
      </c>
      <c r="K4527" s="33" t="s">
        <v>142</v>
      </c>
      <c r="L4527" s="31" t="str">
        <f t="shared" si="436"/>
        <v>Enam Puluh Delapan</v>
      </c>
    </row>
    <row r="4528" spans="10:12">
      <c r="J4528" s="31">
        <v>69</v>
      </c>
      <c r="K4528" s="33" t="s">
        <v>143</v>
      </c>
      <c r="L4528" s="31" t="str">
        <f t="shared" si="436"/>
        <v>Enam Puluh Sembilan</v>
      </c>
    </row>
    <row r="4529" spans="10:12">
      <c r="J4529" s="31">
        <v>70</v>
      </c>
      <c r="K4529" s="33" t="s">
        <v>144</v>
      </c>
      <c r="L4529" s="31" t="s">
        <v>145</v>
      </c>
    </row>
    <row r="4530" spans="10:12">
      <c r="J4530" s="31">
        <v>71</v>
      </c>
      <c r="K4530" s="33" t="s">
        <v>146</v>
      </c>
      <c r="L4530" s="31" t="str">
        <f t="shared" ref="L4530:L4538" si="437">$L$73&amp;" "&amp;L4460</f>
        <v>Tujuh Puluh Satu</v>
      </c>
    </row>
    <row r="4531" spans="10:12">
      <c r="J4531" s="31">
        <v>72</v>
      </c>
      <c r="K4531" s="33" t="s">
        <v>147</v>
      </c>
      <c r="L4531" s="31" t="str">
        <f t="shared" si="437"/>
        <v>Tujuh Puluh Dua</v>
      </c>
    </row>
    <row r="4532" spans="10:12">
      <c r="J4532" s="31">
        <v>73</v>
      </c>
      <c r="K4532" s="33" t="s">
        <v>148</v>
      </c>
      <c r="L4532" s="31" t="str">
        <f t="shared" si="437"/>
        <v>Tujuh Puluh Tiga</v>
      </c>
    </row>
    <row r="4533" spans="10:12">
      <c r="J4533" s="31">
        <v>74</v>
      </c>
      <c r="K4533" s="33" t="s">
        <v>149</v>
      </c>
      <c r="L4533" s="31" t="str">
        <f t="shared" si="437"/>
        <v>Tujuh Puluh Empat</v>
      </c>
    </row>
    <row r="4534" spans="10:12">
      <c r="J4534" s="31">
        <v>75</v>
      </c>
      <c r="K4534" s="33" t="s">
        <v>150</v>
      </c>
      <c r="L4534" s="31" t="str">
        <f t="shared" si="437"/>
        <v>Tujuh Puluh Lima</v>
      </c>
    </row>
    <row r="4535" spans="10:12">
      <c r="J4535" s="31">
        <v>76</v>
      </c>
      <c r="K4535" s="33" t="s">
        <v>151</v>
      </c>
      <c r="L4535" s="31" t="str">
        <f t="shared" si="437"/>
        <v>Tujuh Puluh Enam</v>
      </c>
    </row>
    <row r="4536" spans="10:12">
      <c r="J4536" s="31">
        <v>77</v>
      </c>
      <c r="K4536" s="33" t="s">
        <v>152</v>
      </c>
      <c r="L4536" s="31" t="str">
        <f t="shared" si="437"/>
        <v>Tujuh Puluh Tujuh</v>
      </c>
    </row>
    <row r="4537" spans="10:12">
      <c r="J4537" s="31">
        <v>78</v>
      </c>
      <c r="K4537" s="33" t="s">
        <v>153</v>
      </c>
      <c r="L4537" s="31" t="str">
        <f t="shared" si="437"/>
        <v>Tujuh Puluh Delapan</v>
      </c>
    </row>
    <row r="4538" spans="10:12">
      <c r="J4538" s="31">
        <v>79</v>
      </c>
      <c r="K4538" s="33" t="s">
        <v>154</v>
      </c>
      <c r="L4538" s="31" t="str">
        <f t="shared" si="437"/>
        <v>Tujuh Puluh Sembilan</v>
      </c>
    </row>
    <row r="4539" spans="10:12">
      <c r="J4539" s="31">
        <v>80</v>
      </c>
      <c r="K4539" s="33" t="s">
        <v>155</v>
      </c>
      <c r="L4539" s="31" t="s">
        <v>156</v>
      </c>
    </row>
    <row r="4540" spans="10:12">
      <c r="J4540" s="31">
        <v>81</v>
      </c>
      <c r="K4540" s="33" t="s">
        <v>157</v>
      </c>
      <c r="L4540" s="31" t="str">
        <f t="shared" ref="L4540:L4548" si="438">$L$83&amp;" "&amp;L4460</f>
        <v>Delapan Puluh Satu</v>
      </c>
    </row>
    <row r="4541" spans="10:12">
      <c r="J4541" s="31">
        <v>82</v>
      </c>
      <c r="K4541" s="33" t="s">
        <v>158</v>
      </c>
      <c r="L4541" s="31" t="str">
        <f t="shared" si="438"/>
        <v>Delapan Puluh Dua</v>
      </c>
    </row>
    <row r="4542" spans="10:12">
      <c r="J4542" s="31">
        <v>83</v>
      </c>
      <c r="K4542" s="33" t="s">
        <v>159</v>
      </c>
      <c r="L4542" s="31" t="str">
        <f t="shared" si="438"/>
        <v>Delapan Puluh Tiga</v>
      </c>
    </row>
    <row r="4543" spans="10:12">
      <c r="J4543" s="31">
        <v>84</v>
      </c>
      <c r="K4543" s="33" t="s">
        <v>160</v>
      </c>
      <c r="L4543" s="31" t="str">
        <f t="shared" si="438"/>
        <v>Delapan Puluh Empat</v>
      </c>
    </row>
    <row r="4544" spans="10:12">
      <c r="J4544" s="31">
        <v>85</v>
      </c>
      <c r="K4544" s="33" t="s">
        <v>161</v>
      </c>
      <c r="L4544" s="31" t="str">
        <f t="shared" si="438"/>
        <v>Delapan Puluh Lima</v>
      </c>
    </row>
    <row r="4545" spans="1:12">
      <c r="J4545" s="31">
        <v>86</v>
      </c>
      <c r="K4545" s="33" t="s">
        <v>162</v>
      </c>
      <c r="L4545" s="31" t="str">
        <f t="shared" si="438"/>
        <v>Delapan Puluh Enam</v>
      </c>
    </row>
    <row r="4546" spans="1:12">
      <c r="J4546" s="31">
        <v>87</v>
      </c>
      <c r="K4546" s="33" t="s">
        <v>163</v>
      </c>
      <c r="L4546" s="31" t="str">
        <f t="shared" si="438"/>
        <v>Delapan Puluh Tujuh</v>
      </c>
    </row>
    <row r="4547" spans="1:12">
      <c r="J4547" s="31">
        <v>88</v>
      </c>
      <c r="K4547" s="33" t="s">
        <v>164</v>
      </c>
      <c r="L4547" s="31" t="str">
        <f t="shared" si="438"/>
        <v>Delapan Puluh Delapan</v>
      </c>
    </row>
    <row r="4548" spans="1:12">
      <c r="J4548" s="31">
        <v>89</v>
      </c>
      <c r="K4548" s="33" t="s">
        <v>165</v>
      </c>
      <c r="L4548" s="31" t="str">
        <f t="shared" si="438"/>
        <v>Delapan Puluh Sembilan</v>
      </c>
    </row>
    <row r="4549" spans="1:12">
      <c r="J4549" s="31">
        <v>90</v>
      </c>
      <c r="K4549" s="33" t="s">
        <v>166</v>
      </c>
      <c r="L4549" s="31" t="s">
        <v>167</v>
      </c>
    </row>
    <row r="4550" spans="1:12">
      <c r="J4550" s="31">
        <v>91</v>
      </c>
      <c r="K4550" s="33" t="s">
        <v>168</v>
      </c>
      <c r="L4550" s="31" t="str">
        <f t="shared" ref="L4550:L4558" si="439">$L$93&amp;" "&amp;L4460</f>
        <v>Sembilan Puluh Satu</v>
      </c>
    </row>
    <row r="4551" spans="1:12">
      <c r="J4551" s="31">
        <v>92</v>
      </c>
      <c r="K4551" s="33" t="s">
        <v>169</v>
      </c>
      <c r="L4551" s="31" t="str">
        <f t="shared" si="439"/>
        <v>Sembilan Puluh Dua</v>
      </c>
    </row>
    <row r="4552" spans="1:12">
      <c r="J4552" s="31">
        <v>93</v>
      </c>
      <c r="K4552" s="33" t="s">
        <v>170</v>
      </c>
      <c r="L4552" s="31" t="str">
        <f t="shared" si="439"/>
        <v>Sembilan Puluh Tiga</v>
      </c>
    </row>
    <row r="4553" spans="1:12">
      <c r="J4553" s="31">
        <v>94</v>
      </c>
      <c r="K4553" s="33" t="s">
        <v>171</v>
      </c>
      <c r="L4553" s="31" t="str">
        <f t="shared" si="439"/>
        <v>Sembilan Puluh Empat</v>
      </c>
    </row>
    <row r="4554" spans="1:12">
      <c r="J4554" s="31">
        <v>95</v>
      </c>
      <c r="K4554" s="33" t="s">
        <v>172</v>
      </c>
      <c r="L4554" s="31" t="str">
        <f t="shared" si="439"/>
        <v>Sembilan Puluh Lima</v>
      </c>
    </row>
    <row r="4555" spans="1:12">
      <c r="J4555" s="31">
        <v>96</v>
      </c>
      <c r="K4555" s="33" t="s">
        <v>173</v>
      </c>
      <c r="L4555" s="31" t="str">
        <f t="shared" si="439"/>
        <v>Sembilan Puluh Enam</v>
      </c>
    </row>
    <row r="4556" spans="1:12">
      <c r="J4556" s="31">
        <v>97</v>
      </c>
      <c r="K4556" s="33" t="s">
        <v>174</v>
      </c>
      <c r="L4556" s="31" t="str">
        <f t="shared" si="439"/>
        <v>Sembilan Puluh Tujuh</v>
      </c>
    </row>
    <row r="4557" spans="1:12">
      <c r="J4557" s="31">
        <v>98</v>
      </c>
      <c r="K4557" s="33" t="s">
        <v>175</v>
      </c>
      <c r="L4557" s="31" t="str">
        <f t="shared" si="439"/>
        <v>Sembilan Puluh Delapan</v>
      </c>
    </row>
    <row r="4558" spans="1:12">
      <c r="J4558" s="31">
        <v>99</v>
      </c>
      <c r="K4558" s="33" t="s">
        <v>176</v>
      </c>
      <c r="L4558" s="31" t="str">
        <f t="shared" si="439"/>
        <v>Sembilan Puluh Sembilan</v>
      </c>
    </row>
    <row r="4560" spans="1:12">
      <c r="A4560" s="30" t="e">
        <f>#REF!</f>
        <v>#REF!</v>
      </c>
      <c r="C4560" s="31" t="s">
        <v>223</v>
      </c>
    </row>
    <row r="4561" spans="1:12">
      <c r="A4561" s="32"/>
    </row>
    <row r="4562" spans="1:12">
      <c r="J4562" s="31">
        <v>0</v>
      </c>
      <c r="K4562" s="33" t="s">
        <v>48</v>
      </c>
      <c r="L4562" s="31" t="s">
        <v>49</v>
      </c>
    </row>
    <row r="4563" spans="1:12">
      <c r="A4563" s="34"/>
      <c r="J4563" s="31">
        <v>1</v>
      </c>
      <c r="K4563" s="33" t="s">
        <v>50</v>
      </c>
      <c r="L4563" s="31" t="s">
        <v>51</v>
      </c>
    </row>
    <row r="4564" spans="1:12">
      <c r="A4564" s="255" t="e">
        <f>TRIM(D4572&amp;E4572&amp;D4573&amp;E4573&amp;D4574&amp;E4574&amp;D4575&amp;E4575&amp;D4576&amp;E4576&amp;D4577&amp;E4577&amp;E4578&amp;D4578&amp;" Only")</f>
        <v>#REF!</v>
      </c>
      <c r="B4564" s="255"/>
      <c r="C4564" s="255"/>
      <c r="D4564" s="255"/>
      <c r="E4564" s="35"/>
      <c r="F4564" s="36"/>
      <c r="J4564" s="31">
        <v>2</v>
      </c>
      <c r="K4564" s="33" t="s">
        <v>52</v>
      </c>
      <c r="L4564" s="31" t="s">
        <v>53</v>
      </c>
    </row>
    <row r="4565" spans="1:12">
      <c r="A4565" s="37"/>
      <c r="B4565" s="37"/>
      <c r="C4565" s="37"/>
      <c r="D4565" s="37"/>
      <c r="E4565" s="35"/>
      <c r="F4565" s="36"/>
      <c r="J4565" s="31">
        <v>3</v>
      </c>
      <c r="K4565" s="33" t="s">
        <v>54</v>
      </c>
      <c r="L4565" s="31" t="s">
        <v>55</v>
      </c>
    </row>
    <row r="4566" spans="1:12">
      <c r="A4566" s="37"/>
      <c r="B4566" s="37"/>
      <c r="C4566" s="37"/>
      <c r="D4566" s="37"/>
      <c r="J4566" s="31">
        <v>4</v>
      </c>
      <c r="K4566" s="33" t="s">
        <v>56</v>
      </c>
      <c r="L4566" s="31" t="s">
        <v>57</v>
      </c>
    </row>
    <row r="4567" spans="1:12">
      <c r="A4567" s="255" t="e">
        <f>TRIM(D4582&amp;E4582&amp;D4583&amp;E4583&amp;D4584&amp;E4584&amp;D4585&amp;E4585&amp;D4586&amp;E4586&amp;D4587&amp;E4587&amp;D4588&amp;E4588&amp;" Rupiah")</f>
        <v>#REF!</v>
      </c>
      <c r="B4567" s="255"/>
      <c r="C4567" s="255"/>
      <c r="D4567" s="255"/>
      <c r="E4567" s="35"/>
      <c r="F4567" s="36"/>
      <c r="J4567" s="31">
        <v>5</v>
      </c>
      <c r="K4567" s="33" t="s">
        <v>58</v>
      </c>
      <c r="L4567" s="31" t="s">
        <v>59</v>
      </c>
    </row>
    <row r="4568" spans="1:12">
      <c r="A4568" s="35"/>
      <c r="B4568" s="35"/>
      <c r="C4568" s="35"/>
      <c r="D4568" s="35"/>
      <c r="E4568" s="35"/>
      <c r="F4568" s="36"/>
      <c r="J4568" s="31">
        <v>6</v>
      </c>
      <c r="K4568" s="33" t="s">
        <v>60</v>
      </c>
      <c r="L4568" s="31" t="s">
        <v>61</v>
      </c>
    </row>
    <row r="4569" spans="1:12">
      <c r="J4569" s="31">
        <v>7</v>
      </c>
      <c r="K4569" s="33" t="s">
        <v>62</v>
      </c>
      <c r="L4569" s="31" t="s">
        <v>63</v>
      </c>
    </row>
    <row r="4570" spans="1:12">
      <c r="J4570" s="31">
        <v>8</v>
      </c>
      <c r="K4570" s="33" t="s">
        <v>64</v>
      </c>
      <c r="L4570" s="31" t="s">
        <v>65</v>
      </c>
    </row>
    <row r="4571" spans="1:12">
      <c r="A4571" s="38" t="s">
        <v>66</v>
      </c>
      <c r="J4571" s="31">
        <v>9</v>
      </c>
      <c r="K4571" s="33" t="s">
        <v>67</v>
      </c>
      <c r="L4571" s="31" t="s">
        <v>68</v>
      </c>
    </row>
    <row r="4572" spans="1:12">
      <c r="A4572" s="31" t="s">
        <v>69</v>
      </c>
      <c r="B4572" s="39" t="e">
        <f>TRUNC(A4560/100000000)</f>
        <v>#REF!</v>
      </c>
      <c r="C4572" s="31" t="e">
        <f>B4572*100000000</f>
        <v>#REF!</v>
      </c>
      <c r="D4572" s="31" t="e">
        <f t="shared" ref="D4572:D4578" si="440">IF(B4572&lt;1,"",VLOOKUP(B4572,$J$3:$K$102,2))</f>
        <v>#REF!</v>
      </c>
      <c r="E4572" s="31" t="e">
        <f>IF(B4572&lt;1,"",IF(B4572&gt;1," Hundreds "," Hundred "))</f>
        <v>#REF!</v>
      </c>
      <c r="J4572" s="31">
        <v>10</v>
      </c>
      <c r="K4572" s="33" t="s">
        <v>70</v>
      </c>
      <c r="L4572" s="31" t="s">
        <v>71</v>
      </c>
    </row>
    <row r="4573" spans="1:12">
      <c r="A4573" s="31" t="s">
        <v>72</v>
      </c>
      <c r="B4573" s="39" t="e">
        <f>TRUNC((A4560-C4572)/1000000)</f>
        <v>#REF!</v>
      </c>
      <c r="C4573" s="31" t="e">
        <f>B4573*1000000</f>
        <v>#REF!</v>
      </c>
      <c r="D4573" s="31" t="e">
        <f t="shared" si="440"/>
        <v>#REF!</v>
      </c>
      <c r="E4573" s="31" t="e">
        <f>IF(B4572+B4573=0,"",IF(B4573=1," Million "," Millions "))</f>
        <v>#REF!</v>
      </c>
      <c r="J4573" s="31">
        <v>11</v>
      </c>
      <c r="K4573" s="33" t="s">
        <v>73</v>
      </c>
      <c r="L4573" s="31" t="s">
        <v>74</v>
      </c>
    </row>
    <row r="4574" spans="1:12">
      <c r="A4574" s="31" t="s">
        <v>75</v>
      </c>
      <c r="B4574" s="39" t="e">
        <f>TRUNC((A4560-SUM(C4572:C4573))/100000)</f>
        <v>#REF!</v>
      </c>
      <c r="C4574" s="31" t="e">
        <f>B4574*100000</f>
        <v>#REF!</v>
      </c>
      <c r="D4574" s="31" t="e">
        <f t="shared" si="440"/>
        <v>#REF!</v>
      </c>
      <c r="E4574" s="31" t="e">
        <f>IF(B4574&lt;1,"",IF(B4574&gt;1," Hundreds "," Hundred "))</f>
        <v>#REF!</v>
      </c>
      <c r="J4574" s="31">
        <v>12</v>
      </c>
      <c r="K4574" s="33" t="s">
        <v>76</v>
      </c>
      <c r="L4574" s="31" t="str">
        <f t="shared" ref="L4574:L4581" si="441">L4564&amp;" Belas"</f>
        <v>Dua Belas</v>
      </c>
    </row>
    <row r="4575" spans="1:12">
      <c r="A4575" s="33" t="s">
        <v>77</v>
      </c>
      <c r="B4575" s="40" t="e">
        <f>TRUNC((A4560-SUM(C4572:C4574))/1000)</f>
        <v>#REF!</v>
      </c>
      <c r="C4575" s="31" t="e">
        <f>B4575*1000</f>
        <v>#REF!</v>
      </c>
      <c r="D4575" s="31" t="e">
        <f t="shared" si="440"/>
        <v>#REF!</v>
      </c>
      <c r="E4575" s="31" t="e">
        <f>IF(B4574+B4575=0,"",IF(B4575=1," Thousand "," Thousands "))</f>
        <v>#REF!</v>
      </c>
      <c r="J4575" s="31">
        <v>13</v>
      </c>
      <c r="K4575" s="33" t="s">
        <v>78</v>
      </c>
      <c r="L4575" s="31" t="str">
        <f t="shared" si="441"/>
        <v>Tiga Belas</v>
      </c>
    </row>
    <row r="4576" spans="1:12">
      <c r="A4576" s="33" t="s">
        <v>79</v>
      </c>
      <c r="B4576" s="40" t="e">
        <f>TRUNC((A4560-SUM(C4572:C4575))/100)</f>
        <v>#REF!</v>
      </c>
      <c r="C4576" s="31" t="e">
        <f>B4576*100</f>
        <v>#REF!</v>
      </c>
      <c r="D4576" s="31" t="e">
        <f t="shared" si="440"/>
        <v>#REF!</v>
      </c>
      <c r="E4576" s="31" t="e">
        <f>IF(B4576&lt;1,"",IF(B4576&gt;1," Hundreds "," Hundred "))</f>
        <v>#REF!</v>
      </c>
      <c r="J4576" s="31">
        <v>14</v>
      </c>
      <c r="K4576" s="33" t="s">
        <v>80</v>
      </c>
      <c r="L4576" s="31" t="str">
        <f t="shared" si="441"/>
        <v>Empat Belas</v>
      </c>
    </row>
    <row r="4577" spans="1:12">
      <c r="A4577" s="33" t="s">
        <v>81</v>
      </c>
      <c r="B4577" s="41" t="e">
        <f>TRUNC((A4560-SUM(C4572:C4576)))</f>
        <v>#REF!</v>
      </c>
      <c r="C4577" s="42" t="e">
        <f>B4577</f>
        <v>#REF!</v>
      </c>
      <c r="D4577" s="31" t="e">
        <f t="shared" si="440"/>
        <v>#REF!</v>
      </c>
      <c r="E4577" s="31" t="e">
        <f>IF(SUM(C4572:C4577)&lt;1,"",IF(B4578&lt;1,""," And "))</f>
        <v>#REF!</v>
      </c>
      <c r="J4577" s="31">
        <v>15</v>
      </c>
      <c r="K4577" s="33" t="s">
        <v>82</v>
      </c>
      <c r="L4577" s="31" t="str">
        <f t="shared" si="441"/>
        <v>Lima Belas</v>
      </c>
    </row>
    <row r="4578" spans="1:12">
      <c r="A4578" s="33" t="s">
        <v>83</v>
      </c>
      <c r="B4578" s="40" t="e">
        <f>ROUND(A4560-SUM(C4572:C4577),2)*100</f>
        <v>#REF!</v>
      </c>
      <c r="D4578" s="43" t="e">
        <f t="shared" si="440"/>
        <v>#REF!</v>
      </c>
      <c r="E4578" s="31" t="e">
        <f>IF(B4578&lt;1,"",IF(B4578=1," Cent "," Cents "))</f>
        <v>#REF!</v>
      </c>
      <c r="J4578" s="31">
        <v>16</v>
      </c>
      <c r="K4578" s="33" t="s">
        <v>84</v>
      </c>
      <c r="L4578" s="31" t="str">
        <f t="shared" si="441"/>
        <v>Enam Belas</v>
      </c>
    </row>
    <row r="4579" spans="1:12">
      <c r="J4579" s="31">
        <v>17</v>
      </c>
      <c r="K4579" s="33" t="s">
        <v>85</v>
      </c>
      <c r="L4579" s="31" t="str">
        <f t="shared" si="441"/>
        <v>Tujuh Belas</v>
      </c>
    </row>
    <row r="4580" spans="1:12">
      <c r="A4580" s="44"/>
      <c r="J4580" s="31">
        <v>18</v>
      </c>
      <c r="K4580" s="33" t="s">
        <v>86</v>
      </c>
      <c r="L4580" s="31" t="str">
        <f t="shared" si="441"/>
        <v>Delapan Belas</v>
      </c>
    </row>
    <row r="4581" spans="1:12">
      <c r="A4581" s="38" t="s">
        <v>87</v>
      </c>
      <c r="J4581" s="31">
        <v>19</v>
      </c>
      <c r="K4581" s="33" t="s">
        <v>88</v>
      </c>
      <c r="L4581" s="31" t="str">
        <f t="shared" si="441"/>
        <v>Sembilan Belas</v>
      </c>
    </row>
    <row r="4582" spans="1:12">
      <c r="A4582" s="31" t="s">
        <v>69</v>
      </c>
      <c r="B4582" s="39" t="e">
        <f>TRUNC(A4560/100000000)</f>
        <v>#REF!</v>
      </c>
      <c r="C4582" s="31" t="e">
        <f>B4582*100000000</f>
        <v>#REF!</v>
      </c>
      <c r="D4582" s="31" t="e">
        <f>IF(B4582&lt;1,"",IF(B4582=1,"",VLOOKUP(B4582,$J$3:$L$102,3)))</f>
        <v>#REF!</v>
      </c>
      <c r="E4582" s="31" t="e">
        <f>IF(B4582&lt;1,"",IF(B4582=1,"Seratus "," Ratus "))</f>
        <v>#REF!</v>
      </c>
      <c r="J4582" s="31">
        <v>20</v>
      </c>
      <c r="K4582" s="33" t="s">
        <v>89</v>
      </c>
      <c r="L4582" s="31" t="s">
        <v>90</v>
      </c>
    </row>
    <row r="4583" spans="1:12">
      <c r="A4583" s="31" t="s">
        <v>72</v>
      </c>
      <c r="B4583" s="39" t="e">
        <f>TRUNC((A4560-C4582)/1000000)</f>
        <v>#REF!</v>
      </c>
      <c r="C4583" s="31" t="e">
        <f>B4583*1000000</f>
        <v>#REF!</v>
      </c>
      <c r="D4583" s="31" t="e">
        <f>IF(B4583&lt;1,"",VLOOKUP(B4583,$J$3:$L$102,3))</f>
        <v>#REF!</v>
      </c>
      <c r="E4583" s="31" t="e">
        <f>IF(B4582+B4583=0,""," Juta ")</f>
        <v>#REF!</v>
      </c>
      <c r="J4583" s="31">
        <v>21</v>
      </c>
      <c r="K4583" s="33" t="s">
        <v>91</v>
      </c>
      <c r="L4583" s="31" t="str">
        <f t="shared" ref="L4583:L4591" si="442">$L$23&amp;" "&amp;L4563</f>
        <v>Dua Puluh Satu</v>
      </c>
    </row>
    <row r="4584" spans="1:12">
      <c r="A4584" s="31" t="s">
        <v>75</v>
      </c>
      <c r="B4584" s="39" t="e">
        <f>TRUNC((A4560-SUM(C4582:C4583))/100000)</f>
        <v>#REF!</v>
      </c>
      <c r="C4584" s="31" t="e">
        <f>B4584*100000</f>
        <v>#REF!</v>
      </c>
      <c r="D4584" s="31" t="e">
        <f>IF(B4584&lt;1,"",IF(B4584=1,"",VLOOKUP(B4584,$J$3:$L$102,3)))</f>
        <v>#REF!</v>
      </c>
      <c r="E4584" s="31" t="e">
        <f>IF(B4584&lt;1,"",IF(B4584=1," Seratus "," Ratus "))</f>
        <v>#REF!</v>
      </c>
      <c r="J4584" s="31">
        <v>22</v>
      </c>
      <c r="K4584" s="33" t="s">
        <v>92</v>
      </c>
      <c r="L4584" s="31" t="str">
        <f t="shared" si="442"/>
        <v>Dua Puluh Dua</v>
      </c>
    </row>
    <row r="4585" spans="1:12">
      <c r="A4585" s="33" t="s">
        <v>77</v>
      </c>
      <c r="B4585" s="40" t="e">
        <f>TRUNC((A4560-SUM(C4582:C4584))/1000)</f>
        <v>#REF!</v>
      </c>
      <c r="C4585" s="31" t="e">
        <f>B4585*1000</f>
        <v>#REF!</v>
      </c>
      <c r="D4585" s="31" t="e">
        <f>IF(B4585&lt;1,"",IF(B4585=1,"",VLOOKUP(B4585,$J$3:$L$102,3)))</f>
        <v>#REF!</v>
      </c>
      <c r="E4585" s="31" t="e">
        <f>IF(B4584+B4585&lt;1,"",IF(B4585=1," Seribu "," Ribu "))</f>
        <v>#REF!</v>
      </c>
      <c r="J4585" s="31">
        <v>23</v>
      </c>
      <c r="K4585" s="33" t="s">
        <v>93</v>
      </c>
      <c r="L4585" s="31" t="str">
        <f t="shared" si="442"/>
        <v>Dua Puluh Tiga</v>
      </c>
    </row>
    <row r="4586" spans="1:12">
      <c r="A4586" s="33" t="s">
        <v>79</v>
      </c>
      <c r="B4586" s="40" t="e">
        <f>TRUNC((A4560-SUM(C4582:C4585))/100)</f>
        <v>#REF!</v>
      </c>
      <c r="C4586" s="31" t="e">
        <f>B4586*100</f>
        <v>#REF!</v>
      </c>
      <c r="D4586" s="31" t="e">
        <f>IF(B4586&lt;1,"",IF(B4586=1,"",VLOOKUP(B4586,$J$3:$L$102,3)))</f>
        <v>#REF!</v>
      </c>
      <c r="E4586" s="31" t="e">
        <f>IF(B4586&lt;1,"",IF(B4586=1," Seratus "," Ratus "))</f>
        <v>#REF!</v>
      </c>
      <c r="J4586" s="31">
        <v>24</v>
      </c>
      <c r="K4586" s="33" t="s">
        <v>94</v>
      </c>
      <c r="L4586" s="31" t="str">
        <f t="shared" si="442"/>
        <v>Dua Puluh Empat</v>
      </c>
    </row>
    <row r="4587" spans="1:12">
      <c r="A4587" s="33" t="s">
        <v>81</v>
      </c>
      <c r="B4587" s="41" t="e">
        <f>TRUNC((A4560-SUM(C4582:C4586)))</f>
        <v>#REF!</v>
      </c>
      <c r="C4587" s="42" t="e">
        <f>B4587</f>
        <v>#REF!</v>
      </c>
      <c r="D4587" s="31" t="e">
        <f>IF(B4587&lt;1,"",VLOOKUP(B4587,$J$3:$L$102,3))</f>
        <v>#REF!</v>
      </c>
      <c r="E4587" s="31" t="e">
        <f>IF(SUM(C4582:C4587)&lt;1,"",IF(B4588&lt;1,""," Dan "))</f>
        <v>#REF!</v>
      </c>
      <c r="J4587" s="31">
        <v>25</v>
      </c>
      <c r="K4587" s="33" t="s">
        <v>95</v>
      </c>
      <c r="L4587" s="31" t="str">
        <f t="shared" si="442"/>
        <v>Dua Puluh Lima</v>
      </c>
    </row>
    <row r="4588" spans="1:12">
      <c r="A4588" s="33" t="s">
        <v>83</v>
      </c>
      <c r="B4588" s="40" t="e">
        <f>ROUND(A4560-SUM(C4582:C4587),2)*100</f>
        <v>#REF!</v>
      </c>
      <c r="D4588" s="31" t="e">
        <f>IF(B4588&lt;1,"",VLOOKUP(B4588,$J$3:$L$102,3))</f>
        <v>#REF!</v>
      </c>
      <c r="E4588" s="31" t="e">
        <f>IF(B4588&lt;1,""," Sen ")</f>
        <v>#REF!</v>
      </c>
      <c r="J4588" s="31">
        <v>26</v>
      </c>
      <c r="K4588" s="33" t="s">
        <v>96</v>
      </c>
      <c r="L4588" s="31" t="str">
        <f t="shared" si="442"/>
        <v>Dua Puluh Enam</v>
      </c>
    </row>
    <row r="4589" spans="1:12">
      <c r="J4589" s="31">
        <v>27</v>
      </c>
      <c r="K4589" s="33" t="s">
        <v>97</v>
      </c>
      <c r="L4589" s="31" t="str">
        <f t="shared" si="442"/>
        <v>Dua Puluh Tujuh</v>
      </c>
    </row>
    <row r="4590" spans="1:12">
      <c r="J4590" s="31">
        <v>28</v>
      </c>
      <c r="K4590" s="33" t="s">
        <v>98</v>
      </c>
      <c r="L4590" s="31" t="str">
        <f t="shared" si="442"/>
        <v>Dua Puluh Delapan</v>
      </c>
    </row>
    <row r="4591" spans="1:12">
      <c r="J4591" s="31">
        <v>29</v>
      </c>
      <c r="K4591" s="33" t="s">
        <v>99</v>
      </c>
      <c r="L4591" s="31" t="str">
        <f t="shared" si="442"/>
        <v>Dua Puluh Sembilan</v>
      </c>
    </row>
    <row r="4592" spans="1:12">
      <c r="J4592" s="31">
        <v>30</v>
      </c>
      <c r="K4592" s="33" t="s">
        <v>100</v>
      </c>
      <c r="L4592" s="31" t="s">
        <v>101</v>
      </c>
    </row>
    <row r="4593" spans="1:12">
      <c r="J4593" s="31">
        <v>31</v>
      </c>
      <c r="K4593" s="33" t="s">
        <v>102</v>
      </c>
      <c r="L4593" s="31" t="str">
        <f t="shared" ref="L4593:L4601" si="443">$L$33&amp;" "&amp;L4563</f>
        <v>Tiga Puluh Satu</v>
      </c>
    </row>
    <row r="4594" spans="1:12">
      <c r="J4594" s="31">
        <v>32</v>
      </c>
      <c r="K4594" s="33" t="s">
        <v>103</v>
      </c>
      <c r="L4594" s="31" t="str">
        <f t="shared" si="443"/>
        <v>Tiga Puluh Dua</v>
      </c>
    </row>
    <row r="4595" spans="1:12">
      <c r="J4595" s="31">
        <v>33</v>
      </c>
      <c r="K4595" s="33" t="s">
        <v>104</v>
      </c>
      <c r="L4595" s="31" t="str">
        <f t="shared" si="443"/>
        <v>Tiga Puluh Tiga</v>
      </c>
    </row>
    <row r="4596" spans="1:12">
      <c r="J4596" s="31">
        <v>34</v>
      </c>
      <c r="K4596" s="33" t="s">
        <v>105</v>
      </c>
      <c r="L4596" s="31" t="str">
        <f t="shared" si="443"/>
        <v>Tiga Puluh Empat</v>
      </c>
    </row>
    <row r="4597" spans="1:12">
      <c r="J4597" s="31">
        <v>35</v>
      </c>
      <c r="K4597" s="33" t="s">
        <v>106</v>
      </c>
      <c r="L4597" s="31" t="str">
        <f t="shared" si="443"/>
        <v>Tiga Puluh Lima</v>
      </c>
    </row>
    <row r="4598" spans="1:12">
      <c r="J4598" s="31">
        <v>36</v>
      </c>
      <c r="K4598" s="33" t="s">
        <v>107</v>
      </c>
      <c r="L4598" s="31" t="str">
        <f t="shared" si="443"/>
        <v>Tiga Puluh Enam</v>
      </c>
    </row>
    <row r="4599" spans="1:12">
      <c r="J4599" s="31">
        <v>37</v>
      </c>
      <c r="K4599" s="33" t="s">
        <v>108</v>
      </c>
      <c r="L4599" s="31" t="str">
        <f t="shared" si="443"/>
        <v>Tiga Puluh Tujuh</v>
      </c>
    </row>
    <row r="4600" spans="1:12">
      <c r="J4600" s="31">
        <v>38</v>
      </c>
      <c r="K4600" s="33" t="s">
        <v>109</v>
      </c>
      <c r="L4600" s="31" t="str">
        <f t="shared" si="443"/>
        <v>Tiga Puluh Delapan</v>
      </c>
    </row>
    <row r="4601" spans="1:12">
      <c r="J4601" s="31">
        <v>39</v>
      </c>
      <c r="K4601" s="33" t="s">
        <v>110</v>
      </c>
      <c r="L4601" s="31" t="str">
        <f t="shared" si="443"/>
        <v>Tiga Puluh Sembilan</v>
      </c>
    </row>
    <row r="4602" spans="1:12">
      <c r="B4602" s="35"/>
      <c r="C4602" s="35"/>
      <c r="D4602" s="35"/>
      <c r="J4602" s="31">
        <v>40</v>
      </c>
      <c r="K4602" s="33" t="s">
        <v>111</v>
      </c>
      <c r="L4602" s="31" t="s">
        <v>112</v>
      </c>
    </row>
    <row r="4603" spans="1:12">
      <c r="A4603" s="35"/>
      <c r="B4603" s="35"/>
      <c r="C4603" s="35"/>
      <c r="D4603" s="35"/>
      <c r="J4603" s="31">
        <v>41</v>
      </c>
      <c r="K4603" s="33" t="s">
        <v>113</v>
      </c>
      <c r="L4603" s="31" t="str">
        <f t="shared" ref="L4603:L4611" si="444">$L$43&amp;" "&amp;L4563</f>
        <v>Empat Puluh Satu</v>
      </c>
    </row>
    <row r="4604" spans="1:12">
      <c r="J4604" s="31">
        <v>42</v>
      </c>
      <c r="K4604" s="33" t="s">
        <v>114</v>
      </c>
      <c r="L4604" s="31" t="str">
        <f t="shared" si="444"/>
        <v>Empat Puluh Dua</v>
      </c>
    </row>
    <row r="4605" spans="1:12">
      <c r="A4605" s="38"/>
      <c r="J4605" s="31">
        <v>43</v>
      </c>
      <c r="K4605" s="33" t="s">
        <v>115</v>
      </c>
      <c r="L4605" s="31" t="str">
        <f t="shared" si="444"/>
        <v>Empat Puluh Tiga</v>
      </c>
    </row>
    <row r="4606" spans="1:12">
      <c r="J4606" s="31">
        <v>44</v>
      </c>
      <c r="K4606" s="33" t="s">
        <v>116</v>
      </c>
      <c r="L4606" s="31" t="str">
        <f t="shared" si="444"/>
        <v>Empat Puluh Empat</v>
      </c>
    </row>
    <row r="4607" spans="1:12">
      <c r="J4607" s="31">
        <v>45</v>
      </c>
      <c r="K4607" s="33" t="s">
        <v>117</v>
      </c>
      <c r="L4607" s="31" t="str">
        <f t="shared" si="444"/>
        <v>Empat Puluh Lima</v>
      </c>
    </row>
    <row r="4608" spans="1:12">
      <c r="J4608" s="31">
        <v>46</v>
      </c>
      <c r="K4608" s="33" t="s">
        <v>118</v>
      </c>
      <c r="L4608" s="31" t="str">
        <f t="shared" si="444"/>
        <v>Empat Puluh Enam</v>
      </c>
    </row>
    <row r="4609" spans="10:12">
      <c r="J4609" s="31">
        <v>47</v>
      </c>
      <c r="K4609" s="33" t="s">
        <v>119</v>
      </c>
      <c r="L4609" s="31" t="str">
        <f t="shared" si="444"/>
        <v>Empat Puluh Tujuh</v>
      </c>
    </row>
    <row r="4610" spans="10:12">
      <c r="J4610" s="31">
        <v>48</v>
      </c>
      <c r="K4610" s="33" t="s">
        <v>120</v>
      </c>
      <c r="L4610" s="31" t="str">
        <f t="shared" si="444"/>
        <v>Empat Puluh Delapan</v>
      </c>
    </row>
    <row r="4611" spans="10:12">
      <c r="J4611" s="31">
        <v>49</v>
      </c>
      <c r="K4611" s="33" t="s">
        <v>121</v>
      </c>
      <c r="L4611" s="31" t="str">
        <f t="shared" si="444"/>
        <v>Empat Puluh Sembilan</v>
      </c>
    </row>
    <row r="4612" spans="10:12">
      <c r="J4612" s="31">
        <v>50</v>
      </c>
      <c r="K4612" s="33" t="s">
        <v>122</v>
      </c>
      <c r="L4612" s="31" t="s">
        <v>123</v>
      </c>
    </row>
    <row r="4613" spans="10:12">
      <c r="J4613" s="31">
        <v>51</v>
      </c>
      <c r="K4613" s="33" t="s">
        <v>124</v>
      </c>
      <c r="L4613" s="31" t="str">
        <f t="shared" ref="L4613:L4621" si="445">$L$53&amp;" "&amp;L4563</f>
        <v>Lima Puluh Satu</v>
      </c>
    </row>
    <row r="4614" spans="10:12">
      <c r="J4614" s="31">
        <v>52</v>
      </c>
      <c r="K4614" s="33" t="s">
        <v>125</v>
      </c>
      <c r="L4614" s="31" t="str">
        <f t="shared" si="445"/>
        <v>Lima Puluh Dua</v>
      </c>
    </row>
    <row r="4615" spans="10:12">
      <c r="J4615" s="31">
        <v>53</v>
      </c>
      <c r="K4615" s="33" t="s">
        <v>126</v>
      </c>
      <c r="L4615" s="31" t="str">
        <f t="shared" si="445"/>
        <v>Lima Puluh Tiga</v>
      </c>
    </row>
    <row r="4616" spans="10:12">
      <c r="J4616" s="31">
        <v>54</v>
      </c>
      <c r="K4616" s="33" t="s">
        <v>127</v>
      </c>
      <c r="L4616" s="31" t="str">
        <f t="shared" si="445"/>
        <v>Lima Puluh Empat</v>
      </c>
    </row>
    <row r="4617" spans="10:12">
      <c r="J4617" s="31">
        <v>55</v>
      </c>
      <c r="K4617" s="33" t="s">
        <v>128</v>
      </c>
      <c r="L4617" s="31" t="str">
        <f t="shared" si="445"/>
        <v>Lima Puluh Lima</v>
      </c>
    </row>
    <row r="4618" spans="10:12">
      <c r="J4618" s="31">
        <v>56</v>
      </c>
      <c r="K4618" s="33" t="s">
        <v>129</v>
      </c>
      <c r="L4618" s="31" t="str">
        <f t="shared" si="445"/>
        <v>Lima Puluh Enam</v>
      </c>
    </row>
    <row r="4619" spans="10:12">
      <c r="J4619" s="31">
        <v>57</v>
      </c>
      <c r="K4619" s="33" t="s">
        <v>130</v>
      </c>
      <c r="L4619" s="31" t="str">
        <f t="shared" si="445"/>
        <v>Lima Puluh Tujuh</v>
      </c>
    </row>
    <row r="4620" spans="10:12">
      <c r="J4620" s="31">
        <v>58</v>
      </c>
      <c r="K4620" s="33" t="s">
        <v>131</v>
      </c>
      <c r="L4620" s="31" t="str">
        <f t="shared" si="445"/>
        <v>Lima Puluh Delapan</v>
      </c>
    </row>
    <row r="4621" spans="10:12">
      <c r="J4621" s="31">
        <v>59</v>
      </c>
      <c r="K4621" s="33" t="s">
        <v>132</v>
      </c>
      <c r="L4621" s="31" t="str">
        <f t="shared" si="445"/>
        <v>Lima Puluh Sembilan</v>
      </c>
    </row>
    <row r="4622" spans="10:12">
      <c r="J4622" s="31">
        <v>60</v>
      </c>
      <c r="K4622" s="33" t="s">
        <v>133</v>
      </c>
      <c r="L4622" s="31" t="s">
        <v>134</v>
      </c>
    </row>
    <row r="4623" spans="10:12">
      <c r="J4623" s="31">
        <v>61</v>
      </c>
      <c r="K4623" s="33" t="s">
        <v>135</v>
      </c>
      <c r="L4623" s="31" t="str">
        <f t="shared" ref="L4623:L4631" si="446">$L$63&amp;" "&amp;L4563</f>
        <v>Enam Puluh Satu</v>
      </c>
    </row>
    <row r="4624" spans="10:12">
      <c r="J4624" s="31">
        <v>62</v>
      </c>
      <c r="K4624" s="33" t="s">
        <v>136</v>
      </c>
      <c r="L4624" s="31" t="str">
        <f t="shared" si="446"/>
        <v>Enam Puluh Dua</v>
      </c>
    </row>
    <row r="4625" spans="10:12">
      <c r="J4625" s="31">
        <v>63</v>
      </c>
      <c r="K4625" s="33" t="s">
        <v>137</v>
      </c>
      <c r="L4625" s="31" t="str">
        <f t="shared" si="446"/>
        <v>Enam Puluh Tiga</v>
      </c>
    </row>
    <row r="4626" spans="10:12">
      <c r="J4626" s="31">
        <v>64</v>
      </c>
      <c r="K4626" s="33" t="s">
        <v>138</v>
      </c>
      <c r="L4626" s="31" t="str">
        <f t="shared" si="446"/>
        <v>Enam Puluh Empat</v>
      </c>
    </row>
    <row r="4627" spans="10:12">
      <c r="J4627" s="31">
        <v>65</v>
      </c>
      <c r="K4627" s="33" t="s">
        <v>139</v>
      </c>
      <c r="L4627" s="31" t="str">
        <f t="shared" si="446"/>
        <v>Enam Puluh Lima</v>
      </c>
    </row>
    <row r="4628" spans="10:12">
      <c r="J4628" s="31">
        <v>66</v>
      </c>
      <c r="K4628" s="33" t="s">
        <v>140</v>
      </c>
      <c r="L4628" s="31" t="str">
        <f t="shared" si="446"/>
        <v>Enam Puluh Enam</v>
      </c>
    </row>
    <row r="4629" spans="10:12">
      <c r="J4629" s="31">
        <v>67</v>
      </c>
      <c r="K4629" s="33" t="s">
        <v>141</v>
      </c>
      <c r="L4629" s="31" t="str">
        <f t="shared" si="446"/>
        <v>Enam Puluh Tujuh</v>
      </c>
    </row>
    <row r="4630" spans="10:12">
      <c r="J4630" s="31">
        <v>68</v>
      </c>
      <c r="K4630" s="33" t="s">
        <v>142</v>
      </c>
      <c r="L4630" s="31" t="str">
        <f t="shared" si="446"/>
        <v>Enam Puluh Delapan</v>
      </c>
    </row>
    <row r="4631" spans="10:12">
      <c r="J4631" s="31">
        <v>69</v>
      </c>
      <c r="K4631" s="33" t="s">
        <v>143</v>
      </c>
      <c r="L4631" s="31" t="str">
        <f t="shared" si="446"/>
        <v>Enam Puluh Sembilan</v>
      </c>
    </row>
    <row r="4632" spans="10:12">
      <c r="J4632" s="31">
        <v>70</v>
      </c>
      <c r="K4632" s="33" t="s">
        <v>144</v>
      </c>
      <c r="L4632" s="31" t="s">
        <v>145</v>
      </c>
    </row>
    <row r="4633" spans="10:12">
      <c r="J4633" s="31">
        <v>71</v>
      </c>
      <c r="K4633" s="33" t="s">
        <v>146</v>
      </c>
      <c r="L4633" s="31" t="str">
        <f t="shared" ref="L4633:L4641" si="447">$L$73&amp;" "&amp;L4563</f>
        <v>Tujuh Puluh Satu</v>
      </c>
    </row>
    <row r="4634" spans="10:12">
      <c r="J4634" s="31">
        <v>72</v>
      </c>
      <c r="K4634" s="33" t="s">
        <v>147</v>
      </c>
      <c r="L4634" s="31" t="str">
        <f t="shared" si="447"/>
        <v>Tujuh Puluh Dua</v>
      </c>
    </row>
    <row r="4635" spans="10:12">
      <c r="J4635" s="31">
        <v>73</v>
      </c>
      <c r="K4635" s="33" t="s">
        <v>148</v>
      </c>
      <c r="L4635" s="31" t="str">
        <f t="shared" si="447"/>
        <v>Tujuh Puluh Tiga</v>
      </c>
    </row>
    <row r="4636" spans="10:12">
      <c r="J4636" s="31">
        <v>74</v>
      </c>
      <c r="K4636" s="33" t="s">
        <v>149</v>
      </c>
      <c r="L4636" s="31" t="str">
        <f t="shared" si="447"/>
        <v>Tujuh Puluh Empat</v>
      </c>
    </row>
    <row r="4637" spans="10:12">
      <c r="J4637" s="31">
        <v>75</v>
      </c>
      <c r="K4637" s="33" t="s">
        <v>150</v>
      </c>
      <c r="L4637" s="31" t="str">
        <f t="shared" si="447"/>
        <v>Tujuh Puluh Lima</v>
      </c>
    </row>
    <row r="4638" spans="10:12">
      <c r="J4638" s="31">
        <v>76</v>
      </c>
      <c r="K4638" s="33" t="s">
        <v>151</v>
      </c>
      <c r="L4638" s="31" t="str">
        <f t="shared" si="447"/>
        <v>Tujuh Puluh Enam</v>
      </c>
    </row>
    <row r="4639" spans="10:12">
      <c r="J4639" s="31">
        <v>77</v>
      </c>
      <c r="K4639" s="33" t="s">
        <v>152</v>
      </c>
      <c r="L4639" s="31" t="str">
        <f t="shared" si="447"/>
        <v>Tujuh Puluh Tujuh</v>
      </c>
    </row>
    <row r="4640" spans="10:12">
      <c r="J4640" s="31">
        <v>78</v>
      </c>
      <c r="K4640" s="33" t="s">
        <v>153</v>
      </c>
      <c r="L4640" s="31" t="str">
        <f t="shared" si="447"/>
        <v>Tujuh Puluh Delapan</v>
      </c>
    </row>
    <row r="4641" spans="10:12">
      <c r="J4641" s="31">
        <v>79</v>
      </c>
      <c r="K4641" s="33" t="s">
        <v>154</v>
      </c>
      <c r="L4641" s="31" t="str">
        <f t="shared" si="447"/>
        <v>Tujuh Puluh Sembilan</v>
      </c>
    </row>
    <row r="4642" spans="10:12">
      <c r="J4642" s="31">
        <v>80</v>
      </c>
      <c r="K4642" s="33" t="s">
        <v>155</v>
      </c>
      <c r="L4642" s="31" t="s">
        <v>156</v>
      </c>
    </row>
    <row r="4643" spans="10:12">
      <c r="J4643" s="31">
        <v>81</v>
      </c>
      <c r="K4643" s="33" t="s">
        <v>157</v>
      </c>
      <c r="L4643" s="31" t="str">
        <f t="shared" ref="L4643:L4651" si="448">$L$83&amp;" "&amp;L4563</f>
        <v>Delapan Puluh Satu</v>
      </c>
    </row>
    <row r="4644" spans="10:12">
      <c r="J4644" s="31">
        <v>82</v>
      </c>
      <c r="K4644" s="33" t="s">
        <v>158</v>
      </c>
      <c r="L4644" s="31" t="str">
        <f t="shared" si="448"/>
        <v>Delapan Puluh Dua</v>
      </c>
    </row>
    <row r="4645" spans="10:12">
      <c r="J4645" s="31">
        <v>83</v>
      </c>
      <c r="K4645" s="33" t="s">
        <v>159</v>
      </c>
      <c r="L4645" s="31" t="str">
        <f t="shared" si="448"/>
        <v>Delapan Puluh Tiga</v>
      </c>
    </row>
    <row r="4646" spans="10:12">
      <c r="J4646" s="31">
        <v>84</v>
      </c>
      <c r="K4646" s="33" t="s">
        <v>160</v>
      </c>
      <c r="L4646" s="31" t="str">
        <f t="shared" si="448"/>
        <v>Delapan Puluh Empat</v>
      </c>
    </row>
    <row r="4647" spans="10:12">
      <c r="J4647" s="31">
        <v>85</v>
      </c>
      <c r="K4647" s="33" t="s">
        <v>161</v>
      </c>
      <c r="L4647" s="31" t="str">
        <f t="shared" si="448"/>
        <v>Delapan Puluh Lima</v>
      </c>
    </row>
    <row r="4648" spans="10:12">
      <c r="J4648" s="31">
        <v>86</v>
      </c>
      <c r="K4648" s="33" t="s">
        <v>162</v>
      </c>
      <c r="L4648" s="31" t="str">
        <f t="shared" si="448"/>
        <v>Delapan Puluh Enam</v>
      </c>
    </row>
    <row r="4649" spans="10:12">
      <c r="J4649" s="31">
        <v>87</v>
      </c>
      <c r="K4649" s="33" t="s">
        <v>163</v>
      </c>
      <c r="L4649" s="31" t="str">
        <f t="shared" si="448"/>
        <v>Delapan Puluh Tujuh</v>
      </c>
    </row>
    <row r="4650" spans="10:12">
      <c r="J4650" s="31">
        <v>88</v>
      </c>
      <c r="K4650" s="33" t="s">
        <v>164</v>
      </c>
      <c r="L4650" s="31" t="str">
        <f t="shared" si="448"/>
        <v>Delapan Puluh Delapan</v>
      </c>
    </row>
    <row r="4651" spans="10:12">
      <c r="J4651" s="31">
        <v>89</v>
      </c>
      <c r="K4651" s="33" t="s">
        <v>165</v>
      </c>
      <c r="L4651" s="31" t="str">
        <f t="shared" si="448"/>
        <v>Delapan Puluh Sembilan</v>
      </c>
    </row>
    <row r="4652" spans="10:12">
      <c r="J4652" s="31">
        <v>90</v>
      </c>
      <c r="K4652" s="33" t="s">
        <v>166</v>
      </c>
      <c r="L4652" s="31" t="s">
        <v>167</v>
      </c>
    </row>
    <row r="4653" spans="10:12">
      <c r="J4653" s="31">
        <v>91</v>
      </c>
      <c r="K4653" s="33" t="s">
        <v>168</v>
      </c>
      <c r="L4653" s="31" t="str">
        <f t="shared" ref="L4653:L4661" si="449">$L$93&amp;" "&amp;L4563</f>
        <v>Sembilan Puluh Satu</v>
      </c>
    </row>
    <row r="4654" spans="10:12">
      <c r="J4654" s="31">
        <v>92</v>
      </c>
      <c r="K4654" s="33" t="s">
        <v>169</v>
      </c>
      <c r="L4654" s="31" t="str">
        <f t="shared" si="449"/>
        <v>Sembilan Puluh Dua</v>
      </c>
    </row>
    <row r="4655" spans="10:12">
      <c r="J4655" s="31">
        <v>93</v>
      </c>
      <c r="K4655" s="33" t="s">
        <v>170</v>
      </c>
      <c r="L4655" s="31" t="str">
        <f t="shared" si="449"/>
        <v>Sembilan Puluh Tiga</v>
      </c>
    </row>
    <row r="4656" spans="10:12">
      <c r="J4656" s="31">
        <v>94</v>
      </c>
      <c r="K4656" s="33" t="s">
        <v>171</v>
      </c>
      <c r="L4656" s="31" t="str">
        <f t="shared" si="449"/>
        <v>Sembilan Puluh Empat</v>
      </c>
    </row>
    <row r="4657" spans="1:12">
      <c r="J4657" s="31">
        <v>95</v>
      </c>
      <c r="K4657" s="33" t="s">
        <v>172</v>
      </c>
      <c r="L4657" s="31" t="str">
        <f t="shared" si="449"/>
        <v>Sembilan Puluh Lima</v>
      </c>
    </row>
    <row r="4658" spans="1:12">
      <c r="J4658" s="31">
        <v>96</v>
      </c>
      <c r="K4658" s="33" t="s">
        <v>173</v>
      </c>
      <c r="L4658" s="31" t="str">
        <f t="shared" si="449"/>
        <v>Sembilan Puluh Enam</v>
      </c>
    </row>
    <row r="4659" spans="1:12">
      <c r="J4659" s="31">
        <v>97</v>
      </c>
      <c r="K4659" s="33" t="s">
        <v>174</v>
      </c>
      <c r="L4659" s="31" t="str">
        <f t="shared" si="449"/>
        <v>Sembilan Puluh Tujuh</v>
      </c>
    </row>
    <row r="4660" spans="1:12">
      <c r="J4660" s="31">
        <v>98</v>
      </c>
      <c r="K4660" s="33" t="s">
        <v>175</v>
      </c>
      <c r="L4660" s="31" t="str">
        <f t="shared" si="449"/>
        <v>Sembilan Puluh Delapan</v>
      </c>
    </row>
    <row r="4661" spans="1:12">
      <c r="J4661" s="31">
        <v>99</v>
      </c>
      <c r="K4661" s="33" t="s">
        <v>176</v>
      </c>
      <c r="L4661" s="31" t="str">
        <f t="shared" si="449"/>
        <v>Sembilan Puluh Sembilan</v>
      </c>
    </row>
    <row r="4663" spans="1:12">
      <c r="A4663" s="30" t="e">
        <f>#REF!</f>
        <v>#REF!</v>
      </c>
      <c r="C4663" s="31" t="s">
        <v>242</v>
      </c>
    </row>
    <row r="4664" spans="1:12">
      <c r="A4664" s="32"/>
    </row>
    <row r="4665" spans="1:12">
      <c r="J4665" s="31">
        <v>0</v>
      </c>
      <c r="K4665" s="33" t="s">
        <v>48</v>
      </c>
      <c r="L4665" s="31" t="s">
        <v>49</v>
      </c>
    </row>
    <row r="4666" spans="1:12">
      <c r="A4666" s="34"/>
      <c r="J4666" s="31">
        <v>1</v>
      </c>
      <c r="K4666" s="33" t="s">
        <v>50</v>
      </c>
      <c r="L4666" s="31" t="s">
        <v>51</v>
      </c>
    </row>
    <row r="4667" spans="1:12">
      <c r="A4667" s="255" t="e">
        <f>TRIM(D4675&amp;E4675&amp;D4676&amp;E4676&amp;D4677&amp;E4677&amp;D4678&amp;E4678&amp;D4679&amp;E4679&amp;D4680&amp;E4680&amp;E4681&amp;D4681&amp;" Only")</f>
        <v>#REF!</v>
      </c>
      <c r="B4667" s="255"/>
      <c r="C4667" s="255"/>
      <c r="D4667" s="255"/>
      <c r="E4667" s="35"/>
      <c r="F4667" s="36"/>
      <c r="J4667" s="31">
        <v>2</v>
      </c>
      <c r="K4667" s="33" t="s">
        <v>52</v>
      </c>
      <c r="L4667" s="31" t="s">
        <v>53</v>
      </c>
    </row>
    <row r="4668" spans="1:12">
      <c r="A4668" s="37"/>
      <c r="B4668" s="37"/>
      <c r="C4668" s="37"/>
      <c r="D4668" s="37"/>
      <c r="E4668" s="35"/>
      <c r="F4668" s="36"/>
      <c r="J4668" s="31">
        <v>3</v>
      </c>
      <c r="K4668" s="33" t="s">
        <v>54</v>
      </c>
      <c r="L4668" s="31" t="s">
        <v>55</v>
      </c>
    </row>
    <row r="4669" spans="1:12">
      <c r="A4669" s="37"/>
      <c r="B4669" s="37"/>
      <c r="C4669" s="37"/>
      <c r="D4669" s="37"/>
      <c r="J4669" s="31">
        <v>4</v>
      </c>
      <c r="K4669" s="33" t="s">
        <v>56</v>
      </c>
      <c r="L4669" s="31" t="s">
        <v>57</v>
      </c>
    </row>
    <row r="4670" spans="1:12">
      <c r="A4670" s="255" t="e">
        <f>TRIM(D4685&amp;E4685&amp;D4686&amp;E4686&amp;D4687&amp;E4687&amp;D4688&amp;E4688&amp;D4689&amp;E4689&amp;D4690&amp;E4690&amp;D4691&amp;E4691&amp;" Rupiah")</f>
        <v>#REF!</v>
      </c>
      <c r="B4670" s="255"/>
      <c r="C4670" s="255"/>
      <c r="D4670" s="255"/>
      <c r="E4670" s="35"/>
      <c r="F4670" s="36"/>
      <c r="J4670" s="31">
        <v>5</v>
      </c>
      <c r="K4670" s="33" t="s">
        <v>58</v>
      </c>
      <c r="L4670" s="31" t="s">
        <v>59</v>
      </c>
    </row>
    <row r="4671" spans="1:12">
      <c r="A4671" s="35"/>
      <c r="B4671" s="35"/>
      <c r="C4671" s="35"/>
      <c r="D4671" s="35"/>
      <c r="E4671" s="35"/>
      <c r="F4671" s="36"/>
      <c r="J4671" s="31">
        <v>6</v>
      </c>
      <c r="K4671" s="33" t="s">
        <v>60</v>
      </c>
      <c r="L4671" s="31" t="s">
        <v>61</v>
      </c>
    </row>
    <row r="4672" spans="1:12">
      <c r="J4672" s="31">
        <v>7</v>
      </c>
      <c r="K4672" s="33" t="s">
        <v>62</v>
      </c>
      <c r="L4672" s="31" t="s">
        <v>63</v>
      </c>
    </row>
    <row r="4673" spans="1:12">
      <c r="J4673" s="31">
        <v>8</v>
      </c>
      <c r="K4673" s="33" t="s">
        <v>64</v>
      </c>
      <c r="L4673" s="31" t="s">
        <v>65</v>
      </c>
    </row>
    <row r="4674" spans="1:12">
      <c r="A4674" s="38" t="s">
        <v>66</v>
      </c>
      <c r="J4674" s="31">
        <v>9</v>
      </c>
      <c r="K4674" s="33" t="s">
        <v>67</v>
      </c>
      <c r="L4674" s="31" t="s">
        <v>68</v>
      </c>
    </row>
    <row r="4675" spans="1:12">
      <c r="A4675" s="31" t="s">
        <v>69</v>
      </c>
      <c r="B4675" s="39" t="e">
        <f>TRUNC(A4663/100000000)</f>
        <v>#REF!</v>
      </c>
      <c r="C4675" s="31" t="e">
        <f>B4675*100000000</f>
        <v>#REF!</v>
      </c>
      <c r="D4675" s="31" t="e">
        <f t="shared" ref="D4675:D4681" si="450">IF(B4675&lt;1,"",VLOOKUP(B4675,$J$3:$K$102,2))</f>
        <v>#REF!</v>
      </c>
      <c r="E4675" s="31" t="e">
        <f>IF(B4675&lt;1,"",IF(B4675&gt;1," Hundreds "," Hundred "))</f>
        <v>#REF!</v>
      </c>
      <c r="J4675" s="31">
        <v>10</v>
      </c>
      <c r="K4675" s="33" t="s">
        <v>70</v>
      </c>
      <c r="L4675" s="31" t="s">
        <v>71</v>
      </c>
    </row>
    <row r="4676" spans="1:12">
      <c r="A4676" s="31" t="s">
        <v>72</v>
      </c>
      <c r="B4676" s="39" t="e">
        <f>TRUNC((A4663-C4675)/1000000)</f>
        <v>#REF!</v>
      </c>
      <c r="C4676" s="31" t="e">
        <f>B4676*1000000</f>
        <v>#REF!</v>
      </c>
      <c r="D4676" s="31" t="e">
        <f t="shared" si="450"/>
        <v>#REF!</v>
      </c>
      <c r="E4676" s="31" t="e">
        <f>IF(B4675+B4676=0,"",IF(B4676=1," Million "," Millions "))</f>
        <v>#REF!</v>
      </c>
      <c r="J4676" s="31">
        <v>11</v>
      </c>
      <c r="K4676" s="33" t="s">
        <v>73</v>
      </c>
      <c r="L4676" s="31" t="s">
        <v>74</v>
      </c>
    </row>
    <row r="4677" spans="1:12">
      <c r="A4677" s="31" t="s">
        <v>75</v>
      </c>
      <c r="B4677" s="39" t="e">
        <f>TRUNC((A4663-SUM(C4675:C4676))/100000)</f>
        <v>#REF!</v>
      </c>
      <c r="C4677" s="31" t="e">
        <f>B4677*100000</f>
        <v>#REF!</v>
      </c>
      <c r="D4677" s="31" t="e">
        <f t="shared" si="450"/>
        <v>#REF!</v>
      </c>
      <c r="E4677" s="31" t="e">
        <f>IF(B4677&lt;1,"",IF(B4677&gt;1," Hundreds "," Hundred "))</f>
        <v>#REF!</v>
      </c>
      <c r="J4677" s="31">
        <v>12</v>
      </c>
      <c r="K4677" s="33" t="s">
        <v>76</v>
      </c>
      <c r="L4677" s="31" t="str">
        <f t="shared" ref="L4677:L4684" si="451">L4667&amp;" Belas"</f>
        <v>Dua Belas</v>
      </c>
    </row>
    <row r="4678" spans="1:12">
      <c r="A4678" s="33" t="s">
        <v>77</v>
      </c>
      <c r="B4678" s="40" t="e">
        <f>TRUNC((A4663-SUM(C4675:C4677))/1000)</f>
        <v>#REF!</v>
      </c>
      <c r="C4678" s="31" t="e">
        <f>B4678*1000</f>
        <v>#REF!</v>
      </c>
      <c r="D4678" s="31" t="e">
        <f t="shared" si="450"/>
        <v>#REF!</v>
      </c>
      <c r="E4678" s="31" t="e">
        <f>IF(B4677+B4678=0,"",IF(B4678=1," Thousand "," Thousands "))</f>
        <v>#REF!</v>
      </c>
      <c r="J4678" s="31">
        <v>13</v>
      </c>
      <c r="K4678" s="33" t="s">
        <v>78</v>
      </c>
      <c r="L4678" s="31" t="str">
        <f t="shared" si="451"/>
        <v>Tiga Belas</v>
      </c>
    </row>
    <row r="4679" spans="1:12">
      <c r="A4679" s="33" t="s">
        <v>79</v>
      </c>
      <c r="B4679" s="40" t="e">
        <f>TRUNC((A4663-SUM(C4675:C4678))/100)</f>
        <v>#REF!</v>
      </c>
      <c r="C4679" s="31" t="e">
        <f>B4679*100</f>
        <v>#REF!</v>
      </c>
      <c r="D4679" s="31" t="e">
        <f t="shared" si="450"/>
        <v>#REF!</v>
      </c>
      <c r="E4679" s="31" t="e">
        <f>IF(B4679&lt;1,"",IF(B4679&gt;1," Hundreds "," Hundred "))</f>
        <v>#REF!</v>
      </c>
      <c r="J4679" s="31">
        <v>14</v>
      </c>
      <c r="K4679" s="33" t="s">
        <v>80</v>
      </c>
      <c r="L4679" s="31" t="str">
        <f t="shared" si="451"/>
        <v>Empat Belas</v>
      </c>
    </row>
    <row r="4680" spans="1:12">
      <c r="A4680" s="33" t="s">
        <v>81</v>
      </c>
      <c r="B4680" s="41" t="e">
        <f>TRUNC((A4663-SUM(C4675:C4679)))</f>
        <v>#REF!</v>
      </c>
      <c r="C4680" s="42" t="e">
        <f>B4680</f>
        <v>#REF!</v>
      </c>
      <c r="D4680" s="31" t="e">
        <f t="shared" si="450"/>
        <v>#REF!</v>
      </c>
      <c r="E4680" s="31" t="e">
        <f>IF(SUM(C4675:C4680)&lt;1,"",IF(B4681&lt;1,""," And "))</f>
        <v>#REF!</v>
      </c>
      <c r="J4680" s="31">
        <v>15</v>
      </c>
      <c r="K4680" s="33" t="s">
        <v>82</v>
      </c>
      <c r="L4680" s="31" t="str">
        <f t="shared" si="451"/>
        <v>Lima Belas</v>
      </c>
    </row>
    <row r="4681" spans="1:12">
      <c r="A4681" s="33" t="s">
        <v>83</v>
      </c>
      <c r="B4681" s="40" t="e">
        <f>ROUND(A4663-SUM(C4675:C4680),2)*100</f>
        <v>#REF!</v>
      </c>
      <c r="D4681" s="43" t="e">
        <f t="shared" si="450"/>
        <v>#REF!</v>
      </c>
      <c r="E4681" s="31" t="e">
        <f>IF(B4681&lt;1,"",IF(B4681=1," Cent "," Cents "))</f>
        <v>#REF!</v>
      </c>
      <c r="J4681" s="31">
        <v>16</v>
      </c>
      <c r="K4681" s="33" t="s">
        <v>84</v>
      </c>
      <c r="L4681" s="31" t="str">
        <f t="shared" si="451"/>
        <v>Enam Belas</v>
      </c>
    </row>
    <row r="4682" spans="1:12">
      <c r="J4682" s="31">
        <v>17</v>
      </c>
      <c r="K4682" s="33" t="s">
        <v>85</v>
      </c>
      <c r="L4682" s="31" t="str">
        <f t="shared" si="451"/>
        <v>Tujuh Belas</v>
      </c>
    </row>
    <row r="4683" spans="1:12">
      <c r="A4683" s="44"/>
      <c r="J4683" s="31">
        <v>18</v>
      </c>
      <c r="K4683" s="33" t="s">
        <v>86</v>
      </c>
      <c r="L4683" s="31" t="str">
        <f t="shared" si="451"/>
        <v>Delapan Belas</v>
      </c>
    </row>
    <row r="4684" spans="1:12">
      <c r="A4684" s="38" t="s">
        <v>87</v>
      </c>
      <c r="J4684" s="31">
        <v>19</v>
      </c>
      <c r="K4684" s="33" t="s">
        <v>88</v>
      </c>
      <c r="L4684" s="31" t="str">
        <f t="shared" si="451"/>
        <v>Sembilan Belas</v>
      </c>
    </row>
    <row r="4685" spans="1:12">
      <c r="A4685" s="31" t="s">
        <v>69</v>
      </c>
      <c r="B4685" s="39" t="e">
        <f>TRUNC(A4663/100000000)</f>
        <v>#REF!</v>
      </c>
      <c r="C4685" s="31" t="e">
        <f>B4685*100000000</f>
        <v>#REF!</v>
      </c>
      <c r="D4685" s="31" t="e">
        <f>IF(B4685&lt;1,"",IF(B4685=1,"",VLOOKUP(B4685,$J$3:$L$102,3)))</f>
        <v>#REF!</v>
      </c>
      <c r="E4685" s="31" t="e">
        <f>IF(B4685&lt;1,"",IF(B4685=1,"Seratus "," Ratus "))</f>
        <v>#REF!</v>
      </c>
      <c r="J4685" s="31">
        <v>20</v>
      </c>
      <c r="K4685" s="33" t="s">
        <v>89</v>
      </c>
      <c r="L4685" s="31" t="s">
        <v>90</v>
      </c>
    </row>
    <row r="4686" spans="1:12">
      <c r="A4686" s="31" t="s">
        <v>72</v>
      </c>
      <c r="B4686" s="39" t="e">
        <f>TRUNC((A4663-C4685)/1000000)</f>
        <v>#REF!</v>
      </c>
      <c r="C4686" s="31" t="e">
        <f>B4686*1000000</f>
        <v>#REF!</v>
      </c>
      <c r="D4686" s="31" t="e">
        <f>IF(B4686&lt;1,"",VLOOKUP(B4686,$J$3:$L$102,3))</f>
        <v>#REF!</v>
      </c>
      <c r="E4686" s="31" t="e">
        <f>IF(B4685+B4686=0,""," Juta ")</f>
        <v>#REF!</v>
      </c>
      <c r="J4686" s="31">
        <v>21</v>
      </c>
      <c r="K4686" s="33" t="s">
        <v>91</v>
      </c>
      <c r="L4686" s="31" t="str">
        <f t="shared" ref="L4686:L4694" si="452">$L$23&amp;" "&amp;L4666</f>
        <v>Dua Puluh Satu</v>
      </c>
    </row>
    <row r="4687" spans="1:12">
      <c r="A4687" s="31" t="s">
        <v>75</v>
      </c>
      <c r="B4687" s="39" t="e">
        <f>TRUNC((A4663-SUM(C4685:C4686))/100000)</f>
        <v>#REF!</v>
      </c>
      <c r="C4687" s="31" t="e">
        <f>B4687*100000</f>
        <v>#REF!</v>
      </c>
      <c r="D4687" s="31" t="e">
        <f>IF(B4687&lt;1,"",IF(B4687=1,"",VLOOKUP(B4687,$J$3:$L$102,3)))</f>
        <v>#REF!</v>
      </c>
      <c r="E4687" s="31" t="e">
        <f>IF(B4687&lt;1,"",IF(B4687=1," Seratus "," Ratus "))</f>
        <v>#REF!</v>
      </c>
      <c r="J4687" s="31">
        <v>22</v>
      </c>
      <c r="K4687" s="33" t="s">
        <v>92</v>
      </c>
      <c r="L4687" s="31" t="str">
        <f t="shared" si="452"/>
        <v>Dua Puluh Dua</v>
      </c>
    </row>
    <row r="4688" spans="1:12">
      <c r="A4688" s="33" t="s">
        <v>77</v>
      </c>
      <c r="B4688" s="40" t="e">
        <f>TRUNC((A4663-SUM(C4685:C4687))/1000)</f>
        <v>#REF!</v>
      </c>
      <c r="C4688" s="31" t="e">
        <f>B4688*1000</f>
        <v>#REF!</v>
      </c>
      <c r="D4688" s="31" t="e">
        <f>IF(B4688&lt;1,"",IF(B4688=1,"",VLOOKUP(B4688,$J$3:$L$102,3)))</f>
        <v>#REF!</v>
      </c>
      <c r="E4688" s="31" t="e">
        <f>IF(B4687+B4688&lt;1,"",IF(B4688=1," Seribu "," Ribu "))</f>
        <v>#REF!</v>
      </c>
      <c r="J4688" s="31">
        <v>23</v>
      </c>
      <c r="K4688" s="33" t="s">
        <v>93</v>
      </c>
      <c r="L4688" s="31" t="str">
        <f t="shared" si="452"/>
        <v>Dua Puluh Tiga</v>
      </c>
    </row>
    <row r="4689" spans="1:12">
      <c r="A4689" s="33" t="s">
        <v>79</v>
      </c>
      <c r="B4689" s="40" t="e">
        <f>TRUNC((A4663-SUM(C4685:C4688))/100)</f>
        <v>#REF!</v>
      </c>
      <c r="C4689" s="31" t="e">
        <f>B4689*100</f>
        <v>#REF!</v>
      </c>
      <c r="D4689" s="31" t="e">
        <f>IF(B4689&lt;1,"",IF(B4689=1,"",VLOOKUP(B4689,$J$3:$L$102,3)))</f>
        <v>#REF!</v>
      </c>
      <c r="E4689" s="31" t="e">
        <f>IF(B4689&lt;1,"",IF(B4689=1," Seratus "," Ratus "))</f>
        <v>#REF!</v>
      </c>
      <c r="J4689" s="31">
        <v>24</v>
      </c>
      <c r="K4689" s="33" t="s">
        <v>94</v>
      </c>
      <c r="L4689" s="31" t="str">
        <f t="shared" si="452"/>
        <v>Dua Puluh Empat</v>
      </c>
    </row>
    <row r="4690" spans="1:12">
      <c r="A4690" s="33" t="s">
        <v>81</v>
      </c>
      <c r="B4690" s="41" t="e">
        <f>TRUNC((A4663-SUM(C4685:C4689)))</f>
        <v>#REF!</v>
      </c>
      <c r="C4690" s="42" t="e">
        <f>B4690</f>
        <v>#REF!</v>
      </c>
      <c r="D4690" s="31" t="e">
        <f>IF(B4690&lt;1,"",VLOOKUP(B4690,$J$3:$L$102,3))</f>
        <v>#REF!</v>
      </c>
      <c r="E4690" s="31" t="e">
        <f>IF(SUM(C4685:C4690)&lt;1,"",IF(B4691&lt;1,""," Dan "))</f>
        <v>#REF!</v>
      </c>
      <c r="J4690" s="31">
        <v>25</v>
      </c>
      <c r="K4690" s="33" t="s">
        <v>95</v>
      </c>
      <c r="L4690" s="31" t="str">
        <f t="shared" si="452"/>
        <v>Dua Puluh Lima</v>
      </c>
    </row>
    <row r="4691" spans="1:12">
      <c r="A4691" s="33" t="s">
        <v>83</v>
      </c>
      <c r="B4691" s="40" t="e">
        <f>ROUND(A4663-SUM(C4685:C4690),2)*100</f>
        <v>#REF!</v>
      </c>
      <c r="D4691" s="31" t="e">
        <f>IF(B4691&lt;1,"",VLOOKUP(B4691,$J$3:$L$102,3))</f>
        <v>#REF!</v>
      </c>
      <c r="E4691" s="31" t="e">
        <f>IF(B4691&lt;1,""," Sen ")</f>
        <v>#REF!</v>
      </c>
      <c r="J4691" s="31">
        <v>26</v>
      </c>
      <c r="K4691" s="33" t="s">
        <v>96</v>
      </c>
      <c r="L4691" s="31" t="str">
        <f t="shared" si="452"/>
        <v>Dua Puluh Enam</v>
      </c>
    </row>
    <row r="4692" spans="1:12">
      <c r="J4692" s="31">
        <v>27</v>
      </c>
      <c r="K4692" s="33" t="s">
        <v>97</v>
      </c>
      <c r="L4692" s="31" t="str">
        <f t="shared" si="452"/>
        <v>Dua Puluh Tujuh</v>
      </c>
    </row>
    <row r="4693" spans="1:12">
      <c r="J4693" s="31">
        <v>28</v>
      </c>
      <c r="K4693" s="33" t="s">
        <v>98</v>
      </c>
      <c r="L4693" s="31" t="str">
        <f t="shared" si="452"/>
        <v>Dua Puluh Delapan</v>
      </c>
    </row>
    <row r="4694" spans="1:12">
      <c r="J4694" s="31">
        <v>29</v>
      </c>
      <c r="K4694" s="33" t="s">
        <v>99</v>
      </c>
      <c r="L4694" s="31" t="str">
        <f t="shared" si="452"/>
        <v>Dua Puluh Sembilan</v>
      </c>
    </row>
    <row r="4695" spans="1:12">
      <c r="J4695" s="31">
        <v>30</v>
      </c>
      <c r="K4695" s="33" t="s">
        <v>100</v>
      </c>
      <c r="L4695" s="31" t="s">
        <v>101</v>
      </c>
    </row>
    <row r="4696" spans="1:12">
      <c r="J4696" s="31">
        <v>31</v>
      </c>
      <c r="K4696" s="33" t="s">
        <v>102</v>
      </c>
      <c r="L4696" s="31" t="str">
        <f t="shared" ref="L4696:L4704" si="453">$L$33&amp;" "&amp;L4666</f>
        <v>Tiga Puluh Satu</v>
      </c>
    </row>
    <row r="4697" spans="1:12">
      <c r="J4697" s="31">
        <v>32</v>
      </c>
      <c r="K4697" s="33" t="s">
        <v>103</v>
      </c>
      <c r="L4697" s="31" t="str">
        <f t="shared" si="453"/>
        <v>Tiga Puluh Dua</v>
      </c>
    </row>
    <row r="4698" spans="1:12">
      <c r="J4698" s="31">
        <v>33</v>
      </c>
      <c r="K4698" s="33" t="s">
        <v>104</v>
      </c>
      <c r="L4698" s="31" t="str">
        <f t="shared" si="453"/>
        <v>Tiga Puluh Tiga</v>
      </c>
    </row>
    <row r="4699" spans="1:12">
      <c r="J4699" s="31">
        <v>34</v>
      </c>
      <c r="K4699" s="33" t="s">
        <v>105</v>
      </c>
      <c r="L4699" s="31" t="str">
        <f t="shared" si="453"/>
        <v>Tiga Puluh Empat</v>
      </c>
    </row>
    <row r="4700" spans="1:12">
      <c r="J4700" s="31">
        <v>35</v>
      </c>
      <c r="K4700" s="33" t="s">
        <v>106</v>
      </c>
      <c r="L4700" s="31" t="str">
        <f t="shared" si="453"/>
        <v>Tiga Puluh Lima</v>
      </c>
    </row>
    <row r="4701" spans="1:12">
      <c r="J4701" s="31">
        <v>36</v>
      </c>
      <c r="K4701" s="33" t="s">
        <v>107</v>
      </c>
      <c r="L4701" s="31" t="str">
        <f t="shared" si="453"/>
        <v>Tiga Puluh Enam</v>
      </c>
    </row>
    <row r="4702" spans="1:12">
      <c r="J4702" s="31">
        <v>37</v>
      </c>
      <c r="K4702" s="33" t="s">
        <v>108</v>
      </c>
      <c r="L4702" s="31" t="str">
        <f t="shared" si="453"/>
        <v>Tiga Puluh Tujuh</v>
      </c>
    </row>
    <row r="4703" spans="1:12">
      <c r="J4703" s="31">
        <v>38</v>
      </c>
      <c r="K4703" s="33" t="s">
        <v>109</v>
      </c>
      <c r="L4703" s="31" t="str">
        <f t="shared" si="453"/>
        <v>Tiga Puluh Delapan</v>
      </c>
    </row>
    <row r="4704" spans="1:12">
      <c r="J4704" s="31">
        <v>39</v>
      </c>
      <c r="K4704" s="33" t="s">
        <v>110</v>
      </c>
      <c r="L4704" s="31" t="str">
        <f t="shared" si="453"/>
        <v>Tiga Puluh Sembilan</v>
      </c>
    </row>
    <row r="4705" spans="1:12">
      <c r="B4705" s="35"/>
      <c r="C4705" s="35"/>
      <c r="D4705" s="35"/>
      <c r="J4705" s="31">
        <v>40</v>
      </c>
      <c r="K4705" s="33" t="s">
        <v>111</v>
      </c>
      <c r="L4705" s="31" t="s">
        <v>112</v>
      </c>
    </row>
    <row r="4706" spans="1:12">
      <c r="A4706" s="35"/>
      <c r="B4706" s="35"/>
      <c r="C4706" s="35"/>
      <c r="D4706" s="35"/>
      <c r="J4706" s="31">
        <v>41</v>
      </c>
      <c r="K4706" s="33" t="s">
        <v>113</v>
      </c>
      <c r="L4706" s="31" t="str">
        <f t="shared" ref="L4706:L4714" si="454">$L$43&amp;" "&amp;L4666</f>
        <v>Empat Puluh Satu</v>
      </c>
    </row>
    <row r="4707" spans="1:12">
      <c r="J4707" s="31">
        <v>42</v>
      </c>
      <c r="K4707" s="33" t="s">
        <v>114</v>
      </c>
      <c r="L4707" s="31" t="str">
        <f t="shared" si="454"/>
        <v>Empat Puluh Dua</v>
      </c>
    </row>
    <row r="4708" spans="1:12">
      <c r="A4708" s="38"/>
      <c r="J4708" s="31">
        <v>43</v>
      </c>
      <c r="K4708" s="33" t="s">
        <v>115</v>
      </c>
      <c r="L4708" s="31" t="str">
        <f t="shared" si="454"/>
        <v>Empat Puluh Tiga</v>
      </c>
    </row>
    <row r="4709" spans="1:12">
      <c r="J4709" s="31">
        <v>44</v>
      </c>
      <c r="K4709" s="33" t="s">
        <v>116</v>
      </c>
      <c r="L4709" s="31" t="str">
        <f t="shared" si="454"/>
        <v>Empat Puluh Empat</v>
      </c>
    </row>
    <row r="4710" spans="1:12">
      <c r="J4710" s="31">
        <v>45</v>
      </c>
      <c r="K4710" s="33" t="s">
        <v>117</v>
      </c>
      <c r="L4710" s="31" t="str">
        <f t="shared" si="454"/>
        <v>Empat Puluh Lima</v>
      </c>
    </row>
    <row r="4711" spans="1:12">
      <c r="J4711" s="31">
        <v>46</v>
      </c>
      <c r="K4711" s="33" t="s">
        <v>118</v>
      </c>
      <c r="L4711" s="31" t="str">
        <f t="shared" si="454"/>
        <v>Empat Puluh Enam</v>
      </c>
    </row>
    <row r="4712" spans="1:12">
      <c r="J4712" s="31">
        <v>47</v>
      </c>
      <c r="K4712" s="33" t="s">
        <v>119</v>
      </c>
      <c r="L4712" s="31" t="str">
        <f t="shared" si="454"/>
        <v>Empat Puluh Tujuh</v>
      </c>
    </row>
    <row r="4713" spans="1:12">
      <c r="J4713" s="31">
        <v>48</v>
      </c>
      <c r="K4713" s="33" t="s">
        <v>120</v>
      </c>
      <c r="L4713" s="31" t="str">
        <f t="shared" si="454"/>
        <v>Empat Puluh Delapan</v>
      </c>
    </row>
    <row r="4714" spans="1:12">
      <c r="J4714" s="31">
        <v>49</v>
      </c>
      <c r="K4714" s="33" t="s">
        <v>121</v>
      </c>
      <c r="L4714" s="31" t="str">
        <f t="shared" si="454"/>
        <v>Empat Puluh Sembilan</v>
      </c>
    </row>
    <row r="4715" spans="1:12">
      <c r="J4715" s="31">
        <v>50</v>
      </c>
      <c r="K4715" s="33" t="s">
        <v>122</v>
      </c>
      <c r="L4715" s="31" t="s">
        <v>123</v>
      </c>
    </row>
    <row r="4716" spans="1:12">
      <c r="J4716" s="31">
        <v>51</v>
      </c>
      <c r="K4716" s="33" t="s">
        <v>124</v>
      </c>
      <c r="L4716" s="31" t="str">
        <f t="shared" ref="L4716:L4724" si="455">$L$53&amp;" "&amp;L4666</f>
        <v>Lima Puluh Satu</v>
      </c>
    </row>
    <row r="4717" spans="1:12">
      <c r="J4717" s="31">
        <v>52</v>
      </c>
      <c r="K4717" s="33" t="s">
        <v>125</v>
      </c>
      <c r="L4717" s="31" t="str">
        <f t="shared" si="455"/>
        <v>Lima Puluh Dua</v>
      </c>
    </row>
    <row r="4718" spans="1:12">
      <c r="J4718" s="31">
        <v>53</v>
      </c>
      <c r="K4718" s="33" t="s">
        <v>126</v>
      </c>
      <c r="L4718" s="31" t="str">
        <f t="shared" si="455"/>
        <v>Lima Puluh Tiga</v>
      </c>
    </row>
    <row r="4719" spans="1:12">
      <c r="J4719" s="31">
        <v>54</v>
      </c>
      <c r="K4719" s="33" t="s">
        <v>127</v>
      </c>
      <c r="L4719" s="31" t="str">
        <f t="shared" si="455"/>
        <v>Lima Puluh Empat</v>
      </c>
    </row>
    <row r="4720" spans="1:12">
      <c r="J4720" s="31">
        <v>55</v>
      </c>
      <c r="K4720" s="33" t="s">
        <v>128</v>
      </c>
      <c r="L4720" s="31" t="str">
        <f t="shared" si="455"/>
        <v>Lima Puluh Lima</v>
      </c>
    </row>
    <row r="4721" spans="10:12">
      <c r="J4721" s="31">
        <v>56</v>
      </c>
      <c r="K4721" s="33" t="s">
        <v>129</v>
      </c>
      <c r="L4721" s="31" t="str">
        <f t="shared" si="455"/>
        <v>Lima Puluh Enam</v>
      </c>
    </row>
    <row r="4722" spans="10:12">
      <c r="J4722" s="31">
        <v>57</v>
      </c>
      <c r="K4722" s="33" t="s">
        <v>130</v>
      </c>
      <c r="L4722" s="31" t="str">
        <f t="shared" si="455"/>
        <v>Lima Puluh Tujuh</v>
      </c>
    </row>
    <row r="4723" spans="10:12">
      <c r="J4723" s="31">
        <v>58</v>
      </c>
      <c r="K4723" s="33" t="s">
        <v>131</v>
      </c>
      <c r="L4723" s="31" t="str">
        <f t="shared" si="455"/>
        <v>Lima Puluh Delapan</v>
      </c>
    </row>
    <row r="4724" spans="10:12">
      <c r="J4724" s="31">
        <v>59</v>
      </c>
      <c r="K4724" s="33" t="s">
        <v>132</v>
      </c>
      <c r="L4724" s="31" t="str">
        <f t="shared" si="455"/>
        <v>Lima Puluh Sembilan</v>
      </c>
    </row>
    <row r="4725" spans="10:12">
      <c r="J4725" s="31">
        <v>60</v>
      </c>
      <c r="K4725" s="33" t="s">
        <v>133</v>
      </c>
      <c r="L4725" s="31" t="s">
        <v>134</v>
      </c>
    </row>
    <row r="4726" spans="10:12">
      <c r="J4726" s="31">
        <v>61</v>
      </c>
      <c r="K4726" s="33" t="s">
        <v>135</v>
      </c>
      <c r="L4726" s="31" t="str">
        <f t="shared" ref="L4726:L4734" si="456">$L$63&amp;" "&amp;L4666</f>
        <v>Enam Puluh Satu</v>
      </c>
    </row>
    <row r="4727" spans="10:12">
      <c r="J4727" s="31">
        <v>62</v>
      </c>
      <c r="K4727" s="33" t="s">
        <v>136</v>
      </c>
      <c r="L4727" s="31" t="str">
        <f t="shared" si="456"/>
        <v>Enam Puluh Dua</v>
      </c>
    </row>
    <row r="4728" spans="10:12">
      <c r="J4728" s="31">
        <v>63</v>
      </c>
      <c r="K4728" s="33" t="s">
        <v>137</v>
      </c>
      <c r="L4728" s="31" t="str">
        <f t="shared" si="456"/>
        <v>Enam Puluh Tiga</v>
      </c>
    </row>
    <row r="4729" spans="10:12">
      <c r="J4729" s="31">
        <v>64</v>
      </c>
      <c r="K4729" s="33" t="s">
        <v>138</v>
      </c>
      <c r="L4729" s="31" t="str">
        <f t="shared" si="456"/>
        <v>Enam Puluh Empat</v>
      </c>
    </row>
    <row r="4730" spans="10:12">
      <c r="J4730" s="31">
        <v>65</v>
      </c>
      <c r="K4730" s="33" t="s">
        <v>139</v>
      </c>
      <c r="L4730" s="31" t="str">
        <f t="shared" si="456"/>
        <v>Enam Puluh Lima</v>
      </c>
    </row>
    <row r="4731" spans="10:12">
      <c r="J4731" s="31">
        <v>66</v>
      </c>
      <c r="K4731" s="33" t="s">
        <v>140</v>
      </c>
      <c r="L4731" s="31" t="str">
        <f t="shared" si="456"/>
        <v>Enam Puluh Enam</v>
      </c>
    </row>
    <row r="4732" spans="10:12">
      <c r="J4732" s="31">
        <v>67</v>
      </c>
      <c r="K4732" s="33" t="s">
        <v>141</v>
      </c>
      <c r="L4732" s="31" t="str">
        <f t="shared" si="456"/>
        <v>Enam Puluh Tujuh</v>
      </c>
    </row>
    <row r="4733" spans="10:12">
      <c r="J4733" s="31">
        <v>68</v>
      </c>
      <c r="K4733" s="33" t="s">
        <v>142</v>
      </c>
      <c r="L4733" s="31" t="str">
        <f t="shared" si="456"/>
        <v>Enam Puluh Delapan</v>
      </c>
    </row>
    <row r="4734" spans="10:12">
      <c r="J4734" s="31">
        <v>69</v>
      </c>
      <c r="K4734" s="33" t="s">
        <v>143</v>
      </c>
      <c r="L4734" s="31" t="str">
        <f t="shared" si="456"/>
        <v>Enam Puluh Sembilan</v>
      </c>
    </row>
    <row r="4735" spans="10:12">
      <c r="J4735" s="31">
        <v>70</v>
      </c>
      <c r="K4735" s="33" t="s">
        <v>144</v>
      </c>
      <c r="L4735" s="31" t="s">
        <v>145</v>
      </c>
    </row>
    <row r="4736" spans="10:12">
      <c r="J4736" s="31">
        <v>71</v>
      </c>
      <c r="K4736" s="33" t="s">
        <v>146</v>
      </c>
      <c r="L4736" s="31" t="str">
        <f t="shared" ref="L4736:L4744" si="457">$L$73&amp;" "&amp;L4666</f>
        <v>Tujuh Puluh Satu</v>
      </c>
    </row>
    <row r="4737" spans="10:12">
      <c r="J4737" s="31">
        <v>72</v>
      </c>
      <c r="K4737" s="33" t="s">
        <v>147</v>
      </c>
      <c r="L4737" s="31" t="str">
        <f t="shared" si="457"/>
        <v>Tujuh Puluh Dua</v>
      </c>
    </row>
    <row r="4738" spans="10:12">
      <c r="J4738" s="31">
        <v>73</v>
      </c>
      <c r="K4738" s="33" t="s">
        <v>148</v>
      </c>
      <c r="L4738" s="31" t="str">
        <f t="shared" si="457"/>
        <v>Tujuh Puluh Tiga</v>
      </c>
    </row>
    <row r="4739" spans="10:12">
      <c r="J4739" s="31">
        <v>74</v>
      </c>
      <c r="K4739" s="33" t="s">
        <v>149</v>
      </c>
      <c r="L4739" s="31" t="str">
        <f t="shared" si="457"/>
        <v>Tujuh Puluh Empat</v>
      </c>
    </row>
    <row r="4740" spans="10:12">
      <c r="J4740" s="31">
        <v>75</v>
      </c>
      <c r="K4740" s="33" t="s">
        <v>150</v>
      </c>
      <c r="L4740" s="31" t="str">
        <f t="shared" si="457"/>
        <v>Tujuh Puluh Lima</v>
      </c>
    </row>
    <row r="4741" spans="10:12">
      <c r="J4741" s="31">
        <v>76</v>
      </c>
      <c r="K4741" s="33" t="s">
        <v>151</v>
      </c>
      <c r="L4741" s="31" t="str">
        <f t="shared" si="457"/>
        <v>Tujuh Puluh Enam</v>
      </c>
    </row>
    <row r="4742" spans="10:12">
      <c r="J4742" s="31">
        <v>77</v>
      </c>
      <c r="K4742" s="33" t="s">
        <v>152</v>
      </c>
      <c r="L4742" s="31" t="str">
        <f t="shared" si="457"/>
        <v>Tujuh Puluh Tujuh</v>
      </c>
    </row>
    <row r="4743" spans="10:12">
      <c r="J4743" s="31">
        <v>78</v>
      </c>
      <c r="K4743" s="33" t="s">
        <v>153</v>
      </c>
      <c r="L4743" s="31" t="str">
        <f t="shared" si="457"/>
        <v>Tujuh Puluh Delapan</v>
      </c>
    </row>
    <row r="4744" spans="10:12">
      <c r="J4744" s="31">
        <v>79</v>
      </c>
      <c r="K4744" s="33" t="s">
        <v>154</v>
      </c>
      <c r="L4744" s="31" t="str">
        <f t="shared" si="457"/>
        <v>Tujuh Puluh Sembilan</v>
      </c>
    </row>
    <row r="4745" spans="10:12">
      <c r="J4745" s="31">
        <v>80</v>
      </c>
      <c r="K4745" s="33" t="s">
        <v>155</v>
      </c>
      <c r="L4745" s="31" t="s">
        <v>156</v>
      </c>
    </row>
    <row r="4746" spans="10:12">
      <c r="J4746" s="31">
        <v>81</v>
      </c>
      <c r="K4746" s="33" t="s">
        <v>157</v>
      </c>
      <c r="L4746" s="31" t="str">
        <f t="shared" ref="L4746:L4754" si="458">$L$83&amp;" "&amp;L4666</f>
        <v>Delapan Puluh Satu</v>
      </c>
    </row>
    <row r="4747" spans="10:12">
      <c r="J4747" s="31">
        <v>82</v>
      </c>
      <c r="K4747" s="33" t="s">
        <v>158</v>
      </c>
      <c r="L4747" s="31" t="str">
        <f t="shared" si="458"/>
        <v>Delapan Puluh Dua</v>
      </c>
    </row>
    <row r="4748" spans="10:12">
      <c r="J4748" s="31">
        <v>83</v>
      </c>
      <c r="K4748" s="33" t="s">
        <v>159</v>
      </c>
      <c r="L4748" s="31" t="str">
        <f t="shared" si="458"/>
        <v>Delapan Puluh Tiga</v>
      </c>
    </row>
    <row r="4749" spans="10:12">
      <c r="J4749" s="31">
        <v>84</v>
      </c>
      <c r="K4749" s="33" t="s">
        <v>160</v>
      </c>
      <c r="L4749" s="31" t="str">
        <f t="shared" si="458"/>
        <v>Delapan Puluh Empat</v>
      </c>
    </row>
    <row r="4750" spans="10:12">
      <c r="J4750" s="31">
        <v>85</v>
      </c>
      <c r="K4750" s="33" t="s">
        <v>161</v>
      </c>
      <c r="L4750" s="31" t="str">
        <f t="shared" si="458"/>
        <v>Delapan Puluh Lima</v>
      </c>
    </row>
    <row r="4751" spans="10:12">
      <c r="J4751" s="31">
        <v>86</v>
      </c>
      <c r="K4751" s="33" t="s">
        <v>162</v>
      </c>
      <c r="L4751" s="31" t="str">
        <f t="shared" si="458"/>
        <v>Delapan Puluh Enam</v>
      </c>
    </row>
    <row r="4752" spans="10:12">
      <c r="J4752" s="31">
        <v>87</v>
      </c>
      <c r="K4752" s="33" t="s">
        <v>163</v>
      </c>
      <c r="L4752" s="31" t="str">
        <f t="shared" si="458"/>
        <v>Delapan Puluh Tujuh</v>
      </c>
    </row>
    <row r="4753" spans="1:12">
      <c r="J4753" s="31">
        <v>88</v>
      </c>
      <c r="K4753" s="33" t="s">
        <v>164</v>
      </c>
      <c r="L4753" s="31" t="str">
        <f t="shared" si="458"/>
        <v>Delapan Puluh Delapan</v>
      </c>
    </row>
    <row r="4754" spans="1:12">
      <c r="J4754" s="31">
        <v>89</v>
      </c>
      <c r="K4754" s="33" t="s">
        <v>165</v>
      </c>
      <c r="L4754" s="31" t="str">
        <f t="shared" si="458"/>
        <v>Delapan Puluh Sembilan</v>
      </c>
    </row>
    <row r="4755" spans="1:12">
      <c r="J4755" s="31">
        <v>90</v>
      </c>
      <c r="K4755" s="33" t="s">
        <v>166</v>
      </c>
      <c r="L4755" s="31" t="s">
        <v>167</v>
      </c>
    </row>
    <row r="4756" spans="1:12">
      <c r="J4756" s="31">
        <v>91</v>
      </c>
      <c r="K4756" s="33" t="s">
        <v>168</v>
      </c>
      <c r="L4756" s="31" t="str">
        <f t="shared" ref="L4756:L4764" si="459">$L$93&amp;" "&amp;L4666</f>
        <v>Sembilan Puluh Satu</v>
      </c>
    </row>
    <row r="4757" spans="1:12">
      <c r="J4757" s="31">
        <v>92</v>
      </c>
      <c r="K4757" s="33" t="s">
        <v>169</v>
      </c>
      <c r="L4757" s="31" t="str">
        <f t="shared" si="459"/>
        <v>Sembilan Puluh Dua</v>
      </c>
    </row>
    <row r="4758" spans="1:12">
      <c r="J4758" s="31">
        <v>93</v>
      </c>
      <c r="K4758" s="33" t="s">
        <v>170</v>
      </c>
      <c r="L4758" s="31" t="str">
        <f t="shared" si="459"/>
        <v>Sembilan Puluh Tiga</v>
      </c>
    </row>
    <row r="4759" spans="1:12">
      <c r="J4759" s="31">
        <v>94</v>
      </c>
      <c r="K4759" s="33" t="s">
        <v>171</v>
      </c>
      <c r="L4759" s="31" t="str">
        <f t="shared" si="459"/>
        <v>Sembilan Puluh Empat</v>
      </c>
    </row>
    <row r="4760" spans="1:12">
      <c r="J4760" s="31">
        <v>95</v>
      </c>
      <c r="K4760" s="33" t="s">
        <v>172</v>
      </c>
      <c r="L4760" s="31" t="str">
        <f t="shared" si="459"/>
        <v>Sembilan Puluh Lima</v>
      </c>
    </row>
    <row r="4761" spans="1:12">
      <c r="J4761" s="31">
        <v>96</v>
      </c>
      <c r="K4761" s="33" t="s">
        <v>173</v>
      </c>
      <c r="L4761" s="31" t="str">
        <f t="shared" si="459"/>
        <v>Sembilan Puluh Enam</v>
      </c>
    </row>
    <row r="4762" spans="1:12">
      <c r="J4762" s="31">
        <v>97</v>
      </c>
      <c r="K4762" s="33" t="s">
        <v>174</v>
      </c>
      <c r="L4762" s="31" t="str">
        <f t="shared" si="459"/>
        <v>Sembilan Puluh Tujuh</v>
      </c>
    </row>
    <row r="4763" spans="1:12">
      <c r="J4763" s="31">
        <v>98</v>
      </c>
      <c r="K4763" s="33" t="s">
        <v>175</v>
      </c>
      <c r="L4763" s="31" t="str">
        <f t="shared" si="459"/>
        <v>Sembilan Puluh Delapan</v>
      </c>
    </row>
    <row r="4764" spans="1:12">
      <c r="J4764" s="31">
        <v>99</v>
      </c>
      <c r="K4764" s="33" t="s">
        <v>176</v>
      </c>
      <c r="L4764" s="31" t="str">
        <f t="shared" si="459"/>
        <v>Sembilan Puluh Sembilan</v>
      </c>
    </row>
    <row r="4767" spans="1:12">
      <c r="A4767" s="30" t="e">
        <f>#REF!</f>
        <v>#REF!</v>
      </c>
      <c r="C4767" s="31" t="s">
        <v>196</v>
      </c>
    </row>
    <row r="4768" spans="1:12">
      <c r="A4768" s="32"/>
    </row>
    <row r="4769" spans="1:12">
      <c r="J4769" s="31">
        <v>0</v>
      </c>
      <c r="K4769" s="33" t="s">
        <v>48</v>
      </c>
      <c r="L4769" s="31" t="s">
        <v>49</v>
      </c>
    </row>
    <row r="4770" spans="1:12">
      <c r="A4770" s="34"/>
      <c r="J4770" s="31">
        <v>1</v>
      </c>
      <c r="K4770" s="33" t="s">
        <v>50</v>
      </c>
      <c r="L4770" s="31" t="s">
        <v>51</v>
      </c>
    </row>
    <row r="4771" spans="1:12">
      <c r="A4771" s="255" t="e">
        <f>TRIM(D4779&amp;E4779&amp;D4780&amp;E4780&amp;D4781&amp;E4781&amp;D4782&amp;E4782&amp;D4783&amp;E4783&amp;D4784&amp;E4784&amp;E4785&amp;D4785&amp;" Only")</f>
        <v>#REF!</v>
      </c>
      <c r="B4771" s="255"/>
      <c r="C4771" s="255"/>
      <c r="D4771" s="255"/>
      <c r="E4771" s="35"/>
      <c r="F4771" s="36"/>
      <c r="J4771" s="31">
        <v>2</v>
      </c>
      <c r="K4771" s="33" t="s">
        <v>52</v>
      </c>
      <c r="L4771" s="31" t="s">
        <v>53</v>
      </c>
    </row>
    <row r="4772" spans="1:12">
      <c r="A4772" s="37"/>
      <c r="B4772" s="37"/>
      <c r="C4772" s="37"/>
      <c r="D4772" s="37"/>
      <c r="E4772" s="35"/>
      <c r="F4772" s="36"/>
      <c r="J4772" s="31">
        <v>3</v>
      </c>
      <c r="K4772" s="33" t="s">
        <v>54</v>
      </c>
      <c r="L4772" s="31" t="s">
        <v>55</v>
      </c>
    </row>
    <row r="4773" spans="1:12">
      <c r="A4773" s="37"/>
      <c r="B4773" s="37"/>
      <c r="C4773" s="37"/>
      <c r="D4773" s="37"/>
      <c r="J4773" s="31">
        <v>4</v>
      </c>
      <c r="K4773" s="33" t="s">
        <v>56</v>
      </c>
      <c r="L4773" s="31" t="s">
        <v>57</v>
      </c>
    </row>
    <row r="4774" spans="1:12">
      <c r="A4774" s="255" t="e">
        <f>TRIM(D4789&amp;E4789&amp;D4790&amp;E4790&amp;D4791&amp;E4791&amp;D4792&amp;E4792&amp;D4793&amp;E4793&amp;D4794&amp;E4794&amp;D4795&amp;E4795&amp;" Rupiah")</f>
        <v>#REF!</v>
      </c>
      <c r="B4774" s="255"/>
      <c r="C4774" s="255"/>
      <c r="D4774" s="255"/>
      <c r="E4774" s="35"/>
      <c r="F4774" s="36"/>
      <c r="J4774" s="31">
        <v>5</v>
      </c>
      <c r="K4774" s="33" t="s">
        <v>58</v>
      </c>
      <c r="L4774" s="31" t="s">
        <v>59</v>
      </c>
    </row>
    <row r="4775" spans="1:12">
      <c r="A4775" s="35"/>
      <c r="B4775" s="35"/>
      <c r="C4775" s="35"/>
      <c r="D4775" s="35"/>
      <c r="E4775" s="35"/>
      <c r="F4775" s="36"/>
      <c r="J4775" s="31">
        <v>6</v>
      </c>
      <c r="K4775" s="33" t="s">
        <v>60</v>
      </c>
      <c r="L4775" s="31" t="s">
        <v>61</v>
      </c>
    </row>
    <row r="4776" spans="1:12">
      <c r="J4776" s="31">
        <v>7</v>
      </c>
      <c r="K4776" s="33" t="s">
        <v>62</v>
      </c>
      <c r="L4776" s="31" t="s">
        <v>63</v>
      </c>
    </row>
    <row r="4777" spans="1:12">
      <c r="J4777" s="31">
        <v>8</v>
      </c>
      <c r="K4777" s="33" t="s">
        <v>64</v>
      </c>
      <c r="L4777" s="31" t="s">
        <v>65</v>
      </c>
    </row>
    <row r="4778" spans="1:12">
      <c r="A4778" s="38" t="s">
        <v>66</v>
      </c>
      <c r="J4778" s="31">
        <v>9</v>
      </c>
      <c r="K4778" s="33" t="s">
        <v>67</v>
      </c>
      <c r="L4778" s="31" t="s">
        <v>68</v>
      </c>
    </row>
    <row r="4779" spans="1:12">
      <c r="A4779" s="31" t="s">
        <v>69</v>
      </c>
      <c r="B4779" s="39" t="e">
        <f>TRUNC(A4767/100000000)</f>
        <v>#REF!</v>
      </c>
      <c r="C4779" s="31" t="e">
        <f>B4779*100000000</f>
        <v>#REF!</v>
      </c>
      <c r="D4779" s="31" t="e">
        <f t="shared" ref="D4779:D4785" si="460">IF(B4779&lt;1,"",VLOOKUP(B4779,$J$3:$K$102,2))</f>
        <v>#REF!</v>
      </c>
      <c r="E4779" s="31" t="e">
        <f>IF(B4779&lt;1,"",IF(B4779&gt;1," Hundreds "," Hundred "))</f>
        <v>#REF!</v>
      </c>
      <c r="J4779" s="31">
        <v>10</v>
      </c>
      <c r="K4779" s="33" t="s">
        <v>70</v>
      </c>
      <c r="L4779" s="31" t="s">
        <v>71</v>
      </c>
    </row>
    <row r="4780" spans="1:12">
      <c r="A4780" s="31" t="s">
        <v>72</v>
      </c>
      <c r="B4780" s="39" t="e">
        <f>TRUNC((A4767-C4779)/1000000)</f>
        <v>#REF!</v>
      </c>
      <c r="C4780" s="31" t="e">
        <f>B4780*1000000</f>
        <v>#REF!</v>
      </c>
      <c r="D4780" s="31" t="e">
        <f t="shared" si="460"/>
        <v>#REF!</v>
      </c>
      <c r="E4780" s="31" t="e">
        <f>IF(B4779+B4780=0,"",IF(B4780=1," Million "," Millions "))</f>
        <v>#REF!</v>
      </c>
      <c r="J4780" s="31">
        <v>11</v>
      </c>
      <c r="K4780" s="33" t="s">
        <v>73</v>
      </c>
      <c r="L4780" s="31" t="s">
        <v>74</v>
      </c>
    </row>
    <row r="4781" spans="1:12">
      <c r="A4781" s="31" t="s">
        <v>75</v>
      </c>
      <c r="B4781" s="39" t="e">
        <f>TRUNC((A4767-SUM(C4779:C4780))/100000)</f>
        <v>#REF!</v>
      </c>
      <c r="C4781" s="31" t="e">
        <f>B4781*100000</f>
        <v>#REF!</v>
      </c>
      <c r="D4781" s="31" t="e">
        <f t="shared" si="460"/>
        <v>#REF!</v>
      </c>
      <c r="E4781" s="31" t="e">
        <f>IF(B4781&lt;1,"",IF(B4781&gt;1," Hundreds "," Hundred "))</f>
        <v>#REF!</v>
      </c>
      <c r="J4781" s="31">
        <v>12</v>
      </c>
      <c r="K4781" s="33" t="s">
        <v>76</v>
      </c>
      <c r="L4781" s="31" t="str">
        <f t="shared" ref="L4781:L4788" si="461">L4771&amp;" Belas"</f>
        <v>Dua Belas</v>
      </c>
    </row>
    <row r="4782" spans="1:12">
      <c r="A4782" s="33" t="s">
        <v>77</v>
      </c>
      <c r="B4782" s="40" t="e">
        <f>TRUNC((A4767-SUM(C4779:C4781))/1000)</f>
        <v>#REF!</v>
      </c>
      <c r="C4782" s="31" t="e">
        <f>B4782*1000</f>
        <v>#REF!</v>
      </c>
      <c r="D4782" s="31" t="e">
        <f t="shared" si="460"/>
        <v>#REF!</v>
      </c>
      <c r="E4782" s="31" t="e">
        <f>IF(B4781+B4782=0,"",IF(B4782=1," Thousand "," Thousands "))</f>
        <v>#REF!</v>
      </c>
      <c r="J4782" s="31">
        <v>13</v>
      </c>
      <c r="K4782" s="33" t="s">
        <v>78</v>
      </c>
      <c r="L4782" s="31" t="str">
        <f t="shared" si="461"/>
        <v>Tiga Belas</v>
      </c>
    </row>
    <row r="4783" spans="1:12">
      <c r="A4783" s="33" t="s">
        <v>79</v>
      </c>
      <c r="B4783" s="40" t="e">
        <f>TRUNC((A4767-SUM(C4779:C4782))/100)</f>
        <v>#REF!</v>
      </c>
      <c r="C4783" s="31" t="e">
        <f>B4783*100</f>
        <v>#REF!</v>
      </c>
      <c r="D4783" s="31" t="e">
        <f t="shared" si="460"/>
        <v>#REF!</v>
      </c>
      <c r="E4783" s="31" t="e">
        <f>IF(B4783&lt;1,"",IF(B4783&gt;1," Hundreds "," Hundred "))</f>
        <v>#REF!</v>
      </c>
      <c r="J4783" s="31">
        <v>14</v>
      </c>
      <c r="K4783" s="33" t="s">
        <v>80</v>
      </c>
      <c r="L4783" s="31" t="str">
        <f t="shared" si="461"/>
        <v>Empat Belas</v>
      </c>
    </row>
    <row r="4784" spans="1:12">
      <c r="A4784" s="33" t="s">
        <v>81</v>
      </c>
      <c r="B4784" s="41" t="e">
        <f>TRUNC((A4767-SUM(C4779:C4783)))</f>
        <v>#REF!</v>
      </c>
      <c r="C4784" s="42" t="e">
        <f>B4784</f>
        <v>#REF!</v>
      </c>
      <c r="D4784" s="31" t="e">
        <f t="shared" si="460"/>
        <v>#REF!</v>
      </c>
      <c r="E4784" s="31" t="e">
        <f>IF(SUM(C4779:C4784)&lt;1,"",IF(B4785&lt;1,""," And "))</f>
        <v>#REF!</v>
      </c>
      <c r="J4784" s="31">
        <v>15</v>
      </c>
      <c r="K4784" s="33" t="s">
        <v>82</v>
      </c>
      <c r="L4784" s="31" t="str">
        <f t="shared" si="461"/>
        <v>Lima Belas</v>
      </c>
    </row>
    <row r="4785" spans="1:12">
      <c r="A4785" s="33" t="s">
        <v>83</v>
      </c>
      <c r="B4785" s="40" t="e">
        <f>ROUND(A4767-SUM(C4779:C4784),2)*100</f>
        <v>#REF!</v>
      </c>
      <c r="D4785" s="43" t="e">
        <f t="shared" si="460"/>
        <v>#REF!</v>
      </c>
      <c r="E4785" s="31" t="e">
        <f>IF(B4785&lt;1,"",IF(B4785=1," Cent "," Cents "))</f>
        <v>#REF!</v>
      </c>
      <c r="J4785" s="31">
        <v>16</v>
      </c>
      <c r="K4785" s="33" t="s">
        <v>84</v>
      </c>
      <c r="L4785" s="31" t="str">
        <f t="shared" si="461"/>
        <v>Enam Belas</v>
      </c>
    </row>
    <row r="4786" spans="1:12">
      <c r="J4786" s="31">
        <v>17</v>
      </c>
      <c r="K4786" s="33" t="s">
        <v>85</v>
      </c>
      <c r="L4786" s="31" t="str">
        <f t="shared" si="461"/>
        <v>Tujuh Belas</v>
      </c>
    </row>
    <row r="4787" spans="1:12">
      <c r="A4787" s="44"/>
      <c r="J4787" s="31">
        <v>18</v>
      </c>
      <c r="K4787" s="33" t="s">
        <v>86</v>
      </c>
      <c r="L4787" s="31" t="str">
        <f t="shared" si="461"/>
        <v>Delapan Belas</v>
      </c>
    </row>
    <row r="4788" spans="1:12">
      <c r="A4788" s="38" t="s">
        <v>87</v>
      </c>
      <c r="J4788" s="31">
        <v>19</v>
      </c>
      <c r="K4788" s="33" t="s">
        <v>88</v>
      </c>
      <c r="L4788" s="31" t="str">
        <f t="shared" si="461"/>
        <v>Sembilan Belas</v>
      </c>
    </row>
    <row r="4789" spans="1:12">
      <c r="A4789" s="31" t="s">
        <v>69</v>
      </c>
      <c r="B4789" s="39" t="e">
        <f>TRUNC(A4767/100000000)</f>
        <v>#REF!</v>
      </c>
      <c r="C4789" s="31" t="e">
        <f>B4789*100000000</f>
        <v>#REF!</v>
      </c>
      <c r="D4789" s="31" t="e">
        <f>IF(B4789&lt;1,"",IF(B4789=1,"",VLOOKUP(B4789,$J$3:$L$102,3)))</f>
        <v>#REF!</v>
      </c>
      <c r="E4789" s="31" t="e">
        <f>IF(B4789&lt;1,"",IF(B4789=1,"Seratus "," Ratus "))</f>
        <v>#REF!</v>
      </c>
      <c r="J4789" s="31">
        <v>20</v>
      </c>
      <c r="K4789" s="33" t="s">
        <v>89</v>
      </c>
      <c r="L4789" s="31" t="s">
        <v>90</v>
      </c>
    </row>
    <row r="4790" spans="1:12">
      <c r="A4790" s="31" t="s">
        <v>72</v>
      </c>
      <c r="B4790" s="39" t="e">
        <f>TRUNC((A4767-C4789)/1000000)</f>
        <v>#REF!</v>
      </c>
      <c r="C4790" s="31" t="e">
        <f>B4790*1000000</f>
        <v>#REF!</v>
      </c>
      <c r="D4790" s="31" t="e">
        <f>IF(B4790&lt;1,"",VLOOKUP(B4790,$J$3:$L$102,3))</f>
        <v>#REF!</v>
      </c>
      <c r="E4790" s="31" t="e">
        <f>IF(B4789+B4790=0,""," Juta ")</f>
        <v>#REF!</v>
      </c>
      <c r="J4790" s="31">
        <v>21</v>
      </c>
      <c r="K4790" s="33" t="s">
        <v>91</v>
      </c>
      <c r="L4790" s="31" t="str">
        <f t="shared" ref="L4790:L4798" si="462">$L$23&amp;" "&amp;L4770</f>
        <v>Dua Puluh Satu</v>
      </c>
    </row>
    <row r="4791" spans="1:12">
      <c r="A4791" s="31" t="s">
        <v>75</v>
      </c>
      <c r="B4791" s="39" t="e">
        <f>TRUNC((A4767-SUM(C4789:C4790))/100000)</f>
        <v>#REF!</v>
      </c>
      <c r="C4791" s="31" t="e">
        <f>B4791*100000</f>
        <v>#REF!</v>
      </c>
      <c r="D4791" s="31" t="e">
        <f>IF(B4791&lt;1,"",IF(B4791=1,"",VLOOKUP(B4791,$J$3:$L$102,3)))</f>
        <v>#REF!</v>
      </c>
      <c r="E4791" s="31" t="e">
        <f>IF(B4791&lt;1,"",IF(B4791=1," Seratus "," Ratus "))</f>
        <v>#REF!</v>
      </c>
      <c r="J4791" s="31">
        <v>22</v>
      </c>
      <c r="K4791" s="33" t="s">
        <v>92</v>
      </c>
      <c r="L4791" s="31" t="str">
        <f t="shared" si="462"/>
        <v>Dua Puluh Dua</v>
      </c>
    </row>
    <row r="4792" spans="1:12">
      <c r="A4792" s="33" t="s">
        <v>77</v>
      </c>
      <c r="B4792" s="40" t="e">
        <f>TRUNC((A4767-SUM(C4789:C4791))/1000)</f>
        <v>#REF!</v>
      </c>
      <c r="C4792" s="31" t="e">
        <f>B4792*1000</f>
        <v>#REF!</v>
      </c>
      <c r="D4792" s="31" t="e">
        <f>IF(B4792&lt;1,"",IF(B4792=1,"",VLOOKUP(B4792,$J$3:$L$102,3)))</f>
        <v>#REF!</v>
      </c>
      <c r="E4792" s="31" t="e">
        <f>IF(B4791+B4792&lt;1,"",IF(B4792=1," Seribu "," Ribu "))</f>
        <v>#REF!</v>
      </c>
      <c r="J4792" s="31">
        <v>23</v>
      </c>
      <c r="K4792" s="33" t="s">
        <v>93</v>
      </c>
      <c r="L4792" s="31" t="str">
        <f t="shared" si="462"/>
        <v>Dua Puluh Tiga</v>
      </c>
    </row>
    <row r="4793" spans="1:12">
      <c r="A4793" s="33" t="s">
        <v>79</v>
      </c>
      <c r="B4793" s="40" t="e">
        <f>TRUNC((A4767-SUM(C4789:C4792))/100)</f>
        <v>#REF!</v>
      </c>
      <c r="C4793" s="31" t="e">
        <f>B4793*100</f>
        <v>#REF!</v>
      </c>
      <c r="D4793" s="31" t="e">
        <f>IF(B4793&lt;1,"",IF(B4793=1,"",VLOOKUP(B4793,$J$3:$L$102,3)))</f>
        <v>#REF!</v>
      </c>
      <c r="E4793" s="31" t="e">
        <f>IF(B4793&lt;1,"",IF(B4793=1," Seratus "," Ratus "))</f>
        <v>#REF!</v>
      </c>
      <c r="J4793" s="31">
        <v>24</v>
      </c>
      <c r="K4793" s="33" t="s">
        <v>94</v>
      </c>
      <c r="L4793" s="31" t="str">
        <f t="shared" si="462"/>
        <v>Dua Puluh Empat</v>
      </c>
    </row>
    <row r="4794" spans="1:12">
      <c r="A4794" s="33" t="s">
        <v>81</v>
      </c>
      <c r="B4794" s="41" t="e">
        <f>TRUNC((A4767-SUM(C4789:C4793)))</f>
        <v>#REF!</v>
      </c>
      <c r="C4794" s="42" t="e">
        <f>B4794</f>
        <v>#REF!</v>
      </c>
      <c r="D4794" s="31" t="e">
        <f>IF(B4794&lt;1,"",VLOOKUP(B4794,$J$3:$L$102,3))</f>
        <v>#REF!</v>
      </c>
      <c r="E4794" s="31" t="e">
        <f>IF(SUM(C4789:C4794)&lt;1,"",IF(B4795&lt;1,""," Dan "))</f>
        <v>#REF!</v>
      </c>
      <c r="J4794" s="31">
        <v>25</v>
      </c>
      <c r="K4794" s="33" t="s">
        <v>95</v>
      </c>
      <c r="L4794" s="31" t="str">
        <f t="shared" si="462"/>
        <v>Dua Puluh Lima</v>
      </c>
    </row>
    <row r="4795" spans="1:12">
      <c r="A4795" s="33" t="s">
        <v>83</v>
      </c>
      <c r="B4795" s="40" t="e">
        <f>ROUND(A4767-SUM(C4789:C4794),2)*100</f>
        <v>#REF!</v>
      </c>
      <c r="D4795" s="31" t="e">
        <f>IF(B4795&lt;1,"",VLOOKUP(B4795,$J$3:$L$102,3))</f>
        <v>#REF!</v>
      </c>
      <c r="E4795" s="31" t="e">
        <f>IF(B4795&lt;1,""," Sen ")</f>
        <v>#REF!</v>
      </c>
      <c r="J4795" s="31">
        <v>26</v>
      </c>
      <c r="K4795" s="33" t="s">
        <v>96</v>
      </c>
      <c r="L4795" s="31" t="str">
        <f t="shared" si="462"/>
        <v>Dua Puluh Enam</v>
      </c>
    </row>
    <row r="4796" spans="1:12">
      <c r="J4796" s="31">
        <v>27</v>
      </c>
      <c r="K4796" s="33" t="s">
        <v>97</v>
      </c>
      <c r="L4796" s="31" t="str">
        <f t="shared" si="462"/>
        <v>Dua Puluh Tujuh</v>
      </c>
    </row>
    <row r="4797" spans="1:12">
      <c r="J4797" s="31">
        <v>28</v>
      </c>
      <c r="K4797" s="33" t="s">
        <v>98</v>
      </c>
      <c r="L4797" s="31" t="str">
        <f t="shared" si="462"/>
        <v>Dua Puluh Delapan</v>
      </c>
    </row>
    <row r="4798" spans="1:12">
      <c r="J4798" s="31">
        <v>29</v>
      </c>
      <c r="K4798" s="33" t="s">
        <v>99</v>
      </c>
      <c r="L4798" s="31" t="str">
        <f t="shared" si="462"/>
        <v>Dua Puluh Sembilan</v>
      </c>
    </row>
    <row r="4799" spans="1:12">
      <c r="J4799" s="31">
        <v>30</v>
      </c>
      <c r="K4799" s="33" t="s">
        <v>100</v>
      </c>
      <c r="L4799" s="31" t="s">
        <v>101</v>
      </c>
    </row>
    <row r="4800" spans="1:12">
      <c r="J4800" s="31">
        <v>31</v>
      </c>
      <c r="K4800" s="33" t="s">
        <v>102</v>
      </c>
      <c r="L4800" s="31" t="str">
        <f t="shared" ref="L4800:L4808" si="463">$L$33&amp;" "&amp;L4770</f>
        <v>Tiga Puluh Satu</v>
      </c>
    </row>
    <row r="4801" spans="1:12">
      <c r="J4801" s="31">
        <v>32</v>
      </c>
      <c r="K4801" s="33" t="s">
        <v>103</v>
      </c>
      <c r="L4801" s="31" t="str">
        <f t="shared" si="463"/>
        <v>Tiga Puluh Dua</v>
      </c>
    </row>
    <row r="4802" spans="1:12">
      <c r="J4802" s="31">
        <v>33</v>
      </c>
      <c r="K4802" s="33" t="s">
        <v>104</v>
      </c>
      <c r="L4802" s="31" t="str">
        <f t="shared" si="463"/>
        <v>Tiga Puluh Tiga</v>
      </c>
    </row>
    <row r="4803" spans="1:12">
      <c r="J4803" s="31">
        <v>34</v>
      </c>
      <c r="K4803" s="33" t="s">
        <v>105</v>
      </c>
      <c r="L4803" s="31" t="str">
        <f t="shared" si="463"/>
        <v>Tiga Puluh Empat</v>
      </c>
    </row>
    <row r="4804" spans="1:12">
      <c r="J4804" s="31">
        <v>35</v>
      </c>
      <c r="K4804" s="33" t="s">
        <v>106</v>
      </c>
      <c r="L4804" s="31" t="str">
        <f t="shared" si="463"/>
        <v>Tiga Puluh Lima</v>
      </c>
    </row>
    <row r="4805" spans="1:12">
      <c r="J4805" s="31">
        <v>36</v>
      </c>
      <c r="K4805" s="33" t="s">
        <v>107</v>
      </c>
      <c r="L4805" s="31" t="str">
        <f t="shared" si="463"/>
        <v>Tiga Puluh Enam</v>
      </c>
    </row>
    <row r="4806" spans="1:12">
      <c r="J4806" s="31">
        <v>37</v>
      </c>
      <c r="K4806" s="33" t="s">
        <v>108</v>
      </c>
      <c r="L4806" s="31" t="str">
        <f t="shared" si="463"/>
        <v>Tiga Puluh Tujuh</v>
      </c>
    </row>
    <row r="4807" spans="1:12">
      <c r="J4807" s="31">
        <v>38</v>
      </c>
      <c r="K4807" s="33" t="s">
        <v>109</v>
      </c>
      <c r="L4807" s="31" t="str">
        <f t="shared" si="463"/>
        <v>Tiga Puluh Delapan</v>
      </c>
    </row>
    <row r="4808" spans="1:12">
      <c r="J4808" s="31">
        <v>39</v>
      </c>
      <c r="K4808" s="33" t="s">
        <v>110</v>
      </c>
      <c r="L4808" s="31" t="str">
        <f t="shared" si="463"/>
        <v>Tiga Puluh Sembilan</v>
      </c>
    </row>
    <row r="4809" spans="1:12">
      <c r="B4809" s="35"/>
      <c r="C4809" s="35"/>
      <c r="D4809" s="35"/>
      <c r="J4809" s="31">
        <v>40</v>
      </c>
      <c r="K4809" s="33" t="s">
        <v>111</v>
      </c>
      <c r="L4809" s="31" t="s">
        <v>112</v>
      </c>
    </row>
    <row r="4810" spans="1:12">
      <c r="A4810" s="35"/>
      <c r="B4810" s="35"/>
      <c r="C4810" s="35"/>
      <c r="D4810" s="35"/>
      <c r="J4810" s="31">
        <v>41</v>
      </c>
      <c r="K4810" s="33" t="s">
        <v>113</v>
      </c>
      <c r="L4810" s="31" t="str">
        <f t="shared" ref="L4810:L4818" si="464">$L$43&amp;" "&amp;L4770</f>
        <v>Empat Puluh Satu</v>
      </c>
    </row>
    <row r="4811" spans="1:12">
      <c r="J4811" s="31">
        <v>42</v>
      </c>
      <c r="K4811" s="33" t="s">
        <v>114</v>
      </c>
      <c r="L4811" s="31" t="str">
        <f t="shared" si="464"/>
        <v>Empat Puluh Dua</v>
      </c>
    </row>
    <row r="4812" spans="1:12">
      <c r="A4812" s="38"/>
      <c r="J4812" s="31">
        <v>43</v>
      </c>
      <c r="K4812" s="33" t="s">
        <v>115</v>
      </c>
      <c r="L4812" s="31" t="str">
        <f t="shared" si="464"/>
        <v>Empat Puluh Tiga</v>
      </c>
    </row>
    <row r="4813" spans="1:12">
      <c r="J4813" s="31">
        <v>44</v>
      </c>
      <c r="K4813" s="33" t="s">
        <v>116</v>
      </c>
      <c r="L4813" s="31" t="str">
        <f t="shared" si="464"/>
        <v>Empat Puluh Empat</v>
      </c>
    </row>
    <row r="4814" spans="1:12">
      <c r="J4814" s="31">
        <v>45</v>
      </c>
      <c r="K4814" s="33" t="s">
        <v>117</v>
      </c>
      <c r="L4814" s="31" t="str">
        <f t="shared" si="464"/>
        <v>Empat Puluh Lima</v>
      </c>
    </row>
    <row r="4815" spans="1:12">
      <c r="J4815" s="31">
        <v>46</v>
      </c>
      <c r="K4815" s="33" t="s">
        <v>118</v>
      </c>
      <c r="L4815" s="31" t="str">
        <f t="shared" si="464"/>
        <v>Empat Puluh Enam</v>
      </c>
    </row>
    <row r="4816" spans="1:12">
      <c r="J4816" s="31">
        <v>47</v>
      </c>
      <c r="K4816" s="33" t="s">
        <v>119</v>
      </c>
      <c r="L4816" s="31" t="str">
        <f t="shared" si="464"/>
        <v>Empat Puluh Tujuh</v>
      </c>
    </row>
    <row r="4817" spans="10:12">
      <c r="J4817" s="31">
        <v>48</v>
      </c>
      <c r="K4817" s="33" t="s">
        <v>120</v>
      </c>
      <c r="L4817" s="31" t="str">
        <f t="shared" si="464"/>
        <v>Empat Puluh Delapan</v>
      </c>
    </row>
    <row r="4818" spans="10:12">
      <c r="J4818" s="31">
        <v>49</v>
      </c>
      <c r="K4818" s="33" t="s">
        <v>121</v>
      </c>
      <c r="L4818" s="31" t="str">
        <f t="shared" si="464"/>
        <v>Empat Puluh Sembilan</v>
      </c>
    </row>
    <row r="4819" spans="10:12">
      <c r="J4819" s="31">
        <v>50</v>
      </c>
      <c r="K4819" s="33" t="s">
        <v>122</v>
      </c>
      <c r="L4819" s="31" t="s">
        <v>123</v>
      </c>
    </row>
    <row r="4820" spans="10:12">
      <c r="J4820" s="31">
        <v>51</v>
      </c>
      <c r="K4820" s="33" t="s">
        <v>124</v>
      </c>
      <c r="L4820" s="31" t="str">
        <f t="shared" ref="L4820:L4828" si="465">$L$53&amp;" "&amp;L4770</f>
        <v>Lima Puluh Satu</v>
      </c>
    </row>
    <row r="4821" spans="10:12">
      <c r="J4821" s="31">
        <v>52</v>
      </c>
      <c r="K4821" s="33" t="s">
        <v>125</v>
      </c>
      <c r="L4821" s="31" t="str">
        <f t="shared" si="465"/>
        <v>Lima Puluh Dua</v>
      </c>
    </row>
    <row r="4822" spans="10:12">
      <c r="J4822" s="31">
        <v>53</v>
      </c>
      <c r="K4822" s="33" t="s">
        <v>126</v>
      </c>
      <c r="L4822" s="31" t="str">
        <f t="shared" si="465"/>
        <v>Lima Puluh Tiga</v>
      </c>
    </row>
    <row r="4823" spans="10:12">
      <c r="J4823" s="31">
        <v>54</v>
      </c>
      <c r="K4823" s="33" t="s">
        <v>127</v>
      </c>
      <c r="L4823" s="31" t="str">
        <f t="shared" si="465"/>
        <v>Lima Puluh Empat</v>
      </c>
    </row>
    <row r="4824" spans="10:12">
      <c r="J4824" s="31">
        <v>55</v>
      </c>
      <c r="K4824" s="33" t="s">
        <v>128</v>
      </c>
      <c r="L4824" s="31" t="str">
        <f t="shared" si="465"/>
        <v>Lima Puluh Lima</v>
      </c>
    </row>
    <row r="4825" spans="10:12">
      <c r="J4825" s="31">
        <v>56</v>
      </c>
      <c r="K4825" s="33" t="s">
        <v>129</v>
      </c>
      <c r="L4825" s="31" t="str">
        <f t="shared" si="465"/>
        <v>Lima Puluh Enam</v>
      </c>
    </row>
    <row r="4826" spans="10:12">
      <c r="J4826" s="31">
        <v>57</v>
      </c>
      <c r="K4826" s="33" t="s">
        <v>130</v>
      </c>
      <c r="L4826" s="31" t="str">
        <f t="shared" si="465"/>
        <v>Lima Puluh Tujuh</v>
      </c>
    </row>
    <row r="4827" spans="10:12">
      <c r="J4827" s="31">
        <v>58</v>
      </c>
      <c r="K4827" s="33" t="s">
        <v>131</v>
      </c>
      <c r="L4827" s="31" t="str">
        <f t="shared" si="465"/>
        <v>Lima Puluh Delapan</v>
      </c>
    </row>
    <row r="4828" spans="10:12">
      <c r="J4828" s="31">
        <v>59</v>
      </c>
      <c r="K4828" s="33" t="s">
        <v>132</v>
      </c>
      <c r="L4828" s="31" t="str">
        <f t="shared" si="465"/>
        <v>Lima Puluh Sembilan</v>
      </c>
    </row>
    <row r="4829" spans="10:12">
      <c r="J4829" s="31">
        <v>60</v>
      </c>
      <c r="K4829" s="33" t="s">
        <v>133</v>
      </c>
      <c r="L4829" s="31" t="s">
        <v>134</v>
      </c>
    </row>
    <row r="4830" spans="10:12">
      <c r="J4830" s="31">
        <v>61</v>
      </c>
      <c r="K4830" s="33" t="s">
        <v>135</v>
      </c>
      <c r="L4830" s="31" t="str">
        <f t="shared" ref="L4830:L4838" si="466">$L$63&amp;" "&amp;L4770</f>
        <v>Enam Puluh Satu</v>
      </c>
    </row>
    <row r="4831" spans="10:12">
      <c r="J4831" s="31">
        <v>62</v>
      </c>
      <c r="K4831" s="33" t="s">
        <v>136</v>
      </c>
      <c r="L4831" s="31" t="str">
        <f t="shared" si="466"/>
        <v>Enam Puluh Dua</v>
      </c>
    </row>
    <row r="4832" spans="10:12">
      <c r="J4832" s="31">
        <v>63</v>
      </c>
      <c r="K4832" s="33" t="s">
        <v>137</v>
      </c>
      <c r="L4832" s="31" t="str">
        <f t="shared" si="466"/>
        <v>Enam Puluh Tiga</v>
      </c>
    </row>
    <row r="4833" spans="10:12">
      <c r="J4833" s="31">
        <v>64</v>
      </c>
      <c r="K4833" s="33" t="s">
        <v>138</v>
      </c>
      <c r="L4833" s="31" t="str">
        <f t="shared" si="466"/>
        <v>Enam Puluh Empat</v>
      </c>
    </row>
    <row r="4834" spans="10:12">
      <c r="J4834" s="31">
        <v>65</v>
      </c>
      <c r="K4834" s="33" t="s">
        <v>139</v>
      </c>
      <c r="L4834" s="31" t="str">
        <f t="shared" si="466"/>
        <v>Enam Puluh Lima</v>
      </c>
    </row>
    <row r="4835" spans="10:12">
      <c r="J4835" s="31">
        <v>66</v>
      </c>
      <c r="K4835" s="33" t="s">
        <v>140</v>
      </c>
      <c r="L4835" s="31" t="str">
        <f t="shared" si="466"/>
        <v>Enam Puluh Enam</v>
      </c>
    </row>
    <row r="4836" spans="10:12">
      <c r="J4836" s="31">
        <v>67</v>
      </c>
      <c r="K4836" s="33" t="s">
        <v>141</v>
      </c>
      <c r="L4836" s="31" t="str">
        <f t="shared" si="466"/>
        <v>Enam Puluh Tujuh</v>
      </c>
    </row>
    <row r="4837" spans="10:12">
      <c r="J4837" s="31">
        <v>68</v>
      </c>
      <c r="K4837" s="33" t="s">
        <v>142</v>
      </c>
      <c r="L4837" s="31" t="str">
        <f t="shared" si="466"/>
        <v>Enam Puluh Delapan</v>
      </c>
    </row>
    <row r="4838" spans="10:12">
      <c r="J4838" s="31">
        <v>69</v>
      </c>
      <c r="K4838" s="33" t="s">
        <v>143</v>
      </c>
      <c r="L4838" s="31" t="str">
        <f t="shared" si="466"/>
        <v>Enam Puluh Sembilan</v>
      </c>
    </row>
    <row r="4839" spans="10:12">
      <c r="J4839" s="31">
        <v>70</v>
      </c>
      <c r="K4839" s="33" t="s">
        <v>144</v>
      </c>
      <c r="L4839" s="31" t="s">
        <v>145</v>
      </c>
    </row>
    <row r="4840" spans="10:12">
      <c r="J4840" s="31">
        <v>71</v>
      </c>
      <c r="K4840" s="33" t="s">
        <v>146</v>
      </c>
      <c r="L4840" s="31" t="str">
        <f t="shared" ref="L4840:L4848" si="467">$L$73&amp;" "&amp;L4770</f>
        <v>Tujuh Puluh Satu</v>
      </c>
    </row>
    <row r="4841" spans="10:12">
      <c r="J4841" s="31">
        <v>72</v>
      </c>
      <c r="K4841" s="33" t="s">
        <v>147</v>
      </c>
      <c r="L4841" s="31" t="str">
        <f t="shared" si="467"/>
        <v>Tujuh Puluh Dua</v>
      </c>
    </row>
    <row r="4842" spans="10:12">
      <c r="J4842" s="31">
        <v>73</v>
      </c>
      <c r="K4842" s="33" t="s">
        <v>148</v>
      </c>
      <c r="L4842" s="31" t="str">
        <f t="shared" si="467"/>
        <v>Tujuh Puluh Tiga</v>
      </c>
    </row>
    <row r="4843" spans="10:12">
      <c r="J4843" s="31">
        <v>74</v>
      </c>
      <c r="K4843" s="33" t="s">
        <v>149</v>
      </c>
      <c r="L4843" s="31" t="str">
        <f t="shared" si="467"/>
        <v>Tujuh Puluh Empat</v>
      </c>
    </row>
    <row r="4844" spans="10:12">
      <c r="J4844" s="31">
        <v>75</v>
      </c>
      <c r="K4844" s="33" t="s">
        <v>150</v>
      </c>
      <c r="L4844" s="31" t="str">
        <f t="shared" si="467"/>
        <v>Tujuh Puluh Lima</v>
      </c>
    </row>
    <row r="4845" spans="10:12">
      <c r="J4845" s="31">
        <v>76</v>
      </c>
      <c r="K4845" s="33" t="s">
        <v>151</v>
      </c>
      <c r="L4845" s="31" t="str">
        <f t="shared" si="467"/>
        <v>Tujuh Puluh Enam</v>
      </c>
    </row>
    <row r="4846" spans="10:12">
      <c r="J4846" s="31">
        <v>77</v>
      </c>
      <c r="K4846" s="33" t="s">
        <v>152</v>
      </c>
      <c r="L4846" s="31" t="str">
        <f t="shared" si="467"/>
        <v>Tujuh Puluh Tujuh</v>
      </c>
    </row>
    <row r="4847" spans="10:12">
      <c r="J4847" s="31">
        <v>78</v>
      </c>
      <c r="K4847" s="33" t="s">
        <v>153</v>
      </c>
      <c r="L4847" s="31" t="str">
        <f t="shared" si="467"/>
        <v>Tujuh Puluh Delapan</v>
      </c>
    </row>
    <row r="4848" spans="10:12">
      <c r="J4848" s="31">
        <v>79</v>
      </c>
      <c r="K4848" s="33" t="s">
        <v>154</v>
      </c>
      <c r="L4848" s="31" t="str">
        <f t="shared" si="467"/>
        <v>Tujuh Puluh Sembilan</v>
      </c>
    </row>
    <row r="4849" spans="10:12">
      <c r="J4849" s="31">
        <v>80</v>
      </c>
      <c r="K4849" s="33" t="s">
        <v>155</v>
      </c>
      <c r="L4849" s="31" t="s">
        <v>156</v>
      </c>
    </row>
    <row r="4850" spans="10:12">
      <c r="J4850" s="31">
        <v>81</v>
      </c>
      <c r="K4850" s="33" t="s">
        <v>157</v>
      </c>
      <c r="L4850" s="31" t="str">
        <f t="shared" ref="L4850:L4858" si="468">$L$83&amp;" "&amp;L4770</f>
        <v>Delapan Puluh Satu</v>
      </c>
    </row>
    <row r="4851" spans="10:12">
      <c r="J4851" s="31">
        <v>82</v>
      </c>
      <c r="K4851" s="33" t="s">
        <v>158</v>
      </c>
      <c r="L4851" s="31" t="str">
        <f t="shared" si="468"/>
        <v>Delapan Puluh Dua</v>
      </c>
    </row>
    <row r="4852" spans="10:12">
      <c r="J4852" s="31">
        <v>83</v>
      </c>
      <c r="K4852" s="33" t="s">
        <v>159</v>
      </c>
      <c r="L4852" s="31" t="str">
        <f t="shared" si="468"/>
        <v>Delapan Puluh Tiga</v>
      </c>
    </row>
    <row r="4853" spans="10:12">
      <c r="J4853" s="31">
        <v>84</v>
      </c>
      <c r="K4853" s="33" t="s">
        <v>160</v>
      </c>
      <c r="L4853" s="31" t="str">
        <f t="shared" si="468"/>
        <v>Delapan Puluh Empat</v>
      </c>
    </row>
    <row r="4854" spans="10:12">
      <c r="J4854" s="31">
        <v>85</v>
      </c>
      <c r="K4854" s="33" t="s">
        <v>161</v>
      </c>
      <c r="L4854" s="31" t="str">
        <f t="shared" si="468"/>
        <v>Delapan Puluh Lima</v>
      </c>
    </row>
    <row r="4855" spans="10:12">
      <c r="J4855" s="31">
        <v>86</v>
      </c>
      <c r="K4855" s="33" t="s">
        <v>162</v>
      </c>
      <c r="L4855" s="31" t="str">
        <f t="shared" si="468"/>
        <v>Delapan Puluh Enam</v>
      </c>
    </row>
    <row r="4856" spans="10:12">
      <c r="J4856" s="31">
        <v>87</v>
      </c>
      <c r="K4856" s="33" t="s">
        <v>163</v>
      </c>
      <c r="L4856" s="31" t="str">
        <f t="shared" si="468"/>
        <v>Delapan Puluh Tujuh</v>
      </c>
    </row>
    <row r="4857" spans="10:12">
      <c r="J4857" s="31">
        <v>88</v>
      </c>
      <c r="K4857" s="33" t="s">
        <v>164</v>
      </c>
      <c r="L4857" s="31" t="str">
        <f t="shared" si="468"/>
        <v>Delapan Puluh Delapan</v>
      </c>
    </row>
    <row r="4858" spans="10:12">
      <c r="J4858" s="31">
        <v>89</v>
      </c>
      <c r="K4858" s="33" t="s">
        <v>165</v>
      </c>
      <c r="L4858" s="31" t="str">
        <f t="shared" si="468"/>
        <v>Delapan Puluh Sembilan</v>
      </c>
    </row>
    <row r="4859" spans="10:12">
      <c r="J4859" s="31">
        <v>90</v>
      </c>
      <c r="K4859" s="33" t="s">
        <v>166</v>
      </c>
      <c r="L4859" s="31" t="s">
        <v>167</v>
      </c>
    </row>
    <row r="4860" spans="10:12">
      <c r="J4860" s="31">
        <v>91</v>
      </c>
      <c r="K4860" s="33" t="s">
        <v>168</v>
      </c>
      <c r="L4860" s="31" t="str">
        <f t="shared" ref="L4860:L4868" si="469">$L$93&amp;" "&amp;L4770</f>
        <v>Sembilan Puluh Satu</v>
      </c>
    </row>
    <row r="4861" spans="10:12">
      <c r="J4861" s="31">
        <v>92</v>
      </c>
      <c r="K4861" s="33" t="s">
        <v>169</v>
      </c>
      <c r="L4861" s="31" t="str">
        <f t="shared" si="469"/>
        <v>Sembilan Puluh Dua</v>
      </c>
    </row>
    <row r="4862" spans="10:12">
      <c r="J4862" s="31">
        <v>93</v>
      </c>
      <c r="K4862" s="33" t="s">
        <v>170</v>
      </c>
      <c r="L4862" s="31" t="str">
        <f t="shared" si="469"/>
        <v>Sembilan Puluh Tiga</v>
      </c>
    </row>
    <row r="4863" spans="10:12">
      <c r="J4863" s="31">
        <v>94</v>
      </c>
      <c r="K4863" s="33" t="s">
        <v>171</v>
      </c>
      <c r="L4863" s="31" t="str">
        <f t="shared" si="469"/>
        <v>Sembilan Puluh Empat</v>
      </c>
    </row>
    <row r="4864" spans="10:12">
      <c r="J4864" s="31">
        <v>95</v>
      </c>
      <c r="K4864" s="33" t="s">
        <v>172</v>
      </c>
      <c r="L4864" s="31" t="str">
        <f t="shared" si="469"/>
        <v>Sembilan Puluh Lima</v>
      </c>
    </row>
    <row r="4865" spans="1:12">
      <c r="J4865" s="31">
        <v>96</v>
      </c>
      <c r="K4865" s="33" t="s">
        <v>173</v>
      </c>
      <c r="L4865" s="31" t="str">
        <f t="shared" si="469"/>
        <v>Sembilan Puluh Enam</v>
      </c>
    </row>
    <row r="4866" spans="1:12">
      <c r="J4866" s="31">
        <v>97</v>
      </c>
      <c r="K4866" s="33" t="s">
        <v>174</v>
      </c>
      <c r="L4866" s="31" t="str">
        <f t="shared" si="469"/>
        <v>Sembilan Puluh Tujuh</v>
      </c>
    </row>
    <row r="4867" spans="1:12">
      <c r="J4867" s="31">
        <v>98</v>
      </c>
      <c r="K4867" s="33" t="s">
        <v>175</v>
      </c>
      <c r="L4867" s="31" t="str">
        <f t="shared" si="469"/>
        <v>Sembilan Puluh Delapan</v>
      </c>
    </row>
    <row r="4868" spans="1:12">
      <c r="J4868" s="31">
        <v>99</v>
      </c>
      <c r="K4868" s="33" t="s">
        <v>176</v>
      </c>
      <c r="L4868" s="31" t="str">
        <f t="shared" si="469"/>
        <v>Sembilan Puluh Sembilan</v>
      </c>
    </row>
    <row r="4870" spans="1:12">
      <c r="A4870" s="30" t="e">
        <f>#REF!</f>
        <v>#REF!</v>
      </c>
      <c r="C4870" s="31" t="s">
        <v>243</v>
      </c>
    </row>
    <row r="4871" spans="1:12">
      <c r="A4871" s="32"/>
    </row>
    <row r="4872" spans="1:12">
      <c r="J4872" s="31">
        <v>0</v>
      </c>
      <c r="K4872" s="33" t="s">
        <v>48</v>
      </c>
      <c r="L4872" s="31" t="s">
        <v>49</v>
      </c>
    </row>
    <row r="4873" spans="1:12">
      <c r="A4873" s="34"/>
      <c r="J4873" s="31">
        <v>1</v>
      </c>
      <c r="K4873" s="33" t="s">
        <v>50</v>
      </c>
      <c r="L4873" s="31" t="s">
        <v>51</v>
      </c>
    </row>
    <row r="4874" spans="1:12">
      <c r="A4874" s="255" t="e">
        <f>TRIM(D4882&amp;E4882&amp;D4883&amp;E4883&amp;D4884&amp;E4884&amp;D4885&amp;E4885&amp;D4886&amp;E4886&amp;D4887&amp;E4887&amp;E4888&amp;D4888&amp;" Only")</f>
        <v>#REF!</v>
      </c>
      <c r="B4874" s="255"/>
      <c r="C4874" s="255"/>
      <c r="D4874" s="255"/>
      <c r="E4874" s="35"/>
      <c r="F4874" s="36"/>
      <c r="J4874" s="31">
        <v>2</v>
      </c>
      <c r="K4874" s="33" t="s">
        <v>52</v>
      </c>
      <c r="L4874" s="31" t="s">
        <v>53</v>
      </c>
    </row>
    <row r="4875" spans="1:12">
      <c r="A4875" s="37"/>
      <c r="B4875" s="37"/>
      <c r="C4875" s="37"/>
      <c r="D4875" s="37"/>
      <c r="E4875" s="35"/>
      <c r="F4875" s="36"/>
      <c r="J4875" s="31">
        <v>3</v>
      </c>
      <c r="K4875" s="33" t="s">
        <v>54</v>
      </c>
      <c r="L4875" s="31" t="s">
        <v>55</v>
      </c>
    </row>
    <row r="4876" spans="1:12">
      <c r="A4876" s="37"/>
      <c r="B4876" s="37"/>
      <c r="C4876" s="37"/>
      <c r="D4876" s="37"/>
      <c r="J4876" s="31">
        <v>4</v>
      </c>
      <c r="K4876" s="33" t="s">
        <v>56</v>
      </c>
      <c r="L4876" s="31" t="s">
        <v>57</v>
      </c>
    </row>
    <row r="4877" spans="1:12">
      <c r="A4877" s="255" t="e">
        <f>TRIM(D4892&amp;E4892&amp;D4893&amp;E4893&amp;D4894&amp;E4894&amp;D4895&amp;E4895&amp;D4896&amp;E4896&amp;D4897&amp;E4897&amp;D4898&amp;E4898&amp;" Rupiah")</f>
        <v>#REF!</v>
      </c>
      <c r="B4877" s="255"/>
      <c r="C4877" s="255"/>
      <c r="D4877" s="255"/>
      <c r="E4877" s="35"/>
      <c r="F4877" s="36"/>
      <c r="J4877" s="31">
        <v>5</v>
      </c>
      <c r="K4877" s="33" t="s">
        <v>58</v>
      </c>
      <c r="L4877" s="31" t="s">
        <v>59</v>
      </c>
    </row>
    <row r="4878" spans="1:12">
      <c r="A4878" s="35"/>
      <c r="B4878" s="35"/>
      <c r="C4878" s="35"/>
      <c r="D4878" s="35"/>
      <c r="E4878" s="35"/>
      <c r="F4878" s="36"/>
      <c r="J4878" s="31">
        <v>6</v>
      </c>
      <c r="K4878" s="33" t="s">
        <v>60</v>
      </c>
      <c r="L4878" s="31" t="s">
        <v>61</v>
      </c>
    </row>
    <row r="4879" spans="1:12">
      <c r="J4879" s="31">
        <v>7</v>
      </c>
      <c r="K4879" s="33" t="s">
        <v>62</v>
      </c>
      <c r="L4879" s="31" t="s">
        <v>63</v>
      </c>
    </row>
    <row r="4880" spans="1:12">
      <c r="J4880" s="31">
        <v>8</v>
      </c>
      <c r="K4880" s="33" t="s">
        <v>64</v>
      </c>
      <c r="L4880" s="31" t="s">
        <v>65</v>
      </c>
    </row>
    <row r="4881" spans="1:12">
      <c r="A4881" s="38" t="s">
        <v>66</v>
      </c>
      <c r="J4881" s="31">
        <v>9</v>
      </c>
      <c r="K4881" s="33" t="s">
        <v>67</v>
      </c>
      <c r="L4881" s="31" t="s">
        <v>68</v>
      </c>
    </row>
    <row r="4882" spans="1:12">
      <c r="A4882" s="31" t="s">
        <v>69</v>
      </c>
      <c r="B4882" s="39" t="e">
        <f>TRUNC(A4870/100000000)</f>
        <v>#REF!</v>
      </c>
      <c r="C4882" s="31" t="e">
        <f>B4882*100000000</f>
        <v>#REF!</v>
      </c>
      <c r="D4882" s="31" t="e">
        <f t="shared" ref="D4882:D4888" si="470">IF(B4882&lt;1,"",VLOOKUP(B4882,$J$3:$K$102,2))</f>
        <v>#REF!</v>
      </c>
      <c r="E4882" s="31" t="e">
        <f>IF(B4882&lt;1,"",IF(B4882&gt;1," Hundreds "," Hundred "))</f>
        <v>#REF!</v>
      </c>
      <c r="J4882" s="31">
        <v>10</v>
      </c>
      <c r="K4882" s="33" t="s">
        <v>70</v>
      </c>
      <c r="L4882" s="31" t="s">
        <v>71</v>
      </c>
    </row>
    <row r="4883" spans="1:12">
      <c r="A4883" s="31" t="s">
        <v>72</v>
      </c>
      <c r="B4883" s="39" t="e">
        <f>TRUNC((A4870-C4882)/1000000)</f>
        <v>#REF!</v>
      </c>
      <c r="C4883" s="31" t="e">
        <f>B4883*1000000</f>
        <v>#REF!</v>
      </c>
      <c r="D4883" s="31" t="e">
        <f t="shared" si="470"/>
        <v>#REF!</v>
      </c>
      <c r="E4883" s="31" t="e">
        <f>IF(B4882+B4883=0,"",IF(B4883=1," Million "," Millions "))</f>
        <v>#REF!</v>
      </c>
      <c r="J4883" s="31">
        <v>11</v>
      </c>
      <c r="K4883" s="33" t="s">
        <v>73</v>
      </c>
      <c r="L4883" s="31" t="s">
        <v>74</v>
      </c>
    </row>
    <row r="4884" spans="1:12">
      <c r="A4884" s="31" t="s">
        <v>75</v>
      </c>
      <c r="B4884" s="39" t="e">
        <f>TRUNC((A4870-SUM(C4882:C4883))/100000)</f>
        <v>#REF!</v>
      </c>
      <c r="C4884" s="31" t="e">
        <f>B4884*100000</f>
        <v>#REF!</v>
      </c>
      <c r="D4884" s="31" t="e">
        <f t="shared" si="470"/>
        <v>#REF!</v>
      </c>
      <c r="E4884" s="31" t="e">
        <f>IF(B4884&lt;1,"",IF(B4884&gt;1," Hundreds "," Hundred "))</f>
        <v>#REF!</v>
      </c>
      <c r="J4884" s="31">
        <v>12</v>
      </c>
      <c r="K4884" s="33" t="s">
        <v>76</v>
      </c>
      <c r="L4884" s="31" t="str">
        <f t="shared" ref="L4884:L4891" si="471">L4874&amp;" Belas"</f>
        <v>Dua Belas</v>
      </c>
    </row>
    <row r="4885" spans="1:12">
      <c r="A4885" s="33" t="s">
        <v>77</v>
      </c>
      <c r="B4885" s="40" t="e">
        <f>TRUNC((A4870-SUM(C4882:C4884))/1000)</f>
        <v>#REF!</v>
      </c>
      <c r="C4885" s="31" t="e">
        <f>B4885*1000</f>
        <v>#REF!</v>
      </c>
      <c r="D4885" s="31" t="e">
        <f t="shared" si="470"/>
        <v>#REF!</v>
      </c>
      <c r="E4885" s="31" t="e">
        <f>IF(B4884+B4885=0,"",IF(B4885=1," Thousand "," Thousands "))</f>
        <v>#REF!</v>
      </c>
      <c r="J4885" s="31">
        <v>13</v>
      </c>
      <c r="K4885" s="33" t="s">
        <v>78</v>
      </c>
      <c r="L4885" s="31" t="str">
        <f t="shared" si="471"/>
        <v>Tiga Belas</v>
      </c>
    </row>
    <row r="4886" spans="1:12">
      <c r="A4886" s="33" t="s">
        <v>79</v>
      </c>
      <c r="B4886" s="40" t="e">
        <f>TRUNC((A4870-SUM(C4882:C4885))/100)</f>
        <v>#REF!</v>
      </c>
      <c r="C4886" s="31" t="e">
        <f>B4886*100</f>
        <v>#REF!</v>
      </c>
      <c r="D4886" s="31" t="e">
        <f t="shared" si="470"/>
        <v>#REF!</v>
      </c>
      <c r="E4886" s="31" t="e">
        <f>IF(B4886&lt;1,"",IF(B4886&gt;1," Hundreds "," Hundred "))</f>
        <v>#REF!</v>
      </c>
      <c r="J4886" s="31">
        <v>14</v>
      </c>
      <c r="K4886" s="33" t="s">
        <v>80</v>
      </c>
      <c r="L4886" s="31" t="str">
        <f t="shared" si="471"/>
        <v>Empat Belas</v>
      </c>
    </row>
    <row r="4887" spans="1:12">
      <c r="A4887" s="33" t="s">
        <v>81</v>
      </c>
      <c r="B4887" s="41" t="e">
        <f>TRUNC((A4870-SUM(C4882:C4886)))</f>
        <v>#REF!</v>
      </c>
      <c r="C4887" s="42" t="e">
        <f>B4887</f>
        <v>#REF!</v>
      </c>
      <c r="D4887" s="31" t="e">
        <f t="shared" si="470"/>
        <v>#REF!</v>
      </c>
      <c r="E4887" s="31" t="e">
        <f>IF(SUM(C4882:C4887)&lt;1,"",IF(B4888&lt;1,""," And "))</f>
        <v>#REF!</v>
      </c>
      <c r="J4887" s="31">
        <v>15</v>
      </c>
      <c r="K4887" s="33" t="s">
        <v>82</v>
      </c>
      <c r="L4887" s="31" t="str">
        <f t="shared" si="471"/>
        <v>Lima Belas</v>
      </c>
    </row>
    <row r="4888" spans="1:12">
      <c r="A4888" s="33" t="s">
        <v>83</v>
      </c>
      <c r="B4888" s="40" t="e">
        <f>ROUND(A4870-SUM(C4882:C4887),2)*100</f>
        <v>#REF!</v>
      </c>
      <c r="D4888" s="43" t="e">
        <f t="shared" si="470"/>
        <v>#REF!</v>
      </c>
      <c r="E4888" s="31" t="e">
        <f>IF(B4888&lt;1,"",IF(B4888=1," Cent "," Cents "))</f>
        <v>#REF!</v>
      </c>
      <c r="J4888" s="31">
        <v>16</v>
      </c>
      <c r="K4888" s="33" t="s">
        <v>84</v>
      </c>
      <c r="L4888" s="31" t="str">
        <f t="shared" si="471"/>
        <v>Enam Belas</v>
      </c>
    </row>
    <row r="4889" spans="1:12">
      <c r="J4889" s="31">
        <v>17</v>
      </c>
      <c r="K4889" s="33" t="s">
        <v>85</v>
      </c>
      <c r="L4889" s="31" t="str">
        <f t="shared" si="471"/>
        <v>Tujuh Belas</v>
      </c>
    </row>
    <row r="4890" spans="1:12">
      <c r="A4890" s="44"/>
      <c r="J4890" s="31">
        <v>18</v>
      </c>
      <c r="K4890" s="33" t="s">
        <v>86</v>
      </c>
      <c r="L4890" s="31" t="str">
        <f t="shared" si="471"/>
        <v>Delapan Belas</v>
      </c>
    </row>
    <row r="4891" spans="1:12">
      <c r="A4891" s="38" t="s">
        <v>87</v>
      </c>
      <c r="J4891" s="31">
        <v>19</v>
      </c>
      <c r="K4891" s="33" t="s">
        <v>88</v>
      </c>
      <c r="L4891" s="31" t="str">
        <f t="shared" si="471"/>
        <v>Sembilan Belas</v>
      </c>
    </row>
    <row r="4892" spans="1:12">
      <c r="A4892" s="31" t="s">
        <v>69</v>
      </c>
      <c r="B4892" s="39" t="e">
        <f>TRUNC(A4870/100000000)</f>
        <v>#REF!</v>
      </c>
      <c r="C4892" s="31" t="e">
        <f>B4892*100000000</f>
        <v>#REF!</v>
      </c>
      <c r="D4892" s="31" t="e">
        <f>IF(B4892&lt;1,"",IF(B4892=1,"",VLOOKUP(B4892,$J$3:$L$102,3)))</f>
        <v>#REF!</v>
      </c>
      <c r="E4892" s="31" t="e">
        <f>IF(B4892&lt;1,"",IF(B4892=1,"Seratus "," Ratus "))</f>
        <v>#REF!</v>
      </c>
      <c r="J4892" s="31">
        <v>20</v>
      </c>
      <c r="K4892" s="33" t="s">
        <v>89</v>
      </c>
      <c r="L4892" s="31" t="s">
        <v>90</v>
      </c>
    </row>
    <row r="4893" spans="1:12">
      <c r="A4893" s="31" t="s">
        <v>72</v>
      </c>
      <c r="B4893" s="39" t="e">
        <f>TRUNC((A4870-C4892)/1000000)</f>
        <v>#REF!</v>
      </c>
      <c r="C4893" s="31" t="e">
        <f>B4893*1000000</f>
        <v>#REF!</v>
      </c>
      <c r="D4893" s="31" t="e">
        <f>IF(B4893&lt;1,"",VLOOKUP(B4893,$J$3:$L$102,3))</f>
        <v>#REF!</v>
      </c>
      <c r="E4893" s="31" t="e">
        <f>IF(B4892+B4893=0,""," Juta ")</f>
        <v>#REF!</v>
      </c>
      <c r="J4893" s="31">
        <v>21</v>
      </c>
      <c r="K4893" s="33" t="s">
        <v>91</v>
      </c>
      <c r="L4893" s="31" t="str">
        <f t="shared" ref="L4893:L4901" si="472">$L$23&amp;" "&amp;L4873</f>
        <v>Dua Puluh Satu</v>
      </c>
    </row>
    <row r="4894" spans="1:12">
      <c r="A4894" s="31" t="s">
        <v>75</v>
      </c>
      <c r="B4894" s="39" t="e">
        <f>TRUNC((A4870-SUM(C4892:C4893))/100000)</f>
        <v>#REF!</v>
      </c>
      <c r="C4894" s="31" t="e">
        <f>B4894*100000</f>
        <v>#REF!</v>
      </c>
      <c r="D4894" s="31" t="e">
        <f>IF(B4894&lt;1,"",IF(B4894=1,"",VLOOKUP(B4894,$J$3:$L$102,3)))</f>
        <v>#REF!</v>
      </c>
      <c r="E4894" s="31" t="e">
        <f>IF(B4894&lt;1,"",IF(B4894=1," Seratus "," Ratus "))</f>
        <v>#REF!</v>
      </c>
      <c r="J4894" s="31">
        <v>22</v>
      </c>
      <c r="K4894" s="33" t="s">
        <v>92</v>
      </c>
      <c r="L4894" s="31" t="str">
        <f t="shared" si="472"/>
        <v>Dua Puluh Dua</v>
      </c>
    </row>
    <row r="4895" spans="1:12">
      <c r="A4895" s="33" t="s">
        <v>77</v>
      </c>
      <c r="B4895" s="40" t="e">
        <f>TRUNC((A4870-SUM(C4892:C4894))/1000)</f>
        <v>#REF!</v>
      </c>
      <c r="C4895" s="31" t="e">
        <f>B4895*1000</f>
        <v>#REF!</v>
      </c>
      <c r="D4895" s="31" t="e">
        <f>IF(B4895&lt;1,"",IF(B4895=1,"",VLOOKUP(B4895,$J$3:$L$102,3)))</f>
        <v>#REF!</v>
      </c>
      <c r="E4895" s="31" t="e">
        <f>IF(B4894+B4895&lt;1,"",IF(B4895=1," Seribu "," Ribu "))</f>
        <v>#REF!</v>
      </c>
      <c r="J4895" s="31">
        <v>23</v>
      </c>
      <c r="K4895" s="33" t="s">
        <v>93</v>
      </c>
      <c r="L4895" s="31" t="str">
        <f t="shared" si="472"/>
        <v>Dua Puluh Tiga</v>
      </c>
    </row>
    <row r="4896" spans="1:12">
      <c r="A4896" s="33" t="s">
        <v>79</v>
      </c>
      <c r="B4896" s="40" t="e">
        <f>TRUNC((A4870-SUM(C4892:C4895))/100)</f>
        <v>#REF!</v>
      </c>
      <c r="C4896" s="31" t="e">
        <f>B4896*100</f>
        <v>#REF!</v>
      </c>
      <c r="D4896" s="31" t="e">
        <f>IF(B4896&lt;1,"",IF(B4896=1,"",VLOOKUP(B4896,$J$3:$L$102,3)))</f>
        <v>#REF!</v>
      </c>
      <c r="E4896" s="31" t="e">
        <f>IF(B4896&lt;1,"",IF(B4896=1," Seratus "," Ratus "))</f>
        <v>#REF!</v>
      </c>
      <c r="J4896" s="31">
        <v>24</v>
      </c>
      <c r="K4896" s="33" t="s">
        <v>94</v>
      </c>
      <c r="L4896" s="31" t="str">
        <f t="shared" si="472"/>
        <v>Dua Puluh Empat</v>
      </c>
    </row>
    <row r="4897" spans="1:12">
      <c r="A4897" s="33" t="s">
        <v>81</v>
      </c>
      <c r="B4897" s="41" t="e">
        <f>TRUNC((A4870-SUM(C4892:C4896)))</f>
        <v>#REF!</v>
      </c>
      <c r="C4897" s="42" t="e">
        <f>B4897</f>
        <v>#REF!</v>
      </c>
      <c r="D4897" s="31" t="e">
        <f>IF(B4897&lt;1,"",VLOOKUP(B4897,$J$3:$L$102,3))</f>
        <v>#REF!</v>
      </c>
      <c r="E4897" s="31" t="e">
        <f>IF(SUM(C4892:C4897)&lt;1,"",IF(B4898&lt;1,""," Dan "))</f>
        <v>#REF!</v>
      </c>
      <c r="J4897" s="31">
        <v>25</v>
      </c>
      <c r="K4897" s="33" t="s">
        <v>95</v>
      </c>
      <c r="L4897" s="31" t="str">
        <f t="shared" si="472"/>
        <v>Dua Puluh Lima</v>
      </c>
    </row>
    <row r="4898" spans="1:12">
      <c r="A4898" s="33" t="s">
        <v>83</v>
      </c>
      <c r="B4898" s="40" t="e">
        <f>ROUND(A4870-SUM(C4892:C4897),2)*100</f>
        <v>#REF!</v>
      </c>
      <c r="D4898" s="31" t="e">
        <f>IF(B4898&lt;1,"",VLOOKUP(B4898,$J$3:$L$102,3))</f>
        <v>#REF!</v>
      </c>
      <c r="E4898" s="31" t="e">
        <f>IF(B4898&lt;1,""," Sen ")</f>
        <v>#REF!</v>
      </c>
      <c r="J4898" s="31">
        <v>26</v>
      </c>
      <c r="K4898" s="33" t="s">
        <v>96</v>
      </c>
      <c r="L4898" s="31" t="str">
        <f t="shared" si="472"/>
        <v>Dua Puluh Enam</v>
      </c>
    </row>
    <row r="4899" spans="1:12">
      <c r="J4899" s="31">
        <v>27</v>
      </c>
      <c r="K4899" s="33" t="s">
        <v>97</v>
      </c>
      <c r="L4899" s="31" t="str">
        <f t="shared" si="472"/>
        <v>Dua Puluh Tujuh</v>
      </c>
    </row>
    <row r="4900" spans="1:12">
      <c r="J4900" s="31">
        <v>28</v>
      </c>
      <c r="K4900" s="33" t="s">
        <v>98</v>
      </c>
      <c r="L4900" s="31" t="str">
        <f t="shared" si="472"/>
        <v>Dua Puluh Delapan</v>
      </c>
    </row>
    <row r="4901" spans="1:12">
      <c r="J4901" s="31">
        <v>29</v>
      </c>
      <c r="K4901" s="33" t="s">
        <v>99</v>
      </c>
      <c r="L4901" s="31" t="str">
        <f t="shared" si="472"/>
        <v>Dua Puluh Sembilan</v>
      </c>
    </row>
    <row r="4902" spans="1:12">
      <c r="J4902" s="31">
        <v>30</v>
      </c>
      <c r="K4902" s="33" t="s">
        <v>100</v>
      </c>
      <c r="L4902" s="31" t="s">
        <v>101</v>
      </c>
    </row>
    <row r="4903" spans="1:12">
      <c r="J4903" s="31">
        <v>31</v>
      </c>
      <c r="K4903" s="33" t="s">
        <v>102</v>
      </c>
      <c r="L4903" s="31" t="str">
        <f t="shared" ref="L4903:L4911" si="473">$L$33&amp;" "&amp;L4873</f>
        <v>Tiga Puluh Satu</v>
      </c>
    </row>
    <row r="4904" spans="1:12">
      <c r="J4904" s="31">
        <v>32</v>
      </c>
      <c r="K4904" s="33" t="s">
        <v>103</v>
      </c>
      <c r="L4904" s="31" t="str">
        <f t="shared" si="473"/>
        <v>Tiga Puluh Dua</v>
      </c>
    </row>
    <row r="4905" spans="1:12">
      <c r="J4905" s="31">
        <v>33</v>
      </c>
      <c r="K4905" s="33" t="s">
        <v>104</v>
      </c>
      <c r="L4905" s="31" t="str">
        <f t="shared" si="473"/>
        <v>Tiga Puluh Tiga</v>
      </c>
    </row>
    <row r="4906" spans="1:12">
      <c r="J4906" s="31">
        <v>34</v>
      </c>
      <c r="K4906" s="33" t="s">
        <v>105</v>
      </c>
      <c r="L4906" s="31" t="str">
        <f t="shared" si="473"/>
        <v>Tiga Puluh Empat</v>
      </c>
    </row>
    <row r="4907" spans="1:12">
      <c r="J4907" s="31">
        <v>35</v>
      </c>
      <c r="K4907" s="33" t="s">
        <v>106</v>
      </c>
      <c r="L4907" s="31" t="str">
        <f t="shared" si="473"/>
        <v>Tiga Puluh Lima</v>
      </c>
    </row>
    <row r="4908" spans="1:12">
      <c r="J4908" s="31">
        <v>36</v>
      </c>
      <c r="K4908" s="33" t="s">
        <v>107</v>
      </c>
      <c r="L4908" s="31" t="str">
        <f t="shared" si="473"/>
        <v>Tiga Puluh Enam</v>
      </c>
    </row>
    <row r="4909" spans="1:12">
      <c r="J4909" s="31">
        <v>37</v>
      </c>
      <c r="K4909" s="33" t="s">
        <v>108</v>
      </c>
      <c r="L4909" s="31" t="str">
        <f t="shared" si="473"/>
        <v>Tiga Puluh Tujuh</v>
      </c>
    </row>
    <row r="4910" spans="1:12">
      <c r="J4910" s="31">
        <v>38</v>
      </c>
      <c r="K4910" s="33" t="s">
        <v>109</v>
      </c>
      <c r="L4910" s="31" t="str">
        <f t="shared" si="473"/>
        <v>Tiga Puluh Delapan</v>
      </c>
    </row>
    <row r="4911" spans="1:12">
      <c r="J4911" s="31">
        <v>39</v>
      </c>
      <c r="K4911" s="33" t="s">
        <v>110</v>
      </c>
      <c r="L4911" s="31" t="str">
        <f t="shared" si="473"/>
        <v>Tiga Puluh Sembilan</v>
      </c>
    </row>
    <row r="4912" spans="1:12">
      <c r="B4912" s="35"/>
      <c r="C4912" s="35"/>
      <c r="D4912" s="35"/>
      <c r="J4912" s="31">
        <v>40</v>
      </c>
      <c r="K4912" s="33" t="s">
        <v>111</v>
      </c>
      <c r="L4912" s="31" t="s">
        <v>112</v>
      </c>
    </row>
    <row r="4913" spans="1:12">
      <c r="A4913" s="35"/>
      <c r="B4913" s="35"/>
      <c r="C4913" s="35"/>
      <c r="D4913" s="35"/>
      <c r="J4913" s="31">
        <v>41</v>
      </c>
      <c r="K4913" s="33" t="s">
        <v>113</v>
      </c>
      <c r="L4913" s="31" t="str">
        <f t="shared" ref="L4913:L4921" si="474">$L$43&amp;" "&amp;L4873</f>
        <v>Empat Puluh Satu</v>
      </c>
    </row>
    <row r="4914" spans="1:12">
      <c r="J4914" s="31">
        <v>42</v>
      </c>
      <c r="K4914" s="33" t="s">
        <v>114</v>
      </c>
      <c r="L4914" s="31" t="str">
        <f t="shared" si="474"/>
        <v>Empat Puluh Dua</v>
      </c>
    </row>
    <row r="4915" spans="1:12">
      <c r="A4915" s="38"/>
      <c r="J4915" s="31">
        <v>43</v>
      </c>
      <c r="K4915" s="33" t="s">
        <v>115</v>
      </c>
      <c r="L4915" s="31" t="str">
        <f t="shared" si="474"/>
        <v>Empat Puluh Tiga</v>
      </c>
    </row>
    <row r="4916" spans="1:12">
      <c r="J4916" s="31">
        <v>44</v>
      </c>
      <c r="K4916" s="33" t="s">
        <v>116</v>
      </c>
      <c r="L4916" s="31" t="str">
        <f t="shared" si="474"/>
        <v>Empat Puluh Empat</v>
      </c>
    </row>
    <row r="4917" spans="1:12">
      <c r="J4917" s="31">
        <v>45</v>
      </c>
      <c r="K4917" s="33" t="s">
        <v>117</v>
      </c>
      <c r="L4917" s="31" t="str">
        <f t="shared" si="474"/>
        <v>Empat Puluh Lima</v>
      </c>
    </row>
    <row r="4918" spans="1:12">
      <c r="J4918" s="31">
        <v>46</v>
      </c>
      <c r="K4918" s="33" t="s">
        <v>118</v>
      </c>
      <c r="L4918" s="31" t="str">
        <f t="shared" si="474"/>
        <v>Empat Puluh Enam</v>
      </c>
    </row>
    <row r="4919" spans="1:12">
      <c r="J4919" s="31">
        <v>47</v>
      </c>
      <c r="K4919" s="33" t="s">
        <v>119</v>
      </c>
      <c r="L4919" s="31" t="str">
        <f t="shared" si="474"/>
        <v>Empat Puluh Tujuh</v>
      </c>
    </row>
    <row r="4920" spans="1:12">
      <c r="J4920" s="31">
        <v>48</v>
      </c>
      <c r="K4920" s="33" t="s">
        <v>120</v>
      </c>
      <c r="L4920" s="31" t="str">
        <f t="shared" si="474"/>
        <v>Empat Puluh Delapan</v>
      </c>
    </row>
    <row r="4921" spans="1:12">
      <c r="J4921" s="31">
        <v>49</v>
      </c>
      <c r="K4921" s="33" t="s">
        <v>121</v>
      </c>
      <c r="L4921" s="31" t="str">
        <f t="shared" si="474"/>
        <v>Empat Puluh Sembilan</v>
      </c>
    </row>
    <row r="4922" spans="1:12">
      <c r="J4922" s="31">
        <v>50</v>
      </c>
      <c r="K4922" s="33" t="s">
        <v>122</v>
      </c>
      <c r="L4922" s="31" t="s">
        <v>123</v>
      </c>
    </row>
    <row r="4923" spans="1:12">
      <c r="J4923" s="31">
        <v>51</v>
      </c>
      <c r="K4923" s="33" t="s">
        <v>124</v>
      </c>
      <c r="L4923" s="31" t="str">
        <f t="shared" ref="L4923:L4931" si="475">$L$53&amp;" "&amp;L4873</f>
        <v>Lima Puluh Satu</v>
      </c>
    </row>
    <row r="4924" spans="1:12">
      <c r="J4924" s="31">
        <v>52</v>
      </c>
      <c r="K4924" s="33" t="s">
        <v>125</v>
      </c>
      <c r="L4924" s="31" t="str">
        <f t="shared" si="475"/>
        <v>Lima Puluh Dua</v>
      </c>
    </row>
    <row r="4925" spans="1:12">
      <c r="J4925" s="31">
        <v>53</v>
      </c>
      <c r="K4925" s="33" t="s">
        <v>126</v>
      </c>
      <c r="L4925" s="31" t="str">
        <f t="shared" si="475"/>
        <v>Lima Puluh Tiga</v>
      </c>
    </row>
    <row r="4926" spans="1:12">
      <c r="J4926" s="31">
        <v>54</v>
      </c>
      <c r="K4926" s="33" t="s">
        <v>127</v>
      </c>
      <c r="L4926" s="31" t="str">
        <f t="shared" si="475"/>
        <v>Lima Puluh Empat</v>
      </c>
    </row>
    <row r="4927" spans="1:12">
      <c r="J4927" s="31">
        <v>55</v>
      </c>
      <c r="K4927" s="33" t="s">
        <v>128</v>
      </c>
      <c r="L4927" s="31" t="str">
        <f t="shared" si="475"/>
        <v>Lima Puluh Lima</v>
      </c>
    </row>
    <row r="4928" spans="1:12">
      <c r="J4928" s="31">
        <v>56</v>
      </c>
      <c r="K4928" s="33" t="s">
        <v>129</v>
      </c>
      <c r="L4928" s="31" t="str">
        <f t="shared" si="475"/>
        <v>Lima Puluh Enam</v>
      </c>
    </row>
    <row r="4929" spans="10:12">
      <c r="J4929" s="31">
        <v>57</v>
      </c>
      <c r="K4929" s="33" t="s">
        <v>130</v>
      </c>
      <c r="L4929" s="31" t="str">
        <f t="shared" si="475"/>
        <v>Lima Puluh Tujuh</v>
      </c>
    </row>
    <row r="4930" spans="10:12">
      <c r="J4930" s="31">
        <v>58</v>
      </c>
      <c r="K4930" s="33" t="s">
        <v>131</v>
      </c>
      <c r="L4930" s="31" t="str">
        <f t="shared" si="475"/>
        <v>Lima Puluh Delapan</v>
      </c>
    </row>
    <row r="4931" spans="10:12">
      <c r="J4931" s="31">
        <v>59</v>
      </c>
      <c r="K4931" s="33" t="s">
        <v>132</v>
      </c>
      <c r="L4931" s="31" t="str">
        <f t="shared" si="475"/>
        <v>Lima Puluh Sembilan</v>
      </c>
    </row>
    <row r="4932" spans="10:12">
      <c r="J4932" s="31">
        <v>60</v>
      </c>
      <c r="K4932" s="33" t="s">
        <v>133</v>
      </c>
      <c r="L4932" s="31" t="s">
        <v>134</v>
      </c>
    </row>
    <row r="4933" spans="10:12">
      <c r="J4933" s="31">
        <v>61</v>
      </c>
      <c r="K4933" s="33" t="s">
        <v>135</v>
      </c>
      <c r="L4933" s="31" t="str">
        <f t="shared" ref="L4933:L4941" si="476">$L$63&amp;" "&amp;L4873</f>
        <v>Enam Puluh Satu</v>
      </c>
    </row>
    <row r="4934" spans="10:12">
      <c r="J4934" s="31">
        <v>62</v>
      </c>
      <c r="K4934" s="33" t="s">
        <v>136</v>
      </c>
      <c r="L4934" s="31" t="str">
        <f t="shared" si="476"/>
        <v>Enam Puluh Dua</v>
      </c>
    </row>
    <row r="4935" spans="10:12">
      <c r="J4935" s="31">
        <v>63</v>
      </c>
      <c r="K4935" s="33" t="s">
        <v>137</v>
      </c>
      <c r="L4935" s="31" t="str">
        <f t="shared" si="476"/>
        <v>Enam Puluh Tiga</v>
      </c>
    </row>
    <row r="4936" spans="10:12">
      <c r="J4936" s="31">
        <v>64</v>
      </c>
      <c r="K4936" s="33" t="s">
        <v>138</v>
      </c>
      <c r="L4936" s="31" t="str">
        <f t="shared" si="476"/>
        <v>Enam Puluh Empat</v>
      </c>
    </row>
    <row r="4937" spans="10:12">
      <c r="J4937" s="31">
        <v>65</v>
      </c>
      <c r="K4937" s="33" t="s">
        <v>139</v>
      </c>
      <c r="L4937" s="31" t="str">
        <f t="shared" si="476"/>
        <v>Enam Puluh Lima</v>
      </c>
    </row>
    <row r="4938" spans="10:12">
      <c r="J4938" s="31">
        <v>66</v>
      </c>
      <c r="K4938" s="33" t="s">
        <v>140</v>
      </c>
      <c r="L4938" s="31" t="str">
        <f t="shared" si="476"/>
        <v>Enam Puluh Enam</v>
      </c>
    </row>
    <row r="4939" spans="10:12">
      <c r="J4939" s="31">
        <v>67</v>
      </c>
      <c r="K4939" s="33" t="s">
        <v>141</v>
      </c>
      <c r="L4939" s="31" t="str">
        <f t="shared" si="476"/>
        <v>Enam Puluh Tujuh</v>
      </c>
    </row>
    <row r="4940" spans="10:12">
      <c r="J4940" s="31">
        <v>68</v>
      </c>
      <c r="K4940" s="33" t="s">
        <v>142</v>
      </c>
      <c r="L4940" s="31" t="str">
        <f t="shared" si="476"/>
        <v>Enam Puluh Delapan</v>
      </c>
    </row>
    <row r="4941" spans="10:12">
      <c r="J4941" s="31">
        <v>69</v>
      </c>
      <c r="K4941" s="33" t="s">
        <v>143</v>
      </c>
      <c r="L4941" s="31" t="str">
        <f t="shared" si="476"/>
        <v>Enam Puluh Sembilan</v>
      </c>
    </row>
    <row r="4942" spans="10:12">
      <c r="J4942" s="31">
        <v>70</v>
      </c>
      <c r="K4942" s="33" t="s">
        <v>144</v>
      </c>
      <c r="L4942" s="31" t="s">
        <v>145</v>
      </c>
    </row>
    <row r="4943" spans="10:12">
      <c r="J4943" s="31">
        <v>71</v>
      </c>
      <c r="K4943" s="33" t="s">
        <v>146</v>
      </c>
      <c r="L4943" s="31" t="str">
        <f t="shared" ref="L4943:L4951" si="477">$L$73&amp;" "&amp;L4873</f>
        <v>Tujuh Puluh Satu</v>
      </c>
    </row>
    <row r="4944" spans="10:12">
      <c r="J4944" s="31">
        <v>72</v>
      </c>
      <c r="K4944" s="33" t="s">
        <v>147</v>
      </c>
      <c r="L4944" s="31" t="str">
        <f t="shared" si="477"/>
        <v>Tujuh Puluh Dua</v>
      </c>
    </row>
    <row r="4945" spans="10:12">
      <c r="J4945" s="31">
        <v>73</v>
      </c>
      <c r="K4945" s="33" t="s">
        <v>148</v>
      </c>
      <c r="L4945" s="31" t="str">
        <f t="shared" si="477"/>
        <v>Tujuh Puluh Tiga</v>
      </c>
    </row>
    <row r="4946" spans="10:12">
      <c r="J4946" s="31">
        <v>74</v>
      </c>
      <c r="K4946" s="33" t="s">
        <v>149</v>
      </c>
      <c r="L4946" s="31" t="str">
        <f t="shared" si="477"/>
        <v>Tujuh Puluh Empat</v>
      </c>
    </row>
    <row r="4947" spans="10:12">
      <c r="J4947" s="31">
        <v>75</v>
      </c>
      <c r="K4947" s="33" t="s">
        <v>150</v>
      </c>
      <c r="L4947" s="31" t="str">
        <f t="shared" si="477"/>
        <v>Tujuh Puluh Lima</v>
      </c>
    </row>
    <row r="4948" spans="10:12">
      <c r="J4948" s="31">
        <v>76</v>
      </c>
      <c r="K4948" s="33" t="s">
        <v>151</v>
      </c>
      <c r="L4948" s="31" t="str">
        <f t="shared" si="477"/>
        <v>Tujuh Puluh Enam</v>
      </c>
    </row>
    <row r="4949" spans="10:12">
      <c r="J4949" s="31">
        <v>77</v>
      </c>
      <c r="K4949" s="33" t="s">
        <v>152</v>
      </c>
      <c r="L4949" s="31" t="str">
        <f t="shared" si="477"/>
        <v>Tujuh Puluh Tujuh</v>
      </c>
    </row>
    <row r="4950" spans="10:12">
      <c r="J4950" s="31">
        <v>78</v>
      </c>
      <c r="K4950" s="33" t="s">
        <v>153</v>
      </c>
      <c r="L4950" s="31" t="str">
        <f t="shared" si="477"/>
        <v>Tujuh Puluh Delapan</v>
      </c>
    </row>
    <row r="4951" spans="10:12">
      <c r="J4951" s="31">
        <v>79</v>
      </c>
      <c r="K4951" s="33" t="s">
        <v>154</v>
      </c>
      <c r="L4951" s="31" t="str">
        <f t="shared" si="477"/>
        <v>Tujuh Puluh Sembilan</v>
      </c>
    </row>
    <row r="4952" spans="10:12">
      <c r="J4952" s="31">
        <v>80</v>
      </c>
      <c r="K4952" s="33" t="s">
        <v>155</v>
      </c>
      <c r="L4952" s="31" t="s">
        <v>156</v>
      </c>
    </row>
    <row r="4953" spans="10:12">
      <c r="J4953" s="31">
        <v>81</v>
      </c>
      <c r="K4953" s="33" t="s">
        <v>157</v>
      </c>
      <c r="L4953" s="31" t="str">
        <f t="shared" ref="L4953:L4961" si="478">$L$83&amp;" "&amp;L4873</f>
        <v>Delapan Puluh Satu</v>
      </c>
    </row>
    <row r="4954" spans="10:12">
      <c r="J4954" s="31">
        <v>82</v>
      </c>
      <c r="K4954" s="33" t="s">
        <v>158</v>
      </c>
      <c r="L4954" s="31" t="str">
        <f t="shared" si="478"/>
        <v>Delapan Puluh Dua</v>
      </c>
    </row>
    <row r="4955" spans="10:12">
      <c r="J4955" s="31">
        <v>83</v>
      </c>
      <c r="K4955" s="33" t="s">
        <v>159</v>
      </c>
      <c r="L4955" s="31" t="str">
        <f t="shared" si="478"/>
        <v>Delapan Puluh Tiga</v>
      </c>
    </row>
    <row r="4956" spans="10:12">
      <c r="J4956" s="31">
        <v>84</v>
      </c>
      <c r="K4956" s="33" t="s">
        <v>160</v>
      </c>
      <c r="L4956" s="31" t="str">
        <f t="shared" si="478"/>
        <v>Delapan Puluh Empat</v>
      </c>
    </row>
    <row r="4957" spans="10:12">
      <c r="J4957" s="31">
        <v>85</v>
      </c>
      <c r="K4957" s="33" t="s">
        <v>161</v>
      </c>
      <c r="L4957" s="31" t="str">
        <f t="shared" si="478"/>
        <v>Delapan Puluh Lima</v>
      </c>
    </row>
    <row r="4958" spans="10:12">
      <c r="J4958" s="31">
        <v>86</v>
      </c>
      <c r="K4958" s="33" t="s">
        <v>162</v>
      </c>
      <c r="L4958" s="31" t="str">
        <f t="shared" si="478"/>
        <v>Delapan Puluh Enam</v>
      </c>
    </row>
    <row r="4959" spans="10:12">
      <c r="J4959" s="31">
        <v>87</v>
      </c>
      <c r="K4959" s="33" t="s">
        <v>163</v>
      </c>
      <c r="L4959" s="31" t="str">
        <f t="shared" si="478"/>
        <v>Delapan Puluh Tujuh</v>
      </c>
    </row>
    <row r="4960" spans="10:12">
      <c r="J4960" s="31">
        <v>88</v>
      </c>
      <c r="K4960" s="33" t="s">
        <v>164</v>
      </c>
      <c r="L4960" s="31" t="str">
        <f t="shared" si="478"/>
        <v>Delapan Puluh Delapan</v>
      </c>
    </row>
    <row r="4961" spans="1:12">
      <c r="J4961" s="31">
        <v>89</v>
      </c>
      <c r="K4961" s="33" t="s">
        <v>165</v>
      </c>
      <c r="L4961" s="31" t="str">
        <f t="shared" si="478"/>
        <v>Delapan Puluh Sembilan</v>
      </c>
    </row>
    <row r="4962" spans="1:12">
      <c r="J4962" s="31">
        <v>90</v>
      </c>
      <c r="K4962" s="33" t="s">
        <v>166</v>
      </c>
      <c r="L4962" s="31" t="s">
        <v>167</v>
      </c>
    </row>
    <row r="4963" spans="1:12">
      <c r="J4963" s="31">
        <v>91</v>
      </c>
      <c r="K4963" s="33" t="s">
        <v>168</v>
      </c>
      <c r="L4963" s="31" t="str">
        <f t="shared" ref="L4963:L4971" si="479">$L$93&amp;" "&amp;L4873</f>
        <v>Sembilan Puluh Satu</v>
      </c>
    </row>
    <row r="4964" spans="1:12">
      <c r="J4964" s="31">
        <v>92</v>
      </c>
      <c r="K4964" s="33" t="s">
        <v>169</v>
      </c>
      <c r="L4964" s="31" t="str">
        <f t="shared" si="479"/>
        <v>Sembilan Puluh Dua</v>
      </c>
    </row>
    <row r="4965" spans="1:12">
      <c r="J4965" s="31">
        <v>93</v>
      </c>
      <c r="K4965" s="33" t="s">
        <v>170</v>
      </c>
      <c r="L4965" s="31" t="str">
        <f t="shared" si="479"/>
        <v>Sembilan Puluh Tiga</v>
      </c>
    </row>
    <row r="4966" spans="1:12">
      <c r="J4966" s="31">
        <v>94</v>
      </c>
      <c r="K4966" s="33" t="s">
        <v>171</v>
      </c>
      <c r="L4966" s="31" t="str">
        <f t="shared" si="479"/>
        <v>Sembilan Puluh Empat</v>
      </c>
    </row>
    <row r="4967" spans="1:12">
      <c r="J4967" s="31">
        <v>95</v>
      </c>
      <c r="K4967" s="33" t="s">
        <v>172</v>
      </c>
      <c r="L4967" s="31" t="str">
        <f t="shared" si="479"/>
        <v>Sembilan Puluh Lima</v>
      </c>
    </row>
    <row r="4968" spans="1:12">
      <c r="J4968" s="31">
        <v>96</v>
      </c>
      <c r="K4968" s="33" t="s">
        <v>173</v>
      </c>
      <c r="L4968" s="31" t="str">
        <f t="shared" si="479"/>
        <v>Sembilan Puluh Enam</v>
      </c>
    </row>
    <row r="4969" spans="1:12">
      <c r="J4969" s="31">
        <v>97</v>
      </c>
      <c r="K4969" s="33" t="s">
        <v>174</v>
      </c>
      <c r="L4969" s="31" t="str">
        <f t="shared" si="479"/>
        <v>Sembilan Puluh Tujuh</v>
      </c>
    </row>
    <row r="4970" spans="1:12">
      <c r="J4970" s="31">
        <v>98</v>
      </c>
      <c r="K4970" s="33" t="s">
        <v>175</v>
      </c>
      <c r="L4970" s="31" t="str">
        <f t="shared" si="479"/>
        <v>Sembilan Puluh Delapan</v>
      </c>
    </row>
    <row r="4971" spans="1:12">
      <c r="J4971" s="31">
        <v>99</v>
      </c>
      <c r="K4971" s="33" t="s">
        <v>176</v>
      </c>
      <c r="L4971" s="31" t="str">
        <f t="shared" si="479"/>
        <v>Sembilan Puluh Sembilan</v>
      </c>
    </row>
    <row r="4973" spans="1:12">
      <c r="A4973" s="30" t="e">
        <f>#REF!</f>
        <v>#REF!</v>
      </c>
      <c r="C4973" s="31" t="s">
        <v>244</v>
      </c>
    </row>
    <row r="4974" spans="1:12">
      <c r="A4974" s="32"/>
    </row>
    <row r="4975" spans="1:12">
      <c r="J4975" s="31">
        <v>0</v>
      </c>
      <c r="K4975" s="33" t="s">
        <v>48</v>
      </c>
      <c r="L4975" s="31" t="s">
        <v>49</v>
      </c>
    </row>
    <row r="4976" spans="1:12">
      <c r="A4976" s="34"/>
      <c r="J4976" s="31">
        <v>1</v>
      </c>
      <c r="K4976" s="33" t="s">
        <v>50</v>
      </c>
      <c r="L4976" s="31" t="s">
        <v>51</v>
      </c>
    </row>
    <row r="4977" spans="1:12">
      <c r="A4977" s="255" t="e">
        <f>TRIM(D4985&amp;E4985&amp;D4986&amp;E4986&amp;D4987&amp;E4987&amp;D4988&amp;E4988&amp;D4989&amp;E4989&amp;D4990&amp;E4990&amp;E4991&amp;D4991&amp;" Only")</f>
        <v>#REF!</v>
      </c>
      <c r="B4977" s="255"/>
      <c r="C4977" s="255"/>
      <c r="D4977" s="255"/>
      <c r="E4977" s="35"/>
      <c r="F4977" s="36"/>
      <c r="J4977" s="31">
        <v>2</v>
      </c>
      <c r="K4977" s="33" t="s">
        <v>52</v>
      </c>
      <c r="L4977" s="31" t="s">
        <v>53</v>
      </c>
    </row>
    <row r="4978" spans="1:12">
      <c r="A4978" s="37"/>
      <c r="B4978" s="37"/>
      <c r="C4978" s="37"/>
      <c r="D4978" s="37"/>
      <c r="E4978" s="35"/>
      <c r="F4978" s="36"/>
      <c r="J4978" s="31">
        <v>3</v>
      </c>
      <c r="K4978" s="33" t="s">
        <v>54</v>
      </c>
      <c r="L4978" s="31" t="s">
        <v>55</v>
      </c>
    </row>
    <row r="4979" spans="1:12">
      <c r="A4979" s="37"/>
      <c r="B4979" s="37"/>
      <c r="C4979" s="37"/>
      <c r="D4979" s="37"/>
      <c r="J4979" s="31">
        <v>4</v>
      </c>
      <c r="K4979" s="33" t="s">
        <v>56</v>
      </c>
      <c r="L4979" s="31" t="s">
        <v>57</v>
      </c>
    </row>
    <row r="4980" spans="1:12">
      <c r="A4980" s="255" t="e">
        <f>TRIM(D4995&amp;E4995&amp;D4996&amp;E4996&amp;D4997&amp;E4997&amp;D4998&amp;E4998&amp;D4999&amp;E4999&amp;D5000&amp;E5000&amp;D5001&amp;E5001&amp;" Rupiah")</f>
        <v>#REF!</v>
      </c>
      <c r="B4980" s="255"/>
      <c r="C4980" s="255"/>
      <c r="D4980" s="255"/>
      <c r="E4980" s="35"/>
      <c r="F4980" s="36"/>
      <c r="J4980" s="31">
        <v>5</v>
      </c>
      <c r="K4980" s="33" t="s">
        <v>58</v>
      </c>
      <c r="L4980" s="31" t="s">
        <v>59</v>
      </c>
    </row>
    <row r="4981" spans="1:12">
      <c r="A4981" s="35"/>
      <c r="B4981" s="35"/>
      <c r="C4981" s="35"/>
      <c r="D4981" s="35"/>
      <c r="E4981" s="35"/>
      <c r="F4981" s="36"/>
      <c r="J4981" s="31">
        <v>6</v>
      </c>
      <c r="K4981" s="33" t="s">
        <v>60</v>
      </c>
      <c r="L4981" s="31" t="s">
        <v>61</v>
      </c>
    </row>
    <row r="4982" spans="1:12">
      <c r="J4982" s="31">
        <v>7</v>
      </c>
      <c r="K4982" s="33" t="s">
        <v>62</v>
      </c>
      <c r="L4982" s="31" t="s">
        <v>63</v>
      </c>
    </row>
    <row r="4983" spans="1:12">
      <c r="J4983" s="31">
        <v>8</v>
      </c>
      <c r="K4983" s="33" t="s">
        <v>64</v>
      </c>
      <c r="L4983" s="31" t="s">
        <v>65</v>
      </c>
    </row>
    <row r="4984" spans="1:12">
      <c r="A4984" s="38" t="s">
        <v>66</v>
      </c>
      <c r="J4984" s="31">
        <v>9</v>
      </c>
      <c r="K4984" s="33" t="s">
        <v>67</v>
      </c>
      <c r="L4984" s="31" t="s">
        <v>68</v>
      </c>
    </row>
    <row r="4985" spans="1:12">
      <c r="A4985" s="31" t="s">
        <v>69</v>
      </c>
      <c r="B4985" s="39" t="e">
        <f>TRUNC(A4973/100000000)</f>
        <v>#REF!</v>
      </c>
      <c r="C4985" s="31" t="e">
        <f>B4985*100000000</f>
        <v>#REF!</v>
      </c>
      <c r="D4985" s="31" t="e">
        <f t="shared" ref="D4985:D4991" si="480">IF(B4985&lt;1,"",VLOOKUP(B4985,$J$3:$K$102,2))</f>
        <v>#REF!</v>
      </c>
      <c r="E4985" s="31" t="e">
        <f>IF(B4985&lt;1,"",IF(B4985&gt;1," Hundreds "," Hundred "))</f>
        <v>#REF!</v>
      </c>
      <c r="J4985" s="31">
        <v>10</v>
      </c>
      <c r="K4985" s="33" t="s">
        <v>70</v>
      </c>
      <c r="L4985" s="31" t="s">
        <v>71</v>
      </c>
    </row>
    <row r="4986" spans="1:12">
      <c r="A4986" s="31" t="s">
        <v>72</v>
      </c>
      <c r="B4986" s="39" t="e">
        <f>TRUNC((A4973-C4985)/1000000)</f>
        <v>#REF!</v>
      </c>
      <c r="C4986" s="31" t="e">
        <f>B4986*1000000</f>
        <v>#REF!</v>
      </c>
      <c r="D4986" s="31" t="e">
        <f t="shared" si="480"/>
        <v>#REF!</v>
      </c>
      <c r="E4986" s="31" t="e">
        <f>IF(B4985+B4986=0,"",IF(B4986=1," Million "," Millions "))</f>
        <v>#REF!</v>
      </c>
      <c r="J4986" s="31">
        <v>11</v>
      </c>
      <c r="K4986" s="33" t="s">
        <v>73</v>
      </c>
      <c r="L4986" s="31" t="s">
        <v>74</v>
      </c>
    </row>
    <row r="4987" spans="1:12">
      <c r="A4987" s="31" t="s">
        <v>75</v>
      </c>
      <c r="B4987" s="39" t="e">
        <f>TRUNC((A4973-SUM(C4985:C4986))/100000)</f>
        <v>#REF!</v>
      </c>
      <c r="C4987" s="31" t="e">
        <f>B4987*100000</f>
        <v>#REF!</v>
      </c>
      <c r="D4987" s="31" t="e">
        <f t="shared" si="480"/>
        <v>#REF!</v>
      </c>
      <c r="E4987" s="31" t="e">
        <f>IF(B4987&lt;1,"",IF(B4987&gt;1," Hundreds "," Hundred "))</f>
        <v>#REF!</v>
      </c>
      <c r="J4987" s="31">
        <v>12</v>
      </c>
      <c r="K4987" s="33" t="s">
        <v>76</v>
      </c>
      <c r="L4987" s="31" t="str">
        <f t="shared" ref="L4987:L4994" si="481">L4977&amp;" Belas"</f>
        <v>Dua Belas</v>
      </c>
    </row>
    <row r="4988" spans="1:12">
      <c r="A4988" s="33" t="s">
        <v>77</v>
      </c>
      <c r="B4988" s="40" t="e">
        <f>TRUNC((A4973-SUM(C4985:C4987))/1000)</f>
        <v>#REF!</v>
      </c>
      <c r="C4988" s="31" t="e">
        <f>B4988*1000</f>
        <v>#REF!</v>
      </c>
      <c r="D4988" s="31" t="e">
        <f t="shared" si="480"/>
        <v>#REF!</v>
      </c>
      <c r="E4988" s="31" t="e">
        <f>IF(B4987+B4988=0,"",IF(B4988=1," Thousand "," Thousands "))</f>
        <v>#REF!</v>
      </c>
      <c r="J4988" s="31">
        <v>13</v>
      </c>
      <c r="K4988" s="33" t="s">
        <v>78</v>
      </c>
      <c r="L4988" s="31" t="str">
        <f t="shared" si="481"/>
        <v>Tiga Belas</v>
      </c>
    </row>
    <row r="4989" spans="1:12">
      <c r="A4989" s="33" t="s">
        <v>79</v>
      </c>
      <c r="B4989" s="40" t="e">
        <f>TRUNC((A4973-SUM(C4985:C4988))/100)</f>
        <v>#REF!</v>
      </c>
      <c r="C4989" s="31" t="e">
        <f>B4989*100</f>
        <v>#REF!</v>
      </c>
      <c r="D4989" s="31" t="e">
        <f t="shared" si="480"/>
        <v>#REF!</v>
      </c>
      <c r="E4989" s="31" t="e">
        <f>IF(B4989&lt;1,"",IF(B4989&gt;1," Hundreds "," Hundred "))</f>
        <v>#REF!</v>
      </c>
      <c r="J4989" s="31">
        <v>14</v>
      </c>
      <c r="K4989" s="33" t="s">
        <v>80</v>
      </c>
      <c r="L4989" s="31" t="str">
        <f t="shared" si="481"/>
        <v>Empat Belas</v>
      </c>
    </row>
    <row r="4990" spans="1:12">
      <c r="A4990" s="33" t="s">
        <v>81</v>
      </c>
      <c r="B4990" s="41" t="e">
        <f>TRUNC((A4973-SUM(C4985:C4989)))</f>
        <v>#REF!</v>
      </c>
      <c r="C4990" s="42" t="e">
        <f>B4990</f>
        <v>#REF!</v>
      </c>
      <c r="D4990" s="31" t="e">
        <f t="shared" si="480"/>
        <v>#REF!</v>
      </c>
      <c r="E4990" s="31" t="e">
        <f>IF(SUM(C4985:C4990)&lt;1,"",IF(B4991&lt;1,""," And "))</f>
        <v>#REF!</v>
      </c>
      <c r="J4990" s="31">
        <v>15</v>
      </c>
      <c r="K4990" s="33" t="s">
        <v>82</v>
      </c>
      <c r="L4990" s="31" t="str">
        <f t="shared" si="481"/>
        <v>Lima Belas</v>
      </c>
    </row>
    <row r="4991" spans="1:12">
      <c r="A4991" s="33" t="s">
        <v>83</v>
      </c>
      <c r="B4991" s="40" t="e">
        <f>ROUND(A4973-SUM(C4985:C4990),2)*100</f>
        <v>#REF!</v>
      </c>
      <c r="D4991" s="43" t="e">
        <f t="shared" si="480"/>
        <v>#REF!</v>
      </c>
      <c r="E4991" s="31" t="e">
        <f>IF(B4991&lt;1,"",IF(B4991=1," Cent "," Cents "))</f>
        <v>#REF!</v>
      </c>
      <c r="J4991" s="31">
        <v>16</v>
      </c>
      <c r="K4991" s="33" t="s">
        <v>84</v>
      </c>
      <c r="L4991" s="31" t="str">
        <f t="shared" si="481"/>
        <v>Enam Belas</v>
      </c>
    </row>
    <row r="4992" spans="1:12">
      <c r="J4992" s="31">
        <v>17</v>
      </c>
      <c r="K4992" s="33" t="s">
        <v>85</v>
      </c>
      <c r="L4992" s="31" t="str">
        <f t="shared" si="481"/>
        <v>Tujuh Belas</v>
      </c>
    </row>
    <row r="4993" spans="1:12">
      <c r="A4993" s="44"/>
      <c r="J4993" s="31">
        <v>18</v>
      </c>
      <c r="K4993" s="33" t="s">
        <v>86</v>
      </c>
      <c r="L4993" s="31" t="str">
        <f t="shared" si="481"/>
        <v>Delapan Belas</v>
      </c>
    </row>
    <row r="4994" spans="1:12">
      <c r="A4994" s="38" t="s">
        <v>87</v>
      </c>
      <c r="J4994" s="31">
        <v>19</v>
      </c>
      <c r="K4994" s="33" t="s">
        <v>88</v>
      </c>
      <c r="L4994" s="31" t="str">
        <f t="shared" si="481"/>
        <v>Sembilan Belas</v>
      </c>
    </row>
    <row r="4995" spans="1:12">
      <c r="A4995" s="31" t="s">
        <v>69</v>
      </c>
      <c r="B4995" s="39" t="e">
        <f>TRUNC(A4973/100000000)</f>
        <v>#REF!</v>
      </c>
      <c r="C4995" s="31" t="e">
        <f>B4995*100000000</f>
        <v>#REF!</v>
      </c>
      <c r="D4995" s="31" t="e">
        <f>IF(B4995&lt;1,"",IF(B4995=1,"",VLOOKUP(B4995,$J$3:$L$102,3)))</f>
        <v>#REF!</v>
      </c>
      <c r="E4995" s="31" t="e">
        <f>IF(B4995&lt;1,"",IF(B4995=1,"Seratus "," Ratus "))</f>
        <v>#REF!</v>
      </c>
      <c r="J4995" s="31">
        <v>20</v>
      </c>
      <c r="K4995" s="33" t="s">
        <v>89</v>
      </c>
      <c r="L4995" s="31" t="s">
        <v>90</v>
      </c>
    </row>
    <row r="4996" spans="1:12">
      <c r="A4996" s="31" t="s">
        <v>72</v>
      </c>
      <c r="B4996" s="39" t="e">
        <f>TRUNC((A4973-C4995)/1000000)</f>
        <v>#REF!</v>
      </c>
      <c r="C4996" s="31" t="e">
        <f>B4996*1000000</f>
        <v>#REF!</v>
      </c>
      <c r="D4996" s="31" t="e">
        <f>IF(B4996&lt;1,"",VLOOKUP(B4996,$J$3:$L$102,3))</f>
        <v>#REF!</v>
      </c>
      <c r="E4996" s="31" t="e">
        <f>IF(B4995+B4996=0,""," Juta ")</f>
        <v>#REF!</v>
      </c>
      <c r="J4996" s="31">
        <v>21</v>
      </c>
      <c r="K4996" s="33" t="s">
        <v>91</v>
      </c>
      <c r="L4996" s="31" t="str">
        <f t="shared" ref="L4996:L5004" si="482">$L$23&amp;" "&amp;L4976</f>
        <v>Dua Puluh Satu</v>
      </c>
    </row>
    <row r="4997" spans="1:12">
      <c r="A4997" s="31" t="s">
        <v>75</v>
      </c>
      <c r="B4997" s="39" t="e">
        <f>TRUNC((A4973-SUM(C4995:C4996))/100000)</f>
        <v>#REF!</v>
      </c>
      <c r="C4997" s="31" t="e">
        <f>B4997*100000</f>
        <v>#REF!</v>
      </c>
      <c r="D4997" s="31" t="e">
        <f>IF(B4997&lt;1,"",IF(B4997=1,"",VLOOKUP(B4997,$J$3:$L$102,3)))</f>
        <v>#REF!</v>
      </c>
      <c r="E4997" s="31" t="e">
        <f>IF(B4997&lt;1,"",IF(B4997=1," Seratus "," Ratus "))</f>
        <v>#REF!</v>
      </c>
      <c r="J4997" s="31">
        <v>22</v>
      </c>
      <c r="K4997" s="33" t="s">
        <v>92</v>
      </c>
      <c r="L4997" s="31" t="str">
        <f t="shared" si="482"/>
        <v>Dua Puluh Dua</v>
      </c>
    </row>
    <row r="4998" spans="1:12">
      <c r="A4998" s="33" t="s">
        <v>77</v>
      </c>
      <c r="B4998" s="40" t="e">
        <f>TRUNC((A4973-SUM(C4995:C4997))/1000)</f>
        <v>#REF!</v>
      </c>
      <c r="C4998" s="31" t="e">
        <f>B4998*1000</f>
        <v>#REF!</v>
      </c>
      <c r="D4998" s="31" t="e">
        <f>IF(B4998&lt;1,"",IF(B4998=1,"",VLOOKUP(B4998,$J$3:$L$102,3)))</f>
        <v>#REF!</v>
      </c>
      <c r="E4998" s="31" t="e">
        <f>IF(B4997+B4998&lt;1,"",IF(B4998=1," Seribu "," Ribu "))</f>
        <v>#REF!</v>
      </c>
      <c r="J4998" s="31">
        <v>23</v>
      </c>
      <c r="K4998" s="33" t="s">
        <v>93</v>
      </c>
      <c r="L4998" s="31" t="str">
        <f t="shared" si="482"/>
        <v>Dua Puluh Tiga</v>
      </c>
    </row>
    <row r="4999" spans="1:12">
      <c r="A4999" s="33" t="s">
        <v>79</v>
      </c>
      <c r="B4999" s="40" t="e">
        <f>TRUNC((A4973-SUM(C4995:C4998))/100)</f>
        <v>#REF!</v>
      </c>
      <c r="C4999" s="31" t="e">
        <f>B4999*100</f>
        <v>#REF!</v>
      </c>
      <c r="D4999" s="31" t="e">
        <f>IF(B4999&lt;1,"",IF(B4999=1,"",VLOOKUP(B4999,$J$3:$L$102,3)))</f>
        <v>#REF!</v>
      </c>
      <c r="E4999" s="31" t="e">
        <f>IF(B4999&lt;1,"",IF(B4999=1," Seratus "," Ratus "))</f>
        <v>#REF!</v>
      </c>
      <c r="J4999" s="31">
        <v>24</v>
      </c>
      <c r="K4999" s="33" t="s">
        <v>94</v>
      </c>
      <c r="L4999" s="31" t="str">
        <f t="shared" si="482"/>
        <v>Dua Puluh Empat</v>
      </c>
    </row>
    <row r="5000" spans="1:12">
      <c r="A5000" s="33" t="s">
        <v>81</v>
      </c>
      <c r="B5000" s="41" t="e">
        <f>TRUNC((A4973-SUM(C4995:C4999)))</f>
        <v>#REF!</v>
      </c>
      <c r="C5000" s="42" t="e">
        <f>B5000</f>
        <v>#REF!</v>
      </c>
      <c r="D5000" s="31" t="e">
        <f>IF(B5000&lt;1,"",VLOOKUP(B5000,$J$3:$L$102,3))</f>
        <v>#REF!</v>
      </c>
      <c r="E5000" s="31" t="e">
        <f>IF(SUM(C4995:C5000)&lt;1,"",IF(B5001&lt;1,""," Dan "))</f>
        <v>#REF!</v>
      </c>
      <c r="J5000" s="31">
        <v>25</v>
      </c>
      <c r="K5000" s="33" t="s">
        <v>95</v>
      </c>
      <c r="L5000" s="31" t="str">
        <f t="shared" si="482"/>
        <v>Dua Puluh Lima</v>
      </c>
    </row>
    <row r="5001" spans="1:12">
      <c r="A5001" s="33" t="s">
        <v>83</v>
      </c>
      <c r="B5001" s="40" t="e">
        <f>ROUND(A4973-SUM(C4995:C5000),2)*100</f>
        <v>#REF!</v>
      </c>
      <c r="D5001" s="31" t="e">
        <f>IF(B5001&lt;1,"",VLOOKUP(B5001,$J$3:$L$102,3))</f>
        <v>#REF!</v>
      </c>
      <c r="E5001" s="31" t="e">
        <f>IF(B5001&lt;1,""," Sen ")</f>
        <v>#REF!</v>
      </c>
      <c r="J5001" s="31">
        <v>26</v>
      </c>
      <c r="K5001" s="33" t="s">
        <v>96</v>
      </c>
      <c r="L5001" s="31" t="str">
        <f t="shared" si="482"/>
        <v>Dua Puluh Enam</v>
      </c>
    </row>
    <row r="5002" spans="1:12">
      <c r="J5002" s="31">
        <v>27</v>
      </c>
      <c r="K5002" s="33" t="s">
        <v>97</v>
      </c>
      <c r="L5002" s="31" t="str">
        <f t="shared" si="482"/>
        <v>Dua Puluh Tujuh</v>
      </c>
    </row>
    <row r="5003" spans="1:12">
      <c r="J5003" s="31">
        <v>28</v>
      </c>
      <c r="K5003" s="33" t="s">
        <v>98</v>
      </c>
      <c r="L5003" s="31" t="str">
        <f t="shared" si="482"/>
        <v>Dua Puluh Delapan</v>
      </c>
    </row>
    <row r="5004" spans="1:12">
      <c r="J5004" s="31">
        <v>29</v>
      </c>
      <c r="K5004" s="33" t="s">
        <v>99</v>
      </c>
      <c r="L5004" s="31" t="str">
        <f t="shared" si="482"/>
        <v>Dua Puluh Sembilan</v>
      </c>
    </row>
    <row r="5005" spans="1:12">
      <c r="J5005" s="31">
        <v>30</v>
      </c>
      <c r="K5005" s="33" t="s">
        <v>100</v>
      </c>
      <c r="L5005" s="31" t="s">
        <v>101</v>
      </c>
    </row>
    <row r="5006" spans="1:12">
      <c r="J5006" s="31">
        <v>31</v>
      </c>
      <c r="K5006" s="33" t="s">
        <v>102</v>
      </c>
      <c r="L5006" s="31" t="str">
        <f t="shared" ref="L5006:L5014" si="483">$L$33&amp;" "&amp;L4976</f>
        <v>Tiga Puluh Satu</v>
      </c>
    </row>
    <row r="5007" spans="1:12">
      <c r="J5007" s="31">
        <v>32</v>
      </c>
      <c r="K5007" s="33" t="s">
        <v>103</v>
      </c>
      <c r="L5007" s="31" t="str">
        <f t="shared" si="483"/>
        <v>Tiga Puluh Dua</v>
      </c>
    </row>
    <row r="5008" spans="1:12">
      <c r="J5008" s="31">
        <v>33</v>
      </c>
      <c r="K5008" s="33" t="s">
        <v>104</v>
      </c>
      <c r="L5008" s="31" t="str">
        <f t="shared" si="483"/>
        <v>Tiga Puluh Tiga</v>
      </c>
    </row>
    <row r="5009" spans="1:12">
      <c r="J5009" s="31">
        <v>34</v>
      </c>
      <c r="K5009" s="33" t="s">
        <v>105</v>
      </c>
      <c r="L5009" s="31" t="str">
        <f t="shared" si="483"/>
        <v>Tiga Puluh Empat</v>
      </c>
    </row>
    <row r="5010" spans="1:12">
      <c r="J5010" s="31">
        <v>35</v>
      </c>
      <c r="K5010" s="33" t="s">
        <v>106</v>
      </c>
      <c r="L5010" s="31" t="str">
        <f t="shared" si="483"/>
        <v>Tiga Puluh Lima</v>
      </c>
    </row>
    <row r="5011" spans="1:12">
      <c r="J5011" s="31">
        <v>36</v>
      </c>
      <c r="K5011" s="33" t="s">
        <v>107</v>
      </c>
      <c r="L5011" s="31" t="str">
        <f t="shared" si="483"/>
        <v>Tiga Puluh Enam</v>
      </c>
    </row>
    <row r="5012" spans="1:12">
      <c r="J5012" s="31">
        <v>37</v>
      </c>
      <c r="K5012" s="33" t="s">
        <v>108</v>
      </c>
      <c r="L5012" s="31" t="str">
        <f t="shared" si="483"/>
        <v>Tiga Puluh Tujuh</v>
      </c>
    </row>
    <row r="5013" spans="1:12">
      <c r="J5013" s="31">
        <v>38</v>
      </c>
      <c r="K5013" s="33" t="s">
        <v>109</v>
      </c>
      <c r="L5013" s="31" t="str">
        <f t="shared" si="483"/>
        <v>Tiga Puluh Delapan</v>
      </c>
    </row>
    <row r="5014" spans="1:12">
      <c r="J5014" s="31">
        <v>39</v>
      </c>
      <c r="K5014" s="33" t="s">
        <v>110</v>
      </c>
      <c r="L5014" s="31" t="str">
        <f t="shared" si="483"/>
        <v>Tiga Puluh Sembilan</v>
      </c>
    </row>
    <row r="5015" spans="1:12">
      <c r="B5015" s="35"/>
      <c r="C5015" s="35"/>
      <c r="D5015" s="35"/>
      <c r="J5015" s="31">
        <v>40</v>
      </c>
      <c r="K5015" s="33" t="s">
        <v>111</v>
      </c>
      <c r="L5015" s="31" t="s">
        <v>112</v>
      </c>
    </row>
    <row r="5016" spans="1:12">
      <c r="A5016" s="35"/>
      <c r="B5016" s="35"/>
      <c r="C5016" s="35"/>
      <c r="D5016" s="35"/>
      <c r="J5016" s="31">
        <v>41</v>
      </c>
      <c r="K5016" s="33" t="s">
        <v>113</v>
      </c>
      <c r="L5016" s="31" t="str">
        <f t="shared" ref="L5016:L5024" si="484">$L$43&amp;" "&amp;L4976</f>
        <v>Empat Puluh Satu</v>
      </c>
    </row>
    <row r="5017" spans="1:12">
      <c r="J5017" s="31">
        <v>42</v>
      </c>
      <c r="K5017" s="33" t="s">
        <v>114</v>
      </c>
      <c r="L5017" s="31" t="str">
        <f t="shared" si="484"/>
        <v>Empat Puluh Dua</v>
      </c>
    </row>
    <row r="5018" spans="1:12">
      <c r="A5018" s="38"/>
      <c r="J5018" s="31">
        <v>43</v>
      </c>
      <c r="K5018" s="33" t="s">
        <v>115</v>
      </c>
      <c r="L5018" s="31" t="str">
        <f t="shared" si="484"/>
        <v>Empat Puluh Tiga</v>
      </c>
    </row>
    <row r="5019" spans="1:12">
      <c r="J5019" s="31">
        <v>44</v>
      </c>
      <c r="K5019" s="33" t="s">
        <v>116</v>
      </c>
      <c r="L5019" s="31" t="str">
        <f t="shared" si="484"/>
        <v>Empat Puluh Empat</v>
      </c>
    </row>
    <row r="5020" spans="1:12">
      <c r="J5020" s="31">
        <v>45</v>
      </c>
      <c r="K5020" s="33" t="s">
        <v>117</v>
      </c>
      <c r="L5020" s="31" t="str">
        <f t="shared" si="484"/>
        <v>Empat Puluh Lima</v>
      </c>
    </row>
    <row r="5021" spans="1:12">
      <c r="J5021" s="31">
        <v>46</v>
      </c>
      <c r="K5021" s="33" t="s">
        <v>118</v>
      </c>
      <c r="L5021" s="31" t="str">
        <f t="shared" si="484"/>
        <v>Empat Puluh Enam</v>
      </c>
    </row>
    <row r="5022" spans="1:12">
      <c r="J5022" s="31">
        <v>47</v>
      </c>
      <c r="K5022" s="33" t="s">
        <v>119</v>
      </c>
      <c r="L5022" s="31" t="str">
        <f t="shared" si="484"/>
        <v>Empat Puluh Tujuh</v>
      </c>
    </row>
    <row r="5023" spans="1:12">
      <c r="J5023" s="31">
        <v>48</v>
      </c>
      <c r="K5023" s="33" t="s">
        <v>120</v>
      </c>
      <c r="L5023" s="31" t="str">
        <f t="shared" si="484"/>
        <v>Empat Puluh Delapan</v>
      </c>
    </row>
    <row r="5024" spans="1:12">
      <c r="J5024" s="31">
        <v>49</v>
      </c>
      <c r="K5024" s="33" t="s">
        <v>121</v>
      </c>
      <c r="L5024" s="31" t="str">
        <f t="shared" si="484"/>
        <v>Empat Puluh Sembilan</v>
      </c>
    </row>
    <row r="5025" spans="10:12">
      <c r="J5025" s="31">
        <v>50</v>
      </c>
      <c r="K5025" s="33" t="s">
        <v>122</v>
      </c>
      <c r="L5025" s="31" t="s">
        <v>123</v>
      </c>
    </row>
    <row r="5026" spans="10:12">
      <c r="J5026" s="31">
        <v>51</v>
      </c>
      <c r="K5026" s="33" t="s">
        <v>124</v>
      </c>
      <c r="L5026" s="31" t="str">
        <f t="shared" ref="L5026:L5034" si="485">$L$53&amp;" "&amp;L4976</f>
        <v>Lima Puluh Satu</v>
      </c>
    </row>
    <row r="5027" spans="10:12">
      <c r="J5027" s="31">
        <v>52</v>
      </c>
      <c r="K5027" s="33" t="s">
        <v>125</v>
      </c>
      <c r="L5027" s="31" t="str">
        <f t="shared" si="485"/>
        <v>Lima Puluh Dua</v>
      </c>
    </row>
    <row r="5028" spans="10:12">
      <c r="J5028" s="31">
        <v>53</v>
      </c>
      <c r="K5028" s="33" t="s">
        <v>126</v>
      </c>
      <c r="L5028" s="31" t="str">
        <f t="shared" si="485"/>
        <v>Lima Puluh Tiga</v>
      </c>
    </row>
    <row r="5029" spans="10:12">
      <c r="J5029" s="31">
        <v>54</v>
      </c>
      <c r="K5029" s="33" t="s">
        <v>127</v>
      </c>
      <c r="L5029" s="31" t="str">
        <f t="shared" si="485"/>
        <v>Lima Puluh Empat</v>
      </c>
    </row>
    <row r="5030" spans="10:12">
      <c r="J5030" s="31">
        <v>55</v>
      </c>
      <c r="K5030" s="33" t="s">
        <v>128</v>
      </c>
      <c r="L5030" s="31" t="str">
        <f t="shared" si="485"/>
        <v>Lima Puluh Lima</v>
      </c>
    </row>
    <row r="5031" spans="10:12">
      <c r="J5031" s="31">
        <v>56</v>
      </c>
      <c r="K5031" s="33" t="s">
        <v>129</v>
      </c>
      <c r="L5031" s="31" t="str">
        <f t="shared" si="485"/>
        <v>Lima Puluh Enam</v>
      </c>
    </row>
    <row r="5032" spans="10:12">
      <c r="J5032" s="31">
        <v>57</v>
      </c>
      <c r="K5032" s="33" t="s">
        <v>130</v>
      </c>
      <c r="L5032" s="31" t="str">
        <f t="shared" si="485"/>
        <v>Lima Puluh Tujuh</v>
      </c>
    </row>
    <row r="5033" spans="10:12">
      <c r="J5033" s="31">
        <v>58</v>
      </c>
      <c r="K5033" s="33" t="s">
        <v>131</v>
      </c>
      <c r="L5033" s="31" t="str">
        <f t="shared" si="485"/>
        <v>Lima Puluh Delapan</v>
      </c>
    </row>
    <row r="5034" spans="10:12">
      <c r="J5034" s="31">
        <v>59</v>
      </c>
      <c r="K5034" s="33" t="s">
        <v>132</v>
      </c>
      <c r="L5034" s="31" t="str">
        <f t="shared" si="485"/>
        <v>Lima Puluh Sembilan</v>
      </c>
    </row>
    <row r="5035" spans="10:12">
      <c r="J5035" s="31">
        <v>60</v>
      </c>
      <c r="K5035" s="33" t="s">
        <v>133</v>
      </c>
      <c r="L5035" s="31" t="s">
        <v>134</v>
      </c>
    </row>
    <row r="5036" spans="10:12">
      <c r="J5036" s="31">
        <v>61</v>
      </c>
      <c r="K5036" s="33" t="s">
        <v>135</v>
      </c>
      <c r="L5036" s="31" t="str">
        <f t="shared" ref="L5036:L5044" si="486">$L$63&amp;" "&amp;L4976</f>
        <v>Enam Puluh Satu</v>
      </c>
    </row>
    <row r="5037" spans="10:12">
      <c r="J5037" s="31">
        <v>62</v>
      </c>
      <c r="K5037" s="33" t="s">
        <v>136</v>
      </c>
      <c r="L5037" s="31" t="str">
        <f t="shared" si="486"/>
        <v>Enam Puluh Dua</v>
      </c>
    </row>
    <row r="5038" spans="10:12">
      <c r="J5038" s="31">
        <v>63</v>
      </c>
      <c r="K5038" s="33" t="s">
        <v>137</v>
      </c>
      <c r="L5038" s="31" t="str">
        <f t="shared" si="486"/>
        <v>Enam Puluh Tiga</v>
      </c>
    </row>
    <row r="5039" spans="10:12">
      <c r="J5039" s="31">
        <v>64</v>
      </c>
      <c r="K5039" s="33" t="s">
        <v>138</v>
      </c>
      <c r="L5039" s="31" t="str">
        <f t="shared" si="486"/>
        <v>Enam Puluh Empat</v>
      </c>
    </row>
    <row r="5040" spans="10:12">
      <c r="J5040" s="31">
        <v>65</v>
      </c>
      <c r="K5040" s="33" t="s">
        <v>139</v>
      </c>
      <c r="L5040" s="31" t="str">
        <f t="shared" si="486"/>
        <v>Enam Puluh Lima</v>
      </c>
    </row>
    <row r="5041" spans="10:12">
      <c r="J5041" s="31">
        <v>66</v>
      </c>
      <c r="K5041" s="33" t="s">
        <v>140</v>
      </c>
      <c r="L5041" s="31" t="str">
        <f t="shared" si="486"/>
        <v>Enam Puluh Enam</v>
      </c>
    </row>
    <row r="5042" spans="10:12">
      <c r="J5042" s="31">
        <v>67</v>
      </c>
      <c r="K5042" s="33" t="s">
        <v>141</v>
      </c>
      <c r="L5042" s="31" t="str">
        <f t="shared" si="486"/>
        <v>Enam Puluh Tujuh</v>
      </c>
    </row>
    <row r="5043" spans="10:12">
      <c r="J5043" s="31">
        <v>68</v>
      </c>
      <c r="K5043" s="33" t="s">
        <v>142</v>
      </c>
      <c r="L5043" s="31" t="str">
        <f t="shared" si="486"/>
        <v>Enam Puluh Delapan</v>
      </c>
    </row>
    <row r="5044" spans="10:12">
      <c r="J5044" s="31">
        <v>69</v>
      </c>
      <c r="K5044" s="33" t="s">
        <v>143</v>
      </c>
      <c r="L5044" s="31" t="str">
        <f t="shared" si="486"/>
        <v>Enam Puluh Sembilan</v>
      </c>
    </row>
    <row r="5045" spans="10:12">
      <c r="J5045" s="31">
        <v>70</v>
      </c>
      <c r="K5045" s="33" t="s">
        <v>144</v>
      </c>
      <c r="L5045" s="31" t="s">
        <v>145</v>
      </c>
    </row>
    <row r="5046" spans="10:12">
      <c r="J5046" s="31">
        <v>71</v>
      </c>
      <c r="K5046" s="33" t="s">
        <v>146</v>
      </c>
      <c r="L5046" s="31" t="str">
        <f t="shared" ref="L5046:L5054" si="487">$L$73&amp;" "&amp;L4976</f>
        <v>Tujuh Puluh Satu</v>
      </c>
    </row>
    <row r="5047" spans="10:12">
      <c r="J5047" s="31">
        <v>72</v>
      </c>
      <c r="K5047" s="33" t="s">
        <v>147</v>
      </c>
      <c r="L5047" s="31" t="str">
        <f t="shared" si="487"/>
        <v>Tujuh Puluh Dua</v>
      </c>
    </row>
    <row r="5048" spans="10:12">
      <c r="J5048" s="31">
        <v>73</v>
      </c>
      <c r="K5048" s="33" t="s">
        <v>148</v>
      </c>
      <c r="L5048" s="31" t="str">
        <f t="shared" si="487"/>
        <v>Tujuh Puluh Tiga</v>
      </c>
    </row>
    <row r="5049" spans="10:12">
      <c r="J5049" s="31">
        <v>74</v>
      </c>
      <c r="K5049" s="33" t="s">
        <v>149</v>
      </c>
      <c r="L5049" s="31" t="str">
        <f t="shared" si="487"/>
        <v>Tujuh Puluh Empat</v>
      </c>
    </row>
    <row r="5050" spans="10:12">
      <c r="J5050" s="31">
        <v>75</v>
      </c>
      <c r="K5050" s="33" t="s">
        <v>150</v>
      </c>
      <c r="L5050" s="31" t="str">
        <f t="shared" si="487"/>
        <v>Tujuh Puluh Lima</v>
      </c>
    </row>
    <row r="5051" spans="10:12">
      <c r="J5051" s="31">
        <v>76</v>
      </c>
      <c r="K5051" s="33" t="s">
        <v>151</v>
      </c>
      <c r="L5051" s="31" t="str">
        <f t="shared" si="487"/>
        <v>Tujuh Puluh Enam</v>
      </c>
    </row>
    <row r="5052" spans="10:12">
      <c r="J5052" s="31">
        <v>77</v>
      </c>
      <c r="K5052" s="33" t="s">
        <v>152</v>
      </c>
      <c r="L5052" s="31" t="str">
        <f t="shared" si="487"/>
        <v>Tujuh Puluh Tujuh</v>
      </c>
    </row>
    <row r="5053" spans="10:12">
      <c r="J5053" s="31">
        <v>78</v>
      </c>
      <c r="K5053" s="33" t="s">
        <v>153</v>
      </c>
      <c r="L5053" s="31" t="str">
        <f t="shared" si="487"/>
        <v>Tujuh Puluh Delapan</v>
      </c>
    </row>
    <row r="5054" spans="10:12">
      <c r="J5054" s="31">
        <v>79</v>
      </c>
      <c r="K5054" s="33" t="s">
        <v>154</v>
      </c>
      <c r="L5054" s="31" t="str">
        <f t="shared" si="487"/>
        <v>Tujuh Puluh Sembilan</v>
      </c>
    </row>
    <row r="5055" spans="10:12">
      <c r="J5055" s="31">
        <v>80</v>
      </c>
      <c r="K5055" s="33" t="s">
        <v>155</v>
      </c>
      <c r="L5055" s="31" t="s">
        <v>156</v>
      </c>
    </row>
    <row r="5056" spans="10:12">
      <c r="J5056" s="31">
        <v>81</v>
      </c>
      <c r="K5056" s="33" t="s">
        <v>157</v>
      </c>
      <c r="L5056" s="31" t="str">
        <f t="shared" ref="L5056:L5064" si="488">$L$83&amp;" "&amp;L4976</f>
        <v>Delapan Puluh Satu</v>
      </c>
    </row>
    <row r="5057" spans="10:12">
      <c r="J5057" s="31">
        <v>82</v>
      </c>
      <c r="K5057" s="33" t="s">
        <v>158</v>
      </c>
      <c r="L5057" s="31" t="str">
        <f t="shared" si="488"/>
        <v>Delapan Puluh Dua</v>
      </c>
    </row>
    <row r="5058" spans="10:12">
      <c r="J5058" s="31">
        <v>83</v>
      </c>
      <c r="K5058" s="33" t="s">
        <v>159</v>
      </c>
      <c r="L5058" s="31" t="str">
        <f t="shared" si="488"/>
        <v>Delapan Puluh Tiga</v>
      </c>
    </row>
    <row r="5059" spans="10:12">
      <c r="J5059" s="31">
        <v>84</v>
      </c>
      <c r="K5059" s="33" t="s">
        <v>160</v>
      </c>
      <c r="L5059" s="31" t="str">
        <f t="shared" si="488"/>
        <v>Delapan Puluh Empat</v>
      </c>
    </row>
    <row r="5060" spans="10:12">
      <c r="J5060" s="31">
        <v>85</v>
      </c>
      <c r="K5060" s="33" t="s">
        <v>161</v>
      </c>
      <c r="L5060" s="31" t="str">
        <f t="shared" si="488"/>
        <v>Delapan Puluh Lima</v>
      </c>
    </row>
    <row r="5061" spans="10:12">
      <c r="J5061" s="31">
        <v>86</v>
      </c>
      <c r="K5061" s="33" t="s">
        <v>162</v>
      </c>
      <c r="L5061" s="31" t="str">
        <f t="shared" si="488"/>
        <v>Delapan Puluh Enam</v>
      </c>
    </row>
    <row r="5062" spans="10:12">
      <c r="J5062" s="31">
        <v>87</v>
      </c>
      <c r="K5062" s="33" t="s">
        <v>163</v>
      </c>
      <c r="L5062" s="31" t="str">
        <f t="shared" si="488"/>
        <v>Delapan Puluh Tujuh</v>
      </c>
    </row>
    <row r="5063" spans="10:12">
      <c r="J5063" s="31">
        <v>88</v>
      </c>
      <c r="K5063" s="33" t="s">
        <v>164</v>
      </c>
      <c r="L5063" s="31" t="str">
        <f t="shared" si="488"/>
        <v>Delapan Puluh Delapan</v>
      </c>
    </row>
    <row r="5064" spans="10:12">
      <c r="J5064" s="31">
        <v>89</v>
      </c>
      <c r="K5064" s="33" t="s">
        <v>165</v>
      </c>
      <c r="L5064" s="31" t="str">
        <f t="shared" si="488"/>
        <v>Delapan Puluh Sembilan</v>
      </c>
    </row>
    <row r="5065" spans="10:12">
      <c r="J5065" s="31">
        <v>90</v>
      </c>
      <c r="K5065" s="33" t="s">
        <v>166</v>
      </c>
      <c r="L5065" s="31" t="s">
        <v>167</v>
      </c>
    </row>
    <row r="5066" spans="10:12">
      <c r="J5066" s="31">
        <v>91</v>
      </c>
      <c r="K5066" s="33" t="s">
        <v>168</v>
      </c>
      <c r="L5066" s="31" t="str">
        <f t="shared" ref="L5066:L5074" si="489">$L$93&amp;" "&amp;L4976</f>
        <v>Sembilan Puluh Satu</v>
      </c>
    </row>
    <row r="5067" spans="10:12">
      <c r="J5067" s="31">
        <v>92</v>
      </c>
      <c r="K5067" s="33" t="s">
        <v>169</v>
      </c>
      <c r="L5067" s="31" t="str">
        <f t="shared" si="489"/>
        <v>Sembilan Puluh Dua</v>
      </c>
    </row>
    <row r="5068" spans="10:12">
      <c r="J5068" s="31">
        <v>93</v>
      </c>
      <c r="K5068" s="33" t="s">
        <v>170</v>
      </c>
      <c r="L5068" s="31" t="str">
        <f t="shared" si="489"/>
        <v>Sembilan Puluh Tiga</v>
      </c>
    </row>
    <row r="5069" spans="10:12">
      <c r="J5069" s="31">
        <v>94</v>
      </c>
      <c r="K5069" s="33" t="s">
        <v>171</v>
      </c>
      <c r="L5069" s="31" t="str">
        <f t="shared" si="489"/>
        <v>Sembilan Puluh Empat</v>
      </c>
    </row>
    <row r="5070" spans="10:12">
      <c r="J5070" s="31">
        <v>95</v>
      </c>
      <c r="K5070" s="33" t="s">
        <v>172</v>
      </c>
      <c r="L5070" s="31" t="str">
        <f t="shared" si="489"/>
        <v>Sembilan Puluh Lima</v>
      </c>
    </row>
    <row r="5071" spans="10:12">
      <c r="J5071" s="31">
        <v>96</v>
      </c>
      <c r="K5071" s="33" t="s">
        <v>173</v>
      </c>
      <c r="L5071" s="31" t="str">
        <f t="shared" si="489"/>
        <v>Sembilan Puluh Enam</v>
      </c>
    </row>
    <row r="5072" spans="10:12">
      <c r="J5072" s="31">
        <v>97</v>
      </c>
      <c r="K5072" s="33" t="s">
        <v>174</v>
      </c>
      <c r="L5072" s="31" t="str">
        <f t="shared" si="489"/>
        <v>Sembilan Puluh Tujuh</v>
      </c>
    </row>
    <row r="5073" spans="1:12">
      <c r="J5073" s="31">
        <v>98</v>
      </c>
      <c r="K5073" s="33" t="s">
        <v>175</v>
      </c>
      <c r="L5073" s="31" t="str">
        <f t="shared" si="489"/>
        <v>Sembilan Puluh Delapan</v>
      </c>
    </row>
    <row r="5074" spans="1:12">
      <c r="J5074" s="31">
        <v>99</v>
      </c>
      <c r="K5074" s="33" t="s">
        <v>176</v>
      </c>
      <c r="L5074" s="31" t="str">
        <f t="shared" si="489"/>
        <v>Sembilan Puluh Sembilan</v>
      </c>
    </row>
    <row r="5076" spans="1:12">
      <c r="A5076" s="30" t="e">
        <f>#REF!</f>
        <v>#REF!</v>
      </c>
      <c r="C5076" s="31" t="s">
        <v>245</v>
      </c>
    </row>
    <row r="5077" spans="1:12">
      <c r="A5077" s="32"/>
    </row>
    <row r="5078" spans="1:12">
      <c r="J5078" s="31">
        <v>0</v>
      </c>
      <c r="K5078" s="33" t="s">
        <v>48</v>
      </c>
      <c r="L5078" s="31" t="s">
        <v>49</v>
      </c>
    </row>
    <row r="5079" spans="1:12">
      <c r="A5079" s="34"/>
      <c r="J5079" s="31">
        <v>1</v>
      </c>
      <c r="K5079" s="33" t="s">
        <v>50</v>
      </c>
      <c r="L5079" s="31" t="s">
        <v>51</v>
      </c>
    </row>
    <row r="5080" spans="1:12">
      <c r="A5080" s="255" t="e">
        <f>TRIM(D5088&amp;E5088&amp;D5089&amp;E5089&amp;D5090&amp;E5090&amp;D5091&amp;E5091&amp;D5092&amp;E5092&amp;D5093&amp;E5093&amp;E5094&amp;D5094&amp;" Only")</f>
        <v>#REF!</v>
      </c>
      <c r="B5080" s="255"/>
      <c r="C5080" s="255"/>
      <c r="D5080" s="255"/>
      <c r="E5080" s="35"/>
      <c r="F5080" s="36"/>
      <c r="J5080" s="31">
        <v>2</v>
      </c>
      <c r="K5080" s="33" t="s">
        <v>52</v>
      </c>
      <c r="L5080" s="31" t="s">
        <v>53</v>
      </c>
    </row>
    <row r="5081" spans="1:12">
      <c r="A5081" s="37"/>
      <c r="B5081" s="37"/>
      <c r="C5081" s="37"/>
      <c r="D5081" s="37"/>
      <c r="E5081" s="35"/>
      <c r="F5081" s="36"/>
      <c r="J5081" s="31">
        <v>3</v>
      </c>
      <c r="K5081" s="33" t="s">
        <v>54</v>
      </c>
      <c r="L5081" s="31" t="s">
        <v>55</v>
      </c>
    </row>
    <row r="5082" spans="1:12">
      <c r="A5082" s="37"/>
      <c r="B5082" s="37"/>
      <c r="C5082" s="37"/>
      <c r="D5082" s="37"/>
      <c r="J5082" s="31">
        <v>4</v>
      </c>
      <c r="K5082" s="33" t="s">
        <v>56</v>
      </c>
      <c r="L5082" s="31" t="s">
        <v>57</v>
      </c>
    </row>
    <row r="5083" spans="1:12">
      <c r="A5083" s="255" t="e">
        <f>TRIM(D5098&amp;E5098&amp;D5099&amp;E5099&amp;D5100&amp;E5100&amp;D5101&amp;E5101&amp;D5102&amp;E5102&amp;D5103&amp;E5103&amp;D5104&amp;E5104&amp;" Rupiah")</f>
        <v>#REF!</v>
      </c>
      <c r="B5083" s="255"/>
      <c r="C5083" s="255"/>
      <c r="D5083" s="255"/>
      <c r="E5083" s="35"/>
      <c r="F5083" s="36"/>
      <c r="J5083" s="31">
        <v>5</v>
      </c>
      <c r="K5083" s="33" t="s">
        <v>58</v>
      </c>
      <c r="L5083" s="31" t="s">
        <v>59</v>
      </c>
    </row>
    <row r="5084" spans="1:12">
      <c r="A5084" s="35"/>
      <c r="B5084" s="35"/>
      <c r="C5084" s="35"/>
      <c r="D5084" s="35"/>
      <c r="E5084" s="35"/>
      <c r="F5084" s="36"/>
      <c r="J5084" s="31">
        <v>6</v>
      </c>
      <c r="K5084" s="33" t="s">
        <v>60</v>
      </c>
      <c r="L5084" s="31" t="s">
        <v>61</v>
      </c>
    </row>
    <row r="5085" spans="1:12">
      <c r="J5085" s="31">
        <v>7</v>
      </c>
      <c r="K5085" s="33" t="s">
        <v>62</v>
      </c>
      <c r="L5085" s="31" t="s">
        <v>63</v>
      </c>
    </row>
    <row r="5086" spans="1:12">
      <c r="J5086" s="31">
        <v>8</v>
      </c>
      <c r="K5086" s="33" t="s">
        <v>64</v>
      </c>
      <c r="L5086" s="31" t="s">
        <v>65</v>
      </c>
    </row>
    <row r="5087" spans="1:12">
      <c r="A5087" s="38" t="s">
        <v>66</v>
      </c>
      <c r="J5087" s="31">
        <v>9</v>
      </c>
      <c r="K5087" s="33" t="s">
        <v>67</v>
      </c>
      <c r="L5087" s="31" t="s">
        <v>68</v>
      </c>
    </row>
    <row r="5088" spans="1:12">
      <c r="A5088" s="31" t="s">
        <v>69</v>
      </c>
      <c r="B5088" s="39" t="e">
        <f>TRUNC(A5076/100000000)</f>
        <v>#REF!</v>
      </c>
      <c r="C5088" s="31" t="e">
        <f>B5088*100000000</f>
        <v>#REF!</v>
      </c>
      <c r="D5088" s="31" t="e">
        <f t="shared" ref="D5088:D5094" si="490">IF(B5088&lt;1,"",VLOOKUP(B5088,$J$3:$K$102,2))</f>
        <v>#REF!</v>
      </c>
      <c r="E5088" s="31" t="e">
        <f>IF(B5088&lt;1,"",IF(B5088&gt;1," Hundreds "," Hundred "))</f>
        <v>#REF!</v>
      </c>
      <c r="J5088" s="31">
        <v>10</v>
      </c>
      <c r="K5088" s="33" t="s">
        <v>70</v>
      </c>
      <c r="L5088" s="31" t="s">
        <v>71</v>
      </c>
    </row>
    <row r="5089" spans="1:12">
      <c r="A5089" s="31" t="s">
        <v>72</v>
      </c>
      <c r="B5089" s="39" t="e">
        <f>TRUNC((A5076-C5088)/1000000)</f>
        <v>#REF!</v>
      </c>
      <c r="C5089" s="31" t="e">
        <f>B5089*1000000</f>
        <v>#REF!</v>
      </c>
      <c r="D5089" s="31" t="e">
        <f t="shared" si="490"/>
        <v>#REF!</v>
      </c>
      <c r="E5089" s="31" t="e">
        <f>IF(B5088+B5089=0,"",IF(B5089=1," Million "," Millions "))</f>
        <v>#REF!</v>
      </c>
      <c r="J5089" s="31">
        <v>11</v>
      </c>
      <c r="K5089" s="33" t="s">
        <v>73</v>
      </c>
      <c r="L5089" s="31" t="s">
        <v>74</v>
      </c>
    </row>
    <row r="5090" spans="1:12">
      <c r="A5090" s="31" t="s">
        <v>75</v>
      </c>
      <c r="B5090" s="39" t="e">
        <f>TRUNC((A5076-SUM(C5088:C5089))/100000)</f>
        <v>#REF!</v>
      </c>
      <c r="C5090" s="31" t="e">
        <f>B5090*100000</f>
        <v>#REF!</v>
      </c>
      <c r="D5090" s="31" t="e">
        <f t="shared" si="490"/>
        <v>#REF!</v>
      </c>
      <c r="E5090" s="31" t="e">
        <f>IF(B5090&lt;1,"",IF(B5090&gt;1," Hundreds "," Hundred "))</f>
        <v>#REF!</v>
      </c>
      <c r="J5090" s="31">
        <v>12</v>
      </c>
      <c r="K5090" s="33" t="s">
        <v>76</v>
      </c>
      <c r="L5090" s="31" t="str">
        <f t="shared" ref="L5090:L5097" si="491">L5080&amp;" Belas"</f>
        <v>Dua Belas</v>
      </c>
    </row>
    <row r="5091" spans="1:12">
      <c r="A5091" s="33" t="s">
        <v>77</v>
      </c>
      <c r="B5091" s="40" t="e">
        <f>TRUNC((A5076-SUM(C5088:C5090))/1000)</f>
        <v>#REF!</v>
      </c>
      <c r="C5091" s="31" t="e">
        <f>B5091*1000</f>
        <v>#REF!</v>
      </c>
      <c r="D5091" s="31" t="e">
        <f t="shared" si="490"/>
        <v>#REF!</v>
      </c>
      <c r="E5091" s="31" t="e">
        <f>IF(B5090+B5091=0,"",IF(B5091=1," Thousand "," Thousands "))</f>
        <v>#REF!</v>
      </c>
      <c r="J5091" s="31">
        <v>13</v>
      </c>
      <c r="K5091" s="33" t="s">
        <v>78</v>
      </c>
      <c r="L5091" s="31" t="str">
        <f t="shared" si="491"/>
        <v>Tiga Belas</v>
      </c>
    </row>
    <row r="5092" spans="1:12">
      <c r="A5092" s="33" t="s">
        <v>79</v>
      </c>
      <c r="B5092" s="40" t="e">
        <f>TRUNC((A5076-SUM(C5088:C5091))/100)</f>
        <v>#REF!</v>
      </c>
      <c r="C5092" s="31" t="e">
        <f>B5092*100</f>
        <v>#REF!</v>
      </c>
      <c r="D5092" s="31" t="e">
        <f t="shared" si="490"/>
        <v>#REF!</v>
      </c>
      <c r="E5092" s="31" t="e">
        <f>IF(B5092&lt;1,"",IF(B5092&gt;1," Hundreds "," Hundred "))</f>
        <v>#REF!</v>
      </c>
      <c r="J5092" s="31">
        <v>14</v>
      </c>
      <c r="K5092" s="33" t="s">
        <v>80</v>
      </c>
      <c r="L5092" s="31" t="str">
        <f t="shared" si="491"/>
        <v>Empat Belas</v>
      </c>
    </row>
    <row r="5093" spans="1:12">
      <c r="A5093" s="33" t="s">
        <v>81</v>
      </c>
      <c r="B5093" s="41" t="e">
        <f>TRUNC((A5076-SUM(C5088:C5092)))</f>
        <v>#REF!</v>
      </c>
      <c r="C5093" s="42" t="e">
        <f>B5093</f>
        <v>#REF!</v>
      </c>
      <c r="D5093" s="31" t="e">
        <f t="shared" si="490"/>
        <v>#REF!</v>
      </c>
      <c r="E5093" s="31" t="e">
        <f>IF(SUM(C5088:C5093)&lt;1,"",IF(B5094&lt;1,""," And "))</f>
        <v>#REF!</v>
      </c>
      <c r="J5093" s="31">
        <v>15</v>
      </c>
      <c r="K5093" s="33" t="s">
        <v>82</v>
      </c>
      <c r="L5093" s="31" t="str">
        <f t="shared" si="491"/>
        <v>Lima Belas</v>
      </c>
    </row>
    <row r="5094" spans="1:12">
      <c r="A5094" s="33" t="s">
        <v>83</v>
      </c>
      <c r="B5094" s="40" t="e">
        <f>ROUND(A5076-SUM(C5088:C5093),2)*100</f>
        <v>#REF!</v>
      </c>
      <c r="D5094" s="43" t="e">
        <f t="shared" si="490"/>
        <v>#REF!</v>
      </c>
      <c r="E5094" s="31" t="e">
        <f>IF(B5094&lt;1,"",IF(B5094=1," Cent "," Cents "))</f>
        <v>#REF!</v>
      </c>
      <c r="J5094" s="31">
        <v>16</v>
      </c>
      <c r="K5094" s="33" t="s">
        <v>84</v>
      </c>
      <c r="L5094" s="31" t="str">
        <f t="shared" si="491"/>
        <v>Enam Belas</v>
      </c>
    </row>
    <row r="5095" spans="1:12">
      <c r="J5095" s="31">
        <v>17</v>
      </c>
      <c r="K5095" s="33" t="s">
        <v>85</v>
      </c>
      <c r="L5095" s="31" t="str">
        <f t="shared" si="491"/>
        <v>Tujuh Belas</v>
      </c>
    </row>
    <row r="5096" spans="1:12">
      <c r="A5096" s="44"/>
      <c r="J5096" s="31">
        <v>18</v>
      </c>
      <c r="K5096" s="33" t="s">
        <v>86</v>
      </c>
      <c r="L5096" s="31" t="str">
        <f t="shared" si="491"/>
        <v>Delapan Belas</v>
      </c>
    </row>
    <row r="5097" spans="1:12">
      <c r="A5097" s="38" t="s">
        <v>87</v>
      </c>
      <c r="J5097" s="31">
        <v>19</v>
      </c>
      <c r="K5097" s="33" t="s">
        <v>88</v>
      </c>
      <c r="L5097" s="31" t="str">
        <f t="shared" si="491"/>
        <v>Sembilan Belas</v>
      </c>
    </row>
    <row r="5098" spans="1:12">
      <c r="A5098" s="31" t="s">
        <v>69</v>
      </c>
      <c r="B5098" s="39" t="e">
        <f>TRUNC(A5076/100000000)</f>
        <v>#REF!</v>
      </c>
      <c r="C5098" s="31" t="e">
        <f>B5098*100000000</f>
        <v>#REF!</v>
      </c>
      <c r="D5098" s="31" t="e">
        <f>IF(B5098&lt;1,"",IF(B5098=1,"",VLOOKUP(B5098,$J$3:$L$102,3)))</f>
        <v>#REF!</v>
      </c>
      <c r="E5098" s="31" t="e">
        <f>IF(B5098&lt;1,"",IF(B5098=1,"Seratus "," Ratus "))</f>
        <v>#REF!</v>
      </c>
      <c r="J5098" s="31">
        <v>20</v>
      </c>
      <c r="K5098" s="33" t="s">
        <v>89</v>
      </c>
      <c r="L5098" s="31" t="s">
        <v>90</v>
      </c>
    </row>
    <row r="5099" spans="1:12">
      <c r="A5099" s="31" t="s">
        <v>72</v>
      </c>
      <c r="B5099" s="39" t="e">
        <f>TRUNC((A5076-C5098)/1000000)</f>
        <v>#REF!</v>
      </c>
      <c r="C5099" s="31" t="e">
        <f>B5099*1000000</f>
        <v>#REF!</v>
      </c>
      <c r="D5099" s="31" t="e">
        <f>IF(B5099&lt;1,"",VLOOKUP(B5099,$J$3:$L$102,3))</f>
        <v>#REF!</v>
      </c>
      <c r="E5099" s="31" t="e">
        <f>IF(B5098+B5099=0,""," Juta ")</f>
        <v>#REF!</v>
      </c>
      <c r="J5099" s="31">
        <v>21</v>
      </c>
      <c r="K5099" s="33" t="s">
        <v>91</v>
      </c>
      <c r="L5099" s="31" t="str">
        <f t="shared" ref="L5099:L5107" si="492">$L$23&amp;" "&amp;L5079</f>
        <v>Dua Puluh Satu</v>
      </c>
    </row>
    <row r="5100" spans="1:12">
      <c r="A5100" s="31" t="s">
        <v>75</v>
      </c>
      <c r="B5100" s="39" t="e">
        <f>TRUNC((A5076-SUM(C5098:C5099))/100000)</f>
        <v>#REF!</v>
      </c>
      <c r="C5100" s="31" t="e">
        <f>B5100*100000</f>
        <v>#REF!</v>
      </c>
      <c r="D5100" s="31" t="e">
        <f>IF(B5100&lt;1,"",IF(B5100=1,"",VLOOKUP(B5100,$J$3:$L$102,3)))</f>
        <v>#REF!</v>
      </c>
      <c r="E5100" s="31" t="e">
        <f>IF(B5100&lt;1,"",IF(B5100=1," Seratus "," Ratus "))</f>
        <v>#REF!</v>
      </c>
      <c r="J5100" s="31">
        <v>22</v>
      </c>
      <c r="K5100" s="33" t="s">
        <v>92</v>
      </c>
      <c r="L5100" s="31" t="str">
        <f t="shared" si="492"/>
        <v>Dua Puluh Dua</v>
      </c>
    </row>
    <row r="5101" spans="1:12">
      <c r="A5101" s="33" t="s">
        <v>77</v>
      </c>
      <c r="B5101" s="40" t="e">
        <f>TRUNC((A5076-SUM(C5098:C5100))/1000)</f>
        <v>#REF!</v>
      </c>
      <c r="C5101" s="31" t="e">
        <f>B5101*1000</f>
        <v>#REF!</v>
      </c>
      <c r="D5101" s="31" t="e">
        <f>IF(B5101&lt;1,"",IF(B5101=1,"",VLOOKUP(B5101,$J$3:$L$102,3)))</f>
        <v>#REF!</v>
      </c>
      <c r="E5101" s="31" t="e">
        <f>IF(B5100+B5101&lt;1,"",IF(B5101=1," Seribu "," Ribu "))</f>
        <v>#REF!</v>
      </c>
      <c r="J5101" s="31">
        <v>23</v>
      </c>
      <c r="K5101" s="33" t="s">
        <v>93</v>
      </c>
      <c r="L5101" s="31" t="str">
        <f t="shared" si="492"/>
        <v>Dua Puluh Tiga</v>
      </c>
    </row>
    <row r="5102" spans="1:12">
      <c r="A5102" s="33" t="s">
        <v>79</v>
      </c>
      <c r="B5102" s="40" t="e">
        <f>TRUNC((A5076-SUM(C5098:C5101))/100)</f>
        <v>#REF!</v>
      </c>
      <c r="C5102" s="31" t="e">
        <f>B5102*100</f>
        <v>#REF!</v>
      </c>
      <c r="D5102" s="31" t="e">
        <f>IF(B5102&lt;1,"",IF(B5102=1,"",VLOOKUP(B5102,$J$3:$L$102,3)))</f>
        <v>#REF!</v>
      </c>
      <c r="E5102" s="31" t="e">
        <f>IF(B5102&lt;1,"",IF(B5102=1," Seratus "," Ratus "))</f>
        <v>#REF!</v>
      </c>
      <c r="J5102" s="31">
        <v>24</v>
      </c>
      <c r="K5102" s="33" t="s">
        <v>94</v>
      </c>
      <c r="L5102" s="31" t="str">
        <f t="shared" si="492"/>
        <v>Dua Puluh Empat</v>
      </c>
    </row>
    <row r="5103" spans="1:12">
      <c r="A5103" s="33" t="s">
        <v>81</v>
      </c>
      <c r="B5103" s="41" t="e">
        <f>TRUNC((A5076-SUM(C5098:C5102)))</f>
        <v>#REF!</v>
      </c>
      <c r="C5103" s="42" t="e">
        <f>B5103</f>
        <v>#REF!</v>
      </c>
      <c r="D5103" s="31" t="e">
        <f>IF(B5103&lt;1,"",VLOOKUP(B5103,$J$3:$L$102,3))</f>
        <v>#REF!</v>
      </c>
      <c r="E5103" s="31" t="e">
        <f>IF(SUM(C5098:C5103)&lt;1,"",IF(B5104&lt;1,""," Dan "))</f>
        <v>#REF!</v>
      </c>
      <c r="J5103" s="31">
        <v>25</v>
      </c>
      <c r="K5103" s="33" t="s">
        <v>95</v>
      </c>
      <c r="L5103" s="31" t="str">
        <f t="shared" si="492"/>
        <v>Dua Puluh Lima</v>
      </c>
    </row>
    <row r="5104" spans="1:12">
      <c r="A5104" s="33" t="s">
        <v>83</v>
      </c>
      <c r="B5104" s="40" t="e">
        <f>ROUND(A5076-SUM(C5098:C5103),2)*100</f>
        <v>#REF!</v>
      </c>
      <c r="D5104" s="31" t="e">
        <f>IF(B5104&lt;1,"",VLOOKUP(B5104,$J$3:$L$102,3))</f>
        <v>#REF!</v>
      </c>
      <c r="E5104" s="31" t="e">
        <f>IF(B5104&lt;1,""," Sen ")</f>
        <v>#REF!</v>
      </c>
      <c r="J5104" s="31">
        <v>26</v>
      </c>
      <c r="K5104" s="33" t="s">
        <v>96</v>
      </c>
      <c r="L5104" s="31" t="str">
        <f t="shared" si="492"/>
        <v>Dua Puluh Enam</v>
      </c>
    </row>
    <row r="5105" spans="1:12">
      <c r="J5105" s="31">
        <v>27</v>
      </c>
      <c r="K5105" s="33" t="s">
        <v>97</v>
      </c>
      <c r="L5105" s="31" t="str">
        <f t="shared" si="492"/>
        <v>Dua Puluh Tujuh</v>
      </c>
    </row>
    <row r="5106" spans="1:12">
      <c r="J5106" s="31">
        <v>28</v>
      </c>
      <c r="K5106" s="33" t="s">
        <v>98</v>
      </c>
      <c r="L5106" s="31" t="str">
        <f t="shared" si="492"/>
        <v>Dua Puluh Delapan</v>
      </c>
    </row>
    <row r="5107" spans="1:12">
      <c r="J5107" s="31">
        <v>29</v>
      </c>
      <c r="K5107" s="33" t="s">
        <v>99</v>
      </c>
      <c r="L5107" s="31" t="str">
        <f t="shared" si="492"/>
        <v>Dua Puluh Sembilan</v>
      </c>
    </row>
    <row r="5108" spans="1:12">
      <c r="J5108" s="31">
        <v>30</v>
      </c>
      <c r="K5108" s="33" t="s">
        <v>100</v>
      </c>
      <c r="L5108" s="31" t="s">
        <v>101</v>
      </c>
    </row>
    <row r="5109" spans="1:12">
      <c r="J5109" s="31">
        <v>31</v>
      </c>
      <c r="K5109" s="33" t="s">
        <v>102</v>
      </c>
      <c r="L5109" s="31" t="str">
        <f t="shared" ref="L5109:L5117" si="493">$L$33&amp;" "&amp;L5079</f>
        <v>Tiga Puluh Satu</v>
      </c>
    </row>
    <row r="5110" spans="1:12">
      <c r="J5110" s="31">
        <v>32</v>
      </c>
      <c r="K5110" s="33" t="s">
        <v>103</v>
      </c>
      <c r="L5110" s="31" t="str">
        <f t="shared" si="493"/>
        <v>Tiga Puluh Dua</v>
      </c>
    </row>
    <row r="5111" spans="1:12">
      <c r="J5111" s="31">
        <v>33</v>
      </c>
      <c r="K5111" s="33" t="s">
        <v>104</v>
      </c>
      <c r="L5111" s="31" t="str">
        <f t="shared" si="493"/>
        <v>Tiga Puluh Tiga</v>
      </c>
    </row>
    <row r="5112" spans="1:12">
      <c r="J5112" s="31">
        <v>34</v>
      </c>
      <c r="K5112" s="33" t="s">
        <v>105</v>
      </c>
      <c r="L5112" s="31" t="str">
        <f t="shared" si="493"/>
        <v>Tiga Puluh Empat</v>
      </c>
    </row>
    <row r="5113" spans="1:12">
      <c r="J5113" s="31">
        <v>35</v>
      </c>
      <c r="K5113" s="33" t="s">
        <v>106</v>
      </c>
      <c r="L5113" s="31" t="str">
        <f t="shared" si="493"/>
        <v>Tiga Puluh Lima</v>
      </c>
    </row>
    <row r="5114" spans="1:12">
      <c r="J5114" s="31">
        <v>36</v>
      </c>
      <c r="K5114" s="33" t="s">
        <v>107</v>
      </c>
      <c r="L5114" s="31" t="str">
        <f t="shared" si="493"/>
        <v>Tiga Puluh Enam</v>
      </c>
    </row>
    <row r="5115" spans="1:12">
      <c r="J5115" s="31">
        <v>37</v>
      </c>
      <c r="K5115" s="33" t="s">
        <v>108</v>
      </c>
      <c r="L5115" s="31" t="str">
        <f t="shared" si="493"/>
        <v>Tiga Puluh Tujuh</v>
      </c>
    </row>
    <row r="5116" spans="1:12">
      <c r="J5116" s="31">
        <v>38</v>
      </c>
      <c r="K5116" s="33" t="s">
        <v>109</v>
      </c>
      <c r="L5116" s="31" t="str">
        <f t="shared" si="493"/>
        <v>Tiga Puluh Delapan</v>
      </c>
    </row>
    <row r="5117" spans="1:12">
      <c r="J5117" s="31">
        <v>39</v>
      </c>
      <c r="K5117" s="33" t="s">
        <v>110</v>
      </c>
      <c r="L5117" s="31" t="str">
        <f t="shared" si="493"/>
        <v>Tiga Puluh Sembilan</v>
      </c>
    </row>
    <row r="5118" spans="1:12">
      <c r="B5118" s="35"/>
      <c r="C5118" s="35"/>
      <c r="D5118" s="35"/>
      <c r="J5118" s="31">
        <v>40</v>
      </c>
      <c r="K5118" s="33" t="s">
        <v>111</v>
      </c>
      <c r="L5118" s="31" t="s">
        <v>112</v>
      </c>
    </row>
    <row r="5119" spans="1:12">
      <c r="A5119" s="35"/>
      <c r="B5119" s="35"/>
      <c r="C5119" s="35"/>
      <c r="D5119" s="35"/>
      <c r="J5119" s="31">
        <v>41</v>
      </c>
      <c r="K5119" s="33" t="s">
        <v>113</v>
      </c>
      <c r="L5119" s="31" t="str">
        <f t="shared" ref="L5119:L5127" si="494">$L$43&amp;" "&amp;L5079</f>
        <v>Empat Puluh Satu</v>
      </c>
    </row>
    <row r="5120" spans="1:12">
      <c r="J5120" s="31">
        <v>42</v>
      </c>
      <c r="K5120" s="33" t="s">
        <v>114</v>
      </c>
      <c r="L5120" s="31" t="str">
        <f t="shared" si="494"/>
        <v>Empat Puluh Dua</v>
      </c>
    </row>
    <row r="5121" spans="1:12">
      <c r="A5121" s="38"/>
      <c r="J5121" s="31">
        <v>43</v>
      </c>
      <c r="K5121" s="33" t="s">
        <v>115</v>
      </c>
      <c r="L5121" s="31" t="str">
        <f t="shared" si="494"/>
        <v>Empat Puluh Tiga</v>
      </c>
    </row>
    <row r="5122" spans="1:12">
      <c r="J5122" s="31">
        <v>44</v>
      </c>
      <c r="K5122" s="33" t="s">
        <v>116</v>
      </c>
      <c r="L5122" s="31" t="str">
        <f t="shared" si="494"/>
        <v>Empat Puluh Empat</v>
      </c>
    </row>
    <row r="5123" spans="1:12">
      <c r="J5123" s="31">
        <v>45</v>
      </c>
      <c r="K5123" s="33" t="s">
        <v>117</v>
      </c>
      <c r="L5123" s="31" t="str">
        <f t="shared" si="494"/>
        <v>Empat Puluh Lima</v>
      </c>
    </row>
    <row r="5124" spans="1:12">
      <c r="J5124" s="31">
        <v>46</v>
      </c>
      <c r="K5124" s="33" t="s">
        <v>118</v>
      </c>
      <c r="L5124" s="31" t="str">
        <f t="shared" si="494"/>
        <v>Empat Puluh Enam</v>
      </c>
    </row>
    <row r="5125" spans="1:12">
      <c r="J5125" s="31">
        <v>47</v>
      </c>
      <c r="K5125" s="33" t="s">
        <v>119</v>
      </c>
      <c r="L5125" s="31" t="str">
        <f t="shared" si="494"/>
        <v>Empat Puluh Tujuh</v>
      </c>
    </row>
    <row r="5126" spans="1:12">
      <c r="J5126" s="31">
        <v>48</v>
      </c>
      <c r="K5126" s="33" t="s">
        <v>120</v>
      </c>
      <c r="L5126" s="31" t="str">
        <f t="shared" si="494"/>
        <v>Empat Puluh Delapan</v>
      </c>
    </row>
    <row r="5127" spans="1:12">
      <c r="J5127" s="31">
        <v>49</v>
      </c>
      <c r="K5127" s="33" t="s">
        <v>121</v>
      </c>
      <c r="L5127" s="31" t="str">
        <f t="shared" si="494"/>
        <v>Empat Puluh Sembilan</v>
      </c>
    </row>
    <row r="5128" spans="1:12">
      <c r="J5128" s="31">
        <v>50</v>
      </c>
      <c r="K5128" s="33" t="s">
        <v>122</v>
      </c>
      <c r="L5128" s="31" t="s">
        <v>123</v>
      </c>
    </row>
    <row r="5129" spans="1:12">
      <c r="J5129" s="31">
        <v>51</v>
      </c>
      <c r="K5129" s="33" t="s">
        <v>124</v>
      </c>
      <c r="L5129" s="31" t="str">
        <f t="shared" ref="L5129:L5137" si="495">$L$53&amp;" "&amp;L5079</f>
        <v>Lima Puluh Satu</v>
      </c>
    </row>
    <row r="5130" spans="1:12">
      <c r="J5130" s="31">
        <v>52</v>
      </c>
      <c r="K5130" s="33" t="s">
        <v>125</v>
      </c>
      <c r="L5130" s="31" t="str">
        <f t="shared" si="495"/>
        <v>Lima Puluh Dua</v>
      </c>
    </row>
    <row r="5131" spans="1:12">
      <c r="J5131" s="31">
        <v>53</v>
      </c>
      <c r="K5131" s="33" t="s">
        <v>126</v>
      </c>
      <c r="L5131" s="31" t="str">
        <f t="shared" si="495"/>
        <v>Lima Puluh Tiga</v>
      </c>
    </row>
    <row r="5132" spans="1:12">
      <c r="J5132" s="31">
        <v>54</v>
      </c>
      <c r="K5132" s="33" t="s">
        <v>127</v>
      </c>
      <c r="L5132" s="31" t="str">
        <f t="shared" si="495"/>
        <v>Lima Puluh Empat</v>
      </c>
    </row>
    <row r="5133" spans="1:12">
      <c r="J5133" s="31">
        <v>55</v>
      </c>
      <c r="K5133" s="33" t="s">
        <v>128</v>
      </c>
      <c r="L5133" s="31" t="str">
        <f t="shared" si="495"/>
        <v>Lima Puluh Lima</v>
      </c>
    </row>
    <row r="5134" spans="1:12">
      <c r="J5134" s="31">
        <v>56</v>
      </c>
      <c r="K5134" s="33" t="s">
        <v>129</v>
      </c>
      <c r="L5134" s="31" t="str">
        <f t="shared" si="495"/>
        <v>Lima Puluh Enam</v>
      </c>
    </row>
    <row r="5135" spans="1:12">
      <c r="J5135" s="31">
        <v>57</v>
      </c>
      <c r="K5135" s="33" t="s">
        <v>130</v>
      </c>
      <c r="L5135" s="31" t="str">
        <f t="shared" si="495"/>
        <v>Lima Puluh Tujuh</v>
      </c>
    </row>
    <row r="5136" spans="1:12">
      <c r="J5136" s="31">
        <v>58</v>
      </c>
      <c r="K5136" s="33" t="s">
        <v>131</v>
      </c>
      <c r="L5136" s="31" t="str">
        <f t="shared" si="495"/>
        <v>Lima Puluh Delapan</v>
      </c>
    </row>
    <row r="5137" spans="10:12">
      <c r="J5137" s="31">
        <v>59</v>
      </c>
      <c r="K5137" s="33" t="s">
        <v>132</v>
      </c>
      <c r="L5137" s="31" t="str">
        <f t="shared" si="495"/>
        <v>Lima Puluh Sembilan</v>
      </c>
    </row>
    <row r="5138" spans="10:12">
      <c r="J5138" s="31">
        <v>60</v>
      </c>
      <c r="K5138" s="33" t="s">
        <v>133</v>
      </c>
      <c r="L5138" s="31" t="s">
        <v>134</v>
      </c>
    </row>
    <row r="5139" spans="10:12">
      <c r="J5139" s="31">
        <v>61</v>
      </c>
      <c r="K5139" s="33" t="s">
        <v>135</v>
      </c>
      <c r="L5139" s="31" t="str">
        <f t="shared" ref="L5139:L5147" si="496">$L$63&amp;" "&amp;L5079</f>
        <v>Enam Puluh Satu</v>
      </c>
    </row>
    <row r="5140" spans="10:12">
      <c r="J5140" s="31">
        <v>62</v>
      </c>
      <c r="K5140" s="33" t="s">
        <v>136</v>
      </c>
      <c r="L5140" s="31" t="str">
        <f t="shared" si="496"/>
        <v>Enam Puluh Dua</v>
      </c>
    </row>
    <row r="5141" spans="10:12">
      <c r="J5141" s="31">
        <v>63</v>
      </c>
      <c r="K5141" s="33" t="s">
        <v>137</v>
      </c>
      <c r="L5141" s="31" t="str">
        <f t="shared" si="496"/>
        <v>Enam Puluh Tiga</v>
      </c>
    </row>
    <row r="5142" spans="10:12">
      <c r="J5142" s="31">
        <v>64</v>
      </c>
      <c r="K5142" s="33" t="s">
        <v>138</v>
      </c>
      <c r="L5142" s="31" t="str">
        <f t="shared" si="496"/>
        <v>Enam Puluh Empat</v>
      </c>
    </row>
    <row r="5143" spans="10:12">
      <c r="J5143" s="31">
        <v>65</v>
      </c>
      <c r="K5143" s="33" t="s">
        <v>139</v>
      </c>
      <c r="L5143" s="31" t="str">
        <f t="shared" si="496"/>
        <v>Enam Puluh Lima</v>
      </c>
    </row>
    <row r="5144" spans="10:12">
      <c r="J5144" s="31">
        <v>66</v>
      </c>
      <c r="K5144" s="33" t="s">
        <v>140</v>
      </c>
      <c r="L5144" s="31" t="str">
        <f t="shared" si="496"/>
        <v>Enam Puluh Enam</v>
      </c>
    </row>
    <row r="5145" spans="10:12">
      <c r="J5145" s="31">
        <v>67</v>
      </c>
      <c r="K5145" s="33" t="s">
        <v>141</v>
      </c>
      <c r="L5145" s="31" t="str">
        <f t="shared" si="496"/>
        <v>Enam Puluh Tujuh</v>
      </c>
    </row>
    <row r="5146" spans="10:12">
      <c r="J5146" s="31">
        <v>68</v>
      </c>
      <c r="K5146" s="33" t="s">
        <v>142</v>
      </c>
      <c r="L5146" s="31" t="str">
        <f t="shared" si="496"/>
        <v>Enam Puluh Delapan</v>
      </c>
    </row>
    <row r="5147" spans="10:12">
      <c r="J5147" s="31">
        <v>69</v>
      </c>
      <c r="K5147" s="33" t="s">
        <v>143</v>
      </c>
      <c r="L5147" s="31" t="str">
        <f t="shared" si="496"/>
        <v>Enam Puluh Sembilan</v>
      </c>
    </row>
    <row r="5148" spans="10:12">
      <c r="J5148" s="31">
        <v>70</v>
      </c>
      <c r="K5148" s="33" t="s">
        <v>144</v>
      </c>
      <c r="L5148" s="31" t="s">
        <v>145</v>
      </c>
    </row>
    <row r="5149" spans="10:12">
      <c r="J5149" s="31">
        <v>71</v>
      </c>
      <c r="K5149" s="33" t="s">
        <v>146</v>
      </c>
      <c r="L5149" s="31" t="str">
        <f t="shared" ref="L5149:L5157" si="497">$L$73&amp;" "&amp;L5079</f>
        <v>Tujuh Puluh Satu</v>
      </c>
    </row>
    <row r="5150" spans="10:12">
      <c r="J5150" s="31">
        <v>72</v>
      </c>
      <c r="K5150" s="33" t="s">
        <v>147</v>
      </c>
      <c r="L5150" s="31" t="str">
        <f t="shared" si="497"/>
        <v>Tujuh Puluh Dua</v>
      </c>
    </row>
    <row r="5151" spans="10:12">
      <c r="J5151" s="31">
        <v>73</v>
      </c>
      <c r="K5151" s="33" t="s">
        <v>148</v>
      </c>
      <c r="L5151" s="31" t="str">
        <f t="shared" si="497"/>
        <v>Tujuh Puluh Tiga</v>
      </c>
    </row>
    <row r="5152" spans="10:12">
      <c r="J5152" s="31">
        <v>74</v>
      </c>
      <c r="K5152" s="33" t="s">
        <v>149</v>
      </c>
      <c r="L5152" s="31" t="str">
        <f t="shared" si="497"/>
        <v>Tujuh Puluh Empat</v>
      </c>
    </row>
    <row r="5153" spans="10:12">
      <c r="J5153" s="31">
        <v>75</v>
      </c>
      <c r="K5153" s="33" t="s">
        <v>150</v>
      </c>
      <c r="L5153" s="31" t="str">
        <f t="shared" si="497"/>
        <v>Tujuh Puluh Lima</v>
      </c>
    </row>
    <row r="5154" spans="10:12">
      <c r="J5154" s="31">
        <v>76</v>
      </c>
      <c r="K5154" s="33" t="s">
        <v>151</v>
      </c>
      <c r="L5154" s="31" t="str">
        <f t="shared" si="497"/>
        <v>Tujuh Puluh Enam</v>
      </c>
    </row>
    <row r="5155" spans="10:12">
      <c r="J5155" s="31">
        <v>77</v>
      </c>
      <c r="K5155" s="33" t="s">
        <v>152</v>
      </c>
      <c r="L5155" s="31" t="str">
        <f t="shared" si="497"/>
        <v>Tujuh Puluh Tujuh</v>
      </c>
    </row>
    <row r="5156" spans="10:12">
      <c r="J5156" s="31">
        <v>78</v>
      </c>
      <c r="K5156" s="33" t="s">
        <v>153</v>
      </c>
      <c r="L5156" s="31" t="str">
        <f t="shared" si="497"/>
        <v>Tujuh Puluh Delapan</v>
      </c>
    </row>
    <row r="5157" spans="10:12">
      <c r="J5157" s="31">
        <v>79</v>
      </c>
      <c r="K5157" s="33" t="s">
        <v>154</v>
      </c>
      <c r="L5157" s="31" t="str">
        <f t="shared" si="497"/>
        <v>Tujuh Puluh Sembilan</v>
      </c>
    </row>
    <row r="5158" spans="10:12">
      <c r="J5158" s="31">
        <v>80</v>
      </c>
      <c r="K5158" s="33" t="s">
        <v>155</v>
      </c>
      <c r="L5158" s="31" t="s">
        <v>156</v>
      </c>
    </row>
    <row r="5159" spans="10:12">
      <c r="J5159" s="31">
        <v>81</v>
      </c>
      <c r="K5159" s="33" t="s">
        <v>157</v>
      </c>
      <c r="L5159" s="31" t="str">
        <f t="shared" ref="L5159:L5167" si="498">$L$83&amp;" "&amp;L5079</f>
        <v>Delapan Puluh Satu</v>
      </c>
    </row>
    <row r="5160" spans="10:12">
      <c r="J5160" s="31">
        <v>82</v>
      </c>
      <c r="K5160" s="33" t="s">
        <v>158</v>
      </c>
      <c r="L5160" s="31" t="str">
        <f t="shared" si="498"/>
        <v>Delapan Puluh Dua</v>
      </c>
    </row>
    <row r="5161" spans="10:12">
      <c r="J5161" s="31">
        <v>83</v>
      </c>
      <c r="K5161" s="33" t="s">
        <v>159</v>
      </c>
      <c r="L5161" s="31" t="str">
        <f t="shared" si="498"/>
        <v>Delapan Puluh Tiga</v>
      </c>
    </row>
    <row r="5162" spans="10:12">
      <c r="J5162" s="31">
        <v>84</v>
      </c>
      <c r="K5162" s="33" t="s">
        <v>160</v>
      </c>
      <c r="L5162" s="31" t="str">
        <f t="shared" si="498"/>
        <v>Delapan Puluh Empat</v>
      </c>
    </row>
    <row r="5163" spans="10:12">
      <c r="J5163" s="31">
        <v>85</v>
      </c>
      <c r="K5163" s="33" t="s">
        <v>161</v>
      </c>
      <c r="L5163" s="31" t="str">
        <f t="shared" si="498"/>
        <v>Delapan Puluh Lima</v>
      </c>
    </row>
    <row r="5164" spans="10:12">
      <c r="J5164" s="31">
        <v>86</v>
      </c>
      <c r="K5164" s="33" t="s">
        <v>162</v>
      </c>
      <c r="L5164" s="31" t="str">
        <f t="shared" si="498"/>
        <v>Delapan Puluh Enam</v>
      </c>
    </row>
    <row r="5165" spans="10:12">
      <c r="J5165" s="31">
        <v>87</v>
      </c>
      <c r="K5165" s="33" t="s">
        <v>163</v>
      </c>
      <c r="L5165" s="31" t="str">
        <f t="shared" si="498"/>
        <v>Delapan Puluh Tujuh</v>
      </c>
    </row>
    <row r="5166" spans="10:12">
      <c r="J5166" s="31">
        <v>88</v>
      </c>
      <c r="K5166" s="33" t="s">
        <v>164</v>
      </c>
      <c r="L5166" s="31" t="str">
        <f t="shared" si="498"/>
        <v>Delapan Puluh Delapan</v>
      </c>
    </row>
    <row r="5167" spans="10:12">
      <c r="J5167" s="31">
        <v>89</v>
      </c>
      <c r="K5167" s="33" t="s">
        <v>165</v>
      </c>
      <c r="L5167" s="31" t="str">
        <f t="shared" si="498"/>
        <v>Delapan Puluh Sembilan</v>
      </c>
    </row>
    <row r="5168" spans="10:12">
      <c r="J5168" s="31">
        <v>90</v>
      </c>
      <c r="K5168" s="33" t="s">
        <v>166</v>
      </c>
      <c r="L5168" s="31" t="s">
        <v>167</v>
      </c>
    </row>
    <row r="5169" spans="1:12">
      <c r="J5169" s="31">
        <v>91</v>
      </c>
      <c r="K5169" s="33" t="s">
        <v>168</v>
      </c>
      <c r="L5169" s="31" t="str">
        <f t="shared" ref="L5169:L5177" si="499">$L$93&amp;" "&amp;L5079</f>
        <v>Sembilan Puluh Satu</v>
      </c>
    </row>
    <row r="5170" spans="1:12">
      <c r="J5170" s="31">
        <v>92</v>
      </c>
      <c r="K5170" s="33" t="s">
        <v>169</v>
      </c>
      <c r="L5170" s="31" t="str">
        <f t="shared" si="499"/>
        <v>Sembilan Puluh Dua</v>
      </c>
    </row>
    <row r="5171" spans="1:12">
      <c r="J5171" s="31">
        <v>93</v>
      </c>
      <c r="K5171" s="33" t="s">
        <v>170</v>
      </c>
      <c r="L5171" s="31" t="str">
        <f t="shared" si="499"/>
        <v>Sembilan Puluh Tiga</v>
      </c>
    </row>
    <row r="5172" spans="1:12">
      <c r="J5172" s="31">
        <v>94</v>
      </c>
      <c r="K5172" s="33" t="s">
        <v>171</v>
      </c>
      <c r="L5172" s="31" t="str">
        <f t="shared" si="499"/>
        <v>Sembilan Puluh Empat</v>
      </c>
    </row>
    <row r="5173" spans="1:12">
      <c r="J5173" s="31">
        <v>95</v>
      </c>
      <c r="K5173" s="33" t="s">
        <v>172</v>
      </c>
      <c r="L5173" s="31" t="str">
        <f t="shared" si="499"/>
        <v>Sembilan Puluh Lima</v>
      </c>
    </row>
    <row r="5174" spans="1:12">
      <c r="J5174" s="31">
        <v>96</v>
      </c>
      <c r="K5174" s="33" t="s">
        <v>173</v>
      </c>
      <c r="L5174" s="31" t="str">
        <f t="shared" si="499"/>
        <v>Sembilan Puluh Enam</v>
      </c>
    </row>
    <row r="5175" spans="1:12">
      <c r="J5175" s="31">
        <v>97</v>
      </c>
      <c r="K5175" s="33" t="s">
        <v>174</v>
      </c>
      <c r="L5175" s="31" t="str">
        <f t="shared" si="499"/>
        <v>Sembilan Puluh Tujuh</v>
      </c>
    </row>
    <row r="5176" spans="1:12">
      <c r="J5176" s="31">
        <v>98</v>
      </c>
      <c r="K5176" s="33" t="s">
        <v>175</v>
      </c>
      <c r="L5176" s="31" t="str">
        <f t="shared" si="499"/>
        <v>Sembilan Puluh Delapan</v>
      </c>
    </row>
    <row r="5177" spans="1:12">
      <c r="J5177" s="31">
        <v>99</v>
      </c>
      <c r="K5177" s="33" t="s">
        <v>176</v>
      </c>
      <c r="L5177" s="31" t="str">
        <f t="shared" si="499"/>
        <v>Sembilan Puluh Sembilan</v>
      </c>
    </row>
    <row r="5179" spans="1:12">
      <c r="A5179" s="30" t="e">
        <f>#REF!</f>
        <v>#REF!</v>
      </c>
      <c r="C5179" s="31" t="s">
        <v>246</v>
      </c>
    </row>
    <row r="5180" spans="1:12">
      <c r="A5180" s="32"/>
    </row>
    <row r="5181" spans="1:12">
      <c r="J5181" s="31">
        <v>0</v>
      </c>
      <c r="K5181" s="33" t="s">
        <v>48</v>
      </c>
      <c r="L5181" s="31" t="s">
        <v>49</v>
      </c>
    </row>
    <row r="5182" spans="1:12">
      <c r="A5182" s="34"/>
      <c r="J5182" s="31">
        <v>1</v>
      </c>
      <c r="K5182" s="33" t="s">
        <v>50</v>
      </c>
      <c r="L5182" s="31" t="s">
        <v>51</v>
      </c>
    </row>
    <row r="5183" spans="1:12">
      <c r="A5183" s="255" t="e">
        <f>TRIM(D5191&amp;E5191&amp;D5192&amp;E5192&amp;D5193&amp;E5193&amp;D5194&amp;E5194&amp;D5195&amp;E5195&amp;D5196&amp;E5196&amp;E5197&amp;D5197&amp;" Only")</f>
        <v>#REF!</v>
      </c>
      <c r="B5183" s="255"/>
      <c r="C5183" s="255"/>
      <c r="D5183" s="255"/>
      <c r="E5183" s="35"/>
      <c r="F5183" s="36"/>
      <c r="J5183" s="31">
        <v>2</v>
      </c>
      <c r="K5183" s="33" t="s">
        <v>52</v>
      </c>
      <c r="L5183" s="31" t="s">
        <v>53</v>
      </c>
    </row>
    <row r="5184" spans="1:12">
      <c r="A5184" s="37"/>
      <c r="B5184" s="37"/>
      <c r="C5184" s="37"/>
      <c r="D5184" s="37"/>
      <c r="E5184" s="35"/>
      <c r="F5184" s="36"/>
      <c r="J5184" s="31">
        <v>3</v>
      </c>
      <c r="K5184" s="33" t="s">
        <v>54</v>
      </c>
      <c r="L5184" s="31" t="s">
        <v>55</v>
      </c>
    </row>
    <row r="5185" spans="1:12">
      <c r="A5185" s="37"/>
      <c r="B5185" s="37"/>
      <c r="C5185" s="37"/>
      <c r="D5185" s="37"/>
      <c r="J5185" s="31">
        <v>4</v>
      </c>
      <c r="K5185" s="33" t="s">
        <v>56</v>
      </c>
      <c r="L5185" s="31" t="s">
        <v>57</v>
      </c>
    </row>
    <row r="5186" spans="1:12">
      <c r="A5186" s="255" t="e">
        <f>TRIM(D5201&amp;E5201&amp;D5202&amp;E5202&amp;D5203&amp;E5203&amp;D5204&amp;E5204&amp;D5205&amp;E5205&amp;D5206&amp;E5206&amp;D5207&amp;E5207&amp;" Rupiah")</f>
        <v>#REF!</v>
      </c>
      <c r="B5186" s="255"/>
      <c r="C5186" s="255"/>
      <c r="D5186" s="255"/>
      <c r="E5186" s="35"/>
      <c r="F5186" s="36"/>
      <c r="J5186" s="31">
        <v>5</v>
      </c>
      <c r="K5186" s="33" t="s">
        <v>58</v>
      </c>
      <c r="L5186" s="31" t="s">
        <v>59</v>
      </c>
    </row>
    <row r="5187" spans="1:12">
      <c r="A5187" s="35"/>
      <c r="B5187" s="35"/>
      <c r="C5187" s="35"/>
      <c r="D5187" s="35"/>
      <c r="E5187" s="35"/>
      <c r="F5187" s="36"/>
      <c r="J5187" s="31">
        <v>6</v>
      </c>
      <c r="K5187" s="33" t="s">
        <v>60</v>
      </c>
      <c r="L5187" s="31" t="s">
        <v>61</v>
      </c>
    </row>
    <row r="5188" spans="1:12">
      <c r="J5188" s="31">
        <v>7</v>
      </c>
      <c r="K5188" s="33" t="s">
        <v>62</v>
      </c>
      <c r="L5188" s="31" t="s">
        <v>63</v>
      </c>
    </row>
    <row r="5189" spans="1:12">
      <c r="J5189" s="31">
        <v>8</v>
      </c>
      <c r="K5189" s="33" t="s">
        <v>64</v>
      </c>
      <c r="L5189" s="31" t="s">
        <v>65</v>
      </c>
    </row>
    <row r="5190" spans="1:12">
      <c r="A5190" s="38" t="s">
        <v>66</v>
      </c>
      <c r="J5190" s="31">
        <v>9</v>
      </c>
      <c r="K5190" s="33" t="s">
        <v>67</v>
      </c>
      <c r="L5190" s="31" t="s">
        <v>68</v>
      </c>
    </row>
    <row r="5191" spans="1:12">
      <c r="A5191" s="31" t="s">
        <v>69</v>
      </c>
      <c r="B5191" s="39" t="e">
        <f>TRUNC(A5179/100000000)</f>
        <v>#REF!</v>
      </c>
      <c r="C5191" s="31" t="e">
        <f>B5191*100000000</f>
        <v>#REF!</v>
      </c>
      <c r="D5191" s="31" t="e">
        <f t="shared" ref="D5191:D5197" si="500">IF(B5191&lt;1,"",VLOOKUP(B5191,$J$3:$K$102,2))</f>
        <v>#REF!</v>
      </c>
      <c r="E5191" s="31" t="e">
        <f>IF(B5191&lt;1,"",IF(B5191&gt;1," Hundreds "," Hundred "))</f>
        <v>#REF!</v>
      </c>
      <c r="J5191" s="31">
        <v>10</v>
      </c>
      <c r="K5191" s="33" t="s">
        <v>70</v>
      </c>
      <c r="L5191" s="31" t="s">
        <v>71</v>
      </c>
    </row>
    <row r="5192" spans="1:12">
      <c r="A5192" s="31" t="s">
        <v>72</v>
      </c>
      <c r="B5192" s="39" t="e">
        <f>TRUNC((A5179-C5191)/1000000)</f>
        <v>#REF!</v>
      </c>
      <c r="C5192" s="31" t="e">
        <f>B5192*1000000</f>
        <v>#REF!</v>
      </c>
      <c r="D5192" s="31" t="e">
        <f t="shared" si="500"/>
        <v>#REF!</v>
      </c>
      <c r="E5192" s="31" t="e">
        <f>IF(B5191+B5192=0,"",IF(B5192=1," Million "," Millions "))</f>
        <v>#REF!</v>
      </c>
      <c r="J5192" s="31">
        <v>11</v>
      </c>
      <c r="K5192" s="33" t="s">
        <v>73</v>
      </c>
      <c r="L5192" s="31" t="s">
        <v>74</v>
      </c>
    </row>
    <row r="5193" spans="1:12">
      <c r="A5193" s="31" t="s">
        <v>75</v>
      </c>
      <c r="B5193" s="39" t="e">
        <f>TRUNC((A5179-SUM(C5191:C5192))/100000)</f>
        <v>#REF!</v>
      </c>
      <c r="C5193" s="31" t="e">
        <f>B5193*100000</f>
        <v>#REF!</v>
      </c>
      <c r="D5193" s="31" t="e">
        <f t="shared" si="500"/>
        <v>#REF!</v>
      </c>
      <c r="E5193" s="31" t="e">
        <f>IF(B5193&lt;1,"",IF(B5193&gt;1," Hundreds "," Hundred "))</f>
        <v>#REF!</v>
      </c>
      <c r="J5193" s="31">
        <v>12</v>
      </c>
      <c r="K5193" s="33" t="s">
        <v>76</v>
      </c>
      <c r="L5193" s="31" t="str">
        <f t="shared" ref="L5193:L5200" si="501">L5183&amp;" Belas"</f>
        <v>Dua Belas</v>
      </c>
    </row>
    <row r="5194" spans="1:12">
      <c r="A5194" s="33" t="s">
        <v>77</v>
      </c>
      <c r="B5194" s="40" t="e">
        <f>TRUNC((A5179-SUM(C5191:C5193))/1000)</f>
        <v>#REF!</v>
      </c>
      <c r="C5194" s="31" t="e">
        <f>B5194*1000</f>
        <v>#REF!</v>
      </c>
      <c r="D5194" s="31" t="e">
        <f t="shared" si="500"/>
        <v>#REF!</v>
      </c>
      <c r="E5194" s="31" t="e">
        <f>IF(B5193+B5194=0,"",IF(B5194=1," Thousand "," Thousands "))</f>
        <v>#REF!</v>
      </c>
      <c r="J5194" s="31">
        <v>13</v>
      </c>
      <c r="K5194" s="33" t="s">
        <v>78</v>
      </c>
      <c r="L5194" s="31" t="str">
        <f t="shared" si="501"/>
        <v>Tiga Belas</v>
      </c>
    </row>
    <row r="5195" spans="1:12">
      <c r="A5195" s="33" t="s">
        <v>79</v>
      </c>
      <c r="B5195" s="40" t="e">
        <f>TRUNC((A5179-SUM(C5191:C5194))/100)</f>
        <v>#REF!</v>
      </c>
      <c r="C5195" s="31" t="e">
        <f>B5195*100</f>
        <v>#REF!</v>
      </c>
      <c r="D5195" s="31" t="e">
        <f t="shared" si="500"/>
        <v>#REF!</v>
      </c>
      <c r="E5195" s="31" t="e">
        <f>IF(B5195&lt;1,"",IF(B5195&gt;1," Hundreds "," Hundred "))</f>
        <v>#REF!</v>
      </c>
      <c r="J5195" s="31">
        <v>14</v>
      </c>
      <c r="K5195" s="33" t="s">
        <v>80</v>
      </c>
      <c r="L5195" s="31" t="str">
        <f t="shared" si="501"/>
        <v>Empat Belas</v>
      </c>
    </row>
    <row r="5196" spans="1:12">
      <c r="A5196" s="33" t="s">
        <v>81</v>
      </c>
      <c r="B5196" s="41" t="e">
        <f>TRUNC((A5179-SUM(C5191:C5195)))</f>
        <v>#REF!</v>
      </c>
      <c r="C5196" s="42" t="e">
        <f>B5196</f>
        <v>#REF!</v>
      </c>
      <c r="D5196" s="31" t="e">
        <f t="shared" si="500"/>
        <v>#REF!</v>
      </c>
      <c r="E5196" s="31" t="e">
        <f>IF(SUM(C5191:C5196)&lt;1,"",IF(B5197&lt;1,""," And "))</f>
        <v>#REF!</v>
      </c>
      <c r="J5196" s="31">
        <v>15</v>
      </c>
      <c r="K5196" s="33" t="s">
        <v>82</v>
      </c>
      <c r="L5196" s="31" t="str">
        <f t="shared" si="501"/>
        <v>Lima Belas</v>
      </c>
    </row>
    <row r="5197" spans="1:12">
      <c r="A5197" s="33" t="s">
        <v>83</v>
      </c>
      <c r="B5197" s="40" t="e">
        <f>ROUND(A5179-SUM(C5191:C5196),2)*100</f>
        <v>#REF!</v>
      </c>
      <c r="D5197" s="43" t="e">
        <f t="shared" si="500"/>
        <v>#REF!</v>
      </c>
      <c r="E5197" s="31" t="e">
        <f>IF(B5197&lt;1,"",IF(B5197=1," Cent "," Cents "))</f>
        <v>#REF!</v>
      </c>
      <c r="J5197" s="31">
        <v>16</v>
      </c>
      <c r="K5197" s="33" t="s">
        <v>84</v>
      </c>
      <c r="L5197" s="31" t="str">
        <f t="shared" si="501"/>
        <v>Enam Belas</v>
      </c>
    </row>
    <row r="5198" spans="1:12">
      <c r="J5198" s="31">
        <v>17</v>
      </c>
      <c r="K5198" s="33" t="s">
        <v>85</v>
      </c>
      <c r="L5198" s="31" t="str">
        <f t="shared" si="501"/>
        <v>Tujuh Belas</v>
      </c>
    </row>
    <row r="5199" spans="1:12">
      <c r="A5199" s="44"/>
      <c r="J5199" s="31">
        <v>18</v>
      </c>
      <c r="K5199" s="33" t="s">
        <v>86</v>
      </c>
      <c r="L5199" s="31" t="str">
        <f t="shared" si="501"/>
        <v>Delapan Belas</v>
      </c>
    </row>
    <row r="5200" spans="1:12">
      <c r="A5200" s="38" t="s">
        <v>87</v>
      </c>
      <c r="J5200" s="31">
        <v>19</v>
      </c>
      <c r="K5200" s="33" t="s">
        <v>88</v>
      </c>
      <c r="L5200" s="31" t="str">
        <f t="shared" si="501"/>
        <v>Sembilan Belas</v>
      </c>
    </row>
    <row r="5201" spans="1:12">
      <c r="A5201" s="31" t="s">
        <v>69</v>
      </c>
      <c r="B5201" s="39" t="e">
        <f>TRUNC(A5179/100000000)</f>
        <v>#REF!</v>
      </c>
      <c r="C5201" s="31" t="e">
        <f>B5201*100000000</f>
        <v>#REF!</v>
      </c>
      <c r="D5201" s="31" t="e">
        <f>IF(B5201&lt;1,"",IF(B5201=1,"",VLOOKUP(B5201,$J$3:$L$102,3)))</f>
        <v>#REF!</v>
      </c>
      <c r="E5201" s="31" t="e">
        <f>IF(B5201&lt;1,"",IF(B5201=1,"Seratus "," Ratus "))</f>
        <v>#REF!</v>
      </c>
      <c r="J5201" s="31">
        <v>20</v>
      </c>
      <c r="K5201" s="33" t="s">
        <v>89</v>
      </c>
      <c r="L5201" s="31" t="s">
        <v>90</v>
      </c>
    </row>
    <row r="5202" spans="1:12">
      <c r="A5202" s="31" t="s">
        <v>72</v>
      </c>
      <c r="B5202" s="39" t="e">
        <f>TRUNC((A5179-C5201)/1000000)</f>
        <v>#REF!</v>
      </c>
      <c r="C5202" s="31" t="e">
        <f>B5202*1000000</f>
        <v>#REF!</v>
      </c>
      <c r="D5202" s="31" t="e">
        <f>IF(B5202&lt;1,"",VLOOKUP(B5202,$J$3:$L$102,3))</f>
        <v>#REF!</v>
      </c>
      <c r="E5202" s="31" t="e">
        <f>IF(B5201+B5202=0,""," Juta ")</f>
        <v>#REF!</v>
      </c>
      <c r="J5202" s="31">
        <v>21</v>
      </c>
      <c r="K5202" s="33" t="s">
        <v>91</v>
      </c>
      <c r="L5202" s="31" t="str">
        <f t="shared" ref="L5202:L5210" si="502">$L$23&amp;" "&amp;L5182</f>
        <v>Dua Puluh Satu</v>
      </c>
    </row>
    <row r="5203" spans="1:12">
      <c r="A5203" s="31" t="s">
        <v>75</v>
      </c>
      <c r="B5203" s="39" t="e">
        <f>TRUNC((A5179-SUM(C5201:C5202))/100000)</f>
        <v>#REF!</v>
      </c>
      <c r="C5203" s="31" t="e">
        <f>B5203*100000</f>
        <v>#REF!</v>
      </c>
      <c r="D5203" s="31" t="e">
        <f>IF(B5203&lt;1,"",IF(B5203=1,"",VLOOKUP(B5203,$J$3:$L$102,3)))</f>
        <v>#REF!</v>
      </c>
      <c r="E5203" s="31" t="e">
        <f>IF(B5203&lt;1,"",IF(B5203=1," Seratus "," Ratus "))</f>
        <v>#REF!</v>
      </c>
      <c r="J5203" s="31">
        <v>22</v>
      </c>
      <c r="K5203" s="33" t="s">
        <v>92</v>
      </c>
      <c r="L5203" s="31" t="str">
        <f t="shared" si="502"/>
        <v>Dua Puluh Dua</v>
      </c>
    </row>
    <row r="5204" spans="1:12">
      <c r="A5204" s="33" t="s">
        <v>77</v>
      </c>
      <c r="B5204" s="40" t="e">
        <f>TRUNC((A5179-SUM(C5201:C5203))/1000)</f>
        <v>#REF!</v>
      </c>
      <c r="C5204" s="31" t="e">
        <f>B5204*1000</f>
        <v>#REF!</v>
      </c>
      <c r="D5204" s="31" t="e">
        <f>IF(B5204&lt;1,"",IF(B5204=1,"",VLOOKUP(B5204,$J$3:$L$102,3)))</f>
        <v>#REF!</v>
      </c>
      <c r="E5204" s="31" t="e">
        <f>IF(B5203+B5204&lt;1,"",IF(B5204=1," Seribu "," Ribu "))</f>
        <v>#REF!</v>
      </c>
      <c r="J5204" s="31">
        <v>23</v>
      </c>
      <c r="K5204" s="33" t="s">
        <v>93</v>
      </c>
      <c r="L5204" s="31" t="str">
        <f t="shared" si="502"/>
        <v>Dua Puluh Tiga</v>
      </c>
    </row>
    <row r="5205" spans="1:12">
      <c r="A5205" s="33" t="s">
        <v>79</v>
      </c>
      <c r="B5205" s="40" t="e">
        <f>TRUNC((A5179-SUM(C5201:C5204))/100)</f>
        <v>#REF!</v>
      </c>
      <c r="C5205" s="31" t="e">
        <f>B5205*100</f>
        <v>#REF!</v>
      </c>
      <c r="D5205" s="31" t="e">
        <f>IF(B5205&lt;1,"",IF(B5205=1,"",VLOOKUP(B5205,$J$3:$L$102,3)))</f>
        <v>#REF!</v>
      </c>
      <c r="E5205" s="31" t="e">
        <f>IF(B5205&lt;1,"",IF(B5205=1," Seratus "," Ratus "))</f>
        <v>#REF!</v>
      </c>
      <c r="J5205" s="31">
        <v>24</v>
      </c>
      <c r="K5205" s="33" t="s">
        <v>94</v>
      </c>
      <c r="L5205" s="31" t="str">
        <f t="shared" si="502"/>
        <v>Dua Puluh Empat</v>
      </c>
    </row>
    <row r="5206" spans="1:12">
      <c r="A5206" s="33" t="s">
        <v>81</v>
      </c>
      <c r="B5206" s="41" t="e">
        <f>TRUNC((A5179-SUM(C5201:C5205)))</f>
        <v>#REF!</v>
      </c>
      <c r="C5206" s="42" t="e">
        <f>B5206</f>
        <v>#REF!</v>
      </c>
      <c r="D5206" s="31" t="e">
        <f>IF(B5206&lt;1,"",VLOOKUP(B5206,$J$3:$L$102,3))</f>
        <v>#REF!</v>
      </c>
      <c r="E5206" s="31" t="e">
        <f>IF(SUM(C5201:C5206)&lt;1,"",IF(B5207&lt;1,""," Dan "))</f>
        <v>#REF!</v>
      </c>
      <c r="J5206" s="31">
        <v>25</v>
      </c>
      <c r="K5206" s="33" t="s">
        <v>95</v>
      </c>
      <c r="L5206" s="31" t="str">
        <f t="shared" si="502"/>
        <v>Dua Puluh Lima</v>
      </c>
    </row>
    <row r="5207" spans="1:12">
      <c r="A5207" s="33" t="s">
        <v>83</v>
      </c>
      <c r="B5207" s="40" t="e">
        <f>ROUND(A5179-SUM(C5201:C5206),2)*100</f>
        <v>#REF!</v>
      </c>
      <c r="D5207" s="31" t="e">
        <f>IF(B5207&lt;1,"",VLOOKUP(B5207,$J$3:$L$102,3))</f>
        <v>#REF!</v>
      </c>
      <c r="E5207" s="31" t="e">
        <f>IF(B5207&lt;1,""," Sen ")</f>
        <v>#REF!</v>
      </c>
      <c r="J5207" s="31">
        <v>26</v>
      </c>
      <c r="K5207" s="33" t="s">
        <v>96</v>
      </c>
      <c r="L5207" s="31" t="str">
        <f t="shared" si="502"/>
        <v>Dua Puluh Enam</v>
      </c>
    </row>
    <row r="5208" spans="1:12">
      <c r="J5208" s="31">
        <v>27</v>
      </c>
      <c r="K5208" s="33" t="s">
        <v>97</v>
      </c>
      <c r="L5208" s="31" t="str">
        <f t="shared" si="502"/>
        <v>Dua Puluh Tujuh</v>
      </c>
    </row>
    <row r="5209" spans="1:12">
      <c r="J5209" s="31">
        <v>28</v>
      </c>
      <c r="K5209" s="33" t="s">
        <v>98</v>
      </c>
      <c r="L5209" s="31" t="str">
        <f t="shared" si="502"/>
        <v>Dua Puluh Delapan</v>
      </c>
    </row>
    <row r="5210" spans="1:12">
      <c r="J5210" s="31">
        <v>29</v>
      </c>
      <c r="K5210" s="33" t="s">
        <v>99</v>
      </c>
      <c r="L5210" s="31" t="str">
        <f t="shared" si="502"/>
        <v>Dua Puluh Sembilan</v>
      </c>
    </row>
    <row r="5211" spans="1:12">
      <c r="J5211" s="31">
        <v>30</v>
      </c>
      <c r="K5211" s="33" t="s">
        <v>100</v>
      </c>
      <c r="L5211" s="31" t="s">
        <v>101</v>
      </c>
    </row>
    <row r="5212" spans="1:12">
      <c r="J5212" s="31">
        <v>31</v>
      </c>
      <c r="K5212" s="33" t="s">
        <v>102</v>
      </c>
      <c r="L5212" s="31" t="str">
        <f t="shared" ref="L5212:L5220" si="503">$L$33&amp;" "&amp;L5182</f>
        <v>Tiga Puluh Satu</v>
      </c>
    </row>
    <row r="5213" spans="1:12">
      <c r="J5213" s="31">
        <v>32</v>
      </c>
      <c r="K5213" s="33" t="s">
        <v>103</v>
      </c>
      <c r="L5213" s="31" t="str">
        <f t="shared" si="503"/>
        <v>Tiga Puluh Dua</v>
      </c>
    </row>
    <row r="5214" spans="1:12">
      <c r="J5214" s="31">
        <v>33</v>
      </c>
      <c r="K5214" s="33" t="s">
        <v>104</v>
      </c>
      <c r="L5214" s="31" t="str">
        <f t="shared" si="503"/>
        <v>Tiga Puluh Tiga</v>
      </c>
    </row>
    <row r="5215" spans="1:12">
      <c r="J5215" s="31">
        <v>34</v>
      </c>
      <c r="K5215" s="33" t="s">
        <v>105</v>
      </c>
      <c r="L5215" s="31" t="str">
        <f t="shared" si="503"/>
        <v>Tiga Puluh Empat</v>
      </c>
    </row>
    <row r="5216" spans="1:12">
      <c r="J5216" s="31">
        <v>35</v>
      </c>
      <c r="K5216" s="33" t="s">
        <v>106</v>
      </c>
      <c r="L5216" s="31" t="str">
        <f t="shared" si="503"/>
        <v>Tiga Puluh Lima</v>
      </c>
    </row>
    <row r="5217" spans="1:12">
      <c r="J5217" s="31">
        <v>36</v>
      </c>
      <c r="K5217" s="33" t="s">
        <v>107</v>
      </c>
      <c r="L5217" s="31" t="str">
        <f t="shared" si="503"/>
        <v>Tiga Puluh Enam</v>
      </c>
    </row>
    <row r="5218" spans="1:12">
      <c r="J5218" s="31">
        <v>37</v>
      </c>
      <c r="K5218" s="33" t="s">
        <v>108</v>
      </c>
      <c r="L5218" s="31" t="str">
        <f t="shared" si="503"/>
        <v>Tiga Puluh Tujuh</v>
      </c>
    </row>
    <row r="5219" spans="1:12">
      <c r="J5219" s="31">
        <v>38</v>
      </c>
      <c r="K5219" s="33" t="s">
        <v>109</v>
      </c>
      <c r="L5219" s="31" t="str">
        <f t="shared" si="503"/>
        <v>Tiga Puluh Delapan</v>
      </c>
    </row>
    <row r="5220" spans="1:12">
      <c r="J5220" s="31">
        <v>39</v>
      </c>
      <c r="K5220" s="33" t="s">
        <v>110</v>
      </c>
      <c r="L5220" s="31" t="str">
        <f t="shared" si="503"/>
        <v>Tiga Puluh Sembilan</v>
      </c>
    </row>
    <row r="5221" spans="1:12">
      <c r="B5221" s="35"/>
      <c r="C5221" s="35"/>
      <c r="D5221" s="35"/>
      <c r="J5221" s="31">
        <v>40</v>
      </c>
      <c r="K5221" s="33" t="s">
        <v>111</v>
      </c>
      <c r="L5221" s="31" t="s">
        <v>112</v>
      </c>
    </row>
    <row r="5222" spans="1:12">
      <c r="A5222" s="35"/>
      <c r="B5222" s="35"/>
      <c r="C5222" s="35"/>
      <c r="D5222" s="35"/>
      <c r="J5222" s="31">
        <v>41</v>
      </c>
      <c r="K5222" s="33" t="s">
        <v>113</v>
      </c>
      <c r="L5222" s="31" t="str">
        <f t="shared" ref="L5222:L5230" si="504">$L$43&amp;" "&amp;L5182</f>
        <v>Empat Puluh Satu</v>
      </c>
    </row>
    <row r="5223" spans="1:12">
      <c r="J5223" s="31">
        <v>42</v>
      </c>
      <c r="K5223" s="33" t="s">
        <v>114</v>
      </c>
      <c r="L5223" s="31" t="str">
        <f t="shared" si="504"/>
        <v>Empat Puluh Dua</v>
      </c>
    </row>
    <row r="5224" spans="1:12">
      <c r="A5224" s="38"/>
      <c r="J5224" s="31">
        <v>43</v>
      </c>
      <c r="K5224" s="33" t="s">
        <v>115</v>
      </c>
      <c r="L5224" s="31" t="str">
        <f t="shared" si="504"/>
        <v>Empat Puluh Tiga</v>
      </c>
    </row>
    <row r="5225" spans="1:12">
      <c r="J5225" s="31">
        <v>44</v>
      </c>
      <c r="K5225" s="33" t="s">
        <v>116</v>
      </c>
      <c r="L5225" s="31" t="str">
        <f t="shared" si="504"/>
        <v>Empat Puluh Empat</v>
      </c>
    </row>
    <row r="5226" spans="1:12">
      <c r="J5226" s="31">
        <v>45</v>
      </c>
      <c r="K5226" s="33" t="s">
        <v>117</v>
      </c>
      <c r="L5226" s="31" t="str">
        <f t="shared" si="504"/>
        <v>Empat Puluh Lima</v>
      </c>
    </row>
    <row r="5227" spans="1:12">
      <c r="J5227" s="31">
        <v>46</v>
      </c>
      <c r="K5227" s="33" t="s">
        <v>118</v>
      </c>
      <c r="L5227" s="31" t="str">
        <f t="shared" si="504"/>
        <v>Empat Puluh Enam</v>
      </c>
    </row>
    <row r="5228" spans="1:12">
      <c r="J5228" s="31">
        <v>47</v>
      </c>
      <c r="K5228" s="33" t="s">
        <v>119</v>
      </c>
      <c r="L5228" s="31" t="str">
        <f t="shared" si="504"/>
        <v>Empat Puluh Tujuh</v>
      </c>
    </row>
    <row r="5229" spans="1:12">
      <c r="J5229" s="31">
        <v>48</v>
      </c>
      <c r="K5229" s="33" t="s">
        <v>120</v>
      </c>
      <c r="L5229" s="31" t="str">
        <f t="shared" si="504"/>
        <v>Empat Puluh Delapan</v>
      </c>
    </row>
    <row r="5230" spans="1:12">
      <c r="J5230" s="31">
        <v>49</v>
      </c>
      <c r="K5230" s="33" t="s">
        <v>121</v>
      </c>
      <c r="L5230" s="31" t="str">
        <f t="shared" si="504"/>
        <v>Empat Puluh Sembilan</v>
      </c>
    </row>
    <row r="5231" spans="1:12">
      <c r="J5231" s="31">
        <v>50</v>
      </c>
      <c r="K5231" s="33" t="s">
        <v>122</v>
      </c>
      <c r="L5231" s="31" t="s">
        <v>123</v>
      </c>
    </row>
    <row r="5232" spans="1:12">
      <c r="J5232" s="31">
        <v>51</v>
      </c>
      <c r="K5232" s="33" t="s">
        <v>124</v>
      </c>
      <c r="L5232" s="31" t="str">
        <f t="shared" ref="L5232:L5240" si="505">$L$53&amp;" "&amp;L5182</f>
        <v>Lima Puluh Satu</v>
      </c>
    </row>
    <row r="5233" spans="10:12">
      <c r="J5233" s="31">
        <v>52</v>
      </c>
      <c r="K5233" s="33" t="s">
        <v>125</v>
      </c>
      <c r="L5233" s="31" t="str">
        <f t="shared" si="505"/>
        <v>Lima Puluh Dua</v>
      </c>
    </row>
    <row r="5234" spans="10:12">
      <c r="J5234" s="31">
        <v>53</v>
      </c>
      <c r="K5234" s="33" t="s">
        <v>126</v>
      </c>
      <c r="L5234" s="31" t="str">
        <f t="shared" si="505"/>
        <v>Lima Puluh Tiga</v>
      </c>
    </row>
    <row r="5235" spans="10:12">
      <c r="J5235" s="31">
        <v>54</v>
      </c>
      <c r="K5235" s="33" t="s">
        <v>127</v>
      </c>
      <c r="L5235" s="31" t="str">
        <f t="shared" si="505"/>
        <v>Lima Puluh Empat</v>
      </c>
    </row>
    <row r="5236" spans="10:12">
      <c r="J5236" s="31">
        <v>55</v>
      </c>
      <c r="K5236" s="33" t="s">
        <v>128</v>
      </c>
      <c r="L5236" s="31" t="str">
        <f t="shared" si="505"/>
        <v>Lima Puluh Lima</v>
      </c>
    </row>
    <row r="5237" spans="10:12">
      <c r="J5237" s="31">
        <v>56</v>
      </c>
      <c r="K5237" s="33" t="s">
        <v>129</v>
      </c>
      <c r="L5237" s="31" t="str">
        <f t="shared" si="505"/>
        <v>Lima Puluh Enam</v>
      </c>
    </row>
    <row r="5238" spans="10:12">
      <c r="J5238" s="31">
        <v>57</v>
      </c>
      <c r="K5238" s="33" t="s">
        <v>130</v>
      </c>
      <c r="L5238" s="31" t="str">
        <f t="shared" si="505"/>
        <v>Lima Puluh Tujuh</v>
      </c>
    </row>
    <row r="5239" spans="10:12">
      <c r="J5239" s="31">
        <v>58</v>
      </c>
      <c r="K5239" s="33" t="s">
        <v>131</v>
      </c>
      <c r="L5239" s="31" t="str">
        <f t="shared" si="505"/>
        <v>Lima Puluh Delapan</v>
      </c>
    </row>
    <row r="5240" spans="10:12">
      <c r="J5240" s="31">
        <v>59</v>
      </c>
      <c r="K5240" s="33" t="s">
        <v>132</v>
      </c>
      <c r="L5240" s="31" t="str">
        <f t="shared" si="505"/>
        <v>Lima Puluh Sembilan</v>
      </c>
    </row>
    <row r="5241" spans="10:12">
      <c r="J5241" s="31">
        <v>60</v>
      </c>
      <c r="K5241" s="33" t="s">
        <v>133</v>
      </c>
      <c r="L5241" s="31" t="s">
        <v>134</v>
      </c>
    </row>
    <row r="5242" spans="10:12">
      <c r="J5242" s="31">
        <v>61</v>
      </c>
      <c r="K5242" s="33" t="s">
        <v>135</v>
      </c>
      <c r="L5242" s="31" t="str">
        <f t="shared" ref="L5242:L5250" si="506">$L$63&amp;" "&amp;L5182</f>
        <v>Enam Puluh Satu</v>
      </c>
    </row>
    <row r="5243" spans="10:12">
      <c r="J5243" s="31">
        <v>62</v>
      </c>
      <c r="K5243" s="33" t="s">
        <v>136</v>
      </c>
      <c r="L5243" s="31" t="str">
        <f t="shared" si="506"/>
        <v>Enam Puluh Dua</v>
      </c>
    </row>
    <row r="5244" spans="10:12">
      <c r="J5244" s="31">
        <v>63</v>
      </c>
      <c r="K5244" s="33" t="s">
        <v>137</v>
      </c>
      <c r="L5244" s="31" t="str">
        <f t="shared" si="506"/>
        <v>Enam Puluh Tiga</v>
      </c>
    </row>
    <row r="5245" spans="10:12">
      <c r="J5245" s="31">
        <v>64</v>
      </c>
      <c r="K5245" s="33" t="s">
        <v>138</v>
      </c>
      <c r="L5245" s="31" t="str">
        <f t="shared" si="506"/>
        <v>Enam Puluh Empat</v>
      </c>
    </row>
    <row r="5246" spans="10:12">
      <c r="J5246" s="31">
        <v>65</v>
      </c>
      <c r="K5246" s="33" t="s">
        <v>139</v>
      </c>
      <c r="L5246" s="31" t="str">
        <f t="shared" si="506"/>
        <v>Enam Puluh Lima</v>
      </c>
    </row>
    <row r="5247" spans="10:12">
      <c r="J5247" s="31">
        <v>66</v>
      </c>
      <c r="K5247" s="33" t="s">
        <v>140</v>
      </c>
      <c r="L5247" s="31" t="str">
        <f t="shared" si="506"/>
        <v>Enam Puluh Enam</v>
      </c>
    </row>
    <row r="5248" spans="10:12">
      <c r="J5248" s="31">
        <v>67</v>
      </c>
      <c r="K5248" s="33" t="s">
        <v>141</v>
      </c>
      <c r="L5248" s="31" t="str">
        <f t="shared" si="506"/>
        <v>Enam Puluh Tujuh</v>
      </c>
    </row>
    <row r="5249" spans="10:12">
      <c r="J5249" s="31">
        <v>68</v>
      </c>
      <c r="K5249" s="33" t="s">
        <v>142</v>
      </c>
      <c r="L5249" s="31" t="str">
        <f t="shared" si="506"/>
        <v>Enam Puluh Delapan</v>
      </c>
    </row>
    <row r="5250" spans="10:12">
      <c r="J5250" s="31">
        <v>69</v>
      </c>
      <c r="K5250" s="33" t="s">
        <v>143</v>
      </c>
      <c r="L5250" s="31" t="str">
        <f t="shared" si="506"/>
        <v>Enam Puluh Sembilan</v>
      </c>
    </row>
    <row r="5251" spans="10:12">
      <c r="J5251" s="31">
        <v>70</v>
      </c>
      <c r="K5251" s="33" t="s">
        <v>144</v>
      </c>
      <c r="L5251" s="31" t="s">
        <v>145</v>
      </c>
    </row>
    <row r="5252" spans="10:12">
      <c r="J5252" s="31">
        <v>71</v>
      </c>
      <c r="K5252" s="33" t="s">
        <v>146</v>
      </c>
      <c r="L5252" s="31" t="str">
        <f t="shared" ref="L5252:L5260" si="507">$L$73&amp;" "&amp;L5182</f>
        <v>Tujuh Puluh Satu</v>
      </c>
    </row>
    <row r="5253" spans="10:12">
      <c r="J5253" s="31">
        <v>72</v>
      </c>
      <c r="K5253" s="33" t="s">
        <v>147</v>
      </c>
      <c r="L5253" s="31" t="str">
        <f t="shared" si="507"/>
        <v>Tujuh Puluh Dua</v>
      </c>
    </row>
    <row r="5254" spans="10:12">
      <c r="J5254" s="31">
        <v>73</v>
      </c>
      <c r="K5254" s="33" t="s">
        <v>148</v>
      </c>
      <c r="L5254" s="31" t="str">
        <f t="shared" si="507"/>
        <v>Tujuh Puluh Tiga</v>
      </c>
    </row>
    <row r="5255" spans="10:12">
      <c r="J5255" s="31">
        <v>74</v>
      </c>
      <c r="K5255" s="33" t="s">
        <v>149</v>
      </c>
      <c r="L5255" s="31" t="str">
        <f t="shared" si="507"/>
        <v>Tujuh Puluh Empat</v>
      </c>
    </row>
    <row r="5256" spans="10:12">
      <c r="J5256" s="31">
        <v>75</v>
      </c>
      <c r="K5256" s="33" t="s">
        <v>150</v>
      </c>
      <c r="L5256" s="31" t="str">
        <f t="shared" si="507"/>
        <v>Tujuh Puluh Lima</v>
      </c>
    </row>
    <row r="5257" spans="10:12">
      <c r="J5257" s="31">
        <v>76</v>
      </c>
      <c r="K5257" s="33" t="s">
        <v>151</v>
      </c>
      <c r="L5257" s="31" t="str">
        <f t="shared" si="507"/>
        <v>Tujuh Puluh Enam</v>
      </c>
    </row>
    <row r="5258" spans="10:12">
      <c r="J5258" s="31">
        <v>77</v>
      </c>
      <c r="K5258" s="33" t="s">
        <v>152</v>
      </c>
      <c r="L5258" s="31" t="str">
        <f t="shared" si="507"/>
        <v>Tujuh Puluh Tujuh</v>
      </c>
    </row>
    <row r="5259" spans="10:12">
      <c r="J5259" s="31">
        <v>78</v>
      </c>
      <c r="K5259" s="33" t="s">
        <v>153</v>
      </c>
      <c r="L5259" s="31" t="str">
        <f t="shared" si="507"/>
        <v>Tujuh Puluh Delapan</v>
      </c>
    </row>
    <row r="5260" spans="10:12">
      <c r="J5260" s="31">
        <v>79</v>
      </c>
      <c r="K5260" s="33" t="s">
        <v>154</v>
      </c>
      <c r="L5260" s="31" t="str">
        <f t="shared" si="507"/>
        <v>Tujuh Puluh Sembilan</v>
      </c>
    </row>
    <row r="5261" spans="10:12">
      <c r="J5261" s="31">
        <v>80</v>
      </c>
      <c r="K5261" s="33" t="s">
        <v>155</v>
      </c>
      <c r="L5261" s="31" t="s">
        <v>156</v>
      </c>
    </row>
    <row r="5262" spans="10:12">
      <c r="J5262" s="31">
        <v>81</v>
      </c>
      <c r="K5262" s="33" t="s">
        <v>157</v>
      </c>
      <c r="L5262" s="31" t="str">
        <f t="shared" ref="L5262:L5270" si="508">$L$83&amp;" "&amp;L5182</f>
        <v>Delapan Puluh Satu</v>
      </c>
    </row>
    <row r="5263" spans="10:12">
      <c r="J5263" s="31">
        <v>82</v>
      </c>
      <c r="K5263" s="33" t="s">
        <v>158</v>
      </c>
      <c r="L5263" s="31" t="str">
        <f t="shared" si="508"/>
        <v>Delapan Puluh Dua</v>
      </c>
    </row>
    <row r="5264" spans="10:12">
      <c r="J5264" s="31">
        <v>83</v>
      </c>
      <c r="K5264" s="33" t="s">
        <v>159</v>
      </c>
      <c r="L5264" s="31" t="str">
        <f t="shared" si="508"/>
        <v>Delapan Puluh Tiga</v>
      </c>
    </row>
    <row r="5265" spans="10:12">
      <c r="J5265" s="31">
        <v>84</v>
      </c>
      <c r="K5265" s="33" t="s">
        <v>160</v>
      </c>
      <c r="L5265" s="31" t="str">
        <f t="shared" si="508"/>
        <v>Delapan Puluh Empat</v>
      </c>
    </row>
    <row r="5266" spans="10:12">
      <c r="J5266" s="31">
        <v>85</v>
      </c>
      <c r="K5266" s="33" t="s">
        <v>161</v>
      </c>
      <c r="L5266" s="31" t="str">
        <f t="shared" si="508"/>
        <v>Delapan Puluh Lima</v>
      </c>
    </row>
    <row r="5267" spans="10:12">
      <c r="J5267" s="31">
        <v>86</v>
      </c>
      <c r="K5267" s="33" t="s">
        <v>162</v>
      </c>
      <c r="L5267" s="31" t="str">
        <f t="shared" si="508"/>
        <v>Delapan Puluh Enam</v>
      </c>
    </row>
    <row r="5268" spans="10:12">
      <c r="J5268" s="31">
        <v>87</v>
      </c>
      <c r="K5268" s="33" t="s">
        <v>163</v>
      </c>
      <c r="L5268" s="31" t="str">
        <f t="shared" si="508"/>
        <v>Delapan Puluh Tujuh</v>
      </c>
    </row>
    <row r="5269" spans="10:12">
      <c r="J5269" s="31">
        <v>88</v>
      </c>
      <c r="K5269" s="33" t="s">
        <v>164</v>
      </c>
      <c r="L5269" s="31" t="str">
        <f t="shared" si="508"/>
        <v>Delapan Puluh Delapan</v>
      </c>
    </row>
    <row r="5270" spans="10:12">
      <c r="J5270" s="31">
        <v>89</v>
      </c>
      <c r="K5270" s="33" t="s">
        <v>165</v>
      </c>
      <c r="L5270" s="31" t="str">
        <f t="shared" si="508"/>
        <v>Delapan Puluh Sembilan</v>
      </c>
    </row>
    <row r="5271" spans="10:12">
      <c r="J5271" s="31">
        <v>90</v>
      </c>
      <c r="K5271" s="33" t="s">
        <v>166</v>
      </c>
      <c r="L5271" s="31" t="s">
        <v>167</v>
      </c>
    </row>
    <row r="5272" spans="10:12">
      <c r="J5272" s="31">
        <v>91</v>
      </c>
      <c r="K5272" s="33" t="s">
        <v>168</v>
      </c>
      <c r="L5272" s="31" t="str">
        <f t="shared" ref="L5272:L5280" si="509">$L$93&amp;" "&amp;L5182</f>
        <v>Sembilan Puluh Satu</v>
      </c>
    </row>
    <row r="5273" spans="10:12">
      <c r="J5273" s="31">
        <v>92</v>
      </c>
      <c r="K5273" s="33" t="s">
        <v>169</v>
      </c>
      <c r="L5273" s="31" t="str">
        <f t="shared" si="509"/>
        <v>Sembilan Puluh Dua</v>
      </c>
    </row>
    <row r="5274" spans="10:12">
      <c r="J5274" s="31">
        <v>93</v>
      </c>
      <c r="K5274" s="33" t="s">
        <v>170</v>
      </c>
      <c r="L5274" s="31" t="str">
        <f t="shared" si="509"/>
        <v>Sembilan Puluh Tiga</v>
      </c>
    </row>
    <row r="5275" spans="10:12">
      <c r="J5275" s="31">
        <v>94</v>
      </c>
      <c r="K5275" s="33" t="s">
        <v>171</v>
      </c>
      <c r="L5275" s="31" t="str">
        <f t="shared" si="509"/>
        <v>Sembilan Puluh Empat</v>
      </c>
    </row>
    <row r="5276" spans="10:12">
      <c r="J5276" s="31">
        <v>95</v>
      </c>
      <c r="K5276" s="33" t="s">
        <v>172</v>
      </c>
      <c r="L5276" s="31" t="str">
        <f t="shared" si="509"/>
        <v>Sembilan Puluh Lima</v>
      </c>
    </row>
    <row r="5277" spans="10:12">
      <c r="J5277" s="31">
        <v>96</v>
      </c>
      <c r="K5277" s="33" t="s">
        <v>173</v>
      </c>
      <c r="L5277" s="31" t="str">
        <f t="shared" si="509"/>
        <v>Sembilan Puluh Enam</v>
      </c>
    </row>
    <row r="5278" spans="10:12">
      <c r="J5278" s="31">
        <v>97</v>
      </c>
      <c r="K5278" s="33" t="s">
        <v>174</v>
      </c>
      <c r="L5278" s="31" t="str">
        <f t="shared" si="509"/>
        <v>Sembilan Puluh Tujuh</v>
      </c>
    </row>
    <row r="5279" spans="10:12">
      <c r="J5279" s="31">
        <v>98</v>
      </c>
      <c r="K5279" s="33" t="s">
        <v>175</v>
      </c>
      <c r="L5279" s="31" t="str">
        <f t="shared" si="509"/>
        <v>Sembilan Puluh Delapan</v>
      </c>
    </row>
    <row r="5280" spans="10:12">
      <c r="J5280" s="31">
        <v>99</v>
      </c>
      <c r="K5280" s="33" t="s">
        <v>176</v>
      </c>
      <c r="L5280" s="31" t="str">
        <f t="shared" si="509"/>
        <v>Sembilan Puluh Sembilan</v>
      </c>
    </row>
    <row r="5282" spans="1:12">
      <c r="A5282" s="30" t="e">
        <f>#REF!</f>
        <v>#REF!</v>
      </c>
      <c r="C5282" s="31" t="s">
        <v>225</v>
      </c>
    </row>
    <row r="5283" spans="1:12">
      <c r="A5283" s="32"/>
    </row>
    <row r="5284" spans="1:12">
      <c r="J5284" s="31">
        <v>0</v>
      </c>
      <c r="K5284" s="33" t="s">
        <v>48</v>
      </c>
      <c r="L5284" s="31" t="s">
        <v>49</v>
      </c>
    </row>
    <row r="5285" spans="1:12">
      <c r="A5285" s="34"/>
      <c r="J5285" s="31">
        <v>1</v>
      </c>
      <c r="K5285" s="33" t="s">
        <v>50</v>
      </c>
      <c r="L5285" s="31" t="s">
        <v>51</v>
      </c>
    </row>
    <row r="5286" spans="1:12">
      <c r="A5286" s="255" t="e">
        <f>TRIM(D5294&amp;E5294&amp;D5295&amp;E5295&amp;D5296&amp;E5296&amp;D5297&amp;E5297&amp;D5298&amp;E5298&amp;D5299&amp;E5299&amp;E5300&amp;D5300&amp;" Only")</f>
        <v>#REF!</v>
      </c>
      <c r="B5286" s="255"/>
      <c r="C5286" s="255"/>
      <c r="D5286" s="255"/>
      <c r="E5286" s="35"/>
      <c r="F5286" s="36"/>
      <c r="J5286" s="31">
        <v>2</v>
      </c>
      <c r="K5286" s="33" t="s">
        <v>52</v>
      </c>
      <c r="L5286" s="31" t="s">
        <v>53</v>
      </c>
    </row>
    <row r="5287" spans="1:12">
      <c r="A5287" s="37"/>
      <c r="B5287" s="37"/>
      <c r="C5287" s="37"/>
      <c r="D5287" s="37"/>
      <c r="E5287" s="35"/>
      <c r="F5287" s="36"/>
      <c r="J5287" s="31">
        <v>3</v>
      </c>
      <c r="K5287" s="33" t="s">
        <v>54</v>
      </c>
      <c r="L5287" s="31" t="s">
        <v>55</v>
      </c>
    </row>
    <row r="5288" spans="1:12">
      <c r="A5288" s="37"/>
      <c r="B5288" s="37"/>
      <c r="C5288" s="37"/>
      <c r="D5288" s="37"/>
      <c r="J5288" s="31">
        <v>4</v>
      </c>
      <c r="K5288" s="33" t="s">
        <v>56</v>
      </c>
      <c r="L5288" s="31" t="s">
        <v>57</v>
      </c>
    </row>
    <row r="5289" spans="1:12">
      <c r="A5289" s="255" t="e">
        <f>TRIM(D5304&amp;E5304&amp;D5305&amp;E5305&amp;D5306&amp;E5306&amp;D5307&amp;E5307&amp;D5308&amp;E5308&amp;D5309&amp;E5309&amp;D5310&amp;E5310&amp;" Rupiah")</f>
        <v>#REF!</v>
      </c>
      <c r="B5289" s="255"/>
      <c r="C5289" s="255"/>
      <c r="D5289" s="255"/>
      <c r="E5289" s="35"/>
      <c r="F5289" s="36"/>
      <c r="J5289" s="31">
        <v>5</v>
      </c>
      <c r="K5289" s="33" t="s">
        <v>58</v>
      </c>
      <c r="L5289" s="31" t="s">
        <v>59</v>
      </c>
    </row>
    <row r="5290" spans="1:12">
      <c r="A5290" s="35"/>
      <c r="B5290" s="35"/>
      <c r="C5290" s="35"/>
      <c r="D5290" s="35"/>
      <c r="E5290" s="35"/>
      <c r="F5290" s="36"/>
      <c r="J5290" s="31">
        <v>6</v>
      </c>
      <c r="K5290" s="33" t="s">
        <v>60</v>
      </c>
      <c r="L5290" s="31" t="s">
        <v>61</v>
      </c>
    </row>
    <row r="5291" spans="1:12">
      <c r="J5291" s="31">
        <v>7</v>
      </c>
      <c r="K5291" s="33" t="s">
        <v>62</v>
      </c>
      <c r="L5291" s="31" t="s">
        <v>63</v>
      </c>
    </row>
    <row r="5292" spans="1:12">
      <c r="J5292" s="31">
        <v>8</v>
      </c>
      <c r="K5292" s="33" t="s">
        <v>64</v>
      </c>
      <c r="L5292" s="31" t="s">
        <v>65</v>
      </c>
    </row>
    <row r="5293" spans="1:12">
      <c r="A5293" s="38" t="s">
        <v>66</v>
      </c>
      <c r="J5293" s="31">
        <v>9</v>
      </c>
      <c r="K5293" s="33" t="s">
        <v>67</v>
      </c>
      <c r="L5293" s="31" t="s">
        <v>68</v>
      </c>
    </row>
    <row r="5294" spans="1:12">
      <c r="A5294" s="31" t="s">
        <v>69</v>
      </c>
      <c r="B5294" s="39" t="e">
        <f>TRUNC(A5282/100000000)</f>
        <v>#REF!</v>
      </c>
      <c r="C5294" s="31" t="e">
        <f>B5294*100000000</f>
        <v>#REF!</v>
      </c>
      <c r="D5294" s="31" t="e">
        <f t="shared" ref="D5294:D5300" si="510">IF(B5294&lt;1,"",VLOOKUP(B5294,$J$3:$K$102,2))</f>
        <v>#REF!</v>
      </c>
      <c r="E5294" s="31" t="e">
        <f>IF(B5294&lt;1,"",IF(B5294&gt;1," Hundreds "," Hundred "))</f>
        <v>#REF!</v>
      </c>
      <c r="J5294" s="31">
        <v>10</v>
      </c>
      <c r="K5294" s="33" t="s">
        <v>70</v>
      </c>
      <c r="L5294" s="31" t="s">
        <v>71</v>
      </c>
    </row>
    <row r="5295" spans="1:12">
      <c r="A5295" s="31" t="s">
        <v>72</v>
      </c>
      <c r="B5295" s="39" t="e">
        <f>TRUNC((A5282-C5294)/1000000)</f>
        <v>#REF!</v>
      </c>
      <c r="C5295" s="31" t="e">
        <f>B5295*1000000</f>
        <v>#REF!</v>
      </c>
      <c r="D5295" s="31" t="e">
        <f t="shared" si="510"/>
        <v>#REF!</v>
      </c>
      <c r="E5295" s="31" t="e">
        <f>IF(B5294+B5295=0,"",IF(B5295=1," Million "," Millions "))</f>
        <v>#REF!</v>
      </c>
      <c r="J5295" s="31">
        <v>11</v>
      </c>
      <c r="K5295" s="33" t="s">
        <v>73</v>
      </c>
      <c r="L5295" s="31" t="s">
        <v>74</v>
      </c>
    </row>
    <row r="5296" spans="1:12">
      <c r="A5296" s="31" t="s">
        <v>75</v>
      </c>
      <c r="B5296" s="39" t="e">
        <f>TRUNC((A5282-SUM(C5294:C5295))/100000)</f>
        <v>#REF!</v>
      </c>
      <c r="C5296" s="31" t="e">
        <f>B5296*100000</f>
        <v>#REF!</v>
      </c>
      <c r="D5296" s="31" t="e">
        <f t="shared" si="510"/>
        <v>#REF!</v>
      </c>
      <c r="E5296" s="31" t="e">
        <f>IF(B5296&lt;1,"",IF(B5296&gt;1," Hundreds "," Hundred "))</f>
        <v>#REF!</v>
      </c>
      <c r="J5296" s="31">
        <v>12</v>
      </c>
      <c r="K5296" s="33" t="s">
        <v>76</v>
      </c>
      <c r="L5296" s="31" t="str">
        <f t="shared" ref="L5296:L5303" si="511">L5286&amp;" Belas"</f>
        <v>Dua Belas</v>
      </c>
    </row>
    <row r="5297" spans="1:12">
      <c r="A5297" s="33" t="s">
        <v>77</v>
      </c>
      <c r="B5297" s="40" t="e">
        <f>TRUNC((A5282-SUM(C5294:C5296))/1000)</f>
        <v>#REF!</v>
      </c>
      <c r="C5297" s="31" t="e">
        <f>B5297*1000</f>
        <v>#REF!</v>
      </c>
      <c r="D5297" s="31" t="e">
        <f t="shared" si="510"/>
        <v>#REF!</v>
      </c>
      <c r="E5297" s="31" t="e">
        <f>IF(B5296+B5297=0,"",IF(B5297=1," Thousand "," Thousands "))</f>
        <v>#REF!</v>
      </c>
      <c r="J5297" s="31">
        <v>13</v>
      </c>
      <c r="K5297" s="33" t="s">
        <v>78</v>
      </c>
      <c r="L5297" s="31" t="str">
        <f t="shared" si="511"/>
        <v>Tiga Belas</v>
      </c>
    </row>
    <row r="5298" spans="1:12">
      <c r="A5298" s="33" t="s">
        <v>79</v>
      </c>
      <c r="B5298" s="40" t="e">
        <f>TRUNC((A5282-SUM(C5294:C5297))/100)</f>
        <v>#REF!</v>
      </c>
      <c r="C5298" s="31" t="e">
        <f>B5298*100</f>
        <v>#REF!</v>
      </c>
      <c r="D5298" s="31" t="e">
        <f t="shared" si="510"/>
        <v>#REF!</v>
      </c>
      <c r="E5298" s="31" t="e">
        <f>IF(B5298&lt;1,"",IF(B5298&gt;1," Hundreds "," Hundred "))</f>
        <v>#REF!</v>
      </c>
      <c r="J5298" s="31">
        <v>14</v>
      </c>
      <c r="K5298" s="33" t="s">
        <v>80</v>
      </c>
      <c r="L5298" s="31" t="str">
        <f t="shared" si="511"/>
        <v>Empat Belas</v>
      </c>
    </row>
    <row r="5299" spans="1:12">
      <c r="A5299" s="33" t="s">
        <v>81</v>
      </c>
      <c r="B5299" s="41" t="e">
        <f>TRUNC((A5282-SUM(C5294:C5298)))</f>
        <v>#REF!</v>
      </c>
      <c r="C5299" s="42" t="e">
        <f>B5299</f>
        <v>#REF!</v>
      </c>
      <c r="D5299" s="31" t="e">
        <f t="shared" si="510"/>
        <v>#REF!</v>
      </c>
      <c r="E5299" s="31" t="e">
        <f>IF(SUM(C5294:C5299)&lt;1,"",IF(B5300&lt;1,""," And "))</f>
        <v>#REF!</v>
      </c>
      <c r="J5299" s="31">
        <v>15</v>
      </c>
      <c r="K5299" s="33" t="s">
        <v>82</v>
      </c>
      <c r="L5299" s="31" t="str">
        <f t="shared" si="511"/>
        <v>Lima Belas</v>
      </c>
    </row>
    <row r="5300" spans="1:12">
      <c r="A5300" s="33" t="s">
        <v>83</v>
      </c>
      <c r="B5300" s="40" t="e">
        <f>ROUND(A5282-SUM(C5294:C5299),2)*100</f>
        <v>#REF!</v>
      </c>
      <c r="D5300" s="43" t="e">
        <f t="shared" si="510"/>
        <v>#REF!</v>
      </c>
      <c r="E5300" s="31" t="e">
        <f>IF(B5300&lt;1,"",IF(B5300=1," Cent "," Cents "))</f>
        <v>#REF!</v>
      </c>
      <c r="J5300" s="31">
        <v>16</v>
      </c>
      <c r="K5300" s="33" t="s">
        <v>84</v>
      </c>
      <c r="L5300" s="31" t="str">
        <f t="shared" si="511"/>
        <v>Enam Belas</v>
      </c>
    </row>
    <row r="5301" spans="1:12">
      <c r="J5301" s="31">
        <v>17</v>
      </c>
      <c r="K5301" s="33" t="s">
        <v>85</v>
      </c>
      <c r="L5301" s="31" t="str">
        <f t="shared" si="511"/>
        <v>Tujuh Belas</v>
      </c>
    </row>
    <row r="5302" spans="1:12">
      <c r="A5302" s="44"/>
      <c r="J5302" s="31">
        <v>18</v>
      </c>
      <c r="K5302" s="33" t="s">
        <v>86</v>
      </c>
      <c r="L5302" s="31" t="str">
        <f t="shared" si="511"/>
        <v>Delapan Belas</v>
      </c>
    </row>
    <row r="5303" spans="1:12">
      <c r="A5303" s="38" t="s">
        <v>87</v>
      </c>
      <c r="J5303" s="31">
        <v>19</v>
      </c>
      <c r="K5303" s="33" t="s">
        <v>88</v>
      </c>
      <c r="L5303" s="31" t="str">
        <f t="shared" si="511"/>
        <v>Sembilan Belas</v>
      </c>
    </row>
    <row r="5304" spans="1:12">
      <c r="A5304" s="31" t="s">
        <v>69</v>
      </c>
      <c r="B5304" s="39" t="e">
        <f>TRUNC(A5282/100000000)</f>
        <v>#REF!</v>
      </c>
      <c r="C5304" s="31" t="e">
        <f>B5304*100000000</f>
        <v>#REF!</v>
      </c>
      <c r="D5304" s="31" t="e">
        <f>IF(B5304&lt;1,"",IF(B5304=1,"",VLOOKUP(B5304,$J$3:$L$102,3)))</f>
        <v>#REF!</v>
      </c>
      <c r="E5304" s="31" t="e">
        <f>IF(B5304&lt;1,"",IF(B5304=1,"Seratus "," Ratus "))</f>
        <v>#REF!</v>
      </c>
      <c r="J5304" s="31">
        <v>20</v>
      </c>
      <c r="K5304" s="33" t="s">
        <v>89</v>
      </c>
      <c r="L5304" s="31" t="s">
        <v>90</v>
      </c>
    </row>
    <row r="5305" spans="1:12">
      <c r="A5305" s="31" t="s">
        <v>72</v>
      </c>
      <c r="B5305" s="39" t="e">
        <f>TRUNC((A5282-C5304)/1000000)</f>
        <v>#REF!</v>
      </c>
      <c r="C5305" s="31" t="e">
        <f>B5305*1000000</f>
        <v>#REF!</v>
      </c>
      <c r="D5305" s="31" t="e">
        <f>IF(B5305&lt;1,"",VLOOKUP(B5305,$J$3:$L$102,3))</f>
        <v>#REF!</v>
      </c>
      <c r="E5305" s="31" t="e">
        <f>IF(B5304+B5305=0,""," Juta ")</f>
        <v>#REF!</v>
      </c>
      <c r="J5305" s="31">
        <v>21</v>
      </c>
      <c r="K5305" s="33" t="s">
        <v>91</v>
      </c>
      <c r="L5305" s="31" t="str">
        <f t="shared" ref="L5305:L5313" si="512">$L$23&amp;" "&amp;L5285</f>
        <v>Dua Puluh Satu</v>
      </c>
    </row>
    <row r="5306" spans="1:12">
      <c r="A5306" s="31" t="s">
        <v>75</v>
      </c>
      <c r="B5306" s="39" t="e">
        <f>TRUNC((A5282-SUM(C5304:C5305))/100000)</f>
        <v>#REF!</v>
      </c>
      <c r="C5306" s="31" t="e">
        <f>B5306*100000</f>
        <v>#REF!</v>
      </c>
      <c r="D5306" s="31" t="e">
        <f>IF(B5306&lt;1,"",IF(B5306=1,"",VLOOKUP(B5306,$J$3:$L$102,3)))</f>
        <v>#REF!</v>
      </c>
      <c r="E5306" s="31" t="e">
        <f>IF(B5306&lt;1,"",IF(B5306=1," Seratus "," Ratus "))</f>
        <v>#REF!</v>
      </c>
      <c r="J5306" s="31">
        <v>22</v>
      </c>
      <c r="K5306" s="33" t="s">
        <v>92</v>
      </c>
      <c r="L5306" s="31" t="str">
        <f t="shared" si="512"/>
        <v>Dua Puluh Dua</v>
      </c>
    </row>
    <row r="5307" spans="1:12">
      <c r="A5307" s="33" t="s">
        <v>77</v>
      </c>
      <c r="B5307" s="40" t="e">
        <f>TRUNC((A5282-SUM(C5304:C5306))/1000)</f>
        <v>#REF!</v>
      </c>
      <c r="C5307" s="31" t="e">
        <f>B5307*1000</f>
        <v>#REF!</v>
      </c>
      <c r="D5307" s="31" t="e">
        <f>IF(B5307&lt;1,"",IF(B5307=1,"",VLOOKUP(B5307,$J$3:$L$102,3)))</f>
        <v>#REF!</v>
      </c>
      <c r="E5307" s="31" t="e">
        <f>IF(B5306+B5307&lt;1,"",IF(B5307=1," Seribu "," Ribu "))</f>
        <v>#REF!</v>
      </c>
      <c r="J5307" s="31">
        <v>23</v>
      </c>
      <c r="K5307" s="33" t="s">
        <v>93</v>
      </c>
      <c r="L5307" s="31" t="str">
        <f t="shared" si="512"/>
        <v>Dua Puluh Tiga</v>
      </c>
    </row>
    <row r="5308" spans="1:12">
      <c r="A5308" s="33" t="s">
        <v>79</v>
      </c>
      <c r="B5308" s="40" t="e">
        <f>TRUNC((A5282-SUM(C5304:C5307))/100)</f>
        <v>#REF!</v>
      </c>
      <c r="C5308" s="31" t="e">
        <f>B5308*100</f>
        <v>#REF!</v>
      </c>
      <c r="D5308" s="31" t="e">
        <f>IF(B5308&lt;1,"",IF(B5308=1,"",VLOOKUP(B5308,$J$3:$L$102,3)))</f>
        <v>#REF!</v>
      </c>
      <c r="E5308" s="31" t="e">
        <f>IF(B5308&lt;1,"",IF(B5308=1," Seratus "," Ratus "))</f>
        <v>#REF!</v>
      </c>
      <c r="J5308" s="31">
        <v>24</v>
      </c>
      <c r="K5308" s="33" t="s">
        <v>94</v>
      </c>
      <c r="L5308" s="31" t="str">
        <f t="shared" si="512"/>
        <v>Dua Puluh Empat</v>
      </c>
    </row>
    <row r="5309" spans="1:12">
      <c r="A5309" s="33" t="s">
        <v>81</v>
      </c>
      <c r="B5309" s="41" t="e">
        <f>TRUNC((A5282-SUM(C5304:C5308)))</f>
        <v>#REF!</v>
      </c>
      <c r="C5309" s="42" t="e">
        <f>B5309</f>
        <v>#REF!</v>
      </c>
      <c r="D5309" s="31" t="e">
        <f>IF(B5309&lt;1,"",VLOOKUP(B5309,$J$3:$L$102,3))</f>
        <v>#REF!</v>
      </c>
      <c r="E5309" s="31" t="e">
        <f>IF(SUM(C5304:C5309)&lt;1,"",IF(B5310&lt;1,""," Dan "))</f>
        <v>#REF!</v>
      </c>
      <c r="J5309" s="31">
        <v>25</v>
      </c>
      <c r="K5309" s="33" t="s">
        <v>95</v>
      </c>
      <c r="L5309" s="31" t="str">
        <f t="shared" si="512"/>
        <v>Dua Puluh Lima</v>
      </c>
    </row>
    <row r="5310" spans="1:12">
      <c r="A5310" s="33" t="s">
        <v>83</v>
      </c>
      <c r="B5310" s="40" t="e">
        <f>ROUND(A5282-SUM(C5304:C5309),2)*100</f>
        <v>#REF!</v>
      </c>
      <c r="D5310" s="31" t="e">
        <f>IF(B5310&lt;1,"",VLOOKUP(B5310,$J$3:$L$102,3))</f>
        <v>#REF!</v>
      </c>
      <c r="E5310" s="31" t="e">
        <f>IF(B5310&lt;1,""," Sen ")</f>
        <v>#REF!</v>
      </c>
      <c r="J5310" s="31">
        <v>26</v>
      </c>
      <c r="K5310" s="33" t="s">
        <v>96</v>
      </c>
      <c r="L5310" s="31" t="str">
        <f t="shared" si="512"/>
        <v>Dua Puluh Enam</v>
      </c>
    </row>
    <row r="5311" spans="1:12">
      <c r="J5311" s="31">
        <v>27</v>
      </c>
      <c r="K5311" s="33" t="s">
        <v>97</v>
      </c>
      <c r="L5311" s="31" t="str">
        <f t="shared" si="512"/>
        <v>Dua Puluh Tujuh</v>
      </c>
    </row>
    <row r="5312" spans="1:12">
      <c r="J5312" s="31">
        <v>28</v>
      </c>
      <c r="K5312" s="33" t="s">
        <v>98</v>
      </c>
      <c r="L5312" s="31" t="str">
        <f t="shared" si="512"/>
        <v>Dua Puluh Delapan</v>
      </c>
    </row>
    <row r="5313" spans="1:12">
      <c r="J5313" s="31">
        <v>29</v>
      </c>
      <c r="K5313" s="33" t="s">
        <v>99</v>
      </c>
      <c r="L5313" s="31" t="str">
        <f t="shared" si="512"/>
        <v>Dua Puluh Sembilan</v>
      </c>
    </row>
    <row r="5314" spans="1:12">
      <c r="J5314" s="31">
        <v>30</v>
      </c>
      <c r="K5314" s="33" t="s">
        <v>100</v>
      </c>
      <c r="L5314" s="31" t="s">
        <v>101</v>
      </c>
    </row>
    <row r="5315" spans="1:12">
      <c r="J5315" s="31">
        <v>31</v>
      </c>
      <c r="K5315" s="33" t="s">
        <v>102</v>
      </c>
      <c r="L5315" s="31" t="str">
        <f t="shared" ref="L5315:L5323" si="513">$L$33&amp;" "&amp;L5285</f>
        <v>Tiga Puluh Satu</v>
      </c>
    </row>
    <row r="5316" spans="1:12">
      <c r="J5316" s="31">
        <v>32</v>
      </c>
      <c r="K5316" s="33" t="s">
        <v>103</v>
      </c>
      <c r="L5316" s="31" t="str">
        <f t="shared" si="513"/>
        <v>Tiga Puluh Dua</v>
      </c>
    </row>
    <row r="5317" spans="1:12">
      <c r="J5317" s="31">
        <v>33</v>
      </c>
      <c r="K5317" s="33" t="s">
        <v>104</v>
      </c>
      <c r="L5317" s="31" t="str">
        <f t="shared" si="513"/>
        <v>Tiga Puluh Tiga</v>
      </c>
    </row>
    <row r="5318" spans="1:12">
      <c r="J5318" s="31">
        <v>34</v>
      </c>
      <c r="K5318" s="33" t="s">
        <v>105</v>
      </c>
      <c r="L5318" s="31" t="str">
        <f t="shared" si="513"/>
        <v>Tiga Puluh Empat</v>
      </c>
    </row>
    <row r="5319" spans="1:12">
      <c r="J5319" s="31">
        <v>35</v>
      </c>
      <c r="K5319" s="33" t="s">
        <v>106</v>
      </c>
      <c r="L5319" s="31" t="str">
        <f t="shared" si="513"/>
        <v>Tiga Puluh Lima</v>
      </c>
    </row>
    <row r="5320" spans="1:12">
      <c r="J5320" s="31">
        <v>36</v>
      </c>
      <c r="K5320" s="33" t="s">
        <v>107</v>
      </c>
      <c r="L5320" s="31" t="str">
        <f t="shared" si="513"/>
        <v>Tiga Puluh Enam</v>
      </c>
    </row>
    <row r="5321" spans="1:12">
      <c r="J5321" s="31">
        <v>37</v>
      </c>
      <c r="K5321" s="33" t="s">
        <v>108</v>
      </c>
      <c r="L5321" s="31" t="str">
        <f t="shared" si="513"/>
        <v>Tiga Puluh Tujuh</v>
      </c>
    </row>
    <row r="5322" spans="1:12">
      <c r="J5322" s="31">
        <v>38</v>
      </c>
      <c r="K5322" s="33" t="s">
        <v>109</v>
      </c>
      <c r="L5322" s="31" t="str">
        <f t="shared" si="513"/>
        <v>Tiga Puluh Delapan</v>
      </c>
    </row>
    <row r="5323" spans="1:12">
      <c r="J5323" s="31">
        <v>39</v>
      </c>
      <c r="K5323" s="33" t="s">
        <v>110</v>
      </c>
      <c r="L5323" s="31" t="str">
        <f t="shared" si="513"/>
        <v>Tiga Puluh Sembilan</v>
      </c>
    </row>
    <row r="5324" spans="1:12">
      <c r="B5324" s="35"/>
      <c r="C5324" s="35"/>
      <c r="D5324" s="35"/>
      <c r="J5324" s="31">
        <v>40</v>
      </c>
      <c r="K5324" s="33" t="s">
        <v>111</v>
      </c>
      <c r="L5324" s="31" t="s">
        <v>112</v>
      </c>
    </row>
    <row r="5325" spans="1:12">
      <c r="A5325" s="35"/>
      <c r="B5325" s="35"/>
      <c r="C5325" s="35"/>
      <c r="D5325" s="35"/>
      <c r="J5325" s="31">
        <v>41</v>
      </c>
      <c r="K5325" s="33" t="s">
        <v>113</v>
      </c>
      <c r="L5325" s="31" t="str">
        <f t="shared" ref="L5325:L5333" si="514">$L$43&amp;" "&amp;L5285</f>
        <v>Empat Puluh Satu</v>
      </c>
    </row>
    <row r="5326" spans="1:12">
      <c r="J5326" s="31">
        <v>42</v>
      </c>
      <c r="K5326" s="33" t="s">
        <v>114</v>
      </c>
      <c r="L5326" s="31" t="str">
        <f t="shared" si="514"/>
        <v>Empat Puluh Dua</v>
      </c>
    </row>
    <row r="5327" spans="1:12">
      <c r="A5327" s="38"/>
      <c r="J5327" s="31">
        <v>43</v>
      </c>
      <c r="K5327" s="33" t="s">
        <v>115</v>
      </c>
      <c r="L5327" s="31" t="str">
        <f t="shared" si="514"/>
        <v>Empat Puluh Tiga</v>
      </c>
    </row>
    <row r="5328" spans="1:12">
      <c r="J5328" s="31">
        <v>44</v>
      </c>
      <c r="K5328" s="33" t="s">
        <v>116</v>
      </c>
      <c r="L5328" s="31" t="str">
        <f t="shared" si="514"/>
        <v>Empat Puluh Empat</v>
      </c>
    </row>
    <row r="5329" spans="10:12">
      <c r="J5329" s="31">
        <v>45</v>
      </c>
      <c r="K5329" s="33" t="s">
        <v>117</v>
      </c>
      <c r="L5329" s="31" t="str">
        <f t="shared" si="514"/>
        <v>Empat Puluh Lima</v>
      </c>
    </row>
    <row r="5330" spans="10:12">
      <c r="J5330" s="31">
        <v>46</v>
      </c>
      <c r="K5330" s="33" t="s">
        <v>118</v>
      </c>
      <c r="L5330" s="31" t="str">
        <f t="shared" si="514"/>
        <v>Empat Puluh Enam</v>
      </c>
    </row>
    <row r="5331" spans="10:12">
      <c r="J5331" s="31">
        <v>47</v>
      </c>
      <c r="K5331" s="33" t="s">
        <v>119</v>
      </c>
      <c r="L5331" s="31" t="str">
        <f t="shared" si="514"/>
        <v>Empat Puluh Tujuh</v>
      </c>
    </row>
    <row r="5332" spans="10:12">
      <c r="J5332" s="31">
        <v>48</v>
      </c>
      <c r="K5332" s="33" t="s">
        <v>120</v>
      </c>
      <c r="L5332" s="31" t="str">
        <f t="shared" si="514"/>
        <v>Empat Puluh Delapan</v>
      </c>
    </row>
    <row r="5333" spans="10:12">
      <c r="J5333" s="31">
        <v>49</v>
      </c>
      <c r="K5333" s="33" t="s">
        <v>121</v>
      </c>
      <c r="L5333" s="31" t="str">
        <f t="shared" si="514"/>
        <v>Empat Puluh Sembilan</v>
      </c>
    </row>
    <row r="5334" spans="10:12">
      <c r="J5334" s="31">
        <v>50</v>
      </c>
      <c r="K5334" s="33" t="s">
        <v>122</v>
      </c>
      <c r="L5334" s="31" t="s">
        <v>123</v>
      </c>
    </row>
    <row r="5335" spans="10:12">
      <c r="J5335" s="31">
        <v>51</v>
      </c>
      <c r="K5335" s="33" t="s">
        <v>124</v>
      </c>
      <c r="L5335" s="31" t="str">
        <f t="shared" ref="L5335:L5343" si="515">$L$53&amp;" "&amp;L5285</f>
        <v>Lima Puluh Satu</v>
      </c>
    </row>
    <row r="5336" spans="10:12">
      <c r="J5336" s="31">
        <v>52</v>
      </c>
      <c r="K5336" s="33" t="s">
        <v>125</v>
      </c>
      <c r="L5336" s="31" t="str">
        <f t="shared" si="515"/>
        <v>Lima Puluh Dua</v>
      </c>
    </row>
    <row r="5337" spans="10:12">
      <c r="J5337" s="31">
        <v>53</v>
      </c>
      <c r="K5337" s="33" t="s">
        <v>126</v>
      </c>
      <c r="L5337" s="31" t="str">
        <f t="shared" si="515"/>
        <v>Lima Puluh Tiga</v>
      </c>
    </row>
    <row r="5338" spans="10:12">
      <c r="J5338" s="31">
        <v>54</v>
      </c>
      <c r="K5338" s="33" t="s">
        <v>127</v>
      </c>
      <c r="L5338" s="31" t="str">
        <f t="shared" si="515"/>
        <v>Lima Puluh Empat</v>
      </c>
    </row>
    <row r="5339" spans="10:12">
      <c r="J5339" s="31">
        <v>55</v>
      </c>
      <c r="K5339" s="33" t="s">
        <v>128</v>
      </c>
      <c r="L5339" s="31" t="str">
        <f t="shared" si="515"/>
        <v>Lima Puluh Lima</v>
      </c>
    </row>
    <row r="5340" spans="10:12">
      <c r="J5340" s="31">
        <v>56</v>
      </c>
      <c r="K5340" s="33" t="s">
        <v>129</v>
      </c>
      <c r="L5340" s="31" t="str">
        <f t="shared" si="515"/>
        <v>Lima Puluh Enam</v>
      </c>
    </row>
    <row r="5341" spans="10:12">
      <c r="J5341" s="31">
        <v>57</v>
      </c>
      <c r="K5341" s="33" t="s">
        <v>130</v>
      </c>
      <c r="L5341" s="31" t="str">
        <f t="shared" si="515"/>
        <v>Lima Puluh Tujuh</v>
      </c>
    </row>
    <row r="5342" spans="10:12">
      <c r="J5342" s="31">
        <v>58</v>
      </c>
      <c r="K5342" s="33" t="s">
        <v>131</v>
      </c>
      <c r="L5342" s="31" t="str">
        <f t="shared" si="515"/>
        <v>Lima Puluh Delapan</v>
      </c>
    </row>
    <row r="5343" spans="10:12">
      <c r="J5343" s="31">
        <v>59</v>
      </c>
      <c r="K5343" s="33" t="s">
        <v>132</v>
      </c>
      <c r="L5343" s="31" t="str">
        <f t="shared" si="515"/>
        <v>Lima Puluh Sembilan</v>
      </c>
    </row>
    <row r="5344" spans="10:12">
      <c r="J5344" s="31">
        <v>60</v>
      </c>
      <c r="K5344" s="33" t="s">
        <v>133</v>
      </c>
      <c r="L5344" s="31" t="s">
        <v>134</v>
      </c>
    </row>
    <row r="5345" spans="10:12">
      <c r="J5345" s="31">
        <v>61</v>
      </c>
      <c r="K5345" s="33" t="s">
        <v>135</v>
      </c>
      <c r="L5345" s="31" t="str">
        <f t="shared" ref="L5345:L5353" si="516">$L$63&amp;" "&amp;L5285</f>
        <v>Enam Puluh Satu</v>
      </c>
    </row>
    <row r="5346" spans="10:12">
      <c r="J5346" s="31">
        <v>62</v>
      </c>
      <c r="K5346" s="33" t="s">
        <v>136</v>
      </c>
      <c r="L5346" s="31" t="str">
        <f t="shared" si="516"/>
        <v>Enam Puluh Dua</v>
      </c>
    </row>
    <row r="5347" spans="10:12">
      <c r="J5347" s="31">
        <v>63</v>
      </c>
      <c r="K5347" s="33" t="s">
        <v>137</v>
      </c>
      <c r="L5347" s="31" t="str">
        <f t="shared" si="516"/>
        <v>Enam Puluh Tiga</v>
      </c>
    </row>
    <row r="5348" spans="10:12">
      <c r="J5348" s="31">
        <v>64</v>
      </c>
      <c r="K5348" s="33" t="s">
        <v>138</v>
      </c>
      <c r="L5348" s="31" t="str">
        <f t="shared" si="516"/>
        <v>Enam Puluh Empat</v>
      </c>
    </row>
    <row r="5349" spans="10:12">
      <c r="J5349" s="31">
        <v>65</v>
      </c>
      <c r="K5349" s="33" t="s">
        <v>139</v>
      </c>
      <c r="L5349" s="31" t="str">
        <f t="shared" si="516"/>
        <v>Enam Puluh Lima</v>
      </c>
    </row>
    <row r="5350" spans="10:12">
      <c r="J5350" s="31">
        <v>66</v>
      </c>
      <c r="K5350" s="33" t="s">
        <v>140</v>
      </c>
      <c r="L5350" s="31" t="str">
        <f t="shared" si="516"/>
        <v>Enam Puluh Enam</v>
      </c>
    </row>
    <row r="5351" spans="10:12">
      <c r="J5351" s="31">
        <v>67</v>
      </c>
      <c r="K5351" s="33" t="s">
        <v>141</v>
      </c>
      <c r="L5351" s="31" t="str">
        <f t="shared" si="516"/>
        <v>Enam Puluh Tujuh</v>
      </c>
    </row>
    <row r="5352" spans="10:12">
      <c r="J5352" s="31">
        <v>68</v>
      </c>
      <c r="K5352" s="33" t="s">
        <v>142</v>
      </c>
      <c r="L5352" s="31" t="str">
        <f t="shared" si="516"/>
        <v>Enam Puluh Delapan</v>
      </c>
    </row>
    <row r="5353" spans="10:12">
      <c r="J5353" s="31">
        <v>69</v>
      </c>
      <c r="K5353" s="33" t="s">
        <v>143</v>
      </c>
      <c r="L5353" s="31" t="str">
        <f t="shared" si="516"/>
        <v>Enam Puluh Sembilan</v>
      </c>
    </row>
    <row r="5354" spans="10:12">
      <c r="J5354" s="31">
        <v>70</v>
      </c>
      <c r="K5354" s="33" t="s">
        <v>144</v>
      </c>
      <c r="L5354" s="31" t="s">
        <v>145</v>
      </c>
    </row>
    <row r="5355" spans="10:12">
      <c r="J5355" s="31">
        <v>71</v>
      </c>
      <c r="K5355" s="33" t="s">
        <v>146</v>
      </c>
      <c r="L5355" s="31" t="str">
        <f t="shared" ref="L5355:L5363" si="517">$L$73&amp;" "&amp;L5285</f>
        <v>Tujuh Puluh Satu</v>
      </c>
    </row>
    <row r="5356" spans="10:12">
      <c r="J5356" s="31">
        <v>72</v>
      </c>
      <c r="K5356" s="33" t="s">
        <v>147</v>
      </c>
      <c r="L5356" s="31" t="str">
        <f t="shared" si="517"/>
        <v>Tujuh Puluh Dua</v>
      </c>
    </row>
    <row r="5357" spans="10:12">
      <c r="J5357" s="31">
        <v>73</v>
      </c>
      <c r="K5357" s="33" t="s">
        <v>148</v>
      </c>
      <c r="L5357" s="31" t="str">
        <f t="shared" si="517"/>
        <v>Tujuh Puluh Tiga</v>
      </c>
    </row>
    <row r="5358" spans="10:12">
      <c r="J5358" s="31">
        <v>74</v>
      </c>
      <c r="K5358" s="33" t="s">
        <v>149</v>
      </c>
      <c r="L5358" s="31" t="str">
        <f t="shared" si="517"/>
        <v>Tujuh Puluh Empat</v>
      </c>
    </row>
    <row r="5359" spans="10:12">
      <c r="J5359" s="31">
        <v>75</v>
      </c>
      <c r="K5359" s="33" t="s">
        <v>150</v>
      </c>
      <c r="L5359" s="31" t="str">
        <f t="shared" si="517"/>
        <v>Tujuh Puluh Lima</v>
      </c>
    </row>
    <row r="5360" spans="10:12">
      <c r="J5360" s="31">
        <v>76</v>
      </c>
      <c r="K5360" s="33" t="s">
        <v>151</v>
      </c>
      <c r="L5360" s="31" t="str">
        <f t="shared" si="517"/>
        <v>Tujuh Puluh Enam</v>
      </c>
    </row>
    <row r="5361" spans="10:12">
      <c r="J5361" s="31">
        <v>77</v>
      </c>
      <c r="K5361" s="33" t="s">
        <v>152</v>
      </c>
      <c r="L5361" s="31" t="str">
        <f t="shared" si="517"/>
        <v>Tujuh Puluh Tujuh</v>
      </c>
    </row>
    <row r="5362" spans="10:12">
      <c r="J5362" s="31">
        <v>78</v>
      </c>
      <c r="K5362" s="33" t="s">
        <v>153</v>
      </c>
      <c r="L5362" s="31" t="str">
        <f t="shared" si="517"/>
        <v>Tujuh Puluh Delapan</v>
      </c>
    </row>
    <row r="5363" spans="10:12">
      <c r="J5363" s="31">
        <v>79</v>
      </c>
      <c r="K5363" s="33" t="s">
        <v>154</v>
      </c>
      <c r="L5363" s="31" t="str">
        <f t="shared" si="517"/>
        <v>Tujuh Puluh Sembilan</v>
      </c>
    </row>
    <row r="5364" spans="10:12">
      <c r="J5364" s="31">
        <v>80</v>
      </c>
      <c r="K5364" s="33" t="s">
        <v>155</v>
      </c>
      <c r="L5364" s="31" t="s">
        <v>156</v>
      </c>
    </row>
    <row r="5365" spans="10:12">
      <c r="J5365" s="31">
        <v>81</v>
      </c>
      <c r="K5365" s="33" t="s">
        <v>157</v>
      </c>
      <c r="L5365" s="31" t="str">
        <f t="shared" ref="L5365:L5373" si="518">$L$83&amp;" "&amp;L5285</f>
        <v>Delapan Puluh Satu</v>
      </c>
    </row>
    <row r="5366" spans="10:12">
      <c r="J5366" s="31">
        <v>82</v>
      </c>
      <c r="K5366" s="33" t="s">
        <v>158</v>
      </c>
      <c r="L5366" s="31" t="str">
        <f t="shared" si="518"/>
        <v>Delapan Puluh Dua</v>
      </c>
    </row>
    <row r="5367" spans="10:12">
      <c r="J5367" s="31">
        <v>83</v>
      </c>
      <c r="K5367" s="33" t="s">
        <v>159</v>
      </c>
      <c r="L5367" s="31" t="str">
        <f t="shared" si="518"/>
        <v>Delapan Puluh Tiga</v>
      </c>
    </row>
    <row r="5368" spans="10:12">
      <c r="J5368" s="31">
        <v>84</v>
      </c>
      <c r="K5368" s="33" t="s">
        <v>160</v>
      </c>
      <c r="L5368" s="31" t="str">
        <f t="shared" si="518"/>
        <v>Delapan Puluh Empat</v>
      </c>
    </row>
    <row r="5369" spans="10:12">
      <c r="J5369" s="31">
        <v>85</v>
      </c>
      <c r="K5369" s="33" t="s">
        <v>161</v>
      </c>
      <c r="L5369" s="31" t="str">
        <f t="shared" si="518"/>
        <v>Delapan Puluh Lima</v>
      </c>
    </row>
    <row r="5370" spans="10:12">
      <c r="J5370" s="31">
        <v>86</v>
      </c>
      <c r="K5370" s="33" t="s">
        <v>162</v>
      </c>
      <c r="L5370" s="31" t="str">
        <f t="shared" si="518"/>
        <v>Delapan Puluh Enam</v>
      </c>
    </row>
    <row r="5371" spans="10:12">
      <c r="J5371" s="31">
        <v>87</v>
      </c>
      <c r="K5371" s="33" t="s">
        <v>163</v>
      </c>
      <c r="L5371" s="31" t="str">
        <f t="shared" si="518"/>
        <v>Delapan Puluh Tujuh</v>
      </c>
    </row>
    <row r="5372" spans="10:12">
      <c r="J5372" s="31">
        <v>88</v>
      </c>
      <c r="K5372" s="33" t="s">
        <v>164</v>
      </c>
      <c r="L5372" s="31" t="str">
        <f t="shared" si="518"/>
        <v>Delapan Puluh Delapan</v>
      </c>
    </row>
    <row r="5373" spans="10:12">
      <c r="J5373" s="31">
        <v>89</v>
      </c>
      <c r="K5373" s="33" t="s">
        <v>165</v>
      </c>
      <c r="L5373" s="31" t="str">
        <f t="shared" si="518"/>
        <v>Delapan Puluh Sembilan</v>
      </c>
    </row>
    <row r="5374" spans="10:12">
      <c r="J5374" s="31">
        <v>90</v>
      </c>
      <c r="K5374" s="33" t="s">
        <v>166</v>
      </c>
      <c r="L5374" s="31" t="s">
        <v>167</v>
      </c>
    </row>
    <row r="5375" spans="10:12">
      <c r="J5375" s="31">
        <v>91</v>
      </c>
      <c r="K5375" s="33" t="s">
        <v>168</v>
      </c>
      <c r="L5375" s="31" t="str">
        <f t="shared" ref="L5375:L5383" si="519">$L$93&amp;" "&amp;L5285</f>
        <v>Sembilan Puluh Satu</v>
      </c>
    </row>
    <row r="5376" spans="10:12">
      <c r="J5376" s="31">
        <v>92</v>
      </c>
      <c r="K5376" s="33" t="s">
        <v>169</v>
      </c>
      <c r="L5376" s="31" t="str">
        <f t="shared" si="519"/>
        <v>Sembilan Puluh Dua</v>
      </c>
    </row>
    <row r="5377" spans="1:12">
      <c r="J5377" s="31">
        <v>93</v>
      </c>
      <c r="K5377" s="33" t="s">
        <v>170</v>
      </c>
      <c r="L5377" s="31" t="str">
        <f t="shared" si="519"/>
        <v>Sembilan Puluh Tiga</v>
      </c>
    </row>
    <row r="5378" spans="1:12">
      <c r="J5378" s="31">
        <v>94</v>
      </c>
      <c r="K5378" s="33" t="s">
        <v>171</v>
      </c>
      <c r="L5378" s="31" t="str">
        <f t="shared" si="519"/>
        <v>Sembilan Puluh Empat</v>
      </c>
    </row>
    <row r="5379" spans="1:12">
      <c r="J5379" s="31">
        <v>95</v>
      </c>
      <c r="K5379" s="33" t="s">
        <v>172</v>
      </c>
      <c r="L5379" s="31" t="str">
        <f t="shared" si="519"/>
        <v>Sembilan Puluh Lima</v>
      </c>
    </row>
    <row r="5380" spans="1:12">
      <c r="J5380" s="31">
        <v>96</v>
      </c>
      <c r="K5380" s="33" t="s">
        <v>173</v>
      </c>
      <c r="L5380" s="31" t="str">
        <f t="shared" si="519"/>
        <v>Sembilan Puluh Enam</v>
      </c>
    </row>
    <row r="5381" spans="1:12">
      <c r="J5381" s="31">
        <v>97</v>
      </c>
      <c r="K5381" s="33" t="s">
        <v>174</v>
      </c>
      <c r="L5381" s="31" t="str">
        <f t="shared" si="519"/>
        <v>Sembilan Puluh Tujuh</v>
      </c>
    </row>
    <row r="5382" spans="1:12">
      <c r="J5382" s="31">
        <v>98</v>
      </c>
      <c r="K5382" s="33" t="s">
        <v>175</v>
      </c>
      <c r="L5382" s="31" t="str">
        <f t="shared" si="519"/>
        <v>Sembilan Puluh Delapan</v>
      </c>
    </row>
    <row r="5383" spans="1:12">
      <c r="J5383" s="31">
        <v>99</v>
      </c>
      <c r="K5383" s="33" t="s">
        <v>176</v>
      </c>
      <c r="L5383" s="31" t="str">
        <f t="shared" si="519"/>
        <v>Sembilan Puluh Sembilan</v>
      </c>
    </row>
    <row r="5385" spans="1:12">
      <c r="A5385" s="30" t="e">
        <f>#REF!</f>
        <v>#REF!</v>
      </c>
      <c r="C5385" s="31" t="s">
        <v>209</v>
      </c>
    </row>
    <row r="5386" spans="1:12">
      <c r="A5386" s="32"/>
    </row>
    <row r="5387" spans="1:12">
      <c r="J5387" s="31">
        <v>0</v>
      </c>
      <c r="K5387" s="33" t="s">
        <v>48</v>
      </c>
      <c r="L5387" s="31" t="s">
        <v>49</v>
      </c>
    </row>
    <row r="5388" spans="1:12">
      <c r="A5388" s="34"/>
      <c r="J5388" s="31">
        <v>1</v>
      </c>
      <c r="K5388" s="33" t="s">
        <v>50</v>
      </c>
      <c r="L5388" s="31" t="s">
        <v>51</v>
      </c>
    </row>
    <row r="5389" spans="1:12">
      <c r="A5389" s="255" t="e">
        <f>TRIM(D5397&amp;E5397&amp;D5398&amp;E5398&amp;D5399&amp;E5399&amp;D5400&amp;E5400&amp;D5401&amp;E5401&amp;D5402&amp;E5402&amp;E5403&amp;D5403&amp;" Only")</f>
        <v>#REF!</v>
      </c>
      <c r="B5389" s="255"/>
      <c r="C5389" s="255"/>
      <c r="D5389" s="255"/>
      <c r="E5389" s="35"/>
      <c r="F5389" s="36"/>
      <c r="J5389" s="31">
        <v>2</v>
      </c>
      <c r="K5389" s="33" t="s">
        <v>52</v>
      </c>
      <c r="L5389" s="31" t="s">
        <v>53</v>
      </c>
    </row>
    <row r="5390" spans="1:12">
      <c r="A5390" s="37"/>
      <c r="B5390" s="37"/>
      <c r="C5390" s="37"/>
      <c r="D5390" s="37"/>
      <c r="E5390" s="35"/>
      <c r="F5390" s="36"/>
      <c r="J5390" s="31">
        <v>3</v>
      </c>
      <c r="K5390" s="33" t="s">
        <v>54</v>
      </c>
      <c r="L5390" s="31" t="s">
        <v>55</v>
      </c>
    </row>
    <row r="5391" spans="1:12">
      <c r="A5391" s="37"/>
      <c r="B5391" s="37"/>
      <c r="C5391" s="37"/>
      <c r="D5391" s="37"/>
      <c r="J5391" s="31">
        <v>4</v>
      </c>
      <c r="K5391" s="33" t="s">
        <v>56</v>
      </c>
      <c r="L5391" s="31" t="s">
        <v>57</v>
      </c>
    </row>
    <row r="5392" spans="1:12">
      <c r="A5392" s="255" t="e">
        <f>TRIM(D5407&amp;E5407&amp;D5408&amp;E5408&amp;D5409&amp;E5409&amp;D5410&amp;E5410&amp;D5411&amp;E5411&amp;D5412&amp;E5412&amp;D5413&amp;E5413&amp;" Rupiah")</f>
        <v>#REF!</v>
      </c>
      <c r="B5392" s="255"/>
      <c r="C5392" s="255"/>
      <c r="D5392" s="255"/>
      <c r="E5392" s="35"/>
      <c r="F5392" s="36"/>
      <c r="J5392" s="31">
        <v>5</v>
      </c>
      <c r="K5392" s="33" t="s">
        <v>58</v>
      </c>
      <c r="L5392" s="31" t="s">
        <v>59</v>
      </c>
    </row>
    <row r="5393" spans="1:12">
      <c r="A5393" s="35"/>
      <c r="B5393" s="35"/>
      <c r="C5393" s="35"/>
      <c r="D5393" s="35"/>
      <c r="E5393" s="35"/>
      <c r="F5393" s="36"/>
      <c r="J5393" s="31">
        <v>6</v>
      </c>
      <c r="K5393" s="33" t="s">
        <v>60</v>
      </c>
      <c r="L5393" s="31" t="s">
        <v>61</v>
      </c>
    </row>
    <row r="5394" spans="1:12">
      <c r="J5394" s="31">
        <v>7</v>
      </c>
      <c r="K5394" s="33" t="s">
        <v>62</v>
      </c>
      <c r="L5394" s="31" t="s">
        <v>63</v>
      </c>
    </row>
    <row r="5395" spans="1:12">
      <c r="J5395" s="31">
        <v>8</v>
      </c>
      <c r="K5395" s="33" t="s">
        <v>64</v>
      </c>
      <c r="L5395" s="31" t="s">
        <v>65</v>
      </c>
    </row>
    <row r="5396" spans="1:12">
      <c r="A5396" s="38" t="s">
        <v>66</v>
      </c>
      <c r="J5396" s="31">
        <v>9</v>
      </c>
      <c r="K5396" s="33" t="s">
        <v>67</v>
      </c>
      <c r="L5396" s="31" t="s">
        <v>68</v>
      </c>
    </row>
    <row r="5397" spans="1:12">
      <c r="A5397" s="31" t="s">
        <v>69</v>
      </c>
      <c r="B5397" s="39" t="e">
        <f>TRUNC(A5385/100000000)</f>
        <v>#REF!</v>
      </c>
      <c r="C5397" s="31" t="e">
        <f>B5397*100000000</f>
        <v>#REF!</v>
      </c>
      <c r="D5397" s="31" t="e">
        <f t="shared" ref="D5397:D5403" si="520">IF(B5397&lt;1,"",VLOOKUP(B5397,$J$3:$K$102,2))</f>
        <v>#REF!</v>
      </c>
      <c r="E5397" s="31" t="e">
        <f>IF(B5397&lt;1,"",IF(B5397&gt;1," Hundreds "," Hundred "))</f>
        <v>#REF!</v>
      </c>
      <c r="J5397" s="31">
        <v>10</v>
      </c>
      <c r="K5397" s="33" t="s">
        <v>70</v>
      </c>
      <c r="L5397" s="31" t="s">
        <v>71</v>
      </c>
    </row>
    <row r="5398" spans="1:12">
      <c r="A5398" s="31" t="s">
        <v>72</v>
      </c>
      <c r="B5398" s="39" t="e">
        <f>TRUNC((A5385-C5397)/1000000)</f>
        <v>#REF!</v>
      </c>
      <c r="C5398" s="31" t="e">
        <f>B5398*1000000</f>
        <v>#REF!</v>
      </c>
      <c r="D5398" s="31" t="e">
        <f t="shared" si="520"/>
        <v>#REF!</v>
      </c>
      <c r="E5398" s="31" t="e">
        <f>IF(B5397+B5398=0,"",IF(B5398=1," Million "," Millions "))</f>
        <v>#REF!</v>
      </c>
      <c r="J5398" s="31">
        <v>11</v>
      </c>
      <c r="K5398" s="33" t="s">
        <v>73</v>
      </c>
      <c r="L5398" s="31" t="s">
        <v>74</v>
      </c>
    </row>
    <row r="5399" spans="1:12">
      <c r="A5399" s="31" t="s">
        <v>75</v>
      </c>
      <c r="B5399" s="39" t="e">
        <f>TRUNC((A5385-SUM(C5397:C5398))/100000)</f>
        <v>#REF!</v>
      </c>
      <c r="C5399" s="31" t="e">
        <f>B5399*100000</f>
        <v>#REF!</v>
      </c>
      <c r="D5399" s="31" t="e">
        <f t="shared" si="520"/>
        <v>#REF!</v>
      </c>
      <c r="E5399" s="31" t="e">
        <f>IF(B5399&lt;1,"",IF(B5399&gt;1," Hundreds "," Hundred "))</f>
        <v>#REF!</v>
      </c>
      <c r="J5399" s="31">
        <v>12</v>
      </c>
      <c r="K5399" s="33" t="s">
        <v>76</v>
      </c>
      <c r="L5399" s="31" t="str">
        <f t="shared" ref="L5399:L5406" si="521">L5389&amp;" Belas"</f>
        <v>Dua Belas</v>
      </c>
    </row>
    <row r="5400" spans="1:12">
      <c r="A5400" s="33" t="s">
        <v>77</v>
      </c>
      <c r="B5400" s="40" t="e">
        <f>TRUNC((A5385-SUM(C5397:C5399))/1000)</f>
        <v>#REF!</v>
      </c>
      <c r="C5400" s="31" t="e">
        <f>B5400*1000</f>
        <v>#REF!</v>
      </c>
      <c r="D5400" s="31" t="e">
        <f t="shared" si="520"/>
        <v>#REF!</v>
      </c>
      <c r="E5400" s="31" t="e">
        <f>IF(B5399+B5400=0,"",IF(B5400=1," Thousand "," Thousands "))</f>
        <v>#REF!</v>
      </c>
      <c r="J5400" s="31">
        <v>13</v>
      </c>
      <c r="K5400" s="33" t="s">
        <v>78</v>
      </c>
      <c r="L5400" s="31" t="str">
        <f t="shared" si="521"/>
        <v>Tiga Belas</v>
      </c>
    </row>
    <row r="5401" spans="1:12">
      <c r="A5401" s="33" t="s">
        <v>79</v>
      </c>
      <c r="B5401" s="40" t="e">
        <f>TRUNC((A5385-SUM(C5397:C5400))/100)</f>
        <v>#REF!</v>
      </c>
      <c r="C5401" s="31" t="e">
        <f>B5401*100</f>
        <v>#REF!</v>
      </c>
      <c r="D5401" s="31" t="e">
        <f t="shared" si="520"/>
        <v>#REF!</v>
      </c>
      <c r="E5401" s="31" t="e">
        <f>IF(B5401&lt;1,"",IF(B5401&gt;1," Hundreds "," Hundred "))</f>
        <v>#REF!</v>
      </c>
      <c r="J5401" s="31">
        <v>14</v>
      </c>
      <c r="K5401" s="33" t="s">
        <v>80</v>
      </c>
      <c r="L5401" s="31" t="str">
        <f t="shared" si="521"/>
        <v>Empat Belas</v>
      </c>
    </row>
    <row r="5402" spans="1:12">
      <c r="A5402" s="33" t="s">
        <v>81</v>
      </c>
      <c r="B5402" s="41" t="e">
        <f>TRUNC((A5385-SUM(C5397:C5401)))</f>
        <v>#REF!</v>
      </c>
      <c r="C5402" s="42" t="e">
        <f>B5402</f>
        <v>#REF!</v>
      </c>
      <c r="D5402" s="31" t="e">
        <f t="shared" si="520"/>
        <v>#REF!</v>
      </c>
      <c r="E5402" s="31" t="e">
        <f>IF(SUM(C5397:C5402)&lt;1,"",IF(B5403&lt;1,""," And "))</f>
        <v>#REF!</v>
      </c>
      <c r="J5402" s="31">
        <v>15</v>
      </c>
      <c r="K5402" s="33" t="s">
        <v>82</v>
      </c>
      <c r="L5402" s="31" t="str">
        <f t="shared" si="521"/>
        <v>Lima Belas</v>
      </c>
    </row>
    <row r="5403" spans="1:12">
      <c r="A5403" s="33" t="s">
        <v>83</v>
      </c>
      <c r="B5403" s="40" t="e">
        <f>ROUND(A5385-SUM(C5397:C5402),2)*100</f>
        <v>#REF!</v>
      </c>
      <c r="D5403" s="43" t="e">
        <f t="shared" si="520"/>
        <v>#REF!</v>
      </c>
      <c r="E5403" s="31" t="e">
        <f>IF(B5403&lt;1,"",IF(B5403=1," Cent "," Cents "))</f>
        <v>#REF!</v>
      </c>
      <c r="J5403" s="31">
        <v>16</v>
      </c>
      <c r="K5403" s="33" t="s">
        <v>84</v>
      </c>
      <c r="L5403" s="31" t="str">
        <f t="shared" si="521"/>
        <v>Enam Belas</v>
      </c>
    </row>
    <row r="5404" spans="1:12">
      <c r="J5404" s="31">
        <v>17</v>
      </c>
      <c r="K5404" s="33" t="s">
        <v>85</v>
      </c>
      <c r="L5404" s="31" t="str">
        <f t="shared" si="521"/>
        <v>Tujuh Belas</v>
      </c>
    </row>
    <row r="5405" spans="1:12">
      <c r="A5405" s="44"/>
      <c r="J5405" s="31">
        <v>18</v>
      </c>
      <c r="K5405" s="33" t="s">
        <v>86</v>
      </c>
      <c r="L5405" s="31" t="str">
        <f t="shared" si="521"/>
        <v>Delapan Belas</v>
      </c>
    </row>
    <row r="5406" spans="1:12">
      <c r="A5406" s="38" t="s">
        <v>87</v>
      </c>
      <c r="J5406" s="31">
        <v>19</v>
      </c>
      <c r="K5406" s="33" t="s">
        <v>88</v>
      </c>
      <c r="L5406" s="31" t="str">
        <f t="shared" si="521"/>
        <v>Sembilan Belas</v>
      </c>
    </row>
    <row r="5407" spans="1:12">
      <c r="A5407" s="31" t="s">
        <v>69</v>
      </c>
      <c r="B5407" s="39" t="e">
        <f>TRUNC(A5385/100000000)</f>
        <v>#REF!</v>
      </c>
      <c r="C5407" s="31" t="e">
        <f>B5407*100000000</f>
        <v>#REF!</v>
      </c>
      <c r="D5407" s="31" t="e">
        <f>IF(B5407&lt;1,"",IF(B5407=1,"",VLOOKUP(B5407,$J$3:$L$102,3)))</f>
        <v>#REF!</v>
      </c>
      <c r="E5407" s="31" t="e">
        <f>IF(B5407&lt;1,"",IF(B5407=1,"Seratus "," Ratus "))</f>
        <v>#REF!</v>
      </c>
      <c r="J5407" s="31">
        <v>20</v>
      </c>
      <c r="K5407" s="33" t="s">
        <v>89</v>
      </c>
      <c r="L5407" s="31" t="s">
        <v>90</v>
      </c>
    </row>
    <row r="5408" spans="1:12">
      <c r="A5408" s="31" t="s">
        <v>72</v>
      </c>
      <c r="B5408" s="39" t="e">
        <f>TRUNC((A5385-C5407)/1000000)</f>
        <v>#REF!</v>
      </c>
      <c r="C5408" s="31" t="e">
        <f>B5408*1000000</f>
        <v>#REF!</v>
      </c>
      <c r="D5408" s="31" t="e">
        <f>IF(B5408&lt;1,"",VLOOKUP(B5408,$J$3:$L$102,3))</f>
        <v>#REF!</v>
      </c>
      <c r="E5408" s="31" t="e">
        <f>IF(B5407+B5408=0,""," Juta ")</f>
        <v>#REF!</v>
      </c>
      <c r="J5408" s="31">
        <v>21</v>
      </c>
      <c r="K5408" s="33" t="s">
        <v>91</v>
      </c>
      <c r="L5408" s="31" t="str">
        <f t="shared" ref="L5408:L5416" si="522">$L$23&amp;" "&amp;L5388</f>
        <v>Dua Puluh Satu</v>
      </c>
    </row>
    <row r="5409" spans="1:12">
      <c r="A5409" s="31" t="s">
        <v>75</v>
      </c>
      <c r="B5409" s="39" t="e">
        <f>TRUNC((A5385-SUM(C5407:C5408))/100000)</f>
        <v>#REF!</v>
      </c>
      <c r="C5409" s="31" t="e">
        <f>B5409*100000</f>
        <v>#REF!</v>
      </c>
      <c r="D5409" s="31" t="e">
        <f>IF(B5409&lt;1,"",IF(B5409=1,"",VLOOKUP(B5409,$J$3:$L$102,3)))</f>
        <v>#REF!</v>
      </c>
      <c r="E5409" s="31" t="e">
        <f>IF(B5409&lt;1,"",IF(B5409=1," Seratus "," Ratus "))</f>
        <v>#REF!</v>
      </c>
      <c r="J5409" s="31">
        <v>22</v>
      </c>
      <c r="K5409" s="33" t="s">
        <v>92</v>
      </c>
      <c r="L5409" s="31" t="str">
        <f t="shared" si="522"/>
        <v>Dua Puluh Dua</v>
      </c>
    </row>
    <row r="5410" spans="1:12">
      <c r="A5410" s="33" t="s">
        <v>77</v>
      </c>
      <c r="B5410" s="40" t="e">
        <f>TRUNC((A5385-SUM(C5407:C5409))/1000)</f>
        <v>#REF!</v>
      </c>
      <c r="C5410" s="31" t="e">
        <f>B5410*1000</f>
        <v>#REF!</v>
      </c>
      <c r="D5410" s="31" t="e">
        <f>IF(B5410&lt;1,"",IF(B5410=1,"",VLOOKUP(B5410,$J$3:$L$102,3)))</f>
        <v>#REF!</v>
      </c>
      <c r="E5410" s="31" t="e">
        <f>IF(B5409+B5410&lt;1,"",IF(B5410=1," Seribu "," Ribu "))</f>
        <v>#REF!</v>
      </c>
      <c r="J5410" s="31">
        <v>23</v>
      </c>
      <c r="K5410" s="33" t="s">
        <v>93</v>
      </c>
      <c r="L5410" s="31" t="str">
        <f t="shared" si="522"/>
        <v>Dua Puluh Tiga</v>
      </c>
    </row>
    <row r="5411" spans="1:12">
      <c r="A5411" s="33" t="s">
        <v>79</v>
      </c>
      <c r="B5411" s="40" t="e">
        <f>TRUNC((A5385-SUM(C5407:C5410))/100)</f>
        <v>#REF!</v>
      </c>
      <c r="C5411" s="31" t="e">
        <f>B5411*100</f>
        <v>#REF!</v>
      </c>
      <c r="D5411" s="31" t="e">
        <f>IF(B5411&lt;1,"",IF(B5411=1,"",VLOOKUP(B5411,$J$3:$L$102,3)))</f>
        <v>#REF!</v>
      </c>
      <c r="E5411" s="31" t="e">
        <f>IF(B5411&lt;1,"",IF(B5411=1," Seratus "," Ratus "))</f>
        <v>#REF!</v>
      </c>
      <c r="J5411" s="31">
        <v>24</v>
      </c>
      <c r="K5411" s="33" t="s">
        <v>94</v>
      </c>
      <c r="L5411" s="31" t="str">
        <f t="shared" si="522"/>
        <v>Dua Puluh Empat</v>
      </c>
    </row>
    <row r="5412" spans="1:12">
      <c r="A5412" s="33" t="s">
        <v>81</v>
      </c>
      <c r="B5412" s="41" t="e">
        <f>TRUNC((A5385-SUM(C5407:C5411)))</f>
        <v>#REF!</v>
      </c>
      <c r="C5412" s="42" t="e">
        <f>B5412</f>
        <v>#REF!</v>
      </c>
      <c r="D5412" s="31" t="e">
        <f>IF(B5412&lt;1,"",VLOOKUP(B5412,$J$3:$L$102,3))</f>
        <v>#REF!</v>
      </c>
      <c r="E5412" s="31" t="e">
        <f>IF(SUM(C5407:C5412)&lt;1,"",IF(B5413&lt;1,""," Dan "))</f>
        <v>#REF!</v>
      </c>
      <c r="J5412" s="31">
        <v>25</v>
      </c>
      <c r="K5412" s="33" t="s">
        <v>95</v>
      </c>
      <c r="L5412" s="31" t="str">
        <f t="shared" si="522"/>
        <v>Dua Puluh Lima</v>
      </c>
    </row>
    <row r="5413" spans="1:12">
      <c r="A5413" s="33" t="s">
        <v>83</v>
      </c>
      <c r="B5413" s="40" t="e">
        <f>ROUND(A5385-SUM(C5407:C5412),2)*100</f>
        <v>#REF!</v>
      </c>
      <c r="D5413" s="31" t="e">
        <f>IF(B5413&lt;1,"",VLOOKUP(B5413,$J$3:$L$102,3))</f>
        <v>#REF!</v>
      </c>
      <c r="E5413" s="31" t="e">
        <f>IF(B5413&lt;1,""," Sen ")</f>
        <v>#REF!</v>
      </c>
      <c r="J5413" s="31">
        <v>26</v>
      </c>
      <c r="K5413" s="33" t="s">
        <v>96</v>
      </c>
      <c r="L5413" s="31" t="str">
        <f t="shared" si="522"/>
        <v>Dua Puluh Enam</v>
      </c>
    </row>
    <row r="5414" spans="1:12">
      <c r="J5414" s="31">
        <v>27</v>
      </c>
      <c r="K5414" s="33" t="s">
        <v>97</v>
      </c>
      <c r="L5414" s="31" t="str">
        <f t="shared" si="522"/>
        <v>Dua Puluh Tujuh</v>
      </c>
    </row>
    <row r="5415" spans="1:12">
      <c r="J5415" s="31">
        <v>28</v>
      </c>
      <c r="K5415" s="33" t="s">
        <v>98</v>
      </c>
      <c r="L5415" s="31" t="str">
        <f t="shared" si="522"/>
        <v>Dua Puluh Delapan</v>
      </c>
    </row>
    <row r="5416" spans="1:12">
      <c r="J5416" s="31">
        <v>29</v>
      </c>
      <c r="K5416" s="33" t="s">
        <v>99</v>
      </c>
      <c r="L5416" s="31" t="str">
        <f t="shared" si="522"/>
        <v>Dua Puluh Sembilan</v>
      </c>
    </row>
    <row r="5417" spans="1:12">
      <c r="J5417" s="31">
        <v>30</v>
      </c>
      <c r="K5417" s="33" t="s">
        <v>100</v>
      </c>
      <c r="L5417" s="31" t="s">
        <v>101</v>
      </c>
    </row>
    <row r="5418" spans="1:12">
      <c r="J5418" s="31">
        <v>31</v>
      </c>
      <c r="K5418" s="33" t="s">
        <v>102</v>
      </c>
      <c r="L5418" s="31" t="str">
        <f t="shared" ref="L5418:L5426" si="523">$L$33&amp;" "&amp;L5388</f>
        <v>Tiga Puluh Satu</v>
      </c>
    </row>
    <row r="5419" spans="1:12">
      <c r="J5419" s="31">
        <v>32</v>
      </c>
      <c r="K5419" s="33" t="s">
        <v>103</v>
      </c>
      <c r="L5419" s="31" t="str">
        <f t="shared" si="523"/>
        <v>Tiga Puluh Dua</v>
      </c>
    </row>
    <row r="5420" spans="1:12">
      <c r="J5420" s="31">
        <v>33</v>
      </c>
      <c r="K5420" s="33" t="s">
        <v>104</v>
      </c>
      <c r="L5420" s="31" t="str">
        <f t="shared" si="523"/>
        <v>Tiga Puluh Tiga</v>
      </c>
    </row>
    <row r="5421" spans="1:12">
      <c r="J5421" s="31">
        <v>34</v>
      </c>
      <c r="K5421" s="33" t="s">
        <v>105</v>
      </c>
      <c r="L5421" s="31" t="str">
        <f t="shared" si="523"/>
        <v>Tiga Puluh Empat</v>
      </c>
    </row>
    <row r="5422" spans="1:12">
      <c r="J5422" s="31">
        <v>35</v>
      </c>
      <c r="K5422" s="33" t="s">
        <v>106</v>
      </c>
      <c r="L5422" s="31" t="str">
        <f t="shared" si="523"/>
        <v>Tiga Puluh Lima</v>
      </c>
    </row>
    <row r="5423" spans="1:12">
      <c r="J5423" s="31">
        <v>36</v>
      </c>
      <c r="K5423" s="33" t="s">
        <v>107</v>
      </c>
      <c r="L5423" s="31" t="str">
        <f t="shared" si="523"/>
        <v>Tiga Puluh Enam</v>
      </c>
    </row>
    <row r="5424" spans="1:12">
      <c r="J5424" s="31">
        <v>37</v>
      </c>
      <c r="K5424" s="33" t="s">
        <v>108</v>
      </c>
      <c r="L5424" s="31" t="str">
        <f t="shared" si="523"/>
        <v>Tiga Puluh Tujuh</v>
      </c>
    </row>
    <row r="5425" spans="1:12">
      <c r="J5425" s="31">
        <v>38</v>
      </c>
      <c r="K5425" s="33" t="s">
        <v>109</v>
      </c>
      <c r="L5425" s="31" t="str">
        <f t="shared" si="523"/>
        <v>Tiga Puluh Delapan</v>
      </c>
    </row>
    <row r="5426" spans="1:12">
      <c r="J5426" s="31">
        <v>39</v>
      </c>
      <c r="K5426" s="33" t="s">
        <v>110</v>
      </c>
      <c r="L5426" s="31" t="str">
        <f t="shared" si="523"/>
        <v>Tiga Puluh Sembilan</v>
      </c>
    </row>
    <row r="5427" spans="1:12">
      <c r="B5427" s="35"/>
      <c r="C5427" s="35"/>
      <c r="D5427" s="35"/>
      <c r="J5427" s="31">
        <v>40</v>
      </c>
      <c r="K5427" s="33" t="s">
        <v>111</v>
      </c>
      <c r="L5427" s="31" t="s">
        <v>112</v>
      </c>
    </row>
    <row r="5428" spans="1:12">
      <c r="A5428" s="35"/>
      <c r="B5428" s="35"/>
      <c r="C5428" s="35"/>
      <c r="D5428" s="35"/>
      <c r="J5428" s="31">
        <v>41</v>
      </c>
      <c r="K5428" s="33" t="s">
        <v>113</v>
      </c>
      <c r="L5428" s="31" t="str">
        <f t="shared" ref="L5428:L5436" si="524">$L$43&amp;" "&amp;L5388</f>
        <v>Empat Puluh Satu</v>
      </c>
    </row>
    <row r="5429" spans="1:12">
      <c r="J5429" s="31">
        <v>42</v>
      </c>
      <c r="K5429" s="33" t="s">
        <v>114</v>
      </c>
      <c r="L5429" s="31" t="str">
        <f t="shared" si="524"/>
        <v>Empat Puluh Dua</v>
      </c>
    </row>
    <row r="5430" spans="1:12">
      <c r="A5430" s="38"/>
      <c r="J5430" s="31">
        <v>43</v>
      </c>
      <c r="K5430" s="33" t="s">
        <v>115</v>
      </c>
      <c r="L5430" s="31" t="str">
        <f t="shared" si="524"/>
        <v>Empat Puluh Tiga</v>
      </c>
    </row>
    <row r="5431" spans="1:12">
      <c r="J5431" s="31">
        <v>44</v>
      </c>
      <c r="K5431" s="33" t="s">
        <v>116</v>
      </c>
      <c r="L5431" s="31" t="str">
        <f t="shared" si="524"/>
        <v>Empat Puluh Empat</v>
      </c>
    </row>
    <row r="5432" spans="1:12">
      <c r="J5432" s="31">
        <v>45</v>
      </c>
      <c r="K5432" s="33" t="s">
        <v>117</v>
      </c>
      <c r="L5432" s="31" t="str">
        <f t="shared" si="524"/>
        <v>Empat Puluh Lima</v>
      </c>
    </row>
    <row r="5433" spans="1:12">
      <c r="J5433" s="31">
        <v>46</v>
      </c>
      <c r="K5433" s="33" t="s">
        <v>118</v>
      </c>
      <c r="L5433" s="31" t="str">
        <f t="shared" si="524"/>
        <v>Empat Puluh Enam</v>
      </c>
    </row>
    <row r="5434" spans="1:12">
      <c r="J5434" s="31">
        <v>47</v>
      </c>
      <c r="K5434" s="33" t="s">
        <v>119</v>
      </c>
      <c r="L5434" s="31" t="str">
        <f t="shared" si="524"/>
        <v>Empat Puluh Tujuh</v>
      </c>
    </row>
    <row r="5435" spans="1:12">
      <c r="J5435" s="31">
        <v>48</v>
      </c>
      <c r="K5435" s="33" t="s">
        <v>120</v>
      </c>
      <c r="L5435" s="31" t="str">
        <f t="shared" si="524"/>
        <v>Empat Puluh Delapan</v>
      </c>
    </row>
    <row r="5436" spans="1:12">
      <c r="J5436" s="31">
        <v>49</v>
      </c>
      <c r="K5436" s="33" t="s">
        <v>121</v>
      </c>
      <c r="L5436" s="31" t="str">
        <f t="shared" si="524"/>
        <v>Empat Puluh Sembilan</v>
      </c>
    </row>
    <row r="5437" spans="1:12">
      <c r="J5437" s="31">
        <v>50</v>
      </c>
      <c r="K5437" s="33" t="s">
        <v>122</v>
      </c>
      <c r="L5437" s="31" t="s">
        <v>123</v>
      </c>
    </row>
    <row r="5438" spans="1:12">
      <c r="J5438" s="31">
        <v>51</v>
      </c>
      <c r="K5438" s="33" t="s">
        <v>124</v>
      </c>
      <c r="L5438" s="31" t="str">
        <f t="shared" ref="L5438:L5446" si="525">$L$53&amp;" "&amp;L5388</f>
        <v>Lima Puluh Satu</v>
      </c>
    </row>
    <row r="5439" spans="1:12">
      <c r="J5439" s="31">
        <v>52</v>
      </c>
      <c r="K5439" s="33" t="s">
        <v>125</v>
      </c>
      <c r="L5439" s="31" t="str">
        <f t="shared" si="525"/>
        <v>Lima Puluh Dua</v>
      </c>
    </row>
    <row r="5440" spans="1:12">
      <c r="J5440" s="31">
        <v>53</v>
      </c>
      <c r="K5440" s="33" t="s">
        <v>126</v>
      </c>
      <c r="L5440" s="31" t="str">
        <f t="shared" si="525"/>
        <v>Lima Puluh Tiga</v>
      </c>
    </row>
    <row r="5441" spans="10:12">
      <c r="J5441" s="31">
        <v>54</v>
      </c>
      <c r="K5441" s="33" t="s">
        <v>127</v>
      </c>
      <c r="L5441" s="31" t="str">
        <f t="shared" si="525"/>
        <v>Lima Puluh Empat</v>
      </c>
    </row>
    <row r="5442" spans="10:12">
      <c r="J5442" s="31">
        <v>55</v>
      </c>
      <c r="K5442" s="33" t="s">
        <v>128</v>
      </c>
      <c r="L5442" s="31" t="str">
        <f t="shared" si="525"/>
        <v>Lima Puluh Lima</v>
      </c>
    </row>
    <row r="5443" spans="10:12">
      <c r="J5443" s="31">
        <v>56</v>
      </c>
      <c r="K5443" s="33" t="s">
        <v>129</v>
      </c>
      <c r="L5443" s="31" t="str">
        <f t="shared" si="525"/>
        <v>Lima Puluh Enam</v>
      </c>
    </row>
    <row r="5444" spans="10:12">
      <c r="J5444" s="31">
        <v>57</v>
      </c>
      <c r="K5444" s="33" t="s">
        <v>130</v>
      </c>
      <c r="L5444" s="31" t="str">
        <f t="shared" si="525"/>
        <v>Lima Puluh Tujuh</v>
      </c>
    </row>
    <row r="5445" spans="10:12">
      <c r="J5445" s="31">
        <v>58</v>
      </c>
      <c r="K5445" s="33" t="s">
        <v>131</v>
      </c>
      <c r="L5445" s="31" t="str">
        <f t="shared" si="525"/>
        <v>Lima Puluh Delapan</v>
      </c>
    </row>
    <row r="5446" spans="10:12">
      <c r="J5446" s="31">
        <v>59</v>
      </c>
      <c r="K5446" s="33" t="s">
        <v>132</v>
      </c>
      <c r="L5446" s="31" t="str">
        <f t="shared" si="525"/>
        <v>Lima Puluh Sembilan</v>
      </c>
    </row>
    <row r="5447" spans="10:12">
      <c r="J5447" s="31">
        <v>60</v>
      </c>
      <c r="K5447" s="33" t="s">
        <v>133</v>
      </c>
      <c r="L5447" s="31" t="s">
        <v>134</v>
      </c>
    </row>
    <row r="5448" spans="10:12">
      <c r="J5448" s="31">
        <v>61</v>
      </c>
      <c r="K5448" s="33" t="s">
        <v>135</v>
      </c>
      <c r="L5448" s="31" t="str">
        <f t="shared" ref="L5448:L5456" si="526">$L$63&amp;" "&amp;L5388</f>
        <v>Enam Puluh Satu</v>
      </c>
    </row>
    <row r="5449" spans="10:12">
      <c r="J5449" s="31">
        <v>62</v>
      </c>
      <c r="K5449" s="33" t="s">
        <v>136</v>
      </c>
      <c r="L5449" s="31" t="str">
        <f t="shared" si="526"/>
        <v>Enam Puluh Dua</v>
      </c>
    </row>
    <row r="5450" spans="10:12">
      <c r="J5450" s="31">
        <v>63</v>
      </c>
      <c r="K5450" s="33" t="s">
        <v>137</v>
      </c>
      <c r="L5450" s="31" t="str">
        <f t="shared" si="526"/>
        <v>Enam Puluh Tiga</v>
      </c>
    </row>
    <row r="5451" spans="10:12">
      <c r="J5451" s="31">
        <v>64</v>
      </c>
      <c r="K5451" s="33" t="s">
        <v>138</v>
      </c>
      <c r="L5451" s="31" t="str">
        <f t="shared" si="526"/>
        <v>Enam Puluh Empat</v>
      </c>
    </row>
    <row r="5452" spans="10:12">
      <c r="J5452" s="31">
        <v>65</v>
      </c>
      <c r="K5452" s="33" t="s">
        <v>139</v>
      </c>
      <c r="L5452" s="31" t="str">
        <f t="shared" si="526"/>
        <v>Enam Puluh Lima</v>
      </c>
    </row>
    <row r="5453" spans="10:12">
      <c r="J5453" s="31">
        <v>66</v>
      </c>
      <c r="K5453" s="33" t="s">
        <v>140</v>
      </c>
      <c r="L5453" s="31" t="str">
        <f t="shared" si="526"/>
        <v>Enam Puluh Enam</v>
      </c>
    </row>
    <row r="5454" spans="10:12">
      <c r="J5454" s="31">
        <v>67</v>
      </c>
      <c r="K5454" s="33" t="s">
        <v>141</v>
      </c>
      <c r="L5454" s="31" t="str">
        <f t="shared" si="526"/>
        <v>Enam Puluh Tujuh</v>
      </c>
    </row>
    <row r="5455" spans="10:12">
      <c r="J5455" s="31">
        <v>68</v>
      </c>
      <c r="K5455" s="33" t="s">
        <v>142</v>
      </c>
      <c r="L5455" s="31" t="str">
        <f t="shared" si="526"/>
        <v>Enam Puluh Delapan</v>
      </c>
    </row>
    <row r="5456" spans="10:12">
      <c r="J5456" s="31">
        <v>69</v>
      </c>
      <c r="K5456" s="33" t="s">
        <v>143</v>
      </c>
      <c r="L5456" s="31" t="str">
        <f t="shared" si="526"/>
        <v>Enam Puluh Sembilan</v>
      </c>
    </row>
    <row r="5457" spans="10:12">
      <c r="J5457" s="31">
        <v>70</v>
      </c>
      <c r="K5457" s="33" t="s">
        <v>144</v>
      </c>
      <c r="L5457" s="31" t="s">
        <v>145</v>
      </c>
    </row>
    <row r="5458" spans="10:12">
      <c r="J5458" s="31">
        <v>71</v>
      </c>
      <c r="K5458" s="33" t="s">
        <v>146</v>
      </c>
      <c r="L5458" s="31" t="str">
        <f t="shared" ref="L5458:L5466" si="527">$L$73&amp;" "&amp;L5388</f>
        <v>Tujuh Puluh Satu</v>
      </c>
    </row>
    <row r="5459" spans="10:12">
      <c r="J5459" s="31">
        <v>72</v>
      </c>
      <c r="K5459" s="33" t="s">
        <v>147</v>
      </c>
      <c r="L5459" s="31" t="str">
        <f t="shared" si="527"/>
        <v>Tujuh Puluh Dua</v>
      </c>
    </row>
    <row r="5460" spans="10:12">
      <c r="J5460" s="31">
        <v>73</v>
      </c>
      <c r="K5460" s="33" t="s">
        <v>148</v>
      </c>
      <c r="L5460" s="31" t="str">
        <f t="shared" si="527"/>
        <v>Tujuh Puluh Tiga</v>
      </c>
    </row>
    <row r="5461" spans="10:12">
      <c r="J5461" s="31">
        <v>74</v>
      </c>
      <c r="K5461" s="33" t="s">
        <v>149</v>
      </c>
      <c r="L5461" s="31" t="str">
        <f t="shared" si="527"/>
        <v>Tujuh Puluh Empat</v>
      </c>
    </row>
    <row r="5462" spans="10:12">
      <c r="J5462" s="31">
        <v>75</v>
      </c>
      <c r="K5462" s="33" t="s">
        <v>150</v>
      </c>
      <c r="L5462" s="31" t="str">
        <f t="shared" si="527"/>
        <v>Tujuh Puluh Lima</v>
      </c>
    </row>
    <row r="5463" spans="10:12">
      <c r="J5463" s="31">
        <v>76</v>
      </c>
      <c r="K5463" s="33" t="s">
        <v>151</v>
      </c>
      <c r="L5463" s="31" t="str">
        <f t="shared" si="527"/>
        <v>Tujuh Puluh Enam</v>
      </c>
    </row>
    <row r="5464" spans="10:12">
      <c r="J5464" s="31">
        <v>77</v>
      </c>
      <c r="K5464" s="33" t="s">
        <v>152</v>
      </c>
      <c r="L5464" s="31" t="str">
        <f t="shared" si="527"/>
        <v>Tujuh Puluh Tujuh</v>
      </c>
    </row>
    <row r="5465" spans="10:12">
      <c r="J5465" s="31">
        <v>78</v>
      </c>
      <c r="K5465" s="33" t="s">
        <v>153</v>
      </c>
      <c r="L5465" s="31" t="str">
        <f t="shared" si="527"/>
        <v>Tujuh Puluh Delapan</v>
      </c>
    </row>
    <row r="5466" spans="10:12">
      <c r="J5466" s="31">
        <v>79</v>
      </c>
      <c r="K5466" s="33" t="s">
        <v>154</v>
      </c>
      <c r="L5466" s="31" t="str">
        <f t="shared" si="527"/>
        <v>Tujuh Puluh Sembilan</v>
      </c>
    </row>
    <row r="5467" spans="10:12">
      <c r="J5467" s="31">
        <v>80</v>
      </c>
      <c r="K5467" s="33" t="s">
        <v>155</v>
      </c>
      <c r="L5467" s="31" t="s">
        <v>156</v>
      </c>
    </row>
    <row r="5468" spans="10:12">
      <c r="J5468" s="31">
        <v>81</v>
      </c>
      <c r="K5468" s="33" t="s">
        <v>157</v>
      </c>
      <c r="L5468" s="31" t="str">
        <f t="shared" ref="L5468:L5476" si="528">$L$83&amp;" "&amp;L5388</f>
        <v>Delapan Puluh Satu</v>
      </c>
    </row>
    <row r="5469" spans="10:12">
      <c r="J5469" s="31">
        <v>82</v>
      </c>
      <c r="K5469" s="33" t="s">
        <v>158</v>
      </c>
      <c r="L5469" s="31" t="str">
        <f t="shared" si="528"/>
        <v>Delapan Puluh Dua</v>
      </c>
    </row>
    <row r="5470" spans="10:12">
      <c r="J5470" s="31">
        <v>83</v>
      </c>
      <c r="K5470" s="33" t="s">
        <v>159</v>
      </c>
      <c r="L5470" s="31" t="str">
        <f t="shared" si="528"/>
        <v>Delapan Puluh Tiga</v>
      </c>
    </row>
    <row r="5471" spans="10:12">
      <c r="J5471" s="31">
        <v>84</v>
      </c>
      <c r="K5471" s="33" t="s">
        <v>160</v>
      </c>
      <c r="L5471" s="31" t="str">
        <f t="shared" si="528"/>
        <v>Delapan Puluh Empat</v>
      </c>
    </row>
    <row r="5472" spans="10:12">
      <c r="J5472" s="31">
        <v>85</v>
      </c>
      <c r="K5472" s="33" t="s">
        <v>161</v>
      </c>
      <c r="L5472" s="31" t="str">
        <f t="shared" si="528"/>
        <v>Delapan Puluh Lima</v>
      </c>
    </row>
    <row r="5473" spans="1:12">
      <c r="J5473" s="31">
        <v>86</v>
      </c>
      <c r="K5473" s="33" t="s">
        <v>162</v>
      </c>
      <c r="L5473" s="31" t="str">
        <f t="shared" si="528"/>
        <v>Delapan Puluh Enam</v>
      </c>
    </row>
    <row r="5474" spans="1:12">
      <c r="J5474" s="31">
        <v>87</v>
      </c>
      <c r="K5474" s="33" t="s">
        <v>163</v>
      </c>
      <c r="L5474" s="31" t="str">
        <f t="shared" si="528"/>
        <v>Delapan Puluh Tujuh</v>
      </c>
    </row>
    <row r="5475" spans="1:12">
      <c r="J5475" s="31">
        <v>88</v>
      </c>
      <c r="K5475" s="33" t="s">
        <v>164</v>
      </c>
      <c r="L5475" s="31" t="str">
        <f t="shared" si="528"/>
        <v>Delapan Puluh Delapan</v>
      </c>
    </row>
    <row r="5476" spans="1:12">
      <c r="J5476" s="31">
        <v>89</v>
      </c>
      <c r="K5476" s="33" t="s">
        <v>165</v>
      </c>
      <c r="L5476" s="31" t="str">
        <f t="shared" si="528"/>
        <v>Delapan Puluh Sembilan</v>
      </c>
    </row>
    <row r="5477" spans="1:12">
      <c r="J5477" s="31">
        <v>90</v>
      </c>
      <c r="K5477" s="33" t="s">
        <v>166</v>
      </c>
      <c r="L5477" s="31" t="s">
        <v>167</v>
      </c>
    </row>
    <row r="5478" spans="1:12">
      <c r="J5478" s="31">
        <v>91</v>
      </c>
      <c r="K5478" s="33" t="s">
        <v>168</v>
      </c>
      <c r="L5478" s="31" t="str">
        <f t="shared" ref="L5478:L5486" si="529">$L$93&amp;" "&amp;L5388</f>
        <v>Sembilan Puluh Satu</v>
      </c>
    </row>
    <row r="5479" spans="1:12">
      <c r="J5479" s="31">
        <v>92</v>
      </c>
      <c r="K5479" s="33" t="s">
        <v>169</v>
      </c>
      <c r="L5479" s="31" t="str">
        <f t="shared" si="529"/>
        <v>Sembilan Puluh Dua</v>
      </c>
    </row>
    <row r="5480" spans="1:12">
      <c r="J5480" s="31">
        <v>93</v>
      </c>
      <c r="K5480" s="33" t="s">
        <v>170</v>
      </c>
      <c r="L5480" s="31" t="str">
        <f t="shared" si="529"/>
        <v>Sembilan Puluh Tiga</v>
      </c>
    </row>
    <row r="5481" spans="1:12">
      <c r="J5481" s="31">
        <v>94</v>
      </c>
      <c r="K5481" s="33" t="s">
        <v>171</v>
      </c>
      <c r="L5481" s="31" t="str">
        <f t="shared" si="529"/>
        <v>Sembilan Puluh Empat</v>
      </c>
    </row>
    <row r="5482" spans="1:12">
      <c r="J5482" s="31">
        <v>95</v>
      </c>
      <c r="K5482" s="33" t="s">
        <v>172</v>
      </c>
      <c r="L5482" s="31" t="str">
        <f t="shared" si="529"/>
        <v>Sembilan Puluh Lima</v>
      </c>
    </row>
    <row r="5483" spans="1:12">
      <c r="J5483" s="31">
        <v>96</v>
      </c>
      <c r="K5483" s="33" t="s">
        <v>173</v>
      </c>
      <c r="L5483" s="31" t="str">
        <f t="shared" si="529"/>
        <v>Sembilan Puluh Enam</v>
      </c>
    </row>
    <row r="5484" spans="1:12">
      <c r="J5484" s="31">
        <v>97</v>
      </c>
      <c r="K5484" s="33" t="s">
        <v>174</v>
      </c>
      <c r="L5484" s="31" t="str">
        <f t="shared" si="529"/>
        <v>Sembilan Puluh Tujuh</v>
      </c>
    </row>
    <row r="5485" spans="1:12">
      <c r="J5485" s="31">
        <v>98</v>
      </c>
      <c r="K5485" s="33" t="s">
        <v>175</v>
      </c>
      <c r="L5485" s="31" t="str">
        <f t="shared" si="529"/>
        <v>Sembilan Puluh Delapan</v>
      </c>
    </row>
    <row r="5486" spans="1:12">
      <c r="J5486" s="31">
        <v>99</v>
      </c>
      <c r="K5486" s="33" t="s">
        <v>176</v>
      </c>
      <c r="L5486" s="31" t="str">
        <f t="shared" si="529"/>
        <v>Sembilan Puluh Sembilan</v>
      </c>
    </row>
    <row r="5488" spans="1:12">
      <c r="A5488" s="30" t="e">
        <f>#REF!</f>
        <v>#REF!</v>
      </c>
      <c r="C5488" s="31" t="s">
        <v>247</v>
      </c>
    </row>
    <row r="5489" spans="1:12">
      <c r="A5489" s="32"/>
    </row>
    <row r="5490" spans="1:12">
      <c r="J5490" s="31">
        <v>0</v>
      </c>
      <c r="K5490" s="33" t="s">
        <v>48</v>
      </c>
      <c r="L5490" s="31" t="s">
        <v>49</v>
      </c>
    </row>
    <row r="5491" spans="1:12">
      <c r="A5491" s="34"/>
      <c r="J5491" s="31">
        <v>1</v>
      </c>
      <c r="K5491" s="33" t="s">
        <v>50</v>
      </c>
      <c r="L5491" s="31" t="s">
        <v>51</v>
      </c>
    </row>
    <row r="5492" spans="1:12">
      <c r="A5492" s="255" t="e">
        <f>TRIM(D5500&amp;E5500&amp;D5501&amp;E5501&amp;D5502&amp;E5502&amp;D5503&amp;E5503&amp;D5504&amp;E5504&amp;D5505&amp;E5505&amp;E5506&amp;D5506&amp;" Only")</f>
        <v>#REF!</v>
      </c>
      <c r="B5492" s="255"/>
      <c r="C5492" s="255"/>
      <c r="D5492" s="255"/>
      <c r="E5492" s="35"/>
      <c r="F5492" s="36"/>
      <c r="J5492" s="31">
        <v>2</v>
      </c>
      <c r="K5492" s="33" t="s">
        <v>52</v>
      </c>
      <c r="L5492" s="31" t="s">
        <v>53</v>
      </c>
    </row>
    <row r="5493" spans="1:12">
      <c r="A5493" s="37"/>
      <c r="B5493" s="37"/>
      <c r="C5493" s="37"/>
      <c r="D5493" s="37"/>
      <c r="E5493" s="35"/>
      <c r="F5493" s="36"/>
      <c r="J5493" s="31">
        <v>3</v>
      </c>
      <c r="K5493" s="33" t="s">
        <v>54</v>
      </c>
      <c r="L5493" s="31" t="s">
        <v>55</v>
      </c>
    </row>
    <row r="5494" spans="1:12">
      <c r="A5494" s="37"/>
      <c r="B5494" s="37"/>
      <c r="C5494" s="37"/>
      <c r="D5494" s="37"/>
      <c r="J5494" s="31">
        <v>4</v>
      </c>
      <c r="K5494" s="33" t="s">
        <v>56</v>
      </c>
      <c r="L5494" s="31" t="s">
        <v>57</v>
      </c>
    </row>
    <row r="5495" spans="1:12">
      <c r="A5495" s="255" t="e">
        <f>TRIM(D5510&amp;E5510&amp;D5511&amp;E5511&amp;D5512&amp;E5512&amp;D5513&amp;E5513&amp;D5514&amp;E5514&amp;D5515&amp;E5515&amp;D5516&amp;E5516&amp;" Rupiah")</f>
        <v>#REF!</v>
      </c>
      <c r="B5495" s="255"/>
      <c r="C5495" s="255"/>
      <c r="D5495" s="255"/>
      <c r="E5495" s="35"/>
      <c r="F5495" s="36"/>
      <c r="J5495" s="31">
        <v>5</v>
      </c>
      <c r="K5495" s="33" t="s">
        <v>58</v>
      </c>
      <c r="L5495" s="31" t="s">
        <v>59</v>
      </c>
    </row>
    <row r="5496" spans="1:12">
      <c r="A5496" s="35"/>
      <c r="B5496" s="35"/>
      <c r="C5496" s="35"/>
      <c r="D5496" s="35"/>
      <c r="E5496" s="35"/>
      <c r="F5496" s="36"/>
      <c r="J5496" s="31">
        <v>6</v>
      </c>
      <c r="K5496" s="33" t="s">
        <v>60</v>
      </c>
      <c r="L5496" s="31" t="s">
        <v>61</v>
      </c>
    </row>
    <row r="5497" spans="1:12">
      <c r="J5497" s="31">
        <v>7</v>
      </c>
      <c r="K5497" s="33" t="s">
        <v>62</v>
      </c>
      <c r="L5497" s="31" t="s">
        <v>63</v>
      </c>
    </row>
    <row r="5498" spans="1:12">
      <c r="J5498" s="31">
        <v>8</v>
      </c>
      <c r="K5498" s="33" t="s">
        <v>64</v>
      </c>
      <c r="L5498" s="31" t="s">
        <v>65</v>
      </c>
    </row>
    <row r="5499" spans="1:12">
      <c r="A5499" s="38" t="s">
        <v>66</v>
      </c>
      <c r="J5499" s="31">
        <v>9</v>
      </c>
      <c r="K5499" s="33" t="s">
        <v>67</v>
      </c>
      <c r="L5499" s="31" t="s">
        <v>68</v>
      </c>
    </row>
    <row r="5500" spans="1:12">
      <c r="A5500" s="31" t="s">
        <v>69</v>
      </c>
      <c r="B5500" s="39" t="e">
        <f>TRUNC(A5488/100000000)</f>
        <v>#REF!</v>
      </c>
      <c r="C5500" s="31" t="e">
        <f>B5500*100000000</f>
        <v>#REF!</v>
      </c>
      <c r="D5500" s="31" t="e">
        <f t="shared" ref="D5500:D5506" si="530">IF(B5500&lt;1,"",VLOOKUP(B5500,$J$3:$K$102,2))</f>
        <v>#REF!</v>
      </c>
      <c r="E5500" s="31" t="e">
        <f>IF(B5500&lt;1,"",IF(B5500&gt;1," Hundreds "," Hundred "))</f>
        <v>#REF!</v>
      </c>
      <c r="J5500" s="31">
        <v>10</v>
      </c>
      <c r="K5500" s="33" t="s">
        <v>70</v>
      </c>
      <c r="L5500" s="31" t="s">
        <v>71</v>
      </c>
    </row>
    <row r="5501" spans="1:12">
      <c r="A5501" s="31" t="s">
        <v>72</v>
      </c>
      <c r="B5501" s="39" t="e">
        <f>TRUNC((A5488-C5500)/1000000)</f>
        <v>#REF!</v>
      </c>
      <c r="C5501" s="31" t="e">
        <f>B5501*1000000</f>
        <v>#REF!</v>
      </c>
      <c r="D5501" s="31" t="e">
        <f t="shared" si="530"/>
        <v>#REF!</v>
      </c>
      <c r="E5501" s="31" t="e">
        <f>IF(B5500+B5501=0,"",IF(B5501=1," Million "," Millions "))</f>
        <v>#REF!</v>
      </c>
      <c r="J5501" s="31">
        <v>11</v>
      </c>
      <c r="K5501" s="33" t="s">
        <v>73</v>
      </c>
      <c r="L5501" s="31" t="s">
        <v>74</v>
      </c>
    </row>
    <row r="5502" spans="1:12">
      <c r="A5502" s="31" t="s">
        <v>75</v>
      </c>
      <c r="B5502" s="39" t="e">
        <f>TRUNC((A5488-SUM(C5500:C5501))/100000)</f>
        <v>#REF!</v>
      </c>
      <c r="C5502" s="31" t="e">
        <f>B5502*100000</f>
        <v>#REF!</v>
      </c>
      <c r="D5502" s="31" t="e">
        <f t="shared" si="530"/>
        <v>#REF!</v>
      </c>
      <c r="E5502" s="31" t="e">
        <f>IF(B5502&lt;1,"",IF(B5502&gt;1," Hundreds "," Hundred "))</f>
        <v>#REF!</v>
      </c>
      <c r="J5502" s="31">
        <v>12</v>
      </c>
      <c r="K5502" s="33" t="s">
        <v>76</v>
      </c>
      <c r="L5502" s="31" t="str">
        <f t="shared" ref="L5502:L5509" si="531">L5492&amp;" Belas"</f>
        <v>Dua Belas</v>
      </c>
    </row>
    <row r="5503" spans="1:12">
      <c r="A5503" s="33" t="s">
        <v>77</v>
      </c>
      <c r="B5503" s="40" t="e">
        <f>TRUNC((A5488-SUM(C5500:C5502))/1000)</f>
        <v>#REF!</v>
      </c>
      <c r="C5503" s="31" t="e">
        <f>B5503*1000</f>
        <v>#REF!</v>
      </c>
      <c r="D5503" s="31" t="e">
        <f t="shared" si="530"/>
        <v>#REF!</v>
      </c>
      <c r="E5503" s="31" t="e">
        <f>IF(B5502+B5503=0,"",IF(B5503=1," Thousand "," Thousands "))</f>
        <v>#REF!</v>
      </c>
      <c r="J5503" s="31">
        <v>13</v>
      </c>
      <c r="K5503" s="33" t="s">
        <v>78</v>
      </c>
      <c r="L5503" s="31" t="str">
        <f t="shared" si="531"/>
        <v>Tiga Belas</v>
      </c>
    </row>
    <row r="5504" spans="1:12">
      <c r="A5504" s="33" t="s">
        <v>79</v>
      </c>
      <c r="B5504" s="40" t="e">
        <f>TRUNC((A5488-SUM(C5500:C5503))/100)</f>
        <v>#REF!</v>
      </c>
      <c r="C5504" s="31" t="e">
        <f>B5504*100</f>
        <v>#REF!</v>
      </c>
      <c r="D5504" s="31" t="e">
        <f t="shared" si="530"/>
        <v>#REF!</v>
      </c>
      <c r="E5504" s="31" t="e">
        <f>IF(B5504&lt;1,"",IF(B5504&gt;1," Hundreds "," Hundred "))</f>
        <v>#REF!</v>
      </c>
      <c r="J5504" s="31">
        <v>14</v>
      </c>
      <c r="K5504" s="33" t="s">
        <v>80</v>
      </c>
      <c r="L5504" s="31" t="str">
        <f t="shared" si="531"/>
        <v>Empat Belas</v>
      </c>
    </row>
    <row r="5505" spans="1:12">
      <c r="A5505" s="33" t="s">
        <v>81</v>
      </c>
      <c r="B5505" s="41" t="e">
        <f>TRUNC((A5488-SUM(C5500:C5504)))</f>
        <v>#REF!</v>
      </c>
      <c r="C5505" s="42" t="e">
        <f>B5505</f>
        <v>#REF!</v>
      </c>
      <c r="D5505" s="31" t="e">
        <f t="shared" si="530"/>
        <v>#REF!</v>
      </c>
      <c r="E5505" s="31" t="e">
        <f>IF(SUM(C5500:C5505)&lt;1,"",IF(B5506&lt;1,""," And "))</f>
        <v>#REF!</v>
      </c>
      <c r="J5505" s="31">
        <v>15</v>
      </c>
      <c r="K5505" s="33" t="s">
        <v>82</v>
      </c>
      <c r="L5505" s="31" t="str">
        <f t="shared" si="531"/>
        <v>Lima Belas</v>
      </c>
    </row>
    <row r="5506" spans="1:12">
      <c r="A5506" s="33" t="s">
        <v>83</v>
      </c>
      <c r="B5506" s="40" t="e">
        <f>ROUND(A5488-SUM(C5500:C5505),2)*100</f>
        <v>#REF!</v>
      </c>
      <c r="D5506" s="43" t="e">
        <f t="shared" si="530"/>
        <v>#REF!</v>
      </c>
      <c r="E5506" s="31" t="e">
        <f>IF(B5506&lt;1,"",IF(B5506=1," Cent "," Cents "))</f>
        <v>#REF!</v>
      </c>
      <c r="J5506" s="31">
        <v>16</v>
      </c>
      <c r="K5506" s="33" t="s">
        <v>84</v>
      </c>
      <c r="L5506" s="31" t="str">
        <f t="shared" si="531"/>
        <v>Enam Belas</v>
      </c>
    </row>
    <row r="5507" spans="1:12">
      <c r="J5507" s="31">
        <v>17</v>
      </c>
      <c r="K5507" s="33" t="s">
        <v>85</v>
      </c>
      <c r="L5507" s="31" t="str">
        <f t="shared" si="531"/>
        <v>Tujuh Belas</v>
      </c>
    </row>
    <row r="5508" spans="1:12">
      <c r="A5508" s="44"/>
      <c r="J5508" s="31">
        <v>18</v>
      </c>
      <c r="K5508" s="33" t="s">
        <v>86</v>
      </c>
      <c r="L5508" s="31" t="str">
        <f t="shared" si="531"/>
        <v>Delapan Belas</v>
      </c>
    </row>
    <row r="5509" spans="1:12">
      <c r="A5509" s="38" t="s">
        <v>87</v>
      </c>
      <c r="J5509" s="31">
        <v>19</v>
      </c>
      <c r="K5509" s="33" t="s">
        <v>88</v>
      </c>
      <c r="L5509" s="31" t="str">
        <f t="shared" si="531"/>
        <v>Sembilan Belas</v>
      </c>
    </row>
    <row r="5510" spans="1:12">
      <c r="A5510" s="31" t="s">
        <v>69</v>
      </c>
      <c r="B5510" s="39" t="e">
        <f>TRUNC(A5488/100000000)</f>
        <v>#REF!</v>
      </c>
      <c r="C5510" s="31" t="e">
        <f>B5510*100000000</f>
        <v>#REF!</v>
      </c>
      <c r="D5510" s="31" t="e">
        <f>IF(B5510&lt;1,"",IF(B5510=1,"",VLOOKUP(B5510,$J$3:$L$102,3)))</f>
        <v>#REF!</v>
      </c>
      <c r="E5510" s="31" t="e">
        <f>IF(B5510&lt;1,"",IF(B5510=1,"Seratus "," Ratus "))</f>
        <v>#REF!</v>
      </c>
      <c r="J5510" s="31">
        <v>20</v>
      </c>
      <c r="K5510" s="33" t="s">
        <v>89</v>
      </c>
      <c r="L5510" s="31" t="s">
        <v>90</v>
      </c>
    </row>
    <row r="5511" spans="1:12">
      <c r="A5511" s="31" t="s">
        <v>72</v>
      </c>
      <c r="B5511" s="39" t="e">
        <f>TRUNC((A5488-C5510)/1000000)</f>
        <v>#REF!</v>
      </c>
      <c r="C5511" s="31" t="e">
        <f>B5511*1000000</f>
        <v>#REF!</v>
      </c>
      <c r="D5511" s="31" t="e">
        <f>IF(B5511&lt;1,"",VLOOKUP(B5511,$J$3:$L$102,3))</f>
        <v>#REF!</v>
      </c>
      <c r="E5511" s="31" t="e">
        <f>IF(B5510+B5511=0,""," Juta ")</f>
        <v>#REF!</v>
      </c>
      <c r="J5511" s="31">
        <v>21</v>
      </c>
      <c r="K5511" s="33" t="s">
        <v>91</v>
      </c>
      <c r="L5511" s="31" t="str">
        <f t="shared" ref="L5511:L5519" si="532">$L$23&amp;" "&amp;L5491</f>
        <v>Dua Puluh Satu</v>
      </c>
    </row>
    <row r="5512" spans="1:12">
      <c r="A5512" s="31" t="s">
        <v>75</v>
      </c>
      <c r="B5512" s="39" t="e">
        <f>TRUNC((A5488-SUM(C5510:C5511))/100000)</f>
        <v>#REF!</v>
      </c>
      <c r="C5512" s="31" t="e">
        <f>B5512*100000</f>
        <v>#REF!</v>
      </c>
      <c r="D5512" s="31" t="e">
        <f>IF(B5512&lt;1,"",IF(B5512=1,"",VLOOKUP(B5512,$J$3:$L$102,3)))</f>
        <v>#REF!</v>
      </c>
      <c r="E5512" s="31" t="e">
        <f>IF(B5512&lt;1,"",IF(B5512=1," Seratus "," Ratus "))</f>
        <v>#REF!</v>
      </c>
      <c r="J5512" s="31">
        <v>22</v>
      </c>
      <c r="K5512" s="33" t="s">
        <v>92</v>
      </c>
      <c r="L5512" s="31" t="str">
        <f t="shared" si="532"/>
        <v>Dua Puluh Dua</v>
      </c>
    </row>
    <row r="5513" spans="1:12">
      <c r="A5513" s="33" t="s">
        <v>77</v>
      </c>
      <c r="B5513" s="40" t="e">
        <f>TRUNC((A5488-SUM(C5510:C5512))/1000)</f>
        <v>#REF!</v>
      </c>
      <c r="C5513" s="31" t="e">
        <f>B5513*1000</f>
        <v>#REF!</v>
      </c>
      <c r="D5513" s="31" t="e">
        <f>IF(B5513&lt;1,"",IF(B5513=1,"",VLOOKUP(B5513,$J$3:$L$102,3)))</f>
        <v>#REF!</v>
      </c>
      <c r="E5513" s="31" t="e">
        <f>IF(B5512+B5513&lt;1,"",IF(B5513=1," Seribu "," Ribu "))</f>
        <v>#REF!</v>
      </c>
      <c r="J5513" s="31">
        <v>23</v>
      </c>
      <c r="K5513" s="33" t="s">
        <v>93</v>
      </c>
      <c r="L5513" s="31" t="str">
        <f t="shared" si="532"/>
        <v>Dua Puluh Tiga</v>
      </c>
    </row>
    <row r="5514" spans="1:12">
      <c r="A5514" s="33" t="s">
        <v>79</v>
      </c>
      <c r="B5514" s="40" t="e">
        <f>TRUNC((A5488-SUM(C5510:C5513))/100)</f>
        <v>#REF!</v>
      </c>
      <c r="C5514" s="31" t="e">
        <f>B5514*100</f>
        <v>#REF!</v>
      </c>
      <c r="D5514" s="31" t="e">
        <f>IF(B5514&lt;1,"",IF(B5514=1,"",VLOOKUP(B5514,$J$3:$L$102,3)))</f>
        <v>#REF!</v>
      </c>
      <c r="E5514" s="31" t="e">
        <f>IF(B5514&lt;1,"",IF(B5514=1," Seratus "," Ratus "))</f>
        <v>#REF!</v>
      </c>
      <c r="J5514" s="31">
        <v>24</v>
      </c>
      <c r="K5514" s="33" t="s">
        <v>94</v>
      </c>
      <c r="L5514" s="31" t="str">
        <f t="shared" si="532"/>
        <v>Dua Puluh Empat</v>
      </c>
    </row>
    <row r="5515" spans="1:12">
      <c r="A5515" s="33" t="s">
        <v>81</v>
      </c>
      <c r="B5515" s="41" t="e">
        <f>TRUNC((A5488-SUM(C5510:C5514)))</f>
        <v>#REF!</v>
      </c>
      <c r="C5515" s="42" t="e">
        <f>B5515</f>
        <v>#REF!</v>
      </c>
      <c r="D5515" s="31" t="e">
        <f>IF(B5515&lt;1,"",VLOOKUP(B5515,$J$3:$L$102,3))</f>
        <v>#REF!</v>
      </c>
      <c r="E5515" s="31" t="e">
        <f>IF(SUM(C5510:C5515)&lt;1,"",IF(B5516&lt;1,""," Dan "))</f>
        <v>#REF!</v>
      </c>
      <c r="J5515" s="31">
        <v>25</v>
      </c>
      <c r="K5515" s="33" t="s">
        <v>95</v>
      </c>
      <c r="L5515" s="31" t="str">
        <f t="shared" si="532"/>
        <v>Dua Puluh Lima</v>
      </c>
    </row>
    <row r="5516" spans="1:12">
      <c r="A5516" s="33" t="s">
        <v>83</v>
      </c>
      <c r="B5516" s="40" t="e">
        <f>ROUND(A5488-SUM(C5510:C5515),2)*100</f>
        <v>#REF!</v>
      </c>
      <c r="D5516" s="31" t="e">
        <f>IF(B5516&lt;1,"",VLOOKUP(B5516,$J$3:$L$102,3))</f>
        <v>#REF!</v>
      </c>
      <c r="E5516" s="31" t="e">
        <f>IF(B5516&lt;1,""," Sen ")</f>
        <v>#REF!</v>
      </c>
      <c r="J5516" s="31">
        <v>26</v>
      </c>
      <c r="K5516" s="33" t="s">
        <v>96</v>
      </c>
      <c r="L5516" s="31" t="str">
        <f t="shared" si="532"/>
        <v>Dua Puluh Enam</v>
      </c>
    </row>
    <row r="5517" spans="1:12">
      <c r="J5517" s="31">
        <v>27</v>
      </c>
      <c r="K5517" s="33" t="s">
        <v>97</v>
      </c>
      <c r="L5517" s="31" t="str">
        <f t="shared" si="532"/>
        <v>Dua Puluh Tujuh</v>
      </c>
    </row>
    <row r="5518" spans="1:12">
      <c r="J5518" s="31">
        <v>28</v>
      </c>
      <c r="K5518" s="33" t="s">
        <v>98</v>
      </c>
      <c r="L5518" s="31" t="str">
        <f t="shared" si="532"/>
        <v>Dua Puluh Delapan</v>
      </c>
    </row>
    <row r="5519" spans="1:12">
      <c r="J5519" s="31">
        <v>29</v>
      </c>
      <c r="K5519" s="33" t="s">
        <v>99</v>
      </c>
      <c r="L5519" s="31" t="str">
        <f t="shared" si="532"/>
        <v>Dua Puluh Sembilan</v>
      </c>
    </row>
    <row r="5520" spans="1:12">
      <c r="J5520" s="31">
        <v>30</v>
      </c>
      <c r="K5520" s="33" t="s">
        <v>100</v>
      </c>
      <c r="L5520" s="31" t="s">
        <v>101</v>
      </c>
    </row>
    <row r="5521" spans="1:12">
      <c r="J5521" s="31">
        <v>31</v>
      </c>
      <c r="K5521" s="33" t="s">
        <v>102</v>
      </c>
      <c r="L5521" s="31" t="str">
        <f t="shared" ref="L5521:L5529" si="533">$L$33&amp;" "&amp;L5491</f>
        <v>Tiga Puluh Satu</v>
      </c>
    </row>
    <row r="5522" spans="1:12">
      <c r="J5522" s="31">
        <v>32</v>
      </c>
      <c r="K5522" s="33" t="s">
        <v>103</v>
      </c>
      <c r="L5522" s="31" t="str">
        <f t="shared" si="533"/>
        <v>Tiga Puluh Dua</v>
      </c>
    </row>
    <row r="5523" spans="1:12">
      <c r="J5523" s="31">
        <v>33</v>
      </c>
      <c r="K5523" s="33" t="s">
        <v>104</v>
      </c>
      <c r="L5523" s="31" t="str">
        <f t="shared" si="533"/>
        <v>Tiga Puluh Tiga</v>
      </c>
    </row>
    <row r="5524" spans="1:12">
      <c r="J5524" s="31">
        <v>34</v>
      </c>
      <c r="K5524" s="33" t="s">
        <v>105</v>
      </c>
      <c r="L5524" s="31" t="str">
        <f t="shared" si="533"/>
        <v>Tiga Puluh Empat</v>
      </c>
    </row>
    <row r="5525" spans="1:12">
      <c r="J5525" s="31">
        <v>35</v>
      </c>
      <c r="K5525" s="33" t="s">
        <v>106</v>
      </c>
      <c r="L5525" s="31" t="str">
        <f t="shared" si="533"/>
        <v>Tiga Puluh Lima</v>
      </c>
    </row>
    <row r="5526" spans="1:12">
      <c r="J5526" s="31">
        <v>36</v>
      </c>
      <c r="K5526" s="33" t="s">
        <v>107</v>
      </c>
      <c r="L5526" s="31" t="str">
        <f t="shared" si="533"/>
        <v>Tiga Puluh Enam</v>
      </c>
    </row>
    <row r="5527" spans="1:12">
      <c r="J5527" s="31">
        <v>37</v>
      </c>
      <c r="K5527" s="33" t="s">
        <v>108</v>
      </c>
      <c r="L5527" s="31" t="str">
        <f t="shared" si="533"/>
        <v>Tiga Puluh Tujuh</v>
      </c>
    </row>
    <row r="5528" spans="1:12">
      <c r="J5528" s="31">
        <v>38</v>
      </c>
      <c r="K5528" s="33" t="s">
        <v>109</v>
      </c>
      <c r="L5528" s="31" t="str">
        <f t="shared" si="533"/>
        <v>Tiga Puluh Delapan</v>
      </c>
    </row>
    <row r="5529" spans="1:12">
      <c r="J5529" s="31">
        <v>39</v>
      </c>
      <c r="K5529" s="33" t="s">
        <v>110</v>
      </c>
      <c r="L5529" s="31" t="str">
        <f t="shared" si="533"/>
        <v>Tiga Puluh Sembilan</v>
      </c>
    </row>
    <row r="5530" spans="1:12">
      <c r="B5530" s="35"/>
      <c r="C5530" s="35"/>
      <c r="D5530" s="35"/>
      <c r="J5530" s="31">
        <v>40</v>
      </c>
      <c r="K5530" s="33" t="s">
        <v>111</v>
      </c>
      <c r="L5530" s="31" t="s">
        <v>112</v>
      </c>
    </row>
    <row r="5531" spans="1:12">
      <c r="A5531" s="35"/>
      <c r="B5531" s="35"/>
      <c r="C5531" s="35"/>
      <c r="D5531" s="35"/>
      <c r="J5531" s="31">
        <v>41</v>
      </c>
      <c r="K5531" s="33" t="s">
        <v>113</v>
      </c>
      <c r="L5531" s="31" t="str">
        <f t="shared" ref="L5531:L5539" si="534">$L$43&amp;" "&amp;L5491</f>
        <v>Empat Puluh Satu</v>
      </c>
    </row>
    <row r="5532" spans="1:12">
      <c r="J5532" s="31">
        <v>42</v>
      </c>
      <c r="K5532" s="33" t="s">
        <v>114</v>
      </c>
      <c r="L5532" s="31" t="str">
        <f t="shared" si="534"/>
        <v>Empat Puluh Dua</v>
      </c>
    </row>
    <row r="5533" spans="1:12">
      <c r="A5533" s="38"/>
      <c r="J5533" s="31">
        <v>43</v>
      </c>
      <c r="K5533" s="33" t="s">
        <v>115</v>
      </c>
      <c r="L5533" s="31" t="str">
        <f t="shared" si="534"/>
        <v>Empat Puluh Tiga</v>
      </c>
    </row>
    <row r="5534" spans="1:12">
      <c r="J5534" s="31">
        <v>44</v>
      </c>
      <c r="K5534" s="33" t="s">
        <v>116</v>
      </c>
      <c r="L5534" s="31" t="str">
        <f t="shared" si="534"/>
        <v>Empat Puluh Empat</v>
      </c>
    </row>
    <row r="5535" spans="1:12">
      <c r="J5535" s="31">
        <v>45</v>
      </c>
      <c r="K5535" s="33" t="s">
        <v>117</v>
      </c>
      <c r="L5535" s="31" t="str">
        <f t="shared" si="534"/>
        <v>Empat Puluh Lima</v>
      </c>
    </row>
    <row r="5536" spans="1:12">
      <c r="J5536" s="31">
        <v>46</v>
      </c>
      <c r="K5536" s="33" t="s">
        <v>118</v>
      </c>
      <c r="L5536" s="31" t="str">
        <f t="shared" si="534"/>
        <v>Empat Puluh Enam</v>
      </c>
    </row>
    <row r="5537" spans="10:12">
      <c r="J5537" s="31">
        <v>47</v>
      </c>
      <c r="K5537" s="33" t="s">
        <v>119</v>
      </c>
      <c r="L5537" s="31" t="str">
        <f t="shared" si="534"/>
        <v>Empat Puluh Tujuh</v>
      </c>
    </row>
    <row r="5538" spans="10:12">
      <c r="J5538" s="31">
        <v>48</v>
      </c>
      <c r="K5538" s="33" t="s">
        <v>120</v>
      </c>
      <c r="L5538" s="31" t="str">
        <f t="shared" si="534"/>
        <v>Empat Puluh Delapan</v>
      </c>
    </row>
    <row r="5539" spans="10:12">
      <c r="J5539" s="31">
        <v>49</v>
      </c>
      <c r="K5539" s="33" t="s">
        <v>121</v>
      </c>
      <c r="L5539" s="31" t="str">
        <f t="shared" si="534"/>
        <v>Empat Puluh Sembilan</v>
      </c>
    </row>
    <row r="5540" spans="10:12">
      <c r="J5540" s="31">
        <v>50</v>
      </c>
      <c r="K5540" s="33" t="s">
        <v>122</v>
      </c>
      <c r="L5540" s="31" t="s">
        <v>123</v>
      </c>
    </row>
    <row r="5541" spans="10:12">
      <c r="J5541" s="31">
        <v>51</v>
      </c>
      <c r="K5541" s="33" t="s">
        <v>124</v>
      </c>
      <c r="L5541" s="31" t="str">
        <f t="shared" ref="L5541:L5549" si="535">$L$53&amp;" "&amp;L5491</f>
        <v>Lima Puluh Satu</v>
      </c>
    </row>
    <row r="5542" spans="10:12">
      <c r="J5542" s="31">
        <v>52</v>
      </c>
      <c r="K5542" s="33" t="s">
        <v>125</v>
      </c>
      <c r="L5542" s="31" t="str">
        <f t="shared" si="535"/>
        <v>Lima Puluh Dua</v>
      </c>
    </row>
    <row r="5543" spans="10:12">
      <c r="J5543" s="31">
        <v>53</v>
      </c>
      <c r="K5543" s="33" t="s">
        <v>126</v>
      </c>
      <c r="L5543" s="31" t="str">
        <f t="shared" si="535"/>
        <v>Lima Puluh Tiga</v>
      </c>
    </row>
    <row r="5544" spans="10:12">
      <c r="J5544" s="31">
        <v>54</v>
      </c>
      <c r="K5544" s="33" t="s">
        <v>127</v>
      </c>
      <c r="L5544" s="31" t="str">
        <f t="shared" si="535"/>
        <v>Lima Puluh Empat</v>
      </c>
    </row>
    <row r="5545" spans="10:12">
      <c r="J5545" s="31">
        <v>55</v>
      </c>
      <c r="K5545" s="33" t="s">
        <v>128</v>
      </c>
      <c r="L5545" s="31" t="str">
        <f t="shared" si="535"/>
        <v>Lima Puluh Lima</v>
      </c>
    </row>
    <row r="5546" spans="10:12">
      <c r="J5546" s="31">
        <v>56</v>
      </c>
      <c r="K5546" s="33" t="s">
        <v>129</v>
      </c>
      <c r="L5546" s="31" t="str">
        <f t="shared" si="535"/>
        <v>Lima Puluh Enam</v>
      </c>
    </row>
    <row r="5547" spans="10:12">
      <c r="J5547" s="31">
        <v>57</v>
      </c>
      <c r="K5547" s="33" t="s">
        <v>130</v>
      </c>
      <c r="L5547" s="31" t="str">
        <f t="shared" si="535"/>
        <v>Lima Puluh Tujuh</v>
      </c>
    </row>
    <row r="5548" spans="10:12">
      <c r="J5548" s="31">
        <v>58</v>
      </c>
      <c r="K5548" s="33" t="s">
        <v>131</v>
      </c>
      <c r="L5548" s="31" t="str">
        <f t="shared" si="535"/>
        <v>Lima Puluh Delapan</v>
      </c>
    </row>
    <row r="5549" spans="10:12">
      <c r="J5549" s="31">
        <v>59</v>
      </c>
      <c r="K5549" s="33" t="s">
        <v>132</v>
      </c>
      <c r="L5549" s="31" t="str">
        <f t="shared" si="535"/>
        <v>Lima Puluh Sembilan</v>
      </c>
    </row>
    <row r="5550" spans="10:12">
      <c r="J5550" s="31">
        <v>60</v>
      </c>
      <c r="K5550" s="33" t="s">
        <v>133</v>
      </c>
      <c r="L5550" s="31" t="s">
        <v>134</v>
      </c>
    </row>
    <row r="5551" spans="10:12">
      <c r="J5551" s="31">
        <v>61</v>
      </c>
      <c r="K5551" s="33" t="s">
        <v>135</v>
      </c>
      <c r="L5551" s="31" t="str">
        <f t="shared" ref="L5551:L5559" si="536">$L$63&amp;" "&amp;L5491</f>
        <v>Enam Puluh Satu</v>
      </c>
    </row>
    <row r="5552" spans="10:12">
      <c r="J5552" s="31">
        <v>62</v>
      </c>
      <c r="K5552" s="33" t="s">
        <v>136</v>
      </c>
      <c r="L5552" s="31" t="str">
        <f t="shared" si="536"/>
        <v>Enam Puluh Dua</v>
      </c>
    </row>
    <row r="5553" spans="10:12">
      <c r="J5553" s="31">
        <v>63</v>
      </c>
      <c r="K5553" s="33" t="s">
        <v>137</v>
      </c>
      <c r="L5553" s="31" t="str">
        <f t="shared" si="536"/>
        <v>Enam Puluh Tiga</v>
      </c>
    </row>
    <row r="5554" spans="10:12">
      <c r="J5554" s="31">
        <v>64</v>
      </c>
      <c r="K5554" s="33" t="s">
        <v>138</v>
      </c>
      <c r="L5554" s="31" t="str">
        <f t="shared" si="536"/>
        <v>Enam Puluh Empat</v>
      </c>
    </row>
    <row r="5555" spans="10:12">
      <c r="J5555" s="31">
        <v>65</v>
      </c>
      <c r="K5555" s="33" t="s">
        <v>139</v>
      </c>
      <c r="L5555" s="31" t="str">
        <f t="shared" si="536"/>
        <v>Enam Puluh Lima</v>
      </c>
    </row>
    <row r="5556" spans="10:12">
      <c r="J5556" s="31">
        <v>66</v>
      </c>
      <c r="K5556" s="33" t="s">
        <v>140</v>
      </c>
      <c r="L5556" s="31" t="str">
        <f t="shared" si="536"/>
        <v>Enam Puluh Enam</v>
      </c>
    </row>
    <row r="5557" spans="10:12">
      <c r="J5557" s="31">
        <v>67</v>
      </c>
      <c r="K5557" s="33" t="s">
        <v>141</v>
      </c>
      <c r="L5557" s="31" t="str">
        <f t="shared" si="536"/>
        <v>Enam Puluh Tujuh</v>
      </c>
    </row>
    <row r="5558" spans="10:12">
      <c r="J5558" s="31">
        <v>68</v>
      </c>
      <c r="K5558" s="33" t="s">
        <v>142</v>
      </c>
      <c r="L5558" s="31" t="str">
        <f t="shared" si="536"/>
        <v>Enam Puluh Delapan</v>
      </c>
    </row>
    <row r="5559" spans="10:12">
      <c r="J5559" s="31">
        <v>69</v>
      </c>
      <c r="K5559" s="33" t="s">
        <v>143</v>
      </c>
      <c r="L5559" s="31" t="str">
        <f t="shared" si="536"/>
        <v>Enam Puluh Sembilan</v>
      </c>
    </row>
    <row r="5560" spans="10:12">
      <c r="J5560" s="31">
        <v>70</v>
      </c>
      <c r="K5560" s="33" t="s">
        <v>144</v>
      </c>
      <c r="L5560" s="31" t="s">
        <v>145</v>
      </c>
    </row>
    <row r="5561" spans="10:12">
      <c r="J5561" s="31">
        <v>71</v>
      </c>
      <c r="K5561" s="33" t="s">
        <v>146</v>
      </c>
      <c r="L5561" s="31" t="str">
        <f t="shared" ref="L5561:L5569" si="537">$L$73&amp;" "&amp;L5491</f>
        <v>Tujuh Puluh Satu</v>
      </c>
    </row>
    <row r="5562" spans="10:12">
      <c r="J5562" s="31">
        <v>72</v>
      </c>
      <c r="K5562" s="33" t="s">
        <v>147</v>
      </c>
      <c r="L5562" s="31" t="str">
        <f t="shared" si="537"/>
        <v>Tujuh Puluh Dua</v>
      </c>
    </row>
    <row r="5563" spans="10:12">
      <c r="J5563" s="31">
        <v>73</v>
      </c>
      <c r="K5563" s="33" t="s">
        <v>148</v>
      </c>
      <c r="L5563" s="31" t="str">
        <f t="shared" si="537"/>
        <v>Tujuh Puluh Tiga</v>
      </c>
    </row>
    <row r="5564" spans="10:12">
      <c r="J5564" s="31">
        <v>74</v>
      </c>
      <c r="K5564" s="33" t="s">
        <v>149</v>
      </c>
      <c r="L5564" s="31" t="str">
        <f t="shared" si="537"/>
        <v>Tujuh Puluh Empat</v>
      </c>
    </row>
    <row r="5565" spans="10:12">
      <c r="J5565" s="31">
        <v>75</v>
      </c>
      <c r="K5565" s="33" t="s">
        <v>150</v>
      </c>
      <c r="L5565" s="31" t="str">
        <f t="shared" si="537"/>
        <v>Tujuh Puluh Lima</v>
      </c>
    </row>
    <row r="5566" spans="10:12">
      <c r="J5566" s="31">
        <v>76</v>
      </c>
      <c r="K5566" s="33" t="s">
        <v>151</v>
      </c>
      <c r="L5566" s="31" t="str">
        <f t="shared" si="537"/>
        <v>Tujuh Puluh Enam</v>
      </c>
    </row>
    <row r="5567" spans="10:12">
      <c r="J5567" s="31">
        <v>77</v>
      </c>
      <c r="K5567" s="33" t="s">
        <v>152</v>
      </c>
      <c r="L5567" s="31" t="str">
        <f t="shared" si="537"/>
        <v>Tujuh Puluh Tujuh</v>
      </c>
    </row>
    <row r="5568" spans="10:12">
      <c r="J5568" s="31">
        <v>78</v>
      </c>
      <c r="K5568" s="33" t="s">
        <v>153</v>
      </c>
      <c r="L5568" s="31" t="str">
        <f t="shared" si="537"/>
        <v>Tujuh Puluh Delapan</v>
      </c>
    </row>
    <row r="5569" spans="10:12">
      <c r="J5569" s="31">
        <v>79</v>
      </c>
      <c r="K5569" s="33" t="s">
        <v>154</v>
      </c>
      <c r="L5569" s="31" t="str">
        <f t="shared" si="537"/>
        <v>Tujuh Puluh Sembilan</v>
      </c>
    </row>
    <row r="5570" spans="10:12">
      <c r="J5570" s="31">
        <v>80</v>
      </c>
      <c r="K5570" s="33" t="s">
        <v>155</v>
      </c>
      <c r="L5570" s="31" t="s">
        <v>156</v>
      </c>
    </row>
    <row r="5571" spans="10:12">
      <c r="J5571" s="31">
        <v>81</v>
      </c>
      <c r="K5571" s="33" t="s">
        <v>157</v>
      </c>
      <c r="L5571" s="31" t="str">
        <f t="shared" ref="L5571:L5579" si="538">$L$83&amp;" "&amp;L5491</f>
        <v>Delapan Puluh Satu</v>
      </c>
    </row>
    <row r="5572" spans="10:12">
      <c r="J5572" s="31">
        <v>82</v>
      </c>
      <c r="K5572" s="33" t="s">
        <v>158</v>
      </c>
      <c r="L5572" s="31" t="str">
        <f t="shared" si="538"/>
        <v>Delapan Puluh Dua</v>
      </c>
    </row>
    <row r="5573" spans="10:12">
      <c r="J5573" s="31">
        <v>83</v>
      </c>
      <c r="K5573" s="33" t="s">
        <v>159</v>
      </c>
      <c r="L5573" s="31" t="str">
        <f t="shared" si="538"/>
        <v>Delapan Puluh Tiga</v>
      </c>
    </row>
    <row r="5574" spans="10:12">
      <c r="J5574" s="31">
        <v>84</v>
      </c>
      <c r="K5574" s="33" t="s">
        <v>160</v>
      </c>
      <c r="L5574" s="31" t="str">
        <f t="shared" si="538"/>
        <v>Delapan Puluh Empat</v>
      </c>
    </row>
    <row r="5575" spans="10:12">
      <c r="J5575" s="31">
        <v>85</v>
      </c>
      <c r="K5575" s="33" t="s">
        <v>161</v>
      </c>
      <c r="L5575" s="31" t="str">
        <f t="shared" si="538"/>
        <v>Delapan Puluh Lima</v>
      </c>
    </row>
    <row r="5576" spans="10:12">
      <c r="J5576" s="31">
        <v>86</v>
      </c>
      <c r="K5576" s="33" t="s">
        <v>162</v>
      </c>
      <c r="L5576" s="31" t="str">
        <f t="shared" si="538"/>
        <v>Delapan Puluh Enam</v>
      </c>
    </row>
    <row r="5577" spans="10:12">
      <c r="J5577" s="31">
        <v>87</v>
      </c>
      <c r="K5577" s="33" t="s">
        <v>163</v>
      </c>
      <c r="L5577" s="31" t="str">
        <f t="shared" si="538"/>
        <v>Delapan Puluh Tujuh</v>
      </c>
    </row>
    <row r="5578" spans="10:12">
      <c r="J5578" s="31">
        <v>88</v>
      </c>
      <c r="K5578" s="33" t="s">
        <v>164</v>
      </c>
      <c r="L5578" s="31" t="str">
        <f t="shared" si="538"/>
        <v>Delapan Puluh Delapan</v>
      </c>
    </row>
    <row r="5579" spans="10:12">
      <c r="J5579" s="31">
        <v>89</v>
      </c>
      <c r="K5579" s="33" t="s">
        <v>165</v>
      </c>
      <c r="L5579" s="31" t="str">
        <f t="shared" si="538"/>
        <v>Delapan Puluh Sembilan</v>
      </c>
    </row>
    <row r="5580" spans="10:12">
      <c r="J5580" s="31">
        <v>90</v>
      </c>
      <c r="K5580" s="33" t="s">
        <v>166</v>
      </c>
      <c r="L5580" s="31" t="s">
        <v>167</v>
      </c>
    </row>
    <row r="5581" spans="10:12">
      <c r="J5581" s="31">
        <v>91</v>
      </c>
      <c r="K5581" s="33" t="s">
        <v>168</v>
      </c>
      <c r="L5581" s="31" t="str">
        <f t="shared" ref="L5581:L5589" si="539">$L$93&amp;" "&amp;L5491</f>
        <v>Sembilan Puluh Satu</v>
      </c>
    </row>
    <row r="5582" spans="10:12">
      <c r="J5582" s="31">
        <v>92</v>
      </c>
      <c r="K5582" s="33" t="s">
        <v>169</v>
      </c>
      <c r="L5582" s="31" t="str">
        <f t="shared" si="539"/>
        <v>Sembilan Puluh Dua</v>
      </c>
    </row>
    <row r="5583" spans="10:12">
      <c r="J5583" s="31">
        <v>93</v>
      </c>
      <c r="K5583" s="33" t="s">
        <v>170</v>
      </c>
      <c r="L5583" s="31" t="str">
        <f t="shared" si="539"/>
        <v>Sembilan Puluh Tiga</v>
      </c>
    </row>
    <row r="5584" spans="10:12">
      <c r="J5584" s="31">
        <v>94</v>
      </c>
      <c r="K5584" s="33" t="s">
        <v>171</v>
      </c>
      <c r="L5584" s="31" t="str">
        <f t="shared" si="539"/>
        <v>Sembilan Puluh Empat</v>
      </c>
    </row>
    <row r="5585" spans="1:12">
      <c r="J5585" s="31">
        <v>95</v>
      </c>
      <c r="K5585" s="33" t="s">
        <v>172</v>
      </c>
      <c r="L5585" s="31" t="str">
        <f t="shared" si="539"/>
        <v>Sembilan Puluh Lima</v>
      </c>
    </row>
    <row r="5586" spans="1:12">
      <c r="J5586" s="31">
        <v>96</v>
      </c>
      <c r="K5586" s="33" t="s">
        <v>173</v>
      </c>
      <c r="L5586" s="31" t="str">
        <f t="shared" si="539"/>
        <v>Sembilan Puluh Enam</v>
      </c>
    </row>
    <row r="5587" spans="1:12">
      <c r="J5587" s="31">
        <v>97</v>
      </c>
      <c r="K5587" s="33" t="s">
        <v>174</v>
      </c>
      <c r="L5587" s="31" t="str">
        <f t="shared" si="539"/>
        <v>Sembilan Puluh Tujuh</v>
      </c>
    </row>
    <row r="5588" spans="1:12">
      <c r="J5588" s="31">
        <v>98</v>
      </c>
      <c r="K5588" s="33" t="s">
        <v>175</v>
      </c>
      <c r="L5588" s="31" t="str">
        <f t="shared" si="539"/>
        <v>Sembilan Puluh Delapan</v>
      </c>
    </row>
    <row r="5589" spans="1:12">
      <c r="J5589" s="31">
        <v>99</v>
      </c>
      <c r="K5589" s="33" t="s">
        <v>176</v>
      </c>
      <c r="L5589" s="31" t="str">
        <f t="shared" si="539"/>
        <v>Sembilan Puluh Sembilan</v>
      </c>
    </row>
    <row r="5591" spans="1:12">
      <c r="A5591" s="30" t="e">
        <f>#REF!</f>
        <v>#REF!</v>
      </c>
      <c r="C5591" s="31" t="s">
        <v>215</v>
      </c>
    </row>
    <row r="5592" spans="1:12">
      <c r="A5592" s="32"/>
    </row>
    <row r="5593" spans="1:12">
      <c r="J5593" s="31">
        <v>0</v>
      </c>
      <c r="K5593" s="33" t="s">
        <v>48</v>
      </c>
      <c r="L5593" s="31" t="s">
        <v>49</v>
      </c>
    </row>
    <row r="5594" spans="1:12">
      <c r="A5594" s="34"/>
      <c r="J5594" s="31">
        <v>1</v>
      </c>
      <c r="K5594" s="33" t="s">
        <v>50</v>
      </c>
      <c r="L5594" s="31" t="s">
        <v>51</v>
      </c>
    </row>
    <row r="5595" spans="1:12">
      <c r="A5595" s="255" t="e">
        <f>TRIM(D5603&amp;E5603&amp;D5604&amp;E5604&amp;D5605&amp;E5605&amp;D5606&amp;E5606&amp;D5607&amp;E5607&amp;D5608&amp;E5608&amp;E5609&amp;D5609&amp;" Only")</f>
        <v>#REF!</v>
      </c>
      <c r="B5595" s="255"/>
      <c r="C5595" s="255"/>
      <c r="D5595" s="255"/>
      <c r="E5595" s="35"/>
      <c r="F5595" s="36"/>
      <c r="J5595" s="31">
        <v>2</v>
      </c>
      <c r="K5595" s="33" t="s">
        <v>52</v>
      </c>
      <c r="L5595" s="31" t="s">
        <v>53</v>
      </c>
    </row>
    <row r="5596" spans="1:12">
      <c r="A5596" s="37"/>
      <c r="B5596" s="37"/>
      <c r="C5596" s="37"/>
      <c r="D5596" s="37"/>
      <c r="E5596" s="35"/>
      <c r="F5596" s="36"/>
      <c r="J5596" s="31">
        <v>3</v>
      </c>
      <c r="K5596" s="33" t="s">
        <v>54</v>
      </c>
      <c r="L5596" s="31" t="s">
        <v>55</v>
      </c>
    </row>
    <row r="5597" spans="1:12">
      <c r="A5597" s="37"/>
      <c r="B5597" s="37"/>
      <c r="C5597" s="37"/>
      <c r="D5597" s="37"/>
      <c r="J5597" s="31">
        <v>4</v>
      </c>
      <c r="K5597" s="33" t="s">
        <v>56</v>
      </c>
      <c r="L5597" s="31" t="s">
        <v>57</v>
      </c>
    </row>
    <row r="5598" spans="1:12">
      <c r="A5598" s="255" t="e">
        <f>TRIM(D5613&amp;E5613&amp;D5614&amp;E5614&amp;D5615&amp;E5615&amp;D5616&amp;E5616&amp;D5617&amp;E5617&amp;D5618&amp;E5618&amp;D5619&amp;E5619&amp;" Rupiah")</f>
        <v>#REF!</v>
      </c>
      <c r="B5598" s="255"/>
      <c r="C5598" s="255"/>
      <c r="D5598" s="255"/>
      <c r="E5598" s="35"/>
      <c r="F5598" s="36"/>
      <c r="J5598" s="31">
        <v>5</v>
      </c>
      <c r="K5598" s="33" t="s">
        <v>58</v>
      </c>
      <c r="L5598" s="31" t="s">
        <v>59</v>
      </c>
    </row>
    <row r="5599" spans="1:12">
      <c r="A5599" s="35"/>
      <c r="B5599" s="35"/>
      <c r="C5599" s="35"/>
      <c r="D5599" s="35"/>
      <c r="E5599" s="35"/>
      <c r="F5599" s="36"/>
      <c r="J5599" s="31">
        <v>6</v>
      </c>
      <c r="K5599" s="33" t="s">
        <v>60</v>
      </c>
      <c r="L5599" s="31" t="s">
        <v>61</v>
      </c>
    </row>
    <row r="5600" spans="1:12">
      <c r="J5600" s="31">
        <v>7</v>
      </c>
      <c r="K5600" s="33" t="s">
        <v>62</v>
      </c>
      <c r="L5600" s="31" t="s">
        <v>63</v>
      </c>
    </row>
    <row r="5601" spans="1:12">
      <c r="J5601" s="31">
        <v>8</v>
      </c>
      <c r="K5601" s="33" t="s">
        <v>64</v>
      </c>
      <c r="L5601" s="31" t="s">
        <v>65</v>
      </c>
    </row>
    <row r="5602" spans="1:12">
      <c r="A5602" s="38" t="s">
        <v>66</v>
      </c>
      <c r="J5602" s="31">
        <v>9</v>
      </c>
      <c r="K5602" s="33" t="s">
        <v>67</v>
      </c>
      <c r="L5602" s="31" t="s">
        <v>68</v>
      </c>
    </row>
    <row r="5603" spans="1:12">
      <c r="A5603" s="31" t="s">
        <v>69</v>
      </c>
      <c r="B5603" s="39" t="e">
        <f>TRUNC(A5591/100000000)</f>
        <v>#REF!</v>
      </c>
      <c r="C5603" s="31" t="e">
        <f>B5603*100000000</f>
        <v>#REF!</v>
      </c>
      <c r="D5603" s="31" t="e">
        <f t="shared" ref="D5603:D5609" si="540">IF(B5603&lt;1,"",VLOOKUP(B5603,$J$3:$K$102,2))</f>
        <v>#REF!</v>
      </c>
      <c r="E5603" s="31" t="e">
        <f>IF(B5603&lt;1,"",IF(B5603&gt;1," Hundreds "," Hundred "))</f>
        <v>#REF!</v>
      </c>
      <c r="J5603" s="31">
        <v>10</v>
      </c>
      <c r="K5603" s="33" t="s">
        <v>70</v>
      </c>
      <c r="L5603" s="31" t="s">
        <v>71</v>
      </c>
    </row>
    <row r="5604" spans="1:12">
      <c r="A5604" s="31" t="s">
        <v>72</v>
      </c>
      <c r="B5604" s="39" t="e">
        <f>TRUNC((A5591-C5603)/1000000)</f>
        <v>#REF!</v>
      </c>
      <c r="C5604" s="31" t="e">
        <f>B5604*1000000</f>
        <v>#REF!</v>
      </c>
      <c r="D5604" s="31" t="e">
        <f t="shared" si="540"/>
        <v>#REF!</v>
      </c>
      <c r="E5604" s="31" t="e">
        <f>IF(B5603+B5604=0,"",IF(B5604=1," Million "," Millions "))</f>
        <v>#REF!</v>
      </c>
      <c r="J5604" s="31">
        <v>11</v>
      </c>
      <c r="K5604" s="33" t="s">
        <v>73</v>
      </c>
      <c r="L5604" s="31" t="s">
        <v>74</v>
      </c>
    </row>
    <row r="5605" spans="1:12">
      <c r="A5605" s="31" t="s">
        <v>75</v>
      </c>
      <c r="B5605" s="39" t="e">
        <f>TRUNC((A5591-SUM(C5603:C5604))/100000)</f>
        <v>#REF!</v>
      </c>
      <c r="C5605" s="31" t="e">
        <f>B5605*100000</f>
        <v>#REF!</v>
      </c>
      <c r="D5605" s="31" t="e">
        <f t="shared" si="540"/>
        <v>#REF!</v>
      </c>
      <c r="E5605" s="31" t="e">
        <f>IF(B5605&lt;1,"",IF(B5605&gt;1," Hundreds "," Hundred "))</f>
        <v>#REF!</v>
      </c>
      <c r="J5605" s="31">
        <v>12</v>
      </c>
      <c r="K5605" s="33" t="s">
        <v>76</v>
      </c>
      <c r="L5605" s="31" t="str">
        <f t="shared" ref="L5605:L5612" si="541">L5595&amp;" Belas"</f>
        <v>Dua Belas</v>
      </c>
    </row>
    <row r="5606" spans="1:12">
      <c r="A5606" s="33" t="s">
        <v>77</v>
      </c>
      <c r="B5606" s="40" t="e">
        <f>TRUNC((A5591-SUM(C5603:C5605))/1000)</f>
        <v>#REF!</v>
      </c>
      <c r="C5606" s="31" t="e">
        <f>B5606*1000</f>
        <v>#REF!</v>
      </c>
      <c r="D5606" s="31" t="e">
        <f t="shared" si="540"/>
        <v>#REF!</v>
      </c>
      <c r="E5606" s="31" t="e">
        <f>IF(B5605+B5606=0,"",IF(B5606=1," Thousand "," Thousands "))</f>
        <v>#REF!</v>
      </c>
      <c r="J5606" s="31">
        <v>13</v>
      </c>
      <c r="K5606" s="33" t="s">
        <v>78</v>
      </c>
      <c r="L5606" s="31" t="str">
        <f t="shared" si="541"/>
        <v>Tiga Belas</v>
      </c>
    </row>
    <row r="5607" spans="1:12">
      <c r="A5607" s="33" t="s">
        <v>79</v>
      </c>
      <c r="B5607" s="40" t="e">
        <f>TRUNC((A5591-SUM(C5603:C5606))/100)</f>
        <v>#REF!</v>
      </c>
      <c r="C5607" s="31" t="e">
        <f>B5607*100</f>
        <v>#REF!</v>
      </c>
      <c r="D5607" s="31" t="e">
        <f t="shared" si="540"/>
        <v>#REF!</v>
      </c>
      <c r="E5607" s="31" t="e">
        <f>IF(B5607&lt;1,"",IF(B5607&gt;1," Hundreds "," Hundred "))</f>
        <v>#REF!</v>
      </c>
      <c r="J5607" s="31">
        <v>14</v>
      </c>
      <c r="K5607" s="33" t="s">
        <v>80</v>
      </c>
      <c r="L5607" s="31" t="str">
        <f t="shared" si="541"/>
        <v>Empat Belas</v>
      </c>
    </row>
    <row r="5608" spans="1:12">
      <c r="A5608" s="33" t="s">
        <v>81</v>
      </c>
      <c r="B5608" s="41" t="e">
        <f>TRUNC((A5591-SUM(C5603:C5607)))</f>
        <v>#REF!</v>
      </c>
      <c r="C5608" s="42" t="e">
        <f>B5608</f>
        <v>#REF!</v>
      </c>
      <c r="D5608" s="31" t="e">
        <f t="shared" si="540"/>
        <v>#REF!</v>
      </c>
      <c r="E5608" s="31" t="e">
        <f>IF(SUM(C5603:C5608)&lt;1,"",IF(B5609&lt;1,""," And "))</f>
        <v>#REF!</v>
      </c>
      <c r="J5608" s="31">
        <v>15</v>
      </c>
      <c r="K5608" s="33" t="s">
        <v>82</v>
      </c>
      <c r="L5608" s="31" t="str">
        <f t="shared" si="541"/>
        <v>Lima Belas</v>
      </c>
    </row>
    <row r="5609" spans="1:12">
      <c r="A5609" s="33" t="s">
        <v>83</v>
      </c>
      <c r="B5609" s="40" t="e">
        <f>ROUND(A5591-SUM(C5603:C5608),2)*100</f>
        <v>#REF!</v>
      </c>
      <c r="D5609" s="43" t="e">
        <f t="shared" si="540"/>
        <v>#REF!</v>
      </c>
      <c r="E5609" s="31" t="e">
        <f>IF(B5609&lt;1,"",IF(B5609=1," Cent "," Cents "))</f>
        <v>#REF!</v>
      </c>
      <c r="J5609" s="31">
        <v>16</v>
      </c>
      <c r="K5609" s="33" t="s">
        <v>84</v>
      </c>
      <c r="L5609" s="31" t="str">
        <f t="shared" si="541"/>
        <v>Enam Belas</v>
      </c>
    </row>
    <row r="5610" spans="1:12">
      <c r="J5610" s="31">
        <v>17</v>
      </c>
      <c r="K5610" s="33" t="s">
        <v>85</v>
      </c>
      <c r="L5610" s="31" t="str">
        <f t="shared" si="541"/>
        <v>Tujuh Belas</v>
      </c>
    </row>
    <row r="5611" spans="1:12">
      <c r="A5611" s="44"/>
      <c r="J5611" s="31">
        <v>18</v>
      </c>
      <c r="K5611" s="33" t="s">
        <v>86</v>
      </c>
      <c r="L5611" s="31" t="str">
        <f t="shared" si="541"/>
        <v>Delapan Belas</v>
      </c>
    </row>
    <row r="5612" spans="1:12">
      <c r="A5612" s="38" t="s">
        <v>87</v>
      </c>
      <c r="J5612" s="31">
        <v>19</v>
      </c>
      <c r="K5612" s="33" t="s">
        <v>88</v>
      </c>
      <c r="L5612" s="31" t="str">
        <f t="shared" si="541"/>
        <v>Sembilan Belas</v>
      </c>
    </row>
    <row r="5613" spans="1:12">
      <c r="A5613" s="31" t="s">
        <v>69</v>
      </c>
      <c r="B5613" s="39" t="e">
        <f>TRUNC(A5591/100000000)</f>
        <v>#REF!</v>
      </c>
      <c r="C5613" s="31" t="e">
        <f>B5613*100000000</f>
        <v>#REF!</v>
      </c>
      <c r="D5613" s="31" t="e">
        <f>IF(B5613&lt;1,"",IF(B5613=1,"",VLOOKUP(B5613,$J$3:$L$102,3)))</f>
        <v>#REF!</v>
      </c>
      <c r="E5613" s="31" t="e">
        <f>IF(B5613&lt;1,"",IF(B5613=1,"Seratus "," Ratus "))</f>
        <v>#REF!</v>
      </c>
      <c r="J5613" s="31">
        <v>20</v>
      </c>
      <c r="K5613" s="33" t="s">
        <v>89</v>
      </c>
      <c r="L5613" s="31" t="s">
        <v>90</v>
      </c>
    </row>
    <row r="5614" spans="1:12">
      <c r="A5614" s="31" t="s">
        <v>72</v>
      </c>
      <c r="B5614" s="39" t="e">
        <f>TRUNC((A5591-C5613)/1000000)</f>
        <v>#REF!</v>
      </c>
      <c r="C5614" s="31" t="e">
        <f>B5614*1000000</f>
        <v>#REF!</v>
      </c>
      <c r="D5614" s="31" t="e">
        <f>IF(B5614&lt;1,"",VLOOKUP(B5614,$J$3:$L$102,3))</f>
        <v>#REF!</v>
      </c>
      <c r="E5614" s="31" t="e">
        <f>IF(B5613+B5614=0,""," Juta ")</f>
        <v>#REF!</v>
      </c>
      <c r="J5614" s="31">
        <v>21</v>
      </c>
      <c r="K5614" s="33" t="s">
        <v>91</v>
      </c>
      <c r="L5614" s="31" t="str">
        <f t="shared" ref="L5614:L5622" si="542">$L$23&amp;" "&amp;L5594</f>
        <v>Dua Puluh Satu</v>
      </c>
    </row>
    <row r="5615" spans="1:12">
      <c r="A5615" s="31" t="s">
        <v>75</v>
      </c>
      <c r="B5615" s="39" t="e">
        <f>TRUNC((A5591-SUM(C5613:C5614))/100000)</f>
        <v>#REF!</v>
      </c>
      <c r="C5615" s="31" t="e">
        <f>B5615*100000</f>
        <v>#REF!</v>
      </c>
      <c r="D5615" s="31" t="e">
        <f>IF(B5615&lt;1,"",IF(B5615=1,"",VLOOKUP(B5615,$J$3:$L$102,3)))</f>
        <v>#REF!</v>
      </c>
      <c r="E5615" s="31" t="e">
        <f>IF(B5615&lt;1,"",IF(B5615=1," Seratus "," Ratus "))</f>
        <v>#REF!</v>
      </c>
      <c r="J5615" s="31">
        <v>22</v>
      </c>
      <c r="K5615" s="33" t="s">
        <v>92</v>
      </c>
      <c r="L5615" s="31" t="str">
        <f t="shared" si="542"/>
        <v>Dua Puluh Dua</v>
      </c>
    </row>
    <row r="5616" spans="1:12">
      <c r="A5616" s="33" t="s">
        <v>77</v>
      </c>
      <c r="B5616" s="40" t="e">
        <f>TRUNC((A5591-SUM(C5613:C5615))/1000)</f>
        <v>#REF!</v>
      </c>
      <c r="C5616" s="31" t="e">
        <f>B5616*1000</f>
        <v>#REF!</v>
      </c>
      <c r="D5616" s="31" t="e">
        <f>IF(B5616&lt;1,"",IF(B5616=1,"",VLOOKUP(B5616,$J$3:$L$102,3)))</f>
        <v>#REF!</v>
      </c>
      <c r="E5616" s="31" t="e">
        <f>IF(B5615+B5616&lt;1,"",IF(B5616=1," Seribu "," Ribu "))</f>
        <v>#REF!</v>
      </c>
      <c r="J5616" s="31">
        <v>23</v>
      </c>
      <c r="K5616" s="33" t="s">
        <v>93</v>
      </c>
      <c r="L5616" s="31" t="str">
        <f t="shared" si="542"/>
        <v>Dua Puluh Tiga</v>
      </c>
    </row>
    <row r="5617" spans="1:12">
      <c r="A5617" s="33" t="s">
        <v>79</v>
      </c>
      <c r="B5617" s="40" t="e">
        <f>TRUNC((A5591-SUM(C5613:C5616))/100)</f>
        <v>#REF!</v>
      </c>
      <c r="C5617" s="31" t="e">
        <f>B5617*100</f>
        <v>#REF!</v>
      </c>
      <c r="D5617" s="31" t="e">
        <f>IF(B5617&lt;1,"",IF(B5617=1,"",VLOOKUP(B5617,$J$3:$L$102,3)))</f>
        <v>#REF!</v>
      </c>
      <c r="E5617" s="31" t="e">
        <f>IF(B5617&lt;1,"",IF(B5617=1," Seratus "," Ratus "))</f>
        <v>#REF!</v>
      </c>
      <c r="J5617" s="31">
        <v>24</v>
      </c>
      <c r="K5617" s="33" t="s">
        <v>94</v>
      </c>
      <c r="L5617" s="31" t="str">
        <f t="shared" si="542"/>
        <v>Dua Puluh Empat</v>
      </c>
    </row>
    <row r="5618" spans="1:12">
      <c r="A5618" s="33" t="s">
        <v>81</v>
      </c>
      <c r="B5618" s="41" t="e">
        <f>TRUNC((A5591-SUM(C5613:C5617)))</f>
        <v>#REF!</v>
      </c>
      <c r="C5618" s="42" t="e">
        <f>B5618</f>
        <v>#REF!</v>
      </c>
      <c r="D5618" s="31" t="e">
        <f>IF(B5618&lt;1,"",VLOOKUP(B5618,$J$3:$L$102,3))</f>
        <v>#REF!</v>
      </c>
      <c r="E5618" s="31" t="e">
        <f>IF(SUM(C5613:C5618)&lt;1,"",IF(B5619&lt;1,""," Dan "))</f>
        <v>#REF!</v>
      </c>
      <c r="J5618" s="31">
        <v>25</v>
      </c>
      <c r="K5618" s="33" t="s">
        <v>95</v>
      </c>
      <c r="L5618" s="31" t="str">
        <f t="shared" si="542"/>
        <v>Dua Puluh Lima</v>
      </c>
    </row>
    <row r="5619" spans="1:12">
      <c r="A5619" s="33" t="s">
        <v>83</v>
      </c>
      <c r="B5619" s="40" t="e">
        <f>ROUND(A5591-SUM(C5613:C5618),2)*100</f>
        <v>#REF!</v>
      </c>
      <c r="D5619" s="31" t="e">
        <f>IF(B5619&lt;1,"",VLOOKUP(B5619,$J$3:$L$102,3))</f>
        <v>#REF!</v>
      </c>
      <c r="E5619" s="31" t="e">
        <f>IF(B5619&lt;1,""," Sen ")</f>
        <v>#REF!</v>
      </c>
      <c r="J5619" s="31">
        <v>26</v>
      </c>
      <c r="K5619" s="33" t="s">
        <v>96</v>
      </c>
      <c r="L5619" s="31" t="str">
        <f t="shared" si="542"/>
        <v>Dua Puluh Enam</v>
      </c>
    </row>
    <row r="5620" spans="1:12">
      <c r="J5620" s="31">
        <v>27</v>
      </c>
      <c r="K5620" s="33" t="s">
        <v>97</v>
      </c>
      <c r="L5620" s="31" t="str">
        <f t="shared" si="542"/>
        <v>Dua Puluh Tujuh</v>
      </c>
    </row>
    <row r="5621" spans="1:12">
      <c r="J5621" s="31">
        <v>28</v>
      </c>
      <c r="K5621" s="33" t="s">
        <v>98</v>
      </c>
      <c r="L5621" s="31" t="str">
        <f t="shared" si="542"/>
        <v>Dua Puluh Delapan</v>
      </c>
    </row>
    <row r="5622" spans="1:12">
      <c r="J5622" s="31">
        <v>29</v>
      </c>
      <c r="K5622" s="33" t="s">
        <v>99</v>
      </c>
      <c r="L5622" s="31" t="str">
        <f t="shared" si="542"/>
        <v>Dua Puluh Sembilan</v>
      </c>
    </row>
    <row r="5623" spans="1:12">
      <c r="J5623" s="31">
        <v>30</v>
      </c>
      <c r="K5623" s="33" t="s">
        <v>100</v>
      </c>
      <c r="L5623" s="31" t="s">
        <v>101</v>
      </c>
    </row>
    <row r="5624" spans="1:12">
      <c r="J5624" s="31">
        <v>31</v>
      </c>
      <c r="K5624" s="33" t="s">
        <v>102</v>
      </c>
      <c r="L5624" s="31" t="str">
        <f t="shared" ref="L5624:L5632" si="543">$L$33&amp;" "&amp;L5594</f>
        <v>Tiga Puluh Satu</v>
      </c>
    </row>
    <row r="5625" spans="1:12">
      <c r="J5625" s="31">
        <v>32</v>
      </c>
      <c r="K5625" s="33" t="s">
        <v>103</v>
      </c>
      <c r="L5625" s="31" t="str">
        <f t="shared" si="543"/>
        <v>Tiga Puluh Dua</v>
      </c>
    </row>
    <row r="5626" spans="1:12">
      <c r="J5626" s="31">
        <v>33</v>
      </c>
      <c r="K5626" s="33" t="s">
        <v>104</v>
      </c>
      <c r="L5626" s="31" t="str">
        <f t="shared" si="543"/>
        <v>Tiga Puluh Tiga</v>
      </c>
    </row>
    <row r="5627" spans="1:12">
      <c r="J5627" s="31">
        <v>34</v>
      </c>
      <c r="K5627" s="33" t="s">
        <v>105</v>
      </c>
      <c r="L5627" s="31" t="str">
        <f t="shared" si="543"/>
        <v>Tiga Puluh Empat</v>
      </c>
    </row>
    <row r="5628" spans="1:12">
      <c r="J5628" s="31">
        <v>35</v>
      </c>
      <c r="K5628" s="33" t="s">
        <v>106</v>
      </c>
      <c r="L5628" s="31" t="str">
        <f t="shared" si="543"/>
        <v>Tiga Puluh Lima</v>
      </c>
    </row>
    <row r="5629" spans="1:12">
      <c r="J5629" s="31">
        <v>36</v>
      </c>
      <c r="K5629" s="33" t="s">
        <v>107</v>
      </c>
      <c r="L5629" s="31" t="str">
        <f t="shared" si="543"/>
        <v>Tiga Puluh Enam</v>
      </c>
    </row>
    <row r="5630" spans="1:12">
      <c r="J5630" s="31">
        <v>37</v>
      </c>
      <c r="K5630" s="33" t="s">
        <v>108</v>
      </c>
      <c r="L5630" s="31" t="str">
        <f t="shared" si="543"/>
        <v>Tiga Puluh Tujuh</v>
      </c>
    </row>
    <row r="5631" spans="1:12">
      <c r="J5631" s="31">
        <v>38</v>
      </c>
      <c r="K5631" s="33" t="s">
        <v>109</v>
      </c>
      <c r="L5631" s="31" t="str">
        <f t="shared" si="543"/>
        <v>Tiga Puluh Delapan</v>
      </c>
    </row>
    <row r="5632" spans="1:12">
      <c r="J5632" s="31">
        <v>39</v>
      </c>
      <c r="K5632" s="33" t="s">
        <v>110</v>
      </c>
      <c r="L5632" s="31" t="str">
        <f t="shared" si="543"/>
        <v>Tiga Puluh Sembilan</v>
      </c>
    </row>
    <row r="5633" spans="1:12">
      <c r="B5633" s="35"/>
      <c r="C5633" s="35"/>
      <c r="D5633" s="35"/>
      <c r="J5633" s="31">
        <v>40</v>
      </c>
      <c r="K5633" s="33" t="s">
        <v>111</v>
      </c>
      <c r="L5633" s="31" t="s">
        <v>112</v>
      </c>
    </row>
    <row r="5634" spans="1:12">
      <c r="A5634" s="35"/>
      <c r="B5634" s="35"/>
      <c r="C5634" s="35"/>
      <c r="D5634" s="35"/>
      <c r="J5634" s="31">
        <v>41</v>
      </c>
      <c r="K5634" s="33" t="s">
        <v>113</v>
      </c>
      <c r="L5634" s="31" t="str">
        <f t="shared" ref="L5634:L5642" si="544">$L$43&amp;" "&amp;L5594</f>
        <v>Empat Puluh Satu</v>
      </c>
    </row>
    <row r="5635" spans="1:12">
      <c r="J5635" s="31">
        <v>42</v>
      </c>
      <c r="K5635" s="33" t="s">
        <v>114</v>
      </c>
      <c r="L5635" s="31" t="str">
        <f t="shared" si="544"/>
        <v>Empat Puluh Dua</v>
      </c>
    </row>
    <row r="5636" spans="1:12">
      <c r="A5636" s="38"/>
      <c r="J5636" s="31">
        <v>43</v>
      </c>
      <c r="K5636" s="33" t="s">
        <v>115</v>
      </c>
      <c r="L5636" s="31" t="str">
        <f t="shared" si="544"/>
        <v>Empat Puluh Tiga</v>
      </c>
    </row>
    <row r="5637" spans="1:12">
      <c r="J5637" s="31">
        <v>44</v>
      </c>
      <c r="K5637" s="33" t="s">
        <v>116</v>
      </c>
      <c r="L5637" s="31" t="str">
        <f t="shared" si="544"/>
        <v>Empat Puluh Empat</v>
      </c>
    </row>
    <row r="5638" spans="1:12">
      <c r="J5638" s="31">
        <v>45</v>
      </c>
      <c r="K5638" s="33" t="s">
        <v>117</v>
      </c>
      <c r="L5638" s="31" t="str">
        <f t="shared" si="544"/>
        <v>Empat Puluh Lima</v>
      </c>
    </row>
    <row r="5639" spans="1:12">
      <c r="J5639" s="31">
        <v>46</v>
      </c>
      <c r="K5639" s="33" t="s">
        <v>118</v>
      </c>
      <c r="L5639" s="31" t="str">
        <f t="shared" si="544"/>
        <v>Empat Puluh Enam</v>
      </c>
    </row>
    <row r="5640" spans="1:12">
      <c r="J5640" s="31">
        <v>47</v>
      </c>
      <c r="K5640" s="33" t="s">
        <v>119</v>
      </c>
      <c r="L5640" s="31" t="str">
        <f t="shared" si="544"/>
        <v>Empat Puluh Tujuh</v>
      </c>
    </row>
    <row r="5641" spans="1:12">
      <c r="J5641" s="31">
        <v>48</v>
      </c>
      <c r="K5641" s="33" t="s">
        <v>120</v>
      </c>
      <c r="L5641" s="31" t="str">
        <f t="shared" si="544"/>
        <v>Empat Puluh Delapan</v>
      </c>
    </row>
    <row r="5642" spans="1:12">
      <c r="J5642" s="31">
        <v>49</v>
      </c>
      <c r="K5642" s="33" t="s">
        <v>121</v>
      </c>
      <c r="L5642" s="31" t="str">
        <f t="shared" si="544"/>
        <v>Empat Puluh Sembilan</v>
      </c>
    </row>
    <row r="5643" spans="1:12">
      <c r="J5643" s="31">
        <v>50</v>
      </c>
      <c r="K5643" s="33" t="s">
        <v>122</v>
      </c>
      <c r="L5643" s="31" t="s">
        <v>123</v>
      </c>
    </row>
    <row r="5644" spans="1:12">
      <c r="J5644" s="31">
        <v>51</v>
      </c>
      <c r="K5644" s="33" t="s">
        <v>124</v>
      </c>
      <c r="L5644" s="31" t="str">
        <f t="shared" ref="L5644:L5652" si="545">$L$53&amp;" "&amp;L5594</f>
        <v>Lima Puluh Satu</v>
      </c>
    </row>
    <row r="5645" spans="1:12">
      <c r="J5645" s="31">
        <v>52</v>
      </c>
      <c r="K5645" s="33" t="s">
        <v>125</v>
      </c>
      <c r="L5645" s="31" t="str">
        <f t="shared" si="545"/>
        <v>Lima Puluh Dua</v>
      </c>
    </row>
    <row r="5646" spans="1:12">
      <c r="J5646" s="31">
        <v>53</v>
      </c>
      <c r="K5646" s="33" t="s">
        <v>126</v>
      </c>
      <c r="L5646" s="31" t="str">
        <f t="shared" si="545"/>
        <v>Lima Puluh Tiga</v>
      </c>
    </row>
    <row r="5647" spans="1:12">
      <c r="J5647" s="31">
        <v>54</v>
      </c>
      <c r="K5647" s="33" t="s">
        <v>127</v>
      </c>
      <c r="L5647" s="31" t="str">
        <f t="shared" si="545"/>
        <v>Lima Puluh Empat</v>
      </c>
    </row>
    <row r="5648" spans="1:12">
      <c r="J5648" s="31">
        <v>55</v>
      </c>
      <c r="K5648" s="33" t="s">
        <v>128</v>
      </c>
      <c r="L5648" s="31" t="str">
        <f t="shared" si="545"/>
        <v>Lima Puluh Lima</v>
      </c>
    </row>
    <row r="5649" spans="10:12">
      <c r="J5649" s="31">
        <v>56</v>
      </c>
      <c r="K5649" s="33" t="s">
        <v>129</v>
      </c>
      <c r="L5649" s="31" t="str">
        <f t="shared" si="545"/>
        <v>Lima Puluh Enam</v>
      </c>
    </row>
    <row r="5650" spans="10:12">
      <c r="J5650" s="31">
        <v>57</v>
      </c>
      <c r="K5650" s="33" t="s">
        <v>130</v>
      </c>
      <c r="L5650" s="31" t="str">
        <f t="shared" si="545"/>
        <v>Lima Puluh Tujuh</v>
      </c>
    </row>
    <row r="5651" spans="10:12">
      <c r="J5651" s="31">
        <v>58</v>
      </c>
      <c r="K5651" s="33" t="s">
        <v>131</v>
      </c>
      <c r="L5651" s="31" t="str">
        <f t="shared" si="545"/>
        <v>Lima Puluh Delapan</v>
      </c>
    </row>
    <row r="5652" spans="10:12">
      <c r="J5652" s="31">
        <v>59</v>
      </c>
      <c r="K5652" s="33" t="s">
        <v>132</v>
      </c>
      <c r="L5652" s="31" t="str">
        <f t="shared" si="545"/>
        <v>Lima Puluh Sembilan</v>
      </c>
    </row>
    <row r="5653" spans="10:12">
      <c r="J5653" s="31">
        <v>60</v>
      </c>
      <c r="K5653" s="33" t="s">
        <v>133</v>
      </c>
      <c r="L5653" s="31" t="s">
        <v>134</v>
      </c>
    </row>
    <row r="5654" spans="10:12">
      <c r="J5654" s="31">
        <v>61</v>
      </c>
      <c r="K5654" s="33" t="s">
        <v>135</v>
      </c>
      <c r="L5654" s="31" t="str">
        <f t="shared" ref="L5654:L5662" si="546">$L$63&amp;" "&amp;L5594</f>
        <v>Enam Puluh Satu</v>
      </c>
    </row>
    <row r="5655" spans="10:12">
      <c r="J5655" s="31">
        <v>62</v>
      </c>
      <c r="K5655" s="33" t="s">
        <v>136</v>
      </c>
      <c r="L5655" s="31" t="str">
        <f t="shared" si="546"/>
        <v>Enam Puluh Dua</v>
      </c>
    </row>
    <row r="5656" spans="10:12">
      <c r="J5656" s="31">
        <v>63</v>
      </c>
      <c r="K5656" s="33" t="s">
        <v>137</v>
      </c>
      <c r="L5656" s="31" t="str">
        <f t="shared" si="546"/>
        <v>Enam Puluh Tiga</v>
      </c>
    </row>
    <row r="5657" spans="10:12">
      <c r="J5657" s="31">
        <v>64</v>
      </c>
      <c r="K5657" s="33" t="s">
        <v>138</v>
      </c>
      <c r="L5657" s="31" t="str">
        <f t="shared" si="546"/>
        <v>Enam Puluh Empat</v>
      </c>
    </row>
    <row r="5658" spans="10:12">
      <c r="J5658" s="31">
        <v>65</v>
      </c>
      <c r="K5658" s="33" t="s">
        <v>139</v>
      </c>
      <c r="L5658" s="31" t="str">
        <f t="shared" si="546"/>
        <v>Enam Puluh Lima</v>
      </c>
    </row>
    <row r="5659" spans="10:12">
      <c r="J5659" s="31">
        <v>66</v>
      </c>
      <c r="K5659" s="33" t="s">
        <v>140</v>
      </c>
      <c r="L5659" s="31" t="str">
        <f t="shared" si="546"/>
        <v>Enam Puluh Enam</v>
      </c>
    </row>
    <row r="5660" spans="10:12">
      <c r="J5660" s="31">
        <v>67</v>
      </c>
      <c r="K5660" s="33" t="s">
        <v>141</v>
      </c>
      <c r="L5660" s="31" t="str">
        <f t="shared" si="546"/>
        <v>Enam Puluh Tujuh</v>
      </c>
    </row>
    <row r="5661" spans="10:12">
      <c r="J5661" s="31">
        <v>68</v>
      </c>
      <c r="K5661" s="33" t="s">
        <v>142</v>
      </c>
      <c r="L5661" s="31" t="str">
        <f t="shared" si="546"/>
        <v>Enam Puluh Delapan</v>
      </c>
    </row>
    <row r="5662" spans="10:12">
      <c r="J5662" s="31">
        <v>69</v>
      </c>
      <c r="K5662" s="33" t="s">
        <v>143</v>
      </c>
      <c r="L5662" s="31" t="str">
        <f t="shared" si="546"/>
        <v>Enam Puluh Sembilan</v>
      </c>
    </row>
    <row r="5663" spans="10:12">
      <c r="J5663" s="31">
        <v>70</v>
      </c>
      <c r="K5663" s="33" t="s">
        <v>144</v>
      </c>
      <c r="L5663" s="31" t="s">
        <v>145</v>
      </c>
    </row>
    <row r="5664" spans="10:12">
      <c r="J5664" s="31">
        <v>71</v>
      </c>
      <c r="K5664" s="33" t="s">
        <v>146</v>
      </c>
      <c r="L5664" s="31" t="str">
        <f t="shared" ref="L5664:L5672" si="547">$L$73&amp;" "&amp;L5594</f>
        <v>Tujuh Puluh Satu</v>
      </c>
    </row>
    <row r="5665" spans="10:12">
      <c r="J5665" s="31">
        <v>72</v>
      </c>
      <c r="K5665" s="33" t="s">
        <v>147</v>
      </c>
      <c r="L5665" s="31" t="str">
        <f t="shared" si="547"/>
        <v>Tujuh Puluh Dua</v>
      </c>
    </row>
    <row r="5666" spans="10:12">
      <c r="J5666" s="31">
        <v>73</v>
      </c>
      <c r="K5666" s="33" t="s">
        <v>148</v>
      </c>
      <c r="L5666" s="31" t="str">
        <f t="shared" si="547"/>
        <v>Tujuh Puluh Tiga</v>
      </c>
    </row>
    <row r="5667" spans="10:12">
      <c r="J5667" s="31">
        <v>74</v>
      </c>
      <c r="K5667" s="33" t="s">
        <v>149</v>
      </c>
      <c r="L5667" s="31" t="str">
        <f t="shared" si="547"/>
        <v>Tujuh Puluh Empat</v>
      </c>
    </row>
    <row r="5668" spans="10:12">
      <c r="J5668" s="31">
        <v>75</v>
      </c>
      <c r="K5668" s="33" t="s">
        <v>150</v>
      </c>
      <c r="L5668" s="31" t="str">
        <f t="shared" si="547"/>
        <v>Tujuh Puluh Lima</v>
      </c>
    </row>
    <row r="5669" spans="10:12">
      <c r="J5669" s="31">
        <v>76</v>
      </c>
      <c r="K5669" s="33" t="s">
        <v>151</v>
      </c>
      <c r="L5669" s="31" t="str">
        <f t="shared" si="547"/>
        <v>Tujuh Puluh Enam</v>
      </c>
    </row>
    <row r="5670" spans="10:12">
      <c r="J5670" s="31">
        <v>77</v>
      </c>
      <c r="K5670" s="33" t="s">
        <v>152</v>
      </c>
      <c r="L5670" s="31" t="str">
        <f t="shared" si="547"/>
        <v>Tujuh Puluh Tujuh</v>
      </c>
    </row>
    <row r="5671" spans="10:12">
      <c r="J5671" s="31">
        <v>78</v>
      </c>
      <c r="K5671" s="33" t="s">
        <v>153</v>
      </c>
      <c r="L5671" s="31" t="str">
        <f t="shared" si="547"/>
        <v>Tujuh Puluh Delapan</v>
      </c>
    </row>
    <row r="5672" spans="10:12">
      <c r="J5672" s="31">
        <v>79</v>
      </c>
      <c r="K5672" s="33" t="s">
        <v>154</v>
      </c>
      <c r="L5672" s="31" t="str">
        <f t="shared" si="547"/>
        <v>Tujuh Puluh Sembilan</v>
      </c>
    </row>
    <row r="5673" spans="10:12">
      <c r="J5673" s="31">
        <v>80</v>
      </c>
      <c r="K5673" s="33" t="s">
        <v>155</v>
      </c>
      <c r="L5673" s="31" t="s">
        <v>156</v>
      </c>
    </row>
    <row r="5674" spans="10:12">
      <c r="J5674" s="31">
        <v>81</v>
      </c>
      <c r="K5674" s="33" t="s">
        <v>157</v>
      </c>
      <c r="L5674" s="31" t="str">
        <f t="shared" ref="L5674:L5682" si="548">$L$83&amp;" "&amp;L5594</f>
        <v>Delapan Puluh Satu</v>
      </c>
    </row>
    <row r="5675" spans="10:12">
      <c r="J5675" s="31">
        <v>82</v>
      </c>
      <c r="K5675" s="33" t="s">
        <v>158</v>
      </c>
      <c r="L5675" s="31" t="str">
        <f t="shared" si="548"/>
        <v>Delapan Puluh Dua</v>
      </c>
    </row>
    <row r="5676" spans="10:12">
      <c r="J5676" s="31">
        <v>83</v>
      </c>
      <c r="K5676" s="33" t="s">
        <v>159</v>
      </c>
      <c r="L5676" s="31" t="str">
        <f t="shared" si="548"/>
        <v>Delapan Puluh Tiga</v>
      </c>
    </row>
    <row r="5677" spans="10:12">
      <c r="J5677" s="31">
        <v>84</v>
      </c>
      <c r="K5677" s="33" t="s">
        <v>160</v>
      </c>
      <c r="L5677" s="31" t="str">
        <f t="shared" si="548"/>
        <v>Delapan Puluh Empat</v>
      </c>
    </row>
    <row r="5678" spans="10:12">
      <c r="J5678" s="31">
        <v>85</v>
      </c>
      <c r="K5678" s="33" t="s">
        <v>161</v>
      </c>
      <c r="L5678" s="31" t="str">
        <f t="shared" si="548"/>
        <v>Delapan Puluh Lima</v>
      </c>
    </row>
    <row r="5679" spans="10:12">
      <c r="J5679" s="31">
        <v>86</v>
      </c>
      <c r="K5679" s="33" t="s">
        <v>162</v>
      </c>
      <c r="L5679" s="31" t="str">
        <f t="shared" si="548"/>
        <v>Delapan Puluh Enam</v>
      </c>
    </row>
    <row r="5680" spans="10:12">
      <c r="J5680" s="31">
        <v>87</v>
      </c>
      <c r="K5680" s="33" t="s">
        <v>163</v>
      </c>
      <c r="L5680" s="31" t="str">
        <f t="shared" si="548"/>
        <v>Delapan Puluh Tujuh</v>
      </c>
    </row>
    <row r="5681" spans="1:12">
      <c r="J5681" s="31">
        <v>88</v>
      </c>
      <c r="K5681" s="33" t="s">
        <v>164</v>
      </c>
      <c r="L5681" s="31" t="str">
        <f t="shared" si="548"/>
        <v>Delapan Puluh Delapan</v>
      </c>
    </row>
    <row r="5682" spans="1:12">
      <c r="J5682" s="31">
        <v>89</v>
      </c>
      <c r="K5682" s="33" t="s">
        <v>165</v>
      </c>
      <c r="L5682" s="31" t="str">
        <f t="shared" si="548"/>
        <v>Delapan Puluh Sembilan</v>
      </c>
    </row>
    <row r="5683" spans="1:12">
      <c r="J5683" s="31">
        <v>90</v>
      </c>
      <c r="K5683" s="33" t="s">
        <v>166</v>
      </c>
      <c r="L5683" s="31" t="s">
        <v>167</v>
      </c>
    </row>
    <row r="5684" spans="1:12">
      <c r="J5684" s="31">
        <v>91</v>
      </c>
      <c r="K5684" s="33" t="s">
        <v>168</v>
      </c>
      <c r="L5684" s="31" t="str">
        <f t="shared" ref="L5684:L5692" si="549">$L$93&amp;" "&amp;L5594</f>
        <v>Sembilan Puluh Satu</v>
      </c>
    </row>
    <row r="5685" spans="1:12">
      <c r="J5685" s="31">
        <v>92</v>
      </c>
      <c r="K5685" s="33" t="s">
        <v>169</v>
      </c>
      <c r="L5685" s="31" t="str">
        <f t="shared" si="549"/>
        <v>Sembilan Puluh Dua</v>
      </c>
    </row>
    <row r="5686" spans="1:12">
      <c r="J5686" s="31">
        <v>93</v>
      </c>
      <c r="K5686" s="33" t="s">
        <v>170</v>
      </c>
      <c r="L5686" s="31" t="str">
        <f t="shared" si="549"/>
        <v>Sembilan Puluh Tiga</v>
      </c>
    </row>
    <row r="5687" spans="1:12">
      <c r="J5687" s="31">
        <v>94</v>
      </c>
      <c r="K5687" s="33" t="s">
        <v>171</v>
      </c>
      <c r="L5687" s="31" t="str">
        <f t="shared" si="549"/>
        <v>Sembilan Puluh Empat</v>
      </c>
    </row>
    <row r="5688" spans="1:12">
      <c r="J5688" s="31">
        <v>95</v>
      </c>
      <c r="K5688" s="33" t="s">
        <v>172</v>
      </c>
      <c r="L5688" s="31" t="str">
        <f t="shared" si="549"/>
        <v>Sembilan Puluh Lima</v>
      </c>
    </row>
    <row r="5689" spans="1:12">
      <c r="J5689" s="31">
        <v>96</v>
      </c>
      <c r="K5689" s="33" t="s">
        <v>173</v>
      </c>
      <c r="L5689" s="31" t="str">
        <f t="shared" si="549"/>
        <v>Sembilan Puluh Enam</v>
      </c>
    </row>
    <row r="5690" spans="1:12">
      <c r="J5690" s="31">
        <v>97</v>
      </c>
      <c r="K5690" s="33" t="s">
        <v>174</v>
      </c>
      <c r="L5690" s="31" t="str">
        <f t="shared" si="549"/>
        <v>Sembilan Puluh Tujuh</v>
      </c>
    </row>
    <row r="5691" spans="1:12">
      <c r="J5691" s="31">
        <v>98</v>
      </c>
      <c r="K5691" s="33" t="s">
        <v>175</v>
      </c>
      <c r="L5691" s="31" t="str">
        <f t="shared" si="549"/>
        <v>Sembilan Puluh Delapan</v>
      </c>
    </row>
    <row r="5692" spans="1:12">
      <c r="J5692" s="31">
        <v>99</v>
      </c>
      <c r="K5692" s="33" t="s">
        <v>176</v>
      </c>
      <c r="L5692" s="31" t="str">
        <f t="shared" si="549"/>
        <v>Sembilan Puluh Sembilan</v>
      </c>
    </row>
    <row r="5694" spans="1:12">
      <c r="A5694" s="30" t="e">
        <f>#REF!</f>
        <v>#REF!</v>
      </c>
      <c r="C5694" s="31" t="s">
        <v>248</v>
      </c>
    </row>
    <row r="5695" spans="1:12">
      <c r="A5695" s="32"/>
    </row>
    <row r="5696" spans="1:12">
      <c r="J5696" s="31">
        <v>0</v>
      </c>
      <c r="K5696" s="33" t="s">
        <v>48</v>
      </c>
      <c r="L5696" s="31" t="s">
        <v>49</v>
      </c>
    </row>
    <row r="5697" spans="1:12">
      <c r="A5697" s="34"/>
      <c r="J5697" s="31">
        <v>1</v>
      </c>
      <c r="K5697" s="33" t="s">
        <v>50</v>
      </c>
      <c r="L5697" s="31" t="s">
        <v>51</v>
      </c>
    </row>
    <row r="5698" spans="1:12">
      <c r="A5698" s="255" t="e">
        <f>TRIM(D5706&amp;E5706&amp;D5707&amp;E5707&amp;D5708&amp;E5708&amp;D5709&amp;E5709&amp;D5710&amp;E5710&amp;D5711&amp;E5711&amp;E5712&amp;D5712&amp;" Only")</f>
        <v>#REF!</v>
      </c>
      <c r="B5698" s="255"/>
      <c r="C5698" s="255"/>
      <c r="D5698" s="255"/>
      <c r="E5698" s="35"/>
      <c r="F5698" s="36"/>
      <c r="J5698" s="31">
        <v>2</v>
      </c>
      <c r="K5698" s="33" t="s">
        <v>52</v>
      </c>
      <c r="L5698" s="31" t="s">
        <v>53</v>
      </c>
    </row>
    <row r="5699" spans="1:12">
      <c r="A5699" s="37"/>
      <c r="B5699" s="37"/>
      <c r="C5699" s="37"/>
      <c r="D5699" s="37"/>
      <c r="E5699" s="35"/>
      <c r="F5699" s="36"/>
      <c r="J5699" s="31">
        <v>3</v>
      </c>
      <c r="K5699" s="33" t="s">
        <v>54</v>
      </c>
      <c r="L5699" s="31" t="s">
        <v>55</v>
      </c>
    </row>
    <row r="5700" spans="1:12">
      <c r="A5700" s="37"/>
      <c r="B5700" s="37"/>
      <c r="C5700" s="37"/>
      <c r="D5700" s="37"/>
      <c r="J5700" s="31">
        <v>4</v>
      </c>
      <c r="K5700" s="33" t="s">
        <v>56</v>
      </c>
      <c r="L5700" s="31" t="s">
        <v>57</v>
      </c>
    </row>
    <row r="5701" spans="1:12">
      <c r="A5701" s="255" t="e">
        <f>TRIM(D5716&amp;E5716&amp;D5717&amp;E5717&amp;D5718&amp;E5718&amp;D5719&amp;E5719&amp;D5720&amp;E5720&amp;D5721&amp;E5721&amp;D5722&amp;E5722&amp;" Rupiah")</f>
        <v>#REF!</v>
      </c>
      <c r="B5701" s="255"/>
      <c r="C5701" s="255"/>
      <c r="D5701" s="255"/>
      <c r="E5701" s="35"/>
      <c r="F5701" s="36"/>
      <c r="J5701" s="31">
        <v>5</v>
      </c>
      <c r="K5701" s="33" t="s">
        <v>58</v>
      </c>
      <c r="L5701" s="31" t="s">
        <v>59</v>
      </c>
    </row>
    <row r="5702" spans="1:12">
      <c r="A5702" s="35"/>
      <c r="B5702" s="35"/>
      <c r="C5702" s="35"/>
      <c r="D5702" s="35"/>
      <c r="E5702" s="35"/>
      <c r="F5702" s="36"/>
      <c r="J5702" s="31">
        <v>6</v>
      </c>
      <c r="K5702" s="33" t="s">
        <v>60</v>
      </c>
      <c r="L5702" s="31" t="s">
        <v>61</v>
      </c>
    </row>
    <row r="5703" spans="1:12">
      <c r="J5703" s="31">
        <v>7</v>
      </c>
      <c r="K5703" s="33" t="s">
        <v>62</v>
      </c>
      <c r="L5703" s="31" t="s">
        <v>63</v>
      </c>
    </row>
    <row r="5704" spans="1:12">
      <c r="J5704" s="31">
        <v>8</v>
      </c>
      <c r="K5704" s="33" t="s">
        <v>64</v>
      </c>
      <c r="L5704" s="31" t="s">
        <v>65</v>
      </c>
    </row>
    <row r="5705" spans="1:12">
      <c r="A5705" s="38" t="s">
        <v>66</v>
      </c>
      <c r="J5705" s="31">
        <v>9</v>
      </c>
      <c r="K5705" s="33" t="s">
        <v>67</v>
      </c>
      <c r="L5705" s="31" t="s">
        <v>68</v>
      </c>
    </row>
    <row r="5706" spans="1:12">
      <c r="A5706" s="31" t="s">
        <v>69</v>
      </c>
      <c r="B5706" s="39" t="e">
        <f>TRUNC(A5694/100000000)</f>
        <v>#REF!</v>
      </c>
      <c r="C5706" s="31" t="e">
        <f>B5706*100000000</f>
        <v>#REF!</v>
      </c>
      <c r="D5706" s="31" t="e">
        <f t="shared" ref="D5706:D5712" si="550">IF(B5706&lt;1,"",VLOOKUP(B5706,$J$3:$K$102,2))</f>
        <v>#REF!</v>
      </c>
      <c r="E5706" s="31" t="e">
        <f>IF(B5706&lt;1,"",IF(B5706&gt;1," Hundreds "," Hundred "))</f>
        <v>#REF!</v>
      </c>
      <c r="J5706" s="31">
        <v>10</v>
      </c>
      <c r="K5706" s="33" t="s">
        <v>70</v>
      </c>
      <c r="L5706" s="31" t="s">
        <v>71</v>
      </c>
    </row>
    <row r="5707" spans="1:12">
      <c r="A5707" s="31" t="s">
        <v>72</v>
      </c>
      <c r="B5707" s="39" t="e">
        <f>TRUNC((A5694-C5706)/1000000)</f>
        <v>#REF!</v>
      </c>
      <c r="C5707" s="31" t="e">
        <f>B5707*1000000</f>
        <v>#REF!</v>
      </c>
      <c r="D5707" s="31" t="e">
        <f t="shared" si="550"/>
        <v>#REF!</v>
      </c>
      <c r="E5707" s="31" t="e">
        <f>IF(B5706+B5707=0,"",IF(B5707=1," Million "," Millions "))</f>
        <v>#REF!</v>
      </c>
      <c r="J5707" s="31">
        <v>11</v>
      </c>
      <c r="K5707" s="33" t="s">
        <v>73</v>
      </c>
      <c r="L5707" s="31" t="s">
        <v>74</v>
      </c>
    </row>
    <row r="5708" spans="1:12">
      <c r="A5708" s="31" t="s">
        <v>75</v>
      </c>
      <c r="B5708" s="39" t="e">
        <f>TRUNC((A5694-SUM(C5706:C5707))/100000)</f>
        <v>#REF!</v>
      </c>
      <c r="C5708" s="31" t="e">
        <f>B5708*100000</f>
        <v>#REF!</v>
      </c>
      <c r="D5708" s="31" t="e">
        <f t="shared" si="550"/>
        <v>#REF!</v>
      </c>
      <c r="E5708" s="31" t="e">
        <f>IF(B5708&lt;1,"",IF(B5708&gt;1," Hundreds "," Hundred "))</f>
        <v>#REF!</v>
      </c>
      <c r="J5708" s="31">
        <v>12</v>
      </c>
      <c r="K5708" s="33" t="s">
        <v>76</v>
      </c>
      <c r="L5708" s="31" t="str">
        <f t="shared" ref="L5708:L5715" si="551">L5698&amp;" Belas"</f>
        <v>Dua Belas</v>
      </c>
    </row>
    <row r="5709" spans="1:12">
      <c r="A5709" s="33" t="s">
        <v>77</v>
      </c>
      <c r="B5709" s="40" t="e">
        <f>TRUNC((A5694-SUM(C5706:C5708))/1000)</f>
        <v>#REF!</v>
      </c>
      <c r="C5709" s="31" t="e">
        <f>B5709*1000</f>
        <v>#REF!</v>
      </c>
      <c r="D5709" s="31" t="e">
        <f t="shared" si="550"/>
        <v>#REF!</v>
      </c>
      <c r="E5709" s="31" t="e">
        <f>IF(B5708+B5709=0,"",IF(B5709=1," Thousand "," Thousands "))</f>
        <v>#REF!</v>
      </c>
      <c r="J5709" s="31">
        <v>13</v>
      </c>
      <c r="K5709" s="33" t="s">
        <v>78</v>
      </c>
      <c r="L5709" s="31" t="str">
        <f t="shared" si="551"/>
        <v>Tiga Belas</v>
      </c>
    </row>
    <row r="5710" spans="1:12">
      <c r="A5710" s="33" t="s">
        <v>79</v>
      </c>
      <c r="B5710" s="40" t="e">
        <f>TRUNC((A5694-SUM(C5706:C5709))/100)</f>
        <v>#REF!</v>
      </c>
      <c r="C5710" s="31" t="e">
        <f>B5710*100</f>
        <v>#REF!</v>
      </c>
      <c r="D5710" s="31" t="e">
        <f t="shared" si="550"/>
        <v>#REF!</v>
      </c>
      <c r="E5710" s="31" t="e">
        <f>IF(B5710&lt;1,"",IF(B5710&gt;1," Hundreds "," Hundred "))</f>
        <v>#REF!</v>
      </c>
      <c r="J5710" s="31">
        <v>14</v>
      </c>
      <c r="K5710" s="33" t="s">
        <v>80</v>
      </c>
      <c r="L5710" s="31" t="str">
        <f t="shared" si="551"/>
        <v>Empat Belas</v>
      </c>
    </row>
    <row r="5711" spans="1:12">
      <c r="A5711" s="33" t="s">
        <v>81</v>
      </c>
      <c r="B5711" s="41" t="e">
        <f>TRUNC((A5694-SUM(C5706:C5710)))</f>
        <v>#REF!</v>
      </c>
      <c r="C5711" s="42" t="e">
        <f>B5711</f>
        <v>#REF!</v>
      </c>
      <c r="D5711" s="31" t="e">
        <f t="shared" si="550"/>
        <v>#REF!</v>
      </c>
      <c r="E5711" s="31" t="e">
        <f>IF(SUM(C5706:C5711)&lt;1,"",IF(B5712&lt;1,""," And "))</f>
        <v>#REF!</v>
      </c>
      <c r="J5711" s="31">
        <v>15</v>
      </c>
      <c r="K5711" s="33" t="s">
        <v>82</v>
      </c>
      <c r="L5711" s="31" t="str">
        <f t="shared" si="551"/>
        <v>Lima Belas</v>
      </c>
    </row>
    <row r="5712" spans="1:12">
      <c r="A5712" s="33" t="s">
        <v>83</v>
      </c>
      <c r="B5712" s="40" t="e">
        <f>ROUND(A5694-SUM(C5706:C5711),2)*100</f>
        <v>#REF!</v>
      </c>
      <c r="D5712" s="43" t="e">
        <f t="shared" si="550"/>
        <v>#REF!</v>
      </c>
      <c r="E5712" s="31" t="e">
        <f>IF(B5712&lt;1,"",IF(B5712=1," Cent "," Cents "))</f>
        <v>#REF!</v>
      </c>
      <c r="J5712" s="31">
        <v>16</v>
      </c>
      <c r="K5712" s="33" t="s">
        <v>84</v>
      </c>
      <c r="L5712" s="31" t="str">
        <f t="shared" si="551"/>
        <v>Enam Belas</v>
      </c>
    </row>
    <row r="5713" spans="1:12">
      <c r="J5713" s="31">
        <v>17</v>
      </c>
      <c r="K5713" s="33" t="s">
        <v>85</v>
      </c>
      <c r="L5713" s="31" t="str">
        <f t="shared" si="551"/>
        <v>Tujuh Belas</v>
      </c>
    </row>
    <row r="5714" spans="1:12">
      <c r="A5714" s="44"/>
      <c r="J5714" s="31">
        <v>18</v>
      </c>
      <c r="K5714" s="33" t="s">
        <v>86</v>
      </c>
      <c r="L5714" s="31" t="str">
        <f t="shared" si="551"/>
        <v>Delapan Belas</v>
      </c>
    </row>
    <row r="5715" spans="1:12">
      <c r="A5715" s="38" t="s">
        <v>87</v>
      </c>
      <c r="J5715" s="31">
        <v>19</v>
      </c>
      <c r="K5715" s="33" t="s">
        <v>88</v>
      </c>
      <c r="L5715" s="31" t="str">
        <f t="shared" si="551"/>
        <v>Sembilan Belas</v>
      </c>
    </row>
    <row r="5716" spans="1:12">
      <c r="A5716" s="31" t="s">
        <v>69</v>
      </c>
      <c r="B5716" s="39" t="e">
        <f>TRUNC(A5694/100000000)</f>
        <v>#REF!</v>
      </c>
      <c r="C5716" s="31" t="e">
        <f>B5716*100000000</f>
        <v>#REF!</v>
      </c>
      <c r="D5716" s="31" t="e">
        <f>IF(B5716&lt;1,"",IF(B5716=1,"",VLOOKUP(B5716,$J$3:$L$102,3)))</f>
        <v>#REF!</v>
      </c>
      <c r="E5716" s="31" t="e">
        <f>IF(B5716&lt;1,"",IF(B5716=1,"Seratus "," Ratus "))</f>
        <v>#REF!</v>
      </c>
      <c r="J5716" s="31">
        <v>20</v>
      </c>
      <c r="K5716" s="33" t="s">
        <v>89</v>
      </c>
      <c r="L5716" s="31" t="s">
        <v>90</v>
      </c>
    </row>
    <row r="5717" spans="1:12">
      <c r="A5717" s="31" t="s">
        <v>72</v>
      </c>
      <c r="B5717" s="39" t="e">
        <f>TRUNC((A5694-C5716)/1000000)</f>
        <v>#REF!</v>
      </c>
      <c r="C5717" s="31" t="e">
        <f>B5717*1000000</f>
        <v>#REF!</v>
      </c>
      <c r="D5717" s="31" t="e">
        <f>IF(B5717&lt;1,"",VLOOKUP(B5717,$J$3:$L$102,3))</f>
        <v>#REF!</v>
      </c>
      <c r="E5717" s="31" t="e">
        <f>IF(B5716+B5717=0,""," Juta ")</f>
        <v>#REF!</v>
      </c>
      <c r="J5717" s="31">
        <v>21</v>
      </c>
      <c r="K5717" s="33" t="s">
        <v>91</v>
      </c>
      <c r="L5717" s="31" t="str">
        <f t="shared" ref="L5717:L5725" si="552">$L$23&amp;" "&amp;L5697</f>
        <v>Dua Puluh Satu</v>
      </c>
    </row>
    <row r="5718" spans="1:12">
      <c r="A5718" s="31" t="s">
        <v>75</v>
      </c>
      <c r="B5718" s="39" t="e">
        <f>TRUNC((A5694-SUM(C5716:C5717))/100000)</f>
        <v>#REF!</v>
      </c>
      <c r="C5718" s="31" t="e">
        <f>B5718*100000</f>
        <v>#REF!</v>
      </c>
      <c r="D5718" s="31" t="e">
        <f>IF(B5718&lt;1,"",IF(B5718=1,"",VLOOKUP(B5718,$J$3:$L$102,3)))</f>
        <v>#REF!</v>
      </c>
      <c r="E5718" s="31" t="e">
        <f>IF(B5718&lt;1,"",IF(B5718=1," Seratus "," Ratus "))</f>
        <v>#REF!</v>
      </c>
      <c r="J5718" s="31">
        <v>22</v>
      </c>
      <c r="K5718" s="33" t="s">
        <v>92</v>
      </c>
      <c r="L5718" s="31" t="str">
        <f t="shared" si="552"/>
        <v>Dua Puluh Dua</v>
      </c>
    </row>
    <row r="5719" spans="1:12">
      <c r="A5719" s="33" t="s">
        <v>77</v>
      </c>
      <c r="B5719" s="40" t="e">
        <f>TRUNC((A5694-SUM(C5716:C5718))/1000)</f>
        <v>#REF!</v>
      </c>
      <c r="C5719" s="31" t="e">
        <f>B5719*1000</f>
        <v>#REF!</v>
      </c>
      <c r="D5719" s="31" t="e">
        <f>IF(B5719&lt;1,"",IF(B5719=1,"",VLOOKUP(B5719,$J$3:$L$102,3)))</f>
        <v>#REF!</v>
      </c>
      <c r="E5719" s="31" t="e">
        <f>IF(B5718+B5719&lt;1,"",IF(B5719=1," Seribu "," Ribu "))</f>
        <v>#REF!</v>
      </c>
      <c r="J5719" s="31">
        <v>23</v>
      </c>
      <c r="K5719" s="33" t="s">
        <v>93</v>
      </c>
      <c r="L5719" s="31" t="str">
        <f t="shared" si="552"/>
        <v>Dua Puluh Tiga</v>
      </c>
    </row>
    <row r="5720" spans="1:12">
      <c r="A5720" s="33" t="s">
        <v>79</v>
      </c>
      <c r="B5720" s="40" t="e">
        <f>TRUNC((A5694-SUM(C5716:C5719))/100)</f>
        <v>#REF!</v>
      </c>
      <c r="C5720" s="31" t="e">
        <f>B5720*100</f>
        <v>#REF!</v>
      </c>
      <c r="D5720" s="31" t="e">
        <f>IF(B5720&lt;1,"",IF(B5720=1,"",VLOOKUP(B5720,$J$3:$L$102,3)))</f>
        <v>#REF!</v>
      </c>
      <c r="E5720" s="31" t="e">
        <f>IF(B5720&lt;1,"",IF(B5720=1," Seratus "," Ratus "))</f>
        <v>#REF!</v>
      </c>
      <c r="J5720" s="31">
        <v>24</v>
      </c>
      <c r="K5720" s="33" t="s">
        <v>94</v>
      </c>
      <c r="L5720" s="31" t="str">
        <f t="shared" si="552"/>
        <v>Dua Puluh Empat</v>
      </c>
    </row>
    <row r="5721" spans="1:12">
      <c r="A5721" s="33" t="s">
        <v>81</v>
      </c>
      <c r="B5721" s="41" t="e">
        <f>TRUNC((A5694-SUM(C5716:C5720)))</f>
        <v>#REF!</v>
      </c>
      <c r="C5721" s="42" t="e">
        <f>B5721</f>
        <v>#REF!</v>
      </c>
      <c r="D5721" s="31" t="e">
        <f>IF(B5721&lt;1,"",VLOOKUP(B5721,$J$3:$L$102,3))</f>
        <v>#REF!</v>
      </c>
      <c r="E5721" s="31" t="e">
        <f>IF(SUM(C5716:C5721)&lt;1,"",IF(B5722&lt;1,""," Dan "))</f>
        <v>#REF!</v>
      </c>
      <c r="J5721" s="31">
        <v>25</v>
      </c>
      <c r="K5721" s="33" t="s">
        <v>95</v>
      </c>
      <c r="L5721" s="31" t="str">
        <f t="shared" si="552"/>
        <v>Dua Puluh Lima</v>
      </c>
    </row>
    <row r="5722" spans="1:12">
      <c r="A5722" s="33" t="s">
        <v>83</v>
      </c>
      <c r="B5722" s="40" t="e">
        <f>ROUND(A5694-SUM(C5716:C5721),2)*100</f>
        <v>#REF!</v>
      </c>
      <c r="D5722" s="31" t="e">
        <f>IF(B5722&lt;1,"",VLOOKUP(B5722,$J$3:$L$102,3))</f>
        <v>#REF!</v>
      </c>
      <c r="E5722" s="31" t="e">
        <f>IF(B5722&lt;1,""," Sen ")</f>
        <v>#REF!</v>
      </c>
      <c r="J5722" s="31">
        <v>26</v>
      </c>
      <c r="K5722" s="33" t="s">
        <v>96</v>
      </c>
      <c r="L5722" s="31" t="str">
        <f t="shared" si="552"/>
        <v>Dua Puluh Enam</v>
      </c>
    </row>
    <row r="5723" spans="1:12">
      <c r="J5723" s="31">
        <v>27</v>
      </c>
      <c r="K5723" s="33" t="s">
        <v>97</v>
      </c>
      <c r="L5723" s="31" t="str">
        <f t="shared" si="552"/>
        <v>Dua Puluh Tujuh</v>
      </c>
    </row>
    <row r="5724" spans="1:12">
      <c r="J5724" s="31">
        <v>28</v>
      </c>
      <c r="K5724" s="33" t="s">
        <v>98</v>
      </c>
      <c r="L5724" s="31" t="str">
        <f t="shared" si="552"/>
        <v>Dua Puluh Delapan</v>
      </c>
    </row>
    <row r="5725" spans="1:12">
      <c r="J5725" s="31">
        <v>29</v>
      </c>
      <c r="K5725" s="33" t="s">
        <v>99</v>
      </c>
      <c r="L5725" s="31" t="str">
        <f t="shared" si="552"/>
        <v>Dua Puluh Sembilan</v>
      </c>
    </row>
    <row r="5726" spans="1:12">
      <c r="J5726" s="31">
        <v>30</v>
      </c>
      <c r="K5726" s="33" t="s">
        <v>100</v>
      </c>
      <c r="L5726" s="31" t="s">
        <v>101</v>
      </c>
    </row>
    <row r="5727" spans="1:12">
      <c r="J5727" s="31">
        <v>31</v>
      </c>
      <c r="K5727" s="33" t="s">
        <v>102</v>
      </c>
      <c r="L5727" s="31" t="str">
        <f t="shared" ref="L5727:L5735" si="553">$L$33&amp;" "&amp;L5697</f>
        <v>Tiga Puluh Satu</v>
      </c>
    </row>
    <row r="5728" spans="1:12">
      <c r="J5728" s="31">
        <v>32</v>
      </c>
      <c r="K5728" s="33" t="s">
        <v>103</v>
      </c>
      <c r="L5728" s="31" t="str">
        <f t="shared" si="553"/>
        <v>Tiga Puluh Dua</v>
      </c>
    </row>
    <row r="5729" spans="1:12">
      <c r="J5729" s="31">
        <v>33</v>
      </c>
      <c r="K5729" s="33" t="s">
        <v>104</v>
      </c>
      <c r="L5729" s="31" t="str">
        <f t="shared" si="553"/>
        <v>Tiga Puluh Tiga</v>
      </c>
    </row>
    <row r="5730" spans="1:12">
      <c r="J5730" s="31">
        <v>34</v>
      </c>
      <c r="K5730" s="33" t="s">
        <v>105</v>
      </c>
      <c r="L5730" s="31" t="str">
        <f t="shared" si="553"/>
        <v>Tiga Puluh Empat</v>
      </c>
    </row>
    <row r="5731" spans="1:12">
      <c r="J5731" s="31">
        <v>35</v>
      </c>
      <c r="K5731" s="33" t="s">
        <v>106</v>
      </c>
      <c r="L5731" s="31" t="str">
        <f t="shared" si="553"/>
        <v>Tiga Puluh Lima</v>
      </c>
    </row>
    <row r="5732" spans="1:12">
      <c r="J5732" s="31">
        <v>36</v>
      </c>
      <c r="K5732" s="33" t="s">
        <v>107</v>
      </c>
      <c r="L5732" s="31" t="str">
        <f t="shared" si="553"/>
        <v>Tiga Puluh Enam</v>
      </c>
    </row>
    <row r="5733" spans="1:12">
      <c r="J5733" s="31">
        <v>37</v>
      </c>
      <c r="K5733" s="33" t="s">
        <v>108</v>
      </c>
      <c r="L5733" s="31" t="str">
        <f t="shared" si="553"/>
        <v>Tiga Puluh Tujuh</v>
      </c>
    </row>
    <row r="5734" spans="1:12">
      <c r="J5734" s="31">
        <v>38</v>
      </c>
      <c r="K5734" s="33" t="s">
        <v>109</v>
      </c>
      <c r="L5734" s="31" t="str">
        <f t="shared" si="553"/>
        <v>Tiga Puluh Delapan</v>
      </c>
    </row>
    <row r="5735" spans="1:12">
      <c r="J5735" s="31">
        <v>39</v>
      </c>
      <c r="K5735" s="33" t="s">
        <v>110</v>
      </c>
      <c r="L5735" s="31" t="str">
        <f t="shared" si="553"/>
        <v>Tiga Puluh Sembilan</v>
      </c>
    </row>
    <row r="5736" spans="1:12">
      <c r="B5736" s="35"/>
      <c r="C5736" s="35"/>
      <c r="D5736" s="35"/>
      <c r="J5736" s="31">
        <v>40</v>
      </c>
      <c r="K5736" s="33" t="s">
        <v>111</v>
      </c>
      <c r="L5736" s="31" t="s">
        <v>112</v>
      </c>
    </row>
    <row r="5737" spans="1:12">
      <c r="A5737" s="35"/>
      <c r="B5737" s="35"/>
      <c r="C5737" s="35"/>
      <c r="D5737" s="35"/>
      <c r="J5737" s="31">
        <v>41</v>
      </c>
      <c r="K5737" s="33" t="s">
        <v>113</v>
      </c>
      <c r="L5737" s="31" t="str">
        <f t="shared" ref="L5737:L5745" si="554">$L$43&amp;" "&amp;L5697</f>
        <v>Empat Puluh Satu</v>
      </c>
    </row>
    <row r="5738" spans="1:12">
      <c r="J5738" s="31">
        <v>42</v>
      </c>
      <c r="K5738" s="33" t="s">
        <v>114</v>
      </c>
      <c r="L5738" s="31" t="str">
        <f t="shared" si="554"/>
        <v>Empat Puluh Dua</v>
      </c>
    </row>
    <row r="5739" spans="1:12">
      <c r="A5739" s="38"/>
      <c r="J5739" s="31">
        <v>43</v>
      </c>
      <c r="K5739" s="33" t="s">
        <v>115</v>
      </c>
      <c r="L5739" s="31" t="str">
        <f t="shared" si="554"/>
        <v>Empat Puluh Tiga</v>
      </c>
    </row>
    <row r="5740" spans="1:12">
      <c r="J5740" s="31">
        <v>44</v>
      </c>
      <c r="K5740" s="33" t="s">
        <v>116</v>
      </c>
      <c r="L5740" s="31" t="str">
        <f t="shared" si="554"/>
        <v>Empat Puluh Empat</v>
      </c>
    </row>
    <row r="5741" spans="1:12">
      <c r="J5741" s="31">
        <v>45</v>
      </c>
      <c r="K5741" s="33" t="s">
        <v>117</v>
      </c>
      <c r="L5741" s="31" t="str">
        <f t="shared" si="554"/>
        <v>Empat Puluh Lima</v>
      </c>
    </row>
    <row r="5742" spans="1:12">
      <c r="J5742" s="31">
        <v>46</v>
      </c>
      <c r="K5742" s="33" t="s">
        <v>118</v>
      </c>
      <c r="L5742" s="31" t="str">
        <f t="shared" si="554"/>
        <v>Empat Puluh Enam</v>
      </c>
    </row>
    <row r="5743" spans="1:12">
      <c r="J5743" s="31">
        <v>47</v>
      </c>
      <c r="K5743" s="33" t="s">
        <v>119</v>
      </c>
      <c r="L5743" s="31" t="str">
        <f t="shared" si="554"/>
        <v>Empat Puluh Tujuh</v>
      </c>
    </row>
    <row r="5744" spans="1:12">
      <c r="J5744" s="31">
        <v>48</v>
      </c>
      <c r="K5744" s="33" t="s">
        <v>120</v>
      </c>
      <c r="L5744" s="31" t="str">
        <f t="shared" si="554"/>
        <v>Empat Puluh Delapan</v>
      </c>
    </row>
    <row r="5745" spans="10:12">
      <c r="J5745" s="31">
        <v>49</v>
      </c>
      <c r="K5745" s="33" t="s">
        <v>121</v>
      </c>
      <c r="L5745" s="31" t="str">
        <f t="shared" si="554"/>
        <v>Empat Puluh Sembilan</v>
      </c>
    </row>
    <row r="5746" spans="10:12">
      <c r="J5746" s="31">
        <v>50</v>
      </c>
      <c r="K5746" s="33" t="s">
        <v>122</v>
      </c>
      <c r="L5746" s="31" t="s">
        <v>123</v>
      </c>
    </row>
    <row r="5747" spans="10:12">
      <c r="J5747" s="31">
        <v>51</v>
      </c>
      <c r="K5747" s="33" t="s">
        <v>124</v>
      </c>
      <c r="L5747" s="31" t="str">
        <f t="shared" ref="L5747:L5755" si="555">$L$53&amp;" "&amp;L5697</f>
        <v>Lima Puluh Satu</v>
      </c>
    </row>
    <row r="5748" spans="10:12">
      <c r="J5748" s="31">
        <v>52</v>
      </c>
      <c r="K5748" s="33" t="s">
        <v>125</v>
      </c>
      <c r="L5748" s="31" t="str">
        <f t="shared" si="555"/>
        <v>Lima Puluh Dua</v>
      </c>
    </row>
    <row r="5749" spans="10:12">
      <c r="J5749" s="31">
        <v>53</v>
      </c>
      <c r="K5749" s="33" t="s">
        <v>126</v>
      </c>
      <c r="L5749" s="31" t="str">
        <f t="shared" si="555"/>
        <v>Lima Puluh Tiga</v>
      </c>
    </row>
    <row r="5750" spans="10:12">
      <c r="J5750" s="31">
        <v>54</v>
      </c>
      <c r="K5750" s="33" t="s">
        <v>127</v>
      </c>
      <c r="L5750" s="31" t="str">
        <f t="shared" si="555"/>
        <v>Lima Puluh Empat</v>
      </c>
    </row>
    <row r="5751" spans="10:12">
      <c r="J5751" s="31">
        <v>55</v>
      </c>
      <c r="K5751" s="33" t="s">
        <v>128</v>
      </c>
      <c r="L5751" s="31" t="str">
        <f t="shared" si="555"/>
        <v>Lima Puluh Lima</v>
      </c>
    </row>
    <row r="5752" spans="10:12">
      <c r="J5752" s="31">
        <v>56</v>
      </c>
      <c r="K5752" s="33" t="s">
        <v>129</v>
      </c>
      <c r="L5752" s="31" t="str">
        <f t="shared" si="555"/>
        <v>Lima Puluh Enam</v>
      </c>
    </row>
    <row r="5753" spans="10:12">
      <c r="J5753" s="31">
        <v>57</v>
      </c>
      <c r="K5753" s="33" t="s">
        <v>130</v>
      </c>
      <c r="L5753" s="31" t="str">
        <f t="shared" si="555"/>
        <v>Lima Puluh Tujuh</v>
      </c>
    </row>
    <row r="5754" spans="10:12">
      <c r="J5754" s="31">
        <v>58</v>
      </c>
      <c r="K5754" s="33" t="s">
        <v>131</v>
      </c>
      <c r="L5754" s="31" t="str">
        <f t="shared" si="555"/>
        <v>Lima Puluh Delapan</v>
      </c>
    </row>
    <row r="5755" spans="10:12">
      <c r="J5755" s="31">
        <v>59</v>
      </c>
      <c r="K5755" s="33" t="s">
        <v>132</v>
      </c>
      <c r="L5755" s="31" t="str">
        <f t="shared" si="555"/>
        <v>Lima Puluh Sembilan</v>
      </c>
    </row>
    <row r="5756" spans="10:12">
      <c r="J5756" s="31">
        <v>60</v>
      </c>
      <c r="K5756" s="33" t="s">
        <v>133</v>
      </c>
      <c r="L5756" s="31" t="s">
        <v>134</v>
      </c>
    </row>
    <row r="5757" spans="10:12">
      <c r="J5757" s="31">
        <v>61</v>
      </c>
      <c r="K5757" s="33" t="s">
        <v>135</v>
      </c>
      <c r="L5757" s="31" t="str">
        <f t="shared" ref="L5757:L5765" si="556">$L$63&amp;" "&amp;L5697</f>
        <v>Enam Puluh Satu</v>
      </c>
    </row>
    <row r="5758" spans="10:12">
      <c r="J5758" s="31">
        <v>62</v>
      </c>
      <c r="K5758" s="33" t="s">
        <v>136</v>
      </c>
      <c r="L5758" s="31" t="str">
        <f t="shared" si="556"/>
        <v>Enam Puluh Dua</v>
      </c>
    </row>
    <row r="5759" spans="10:12">
      <c r="J5759" s="31">
        <v>63</v>
      </c>
      <c r="K5759" s="33" t="s">
        <v>137</v>
      </c>
      <c r="L5759" s="31" t="str">
        <f t="shared" si="556"/>
        <v>Enam Puluh Tiga</v>
      </c>
    </row>
    <row r="5760" spans="10:12">
      <c r="J5760" s="31">
        <v>64</v>
      </c>
      <c r="K5760" s="33" t="s">
        <v>138</v>
      </c>
      <c r="L5760" s="31" t="str">
        <f t="shared" si="556"/>
        <v>Enam Puluh Empat</v>
      </c>
    </row>
    <row r="5761" spans="10:12">
      <c r="J5761" s="31">
        <v>65</v>
      </c>
      <c r="K5761" s="33" t="s">
        <v>139</v>
      </c>
      <c r="L5761" s="31" t="str">
        <f t="shared" si="556"/>
        <v>Enam Puluh Lima</v>
      </c>
    </row>
    <row r="5762" spans="10:12">
      <c r="J5762" s="31">
        <v>66</v>
      </c>
      <c r="K5762" s="33" t="s">
        <v>140</v>
      </c>
      <c r="L5762" s="31" t="str">
        <f t="shared" si="556"/>
        <v>Enam Puluh Enam</v>
      </c>
    </row>
    <row r="5763" spans="10:12">
      <c r="J5763" s="31">
        <v>67</v>
      </c>
      <c r="K5763" s="33" t="s">
        <v>141</v>
      </c>
      <c r="L5763" s="31" t="str">
        <f t="shared" si="556"/>
        <v>Enam Puluh Tujuh</v>
      </c>
    </row>
    <row r="5764" spans="10:12">
      <c r="J5764" s="31">
        <v>68</v>
      </c>
      <c r="K5764" s="33" t="s">
        <v>142</v>
      </c>
      <c r="L5764" s="31" t="str">
        <f t="shared" si="556"/>
        <v>Enam Puluh Delapan</v>
      </c>
    </row>
    <row r="5765" spans="10:12">
      <c r="J5765" s="31">
        <v>69</v>
      </c>
      <c r="K5765" s="33" t="s">
        <v>143</v>
      </c>
      <c r="L5765" s="31" t="str">
        <f t="shared" si="556"/>
        <v>Enam Puluh Sembilan</v>
      </c>
    </row>
    <row r="5766" spans="10:12">
      <c r="J5766" s="31">
        <v>70</v>
      </c>
      <c r="K5766" s="33" t="s">
        <v>144</v>
      </c>
      <c r="L5766" s="31" t="s">
        <v>145</v>
      </c>
    </row>
    <row r="5767" spans="10:12">
      <c r="J5767" s="31">
        <v>71</v>
      </c>
      <c r="K5767" s="33" t="s">
        <v>146</v>
      </c>
      <c r="L5767" s="31" t="str">
        <f t="shared" ref="L5767:L5775" si="557">$L$73&amp;" "&amp;L5697</f>
        <v>Tujuh Puluh Satu</v>
      </c>
    </row>
    <row r="5768" spans="10:12">
      <c r="J5768" s="31">
        <v>72</v>
      </c>
      <c r="K5768" s="33" t="s">
        <v>147</v>
      </c>
      <c r="L5768" s="31" t="str">
        <f t="shared" si="557"/>
        <v>Tujuh Puluh Dua</v>
      </c>
    </row>
    <row r="5769" spans="10:12">
      <c r="J5769" s="31">
        <v>73</v>
      </c>
      <c r="K5769" s="33" t="s">
        <v>148</v>
      </c>
      <c r="L5769" s="31" t="str">
        <f t="shared" si="557"/>
        <v>Tujuh Puluh Tiga</v>
      </c>
    </row>
    <row r="5770" spans="10:12">
      <c r="J5770" s="31">
        <v>74</v>
      </c>
      <c r="K5770" s="33" t="s">
        <v>149</v>
      </c>
      <c r="L5770" s="31" t="str">
        <f t="shared" si="557"/>
        <v>Tujuh Puluh Empat</v>
      </c>
    </row>
    <row r="5771" spans="10:12">
      <c r="J5771" s="31">
        <v>75</v>
      </c>
      <c r="K5771" s="33" t="s">
        <v>150</v>
      </c>
      <c r="L5771" s="31" t="str">
        <f t="shared" si="557"/>
        <v>Tujuh Puluh Lima</v>
      </c>
    </row>
    <row r="5772" spans="10:12">
      <c r="J5772" s="31">
        <v>76</v>
      </c>
      <c r="K5772" s="33" t="s">
        <v>151</v>
      </c>
      <c r="L5772" s="31" t="str">
        <f t="shared" si="557"/>
        <v>Tujuh Puluh Enam</v>
      </c>
    </row>
    <row r="5773" spans="10:12">
      <c r="J5773" s="31">
        <v>77</v>
      </c>
      <c r="K5773" s="33" t="s">
        <v>152</v>
      </c>
      <c r="L5773" s="31" t="str">
        <f t="shared" si="557"/>
        <v>Tujuh Puluh Tujuh</v>
      </c>
    </row>
    <row r="5774" spans="10:12">
      <c r="J5774" s="31">
        <v>78</v>
      </c>
      <c r="K5774" s="33" t="s">
        <v>153</v>
      </c>
      <c r="L5774" s="31" t="str">
        <f t="shared" si="557"/>
        <v>Tujuh Puluh Delapan</v>
      </c>
    </row>
    <row r="5775" spans="10:12">
      <c r="J5775" s="31">
        <v>79</v>
      </c>
      <c r="K5775" s="33" t="s">
        <v>154</v>
      </c>
      <c r="L5775" s="31" t="str">
        <f t="shared" si="557"/>
        <v>Tujuh Puluh Sembilan</v>
      </c>
    </row>
    <row r="5776" spans="10:12">
      <c r="J5776" s="31">
        <v>80</v>
      </c>
      <c r="K5776" s="33" t="s">
        <v>155</v>
      </c>
      <c r="L5776" s="31" t="s">
        <v>156</v>
      </c>
    </row>
    <row r="5777" spans="10:12">
      <c r="J5777" s="31">
        <v>81</v>
      </c>
      <c r="K5777" s="33" t="s">
        <v>157</v>
      </c>
      <c r="L5777" s="31" t="str">
        <f t="shared" ref="L5777:L5785" si="558">$L$83&amp;" "&amp;L5697</f>
        <v>Delapan Puluh Satu</v>
      </c>
    </row>
    <row r="5778" spans="10:12">
      <c r="J5778" s="31">
        <v>82</v>
      </c>
      <c r="K5778" s="33" t="s">
        <v>158</v>
      </c>
      <c r="L5778" s="31" t="str">
        <f t="shared" si="558"/>
        <v>Delapan Puluh Dua</v>
      </c>
    </row>
    <row r="5779" spans="10:12">
      <c r="J5779" s="31">
        <v>83</v>
      </c>
      <c r="K5779" s="33" t="s">
        <v>159</v>
      </c>
      <c r="L5779" s="31" t="str">
        <f t="shared" si="558"/>
        <v>Delapan Puluh Tiga</v>
      </c>
    </row>
    <row r="5780" spans="10:12">
      <c r="J5780" s="31">
        <v>84</v>
      </c>
      <c r="K5780" s="33" t="s">
        <v>160</v>
      </c>
      <c r="L5780" s="31" t="str">
        <f t="shared" si="558"/>
        <v>Delapan Puluh Empat</v>
      </c>
    </row>
    <row r="5781" spans="10:12">
      <c r="J5781" s="31">
        <v>85</v>
      </c>
      <c r="K5781" s="33" t="s">
        <v>161</v>
      </c>
      <c r="L5781" s="31" t="str">
        <f t="shared" si="558"/>
        <v>Delapan Puluh Lima</v>
      </c>
    </row>
    <row r="5782" spans="10:12">
      <c r="J5782" s="31">
        <v>86</v>
      </c>
      <c r="K5782" s="33" t="s">
        <v>162</v>
      </c>
      <c r="L5782" s="31" t="str">
        <f t="shared" si="558"/>
        <v>Delapan Puluh Enam</v>
      </c>
    </row>
    <row r="5783" spans="10:12">
      <c r="J5783" s="31">
        <v>87</v>
      </c>
      <c r="K5783" s="33" t="s">
        <v>163</v>
      </c>
      <c r="L5783" s="31" t="str">
        <f t="shared" si="558"/>
        <v>Delapan Puluh Tujuh</v>
      </c>
    </row>
    <row r="5784" spans="10:12">
      <c r="J5784" s="31">
        <v>88</v>
      </c>
      <c r="K5784" s="33" t="s">
        <v>164</v>
      </c>
      <c r="L5784" s="31" t="str">
        <f t="shared" si="558"/>
        <v>Delapan Puluh Delapan</v>
      </c>
    </row>
    <row r="5785" spans="10:12">
      <c r="J5785" s="31">
        <v>89</v>
      </c>
      <c r="K5785" s="33" t="s">
        <v>165</v>
      </c>
      <c r="L5785" s="31" t="str">
        <f t="shared" si="558"/>
        <v>Delapan Puluh Sembilan</v>
      </c>
    </row>
    <row r="5786" spans="10:12">
      <c r="J5786" s="31">
        <v>90</v>
      </c>
      <c r="K5786" s="33" t="s">
        <v>166</v>
      </c>
      <c r="L5786" s="31" t="s">
        <v>167</v>
      </c>
    </row>
    <row r="5787" spans="10:12">
      <c r="J5787" s="31">
        <v>91</v>
      </c>
      <c r="K5787" s="33" t="s">
        <v>168</v>
      </c>
      <c r="L5787" s="31" t="str">
        <f t="shared" ref="L5787:L5795" si="559">$L$93&amp;" "&amp;L5697</f>
        <v>Sembilan Puluh Satu</v>
      </c>
    </row>
    <row r="5788" spans="10:12">
      <c r="J5788" s="31">
        <v>92</v>
      </c>
      <c r="K5788" s="33" t="s">
        <v>169</v>
      </c>
      <c r="L5788" s="31" t="str">
        <f t="shared" si="559"/>
        <v>Sembilan Puluh Dua</v>
      </c>
    </row>
    <row r="5789" spans="10:12">
      <c r="J5789" s="31">
        <v>93</v>
      </c>
      <c r="K5789" s="33" t="s">
        <v>170</v>
      </c>
      <c r="L5789" s="31" t="str">
        <f t="shared" si="559"/>
        <v>Sembilan Puluh Tiga</v>
      </c>
    </row>
    <row r="5790" spans="10:12">
      <c r="J5790" s="31">
        <v>94</v>
      </c>
      <c r="K5790" s="33" t="s">
        <v>171</v>
      </c>
      <c r="L5790" s="31" t="str">
        <f t="shared" si="559"/>
        <v>Sembilan Puluh Empat</v>
      </c>
    </row>
    <row r="5791" spans="10:12">
      <c r="J5791" s="31">
        <v>95</v>
      </c>
      <c r="K5791" s="33" t="s">
        <v>172</v>
      </c>
      <c r="L5791" s="31" t="str">
        <f t="shared" si="559"/>
        <v>Sembilan Puluh Lima</v>
      </c>
    </row>
    <row r="5792" spans="10:12">
      <c r="J5792" s="31">
        <v>96</v>
      </c>
      <c r="K5792" s="33" t="s">
        <v>173</v>
      </c>
      <c r="L5792" s="31" t="str">
        <f t="shared" si="559"/>
        <v>Sembilan Puluh Enam</v>
      </c>
    </row>
    <row r="5793" spans="1:12">
      <c r="J5793" s="31">
        <v>97</v>
      </c>
      <c r="K5793" s="33" t="s">
        <v>174</v>
      </c>
      <c r="L5793" s="31" t="str">
        <f t="shared" si="559"/>
        <v>Sembilan Puluh Tujuh</v>
      </c>
    </row>
    <row r="5794" spans="1:12">
      <c r="J5794" s="31">
        <v>98</v>
      </c>
      <c r="K5794" s="33" t="s">
        <v>175</v>
      </c>
      <c r="L5794" s="31" t="str">
        <f t="shared" si="559"/>
        <v>Sembilan Puluh Delapan</v>
      </c>
    </row>
    <row r="5795" spans="1:12">
      <c r="J5795" s="31">
        <v>99</v>
      </c>
      <c r="K5795" s="33" t="s">
        <v>176</v>
      </c>
      <c r="L5795" s="31" t="str">
        <f t="shared" si="559"/>
        <v>Sembilan Puluh Sembilan</v>
      </c>
    </row>
    <row r="5797" spans="1:12">
      <c r="A5797" s="30" t="e">
        <f>#REF!</f>
        <v>#REF!</v>
      </c>
      <c r="C5797" s="31" t="s">
        <v>249</v>
      </c>
    </row>
    <row r="5798" spans="1:12">
      <c r="A5798" s="32"/>
    </row>
    <row r="5799" spans="1:12">
      <c r="J5799" s="31">
        <v>0</v>
      </c>
      <c r="K5799" s="33" t="s">
        <v>48</v>
      </c>
      <c r="L5799" s="31" t="s">
        <v>49</v>
      </c>
    </row>
    <row r="5800" spans="1:12">
      <c r="A5800" s="34"/>
      <c r="J5800" s="31">
        <v>1</v>
      </c>
      <c r="K5800" s="33" t="s">
        <v>50</v>
      </c>
      <c r="L5800" s="31" t="s">
        <v>51</v>
      </c>
    </row>
    <row r="5801" spans="1:12">
      <c r="A5801" s="255" t="e">
        <f>TRIM(D5809&amp;E5809&amp;D5810&amp;E5810&amp;D5811&amp;E5811&amp;D5812&amp;E5812&amp;D5813&amp;E5813&amp;D5814&amp;E5814&amp;E5815&amp;D5815&amp;" Only")</f>
        <v>#REF!</v>
      </c>
      <c r="B5801" s="255"/>
      <c r="C5801" s="255"/>
      <c r="D5801" s="255"/>
      <c r="E5801" s="35"/>
      <c r="F5801" s="36"/>
      <c r="J5801" s="31">
        <v>2</v>
      </c>
      <c r="K5801" s="33" t="s">
        <v>52</v>
      </c>
      <c r="L5801" s="31" t="s">
        <v>53</v>
      </c>
    </row>
    <row r="5802" spans="1:12">
      <c r="A5802" s="37"/>
      <c r="B5802" s="37"/>
      <c r="C5802" s="37"/>
      <c r="D5802" s="37"/>
      <c r="E5802" s="35"/>
      <c r="F5802" s="36"/>
      <c r="J5802" s="31">
        <v>3</v>
      </c>
      <c r="K5802" s="33" t="s">
        <v>54</v>
      </c>
      <c r="L5802" s="31" t="s">
        <v>55</v>
      </c>
    </row>
    <row r="5803" spans="1:12">
      <c r="A5803" s="37"/>
      <c r="B5803" s="37"/>
      <c r="C5803" s="37"/>
      <c r="D5803" s="37"/>
      <c r="J5803" s="31">
        <v>4</v>
      </c>
      <c r="K5803" s="33" t="s">
        <v>56</v>
      </c>
      <c r="L5803" s="31" t="s">
        <v>57</v>
      </c>
    </row>
    <row r="5804" spans="1:12">
      <c r="A5804" s="255" t="e">
        <f>TRIM(D5819&amp;E5819&amp;D5820&amp;E5820&amp;D5821&amp;E5821&amp;D5822&amp;E5822&amp;D5823&amp;E5823&amp;D5824&amp;E5824&amp;D5825&amp;E5825&amp;" Rupiah")</f>
        <v>#REF!</v>
      </c>
      <c r="B5804" s="255"/>
      <c r="C5804" s="255"/>
      <c r="D5804" s="255"/>
      <c r="E5804" s="35"/>
      <c r="F5804" s="36"/>
      <c r="J5804" s="31">
        <v>5</v>
      </c>
      <c r="K5804" s="33" t="s">
        <v>58</v>
      </c>
      <c r="L5804" s="31" t="s">
        <v>59</v>
      </c>
    </row>
    <row r="5805" spans="1:12">
      <c r="A5805" s="35"/>
      <c r="B5805" s="35"/>
      <c r="C5805" s="35"/>
      <c r="D5805" s="35"/>
      <c r="E5805" s="35"/>
      <c r="F5805" s="36"/>
      <c r="J5805" s="31">
        <v>6</v>
      </c>
      <c r="K5805" s="33" t="s">
        <v>60</v>
      </c>
      <c r="L5805" s="31" t="s">
        <v>61</v>
      </c>
    </row>
    <row r="5806" spans="1:12">
      <c r="J5806" s="31">
        <v>7</v>
      </c>
      <c r="K5806" s="33" t="s">
        <v>62</v>
      </c>
      <c r="L5806" s="31" t="s">
        <v>63</v>
      </c>
    </row>
    <row r="5807" spans="1:12">
      <c r="J5807" s="31">
        <v>8</v>
      </c>
      <c r="K5807" s="33" t="s">
        <v>64</v>
      </c>
      <c r="L5807" s="31" t="s">
        <v>65</v>
      </c>
    </row>
    <row r="5808" spans="1:12">
      <c r="A5808" s="38" t="s">
        <v>66</v>
      </c>
      <c r="J5808" s="31">
        <v>9</v>
      </c>
      <c r="K5808" s="33" t="s">
        <v>67</v>
      </c>
      <c r="L5808" s="31" t="s">
        <v>68</v>
      </c>
    </row>
    <row r="5809" spans="1:12">
      <c r="A5809" s="31" t="s">
        <v>69</v>
      </c>
      <c r="B5809" s="39" t="e">
        <f>TRUNC(A5797/100000000)</f>
        <v>#REF!</v>
      </c>
      <c r="C5809" s="31" t="e">
        <f>B5809*100000000</f>
        <v>#REF!</v>
      </c>
      <c r="D5809" s="31" t="e">
        <f t="shared" ref="D5809:D5815" si="560">IF(B5809&lt;1,"",VLOOKUP(B5809,$J$3:$K$102,2))</f>
        <v>#REF!</v>
      </c>
      <c r="E5809" s="31" t="e">
        <f>IF(B5809&lt;1,"",IF(B5809&gt;1," Hundreds "," Hundred "))</f>
        <v>#REF!</v>
      </c>
      <c r="J5809" s="31">
        <v>10</v>
      </c>
      <c r="K5809" s="33" t="s">
        <v>70</v>
      </c>
      <c r="L5809" s="31" t="s">
        <v>71</v>
      </c>
    </row>
    <row r="5810" spans="1:12">
      <c r="A5810" s="31" t="s">
        <v>72</v>
      </c>
      <c r="B5810" s="39" t="e">
        <f>TRUNC((A5797-C5809)/1000000)</f>
        <v>#REF!</v>
      </c>
      <c r="C5810" s="31" t="e">
        <f>B5810*1000000</f>
        <v>#REF!</v>
      </c>
      <c r="D5810" s="31" t="e">
        <f t="shared" si="560"/>
        <v>#REF!</v>
      </c>
      <c r="E5810" s="31" t="e">
        <f>IF(B5809+B5810=0,"",IF(B5810=1," Million "," Millions "))</f>
        <v>#REF!</v>
      </c>
      <c r="J5810" s="31">
        <v>11</v>
      </c>
      <c r="K5810" s="33" t="s">
        <v>73</v>
      </c>
      <c r="L5810" s="31" t="s">
        <v>74</v>
      </c>
    </row>
    <row r="5811" spans="1:12">
      <c r="A5811" s="31" t="s">
        <v>75</v>
      </c>
      <c r="B5811" s="39" t="e">
        <f>TRUNC((A5797-SUM(C5809:C5810))/100000)</f>
        <v>#REF!</v>
      </c>
      <c r="C5811" s="31" t="e">
        <f>B5811*100000</f>
        <v>#REF!</v>
      </c>
      <c r="D5811" s="31" t="e">
        <f t="shared" si="560"/>
        <v>#REF!</v>
      </c>
      <c r="E5811" s="31" t="e">
        <f>IF(B5811&lt;1,"",IF(B5811&gt;1," Hundreds "," Hundred "))</f>
        <v>#REF!</v>
      </c>
      <c r="J5811" s="31">
        <v>12</v>
      </c>
      <c r="K5811" s="33" t="s">
        <v>76</v>
      </c>
      <c r="L5811" s="31" t="str">
        <f t="shared" ref="L5811:L5818" si="561">L5801&amp;" Belas"</f>
        <v>Dua Belas</v>
      </c>
    </row>
    <row r="5812" spans="1:12">
      <c r="A5812" s="33" t="s">
        <v>77</v>
      </c>
      <c r="B5812" s="40" t="e">
        <f>TRUNC((A5797-SUM(C5809:C5811))/1000)</f>
        <v>#REF!</v>
      </c>
      <c r="C5812" s="31" t="e">
        <f>B5812*1000</f>
        <v>#REF!</v>
      </c>
      <c r="D5812" s="31" t="e">
        <f t="shared" si="560"/>
        <v>#REF!</v>
      </c>
      <c r="E5812" s="31" t="e">
        <f>IF(B5811+B5812=0,"",IF(B5812=1," Thousand "," Thousands "))</f>
        <v>#REF!</v>
      </c>
      <c r="J5812" s="31">
        <v>13</v>
      </c>
      <c r="K5812" s="33" t="s">
        <v>78</v>
      </c>
      <c r="L5812" s="31" t="str">
        <f t="shared" si="561"/>
        <v>Tiga Belas</v>
      </c>
    </row>
    <row r="5813" spans="1:12">
      <c r="A5813" s="33" t="s">
        <v>79</v>
      </c>
      <c r="B5813" s="40" t="e">
        <f>TRUNC((A5797-SUM(C5809:C5812))/100)</f>
        <v>#REF!</v>
      </c>
      <c r="C5813" s="31" t="e">
        <f>B5813*100</f>
        <v>#REF!</v>
      </c>
      <c r="D5813" s="31" t="e">
        <f t="shared" si="560"/>
        <v>#REF!</v>
      </c>
      <c r="E5813" s="31" t="e">
        <f>IF(B5813&lt;1,"",IF(B5813&gt;1," Hundreds "," Hundred "))</f>
        <v>#REF!</v>
      </c>
      <c r="J5813" s="31">
        <v>14</v>
      </c>
      <c r="K5813" s="33" t="s">
        <v>80</v>
      </c>
      <c r="L5813" s="31" t="str">
        <f t="shared" si="561"/>
        <v>Empat Belas</v>
      </c>
    </row>
    <row r="5814" spans="1:12">
      <c r="A5814" s="33" t="s">
        <v>81</v>
      </c>
      <c r="B5814" s="41" t="e">
        <f>TRUNC((A5797-SUM(C5809:C5813)))</f>
        <v>#REF!</v>
      </c>
      <c r="C5814" s="42" t="e">
        <f>B5814</f>
        <v>#REF!</v>
      </c>
      <c r="D5814" s="31" t="e">
        <f t="shared" si="560"/>
        <v>#REF!</v>
      </c>
      <c r="E5814" s="31" t="e">
        <f>IF(SUM(C5809:C5814)&lt;1,"",IF(B5815&lt;1,""," And "))</f>
        <v>#REF!</v>
      </c>
      <c r="J5814" s="31">
        <v>15</v>
      </c>
      <c r="K5814" s="33" t="s">
        <v>82</v>
      </c>
      <c r="L5814" s="31" t="str">
        <f t="shared" si="561"/>
        <v>Lima Belas</v>
      </c>
    </row>
    <row r="5815" spans="1:12">
      <c r="A5815" s="33" t="s">
        <v>83</v>
      </c>
      <c r="B5815" s="40" t="e">
        <f>ROUND(A5797-SUM(C5809:C5814),2)*100</f>
        <v>#REF!</v>
      </c>
      <c r="D5815" s="43" t="e">
        <f t="shared" si="560"/>
        <v>#REF!</v>
      </c>
      <c r="E5815" s="31" t="e">
        <f>IF(B5815&lt;1,"",IF(B5815=1," Cent "," Cents "))</f>
        <v>#REF!</v>
      </c>
      <c r="J5815" s="31">
        <v>16</v>
      </c>
      <c r="K5815" s="33" t="s">
        <v>84</v>
      </c>
      <c r="L5815" s="31" t="str">
        <f t="shared" si="561"/>
        <v>Enam Belas</v>
      </c>
    </row>
    <row r="5816" spans="1:12">
      <c r="J5816" s="31">
        <v>17</v>
      </c>
      <c r="K5816" s="33" t="s">
        <v>85</v>
      </c>
      <c r="L5816" s="31" t="str">
        <f t="shared" si="561"/>
        <v>Tujuh Belas</v>
      </c>
    </row>
    <row r="5817" spans="1:12">
      <c r="A5817" s="44"/>
      <c r="J5817" s="31">
        <v>18</v>
      </c>
      <c r="K5817" s="33" t="s">
        <v>86</v>
      </c>
      <c r="L5817" s="31" t="str">
        <f t="shared" si="561"/>
        <v>Delapan Belas</v>
      </c>
    </row>
    <row r="5818" spans="1:12">
      <c r="A5818" s="38" t="s">
        <v>87</v>
      </c>
      <c r="J5818" s="31">
        <v>19</v>
      </c>
      <c r="K5818" s="33" t="s">
        <v>88</v>
      </c>
      <c r="L5818" s="31" t="str">
        <f t="shared" si="561"/>
        <v>Sembilan Belas</v>
      </c>
    </row>
    <row r="5819" spans="1:12">
      <c r="A5819" s="31" t="s">
        <v>69</v>
      </c>
      <c r="B5819" s="39" t="e">
        <f>TRUNC(A5797/100000000)</f>
        <v>#REF!</v>
      </c>
      <c r="C5819" s="31" t="e">
        <f>B5819*100000000</f>
        <v>#REF!</v>
      </c>
      <c r="D5819" s="31" t="e">
        <f>IF(B5819&lt;1,"",IF(B5819=1,"",VLOOKUP(B5819,$J$3:$L$102,3)))</f>
        <v>#REF!</v>
      </c>
      <c r="E5819" s="31" t="e">
        <f>IF(B5819&lt;1,"",IF(B5819=1,"Seratus "," Ratus "))</f>
        <v>#REF!</v>
      </c>
      <c r="J5819" s="31">
        <v>20</v>
      </c>
      <c r="K5819" s="33" t="s">
        <v>89</v>
      </c>
      <c r="L5819" s="31" t="s">
        <v>90</v>
      </c>
    </row>
    <row r="5820" spans="1:12">
      <c r="A5820" s="31" t="s">
        <v>72</v>
      </c>
      <c r="B5820" s="39" t="e">
        <f>TRUNC((A5797-C5819)/1000000)</f>
        <v>#REF!</v>
      </c>
      <c r="C5820" s="31" t="e">
        <f>B5820*1000000</f>
        <v>#REF!</v>
      </c>
      <c r="D5820" s="31" t="e">
        <f>IF(B5820&lt;1,"",VLOOKUP(B5820,$J$3:$L$102,3))</f>
        <v>#REF!</v>
      </c>
      <c r="E5820" s="31" t="e">
        <f>IF(B5819+B5820=0,""," Juta ")</f>
        <v>#REF!</v>
      </c>
      <c r="J5820" s="31">
        <v>21</v>
      </c>
      <c r="K5820" s="33" t="s">
        <v>91</v>
      </c>
      <c r="L5820" s="31" t="str">
        <f t="shared" ref="L5820:L5828" si="562">$L$23&amp;" "&amp;L5800</f>
        <v>Dua Puluh Satu</v>
      </c>
    </row>
    <row r="5821" spans="1:12">
      <c r="A5821" s="31" t="s">
        <v>75</v>
      </c>
      <c r="B5821" s="39" t="e">
        <f>TRUNC((A5797-SUM(C5819:C5820))/100000)</f>
        <v>#REF!</v>
      </c>
      <c r="C5821" s="31" t="e">
        <f>B5821*100000</f>
        <v>#REF!</v>
      </c>
      <c r="D5821" s="31" t="e">
        <f>IF(B5821&lt;1,"",IF(B5821=1,"",VLOOKUP(B5821,$J$3:$L$102,3)))</f>
        <v>#REF!</v>
      </c>
      <c r="E5821" s="31" t="e">
        <f>IF(B5821&lt;1,"",IF(B5821=1," Seratus "," Ratus "))</f>
        <v>#REF!</v>
      </c>
      <c r="J5821" s="31">
        <v>22</v>
      </c>
      <c r="K5821" s="33" t="s">
        <v>92</v>
      </c>
      <c r="L5821" s="31" t="str">
        <f t="shared" si="562"/>
        <v>Dua Puluh Dua</v>
      </c>
    </row>
    <row r="5822" spans="1:12">
      <c r="A5822" s="33" t="s">
        <v>77</v>
      </c>
      <c r="B5822" s="40" t="e">
        <f>TRUNC((A5797-SUM(C5819:C5821))/1000)</f>
        <v>#REF!</v>
      </c>
      <c r="C5822" s="31" t="e">
        <f>B5822*1000</f>
        <v>#REF!</v>
      </c>
      <c r="D5822" s="31" t="e">
        <f>IF(B5822&lt;1,"",IF(B5822=1,"",VLOOKUP(B5822,$J$3:$L$102,3)))</f>
        <v>#REF!</v>
      </c>
      <c r="E5822" s="31" t="e">
        <f>IF(B5821+B5822&lt;1,"",IF(B5822=1," Seribu "," Ribu "))</f>
        <v>#REF!</v>
      </c>
      <c r="J5822" s="31">
        <v>23</v>
      </c>
      <c r="K5822" s="33" t="s">
        <v>93</v>
      </c>
      <c r="L5822" s="31" t="str">
        <f t="shared" si="562"/>
        <v>Dua Puluh Tiga</v>
      </c>
    </row>
    <row r="5823" spans="1:12">
      <c r="A5823" s="33" t="s">
        <v>79</v>
      </c>
      <c r="B5823" s="40" t="e">
        <f>TRUNC((A5797-SUM(C5819:C5822))/100)</f>
        <v>#REF!</v>
      </c>
      <c r="C5823" s="31" t="e">
        <f>B5823*100</f>
        <v>#REF!</v>
      </c>
      <c r="D5823" s="31" t="e">
        <f>IF(B5823&lt;1,"",IF(B5823=1,"",VLOOKUP(B5823,$J$3:$L$102,3)))</f>
        <v>#REF!</v>
      </c>
      <c r="E5823" s="31" t="e">
        <f>IF(B5823&lt;1,"",IF(B5823=1," Seratus "," Ratus "))</f>
        <v>#REF!</v>
      </c>
      <c r="J5823" s="31">
        <v>24</v>
      </c>
      <c r="K5823" s="33" t="s">
        <v>94</v>
      </c>
      <c r="L5823" s="31" t="str">
        <f t="shared" si="562"/>
        <v>Dua Puluh Empat</v>
      </c>
    </row>
    <row r="5824" spans="1:12">
      <c r="A5824" s="33" t="s">
        <v>81</v>
      </c>
      <c r="B5824" s="41" t="e">
        <f>TRUNC((A5797-SUM(C5819:C5823)))</f>
        <v>#REF!</v>
      </c>
      <c r="C5824" s="42" t="e">
        <f>B5824</f>
        <v>#REF!</v>
      </c>
      <c r="D5824" s="31" t="e">
        <f>IF(B5824&lt;1,"",VLOOKUP(B5824,$J$3:$L$102,3))</f>
        <v>#REF!</v>
      </c>
      <c r="E5824" s="31" t="e">
        <f>IF(SUM(C5819:C5824)&lt;1,"",IF(B5825&lt;1,""," Dan "))</f>
        <v>#REF!</v>
      </c>
      <c r="J5824" s="31">
        <v>25</v>
      </c>
      <c r="K5824" s="33" t="s">
        <v>95</v>
      </c>
      <c r="L5824" s="31" t="str">
        <f t="shared" si="562"/>
        <v>Dua Puluh Lima</v>
      </c>
    </row>
    <row r="5825" spans="1:12">
      <c r="A5825" s="33" t="s">
        <v>83</v>
      </c>
      <c r="B5825" s="40" t="e">
        <f>ROUND(A5797-SUM(C5819:C5824),2)*100</f>
        <v>#REF!</v>
      </c>
      <c r="D5825" s="31" t="e">
        <f>IF(B5825&lt;1,"",VLOOKUP(B5825,$J$3:$L$102,3))</f>
        <v>#REF!</v>
      </c>
      <c r="E5825" s="31" t="e">
        <f>IF(B5825&lt;1,""," Sen ")</f>
        <v>#REF!</v>
      </c>
      <c r="J5825" s="31">
        <v>26</v>
      </c>
      <c r="K5825" s="33" t="s">
        <v>96</v>
      </c>
      <c r="L5825" s="31" t="str">
        <f t="shared" si="562"/>
        <v>Dua Puluh Enam</v>
      </c>
    </row>
    <row r="5826" spans="1:12">
      <c r="J5826" s="31">
        <v>27</v>
      </c>
      <c r="K5826" s="33" t="s">
        <v>97</v>
      </c>
      <c r="L5826" s="31" t="str">
        <f t="shared" si="562"/>
        <v>Dua Puluh Tujuh</v>
      </c>
    </row>
    <row r="5827" spans="1:12">
      <c r="J5827" s="31">
        <v>28</v>
      </c>
      <c r="K5827" s="33" t="s">
        <v>98</v>
      </c>
      <c r="L5827" s="31" t="str">
        <f t="shared" si="562"/>
        <v>Dua Puluh Delapan</v>
      </c>
    </row>
    <row r="5828" spans="1:12">
      <c r="J5828" s="31">
        <v>29</v>
      </c>
      <c r="K5828" s="33" t="s">
        <v>99</v>
      </c>
      <c r="L5828" s="31" t="str">
        <f t="shared" si="562"/>
        <v>Dua Puluh Sembilan</v>
      </c>
    </row>
    <row r="5829" spans="1:12">
      <c r="J5829" s="31">
        <v>30</v>
      </c>
      <c r="K5829" s="33" t="s">
        <v>100</v>
      </c>
      <c r="L5829" s="31" t="s">
        <v>101</v>
      </c>
    </row>
    <row r="5830" spans="1:12">
      <c r="J5830" s="31">
        <v>31</v>
      </c>
      <c r="K5830" s="33" t="s">
        <v>102</v>
      </c>
      <c r="L5830" s="31" t="str">
        <f t="shared" ref="L5830:L5838" si="563">$L$33&amp;" "&amp;L5800</f>
        <v>Tiga Puluh Satu</v>
      </c>
    </row>
    <row r="5831" spans="1:12">
      <c r="J5831" s="31">
        <v>32</v>
      </c>
      <c r="K5831" s="33" t="s">
        <v>103</v>
      </c>
      <c r="L5831" s="31" t="str">
        <f t="shared" si="563"/>
        <v>Tiga Puluh Dua</v>
      </c>
    </row>
    <row r="5832" spans="1:12">
      <c r="J5832" s="31">
        <v>33</v>
      </c>
      <c r="K5832" s="33" t="s">
        <v>104</v>
      </c>
      <c r="L5832" s="31" t="str">
        <f t="shared" si="563"/>
        <v>Tiga Puluh Tiga</v>
      </c>
    </row>
    <row r="5833" spans="1:12">
      <c r="J5833" s="31">
        <v>34</v>
      </c>
      <c r="K5833" s="33" t="s">
        <v>105</v>
      </c>
      <c r="L5833" s="31" t="str">
        <f t="shared" si="563"/>
        <v>Tiga Puluh Empat</v>
      </c>
    </row>
    <row r="5834" spans="1:12">
      <c r="J5834" s="31">
        <v>35</v>
      </c>
      <c r="K5834" s="33" t="s">
        <v>106</v>
      </c>
      <c r="L5834" s="31" t="str">
        <f t="shared" si="563"/>
        <v>Tiga Puluh Lima</v>
      </c>
    </row>
    <row r="5835" spans="1:12">
      <c r="J5835" s="31">
        <v>36</v>
      </c>
      <c r="K5835" s="33" t="s">
        <v>107</v>
      </c>
      <c r="L5835" s="31" t="str">
        <f t="shared" si="563"/>
        <v>Tiga Puluh Enam</v>
      </c>
    </row>
    <row r="5836" spans="1:12">
      <c r="J5836" s="31">
        <v>37</v>
      </c>
      <c r="K5836" s="33" t="s">
        <v>108</v>
      </c>
      <c r="L5836" s="31" t="str">
        <f t="shared" si="563"/>
        <v>Tiga Puluh Tujuh</v>
      </c>
    </row>
    <row r="5837" spans="1:12">
      <c r="J5837" s="31">
        <v>38</v>
      </c>
      <c r="K5837" s="33" t="s">
        <v>109</v>
      </c>
      <c r="L5837" s="31" t="str">
        <f t="shared" si="563"/>
        <v>Tiga Puluh Delapan</v>
      </c>
    </row>
    <row r="5838" spans="1:12">
      <c r="J5838" s="31">
        <v>39</v>
      </c>
      <c r="K5838" s="33" t="s">
        <v>110</v>
      </c>
      <c r="L5838" s="31" t="str">
        <f t="shared" si="563"/>
        <v>Tiga Puluh Sembilan</v>
      </c>
    </row>
    <row r="5839" spans="1:12">
      <c r="B5839" s="35"/>
      <c r="C5839" s="35"/>
      <c r="D5839" s="35"/>
      <c r="J5839" s="31">
        <v>40</v>
      </c>
      <c r="K5839" s="33" t="s">
        <v>111</v>
      </c>
      <c r="L5839" s="31" t="s">
        <v>112</v>
      </c>
    </row>
    <row r="5840" spans="1:12">
      <c r="A5840" s="35"/>
      <c r="B5840" s="35"/>
      <c r="C5840" s="35"/>
      <c r="D5840" s="35"/>
      <c r="J5840" s="31">
        <v>41</v>
      </c>
      <c r="K5840" s="33" t="s">
        <v>113</v>
      </c>
      <c r="L5840" s="31" t="str">
        <f t="shared" ref="L5840:L5848" si="564">$L$43&amp;" "&amp;L5800</f>
        <v>Empat Puluh Satu</v>
      </c>
    </row>
    <row r="5841" spans="1:12">
      <c r="J5841" s="31">
        <v>42</v>
      </c>
      <c r="K5841" s="33" t="s">
        <v>114</v>
      </c>
      <c r="L5841" s="31" t="str">
        <f t="shared" si="564"/>
        <v>Empat Puluh Dua</v>
      </c>
    </row>
    <row r="5842" spans="1:12">
      <c r="A5842" s="38"/>
      <c r="J5842" s="31">
        <v>43</v>
      </c>
      <c r="K5842" s="33" t="s">
        <v>115</v>
      </c>
      <c r="L5842" s="31" t="str">
        <f t="shared" si="564"/>
        <v>Empat Puluh Tiga</v>
      </c>
    </row>
    <row r="5843" spans="1:12">
      <c r="J5843" s="31">
        <v>44</v>
      </c>
      <c r="K5843" s="33" t="s">
        <v>116</v>
      </c>
      <c r="L5843" s="31" t="str">
        <f t="shared" si="564"/>
        <v>Empat Puluh Empat</v>
      </c>
    </row>
    <row r="5844" spans="1:12">
      <c r="J5844" s="31">
        <v>45</v>
      </c>
      <c r="K5844" s="33" t="s">
        <v>117</v>
      </c>
      <c r="L5844" s="31" t="str">
        <f t="shared" si="564"/>
        <v>Empat Puluh Lima</v>
      </c>
    </row>
    <row r="5845" spans="1:12">
      <c r="J5845" s="31">
        <v>46</v>
      </c>
      <c r="K5845" s="33" t="s">
        <v>118</v>
      </c>
      <c r="L5845" s="31" t="str">
        <f t="shared" si="564"/>
        <v>Empat Puluh Enam</v>
      </c>
    </row>
    <row r="5846" spans="1:12">
      <c r="J5846" s="31">
        <v>47</v>
      </c>
      <c r="K5846" s="33" t="s">
        <v>119</v>
      </c>
      <c r="L5846" s="31" t="str">
        <f t="shared" si="564"/>
        <v>Empat Puluh Tujuh</v>
      </c>
    </row>
    <row r="5847" spans="1:12">
      <c r="J5847" s="31">
        <v>48</v>
      </c>
      <c r="K5847" s="33" t="s">
        <v>120</v>
      </c>
      <c r="L5847" s="31" t="str">
        <f t="shared" si="564"/>
        <v>Empat Puluh Delapan</v>
      </c>
    </row>
    <row r="5848" spans="1:12">
      <c r="J5848" s="31">
        <v>49</v>
      </c>
      <c r="K5848" s="33" t="s">
        <v>121</v>
      </c>
      <c r="L5848" s="31" t="str">
        <f t="shared" si="564"/>
        <v>Empat Puluh Sembilan</v>
      </c>
    </row>
    <row r="5849" spans="1:12">
      <c r="J5849" s="31">
        <v>50</v>
      </c>
      <c r="K5849" s="33" t="s">
        <v>122</v>
      </c>
      <c r="L5849" s="31" t="s">
        <v>123</v>
      </c>
    </row>
    <row r="5850" spans="1:12">
      <c r="J5850" s="31">
        <v>51</v>
      </c>
      <c r="K5850" s="33" t="s">
        <v>124</v>
      </c>
      <c r="L5850" s="31" t="str">
        <f t="shared" ref="L5850:L5858" si="565">$L$53&amp;" "&amp;L5800</f>
        <v>Lima Puluh Satu</v>
      </c>
    </row>
    <row r="5851" spans="1:12">
      <c r="J5851" s="31">
        <v>52</v>
      </c>
      <c r="K5851" s="33" t="s">
        <v>125</v>
      </c>
      <c r="L5851" s="31" t="str">
        <f t="shared" si="565"/>
        <v>Lima Puluh Dua</v>
      </c>
    </row>
    <row r="5852" spans="1:12">
      <c r="J5852" s="31">
        <v>53</v>
      </c>
      <c r="K5852" s="33" t="s">
        <v>126</v>
      </c>
      <c r="L5852" s="31" t="str">
        <f t="shared" si="565"/>
        <v>Lima Puluh Tiga</v>
      </c>
    </row>
    <row r="5853" spans="1:12">
      <c r="J5853" s="31">
        <v>54</v>
      </c>
      <c r="K5853" s="33" t="s">
        <v>127</v>
      </c>
      <c r="L5853" s="31" t="str">
        <f t="shared" si="565"/>
        <v>Lima Puluh Empat</v>
      </c>
    </row>
    <row r="5854" spans="1:12">
      <c r="J5854" s="31">
        <v>55</v>
      </c>
      <c r="K5854" s="33" t="s">
        <v>128</v>
      </c>
      <c r="L5854" s="31" t="str">
        <f t="shared" si="565"/>
        <v>Lima Puluh Lima</v>
      </c>
    </row>
    <row r="5855" spans="1:12">
      <c r="J5855" s="31">
        <v>56</v>
      </c>
      <c r="K5855" s="33" t="s">
        <v>129</v>
      </c>
      <c r="L5855" s="31" t="str">
        <f t="shared" si="565"/>
        <v>Lima Puluh Enam</v>
      </c>
    </row>
    <row r="5856" spans="1:12">
      <c r="J5856" s="31">
        <v>57</v>
      </c>
      <c r="K5856" s="33" t="s">
        <v>130</v>
      </c>
      <c r="L5856" s="31" t="str">
        <f t="shared" si="565"/>
        <v>Lima Puluh Tujuh</v>
      </c>
    </row>
    <row r="5857" spans="10:12">
      <c r="J5857" s="31">
        <v>58</v>
      </c>
      <c r="K5857" s="33" t="s">
        <v>131</v>
      </c>
      <c r="L5857" s="31" t="str">
        <f t="shared" si="565"/>
        <v>Lima Puluh Delapan</v>
      </c>
    </row>
    <row r="5858" spans="10:12">
      <c r="J5858" s="31">
        <v>59</v>
      </c>
      <c r="K5858" s="33" t="s">
        <v>132</v>
      </c>
      <c r="L5858" s="31" t="str">
        <f t="shared" si="565"/>
        <v>Lima Puluh Sembilan</v>
      </c>
    </row>
    <row r="5859" spans="10:12">
      <c r="J5859" s="31">
        <v>60</v>
      </c>
      <c r="K5859" s="33" t="s">
        <v>133</v>
      </c>
      <c r="L5859" s="31" t="s">
        <v>134</v>
      </c>
    </row>
    <row r="5860" spans="10:12">
      <c r="J5860" s="31">
        <v>61</v>
      </c>
      <c r="K5860" s="33" t="s">
        <v>135</v>
      </c>
      <c r="L5860" s="31" t="str">
        <f t="shared" ref="L5860:L5868" si="566">$L$63&amp;" "&amp;L5800</f>
        <v>Enam Puluh Satu</v>
      </c>
    </row>
    <row r="5861" spans="10:12">
      <c r="J5861" s="31">
        <v>62</v>
      </c>
      <c r="K5861" s="33" t="s">
        <v>136</v>
      </c>
      <c r="L5861" s="31" t="str">
        <f t="shared" si="566"/>
        <v>Enam Puluh Dua</v>
      </c>
    </row>
    <row r="5862" spans="10:12">
      <c r="J5862" s="31">
        <v>63</v>
      </c>
      <c r="K5862" s="33" t="s">
        <v>137</v>
      </c>
      <c r="L5862" s="31" t="str">
        <f t="shared" si="566"/>
        <v>Enam Puluh Tiga</v>
      </c>
    </row>
    <row r="5863" spans="10:12">
      <c r="J5863" s="31">
        <v>64</v>
      </c>
      <c r="K5863" s="33" t="s">
        <v>138</v>
      </c>
      <c r="L5863" s="31" t="str">
        <f t="shared" si="566"/>
        <v>Enam Puluh Empat</v>
      </c>
    </row>
    <row r="5864" spans="10:12">
      <c r="J5864" s="31">
        <v>65</v>
      </c>
      <c r="K5864" s="33" t="s">
        <v>139</v>
      </c>
      <c r="L5864" s="31" t="str">
        <f t="shared" si="566"/>
        <v>Enam Puluh Lima</v>
      </c>
    </row>
    <row r="5865" spans="10:12">
      <c r="J5865" s="31">
        <v>66</v>
      </c>
      <c r="K5865" s="33" t="s">
        <v>140</v>
      </c>
      <c r="L5865" s="31" t="str">
        <f t="shared" si="566"/>
        <v>Enam Puluh Enam</v>
      </c>
    </row>
    <row r="5866" spans="10:12">
      <c r="J5866" s="31">
        <v>67</v>
      </c>
      <c r="K5866" s="33" t="s">
        <v>141</v>
      </c>
      <c r="L5866" s="31" t="str">
        <f t="shared" si="566"/>
        <v>Enam Puluh Tujuh</v>
      </c>
    </row>
    <row r="5867" spans="10:12">
      <c r="J5867" s="31">
        <v>68</v>
      </c>
      <c r="K5867" s="33" t="s">
        <v>142</v>
      </c>
      <c r="L5867" s="31" t="str">
        <f t="shared" si="566"/>
        <v>Enam Puluh Delapan</v>
      </c>
    </row>
    <row r="5868" spans="10:12">
      <c r="J5868" s="31">
        <v>69</v>
      </c>
      <c r="K5868" s="33" t="s">
        <v>143</v>
      </c>
      <c r="L5868" s="31" t="str">
        <f t="shared" si="566"/>
        <v>Enam Puluh Sembilan</v>
      </c>
    </row>
    <row r="5869" spans="10:12">
      <c r="J5869" s="31">
        <v>70</v>
      </c>
      <c r="K5869" s="33" t="s">
        <v>144</v>
      </c>
      <c r="L5869" s="31" t="s">
        <v>145</v>
      </c>
    </row>
    <row r="5870" spans="10:12">
      <c r="J5870" s="31">
        <v>71</v>
      </c>
      <c r="K5870" s="33" t="s">
        <v>146</v>
      </c>
      <c r="L5870" s="31" t="str">
        <f t="shared" ref="L5870:L5878" si="567">$L$73&amp;" "&amp;L5800</f>
        <v>Tujuh Puluh Satu</v>
      </c>
    </row>
    <row r="5871" spans="10:12">
      <c r="J5871" s="31">
        <v>72</v>
      </c>
      <c r="K5871" s="33" t="s">
        <v>147</v>
      </c>
      <c r="L5871" s="31" t="str">
        <f t="shared" si="567"/>
        <v>Tujuh Puluh Dua</v>
      </c>
    </row>
    <row r="5872" spans="10:12">
      <c r="J5872" s="31">
        <v>73</v>
      </c>
      <c r="K5872" s="33" t="s">
        <v>148</v>
      </c>
      <c r="L5872" s="31" t="str">
        <f t="shared" si="567"/>
        <v>Tujuh Puluh Tiga</v>
      </c>
    </row>
    <row r="5873" spans="10:12">
      <c r="J5873" s="31">
        <v>74</v>
      </c>
      <c r="K5873" s="33" t="s">
        <v>149</v>
      </c>
      <c r="L5873" s="31" t="str">
        <f t="shared" si="567"/>
        <v>Tujuh Puluh Empat</v>
      </c>
    </row>
    <row r="5874" spans="10:12">
      <c r="J5874" s="31">
        <v>75</v>
      </c>
      <c r="K5874" s="33" t="s">
        <v>150</v>
      </c>
      <c r="L5874" s="31" t="str">
        <f t="shared" si="567"/>
        <v>Tujuh Puluh Lima</v>
      </c>
    </row>
    <row r="5875" spans="10:12">
      <c r="J5875" s="31">
        <v>76</v>
      </c>
      <c r="K5875" s="33" t="s">
        <v>151</v>
      </c>
      <c r="L5875" s="31" t="str">
        <f t="shared" si="567"/>
        <v>Tujuh Puluh Enam</v>
      </c>
    </row>
    <row r="5876" spans="10:12">
      <c r="J5876" s="31">
        <v>77</v>
      </c>
      <c r="K5876" s="33" t="s">
        <v>152</v>
      </c>
      <c r="L5876" s="31" t="str">
        <f t="shared" si="567"/>
        <v>Tujuh Puluh Tujuh</v>
      </c>
    </row>
    <row r="5877" spans="10:12">
      <c r="J5877" s="31">
        <v>78</v>
      </c>
      <c r="K5877" s="33" t="s">
        <v>153</v>
      </c>
      <c r="L5877" s="31" t="str">
        <f t="shared" si="567"/>
        <v>Tujuh Puluh Delapan</v>
      </c>
    </row>
    <row r="5878" spans="10:12">
      <c r="J5878" s="31">
        <v>79</v>
      </c>
      <c r="K5878" s="33" t="s">
        <v>154</v>
      </c>
      <c r="L5878" s="31" t="str">
        <f t="shared" si="567"/>
        <v>Tujuh Puluh Sembilan</v>
      </c>
    </row>
    <row r="5879" spans="10:12">
      <c r="J5879" s="31">
        <v>80</v>
      </c>
      <c r="K5879" s="33" t="s">
        <v>155</v>
      </c>
      <c r="L5879" s="31" t="s">
        <v>156</v>
      </c>
    </row>
    <row r="5880" spans="10:12">
      <c r="J5880" s="31">
        <v>81</v>
      </c>
      <c r="K5880" s="33" t="s">
        <v>157</v>
      </c>
      <c r="L5880" s="31" t="str">
        <f t="shared" ref="L5880:L5888" si="568">$L$83&amp;" "&amp;L5800</f>
        <v>Delapan Puluh Satu</v>
      </c>
    </row>
    <row r="5881" spans="10:12">
      <c r="J5881" s="31">
        <v>82</v>
      </c>
      <c r="K5881" s="33" t="s">
        <v>158</v>
      </c>
      <c r="L5881" s="31" t="str">
        <f t="shared" si="568"/>
        <v>Delapan Puluh Dua</v>
      </c>
    </row>
    <row r="5882" spans="10:12">
      <c r="J5882" s="31">
        <v>83</v>
      </c>
      <c r="K5882" s="33" t="s">
        <v>159</v>
      </c>
      <c r="L5882" s="31" t="str">
        <f t="shared" si="568"/>
        <v>Delapan Puluh Tiga</v>
      </c>
    </row>
    <row r="5883" spans="10:12">
      <c r="J5883" s="31">
        <v>84</v>
      </c>
      <c r="K5883" s="33" t="s">
        <v>160</v>
      </c>
      <c r="L5883" s="31" t="str">
        <f t="shared" si="568"/>
        <v>Delapan Puluh Empat</v>
      </c>
    </row>
    <row r="5884" spans="10:12">
      <c r="J5884" s="31">
        <v>85</v>
      </c>
      <c r="K5884" s="33" t="s">
        <v>161</v>
      </c>
      <c r="L5884" s="31" t="str">
        <f t="shared" si="568"/>
        <v>Delapan Puluh Lima</v>
      </c>
    </row>
    <row r="5885" spans="10:12">
      <c r="J5885" s="31">
        <v>86</v>
      </c>
      <c r="K5885" s="33" t="s">
        <v>162</v>
      </c>
      <c r="L5885" s="31" t="str">
        <f t="shared" si="568"/>
        <v>Delapan Puluh Enam</v>
      </c>
    </row>
    <row r="5886" spans="10:12">
      <c r="J5886" s="31">
        <v>87</v>
      </c>
      <c r="K5886" s="33" t="s">
        <v>163</v>
      </c>
      <c r="L5886" s="31" t="str">
        <f t="shared" si="568"/>
        <v>Delapan Puluh Tujuh</v>
      </c>
    </row>
    <row r="5887" spans="10:12">
      <c r="J5887" s="31">
        <v>88</v>
      </c>
      <c r="K5887" s="33" t="s">
        <v>164</v>
      </c>
      <c r="L5887" s="31" t="str">
        <f t="shared" si="568"/>
        <v>Delapan Puluh Delapan</v>
      </c>
    </row>
    <row r="5888" spans="10:12">
      <c r="J5888" s="31">
        <v>89</v>
      </c>
      <c r="K5888" s="33" t="s">
        <v>165</v>
      </c>
      <c r="L5888" s="31" t="str">
        <f t="shared" si="568"/>
        <v>Delapan Puluh Sembilan</v>
      </c>
    </row>
    <row r="5889" spans="1:12">
      <c r="J5889" s="31">
        <v>90</v>
      </c>
      <c r="K5889" s="33" t="s">
        <v>166</v>
      </c>
      <c r="L5889" s="31" t="s">
        <v>167</v>
      </c>
    </row>
    <row r="5890" spans="1:12">
      <c r="J5890" s="31">
        <v>91</v>
      </c>
      <c r="K5890" s="33" t="s">
        <v>168</v>
      </c>
      <c r="L5890" s="31" t="str">
        <f t="shared" ref="L5890:L5898" si="569">$L$93&amp;" "&amp;L5800</f>
        <v>Sembilan Puluh Satu</v>
      </c>
    </row>
    <row r="5891" spans="1:12">
      <c r="J5891" s="31">
        <v>92</v>
      </c>
      <c r="K5891" s="33" t="s">
        <v>169</v>
      </c>
      <c r="L5891" s="31" t="str">
        <f t="shared" si="569"/>
        <v>Sembilan Puluh Dua</v>
      </c>
    </row>
    <row r="5892" spans="1:12">
      <c r="J5892" s="31">
        <v>93</v>
      </c>
      <c r="K5892" s="33" t="s">
        <v>170</v>
      </c>
      <c r="L5892" s="31" t="str">
        <f t="shared" si="569"/>
        <v>Sembilan Puluh Tiga</v>
      </c>
    </row>
    <row r="5893" spans="1:12">
      <c r="J5893" s="31">
        <v>94</v>
      </c>
      <c r="K5893" s="33" t="s">
        <v>171</v>
      </c>
      <c r="L5893" s="31" t="str">
        <f t="shared" si="569"/>
        <v>Sembilan Puluh Empat</v>
      </c>
    </row>
    <row r="5894" spans="1:12">
      <c r="J5894" s="31">
        <v>95</v>
      </c>
      <c r="K5894" s="33" t="s">
        <v>172</v>
      </c>
      <c r="L5894" s="31" t="str">
        <f t="shared" si="569"/>
        <v>Sembilan Puluh Lima</v>
      </c>
    </row>
    <row r="5895" spans="1:12">
      <c r="J5895" s="31">
        <v>96</v>
      </c>
      <c r="K5895" s="33" t="s">
        <v>173</v>
      </c>
      <c r="L5895" s="31" t="str">
        <f t="shared" si="569"/>
        <v>Sembilan Puluh Enam</v>
      </c>
    </row>
    <row r="5896" spans="1:12">
      <c r="J5896" s="31">
        <v>97</v>
      </c>
      <c r="K5896" s="33" t="s">
        <v>174</v>
      </c>
      <c r="L5896" s="31" t="str">
        <f t="shared" si="569"/>
        <v>Sembilan Puluh Tujuh</v>
      </c>
    </row>
    <row r="5897" spans="1:12">
      <c r="J5897" s="31">
        <v>98</v>
      </c>
      <c r="K5897" s="33" t="s">
        <v>175</v>
      </c>
      <c r="L5897" s="31" t="str">
        <f t="shared" si="569"/>
        <v>Sembilan Puluh Delapan</v>
      </c>
    </row>
    <row r="5898" spans="1:12">
      <c r="J5898" s="31">
        <v>99</v>
      </c>
      <c r="K5898" s="33" t="s">
        <v>176</v>
      </c>
      <c r="L5898" s="31" t="str">
        <f t="shared" si="569"/>
        <v>Sembilan Puluh Sembilan</v>
      </c>
    </row>
    <row r="5900" spans="1:12">
      <c r="A5900" s="30" t="e">
        <f>#REF!</f>
        <v>#REF!</v>
      </c>
      <c r="C5900" s="31" t="s">
        <v>250</v>
      </c>
    </row>
    <row r="5901" spans="1:12">
      <c r="A5901" s="32"/>
    </row>
    <row r="5902" spans="1:12">
      <c r="J5902" s="31">
        <v>0</v>
      </c>
      <c r="K5902" s="33" t="s">
        <v>48</v>
      </c>
      <c r="L5902" s="31" t="s">
        <v>49</v>
      </c>
    </row>
    <row r="5903" spans="1:12">
      <c r="A5903" s="34"/>
      <c r="J5903" s="31">
        <v>1</v>
      </c>
      <c r="K5903" s="33" t="s">
        <v>50</v>
      </c>
      <c r="L5903" s="31" t="s">
        <v>51</v>
      </c>
    </row>
    <row r="5904" spans="1:12">
      <c r="A5904" s="255" t="e">
        <f>TRIM(D5912&amp;E5912&amp;D5913&amp;E5913&amp;D5914&amp;E5914&amp;D5915&amp;E5915&amp;D5916&amp;E5916&amp;D5917&amp;E5917&amp;E5918&amp;D5918&amp;" Only")</f>
        <v>#REF!</v>
      </c>
      <c r="B5904" s="255"/>
      <c r="C5904" s="255"/>
      <c r="D5904" s="255"/>
      <c r="E5904" s="35"/>
      <c r="F5904" s="36"/>
      <c r="J5904" s="31">
        <v>2</v>
      </c>
      <c r="K5904" s="33" t="s">
        <v>52</v>
      </c>
      <c r="L5904" s="31" t="s">
        <v>53</v>
      </c>
    </row>
    <row r="5905" spans="1:12">
      <c r="A5905" s="37"/>
      <c r="B5905" s="37"/>
      <c r="C5905" s="37"/>
      <c r="D5905" s="37"/>
      <c r="E5905" s="35"/>
      <c r="F5905" s="36"/>
      <c r="J5905" s="31">
        <v>3</v>
      </c>
      <c r="K5905" s="33" t="s">
        <v>54</v>
      </c>
      <c r="L5905" s="31" t="s">
        <v>55</v>
      </c>
    </row>
    <row r="5906" spans="1:12">
      <c r="A5906" s="37"/>
      <c r="B5906" s="37"/>
      <c r="C5906" s="37"/>
      <c r="D5906" s="37"/>
      <c r="J5906" s="31">
        <v>4</v>
      </c>
      <c r="K5906" s="33" t="s">
        <v>56</v>
      </c>
      <c r="L5906" s="31" t="s">
        <v>57</v>
      </c>
    </row>
    <row r="5907" spans="1:12">
      <c r="A5907" s="255" t="e">
        <f>TRIM(D5922&amp;E5922&amp;D5923&amp;E5923&amp;D5924&amp;E5924&amp;D5925&amp;E5925&amp;D5926&amp;E5926&amp;D5927&amp;E5927&amp;D5928&amp;E5928&amp;" Rupiah")</f>
        <v>#REF!</v>
      </c>
      <c r="B5907" s="255"/>
      <c r="C5907" s="255"/>
      <c r="D5907" s="255"/>
      <c r="E5907" s="35"/>
      <c r="F5907" s="36"/>
      <c r="J5907" s="31">
        <v>5</v>
      </c>
      <c r="K5907" s="33" t="s">
        <v>58</v>
      </c>
      <c r="L5907" s="31" t="s">
        <v>59</v>
      </c>
    </row>
    <row r="5908" spans="1:12">
      <c r="A5908" s="35"/>
      <c r="B5908" s="35"/>
      <c r="C5908" s="35"/>
      <c r="D5908" s="35"/>
      <c r="E5908" s="35"/>
      <c r="F5908" s="36"/>
      <c r="J5908" s="31">
        <v>6</v>
      </c>
      <c r="K5908" s="33" t="s">
        <v>60</v>
      </c>
      <c r="L5908" s="31" t="s">
        <v>61</v>
      </c>
    </row>
    <row r="5909" spans="1:12">
      <c r="J5909" s="31">
        <v>7</v>
      </c>
      <c r="K5909" s="33" t="s">
        <v>62</v>
      </c>
      <c r="L5909" s="31" t="s">
        <v>63</v>
      </c>
    </row>
    <row r="5910" spans="1:12">
      <c r="J5910" s="31">
        <v>8</v>
      </c>
      <c r="K5910" s="33" t="s">
        <v>64</v>
      </c>
      <c r="L5910" s="31" t="s">
        <v>65</v>
      </c>
    </row>
    <row r="5911" spans="1:12">
      <c r="A5911" s="38" t="s">
        <v>66</v>
      </c>
      <c r="J5911" s="31">
        <v>9</v>
      </c>
      <c r="K5911" s="33" t="s">
        <v>67</v>
      </c>
      <c r="L5911" s="31" t="s">
        <v>68</v>
      </c>
    </row>
    <row r="5912" spans="1:12">
      <c r="A5912" s="31" t="s">
        <v>69</v>
      </c>
      <c r="B5912" s="39" t="e">
        <f>TRUNC(A5900/100000000)</f>
        <v>#REF!</v>
      </c>
      <c r="C5912" s="31" t="e">
        <f>B5912*100000000</f>
        <v>#REF!</v>
      </c>
      <c r="D5912" s="31" t="e">
        <f t="shared" ref="D5912:D5918" si="570">IF(B5912&lt;1,"",VLOOKUP(B5912,$J$3:$K$102,2))</f>
        <v>#REF!</v>
      </c>
      <c r="E5912" s="31" t="e">
        <f>IF(B5912&lt;1,"",IF(B5912&gt;1," Hundreds "," Hundred "))</f>
        <v>#REF!</v>
      </c>
      <c r="J5912" s="31">
        <v>10</v>
      </c>
      <c r="K5912" s="33" t="s">
        <v>70</v>
      </c>
      <c r="L5912" s="31" t="s">
        <v>71</v>
      </c>
    </row>
    <row r="5913" spans="1:12">
      <c r="A5913" s="31" t="s">
        <v>72</v>
      </c>
      <c r="B5913" s="39" t="e">
        <f>TRUNC((A5900-C5912)/1000000)</f>
        <v>#REF!</v>
      </c>
      <c r="C5913" s="31" t="e">
        <f>B5913*1000000</f>
        <v>#REF!</v>
      </c>
      <c r="D5913" s="31" t="e">
        <f t="shared" si="570"/>
        <v>#REF!</v>
      </c>
      <c r="E5913" s="31" t="e">
        <f>IF(B5912+B5913=0,"",IF(B5913=1," Million "," Millions "))</f>
        <v>#REF!</v>
      </c>
      <c r="J5913" s="31">
        <v>11</v>
      </c>
      <c r="K5913" s="33" t="s">
        <v>73</v>
      </c>
      <c r="L5913" s="31" t="s">
        <v>74</v>
      </c>
    </row>
    <row r="5914" spans="1:12">
      <c r="A5914" s="31" t="s">
        <v>75</v>
      </c>
      <c r="B5914" s="39" t="e">
        <f>TRUNC((A5900-SUM(C5912:C5913))/100000)</f>
        <v>#REF!</v>
      </c>
      <c r="C5914" s="31" t="e">
        <f>B5914*100000</f>
        <v>#REF!</v>
      </c>
      <c r="D5914" s="31" t="e">
        <f t="shared" si="570"/>
        <v>#REF!</v>
      </c>
      <c r="E5914" s="31" t="e">
        <f>IF(B5914&lt;1,"",IF(B5914&gt;1," Hundreds "," Hundred "))</f>
        <v>#REF!</v>
      </c>
      <c r="J5914" s="31">
        <v>12</v>
      </c>
      <c r="K5914" s="33" t="s">
        <v>76</v>
      </c>
      <c r="L5914" s="31" t="str">
        <f t="shared" ref="L5914:L5921" si="571">L5904&amp;" Belas"</f>
        <v>Dua Belas</v>
      </c>
    </row>
    <row r="5915" spans="1:12">
      <c r="A5915" s="33" t="s">
        <v>77</v>
      </c>
      <c r="B5915" s="40" t="e">
        <f>TRUNC((A5900-SUM(C5912:C5914))/1000)</f>
        <v>#REF!</v>
      </c>
      <c r="C5915" s="31" t="e">
        <f>B5915*1000</f>
        <v>#REF!</v>
      </c>
      <c r="D5915" s="31" t="e">
        <f t="shared" si="570"/>
        <v>#REF!</v>
      </c>
      <c r="E5915" s="31" t="e">
        <f>IF(B5914+B5915=0,"",IF(B5915=1," Thousand "," Thousands "))</f>
        <v>#REF!</v>
      </c>
      <c r="J5915" s="31">
        <v>13</v>
      </c>
      <c r="K5915" s="33" t="s">
        <v>78</v>
      </c>
      <c r="L5915" s="31" t="str">
        <f t="shared" si="571"/>
        <v>Tiga Belas</v>
      </c>
    </row>
    <row r="5916" spans="1:12">
      <c r="A5916" s="33" t="s">
        <v>79</v>
      </c>
      <c r="B5916" s="40" t="e">
        <f>TRUNC((A5900-SUM(C5912:C5915))/100)</f>
        <v>#REF!</v>
      </c>
      <c r="C5916" s="31" t="e">
        <f>B5916*100</f>
        <v>#REF!</v>
      </c>
      <c r="D5916" s="31" t="e">
        <f t="shared" si="570"/>
        <v>#REF!</v>
      </c>
      <c r="E5916" s="31" t="e">
        <f>IF(B5916&lt;1,"",IF(B5916&gt;1," Hundreds "," Hundred "))</f>
        <v>#REF!</v>
      </c>
      <c r="J5916" s="31">
        <v>14</v>
      </c>
      <c r="K5916" s="33" t="s">
        <v>80</v>
      </c>
      <c r="L5916" s="31" t="str">
        <f t="shared" si="571"/>
        <v>Empat Belas</v>
      </c>
    </row>
    <row r="5917" spans="1:12">
      <c r="A5917" s="33" t="s">
        <v>81</v>
      </c>
      <c r="B5917" s="41" t="e">
        <f>TRUNC((A5900-SUM(C5912:C5916)))</f>
        <v>#REF!</v>
      </c>
      <c r="C5917" s="42" t="e">
        <f>B5917</f>
        <v>#REF!</v>
      </c>
      <c r="D5917" s="31" t="e">
        <f t="shared" si="570"/>
        <v>#REF!</v>
      </c>
      <c r="E5917" s="31" t="e">
        <f>IF(SUM(C5912:C5917)&lt;1,"",IF(B5918&lt;1,""," And "))</f>
        <v>#REF!</v>
      </c>
      <c r="J5917" s="31">
        <v>15</v>
      </c>
      <c r="K5917" s="33" t="s">
        <v>82</v>
      </c>
      <c r="L5917" s="31" t="str">
        <f t="shared" si="571"/>
        <v>Lima Belas</v>
      </c>
    </row>
    <row r="5918" spans="1:12">
      <c r="A5918" s="33" t="s">
        <v>83</v>
      </c>
      <c r="B5918" s="40" t="e">
        <f>ROUND(A5900-SUM(C5912:C5917),2)*100</f>
        <v>#REF!</v>
      </c>
      <c r="D5918" s="43" t="e">
        <f t="shared" si="570"/>
        <v>#REF!</v>
      </c>
      <c r="E5918" s="31" t="e">
        <f>IF(B5918&lt;1,"",IF(B5918=1," Cent "," Cents "))</f>
        <v>#REF!</v>
      </c>
      <c r="J5918" s="31">
        <v>16</v>
      </c>
      <c r="K5918" s="33" t="s">
        <v>84</v>
      </c>
      <c r="L5918" s="31" t="str">
        <f t="shared" si="571"/>
        <v>Enam Belas</v>
      </c>
    </row>
    <row r="5919" spans="1:12">
      <c r="J5919" s="31">
        <v>17</v>
      </c>
      <c r="K5919" s="33" t="s">
        <v>85</v>
      </c>
      <c r="L5919" s="31" t="str">
        <f t="shared" si="571"/>
        <v>Tujuh Belas</v>
      </c>
    </row>
    <row r="5920" spans="1:12">
      <c r="A5920" s="44"/>
      <c r="J5920" s="31">
        <v>18</v>
      </c>
      <c r="K5920" s="33" t="s">
        <v>86</v>
      </c>
      <c r="L5920" s="31" t="str">
        <f t="shared" si="571"/>
        <v>Delapan Belas</v>
      </c>
    </row>
    <row r="5921" spans="1:12">
      <c r="A5921" s="38" t="s">
        <v>87</v>
      </c>
      <c r="J5921" s="31">
        <v>19</v>
      </c>
      <c r="K5921" s="33" t="s">
        <v>88</v>
      </c>
      <c r="L5921" s="31" t="str">
        <f t="shared" si="571"/>
        <v>Sembilan Belas</v>
      </c>
    </row>
    <row r="5922" spans="1:12">
      <c r="A5922" s="31" t="s">
        <v>69</v>
      </c>
      <c r="B5922" s="39" t="e">
        <f>TRUNC(A5900/100000000)</f>
        <v>#REF!</v>
      </c>
      <c r="C5922" s="31" t="e">
        <f>B5922*100000000</f>
        <v>#REF!</v>
      </c>
      <c r="D5922" s="31" t="e">
        <f>IF(B5922&lt;1,"",IF(B5922=1,"",VLOOKUP(B5922,$J$3:$L$102,3)))</f>
        <v>#REF!</v>
      </c>
      <c r="E5922" s="31" t="e">
        <f>IF(B5922&lt;1,"",IF(B5922=1,"Seratus "," Ratus "))</f>
        <v>#REF!</v>
      </c>
      <c r="J5922" s="31">
        <v>20</v>
      </c>
      <c r="K5922" s="33" t="s">
        <v>89</v>
      </c>
      <c r="L5922" s="31" t="s">
        <v>90</v>
      </c>
    </row>
    <row r="5923" spans="1:12">
      <c r="A5923" s="31" t="s">
        <v>72</v>
      </c>
      <c r="B5923" s="39" t="e">
        <f>TRUNC((A5900-C5922)/1000000)</f>
        <v>#REF!</v>
      </c>
      <c r="C5923" s="31" t="e">
        <f>B5923*1000000</f>
        <v>#REF!</v>
      </c>
      <c r="D5923" s="31" t="e">
        <f>IF(B5923&lt;1,"",VLOOKUP(B5923,$J$3:$L$102,3))</f>
        <v>#REF!</v>
      </c>
      <c r="E5923" s="31" t="e">
        <f>IF(B5922+B5923=0,""," Juta ")</f>
        <v>#REF!</v>
      </c>
      <c r="J5923" s="31">
        <v>21</v>
      </c>
      <c r="K5923" s="33" t="s">
        <v>91</v>
      </c>
      <c r="L5923" s="31" t="str">
        <f t="shared" ref="L5923:L5931" si="572">$L$23&amp;" "&amp;L5903</f>
        <v>Dua Puluh Satu</v>
      </c>
    </row>
    <row r="5924" spans="1:12">
      <c r="A5924" s="31" t="s">
        <v>75</v>
      </c>
      <c r="B5924" s="39" t="e">
        <f>TRUNC((A5900-SUM(C5922:C5923))/100000)</f>
        <v>#REF!</v>
      </c>
      <c r="C5924" s="31" t="e">
        <f>B5924*100000</f>
        <v>#REF!</v>
      </c>
      <c r="D5924" s="31" t="e">
        <f>IF(B5924&lt;1,"",IF(B5924=1,"",VLOOKUP(B5924,$J$3:$L$102,3)))</f>
        <v>#REF!</v>
      </c>
      <c r="E5924" s="31" t="e">
        <f>IF(B5924&lt;1,"",IF(B5924=1," Seratus "," Ratus "))</f>
        <v>#REF!</v>
      </c>
      <c r="J5924" s="31">
        <v>22</v>
      </c>
      <c r="K5924" s="33" t="s">
        <v>92</v>
      </c>
      <c r="L5924" s="31" t="str">
        <f t="shared" si="572"/>
        <v>Dua Puluh Dua</v>
      </c>
    </row>
    <row r="5925" spans="1:12">
      <c r="A5925" s="33" t="s">
        <v>77</v>
      </c>
      <c r="B5925" s="40" t="e">
        <f>TRUNC((A5900-SUM(C5922:C5924))/1000)</f>
        <v>#REF!</v>
      </c>
      <c r="C5925" s="31" t="e">
        <f>B5925*1000</f>
        <v>#REF!</v>
      </c>
      <c r="D5925" s="31" t="e">
        <f>IF(B5925&lt;1,"",IF(B5925=1,"",VLOOKUP(B5925,$J$3:$L$102,3)))</f>
        <v>#REF!</v>
      </c>
      <c r="E5925" s="31" t="e">
        <f>IF(B5924+B5925&lt;1,"",IF(B5925=1," Seribu "," Ribu "))</f>
        <v>#REF!</v>
      </c>
      <c r="J5925" s="31">
        <v>23</v>
      </c>
      <c r="K5925" s="33" t="s">
        <v>93</v>
      </c>
      <c r="L5925" s="31" t="str">
        <f t="shared" si="572"/>
        <v>Dua Puluh Tiga</v>
      </c>
    </row>
    <row r="5926" spans="1:12">
      <c r="A5926" s="33" t="s">
        <v>79</v>
      </c>
      <c r="B5926" s="40" t="e">
        <f>TRUNC((A5900-SUM(C5922:C5925))/100)</f>
        <v>#REF!</v>
      </c>
      <c r="C5926" s="31" t="e">
        <f>B5926*100</f>
        <v>#REF!</v>
      </c>
      <c r="D5926" s="31" t="e">
        <f>IF(B5926&lt;1,"",IF(B5926=1,"",VLOOKUP(B5926,$J$3:$L$102,3)))</f>
        <v>#REF!</v>
      </c>
      <c r="E5926" s="31" t="e">
        <f>IF(B5926&lt;1,"",IF(B5926=1," Seratus "," Ratus "))</f>
        <v>#REF!</v>
      </c>
      <c r="J5926" s="31">
        <v>24</v>
      </c>
      <c r="K5926" s="33" t="s">
        <v>94</v>
      </c>
      <c r="L5926" s="31" t="str">
        <f t="shared" si="572"/>
        <v>Dua Puluh Empat</v>
      </c>
    </row>
    <row r="5927" spans="1:12">
      <c r="A5927" s="33" t="s">
        <v>81</v>
      </c>
      <c r="B5927" s="41" t="e">
        <f>TRUNC((A5900-SUM(C5922:C5926)))</f>
        <v>#REF!</v>
      </c>
      <c r="C5927" s="42" t="e">
        <f>B5927</f>
        <v>#REF!</v>
      </c>
      <c r="D5927" s="31" t="e">
        <f>IF(B5927&lt;1,"",VLOOKUP(B5927,$J$3:$L$102,3))</f>
        <v>#REF!</v>
      </c>
      <c r="E5927" s="31" t="e">
        <f>IF(SUM(C5922:C5927)&lt;1,"",IF(B5928&lt;1,""," Dan "))</f>
        <v>#REF!</v>
      </c>
      <c r="J5927" s="31">
        <v>25</v>
      </c>
      <c r="K5927" s="33" t="s">
        <v>95</v>
      </c>
      <c r="L5927" s="31" t="str">
        <f t="shared" si="572"/>
        <v>Dua Puluh Lima</v>
      </c>
    </row>
    <row r="5928" spans="1:12">
      <c r="A5928" s="33" t="s">
        <v>83</v>
      </c>
      <c r="B5928" s="40" t="e">
        <f>ROUND(A5900-SUM(C5922:C5927),2)*100</f>
        <v>#REF!</v>
      </c>
      <c r="D5928" s="31" t="e">
        <f>IF(B5928&lt;1,"",VLOOKUP(B5928,$J$3:$L$102,3))</f>
        <v>#REF!</v>
      </c>
      <c r="E5928" s="31" t="e">
        <f>IF(B5928&lt;1,""," Sen ")</f>
        <v>#REF!</v>
      </c>
      <c r="J5928" s="31">
        <v>26</v>
      </c>
      <c r="K5928" s="33" t="s">
        <v>96</v>
      </c>
      <c r="L5928" s="31" t="str">
        <f t="shared" si="572"/>
        <v>Dua Puluh Enam</v>
      </c>
    </row>
    <row r="5929" spans="1:12">
      <c r="J5929" s="31">
        <v>27</v>
      </c>
      <c r="K5929" s="33" t="s">
        <v>97</v>
      </c>
      <c r="L5929" s="31" t="str">
        <f t="shared" si="572"/>
        <v>Dua Puluh Tujuh</v>
      </c>
    </row>
    <row r="5930" spans="1:12">
      <c r="J5930" s="31">
        <v>28</v>
      </c>
      <c r="K5930" s="33" t="s">
        <v>98</v>
      </c>
      <c r="L5930" s="31" t="str">
        <f t="shared" si="572"/>
        <v>Dua Puluh Delapan</v>
      </c>
    </row>
    <row r="5931" spans="1:12">
      <c r="J5931" s="31">
        <v>29</v>
      </c>
      <c r="K5931" s="33" t="s">
        <v>99</v>
      </c>
      <c r="L5931" s="31" t="str">
        <f t="shared" si="572"/>
        <v>Dua Puluh Sembilan</v>
      </c>
    </row>
    <row r="5932" spans="1:12">
      <c r="J5932" s="31">
        <v>30</v>
      </c>
      <c r="K5932" s="33" t="s">
        <v>100</v>
      </c>
      <c r="L5932" s="31" t="s">
        <v>101</v>
      </c>
    </row>
    <row r="5933" spans="1:12">
      <c r="J5933" s="31">
        <v>31</v>
      </c>
      <c r="K5933" s="33" t="s">
        <v>102</v>
      </c>
      <c r="L5933" s="31" t="str">
        <f t="shared" ref="L5933:L5941" si="573">$L$33&amp;" "&amp;L5903</f>
        <v>Tiga Puluh Satu</v>
      </c>
    </row>
    <row r="5934" spans="1:12">
      <c r="J5934" s="31">
        <v>32</v>
      </c>
      <c r="K5934" s="33" t="s">
        <v>103</v>
      </c>
      <c r="L5934" s="31" t="str">
        <f t="shared" si="573"/>
        <v>Tiga Puluh Dua</v>
      </c>
    </row>
    <row r="5935" spans="1:12">
      <c r="J5935" s="31">
        <v>33</v>
      </c>
      <c r="K5935" s="33" t="s">
        <v>104</v>
      </c>
      <c r="L5935" s="31" t="str">
        <f t="shared" si="573"/>
        <v>Tiga Puluh Tiga</v>
      </c>
    </row>
    <row r="5936" spans="1:12">
      <c r="J5936" s="31">
        <v>34</v>
      </c>
      <c r="K5936" s="33" t="s">
        <v>105</v>
      </c>
      <c r="L5936" s="31" t="str">
        <f t="shared" si="573"/>
        <v>Tiga Puluh Empat</v>
      </c>
    </row>
    <row r="5937" spans="1:12">
      <c r="J5937" s="31">
        <v>35</v>
      </c>
      <c r="K5937" s="33" t="s">
        <v>106</v>
      </c>
      <c r="L5937" s="31" t="str">
        <f t="shared" si="573"/>
        <v>Tiga Puluh Lima</v>
      </c>
    </row>
    <row r="5938" spans="1:12">
      <c r="J5938" s="31">
        <v>36</v>
      </c>
      <c r="K5938" s="33" t="s">
        <v>107</v>
      </c>
      <c r="L5938" s="31" t="str">
        <f t="shared" si="573"/>
        <v>Tiga Puluh Enam</v>
      </c>
    </row>
    <row r="5939" spans="1:12">
      <c r="J5939" s="31">
        <v>37</v>
      </c>
      <c r="K5939" s="33" t="s">
        <v>108</v>
      </c>
      <c r="L5939" s="31" t="str">
        <f t="shared" si="573"/>
        <v>Tiga Puluh Tujuh</v>
      </c>
    </row>
    <row r="5940" spans="1:12">
      <c r="J5940" s="31">
        <v>38</v>
      </c>
      <c r="K5940" s="33" t="s">
        <v>109</v>
      </c>
      <c r="L5940" s="31" t="str">
        <f t="shared" si="573"/>
        <v>Tiga Puluh Delapan</v>
      </c>
    </row>
    <row r="5941" spans="1:12">
      <c r="J5941" s="31">
        <v>39</v>
      </c>
      <c r="K5941" s="33" t="s">
        <v>110</v>
      </c>
      <c r="L5941" s="31" t="str">
        <f t="shared" si="573"/>
        <v>Tiga Puluh Sembilan</v>
      </c>
    </row>
    <row r="5942" spans="1:12">
      <c r="B5942" s="35"/>
      <c r="C5942" s="35"/>
      <c r="D5942" s="35"/>
      <c r="J5942" s="31">
        <v>40</v>
      </c>
      <c r="K5942" s="33" t="s">
        <v>111</v>
      </c>
      <c r="L5942" s="31" t="s">
        <v>112</v>
      </c>
    </row>
    <row r="5943" spans="1:12">
      <c r="A5943" s="35"/>
      <c r="B5943" s="35"/>
      <c r="C5943" s="35"/>
      <c r="D5943" s="35"/>
      <c r="J5943" s="31">
        <v>41</v>
      </c>
      <c r="K5943" s="33" t="s">
        <v>113</v>
      </c>
      <c r="L5943" s="31" t="str">
        <f t="shared" ref="L5943:L5951" si="574">$L$43&amp;" "&amp;L5903</f>
        <v>Empat Puluh Satu</v>
      </c>
    </row>
    <row r="5944" spans="1:12">
      <c r="J5944" s="31">
        <v>42</v>
      </c>
      <c r="K5944" s="33" t="s">
        <v>114</v>
      </c>
      <c r="L5944" s="31" t="str">
        <f t="shared" si="574"/>
        <v>Empat Puluh Dua</v>
      </c>
    </row>
    <row r="5945" spans="1:12">
      <c r="A5945" s="38"/>
      <c r="J5945" s="31">
        <v>43</v>
      </c>
      <c r="K5945" s="33" t="s">
        <v>115</v>
      </c>
      <c r="L5945" s="31" t="str">
        <f t="shared" si="574"/>
        <v>Empat Puluh Tiga</v>
      </c>
    </row>
    <row r="5946" spans="1:12">
      <c r="J5946" s="31">
        <v>44</v>
      </c>
      <c r="K5946" s="33" t="s">
        <v>116</v>
      </c>
      <c r="L5946" s="31" t="str">
        <f t="shared" si="574"/>
        <v>Empat Puluh Empat</v>
      </c>
    </row>
    <row r="5947" spans="1:12">
      <c r="J5947" s="31">
        <v>45</v>
      </c>
      <c r="K5947" s="33" t="s">
        <v>117</v>
      </c>
      <c r="L5947" s="31" t="str">
        <f t="shared" si="574"/>
        <v>Empat Puluh Lima</v>
      </c>
    </row>
    <row r="5948" spans="1:12">
      <c r="J5948" s="31">
        <v>46</v>
      </c>
      <c r="K5948" s="33" t="s">
        <v>118</v>
      </c>
      <c r="L5948" s="31" t="str">
        <f t="shared" si="574"/>
        <v>Empat Puluh Enam</v>
      </c>
    </row>
    <row r="5949" spans="1:12">
      <c r="J5949" s="31">
        <v>47</v>
      </c>
      <c r="K5949" s="33" t="s">
        <v>119</v>
      </c>
      <c r="L5949" s="31" t="str">
        <f t="shared" si="574"/>
        <v>Empat Puluh Tujuh</v>
      </c>
    </row>
    <row r="5950" spans="1:12">
      <c r="J5950" s="31">
        <v>48</v>
      </c>
      <c r="K5950" s="33" t="s">
        <v>120</v>
      </c>
      <c r="L5950" s="31" t="str">
        <f t="shared" si="574"/>
        <v>Empat Puluh Delapan</v>
      </c>
    </row>
    <row r="5951" spans="1:12">
      <c r="J5951" s="31">
        <v>49</v>
      </c>
      <c r="K5951" s="33" t="s">
        <v>121</v>
      </c>
      <c r="L5951" s="31" t="str">
        <f t="shared" si="574"/>
        <v>Empat Puluh Sembilan</v>
      </c>
    </row>
    <row r="5952" spans="1:12">
      <c r="J5952" s="31">
        <v>50</v>
      </c>
      <c r="K5952" s="33" t="s">
        <v>122</v>
      </c>
      <c r="L5952" s="31" t="s">
        <v>123</v>
      </c>
    </row>
    <row r="5953" spans="10:12">
      <c r="J5953" s="31">
        <v>51</v>
      </c>
      <c r="K5953" s="33" t="s">
        <v>124</v>
      </c>
      <c r="L5953" s="31" t="str">
        <f t="shared" ref="L5953:L5961" si="575">$L$53&amp;" "&amp;L5903</f>
        <v>Lima Puluh Satu</v>
      </c>
    </row>
    <row r="5954" spans="10:12">
      <c r="J5954" s="31">
        <v>52</v>
      </c>
      <c r="K5954" s="33" t="s">
        <v>125</v>
      </c>
      <c r="L5954" s="31" t="str">
        <f t="shared" si="575"/>
        <v>Lima Puluh Dua</v>
      </c>
    </row>
    <row r="5955" spans="10:12">
      <c r="J5955" s="31">
        <v>53</v>
      </c>
      <c r="K5955" s="33" t="s">
        <v>126</v>
      </c>
      <c r="L5955" s="31" t="str">
        <f t="shared" si="575"/>
        <v>Lima Puluh Tiga</v>
      </c>
    </row>
    <row r="5956" spans="10:12">
      <c r="J5956" s="31">
        <v>54</v>
      </c>
      <c r="K5956" s="33" t="s">
        <v>127</v>
      </c>
      <c r="L5956" s="31" t="str">
        <f t="shared" si="575"/>
        <v>Lima Puluh Empat</v>
      </c>
    </row>
    <row r="5957" spans="10:12">
      <c r="J5957" s="31">
        <v>55</v>
      </c>
      <c r="K5957" s="33" t="s">
        <v>128</v>
      </c>
      <c r="L5957" s="31" t="str">
        <f t="shared" si="575"/>
        <v>Lima Puluh Lima</v>
      </c>
    </row>
    <row r="5958" spans="10:12">
      <c r="J5958" s="31">
        <v>56</v>
      </c>
      <c r="K5958" s="33" t="s">
        <v>129</v>
      </c>
      <c r="L5958" s="31" t="str">
        <f t="shared" si="575"/>
        <v>Lima Puluh Enam</v>
      </c>
    </row>
    <row r="5959" spans="10:12">
      <c r="J5959" s="31">
        <v>57</v>
      </c>
      <c r="K5959" s="33" t="s">
        <v>130</v>
      </c>
      <c r="L5959" s="31" t="str">
        <f t="shared" si="575"/>
        <v>Lima Puluh Tujuh</v>
      </c>
    </row>
    <row r="5960" spans="10:12">
      <c r="J5960" s="31">
        <v>58</v>
      </c>
      <c r="K5960" s="33" t="s">
        <v>131</v>
      </c>
      <c r="L5960" s="31" t="str">
        <f t="shared" si="575"/>
        <v>Lima Puluh Delapan</v>
      </c>
    </row>
    <row r="5961" spans="10:12">
      <c r="J5961" s="31">
        <v>59</v>
      </c>
      <c r="K5961" s="33" t="s">
        <v>132</v>
      </c>
      <c r="L5961" s="31" t="str">
        <f t="shared" si="575"/>
        <v>Lima Puluh Sembilan</v>
      </c>
    </row>
    <row r="5962" spans="10:12">
      <c r="J5962" s="31">
        <v>60</v>
      </c>
      <c r="K5962" s="33" t="s">
        <v>133</v>
      </c>
      <c r="L5962" s="31" t="s">
        <v>134</v>
      </c>
    </row>
    <row r="5963" spans="10:12">
      <c r="J5963" s="31">
        <v>61</v>
      </c>
      <c r="K5963" s="33" t="s">
        <v>135</v>
      </c>
      <c r="L5963" s="31" t="str">
        <f t="shared" ref="L5963:L5971" si="576">$L$63&amp;" "&amp;L5903</f>
        <v>Enam Puluh Satu</v>
      </c>
    </row>
    <row r="5964" spans="10:12">
      <c r="J5964" s="31">
        <v>62</v>
      </c>
      <c r="K5964" s="33" t="s">
        <v>136</v>
      </c>
      <c r="L5964" s="31" t="str">
        <f t="shared" si="576"/>
        <v>Enam Puluh Dua</v>
      </c>
    </row>
    <row r="5965" spans="10:12">
      <c r="J5965" s="31">
        <v>63</v>
      </c>
      <c r="K5965" s="33" t="s">
        <v>137</v>
      </c>
      <c r="L5965" s="31" t="str">
        <f t="shared" si="576"/>
        <v>Enam Puluh Tiga</v>
      </c>
    </row>
    <row r="5966" spans="10:12">
      <c r="J5966" s="31">
        <v>64</v>
      </c>
      <c r="K5966" s="33" t="s">
        <v>138</v>
      </c>
      <c r="L5966" s="31" t="str">
        <f t="shared" si="576"/>
        <v>Enam Puluh Empat</v>
      </c>
    </row>
    <row r="5967" spans="10:12">
      <c r="J5967" s="31">
        <v>65</v>
      </c>
      <c r="K5967" s="33" t="s">
        <v>139</v>
      </c>
      <c r="L5967" s="31" t="str">
        <f t="shared" si="576"/>
        <v>Enam Puluh Lima</v>
      </c>
    </row>
    <row r="5968" spans="10:12">
      <c r="J5968" s="31">
        <v>66</v>
      </c>
      <c r="K5968" s="33" t="s">
        <v>140</v>
      </c>
      <c r="L5968" s="31" t="str">
        <f t="shared" si="576"/>
        <v>Enam Puluh Enam</v>
      </c>
    </row>
    <row r="5969" spans="10:12">
      <c r="J5969" s="31">
        <v>67</v>
      </c>
      <c r="K5969" s="33" t="s">
        <v>141</v>
      </c>
      <c r="L5969" s="31" t="str">
        <f t="shared" si="576"/>
        <v>Enam Puluh Tujuh</v>
      </c>
    </row>
    <row r="5970" spans="10:12">
      <c r="J5970" s="31">
        <v>68</v>
      </c>
      <c r="K5970" s="33" t="s">
        <v>142</v>
      </c>
      <c r="L5970" s="31" t="str">
        <f t="shared" si="576"/>
        <v>Enam Puluh Delapan</v>
      </c>
    </row>
    <row r="5971" spans="10:12">
      <c r="J5971" s="31">
        <v>69</v>
      </c>
      <c r="K5971" s="33" t="s">
        <v>143</v>
      </c>
      <c r="L5971" s="31" t="str">
        <f t="shared" si="576"/>
        <v>Enam Puluh Sembilan</v>
      </c>
    </row>
    <row r="5972" spans="10:12">
      <c r="J5972" s="31">
        <v>70</v>
      </c>
      <c r="K5972" s="33" t="s">
        <v>144</v>
      </c>
      <c r="L5972" s="31" t="s">
        <v>145</v>
      </c>
    </row>
    <row r="5973" spans="10:12">
      <c r="J5973" s="31">
        <v>71</v>
      </c>
      <c r="K5973" s="33" t="s">
        <v>146</v>
      </c>
      <c r="L5973" s="31" t="str">
        <f t="shared" ref="L5973:L5981" si="577">$L$73&amp;" "&amp;L5903</f>
        <v>Tujuh Puluh Satu</v>
      </c>
    </row>
    <row r="5974" spans="10:12">
      <c r="J5974" s="31">
        <v>72</v>
      </c>
      <c r="K5974" s="33" t="s">
        <v>147</v>
      </c>
      <c r="L5974" s="31" t="str">
        <f t="shared" si="577"/>
        <v>Tujuh Puluh Dua</v>
      </c>
    </row>
    <row r="5975" spans="10:12">
      <c r="J5975" s="31">
        <v>73</v>
      </c>
      <c r="K5975" s="33" t="s">
        <v>148</v>
      </c>
      <c r="L5975" s="31" t="str">
        <f t="shared" si="577"/>
        <v>Tujuh Puluh Tiga</v>
      </c>
    </row>
    <row r="5976" spans="10:12">
      <c r="J5976" s="31">
        <v>74</v>
      </c>
      <c r="K5976" s="33" t="s">
        <v>149</v>
      </c>
      <c r="L5976" s="31" t="str">
        <f t="shared" si="577"/>
        <v>Tujuh Puluh Empat</v>
      </c>
    </row>
    <row r="5977" spans="10:12">
      <c r="J5977" s="31">
        <v>75</v>
      </c>
      <c r="K5977" s="33" t="s">
        <v>150</v>
      </c>
      <c r="L5977" s="31" t="str">
        <f t="shared" si="577"/>
        <v>Tujuh Puluh Lima</v>
      </c>
    </row>
    <row r="5978" spans="10:12">
      <c r="J5978" s="31">
        <v>76</v>
      </c>
      <c r="K5978" s="33" t="s">
        <v>151</v>
      </c>
      <c r="L5978" s="31" t="str">
        <f t="shared" si="577"/>
        <v>Tujuh Puluh Enam</v>
      </c>
    </row>
    <row r="5979" spans="10:12">
      <c r="J5979" s="31">
        <v>77</v>
      </c>
      <c r="K5979" s="33" t="s">
        <v>152</v>
      </c>
      <c r="L5979" s="31" t="str">
        <f t="shared" si="577"/>
        <v>Tujuh Puluh Tujuh</v>
      </c>
    </row>
    <row r="5980" spans="10:12">
      <c r="J5980" s="31">
        <v>78</v>
      </c>
      <c r="K5980" s="33" t="s">
        <v>153</v>
      </c>
      <c r="L5980" s="31" t="str">
        <f t="shared" si="577"/>
        <v>Tujuh Puluh Delapan</v>
      </c>
    </row>
    <row r="5981" spans="10:12">
      <c r="J5981" s="31">
        <v>79</v>
      </c>
      <c r="K5981" s="33" t="s">
        <v>154</v>
      </c>
      <c r="L5981" s="31" t="str">
        <f t="shared" si="577"/>
        <v>Tujuh Puluh Sembilan</v>
      </c>
    </row>
    <row r="5982" spans="10:12">
      <c r="J5982" s="31">
        <v>80</v>
      </c>
      <c r="K5982" s="33" t="s">
        <v>155</v>
      </c>
      <c r="L5982" s="31" t="s">
        <v>156</v>
      </c>
    </row>
    <row r="5983" spans="10:12">
      <c r="J5983" s="31">
        <v>81</v>
      </c>
      <c r="K5983" s="33" t="s">
        <v>157</v>
      </c>
      <c r="L5983" s="31" t="str">
        <f t="shared" ref="L5983:L5991" si="578">$L$83&amp;" "&amp;L5903</f>
        <v>Delapan Puluh Satu</v>
      </c>
    </row>
    <row r="5984" spans="10:12">
      <c r="J5984" s="31">
        <v>82</v>
      </c>
      <c r="K5984" s="33" t="s">
        <v>158</v>
      </c>
      <c r="L5984" s="31" t="str">
        <f t="shared" si="578"/>
        <v>Delapan Puluh Dua</v>
      </c>
    </row>
    <row r="5985" spans="10:12">
      <c r="J5985" s="31">
        <v>83</v>
      </c>
      <c r="K5985" s="33" t="s">
        <v>159</v>
      </c>
      <c r="L5985" s="31" t="str">
        <f t="shared" si="578"/>
        <v>Delapan Puluh Tiga</v>
      </c>
    </row>
    <row r="5986" spans="10:12">
      <c r="J5986" s="31">
        <v>84</v>
      </c>
      <c r="K5986" s="33" t="s">
        <v>160</v>
      </c>
      <c r="L5986" s="31" t="str">
        <f t="shared" si="578"/>
        <v>Delapan Puluh Empat</v>
      </c>
    </row>
    <row r="5987" spans="10:12">
      <c r="J5987" s="31">
        <v>85</v>
      </c>
      <c r="K5987" s="33" t="s">
        <v>161</v>
      </c>
      <c r="L5987" s="31" t="str">
        <f t="shared" si="578"/>
        <v>Delapan Puluh Lima</v>
      </c>
    </row>
    <row r="5988" spans="10:12">
      <c r="J5988" s="31">
        <v>86</v>
      </c>
      <c r="K5988" s="33" t="s">
        <v>162</v>
      </c>
      <c r="L5988" s="31" t="str">
        <f t="shared" si="578"/>
        <v>Delapan Puluh Enam</v>
      </c>
    </row>
    <row r="5989" spans="10:12">
      <c r="J5989" s="31">
        <v>87</v>
      </c>
      <c r="K5989" s="33" t="s">
        <v>163</v>
      </c>
      <c r="L5989" s="31" t="str">
        <f t="shared" si="578"/>
        <v>Delapan Puluh Tujuh</v>
      </c>
    </row>
    <row r="5990" spans="10:12">
      <c r="J5990" s="31">
        <v>88</v>
      </c>
      <c r="K5990" s="33" t="s">
        <v>164</v>
      </c>
      <c r="L5990" s="31" t="str">
        <f t="shared" si="578"/>
        <v>Delapan Puluh Delapan</v>
      </c>
    </row>
    <row r="5991" spans="10:12">
      <c r="J5991" s="31">
        <v>89</v>
      </c>
      <c r="K5991" s="33" t="s">
        <v>165</v>
      </c>
      <c r="L5991" s="31" t="str">
        <f t="shared" si="578"/>
        <v>Delapan Puluh Sembilan</v>
      </c>
    </row>
    <row r="5992" spans="10:12">
      <c r="J5992" s="31">
        <v>90</v>
      </c>
      <c r="K5992" s="33" t="s">
        <v>166</v>
      </c>
      <c r="L5992" s="31" t="s">
        <v>167</v>
      </c>
    </row>
    <row r="5993" spans="10:12">
      <c r="J5993" s="31">
        <v>91</v>
      </c>
      <c r="K5993" s="33" t="s">
        <v>168</v>
      </c>
      <c r="L5993" s="31" t="str">
        <f t="shared" ref="L5993:L6001" si="579">$L$93&amp;" "&amp;L5903</f>
        <v>Sembilan Puluh Satu</v>
      </c>
    </row>
    <row r="5994" spans="10:12">
      <c r="J5994" s="31">
        <v>92</v>
      </c>
      <c r="K5994" s="33" t="s">
        <v>169</v>
      </c>
      <c r="L5994" s="31" t="str">
        <f t="shared" si="579"/>
        <v>Sembilan Puluh Dua</v>
      </c>
    </row>
    <row r="5995" spans="10:12">
      <c r="J5995" s="31">
        <v>93</v>
      </c>
      <c r="K5995" s="33" t="s">
        <v>170</v>
      </c>
      <c r="L5995" s="31" t="str">
        <f t="shared" si="579"/>
        <v>Sembilan Puluh Tiga</v>
      </c>
    </row>
    <row r="5996" spans="10:12">
      <c r="J5996" s="31">
        <v>94</v>
      </c>
      <c r="K5996" s="33" t="s">
        <v>171</v>
      </c>
      <c r="L5996" s="31" t="str">
        <f t="shared" si="579"/>
        <v>Sembilan Puluh Empat</v>
      </c>
    </row>
    <row r="5997" spans="10:12">
      <c r="J5997" s="31">
        <v>95</v>
      </c>
      <c r="K5997" s="33" t="s">
        <v>172</v>
      </c>
      <c r="L5997" s="31" t="str">
        <f t="shared" si="579"/>
        <v>Sembilan Puluh Lima</v>
      </c>
    </row>
    <row r="5998" spans="10:12">
      <c r="J5998" s="31">
        <v>96</v>
      </c>
      <c r="K5998" s="33" t="s">
        <v>173</v>
      </c>
      <c r="L5998" s="31" t="str">
        <f t="shared" si="579"/>
        <v>Sembilan Puluh Enam</v>
      </c>
    </row>
    <row r="5999" spans="10:12">
      <c r="J5999" s="31">
        <v>97</v>
      </c>
      <c r="K5999" s="33" t="s">
        <v>174</v>
      </c>
      <c r="L5999" s="31" t="str">
        <f t="shared" si="579"/>
        <v>Sembilan Puluh Tujuh</v>
      </c>
    </row>
    <row r="6000" spans="10:12">
      <c r="J6000" s="31">
        <v>98</v>
      </c>
      <c r="K6000" s="33" t="s">
        <v>175</v>
      </c>
      <c r="L6000" s="31" t="str">
        <f t="shared" si="579"/>
        <v>Sembilan Puluh Delapan</v>
      </c>
    </row>
    <row r="6001" spans="1:12">
      <c r="J6001" s="31">
        <v>99</v>
      </c>
      <c r="K6001" s="33" t="s">
        <v>176</v>
      </c>
      <c r="L6001" s="31" t="str">
        <f t="shared" si="579"/>
        <v>Sembilan Puluh Sembilan</v>
      </c>
    </row>
    <row r="6003" spans="1:12">
      <c r="A6003" s="30" t="e">
        <f>#REF!</f>
        <v>#REF!</v>
      </c>
      <c r="C6003" s="31" t="s">
        <v>251</v>
      </c>
    </row>
    <row r="6004" spans="1:12">
      <c r="A6004" s="32"/>
    </row>
    <row r="6005" spans="1:12">
      <c r="J6005" s="31">
        <v>0</v>
      </c>
      <c r="K6005" s="33" t="s">
        <v>48</v>
      </c>
      <c r="L6005" s="31" t="s">
        <v>49</v>
      </c>
    </row>
    <row r="6006" spans="1:12">
      <c r="A6006" s="34"/>
      <c r="J6006" s="31">
        <v>1</v>
      </c>
      <c r="K6006" s="33" t="s">
        <v>50</v>
      </c>
      <c r="L6006" s="31" t="s">
        <v>51</v>
      </c>
    </row>
    <row r="6007" spans="1:12">
      <c r="A6007" s="255" t="e">
        <f>TRIM(D6015&amp;E6015&amp;D6016&amp;E6016&amp;D6017&amp;E6017&amp;D6018&amp;E6018&amp;D6019&amp;E6019&amp;D6020&amp;E6020&amp;E6021&amp;D6021&amp;" Only")</f>
        <v>#REF!</v>
      </c>
      <c r="B6007" s="255"/>
      <c r="C6007" s="255"/>
      <c r="D6007" s="255"/>
      <c r="E6007" s="35"/>
      <c r="F6007" s="36"/>
      <c r="J6007" s="31">
        <v>2</v>
      </c>
      <c r="K6007" s="33" t="s">
        <v>52</v>
      </c>
      <c r="L6007" s="31" t="s">
        <v>53</v>
      </c>
    </row>
    <row r="6008" spans="1:12">
      <c r="A6008" s="37"/>
      <c r="B6008" s="37"/>
      <c r="C6008" s="37"/>
      <c r="D6008" s="37"/>
      <c r="E6008" s="35"/>
      <c r="F6008" s="36"/>
      <c r="J6008" s="31">
        <v>3</v>
      </c>
      <c r="K6008" s="33" t="s">
        <v>54</v>
      </c>
      <c r="L6008" s="31" t="s">
        <v>55</v>
      </c>
    </row>
    <row r="6009" spans="1:12">
      <c r="A6009" s="37"/>
      <c r="B6009" s="37"/>
      <c r="C6009" s="37"/>
      <c r="D6009" s="37"/>
      <c r="J6009" s="31">
        <v>4</v>
      </c>
      <c r="K6009" s="33" t="s">
        <v>56</v>
      </c>
      <c r="L6009" s="31" t="s">
        <v>57</v>
      </c>
    </row>
    <row r="6010" spans="1:12">
      <c r="A6010" s="255" t="e">
        <f>TRIM(D6025&amp;E6025&amp;D6026&amp;E6026&amp;D6027&amp;E6027&amp;D6028&amp;E6028&amp;D6029&amp;E6029&amp;D6030&amp;E6030&amp;D6031&amp;E6031&amp;" Rupiah")</f>
        <v>#REF!</v>
      </c>
      <c r="B6010" s="255"/>
      <c r="C6010" s="255"/>
      <c r="D6010" s="255"/>
      <c r="E6010" s="35"/>
      <c r="F6010" s="36"/>
      <c r="J6010" s="31">
        <v>5</v>
      </c>
      <c r="K6010" s="33" t="s">
        <v>58</v>
      </c>
      <c r="L6010" s="31" t="s">
        <v>59</v>
      </c>
    </row>
    <row r="6011" spans="1:12">
      <c r="A6011" s="35"/>
      <c r="B6011" s="35"/>
      <c r="C6011" s="35"/>
      <c r="D6011" s="35"/>
      <c r="E6011" s="35"/>
      <c r="F6011" s="36"/>
      <c r="J6011" s="31">
        <v>6</v>
      </c>
      <c r="K6011" s="33" t="s">
        <v>60</v>
      </c>
      <c r="L6011" s="31" t="s">
        <v>61</v>
      </c>
    </row>
    <row r="6012" spans="1:12">
      <c r="J6012" s="31">
        <v>7</v>
      </c>
      <c r="K6012" s="33" t="s">
        <v>62</v>
      </c>
      <c r="L6012" s="31" t="s">
        <v>63</v>
      </c>
    </row>
    <row r="6013" spans="1:12">
      <c r="J6013" s="31">
        <v>8</v>
      </c>
      <c r="K6013" s="33" t="s">
        <v>64</v>
      </c>
      <c r="L6013" s="31" t="s">
        <v>65</v>
      </c>
    </row>
    <row r="6014" spans="1:12">
      <c r="A6014" s="38" t="s">
        <v>66</v>
      </c>
      <c r="J6014" s="31">
        <v>9</v>
      </c>
      <c r="K6014" s="33" t="s">
        <v>67</v>
      </c>
      <c r="L6014" s="31" t="s">
        <v>68</v>
      </c>
    </row>
    <row r="6015" spans="1:12">
      <c r="A6015" s="31" t="s">
        <v>69</v>
      </c>
      <c r="B6015" s="39" t="e">
        <f>TRUNC(A6003/100000000)</f>
        <v>#REF!</v>
      </c>
      <c r="C6015" s="31" t="e">
        <f>B6015*100000000</f>
        <v>#REF!</v>
      </c>
      <c r="D6015" s="31" t="e">
        <f t="shared" ref="D6015:D6021" si="580">IF(B6015&lt;1,"",VLOOKUP(B6015,$J$3:$K$102,2))</f>
        <v>#REF!</v>
      </c>
      <c r="E6015" s="31" t="e">
        <f>IF(B6015&lt;1,"",IF(B6015&gt;1," Hundreds "," Hundred "))</f>
        <v>#REF!</v>
      </c>
      <c r="J6015" s="31">
        <v>10</v>
      </c>
      <c r="K6015" s="33" t="s">
        <v>70</v>
      </c>
      <c r="L6015" s="31" t="s">
        <v>71</v>
      </c>
    </row>
    <row r="6016" spans="1:12">
      <c r="A6016" s="31" t="s">
        <v>72</v>
      </c>
      <c r="B6016" s="39" t="e">
        <f>TRUNC((A6003-C6015)/1000000)</f>
        <v>#REF!</v>
      </c>
      <c r="C6016" s="31" t="e">
        <f>B6016*1000000</f>
        <v>#REF!</v>
      </c>
      <c r="D6016" s="31" t="e">
        <f t="shared" si="580"/>
        <v>#REF!</v>
      </c>
      <c r="E6016" s="31" t="e">
        <f>IF(B6015+B6016=0,"",IF(B6016=1," Million "," Millions "))</f>
        <v>#REF!</v>
      </c>
      <c r="J6016" s="31">
        <v>11</v>
      </c>
      <c r="K6016" s="33" t="s">
        <v>73</v>
      </c>
      <c r="L6016" s="31" t="s">
        <v>74</v>
      </c>
    </row>
    <row r="6017" spans="1:12">
      <c r="A6017" s="31" t="s">
        <v>75</v>
      </c>
      <c r="B6017" s="39" t="e">
        <f>TRUNC((A6003-SUM(C6015:C6016))/100000)</f>
        <v>#REF!</v>
      </c>
      <c r="C6017" s="31" t="e">
        <f>B6017*100000</f>
        <v>#REF!</v>
      </c>
      <c r="D6017" s="31" t="e">
        <f t="shared" si="580"/>
        <v>#REF!</v>
      </c>
      <c r="E6017" s="31" t="e">
        <f>IF(B6017&lt;1,"",IF(B6017&gt;1," Hundreds "," Hundred "))</f>
        <v>#REF!</v>
      </c>
      <c r="J6017" s="31">
        <v>12</v>
      </c>
      <c r="K6017" s="33" t="s">
        <v>76</v>
      </c>
      <c r="L6017" s="31" t="str">
        <f t="shared" ref="L6017:L6024" si="581">L6007&amp;" Belas"</f>
        <v>Dua Belas</v>
      </c>
    </row>
    <row r="6018" spans="1:12">
      <c r="A6018" s="33" t="s">
        <v>77</v>
      </c>
      <c r="B6018" s="40" t="e">
        <f>TRUNC((A6003-SUM(C6015:C6017))/1000)</f>
        <v>#REF!</v>
      </c>
      <c r="C6018" s="31" t="e">
        <f>B6018*1000</f>
        <v>#REF!</v>
      </c>
      <c r="D6018" s="31" t="e">
        <f t="shared" si="580"/>
        <v>#REF!</v>
      </c>
      <c r="E6018" s="31" t="e">
        <f>IF(B6017+B6018=0,"",IF(B6018=1," Thousand "," Thousands "))</f>
        <v>#REF!</v>
      </c>
      <c r="J6018" s="31">
        <v>13</v>
      </c>
      <c r="K6018" s="33" t="s">
        <v>78</v>
      </c>
      <c r="L6018" s="31" t="str">
        <f t="shared" si="581"/>
        <v>Tiga Belas</v>
      </c>
    </row>
    <row r="6019" spans="1:12">
      <c r="A6019" s="33" t="s">
        <v>79</v>
      </c>
      <c r="B6019" s="40" t="e">
        <f>TRUNC((A6003-SUM(C6015:C6018))/100)</f>
        <v>#REF!</v>
      </c>
      <c r="C6019" s="31" t="e">
        <f>B6019*100</f>
        <v>#REF!</v>
      </c>
      <c r="D6019" s="31" t="e">
        <f t="shared" si="580"/>
        <v>#REF!</v>
      </c>
      <c r="E6019" s="31" t="e">
        <f>IF(B6019&lt;1,"",IF(B6019&gt;1," Hundreds "," Hundred "))</f>
        <v>#REF!</v>
      </c>
      <c r="J6019" s="31">
        <v>14</v>
      </c>
      <c r="K6019" s="33" t="s">
        <v>80</v>
      </c>
      <c r="L6019" s="31" t="str">
        <f t="shared" si="581"/>
        <v>Empat Belas</v>
      </c>
    </row>
    <row r="6020" spans="1:12">
      <c r="A6020" s="33" t="s">
        <v>81</v>
      </c>
      <c r="B6020" s="41" t="e">
        <f>TRUNC((A6003-SUM(C6015:C6019)))</f>
        <v>#REF!</v>
      </c>
      <c r="C6020" s="42" t="e">
        <f>B6020</f>
        <v>#REF!</v>
      </c>
      <c r="D6020" s="31" t="e">
        <f t="shared" si="580"/>
        <v>#REF!</v>
      </c>
      <c r="E6020" s="31" t="e">
        <f>IF(SUM(C6015:C6020)&lt;1,"",IF(B6021&lt;1,""," And "))</f>
        <v>#REF!</v>
      </c>
      <c r="J6020" s="31">
        <v>15</v>
      </c>
      <c r="K6020" s="33" t="s">
        <v>82</v>
      </c>
      <c r="L6020" s="31" t="str">
        <f t="shared" si="581"/>
        <v>Lima Belas</v>
      </c>
    </row>
    <row r="6021" spans="1:12">
      <c r="A6021" s="33" t="s">
        <v>83</v>
      </c>
      <c r="B6021" s="40" t="e">
        <f>ROUND(A6003-SUM(C6015:C6020),2)*100</f>
        <v>#REF!</v>
      </c>
      <c r="D6021" s="43" t="e">
        <f t="shared" si="580"/>
        <v>#REF!</v>
      </c>
      <c r="E6021" s="31" t="e">
        <f>IF(B6021&lt;1,"",IF(B6021=1," Cent "," Cents "))</f>
        <v>#REF!</v>
      </c>
      <c r="J6021" s="31">
        <v>16</v>
      </c>
      <c r="K6021" s="33" t="s">
        <v>84</v>
      </c>
      <c r="L6021" s="31" t="str">
        <f t="shared" si="581"/>
        <v>Enam Belas</v>
      </c>
    </row>
    <row r="6022" spans="1:12">
      <c r="J6022" s="31">
        <v>17</v>
      </c>
      <c r="K6022" s="33" t="s">
        <v>85</v>
      </c>
      <c r="L6022" s="31" t="str">
        <f t="shared" si="581"/>
        <v>Tujuh Belas</v>
      </c>
    </row>
    <row r="6023" spans="1:12">
      <c r="A6023" s="44"/>
      <c r="J6023" s="31">
        <v>18</v>
      </c>
      <c r="K6023" s="33" t="s">
        <v>86</v>
      </c>
      <c r="L6023" s="31" t="str">
        <f t="shared" si="581"/>
        <v>Delapan Belas</v>
      </c>
    </row>
    <row r="6024" spans="1:12">
      <c r="A6024" s="38" t="s">
        <v>87</v>
      </c>
      <c r="J6024" s="31">
        <v>19</v>
      </c>
      <c r="K6024" s="33" t="s">
        <v>88</v>
      </c>
      <c r="L6024" s="31" t="str">
        <f t="shared" si="581"/>
        <v>Sembilan Belas</v>
      </c>
    </row>
    <row r="6025" spans="1:12">
      <c r="A6025" s="31" t="s">
        <v>69</v>
      </c>
      <c r="B6025" s="39" t="e">
        <f>TRUNC(A6003/100000000)</f>
        <v>#REF!</v>
      </c>
      <c r="C6025" s="31" t="e">
        <f>B6025*100000000</f>
        <v>#REF!</v>
      </c>
      <c r="D6025" s="31" t="e">
        <f>IF(B6025&lt;1,"",IF(B6025=1,"",VLOOKUP(B6025,$J$3:$L$102,3)))</f>
        <v>#REF!</v>
      </c>
      <c r="E6025" s="31" t="e">
        <f>IF(B6025&lt;1,"",IF(B6025=1,"Seratus "," Ratus "))</f>
        <v>#REF!</v>
      </c>
      <c r="J6025" s="31">
        <v>20</v>
      </c>
      <c r="K6025" s="33" t="s">
        <v>89</v>
      </c>
      <c r="L6025" s="31" t="s">
        <v>90</v>
      </c>
    </row>
    <row r="6026" spans="1:12">
      <c r="A6026" s="31" t="s">
        <v>72</v>
      </c>
      <c r="B6026" s="39" t="e">
        <f>TRUNC((A6003-C6025)/1000000)</f>
        <v>#REF!</v>
      </c>
      <c r="C6026" s="31" t="e">
        <f>B6026*1000000</f>
        <v>#REF!</v>
      </c>
      <c r="D6026" s="31" t="e">
        <f>IF(B6026&lt;1,"",VLOOKUP(B6026,$J$3:$L$102,3))</f>
        <v>#REF!</v>
      </c>
      <c r="E6026" s="31" t="e">
        <f>IF(B6025+B6026=0,""," Juta ")</f>
        <v>#REF!</v>
      </c>
      <c r="J6026" s="31">
        <v>21</v>
      </c>
      <c r="K6026" s="33" t="s">
        <v>91</v>
      </c>
      <c r="L6026" s="31" t="str">
        <f t="shared" ref="L6026:L6034" si="582">$L$23&amp;" "&amp;L6006</f>
        <v>Dua Puluh Satu</v>
      </c>
    </row>
    <row r="6027" spans="1:12">
      <c r="A6027" s="31" t="s">
        <v>75</v>
      </c>
      <c r="B6027" s="39" t="e">
        <f>TRUNC((A6003-SUM(C6025:C6026))/100000)</f>
        <v>#REF!</v>
      </c>
      <c r="C6027" s="31" t="e">
        <f>B6027*100000</f>
        <v>#REF!</v>
      </c>
      <c r="D6027" s="31" t="e">
        <f>IF(B6027&lt;1,"",IF(B6027=1,"",VLOOKUP(B6027,$J$3:$L$102,3)))</f>
        <v>#REF!</v>
      </c>
      <c r="E6027" s="31" t="e">
        <f>IF(B6027&lt;1,"",IF(B6027=1," Seratus "," Ratus "))</f>
        <v>#REF!</v>
      </c>
      <c r="J6027" s="31">
        <v>22</v>
      </c>
      <c r="K6027" s="33" t="s">
        <v>92</v>
      </c>
      <c r="L6027" s="31" t="str">
        <f t="shared" si="582"/>
        <v>Dua Puluh Dua</v>
      </c>
    </row>
    <row r="6028" spans="1:12">
      <c r="A6028" s="33" t="s">
        <v>77</v>
      </c>
      <c r="B6028" s="40" t="e">
        <f>TRUNC((A6003-SUM(C6025:C6027))/1000)</f>
        <v>#REF!</v>
      </c>
      <c r="C6028" s="31" t="e">
        <f>B6028*1000</f>
        <v>#REF!</v>
      </c>
      <c r="D6028" s="31" t="e">
        <f>IF(B6028&lt;1,"",IF(B6028=1,"",VLOOKUP(B6028,$J$3:$L$102,3)))</f>
        <v>#REF!</v>
      </c>
      <c r="E6028" s="31" t="e">
        <f>IF(B6027+B6028&lt;1,"",IF(B6028=1," Seribu "," Ribu "))</f>
        <v>#REF!</v>
      </c>
      <c r="J6028" s="31">
        <v>23</v>
      </c>
      <c r="K6028" s="33" t="s">
        <v>93</v>
      </c>
      <c r="L6028" s="31" t="str">
        <f t="shared" si="582"/>
        <v>Dua Puluh Tiga</v>
      </c>
    </row>
    <row r="6029" spans="1:12">
      <c r="A6029" s="33" t="s">
        <v>79</v>
      </c>
      <c r="B6029" s="40" t="e">
        <f>TRUNC((A6003-SUM(C6025:C6028))/100)</f>
        <v>#REF!</v>
      </c>
      <c r="C6029" s="31" t="e">
        <f>B6029*100</f>
        <v>#REF!</v>
      </c>
      <c r="D6029" s="31" t="e">
        <f>IF(B6029&lt;1,"",IF(B6029=1,"",VLOOKUP(B6029,$J$3:$L$102,3)))</f>
        <v>#REF!</v>
      </c>
      <c r="E6029" s="31" t="e">
        <f>IF(B6029&lt;1,"",IF(B6029=1," Seratus "," Ratus "))</f>
        <v>#REF!</v>
      </c>
      <c r="J6029" s="31">
        <v>24</v>
      </c>
      <c r="K6029" s="33" t="s">
        <v>94</v>
      </c>
      <c r="L6029" s="31" t="str">
        <f t="shared" si="582"/>
        <v>Dua Puluh Empat</v>
      </c>
    </row>
    <row r="6030" spans="1:12">
      <c r="A6030" s="33" t="s">
        <v>81</v>
      </c>
      <c r="B6030" s="41" t="e">
        <f>TRUNC((A6003-SUM(C6025:C6029)))</f>
        <v>#REF!</v>
      </c>
      <c r="C6030" s="42" t="e">
        <f>B6030</f>
        <v>#REF!</v>
      </c>
      <c r="D6030" s="31" t="e">
        <f>IF(B6030&lt;1,"",VLOOKUP(B6030,$J$3:$L$102,3))</f>
        <v>#REF!</v>
      </c>
      <c r="E6030" s="31" t="e">
        <f>IF(SUM(C6025:C6030)&lt;1,"",IF(B6031&lt;1,""," Dan "))</f>
        <v>#REF!</v>
      </c>
      <c r="J6030" s="31">
        <v>25</v>
      </c>
      <c r="K6030" s="33" t="s">
        <v>95</v>
      </c>
      <c r="L6030" s="31" t="str">
        <f t="shared" si="582"/>
        <v>Dua Puluh Lima</v>
      </c>
    </row>
    <row r="6031" spans="1:12">
      <c r="A6031" s="33" t="s">
        <v>83</v>
      </c>
      <c r="B6031" s="40" t="e">
        <f>ROUND(A6003-SUM(C6025:C6030),2)*100</f>
        <v>#REF!</v>
      </c>
      <c r="D6031" s="31" t="e">
        <f>IF(B6031&lt;1,"",VLOOKUP(B6031,$J$3:$L$102,3))</f>
        <v>#REF!</v>
      </c>
      <c r="E6031" s="31" t="e">
        <f>IF(B6031&lt;1,""," Sen ")</f>
        <v>#REF!</v>
      </c>
      <c r="J6031" s="31">
        <v>26</v>
      </c>
      <c r="K6031" s="33" t="s">
        <v>96</v>
      </c>
      <c r="L6031" s="31" t="str">
        <f t="shared" si="582"/>
        <v>Dua Puluh Enam</v>
      </c>
    </row>
    <row r="6032" spans="1:12">
      <c r="J6032" s="31">
        <v>27</v>
      </c>
      <c r="K6032" s="33" t="s">
        <v>97</v>
      </c>
      <c r="L6032" s="31" t="str">
        <f t="shared" si="582"/>
        <v>Dua Puluh Tujuh</v>
      </c>
    </row>
    <row r="6033" spans="1:12">
      <c r="J6033" s="31">
        <v>28</v>
      </c>
      <c r="K6033" s="33" t="s">
        <v>98</v>
      </c>
      <c r="L6033" s="31" t="str">
        <f t="shared" si="582"/>
        <v>Dua Puluh Delapan</v>
      </c>
    </row>
    <row r="6034" spans="1:12">
      <c r="J6034" s="31">
        <v>29</v>
      </c>
      <c r="K6034" s="33" t="s">
        <v>99</v>
      </c>
      <c r="L6034" s="31" t="str">
        <f t="shared" si="582"/>
        <v>Dua Puluh Sembilan</v>
      </c>
    </row>
    <row r="6035" spans="1:12">
      <c r="J6035" s="31">
        <v>30</v>
      </c>
      <c r="K6035" s="33" t="s">
        <v>100</v>
      </c>
      <c r="L6035" s="31" t="s">
        <v>101</v>
      </c>
    </row>
    <row r="6036" spans="1:12">
      <c r="J6036" s="31">
        <v>31</v>
      </c>
      <c r="K6036" s="33" t="s">
        <v>102</v>
      </c>
      <c r="L6036" s="31" t="str">
        <f t="shared" ref="L6036:L6044" si="583">$L$33&amp;" "&amp;L6006</f>
        <v>Tiga Puluh Satu</v>
      </c>
    </row>
    <row r="6037" spans="1:12">
      <c r="J6037" s="31">
        <v>32</v>
      </c>
      <c r="K6037" s="33" t="s">
        <v>103</v>
      </c>
      <c r="L6037" s="31" t="str">
        <f t="shared" si="583"/>
        <v>Tiga Puluh Dua</v>
      </c>
    </row>
    <row r="6038" spans="1:12">
      <c r="J6038" s="31">
        <v>33</v>
      </c>
      <c r="K6038" s="33" t="s">
        <v>104</v>
      </c>
      <c r="L6038" s="31" t="str">
        <f t="shared" si="583"/>
        <v>Tiga Puluh Tiga</v>
      </c>
    </row>
    <row r="6039" spans="1:12">
      <c r="J6039" s="31">
        <v>34</v>
      </c>
      <c r="K6039" s="33" t="s">
        <v>105</v>
      </c>
      <c r="L6039" s="31" t="str">
        <f t="shared" si="583"/>
        <v>Tiga Puluh Empat</v>
      </c>
    </row>
    <row r="6040" spans="1:12">
      <c r="J6040" s="31">
        <v>35</v>
      </c>
      <c r="K6040" s="33" t="s">
        <v>106</v>
      </c>
      <c r="L6040" s="31" t="str">
        <f t="shared" si="583"/>
        <v>Tiga Puluh Lima</v>
      </c>
    </row>
    <row r="6041" spans="1:12">
      <c r="J6041" s="31">
        <v>36</v>
      </c>
      <c r="K6041" s="33" t="s">
        <v>107</v>
      </c>
      <c r="L6041" s="31" t="str">
        <f t="shared" si="583"/>
        <v>Tiga Puluh Enam</v>
      </c>
    </row>
    <row r="6042" spans="1:12">
      <c r="J6042" s="31">
        <v>37</v>
      </c>
      <c r="K6042" s="33" t="s">
        <v>108</v>
      </c>
      <c r="L6042" s="31" t="str">
        <f t="shared" si="583"/>
        <v>Tiga Puluh Tujuh</v>
      </c>
    </row>
    <row r="6043" spans="1:12">
      <c r="J6043" s="31">
        <v>38</v>
      </c>
      <c r="K6043" s="33" t="s">
        <v>109</v>
      </c>
      <c r="L6043" s="31" t="str">
        <f t="shared" si="583"/>
        <v>Tiga Puluh Delapan</v>
      </c>
    </row>
    <row r="6044" spans="1:12">
      <c r="J6044" s="31">
        <v>39</v>
      </c>
      <c r="K6044" s="33" t="s">
        <v>110</v>
      </c>
      <c r="L6044" s="31" t="str">
        <f t="shared" si="583"/>
        <v>Tiga Puluh Sembilan</v>
      </c>
    </row>
    <row r="6045" spans="1:12">
      <c r="B6045" s="35"/>
      <c r="C6045" s="35"/>
      <c r="D6045" s="35"/>
      <c r="J6045" s="31">
        <v>40</v>
      </c>
      <c r="K6045" s="33" t="s">
        <v>111</v>
      </c>
      <c r="L6045" s="31" t="s">
        <v>112</v>
      </c>
    </row>
    <row r="6046" spans="1:12">
      <c r="A6046" s="35"/>
      <c r="B6046" s="35"/>
      <c r="C6046" s="35"/>
      <c r="D6046" s="35"/>
      <c r="J6046" s="31">
        <v>41</v>
      </c>
      <c r="K6046" s="33" t="s">
        <v>113</v>
      </c>
      <c r="L6046" s="31" t="str">
        <f t="shared" ref="L6046:L6054" si="584">$L$43&amp;" "&amp;L6006</f>
        <v>Empat Puluh Satu</v>
      </c>
    </row>
    <row r="6047" spans="1:12">
      <c r="J6047" s="31">
        <v>42</v>
      </c>
      <c r="K6047" s="33" t="s">
        <v>114</v>
      </c>
      <c r="L6047" s="31" t="str">
        <f t="shared" si="584"/>
        <v>Empat Puluh Dua</v>
      </c>
    </row>
    <row r="6048" spans="1:12">
      <c r="A6048" s="38"/>
      <c r="J6048" s="31">
        <v>43</v>
      </c>
      <c r="K6048" s="33" t="s">
        <v>115</v>
      </c>
      <c r="L6048" s="31" t="str">
        <f t="shared" si="584"/>
        <v>Empat Puluh Tiga</v>
      </c>
    </row>
    <row r="6049" spans="10:12">
      <c r="J6049" s="31">
        <v>44</v>
      </c>
      <c r="K6049" s="33" t="s">
        <v>116</v>
      </c>
      <c r="L6049" s="31" t="str">
        <f t="shared" si="584"/>
        <v>Empat Puluh Empat</v>
      </c>
    </row>
    <row r="6050" spans="10:12">
      <c r="J6050" s="31">
        <v>45</v>
      </c>
      <c r="K6050" s="33" t="s">
        <v>117</v>
      </c>
      <c r="L6050" s="31" t="str">
        <f t="shared" si="584"/>
        <v>Empat Puluh Lima</v>
      </c>
    </row>
    <row r="6051" spans="10:12">
      <c r="J6051" s="31">
        <v>46</v>
      </c>
      <c r="K6051" s="33" t="s">
        <v>118</v>
      </c>
      <c r="L6051" s="31" t="str">
        <f t="shared" si="584"/>
        <v>Empat Puluh Enam</v>
      </c>
    </row>
    <row r="6052" spans="10:12">
      <c r="J6052" s="31">
        <v>47</v>
      </c>
      <c r="K6052" s="33" t="s">
        <v>119</v>
      </c>
      <c r="L6052" s="31" t="str">
        <f t="shared" si="584"/>
        <v>Empat Puluh Tujuh</v>
      </c>
    </row>
    <row r="6053" spans="10:12">
      <c r="J6053" s="31">
        <v>48</v>
      </c>
      <c r="K6053" s="33" t="s">
        <v>120</v>
      </c>
      <c r="L6053" s="31" t="str">
        <f t="shared" si="584"/>
        <v>Empat Puluh Delapan</v>
      </c>
    </row>
    <row r="6054" spans="10:12">
      <c r="J6054" s="31">
        <v>49</v>
      </c>
      <c r="K6054" s="33" t="s">
        <v>121</v>
      </c>
      <c r="L6054" s="31" t="str">
        <f t="shared" si="584"/>
        <v>Empat Puluh Sembilan</v>
      </c>
    </row>
    <row r="6055" spans="10:12">
      <c r="J6055" s="31">
        <v>50</v>
      </c>
      <c r="K6055" s="33" t="s">
        <v>122</v>
      </c>
      <c r="L6055" s="31" t="s">
        <v>123</v>
      </c>
    </row>
    <row r="6056" spans="10:12">
      <c r="J6056" s="31">
        <v>51</v>
      </c>
      <c r="K6056" s="33" t="s">
        <v>124</v>
      </c>
      <c r="L6056" s="31" t="str">
        <f t="shared" ref="L6056:L6064" si="585">$L$53&amp;" "&amp;L6006</f>
        <v>Lima Puluh Satu</v>
      </c>
    </row>
    <row r="6057" spans="10:12">
      <c r="J6057" s="31">
        <v>52</v>
      </c>
      <c r="K6057" s="33" t="s">
        <v>125</v>
      </c>
      <c r="L6057" s="31" t="str">
        <f t="shared" si="585"/>
        <v>Lima Puluh Dua</v>
      </c>
    </row>
    <row r="6058" spans="10:12">
      <c r="J6058" s="31">
        <v>53</v>
      </c>
      <c r="K6058" s="33" t="s">
        <v>126</v>
      </c>
      <c r="L6058" s="31" t="str">
        <f t="shared" si="585"/>
        <v>Lima Puluh Tiga</v>
      </c>
    </row>
    <row r="6059" spans="10:12">
      <c r="J6059" s="31">
        <v>54</v>
      </c>
      <c r="K6059" s="33" t="s">
        <v>127</v>
      </c>
      <c r="L6059" s="31" t="str">
        <f t="shared" si="585"/>
        <v>Lima Puluh Empat</v>
      </c>
    </row>
    <row r="6060" spans="10:12">
      <c r="J6060" s="31">
        <v>55</v>
      </c>
      <c r="K6060" s="33" t="s">
        <v>128</v>
      </c>
      <c r="L6060" s="31" t="str">
        <f t="shared" si="585"/>
        <v>Lima Puluh Lima</v>
      </c>
    </row>
    <row r="6061" spans="10:12">
      <c r="J6061" s="31">
        <v>56</v>
      </c>
      <c r="K6061" s="33" t="s">
        <v>129</v>
      </c>
      <c r="L6061" s="31" t="str">
        <f t="shared" si="585"/>
        <v>Lima Puluh Enam</v>
      </c>
    </row>
    <row r="6062" spans="10:12">
      <c r="J6062" s="31">
        <v>57</v>
      </c>
      <c r="K6062" s="33" t="s">
        <v>130</v>
      </c>
      <c r="L6062" s="31" t="str">
        <f t="shared" si="585"/>
        <v>Lima Puluh Tujuh</v>
      </c>
    </row>
    <row r="6063" spans="10:12">
      <c r="J6063" s="31">
        <v>58</v>
      </c>
      <c r="K6063" s="33" t="s">
        <v>131</v>
      </c>
      <c r="L6063" s="31" t="str">
        <f t="shared" si="585"/>
        <v>Lima Puluh Delapan</v>
      </c>
    </row>
    <row r="6064" spans="10:12">
      <c r="J6064" s="31">
        <v>59</v>
      </c>
      <c r="K6064" s="33" t="s">
        <v>132</v>
      </c>
      <c r="L6064" s="31" t="str">
        <f t="shared" si="585"/>
        <v>Lima Puluh Sembilan</v>
      </c>
    </row>
    <row r="6065" spans="10:12">
      <c r="J6065" s="31">
        <v>60</v>
      </c>
      <c r="K6065" s="33" t="s">
        <v>133</v>
      </c>
      <c r="L6065" s="31" t="s">
        <v>134</v>
      </c>
    </row>
    <row r="6066" spans="10:12">
      <c r="J6066" s="31">
        <v>61</v>
      </c>
      <c r="K6066" s="33" t="s">
        <v>135</v>
      </c>
      <c r="L6066" s="31" t="str">
        <f t="shared" ref="L6066:L6074" si="586">$L$63&amp;" "&amp;L6006</f>
        <v>Enam Puluh Satu</v>
      </c>
    </row>
    <row r="6067" spans="10:12">
      <c r="J6067" s="31">
        <v>62</v>
      </c>
      <c r="K6067" s="33" t="s">
        <v>136</v>
      </c>
      <c r="L6067" s="31" t="str">
        <f t="shared" si="586"/>
        <v>Enam Puluh Dua</v>
      </c>
    </row>
    <row r="6068" spans="10:12">
      <c r="J6068" s="31">
        <v>63</v>
      </c>
      <c r="K6068" s="33" t="s">
        <v>137</v>
      </c>
      <c r="L6068" s="31" t="str">
        <f t="shared" si="586"/>
        <v>Enam Puluh Tiga</v>
      </c>
    </row>
    <row r="6069" spans="10:12">
      <c r="J6069" s="31">
        <v>64</v>
      </c>
      <c r="K6069" s="33" t="s">
        <v>138</v>
      </c>
      <c r="L6069" s="31" t="str">
        <f t="shared" si="586"/>
        <v>Enam Puluh Empat</v>
      </c>
    </row>
    <row r="6070" spans="10:12">
      <c r="J6070" s="31">
        <v>65</v>
      </c>
      <c r="K6070" s="33" t="s">
        <v>139</v>
      </c>
      <c r="L6070" s="31" t="str">
        <f t="shared" si="586"/>
        <v>Enam Puluh Lima</v>
      </c>
    </row>
    <row r="6071" spans="10:12">
      <c r="J6071" s="31">
        <v>66</v>
      </c>
      <c r="K6071" s="33" t="s">
        <v>140</v>
      </c>
      <c r="L6071" s="31" t="str">
        <f t="shared" si="586"/>
        <v>Enam Puluh Enam</v>
      </c>
    </row>
    <row r="6072" spans="10:12">
      <c r="J6072" s="31">
        <v>67</v>
      </c>
      <c r="K6072" s="33" t="s">
        <v>141</v>
      </c>
      <c r="L6072" s="31" t="str">
        <f t="shared" si="586"/>
        <v>Enam Puluh Tujuh</v>
      </c>
    </row>
    <row r="6073" spans="10:12">
      <c r="J6073" s="31">
        <v>68</v>
      </c>
      <c r="K6073" s="33" t="s">
        <v>142</v>
      </c>
      <c r="L6073" s="31" t="str">
        <f t="shared" si="586"/>
        <v>Enam Puluh Delapan</v>
      </c>
    </row>
    <row r="6074" spans="10:12">
      <c r="J6074" s="31">
        <v>69</v>
      </c>
      <c r="K6074" s="33" t="s">
        <v>143</v>
      </c>
      <c r="L6074" s="31" t="str">
        <f t="shared" si="586"/>
        <v>Enam Puluh Sembilan</v>
      </c>
    </row>
    <row r="6075" spans="10:12">
      <c r="J6075" s="31">
        <v>70</v>
      </c>
      <c r="K6075" s="33" t="s">
        <v>144</v>
      </c>
      <c r="L6075" s="31" t="s">
        <v>145</v>
      </c>
    </row>
    <row r="6076" spans="10:12">
      <c r="J6076" s="31">
        <v>71</v>
      </c>
      <c r="K6076" s="33" t="s">
        <v>146</v>
      </c>
      <c r="L6076" s="31" t="str">
        <f t="shared" ref="L6076:L6084" si="587">$L$73&amp;" "&amp;L6006</f>
        <v>Tujuh Puluh Satu</v>
      </c>
    </row>
    <row r="6077" spans="10:12">
      <c r="J6077" s="31">
        <v>72</v>
      </c>
      <c r="K6077" s="33" t="s">
        <v>147</v>
      </c>
      <c r="L6077" s="31" t="str">
        <f t="shared" si="587"/>
        <v>Tujuh Puluh Dua</v>
      </c>
    </row>
    <row r="6078" spans="10:12">
      <c r="J6078" s="31">
        <v>73</v>
      </c>
      <c r="K6078" s="33" t="s">
        <v>148</v>
      </c>
      <c r="L6078" s="31" t="str">
        <f t="shared" si="587"/>
        <v>Tujuh Puluh Tiga</v>
      </c>
    </row>
    <row r="6079" spans="10:12">
      <c r="J6079" s="31">
        <v>74</v>
      </c>
      <c r="K6079" s="33" t="s">
        <v>149</v>
      </c>
      <c r="L6079" s="31" t="str">
        <f t="shared" si="587"/>
        <v>Tujuh Puluh Empat</v>
      </c>
    </row>
    <row r="6080" spans="10:12">
      <c r="J6080" s="31">
        <v>75</v>
      </c>
      <c r="K6080" s="33" t="s">
        <v>150</v>
      </c>
      <c r="L6080" s="31" t="str">
        <f t="shared" si="587"/>
        <v>Tujuh Puluh Lima</v>
      </c>
    </row>
    <row r="6081" spans="10:12">
      <c r="J6081" s="31">
        <v>76</v>
      </c>
      <c r="K6081" s="33" t="s">
        <v>151</v>
      </c>
      <c r="L6081" s="31" t="str">
        <f t="shared" si="587"/>
        <v>Tujuh Puluh Enam</v>
      </c>
    </row>
    <row r="6082" spans="10:12">
      <c r="J6082" s="31">
        <v>77</v>
      </c>
      <c r="K6082" s="33" t="s">
        <v>152</v>
      </c>
      <c r="L6082" s="31" t="str">
        <f t="shared" si="587"/>
        <v>Tujuh Puluh Tujuh</v>
      </c>
    </row>
    <row r="6083" spans="10:12">
      <c r="J6083" s="31">
        <v>78</v>
      </c>
      <c r="K6083" s="33" t="s">
        <v>153</v>
      </c>
      <c r="L6083" s="31" t="str">
        <f t="shared" si="587"/>
        <v>Tujuh Puluh Delapan</v>
      </c>
    </row>
    <row r="6084" spans="10:12">
      <c r="J6084" s="31">
        <v>79</v>
      </c>
      <c r="K6084" s="33" t="s">
        <v>154</v>
      </c>
      <c r="L6084" s="31" t="str">
        <f t="shared" si="587"/>
        <v>Tujuh Puluh Sembilan</v>
      </c>
    </row>
    <row r="6085" spans="10:12">
      <c r="J6085" s="31">
        <v>80</v>
      </c>
      <c r="K6085" s="33" t="s">
        <v>155</v>
      </c>
      <c r="L6085" s="31" t="s">
        <v>156</v>
      </c>
    </row>
    <row r="6086" spans="10:12">
      <c r="J6086" s="31">
        <v>81</v>
      </c>
      <c r="K6086" s="33" t="s">
        <v>157</v>
      </c>
      <c r="L6086" s="31" t="str">
        <f t="shared" ref="L6086:L6094" si="588">$L$83&amp;" "&amp;L6006</f>
        <v>Delapan Puluh Satu</v>
      </c>
    </row>
    <row r="6087" spans="10:12">
      <c r="J6087" s="31">
        <v>82</v>
      </c>
      <c r="K6087" s="33" t="s">
        <v>158</v>
      </c>
      <c r="L6087" s="31" t="str">
        <f t="shared" si="588"/>
        <v>Delapan Puluh Dua</v>
      </c>
    </row>
    <row r="6088" spans="10:12">
      <c r="J6088" s="31">
        <v>83</v>
      </c>
      <c r="K6088" s="33" t="s">
        <v>159</v>
      </c>
      <c r="L6088" s="31" t="str">
        <f t="shared" si="588"/>
        <v>Delapan Puluh Tiga</v>
      </c>
    </row>
    <row r="6089" spans="10:12">
      <c r="J6089" s="31">
        <v>84</v>
      </c>
      <c r="K6089" s="33" t="s">
        <v>160</v>
      </c>
      <c r="L6089" s="31" t="str">
        <f t="shared" si="588"/>
        <v>Delapan Puluh Empat</v>
      </c>
    </row>
    <row r="6090" spans="10:12">
      <c r="J6090" s="31">
        <v>85</v>
      </c>
      <c r="K6090" s="33" t="s">
        <v>161</v>
      </c>
      <c r="L6090" s="31" t="str">
        <f t="shared" si="588"/>
        <v>Delapan Puluh Lima</v>
      </c>
    </row>
    <row r="6091" spans="10:12">
      <c r="J6091" s="31">
        <v>86</v>
      </c>
      <c r="K6091" s="33" t="s">
        <v>162</v>
      </c>
      <c r="L6091" s="31" t="str">
        <f t="shared" si="588"/>
        <v>Delapan Puluh Enam</v>
      </c>
    </row>
    <row r="6092" spans="10:12">
      <c r="J6092" s="31">
        <v>87</v>
      </c>
      <c r="K6092" s="33" t="s">
        <v>163</v>
      </c>
      <c r="L6092" s="31" t="str">
        <f t="shared" si="588"/>
        <v>Delapan Puluh Tujuh</v>
      </c>
    </row>
    <row r="6093" spans="10:12">
      <c r="J6093" s="31">
        <v>88</v>
      </c>
      <c r="K6093" s="33" t="s">
        <v>164</v>
      </c>
      <c r="L6093" s="31" t="str">
        <f t="shared" si="588"/>
        <v>Delapan Puluh Delapan</v>
      </c>
    </row>
    <row r="6094" spans="10:12">
      <c r="J6094" s="31">
        <v>89</v>
      </c>
      <c r="K6094" s="33" t="s">
        <v>165</v>
      </c>
      <c r="L6094" s="31" t="str">
        <f t="shared" si="588"/>
        <v>Delapan Puluh Sembilan</v>
      </c>
    </row>
    <row r="6095" spans="10:12">
      <c r="J6095" s="31">
        <v>90</v>
      </c>
      <c r="K6095" s="33" t="s">
        <v>166</v>
      </c>
      <c r="L6095" s="31" t="s">
        <v>167</v>
      </c>
    </row>
    <row r="6096" spans="10:12">
      <c r="J6096" s="31">
        <v>91</v>
      </c>
      <c r="K6096" s="33" t="s">
        <v>168</v>
      </c>
      <c r="L6096" s="31" t="str">
        <f t="shared" ref="L6096:L6104" si="589">$L$93&amp;" "&amp;L6006</f>
        <v>Sembilan Puluh Satu</v>
      </c>
    </row>
    <row r="6097" spans="1:12">
      <c r="J6097" s="31">
        <v>92</v>
      </c>
      <c r="K6097" s="33" t="s">
        <v>169</v>
      </c>
      <c r="L6097" s="31" t="str">
        <f t="shared" si="589"/>
        <v>Sembilan Puluh Dua</v>
      </c>
    </row>
    <row r="6098" spans="1:12">
      <c r="J6098" s="31">
        <v>93</v>
      </c>
      <c r="K6098" s="33" t="s">
        <v>170</v>
      </c>
      <c r="L6098" s="31" t="str">
        <f t="shared" si="589"/>
        <v>Sembilan Puluh Tiga</v>
      </c>
    </row>
    <row r="6099" spans="1:12">
      <c r="J6099" s="31">
        <v>94</v>
      </c>
      <c r="K6099" s="33" t="s">
        <v>171</v>
      </c>
      <c r="L6099" s="31" t="str">
        <f t="shared" si="589"/>
        <v>Sembilan Puluh Empat</v>
      </c>
    </row>
    <row r="6100" spans="1:12">
      <c r="J6100" s="31">
        <v>95</v>
      </c>
      <c r="K6100" s="33" t="s">
        <v>172</v>
      </c>
      <c r="L6100" s="31" t="str">
        <f t="shared" si="589"/>
        <v>Sembilan Puluh Lima</v>
      </c>
    </row>
    <row r="6101" spans="1:12">
      <c r="J6101" s="31">
        <v>96</v>
      </c>
      <c r="K6101" s="33" t="s">
        <v>173</v>
      </c>
      <c r="L6101" s="31" t="str">
        <f t="shared" si="589"/>
        <v>Sembilan Puluh Enam</v>
      </c>
    </row>
    <row r="6102" spans="1:12">
      <c r="J6102" s="31">
        <v>97</v>
      </c>
      <c r="K6102" s="33" t="s">
        <v>174</v>
      </c>
      <c r="L6102" s="31" t="str">
        <f t="shared" si="589"/>
        <v>Sembilan Puluh Tujuh</v>
      </c>
    </row>
    <row r="6103" spans="1:12">
      <c r="J6103" s="31">
        <v>98</v>
      </c>
      <c r="K6103" s="33" t="s">
        <v>175</v>
      </c>
      <c r="L6103" s="31" t="str">
        <f t="shared" si="589"/>
        <v>Sembilan Puluh Delapan</v>
      </c>
    </row>
    <row r="6104" spans="1:12">
      <c r="J6104" s="31">
        <v>99</v>
      </c>
      <c r="K6104" s="33" t="s">
        <v>176</v>
      </c>
      <c r="L6104" s="31" t="str">
        <f t="shared" si="589"/>
        <v>Sembilan Puluh Sembilan</v>
      </c>
    </row>
    <row r="6106" spans="1:12">
      <c r="A6106" s="30" t="e">
        <f>#REF!</f>
        <v>#REF!</v>
      </c>
      <c r="C6106" s="31" t="s">
        <v>252</v>
      </c>
    </row>
    <row r="6107" spans="1:12">
      <c r="A6107" s="32"/>
    </row>
    <row r="6108" spans="1:12">
      <c r="J6108" s="31">
        <v>0</v>
      </c>
      <c r="K6108" s="33" t="s">
        <v>48</v>
      </c>
      <c r="L6108" s="31" t="s">
        <v>49</v>
      </c>
    </row>
    <row r="6109" spans="1:12">
      <c r="A6109" s="34"/>
      <c r="J6109" s="31">
        <v>1</v>
      </c>
      <c r="K6109" s="33" t="s">
        <v>50</v>
      </c>
      <c r="L6109" s="31" t="s">
        <v>51</v>
      </c>
    </row>
    <row r="6110" spans="1:12">
      <c r="A6110" s="255" t="e">
        <f>TRIM(D6118&amp;E6118&amp;D6119&amp;E6119&amp;D6120&amp;E6120&amp;D6121&amp;E6121&amp;D6122&amp;E6122&amp;D6123&amp;E6123&amp;E6124&amp;D6124&amp;" Only")</f>
        <v>#REF!</v>
      </c>
      <c r="B6110" s="255"/>
      <c r="C6110" s="255"/>
      <c r="D6110" s="255"/>
      <c r="E6110" s="35"/>
      <c r="F6110" s="36"/>
      <c r="J6110" s="31">
        <v>2</v>
      </c>
      <c r="K6110" s="33" t="s">
        <v>52</v>
      </c>
      <c r="L6110" s="31" t="s">
        <v>53</v>
      </c>
    </row>
    <row r="6111" spans="1:12">
      <c r="A6111" s="37"/>
      <c r="B6111" s="37"/>
      <c r="C6111" s="37"/>
      <c r="D6111" s="37"/>
      <c r="E6111" s="35"/>
      <c r="F6111" s="36"/>
      <c r="J6111" s="31">
        <v>3</v>
      </c>
      <c r="K6111" s="33" t="s">
        <v>54</v>
      </c>
      <c r="L6111" s="31" t="s">
        <v>55</v>
      </c>
    </row>
    <row r="6112" spans="1:12">
      <c r="A6112" s="37"/>
      <c r="B6112" s="37"/>
      <c r="C6112" s="37"/>
      <c r="D6112" s="37"/>
      <c r="J6112" s="31">
        <v>4</v>
      </c>
      <c r="K6112" s="33" t="s">
        <v>56</v>
      </c>
      <c r="L6112" s="31" t="s">
        <v>57</v>
      </c>
    </row>
    <row r="6113" spans="1:12">
      <c r="A6113" s="255" t="e">
        <f>TRIM(D6128&amp;E6128&amp;D6129&amp;E6129&amp;D6130&amp;E6130&amp;D6131&amp;E6131&amp;D6132&amp;E6132&amp;D6133&amp;E6133&amp;D6134&amp;E6134&amp;" Rupiah")</f>
        <v>#REF!</v>
      </c>
      <c r="B6113" s="255"/>
      <c r="C6113" s="255"/>
      <c r="D6113" s="255"/>
      <c r="E6113" s="35"/>
      <c r="F6113" s="36"/>
      <c r="J6113" s="31">
        <v>5</v>
      </c>
      <c r="K6113" s="33" t="s">
        <v>58</v>
      </c>
      <c r="L6113" s="31" t="s">
        <v>59</v>
      </c>
    </row>
    <row r="6114" spans="1:12">
      <c r="A6114" s="35"/>
      <c r="B6114" s="35"/>
      <c r="C6114" s="35"/>
      <c r="D6114" s="35"/>
      <c r="E6114" s="35"/>
      <c r="F6114" s="36"/>
      <c r="J6114" s="31">
        <v>6</v>
      </c>
      <c r="K6114" s="33" t="s">
        <v>60</v>
      </c>
      <c r="L6114" s="31" t="s">
        <v>61</v>
      </c>
    </row>
    <row r="6115" spans="1:12">
      <c r="J6115" s="31">
        <v>7</v>
      </c>
      <c r="K6115" s="33" t="s">
        <v>62</v>
      </c>
      <c r="L6115" s="31" t="s">
        <v>63</v>
      </c>
    </row>
    <row r="6116" spans="1:12">
      <c r="J6116" s="31">
        <v>8</v>
      </c>
      <c r="K6116" s="33" t="s">
        <v>64</v>
      </c>
      <c r="L6116" s="31" t="s">
        <v>65</v>
      </c>
    </row>
    <row r="6117" spans="1:12">
      <c r="A6117" s="38" t="s">
        <v>66</v>
      </c>
      <c r="J6117" s="31">
        <v>9</v>
      </c>
      <c r="K6117" s="33" t="s">
        <v>67</v>
      </c>
      <c r="L6117" s="31" t="s">
        <v>68</v>
      </c>
    </row>
    <row r="6118" spans="1:12">
      <c r="A6118" s="31" t="s">
        <v>69</v>
      </c>
      <c r="B6118" s="39" t="e">
        <f>TRUNC(A6106/100000000)</f>
        <v>#REF!</v>
      </c>
      <c r="C6118" s="31" t="e">
        <f>B6118*100000000</f>
        <v>#REF!</v>
      </c>
      <c r="D6118" s="31" t="e">
        <f t="shared" ref="D6118:D6124" si="590">IF(B6118&lt;1,"",VLOOKUP(B6118,$J$3:$K$102,2))</f>
        <v>#REF!</v>
      </c>
      <c r="E6118" s="31" t="e">
        <f>IF(B6118&lt;1,"",IF(B6118&gt;1," Hundreds "," Hundred "))</f>
        <v>#REF!</v>
      </c>
      <c r="J6118" s="31">
        <v>10</v>
      </c>
      <c r="K6118" s="33" t="s">
        <v>70</v>
      </c>
      <c r="L6118" s="31" t="s">
        <v>71</v>
      </c>
    </row>
    <row r="6119" spans="1:12">
      <c r="A6119" s="31" t="s">
        <v>72</v>
      </c>
      <c r="B6119" s="39" t="e">
        <f>TRUNC((A6106-C6118)/1000000)</f>
        <v>#REF!</v>
      </c>
      <c r="C6119" s="31" t="e">
        <f>B6119*1000000</f>
        <v>#REF!</v>
      </c>
      <c r="D6119" s="31" t="e">
        <f t="shared" si="590"/>
        <v>#REF!</v>
      </c>
      <c r="E6119" s="31" t="e">
        <f>IF(B6118+B6119=0,"",IF(B6119=1," Million "," Millions "))</f>
        <v>#REF!</v>
      </c>
      <c r="J6119" s="31">
        <v>11</v>
      </c>
      <c r="K6119" s="33" t="s">
        <v>73</v>
      </c>
      <c r="L6119" s="31" t="s">
        <v>74</v>
      </c>
    </row>
    <row r="6120" spans="1:12">
      <c r="A6120" s="31" t="s">
        <v>75</v>
      </c>
      <c r="B6120" s="39" t="e">
        <f>TRUNC((A6106-SUM(C6118:C6119))/100000)</f>
        <v>#REF!</v>
      </c>
      <c r="C6120" s="31" t="e">
        <f>B6120*100000</f>
        <v>#REF!</v>
      </c>
      <c r="D6120" s="31" t="e">
        <f t="shared" si="590"/>
        <v>#REF!</v>
      </c>
      <c r="E6120" s="31" t="e">
        <f>IF(B6120&lt;1,"",IF(B6120&gt;1," Hundreds "," Hundred "))</f>
        <v>#REF!</v>
      </c>
      <c r="J6120" s="31">
        <v>12</v>
      </c>
      <c r="K6120" s="33" t="s">
        <v>76</v>
      </c>
      <c r="L6120" s="31" t="str">
        <f t="shared" ref="L6120:L6127" si="591">L6110&amp;" Belas"</f>
        <v>Dua Belas</v>
      </c>
    </row>
    <row r="6121" spans="1:12">
      <c r="A6121" s="33" t="s">
        <v>77</v>
      </c>
      <c r="B6121" s="40" t="e">
        <f>TRUNC((A6106-SUM(C6118:C6120))/1000)</f>
        <v>#REF!</v>
      </c>
      <c r="C6121" s="31" t="e">
        <f>B6121*1000</f>
        <v>#REF!</v>
      </c>
      <c r="D6121" s="31" t="e">
        <f t="shared" si="590"/>
        <v>#REF!</v>
      </c>
      <c r="E6121" s="31" t="e">
        <f>IF(B6120+B6121=0,"",IF(B6121=1," Thousand "," Thousands "))</f>
        <v>#REF!</v>
      </c>
      <c r="J6121" s="31">
        <v>13</v>
      </c>
      <c r="K6121" s="33" t="s">
        <v>78</v>
      </c>
      <c r="L6121" s="31" t="str">
        <f t="shared" si="591"/>
        <v>Tiga Belas</v>
      </c>
    </row>
    <row r="6122" spans="1:12">
      <c r="A6122" s="33" t="s">
        <v>79</v>
      </c>
      <c r="B6122" s="40" t="e">
        <f>TRUNC((A6106-SUM(C6118:C6121))/100)</f>
        <v>#REF!</v>
      </c>
      <c r="C6122" s="31" t="e">
        <f>B6122*100</f>
        <v>#REF!</v>
      </c>
      <c r="D6122" s="31" t="e">
        <f t="shared" si="590"/>
        <v>#REF!</v>
      </c>
      <c r="E6122" s="31" t="e">
        <f>IF(B6122&lt;1,"",IF(B6122&gt;1," Hundreds "," Hundred "))</f>
        <v>#REF!</v>
      </c>
      <c r="J6122" s="31">
        <v>14</v>
      </c>
      <c r="K6122" s="33" t="s">
        <v>80</v>
      </c>
      <c r="L6122" s="31" t="str">
        <f t="shared" si="591"/>
        <v>Empat Belas</v>
      </c>
    </row>
    <row r="6123" spans="1:12">
      <c r="A6123" s="33" t="s">
        <v>81</v>
      </c>
      <c r="B6123" s="41" t="e">
        <f>TRUNC((A6106-SUM(C6118:C6122)))</f>
        <v>#REF!</v>
      </c>
      <c r="C6123" s="42" t="e">
        <f>B6123</f>
        <v>#REF!</v>
      </c>
      <c r="D6123" s="31" t="e">
        <f t="shared" si="590"/>
        <v>#REF!</v>
      </c>
      <c r="E6123" s="31" t="e">
        <f>IF(SUM(C6118:C6123)&lt;1,"",IF(B6124&lt;1,""," And "))</f>
        <v>#REF!</v>
      </c>
      <c r="J6123" s="31">
        <v>15</v>
      </c>
      <c r="K6123" s="33" t="s">
        <v>82</v>
      </c>
      <c r="L6123" s="31" t="str">
        <f t="shared" si="591"/>
        <v>Lima Belas</v>
      </c>
    </row>
    <row r="6124" spans="1:12">
      <c r="A6124" s="33" t="s">
        <v>83</v>
      </c>
      <c r="B6124" s="40" t="e">
        <f>ROUND(A6106-SUM(C6118:C6123),2)*100</f>
        <v>#REF!</v>
      </c>
      <c r="D6124" s="43" t="e">
        <f t="shared" si="590"/>
        <v>#REF!</v>
      </c>
      <c r="E6124" s="31" t="e">
        <f>IF(B6124&lt;1,"",IF(B6124=1," Cent "," Cents "))</f>
        <v>#REF!</v>
      </c>
      <c r="J6124" s="31">
        <v>16</v>
      </c>
      <c r="K6124" s="33" t="s">
        <v>84</v>
      </c>
      <c r="L6124" s="31" t="str">
        <f t="shared" si="591"/>
        <v>Enam Belas</v>
      </c>
    </row>
    <row r="6125" spans="1:12">
      <c r="J6125" s="31">
        <v>17</v>
      </c>
      <c r="K6125" s="33" t="s">
        <v>85</v>
      </c>
      <c r="L6125" s="31" t="str">
        <f t="shared" si="591"/>
        <v>Tujuh Belas</v>
      </c>
    </row>
    <row r="6126" spans="1:12">
      <c r="A6126" s="44"/>
      <c r="J6126" s="31">
        <v>18</v>
      </c>
      <c r="K6126" s="33" t="s">
        <v>86</v>
      </c>
      <c r="L6126" s="31" t="str">
        <f t="shared" si="591"/>
        <v>Delapan Belas</v>
      </c>
    </row>
    <row r="6127" spans="1:12">
      <c r="A6127" s="38" t="s">
        <v>87</v>
      </c>
      <c r="J6127" s="31">
        <v>19</v>
      </c>
      <c r="K6127" s="33" t="s">
        <v>88</v>
      </c>
      <c r="L6127" s="31" t="str">
        <f t="shared" si="591"/>
        <v>Sembilan Belas</v>
      </c>
    </row>
    <row r="6128" spans="1:12">
      <c r="A6128" s="31" t="s">
        <v>69</v>
      </c>
      <c r="B6128" s="39" t="e">
        <f>TRUNC(A6106/100000000)</f>
        <v>#REF!</v>
      </c>
      <c r="C6128" s="31" t="e">
        <f>B6128*100000000</f>
        <v>#REF!</v>
      </c>
      <c r="D6128" s="31" t="e">
        <f>IF(B6128&lt;1,"",IF(B6128=1,"",VLOOKUP(B6128,$J$3:$L$102,3)))</f>
        <v>#REF!</v>
      </c>
      <c r="E6128" s="31" t="e">
        <f>IF(B6128&lt;1,"",IF(B6128=1,"Seratus "," Ratus "))</f>
        <v>#REF!</v>
      </c>
      <c r="J6128" s="31">
        <v>20</v>
      </c>
      <c r="K6128" s="33" t="s">
        <v>89</v>
      </c>
      <c r="L6128" s="31" t="s">
        <v>90</v>
      </c>
    </row>
    <row r="6129" spans="1:12">
      <c r="A6129" s="31" t="s">
        <v>72</v>
      </c>
      <c r="B6129" s="39" t="e">
        <f>TRUNC((A6106-C6128)/1000000)</f>
        <v>#REF!</v>
      </c>
      <c r="C6129" s="31" t="e">
        <f>B6129*1000000</f>
        <v>#REF!</v>
      </c>
      <c r="D6129" s="31" t="e">
        <f>IF(B6129&lt;1,"",VLOOKUP(B6129,$J$3:$L$102,3))</f>
        <v>#REF!</v>
      </c>
      <c r="E6129" s="31" t="e">
        <f>IF(B6128+B6129=0,""," Juta ")</f>
        <v>#REF!</v>
      </c>
      <c r="J6129" s="31">
        <v>21</v>
      </c>
      <c r="K6129" s="33" t="s">
        <v>91</v>
      </c>
      <c r="L6129" s="31" t="str">
        <f t="shared" ref="L6129:L6137" si="592">$L$23&amp;" "&amp;L6109</f>
        <v>Dua Puluh Satu</v>
      </c>
    </row>
    <row r="6130" spans="1:12">
      <c r="A6130" s="31" t="s">
        <v>75</v>
      </c>
      <c r="B6130" s="39" t="e">
        <f>TRUNC((A6106-SUM(C6128:C6129))/100000)</f>
        <v>#REF!</v>
      </c>
      <c r="C6130" s="31" t="e">
        <f>B6130*100000</f>
        <v>#REF!</v>
      </c>
      <c r="D6130" s="31" t="e">
        <f>IF(B6130&lt;1,"",IF(B6130=1,"",VLOOKUP(B6130,$J$3:$L$102,3)))</f>
        <v>#REF!</v>
      </c>
      <c r="E6130" s="31" t="e">
        <f>IF(B6130&lt;1,"",IF(B6130=1," Seratus "," Ratus "))</f>
        <v>#REF!</v>
      </c>
      <c r="J6130" s="31">
        <v>22</v>
      </c>
      <c r="K6130" s="33" t="s">
        <v>92</v>
      </c>
      <c r="L6130" s="31" t="str">
        <f t="shared" si="592"/>
        <v>Dua Puluh Dua</v>
      </c>
    </row>
    <row r="6131" spans="1:12">
      <c r="A6131" s="33" t="s">
        <v>77</v>
      </c>
      <c r="B6131" s="40" t="e">
        <f>TRUNC((A6106-SUM(C6128:C6130))/1000)</f>
        <v>#REF!</v>
      </c>
      <c r="C6131" s="31" t="e">
        <f>B6131*1000</f>
        <v>#REF!</v>
      </c>
      <c r="D6131" s="31" t="e">
        <f>IF(B6131&lt;1,"",IF(B6131=1,"",VLOOKUP(B6131,$J$3:$L$102,3)))</f>
        <v>#REF!</v>
      </c>
      <c r="E6131" s="31" t="e">
        <f>IF(B6130+B6131&lt;1,"",IF(B6131=1," Seribu "," Ribu "))</f>
        <v>#REF!</v>
      </c>
      <c r="J6131" s="31">
        <v>23</v>
      </c>
      <c r="K6131" s="33" t="s">
        <v>93</v>
      </c>
      <c r="L6131" s="31" t="str">
        <f t="shared" si="592"/>
        <v>Dua Puluh Tiga</v>
      </c>
    </row>
    <row r="6132" spans="1:12">
      <c r="A6132" s="33" t="s">
        <v>79</v>
      </c>
      <c r="B6132" s="40" t="e">
        <f>TRUNC((A6106-SUM(C6128:C6131))/100)</f>
        <v>#REF!</v>
      </c>
      <c r="C6132" s="31" t="e">
        <f>B6132*100</f>
        <v>#REF!</v>
      </c>
      <c r="D6132" s="31" t="e">
        <f>IF(B6132&lt;1,"",IF(B6132=1,"",VLOOKUP(B6132,$J$3:$L$102,3)))</f>
        <v>#REF!</v>
      </c>
      <c r="E6132" s="31" t="e">
        <f>IF(B6132&lt;1,"",IF(B6132=1," Seratus "," Ratus "))</f>
        <v>#REF!</v>
      </c>
      <c r="J6132" s="31">
        <v>24</v>
      </c>
      <c r="K6132" s="33" t="s">
        <v>94</v>
      </c>
      <c r="L6132" s="31" t="str">
        <f t="shared" si="592"/>
        <v>Dua Puluh Empat</v>
      </c>
    </row>
    <row r="6133" spans="1:12">
      <c r="A6133" s="33" t="s">
        <v>81</v>
      </c>
      <c r="B6133" s="41" t="e">
        <f>TRUNC((A6106-SUM(C6128:C6132)))</f>
        <v>#REF!</v>
      </c>
      <c r="C6133" s="42" t="e">
        <f>B6133</f>
        <v>#REF!</v>
      </c>
      <c r="D6133" s="31" t="e">
        <f>IF(B6133&lt;1,"",VLOOKUP(B6133,$J$3:$L$102,3))</f>
        <v>#REF!</v>
      </c>
      <c r="E6133" s="31" t="e">
        <f>IF(SUM(C6128:C6133)&lt;1,"",IF(B6134&lt;1,""," Dan "))</f>
        <v>#REF!</v>
      </c>
      <c r="J6133" s="31">
        <v>25</v>
      </c>
      <c r="K6133" s="33" t="s">
        <v>95</v>
      </c>
      <c r="L6133" s="31" t="str">
        <f t="shared" si="592"/>
        <v>Dua Puluh Lima</v>
      </c>
    </row>
    <row r="6134" spans="1:12">
      <c r="A6134" s="33" t="s">
        <v>83</v>
      </c>
      <c r="B6134" s="40" t="e">
        <f>ROUND(A6106-SUM(C6128:C6133),2)*100</f>
        <v>#REF!</v>
      </c>
      <c r="D6134" s="31" t="e">
        <f>IF(B6134&lt;1,"",VLOOKUP(B6134,$J$3:$L$102,3))</f>
        <v>#REF!</v>
      </c>
      <c r="E6134" s="31" t="e">
        <f>IF(B6134&lt;1,""," Sen ")</f>
        <v>#REF!</v>
      </c>
      <c r="J6134" s="31">
        <v>26</v>
      </c>
      <c r="K6134" s="33" t="s">
        <v>96</v>
      </c>
      <c r="L6134" s="31" t="str">
        <f t="shared" si="592"/>
        <v>Dua Puluh Enam</v>
      </c>
    </row>
    <row r="6135" spans="1:12">
      <c r="J6135" s="31">
        <v>27</v>
      </c>
      <c r="K6135" s="33" t="s">
        <v>97</v>
      </c>
      <c r="L6135" s="31" t="str">
        <f t="shared" si="592"/>
        <v>Dua Puluh Tujuh</v>
      </c>
    </row>
    <row r="6136" spans="1:12">
      <c r="J6136" s="31">
        <v>28</v>
      </c>
      <c r="K6136" s="33" t="s">
        <v>98</v>
      </c>
      <c r="L6136" s="31" t="str">
        <f t="shared" si="592"/>
        <v>Dua Puluh Delapan</v>
      </c>
    </row>
    <row r="6137" spans="1:12">
      <c r="J6137" s="31">
        <v>29</v>
      </c>
      <c r="K6137" s="33" t="s">
        <v>99</v>
      </c>
      <c r="L6137" s="31" t="str">
        <f t="shared" si="592"/>
        <v>Dua Puluh Sembilan</v>
      </c>
    </row>
    <row r="6138" spans="1:12">
      <c r="J6138" s="31">
        <v>30</v>
      </c>
      <c r="K6138" s="33" t="s">
        <v>100</v>
      </c>
      <c r="L6138" s="31" t="s">
        <v>101</v>
      </c>
    </row>
    <row r="6139" spans="1:12">
      <c r="J6139" s="31">
        <v>31</v>
      </c>
      <c r="K6139" s="33" t="s">
        <v>102</v>
      </c>
      <c r="L6139" s="31" t="str">
        <f t="shared" ref="L6139:L6147" si="593">$L$33&amp;" "&amp;L6109</f>
        <v>Tiga Puluh Satu</v>
      </c>
    </row>
    <row r="6140" spans="1:12">
      <c r="J6140" s="31">
        <v>32</v>
      </c>
      <c r="K6140" s="33" t="s">
        <v>103</v>
      </c>
      <c r="L6140" s="31" t="str">
        <f t="shared" si="593"/>
        <v>Tiga Puluh Dua</v>
      </c>
    </row>
    <row r="6141" spans="1:12">
      <c r="J6141" s="31">
        <v>33</v>
      </c>
      <c r="K6141" s="33" t="s">
        <v>104</v>
      </c>
      <c r="L6141" s="31" t="str">
        <f t="shared" si="593"/>
        <v>Tiga Puluh Tiga</v>
      </c>
    </row>
    <row r="6142" spans="1:12">
      <c r="J6142" s="31">
        <v>34</v>
      </c>
      <c r="K6142" s="33" t="s">
        <v>105</v>
      </c>
      <c r="L6142" s="31" t="str">
        <f t="shared" si="593"/>
        <v>Tiga Puluh Empat</v>
      </c>
    </row>
    <row r="6143" spans="1:12">
      <c r="J6143" s="31">
        <v>35</v>
      </c>
      <c r="K6143" s="33" t="s">
        <v>106</v>
      </c>
      <c r="L6143" s="31" t="str">
        <f t="shared" si="593"/>
        <v>Tiga Puluh Lima</v>
      </c>
    </row>
    <row r="6144" spans="1:12">
      <c r="J6144" s="31">
        <v>36</v>
      </c>
      <c r="K6144" s="33" t="s">
        <v>107</v>
      </c>
      <c r="L6144" s="31" t="str">
        <f t="shared" si="593"/>
        <v>Tiga Puluh Enam</v>
      </c>
    </row>
    <row r="6145" spans="1:12">
      <c r="J6145" s="31">
        <v>37</v>
      </c>
      <c r="K6145" s="33" t="s">
        <v>108</v>
      </c>
      <c r="L6145" s="31" t="str">
        <f t="shared" si="593"/>
        <v>Tiga Puluh Tujuh</v>
      </c>
    </row>
    <row r="6146" spans="1:12">
      <c r="J6146" s="31">
        <v>38</v>
      </c>
      <c r="K6146" s="33" t="s">
        <v>109</v>
      </c>
      <c r="L6146" s="31" t="str">
        <f t="shared" si="593"/>
        <v>Tiga Puluh Delapan</v>
      </c>
    </row>
    <row r="6147" spans="1:12">
      <c r="J6147" s="31">
        <v>39</v>
      </c>
      <c r="K6147" s="33" t="s">
        <v>110</v>
      </c>
      <c r="L6147" s="31" t="str">
        <f t="shared" si="593"/>
        <v>Tiga Puluh Sembilan</v>
      </c>
    </row>
    <row r="6148" spans="1:12">
      <c r="B6148" s="35"/>
      <c r="C6148" s="35"/>
      <c r="D6148" s="35"/>
      <c r="J6148" s="31">
        <v>40</v>
      </c>
      <c r="K6148" s="33" t="s">
        <v>111</v>
      </c>
      <c r="L6148" s="31" t="s">
        <v>112</v>
      </c>
    </row>
    <row r="6149" spans="1:12">
      <c r="A6149" s="35"/>
      <c r="B6149" s="35"/>
      <c r="C6149" s="35"/>
      <c r="D6149" s="35"/>
      <c r="J6149" s="31">
        <v>41</v>
      </c>
      <c r="K6149" s="33" t="s">
        <v>113</v>
      </c>
      <c r="L6149" s="31" t="str">
        <f t="shared" ref="L6149:L6157" si="594">$L$43&amp;" "&amp;L6109</f>
        <v>Empat Puluh Satu</v>
      </c>
    </row>
    <row r="6150" spans="1:12">
      <c r="J6150" s="31">
        <v>42</v>
      </c>
      <c r="K6150" s="33" t="s">
        <v>114</v>
      </c>
      <c r="L6150" s="31" t="str">
        <f t="shared" si="594"/>
        <v>Empat Puluh Dua</v>
      </c>
    </row>
    <row r="6151" spans="1:12">
      <c r="A6151" s="38"/>
      <c r="J6151" s="31">
        <v>43</v>
      </c>
      <c r="K6151" s="33" t="s">
        <v>115</v>
      </c>
      <c r="L6151" s="31" t="str">
        <f t="shared" si="594"/>
        <v>Empat Puluh Tiga</v>
      </c>
    </row>
    <row r="6152" spans="1:12">
      <c r="J6152" s="31">
        <v>44</v>
      </c>
      <c r="K6152" s="33" t="s">
        <v>116</v>
      </c>
      <c r="L6152" s="31" t="str">
        <f t="shared" si="594"/>
        <v>Empat Puluh Empat</v>
      </c>
    </row>
    <row r="6153" spans="1:12">
      <c r="J6153" s="31">
        <v>45</v>
      </c>
      <c r="K6153" s="33" t="s">
        <v>117</v>
      </c>
      <c r="L6153" s="31" t="str">
        <f t="shared" si="594"/>
        <v>Empat Puluh Lima</v>
      </c>
    </row>
    <row r="6154" spans="1:12">
      <c r="J6154" s="31">
        <v>46</v>
      </c>
      <c r="K6154" s="33" t="s">
        <v>118</v>
      </c>
      <c r="L6154" s="31" t="str">
        <f t="shared" si="594"/>
        <v>Empat Puluh Enam</v>
      </c>
    </row>
    <row r="6155" spans="1:12">
      <c r="J6155" s="31">
        <v>47</v>
      </c>
      <c r="K6155" s="33" t="s">
        <v>119</v>
      </c>
      <c r="L6155" s="31" t="str">
        <f t="shared" si="594"/>
        <v>Empat Puluh Tujuh</v>
      </c>
    </row>
    <row r="6156" spans="1:12">
      <c r="J6156" s="31">
        <v>48</v>
      </c>
      <c r="K6156" s="33" t="s">
        <v>120</v>
      </c>
      <c r="L6156" s="31" t="str">
        <f t="shared" si="594"/>
        <v>Empat Puluh Delapan</v>
      </c>
    </row>
    <row r="6157" spans="1:12">
      <c r="J6157" s="31">
        <v>49</v>
      </c>
      <c r="K6157" s="33" t="s">
        <v>121</v>
      </c>
      <c r="L6157" s="31" t="str">
        <f t="shared" si="594"/>
        <v>Empat Puluh Sembilan</v>
      </c>
    </row>
    <row r="6158" spans="1:12">
      <c r="J6158" s="31">
        <v>50</v>
      </c>
      <c r="K6158" s="33" t="s">
        <v>122</v>
      </c>
      <c r="L6158" s="31" t="s">
        <v>123</v>
      </c>
    </row>
    <row r="6159" spans="1:12">
      <c r="J6159" s="31">
        <v>51</v>
      </c>
      <c r="K6159" s="33" t="s">
        <v>124</v>
      </c>
      <c r="L6159" s="31" t="str">
        <f t="shared" ref="L6159:L6167" si="595">$L$53&amp;" "&amp;L6109</f>
        <v>Lima Puluh Satu</v>
      </c>
    </row>
    <row r="6160" spans="1:12">
      <c r="J6160" s="31">
        <v>52</v>
      </c>
      <c r="K6160" s="33" t="s">
        <v>125</v>
      </c>
      <c r="L6160" s="31" t="str">
        <f t="shared" si="595"/>
        <v>Lima Puluh Dua</v>
      </c>
    </row>
    <row r="6161" spans="10:12">
      <c r="J6161" s="31">
        <v>53</v>
      </c>
      <c r="K6161" s="33" t="s">
        <v>126</v>
      </c>
      <c r="L6161" s="31" t="str">
        <f t="shared" si="595"/>
        <v>Lima Puluh Tiga</v>
      </c>
    </row>
    <row r="6162" spans="10:12">
      <c r="J6162" s="31">
        <v>54</v>
      </c>
      <c r="K6162" s="33" t="s">
        <v>127</v>
      </c>
      <c r="L6162" s="31" t="str">
        <f t="shared" si="595"/>
        <v>Lima Puluh Empat</v>
      </c>
    </row>
    <row r="6163" spans="10:12">
      <c r="J6163" s="31">
        <v>55</v>
      </c>
      <c r="K6163" s="33" t="s">
        <v>128</v>
      </c>
      <c r="L6163" s="31" t="str">
        <f t="shared" si="595"/>
        <v>Lima Puluh Lima</v>
      </c>
    </row>
    <row r="6164" spans="10:12">
      <c r="J6164" s="31">
        <v>56</v>
      </c>
      <c r="K6164" s="33" t="s">
        <v>129</v>
      </c>
      <c r="L6164" s="31" t="str">
        <f t="shared" si="595"/>
        <v>Lima Puluh Enam</v>
      </c>
    </row>
    <row r="6165" spans="10:12">
      <c r="J6165" s="31">
        <v>57</v>
      </c>
      <c r="K6165" s="33" t="s">
        <v>130</v>
      </c>
      <c r="L6165" s="31" t="str">
        <f t="shared" si="595"/>
        <v>Lima Puluh Tujuh</v>
      </c>
    </row>
    <row r="6166" spans="10:12">
      <c r="J6166" s="31">
        <v>58</v>
      </c>
      <c r="K6166" s="33" t="s">
        <v>131</v>
      </c>
      <c r="L6166" s="31" t="str">
        <f t="shared" si="595"/>
        <v>Lima Puluh Delapan</v>
      </c>
    </row>
    <row r="6167" spans="10:12">
      <c r="J6167" s="31">
        <v>59</v>
      </c>
      <c r="K6167" s="33" t="s">
        <v>132</v>
      </c>
      <c r="L6167" s="31" t="str">
        <f t="shared" si="595"/>
        <v>Lima Puluh Sembilan</v>
      </c>
    </row>
    <row r="6168" spans="10:12">
      <c r="J6168" s="31">
        <v>60</v>
      </c>
      <c r="K6168" s="33" t="s">
        <v>133</v>
      </c>
      <c r="L6168" s="31" t="s">
        <v>134</v>
      </c>
    </row>
    <row r="6169" spans="10:12">
      <c r="J6169" s="31">
        <v>61</v>
      </c>
      <c r="K6169" s="33" t="s">
        <v>135</v>
      </c>
      <c r="L6169" s="31" t="str">
        <f t="shared" ref="L6169:L6177" si="596">$L$63&amp;" "&amp;L6109</f>
        <v>Enam Puluh Satu</v>
      </c>
    </row>
    <row r="6170" spans="10:12">
      <c r="J6170" s="31">
        <v>62</v>
      </c>
      <c r="K6170" s="33" t="s">
        <v>136</v>
      </c>
      <c r="L6170" s="31" t="str">
        <f t="shared" si="596"/>
        <v>Enam Puluh Dua</v>
      </c>
    </row>
    <row r="6171" spans="10:12">
      <c r="J6171" s="31">
        <v>63</v>
      </c>
      <c r="K6171" s="33" t="s">
        <v>137</v>
      </c>
      <c r="L6171" s="31" t="str">
        <f t="shared" si="596"/>
        <v>Enam Puluh Tiga</v>
      </c>
    </row>
    <row r="6172" spans="10:12">
      <c r="J6172" s="31">
        <v>64</v>
      </c>
      <c r="K6172" s="33" t="s">
        <v>138</v>
      </c>
      <c r="L6172" s="31" t="str">
        <f t="shared" si="596"/>
        <v>Enam Puluh Empat</v>
      </c>
    </row>
    <row r="6173" spans="10:12">
      <c r="J6173" s="31">
        <v>65</v>
      </c>
      <c r="K6173" s="33" t="s">
        <v>139</v>
      </c>
      <c r="L6173" s="31" t="str">
        <f t="shared" si="596"/>
        <v>Enam Puluh Lima</v>
      </c>
    </row>
    <row r="6174" spans="10:12">
      <c r="J6174" s="31">
        <v>66</v>
      </c>
      <c r="K6174" s="33" t="s">
        <v>140</v>
      </c>
      <c r="L6174" s="31" t="str">
        <f t="shared" si="596"/>
        <v>Enam Puluh Enam</v>
      </c>
    </row>
    <row r="6175" spans="10:12">
      <c r="J6175" s="31">
        <v>67</v>
      </c>
      <c r="K6175" s="33" t="s">
        <v>141</v>
      </c>
      <c r="L6175" s="31" t="str">
        <f t="shared" si="596"/>
        <v>Enam Puluh Tujuh</v>
      </c>
    </row>
    <row r="6176" spans="10:12">
      <c r="J6176" s="31">
        <v>68</v>
      </c>
      <c r="K6176" s="33" t="s">
        <v>142</v>
      </c>
      <c r="L6176" s="31" t="str">
        <f t="shared" si="596"/>
        <v>Enam Puluh Delapan</v>
      </c>
    </row>
    <row r="6177" spans="10:12">
      <c r="J6177" s="31">
        <v>69</v>
      </c>
      <c r="K6177" s="33" t="s">
        <v>143</v>
      </c>
      <c r="L6177" s="31" t="str">
        <f t="shared" si="596"/>
        <v>Enam Puluh Sembilan</v>
      </c>
    </row>
    <row r="6178" spans="10:12">
      <c r="J6178" s="31">
        <v>70</v>
      </c>
      <c r="K6178" s="33" t="s">
        <v>144</v>
      </c>
      <c r="L6178" s="31" t="s">
        <v>145</v>
      </c>
    </row>
    <row r="6179" spans="10:12">
      <c r="J6179" s="31">
        <v>71</v>
      </c>
      <c r="K6179" s="33" t="s">
        <v>146</v>
      </c>
      <c r="L6179" s="31" t="str">
        <f t="shared" ref="L6179:L6187" si="597">$L$73&amp;" "&amp;L6109</f>
        <v>Tujuh Puluh Satu</v>
      </c>
    </row>
    <row r="6180" spans="10:12">
      <c r="J6180" s="31">
        <v>72</v>
      </c>
      <c r="K6180" s="33" t="s">
        <v>147</v>
      </c>
      <c r="L6180" s="31" t="str">
        <f t="shared" si="597"/>
        <v>Tujuh Puluh Dua</v>
      </c>
    </row>
    <row r="6181" spans="10:12">
      <c r="J6181" s="31">
        <v>73</v>
      </c>
      <c r="K6181" s="33" t="s">
        <v>148</v>
      </c>
      <c r="L6181" s="31" t="str">
        <f t="shared" si="597"/>
        <v>Tujuh Puluh Tiga</v>
      </c>
    </row>
    <row r="6182" spans="10:12">
      <c r="J6182" s="31">
        <v>74</v>
      </c>
      <c r="K6182" s="33" t="s">
        <v>149</v>
      </c>
      <c r="L6182" s="31" t="str">
        <f t="shared" si="597"/>
        <v>Tujuh Puluh Empat</v>
      </c>
    </row>
    <row r="6183" spans="10:12">
      <c r="J6183" s="31">
        <v>75</v>
      </c>
      <c r="K6183" s="33" t="s">
        <v>150</v>
      </c>
      <c r="L6183" s="31" t="str">
        <f t="shared" si="597"/>
        <v>Tujuh Puluh Lima</v>
      </c>
    </row>
    <row r="6184" spans="10:12">
      <c r="J6184" s="31">
        <v>76</v>
      </c>
      <c r="K6184" s="33" t="s">
        <v>151</v>
      </c>
      <c r="L6184" s="31" t="str">
        <f t="shared" si="597"/>
        <v>Tujuh Puluh Enam</v>
      </c>
    </row>
    <row r="6185" spans="10:12">
      <c r="J6185" s="31">
        <v>77</v>
      </c>
      <c r="K6185" s="33" t="s">
        <v>152</v>
      </c>
      <c r="L6185" s="31" t="str">
        <f t="shared" si="597"/>
        <v>Tujuh Puluh Tujuh</v>
      </c>
    </row>
    <row r="6186" spans="10:12">
      <c r="J6186" s="31">
        <v>78</v>
      </c>
      <c r="K6186" s="33" t="s">
        <v>153</v>
      </c>
      <c r="L6186" s="31" t="str">
        <f t="shared" si="597"/>
        <v>Tujuh Puluh Delapan</v>
      </c>
    </row>
    <row r="6187" spans="10:12">
      <c r="J6187" s="31">
        <v>79</v>
      </c>
      <c r="K6187" s="33" t="s">
        <v>154</v>
      </c>
      <c r="L6187" s="31" t="str">
        <f t="shared" si="597"/>
        <v>Tujuh Puluh Sembilan</v>
      </c>
    </row>
    <row r="6188" spans="10:12">
      <c r="J6188" s="31">
        <v>80</v>
      </c>
      <c r="K6188" s="33" t="s">
        <v>155</v>
      </c>
      <c r="L6188" s="31" t="s">
        <v>156</v>
      </c>
    </row>
    <row r="6189" spans="10:12">
      <c r="J6189" s="31">
        <v>81</v>
      </c>
      <c r="K6189" s="33" t="s">
        <v>157</v>
      </c>
      <c r="L6189" s="31" t="str">
        <f t="shared" ref="L6189:L6197" si="598">$L$83&amp;" "&amp;L6109</f>
        <v>Delapan Puluh Satu</v>
      </c>
    </row>
    <row r="6190" spans="10:12">
      <c r="J6190" s="31">
        <v>82</v>
      </c>
      <c r="K6190" s="33" t="s">
        <v>158</v>
      </c>
      <c r="L6190" s="31" t="str">
        <f t="shared" si="598"/>
        <v>Delapan Puluh Dua</v>
      </c>
    </row>
    <row r="6191" spans="10:12">
      <c r="J6191" s="31">
        <v>83</v>
      </c>
      <c r="K6191" s="33" t="s">
        <v>159</v>
      </c>
      <c r="L6191" s="31" t="str">
        <f t="shared" si="598"/>
        <v>Delapan Puluh Tiga</v>
      </c>
    </row>
    <row r="6192" spans="10:12">
      <c r="J6192" s="31">
        <v>84</v>
      </c>
      <c r="K6192" s="33" t="s">
        <v>160</v>
      </c>
      <c r="L6192" s="31" t="str">
        <f t="shared" si="598"/>
        <v>Delapan Puluh Empat</v>
      </c>
    </row>
    <row r="6193" spans="10:12">
      <c r="J6193" s="31">
        <v>85</v>
      </c>
      <c r="K6193" s="33" t="s">
        <v>161</v>
      </c>
      <c r="L6193" s="31" t="str">
        <f t="shared" si="598"/>
        <v>Delapan Puluh Lima</v>
      </c>
    </row>
    <row r="6194" spans="10:12">
      <c r="J6194" s="31">
        <v>86</v>
      </c>
      <c r="K6194" s="33" t="s">
        <v>162</v>
      </c>
      <c r="L6194" s="31" t="str">
        <f t="shared" si="598"/>
        <v>Delapan Puluh Enam</v>
      </c>
    </row>
    <row r="6195" spans="10:12">
      <c r="J6195" s="31">
        <v>87</v>
      </c>
      <c r="K6195" s="33" t="s">
        <v>163</v>
      </c>
      <c r="L6195" s="31" t="str">
        <f t="shared" si="598"/>
        <v>Delapan Puluh Tujuh</v>
      </c>
    </row>
    <row r="6196" spans="10:12">
      <c r="J6196" s="31">
        <v>88</v>
      </c>
      <c r="K6196" s="33" t="s">
        <v>164</v>
      </c>
      <c r="L6196" s="31" t="str">
        <f t="shared" si="598"/>
        <v>Delapan Puluh Delapan</v>
      </c>
    </row>
    <row r="6197" spans="10:12">
      <c r="J6197" s="31">
        <v>89</v>
      </c>
      <c r="K6197" s="33" t="s">
        <v>165</v>
      </c>
      <c r="L6197" s="31" t="str">
        <f t="shared" si="598"/>
        <v>Delapan Puluh Sembilan</v>
      </c>
    </row>
    <row r="6198" spans="10:12">
      <c r="J6198" s="31">
        <v>90</v>
      </c>
      <c r="K6198" s="33" t="s">
        <v>166</v>
      </c>
      <c r="L6198" s="31" t="s">
        <v>167</v>
      </c>
    </row>
    <row r="6199" spans="10:12">
      <c r="J6199" s="31">
        <v>91</v>
      </c>
      <c r="K6199" s="33" t="s">
        <v>168</v>
      </c>
      <c r="L6199" s="31" t="str">
        <f t="shared" ref="L6199:L6207" si="599">$L$93&amp;" "&amp;L6109</f>
        <v>Sembilan Puluh Satu</v>
      </c>
    </row>
    <row r="6200" spans="10:12">
      <c r="J6200" s="31">
        <v>92</v>
      </c>
      <c r="K6200" s="33" t="s">
        <v>169</v>
      </c>
      <c r="L6200" s="31" t="str">
        <f t="shared" si="599"/>
        <v>Sembilan Puluh Dua</v>
      </c>
    </row>
    <row r="6201" spans="10:12">
      <c r="J6201" s="31">
        <v>93</v>
      </c>
      <c r="K6201" s="33" t="s">
        <v>170</v>
      </c>
      <c r="L6201" s="31" t="str">
        <f t="shared" si="599"/>
        <v>Sembilan Puluh Tiga</v>
      </c>
    </row>
    <row r="6202" spans="10:12">
      <c r="J6202" s="31">
        <v>94</v>
      </c>
      <c r="K6202" s="33" t="s">
        <v>171</v>
      </c>
      <c r="L6202" s="31" t="str">
        <f t="shared" si="599"/>
        <v>Sembilan Puluh Empat</v>
      </c>
    </row>
    <row r="6203" spans="10:12">
      <c r="J6203" s="31">
        <v>95</v>
      </c>
      <c r="K6203" s="33" t="s">
        <v>172</v>
      </c>
      <c r="L6203" s="31" t="str">
        <f t="shared" si="599"/>
        <v>Sembilan Puluh Lima</v>
      </c>
    </row>
    <row r="6204" spans="10:12">
      <c r="J6204" s="31">
        <v>96</v>
      </c>
      <c r="K6204" s="33" t="s">
        <v>173</v>
      </c>
      <c r="L6204" s="31" t="str">
        <f t="shared" si="599"/>
        <v>Sembilan Puluh Enam</v>
      </c>
    </row>
    <row r="6205" spans="10:12">
      <c r="J6205" s="31">
        <v>97</v>
      </c>
      <c r="K6205" s="33" t="s">
        <v>174</v>
      </c>
      <c r="L6205" s="31" t="str">
        <f t="shared" si="599"/>
        <v>Sembilan Puluh Tujuh</v>
      </c>
    </row>
    <row r="6206" spans="10:12">
      <c r="J6206" s="31">
        <v>98</v>
      </c>
      <c r="K6206" s="33" t="s">
        <v>175</v>
      </c>
      <c r="L6206" s="31" t="str">
        <f t="shared" si="599"/>
        <v>Sembilan Puluh Delapan</v>
      </c>
    </row>
    <row r="6207" spans="10:12">
      <c r="J6207" s="31">
        <v>99</v>
      </c>
      <c r="K6207" s="33" t="s">
        <v>176</v>
      </c>
      <c r="L6207" s="31" t="str">
        <f t="shared" si="599"/>
        <v>Sembilan Puluh Sembilan</v>
      </c>
    </row>
    <row r="6209" spans="1:12">
      <c r="A6209" s="30" t="e">
        <f>#REF!</f>
        <v>#REF!</v>
      </c>
      <c r="C6209" s="31" t="s">
        <v>253</v>
      </c>
    </row>
    <row r="6210" spans="1:12">
      <c r="A6210" s="32"/>
    </row>
    <row r="6211" spans="1:12">
      <c r="J6211" s="31">
        <v>0</v>
      </c>
      <c r="K6211" s="33" t="s">
        <v>48</v>
      </c>
      <c r="L6211" s="31" t="s">
        <v>49</v>
      </c>
    </row>
    <row r="6212" spans="1:12">
      <c r="A6212" s="34"/>
      <c r="J6212" s="31">
        <v>1</v>
      </c>
      <c r="K6212" s="33" t="s">
        <v>50</v>
      </c>
      <c r="L6212" s="31" t="s">
        <v>51</v>
      </c>
    </row>
    <row r="6213" spans="1:12">
      <c r="A6213" s="255" t="e">
        <f>TRIM(D6221&amp;E6221&amp;D6222&amp;E6222&amp;D6223&amp;E6223&amp;D6224&amp;E6224&amp;D6225&amp;E6225&amp;D6226&amp;E6226&amp;E6227&amp;D6227&amp;" Only")</f>
        <v>#REF!</v>
      </c>
      <c r="B6213" s="255"/>
      <c r="C6213" s="255"/>
      <c r="D6213" s="255"/>
      <c r="E6213" s="35"/>
      <c r="F6213" s="36"/>
      <c r="J6213" s="31">
        <v>2</v>
      </c>
      <c r="K6213" s="33" t="s">
        <v>52</v>
      </c>
      <c r="L6213" s="31" t="s">
        <v>53</v>
      </c>
    </row>
    <row r="6214" spans="1:12">
      <c r="A6214" s="37"/>
      <c r="B6214" s="37"/>
      <c r="C6214" s="37"/>
      <c r="D6214" s="37"/>
      <c r="E6214" s="35"/>
      <c r="F6214" s="36"/>
      <c r="J6214" s="31">
        <v>3</v>
      </c>
      <c r="K6214" s="33" t="s">
        <v>54</v>
      </c>
      <c r="L6214" s="31" t="s">
        <v>55</v>
      </c>
    </row>
    <row r="6215" spans="1:12">
      <c r="A6215" s="37"/>
      <c r="B6215" s="37"/>
      <c r="C6215" s="37"/>
      <c r="D6215" s="37"/>
      <c r="J6215" s="31">
        <v>4</v>
      </c>
      <c r="K6215" s="33" t="s">
        <v>56</v>
      </c>
      <c r="L6215" s="31" t="s">
        <v>57</v>
      </c>
    </row>
    <row r="6216" spans="1:12">
      <c r="A6216" s="255" t="e">
        <f>TRIM(D6231&amp;E6231&amp;D6232&amp;E6232&amp;D6233&amp;E6233&amp;D6234&amp;E6234&amp;D6235&amp;E6235&amp;D6236&amp;E6236&amp;D6237&amp;E6237&amp;" Rupiah")</f>
        <v>#REF!</v>
      </c>
      <c r="B6216" s="255"/>
      <c r="C6216" s="255"/>
      <c r="D6216" s="255"/>
      <c r="E6216" s="35"/>
      <c r="F6216" s="36"/>
      <c r="J6216" s="31">
        <v>5</v>
      </c>
      <c r="K6216" s="33" t="s">
        <v>58</v>
      </c>
      <c r="L6216" s="31" t="s">
        <v>59</v>
      </c>
    </row>
    <row r="6217" spans="1:12">
      <c r="A6217" s="35"/>
      <c r="B6217" s="35"/>
      <c r="C6217" s="35"/>
      <c r="D6217" s="35"/>
      <c r="E6217" s="35"/>
      <c r="F6217" s="36"/>
      <c r="J6217" s="31">
        <v>6</v>
      </c>
      <c r="K6217" s="33" t="s">
        <v>60</v>
      </c>
      <c r="L6217" s="31" t="s">
        <v>61</v>
      </c>
    </row>
    <row r="6218" spans="1:12">
      <c r="J6218" s="31">
        <v>7</v>
      </c>
      <c r="K6218" s="33" t="s">
        <v>62</v>
      </c>
      <c r="L6218" s="31" t="s">
        <v>63</v>
      </c>
    </row>
    <row r="6219" spans="1:12">
      <c r="J6219" s="31">
        <v>8</v>
      </c>
      <c r="K6219" s="33" t="s">
        <v>64</v>
      </c>
      <c r="L6219" s="31" t="s">
        <v>65</v>
      </c>
    </row>
    <row r="6220" spans="1:12">
      <c r="A6220" s="38" t="s">
        <v>66</v>
      </c>
      <c r="J6220" s="31">
        <v>9</v>
      </c>
      <c r="K6220" s="33" t="s">
        <v>67</v>
      </c>
      <c r="L6220" s="31" t="s">
        <v>68</v>
      </c>
    </row>
    <row r="6221" spans="1:12">
      <c r="A6221" s="31" t="s">
        <v>69</v>
      </c>
      <c r="B6221" s="39" t="e">
        <f>TRUNC(A6209/100000000)</f>
        <v>#REF!</v>
      </c>
      <c r="C6221" s="31" t="e">
        <f>B6221*100000000</f>
        <v>#REF!</v>
      </c>
      <c r="D6221" s="31" t="e">
        <f t="shared" ref="D6221:D6227" si="600">IF(B6221&lt;1,"",VLOOKUP(B6221,$J$3:$K$102,2))</f>
        <v>#REF!</v>
      </c>
      <c r="E6221" s="31" t="e">
        <f>IF(B6221&lt;1,"",IF(B6221&gt;1," Hundreds "," Hundred "))</f>
        <v>#REF!</v>
      </c>
      <c r="J6221" s="31">
        <v>10</v>
      </c>
      <c r="K6221" s="33" t="s">
        <v>70</v>
      </c>
      <c r="L6221" s="31" t="s">
        <v>71</v>
      </c>
    </row>
    <row r="6222" spans="1:12">
      <c r="A6222" s="31" t="s">
        <v>72</v>
      </c>
      <c r="B6222" s="39" t="e">
        <f>TRUNC((A6209-C6221)/1000000)</f>
        <v>#REF!</v>
      </c>
      <c r="C6222" s="31" t="e">
        <f>B6222*1000000</f>
        <v>#REF!</v>
      </c>
      <c r="D6222" s="31" t="e">
        <f t="shared" si="600"/>
        <v>#REF!</v>
      </c>
      <c r="E6222" s="31" t="e">
        <f>IF(B6221+B6222=0,"",IF(B6222=1," Million "," Millions "))</f>
        <v>#REF!</v>
      </c>
      <c r="J6222" s="31">
        <v>11</v>
      </c>
      <c r="K6222" s="33" t="s">
        <v>73</v>
      </c>
      <c r="L6222" s="31" t="s">
        <v>74</v>
      </c>
    </row>
    <row r="6223" spans="1:12">
      <c r="A6223" s="31" t="s">
        <v>75</v>
      </c>
      <c r="B6223" s="39" t="e">
        <f>TRUNC((A6209-SUM(C6221:C6222))/100000)</f>
        <v>#REF!</v>
      </c>
      <c r="C6223" s="31" t="e">
        <f>B6223*100000</f>
        <v>#REF!</v>
      </c>
      <c r="D6223" s="31" t="e">
        <f t="shared" si="600"/>
        <v>#REF!</v>
      </c>
      <c r="E6223" s="31" t="e">
        <f>IF(B6223&lt;1,"",IF(B6223&gt;1," Hundreds "," Hundred "))</f>
        <v>#REF!</v>
      </c>
      <c r="J6223" s="31">
        <v>12</v>
      </c>
      <c r="K6223" s="33" t="s">
        <v>76</v>
      </c>
      <c r="L6223" s="31" t="str">
        <f t="shared" ref="L6223:L6230" si="601">L6213&amp;" Belas"</f>
        <v>Dua Belas</v>
      </c>
    </row>
    <row r="6224" spans="1:12">
      <c r="A6224" s="33" t="s">
        <v>77</v>
      </c>
      <c r="B6224" s="40" t="e">
        <f>TRUNC((A6209-SUM(C6221:C6223))/1000)</f>
        <v>#REF!</v>
      </c>
      <c r="C6224" s="31" t="e">
        <f>B6224*1000</f>
        <v>#REF!</v>
      </c>
      <c r="D6224" s="31" t="e">
        <f t="shared" si="600"/>
        <v>#REF!</v>
      </c>
      <c r="E6224" s="31" t="e">
        <f>IF(B6223+B6224=0,"",IF(B6224=1," Thousand "," Thousands "))</f>
        <v>#REF!</v>
      </c>
      <c r="J6224" s="31">
        <v>13</v>
      </c>
      <c r="K6224" s="33" t="s">
        <v>78</v>
      </c>
      <c r="L6224" s="31" t="str">
        <f t="shared" si="601"/>
        <v>Tiga Belas</v>
      </c>
    </row>
    <row r="6225" spans="1:12">
      <c r="A6225" s="33" t="s">
        <v>79</v>
      </c>
      <c r="B6225" s="40" t="e">
        <f>TRUNC((A6209-SUM(C6221:C6224))/100)</f>
        <v>#REF!</v>
      </c>
      <c r="C6225" s="31" t="e">
        <f>B6225*100</f>
        <v>#REF!</v>
      </c>
      <c r="D6225" s="31" t="e">
        <f t="shared" si="600"/>
        <v>#REF!</v>
      </c>
      <c r="E6225" s="31" t="e">
        <f>IF(B6225&lt;1,"",IF(B6225&gt;1," Hundreds "," Hundred "))</f>
        <v>#REF!</v>
      </c>
      <c r="J6225" s="31">
        <v>14</v>
      </c>
      <c r="K6225" s="33" t="s">
        <v>80</v>
      </c>
      <c r="L6225" s="31" t="str">
        <f t="shared" si="601"/>
        <v>Empat Belas</v>
      </c>
    </row>
    <row r="6226" spans="1:12">
      <c r="A6226" s="33" t="s">
        <v>81</v>
      </c>
      <c r="B6226" s="41" t="e">
        <f>TRUNC((A6209-SUM(C6221:C6225)))</f>
        <v>#REF!</v>
      </c>
      <c r="C6226" s="42" t="e">
        <f>B6226</f>
        <v>#REF!</v>
      </c>
      <c r="D6226" s="31" t="e">
        <f t="shared" si="600"/>
        <v>#REF!</v>
      </c>
      <c r="E6226" s="31" t="e">
        <f>IF(SUM(C6221:C6226)&lt;1,"",IF(B6227&lt;1,""," And "))</f>
        <v>#REF!</v>
      </c>
      <c r="J6226" s="31">
        <v>15</v>
      </c>
      <c r="K6226" s="33" t="s">
        <v>82</v>
      </c>
      <c r="L6226" s="31" t="str">
        <f t="shared" si="601"/>
        <v>Lima Belas</v>
      </c>
    </row>
    <row r="6227" spans="1:12">
      <c r="A6227" s="33" t="s">
        <v>83</v>
      </c>
      <c r="B6227" s="40" t="e">
        <f>ROUND(A6209-SUM(C6221:C6226),2)*100</f>
        <v>#REF!</v>
      </c>
      <c r="D6227" s="43" t="e">
        <f t="shared" si="600"/>
        <v>#REF!</v>
      </c>
      <c r="E6227" s="31" t="e">
        <f>IF(B6227&lt;1,"",IF(B6227=1," Cent "," Cents "))</f>
        <v>#REF!</v>
      </c>
      <c r="J6227" s="31">
        <v>16</v>
      </c>
      <c r="K6227" s="33" t="s">
        <v>84</v>
      </c>
      <c r="L6227" s="31" t="str">
        <f t="shared" si="601"/>
        <v>Enam Belas</v>
      </c>
    </row>
    <row r="6228" spans="1:12">
      <c r="J6228" s="31">
        <v>17</v>
      </c>
      <c r="K6228" s="33" t="s">
        <v>85</v>
      </c>
      <c r="L6228" s="31" t="str">
        <f t="shared" si="601"/>
        <v>Tujuh Belas</v>
      </c>
    </row>
    <row r="6229" spans="1:12">
      <c r="A6229" s="44"/>
      <c r="J6229" s="31">
        <v>18</v>
      </c>
      <c r="K6229" s="33" t="s">
        <v>86</v>
      </c>
      <c r="L6229" s="31" t="str">
        <f t="shared" si="601"/>
        <v>Delapan Belas</v>
      </c>
    </row>
    <row r="6230" spans="1:12">
      <c r="A6230" s="38" t="s">
        <v>87</v>
      </c>
      <c r="J6230" s="31">
        <v>19</v>
      </c>
      <c r="K6230" s="33" t="s">
        <v>88</v>
      </c>
      <c r="L6230" s="31" t="str">
        <f t="shared" si="601"/>
        <v>Sembilan Belas</v>
      </c>
    </row>
    <row r="6231" spans="1:12">
      <c r="A6231" s="31" t="s">
        <v>69</v>
      </c>
      <c r="B6231" s="39" t="e">
        <f>TRUNC(A6209/100000000)</f>
        <v>#REF!</v>
      </c>
      <c r="C6231" s="31" t="e">
        <f>B6231*100000000</f>
        <v>#REF!</v>
      </c>
      <c r="D6231" s="31" t="e">
        <f>IF(B6231&lt;1,"",IF(B6231=1,"",VLOOKUP(B6231,$J$3:$L$102,3)))</f>
        <v>#REF!</v>
      </c>
      <c r="E6231" s="31" t="e">
        <f>IF(B6231&lt;1,"",IF(B6231=1,"Seratus "," Ratus "))</f>
        <v>#REF!</v>
      </c>
      <c r="J6231" s="31">
        <v>20</v>
      </c>
      <c r="K6231" s="33" t="s">
        <v>89</v>
      </c>
      <c r="L6231" s="31" t="s">
        <v>90</v>
      </c>
    </row>
    <row r="6232" spans="1:12">
      <c r="A6232" s="31" t="s">
        <v>72</v>
      </c>
      <c r="B6232" s="39" t="e">
        <f>TRUNC((A6209-C6231)/1000000)</f>
        <v>#REF!</v>
      </c>
      <c r="C6232" s="31" t="e">
        <f>B6232*1000000</f>
        <v>#REF!</v>
      </c>
      <c r="D6232" s="31" t="e">
        <f>IF(B6232&lt;1,"",VLOOKUP(B6232,$J$3:$L$102,3))</f>
        <v>#REF!</v>
      </c>
      <c r="E6232" s="31" t="e">
        <f>IF(B6231+B6232=0,""," Juta ")</f>
        <v>#REF!</v>
      </c>
      <c r="J6232" s="31">
        <v>21</v>
      </c>
      <c r="K6232" s="33" t="s">
        <v>91</v>
      </c>
      <c r="L6232" s="31" t="str">
        <f t="shared" ref="L6232:L6240" si="602">$L$23&amp;" "&amp;L6212</f>
        <v>Dua Puluh Satu</v>
      </c>
    </row>
    <row r="6233" spans="1:12">
      <c r="A6233" s="31" t="s">
        <v>75</v>
      </c>
      <c r="B6233" s="39" t="e">
        <f>TRUNC((A6209-SUM(C6231:C6232))/100000)</f>
        <v>#REF!</v>
      </c>
      <c r="C6233" s="31" t="e">
        <f>B6233*100000</f>
        <v>#REF!</v>
      </c>
      <c r="D6233" s="31" t="e">
        <f>IF(B6233&lt;1,"",IF(B6233=1,"",VLOOKUP(B6233,$J$3:$L$102,3)))</f>
        <v>#REF!</v>
      </c>
      <c r="E6233" s="31" t="e">
        <f>IF(B6233&lt;1,"",IF(B6233=1," Seratus "," Ratus "))</f>
        <v>#REF!</v>
      </c>
      <c r="J6233" s="31">
        <v>22</v>
      </c>
      <c r="K6233" s="33" t="s">
        <v>92</v>
      </c>
      <c r="L6233" s="31" t="str">
        <f t="shared" si="602"/>
        <v>Dua Puluh Dua</v>
      </c>
    </row>
    <row r="6234" spans="1:12">
      <c r="A6234" s="33" t="s">
        <v>77</v>
      </c>
      <c r="B6234" s="40" t="e">
        <f>TRUNC((A6209-SUM(C6231:C6233))/1000)</f>
        <v>#REF!</v>
      </c>
      <c r="C6234" s="31" t="e">
        <f>B6234*1000</f>
        <v>#REF!</v>
      </c>
      <c r="D6234" s="31" t="e">
        <f>IF(B6234&lt;1,"",IF(B6234=1,"",VLOOKUP(B6234,$J$3:$L$102,3)))</f>
        <v>#REF!</v>
      </c>
      <c r="E6234" s="31" t="e">
        <f>IF(B6233+B6234&lt;1,"",IF(B6234=1," Seribu "," Ribu "))</f>
        <v>#REF!</v>
      </c>
      <c r="J6234" s="31">
        <v>23</v>
      </c>
      <c r="K6234" s="33" t="s">
        <v>93</v>
      </c>
      <c r="L6234" s="31" t="str">
        <f t="shared" si="602"/>
        <v>Dua Puluh Tiga</v>
      </c>
    </row>
    <row r="6235" spans="1:12">
      <c r="A6235" s="33" t="s">
        <v>79</v>
      </c>
      <c r="B6235" s="40" t="e">
        <f>TRUNC((A6209-SUM(C6231:C6234))/100)</f>
        <v>#REF!</v>
      </c>
      <c r="C6235" s="31" t="e">
        <f>B6235*100</f>
        <v>#REF!</v>
      </c>
      <c r="D6235" s="31" t="e">
        <f>IF(B6235&lt;1,"",IF(B6235=1,"",VLOOKUP(B6235,$J$3:$L$102,3)))</f>
        <v>#REF!</v>
      </c>
      <c r="E6235" s="31" t="e">
        <f>IF(B6235&lt;1,"",IF(B6235=1," Seratus "," Ratus "))</f>
        <v>#REF!</v>
      </c>
      <c r="J6235" s="31">
        <v>24</v>
      </c>
      <c r="K6235" s="33" t="s">
        <v>94</v>
      </c>
      <c r="L6235" s="31" t="str">
        <f t="shared" si="602"/>
        <v>Dua Puluh Empat</v>
      </c>
    </row>
    <row r="6236" spans="1:12">
      <c r="A6236" s="33" t="s">
        <v>81</v>
      </c>
      <c r="B6236" s="41" t="e">
        <f>TRUNC((A6209-SUM(C6231:C6235)))</f>
        <v>#REF!</v>
      </c>
      <c r="C6236" s="42" t="e">
        <f>B6236</f>
        <v>#REF!</v>
      </c>
      <c r="D6236" s="31" t="e">
        <f>IF(B6236&lt;1,"",VLOOKUP(B6236,$J$3:$L$102,3))</f>
        <v>#REF!</v>
      </c>
      <c r="E6236" s="31" t="e">
        <f>IF(SUM(C6231:C6236)&lt;1,"",IF(B6237&lt;1,""," Dan "))</f>
        <v>#REF!</v>
      </c>
      <c r="J6236" s="31">
        <v>25</v>
      </c>
      <c r="K6236" s="33" t="s">
        <v>95</v>
      </c>
      <c r="L6236" s="31" t="str">
        <f t="shared" si="602"/>
        <v>Dua Puluh Lima</v>
      </c>
    </row>
    <row r="6237" spans="1:12">
      <c r="A6237" s="33" t="s">
        <v>83</v>
      </c>
      <c r="B6237" s="40" t="e">
        <f>ROUND(A6209-SUM(C6231:C6236),2)*100</f>
        <v>#REF!</v>
      </c>
      <c r="D6237" s="31" t="e">
        <f>IF(B6237&lt;1,"",VLOOKUP(B6237,$J$3:$L$102,3))</f>
        <v>#REF!</v>
      </c>
      <c r="E6237" s="31" t="e">
        <f>IF(B6237&lt;1,""," Sen ")</f>
        <v>#REF!</v>
      </c>
      <c r="J6237" s="31">
        <v>26</v>
      </c>
      <c r="K6237" s="33" t="s">
        <v>96</v>
      </c>
      <c r="L6237" s="31" t="str">
        <f t="shared" si="602"/>
        <v>Dua Puluh Enam</v>
      </c>
    </row>
    <row r="6238" spans="1:12">
      <c r="J6238" s="31">
        <v>27</v>
      </c>
      <c r="K6238" s="33" t="s">
        <v>97</v>
      </c>
      <c r="L6238" s="31" t="str">
        <f t="shared" si="602"/>
        <v>Dua Puluh Tujuh</v>
      </c>
    </row>
    <row r="6239" spans="1:12">
      <c r="J6239" s="31">
        <v>28</v>
      </c>
      <c r="K6239" s="33" t="s">
        <v>98</v>
      </c>
      <c r="L6239" s="31" t="str">
        <f t="shared" si="602"/>
        <v>Dua Puluh Delapan</v>
      </c>
    </row>
    <row r="6240" spans="1:12">
      <c r="J6240" s="31">
        <v>29</v>
      </c>
      <c r="K6240" s="33" t="s">
        <v>99</v>
      </c>
      <c r="L6240" s="31" t="str">
        <f t="shared" si="602"/>
        <v>Dua Puluh Sembilan</v>
      </c>
    </row>
    <row r="6241" spans="1:12">
      <c r="J6241" s="31">
        <v>30</v>
      </c>
      <c r="K6241" s="33" t="s">
        <v>100</v>
      </c>
      <c r="L6241" s="31" t="s">
        <v>101</v>
      </c>
    </row>
    <row r="6242" spans="1:12">
      <c r="J6242" s="31">
        <v>31</v>
      </c>
      <c r="K6242" s="33" t="s">
        <v>102</v>
      </c>
      <c r="L6242" s="31" t="str">
        <f t="shared" ref="L6242:L6250" si="603">$L$33&amp;" "&amp;L6212</f>
        <v>Tiga Puluh Satu</v>
      </c>
    </row>
    <row r="6243" spans="1:12">
      <c r="J6243" s="31">
        <v>32</v>
      </c>
      <c r="K6243" s="33" t="s">
        <v>103</v>
      </c>
      <c r="L6243" s="31" t="str">
        <f t="shared" si="603"/>
        <v>Tiga Puluh Dua</v>
      </c>
    </row>
    <row r="6244" spans="1:12">
      <c r="J6244" s="31">
        <v>33</v>
      </c>
      <c r="K6244" s="33" t="s">
        <v>104</v>
      </c>
      <c r="L6244" s="31" t="str">
        <f t="shared" si="603"/>
        <v>Tiga Puluh Tiga</v>
      </c>
    </row>
    <row r="6245" spans="1:12">
      <c r="J6245" s="31">
        <v>34</v>
      </c>
      <c r="K6245" s="33" t="s">
        <v>105</v>
      </c>
      <c r="L6245" s="31" t="str">
        <f t="shared" si="603"/>
        <v>Tiga Puluh Empat</v>
      </c>
    </row>
    <row r="6246" spans="1:12">
      <c r="J6246" s="31">
        <v>35</v>
      </c>
      <c r="K6246" s="33" t="s">
        <v>106</v>
      </c>
      <c r="L6246" s="31" t="str">
        <f t="shared" si="603"/>
        <v>Tiga Puluh Lima</v>
      </c>
    </row>
    <row r="6247" spans="1:12">
      <c r="J6247" s="31">
        <v>36</v>
      </c>
      <c r="K6247" s="33" t="s">
        <v>107</v>
      </c>
      <c r="L6247" s="31" t="str">
        <f t="shared" si="603"/>
        <v>Tiga Puluh Enam</v>
      </c>
    </row>
    <row r="6248" spans="1:12">
      <c r="J6248" s="31">
        <v>37</v>
      </c>
      <c r="K6248" s="33" t="s">
        <v>108</v>
      </c>
      <c r="L6248" s="31" t="str">
        <f t="shared" si="603"/>
        <v>Tiga Puluh Tujuh</v>
      </c>
    </row>
    <row r="6249" spans="1:12">
      <c r="J6249" s="31">
        <v>38</v>
      </c>
      <c r="K6249" s="33" t="s">
        <v>109</v>
      </c>
      <c r="L6249" s="31" t="str">
        <f t="shared" si="603"/>
        <v>Tiga Puluh Delapan</v>
      </c>
    </row>
    <row r="6250" spans="1:12">
      <c r="J6250" s="31">
        <v>39</v>
      </c>
      <c r="K6250" s="33" t="s">
        <v>110</v>
      </c>
      <c r="L6250" s="31" t="str">
        <f t="shared" si="603"/>
        <v>Tiga Puluh Sembilan</v>
      </c>
    </row>
    <row r="6251" spans="1:12">
      <c r="B6251" s="35"/>
      <c r="C6251" s="35"/>
      <c r="D6251" s="35"/>
      <c r="J6251" s="31">
        <v>40</v>
      </c>
      <c r="K6251" s="33" t="s">
        <v>111</v>
      </c>
      <c r="L6251" s="31" t="s">
        <v>112</v>
      </c>
    </row>
    <row r="6252" spans="1:12">
      <c r="A6252" s="35"/>
      <c r="B6252" s="35"/>
      <c r="C6252" s="35"/>
      <c r="D6252" s="35"/>
      <c r="J6252" s="31">
        <v>41</v>
      </c>
      <c r="K6252" s="33" t="s">
        <v>113</v>
      </c>
      <c r="L6252" s="31" t="str">
        <f t="shared" ref="L6252:L6260" si="604">$L$43&amp;" "&amp;L6212</f>
        <v>Empat Puluh Satu</v>
      </c>
    </row>
    <row r="6253" spans="1:12">
      <c r="J6253" s="31">
        <v>42</v>
      </c>
      <c r="K6253" s="33" t="s">
        <v>114</v>
      </c>
      <c r="L6253" s="31" t="str">
        <f t="shared" si="604"/>
        <v>Empat Puluh Dua</v>
      </c>
    </row>
    <row r="6254" spans="1:12">
      <c r="A6254" s="38"/>
      <c r="J6254" s="31">
        <v>43</v>
      </c>
      <c r="K6254" s="33" t="s">
        <v>115</v>
      </c>
      <c r="L6254" s="31" t="str">
        <f t="shared" si="604"/>
        <v>Empat Puluh Tiga</v>
      </c>
    </row>
    <row r="6255" spans="1:12">
      <c r="J6255" s="31">
        <v>44</v>
      </c>
      <c r="K6255" s="33" t="s">
        <v>116</v>
      </c>
      <c r="L6255" s="31" t="str">
        <f t="shared" si="604"/>
        <v>Empat Puluh Empat</v>
      </c>
    </row>
    <row r="6256" spans="1:12">
      <c r="J6256" s="31">
        <v>45</v>
      </c>
      <c r="K6256" s="33" t="s">
        <v>117</v>
      </c>
      <c r="L6256" s="31" t="str">
        <f t="shared" si="604"/>
        <v>Empat Puluh Lima</v>
      </c>
    </row>
    <row r="6257" spans="10:12">
      <c r="J6257" s="31">
        <v>46</v>
      </c>
      <c r="K6257" s="33" t="s">
        <v>118</v>
      </c>
      <c r="L6257" s="31" t="str">
        <f t="shared" si="604"/>
        <v>Empat Puluh Enam</v>
      </c>
    </row>
    <row r="6258" spans="10:12">
      <c r="J6258" s="31">
        <v>47</v>
      </c>
      <c r="K6258" s="33" t="s">
        <v>119</v>
      </c>
      <c r="L6258" s="31" t="str">
        <f t="shared" si="604"/>
        <v>Empat Puluh Tujuh</v>
      </c>
    </row>
    <row r="6259" spans="10:12">
      <c r="J6259" s="31">
        <v>48</v>
      </c>
      <c r="K6259" s="33" t="s">
        <v>120</v>
      </c>
      <c r="L6259" s="31" t="str">
        <f t="shared" si="604"/>
        <v>Empat Puluh Delapan</v>
      </c>
    </row>
    <row r="6260" spans="10:12">
      <c r="J6260" s="31">
        <v>49</v>
      </c>
      <c r="K6260" s="33" t="s">
        <v>121</v>
      </c>
      <c r="L6260" s="31" t="str">
        <f t="shared" si="604"/>
        <v>Empat Puluh Sembilan</v>
      </c>
    </row>
    <row r="6261" spans="10:12">
      <c r="J6261" s="31">
        <v>50</v>
      </c>
      <c r="K6261" s="33" t="s">
        <v>122</v>
      </c>
      <c r="L6261" s="31" t="s">
        <v>123</v>
      </c>
    </row>
    <row r="6262" spans="10:12">
      <c r="J6262" s="31">
        <v>51</v>
      </c>
      <c r="K6262" s="33" t="s">
        <v>124</v>
      </c>
      <c r="L6262" s="31" t="str">
        <f t="shared" ref="L6262:L6270" si="605">$L$53&amp;" "&amp;L6212</f>
        <v>Lima Puluh Satu</v>
      </c>
    </row>
    <row r="6263" spans="10:12">
      <c r="J6263" s="31">
        <v>52</v>
      </c>
      <c r="K6263" s="33" t="s">
        <v>125</v>
      </c>
      <c r="L6263" s="31" t="str">
        <f t="shared" si="605"/>
        <v>Lima Puluh Dua</v>
      </c>
    </row>
    <row r="6264" spans="10:12">
      <c r="J6264" s="31">
        <v>53</v>
      </c>
      <c r="K6264" s="33" t="s">
        <v>126</v>
      </c>
      <c r="L6264" s="31" t="str">
        <f t="shared" si="605"/>
        <v>Lima Puluh Tiga</v>
      </c>
    </row>
    <row r="6265" spans="10:12">
      <c r="J6265" s="31">
        <v>54</v>
      </c>
      <c r="K6265" s="33" t="s">
        <v>127</v>
      </c>
      <c r="L6265" s="31" t="str">
        <f t="shared" si="605"/>
        <v>Lima Puluh Empat</v>
      </c>
    </row>
    <row r="6266" spans="10:12">
      <c r="J6266" s="31">
        <v>55</v>
      </c>
      <c r="K6266" s="33" t="s">
        <v>128</v>
      </c>
      <c r="L6266" s="31" t="str">
        <f t="shared" si="605"/>
        <v>Lima Puluh Lima</v>
      </c>
    </row>
    <row r="6267" spans="10:12">
      <c r="J6267" s="31">
        <v>56</v>
      </c>
      <c r="K6267" s="33" t="s">
        <v>129</v>
      </c>
      <c r="L6267" s="31" t="str">
        <f t="shared" si="605"/>
        <v>Lima Puluh Enam</v>
      </c>
    </row>
    <row r="6268" spans="10:12">
      <c r="J6268" s="31">
        <v>57</v>
      </c>
      <c r="K6268" s="33" t="s">
        <v>130</v>
      </c>
      <c r="L6268" s="31" t="str">
        <f t="shared" si="605"/>
        <v>Lima Puluh Tujuh</v>
      </c>
    </row>
    <row r="6269" spans="10:12">
      <c r="J6269" s="31">
        <v>58</v>
      </c>
      <c r="K6269" s="33" t="s">
        <v>131</v>
      </c>
      <c r="L6269" s="31" t="str">
        <f t="shared" si="605"/>
        <v>Lima Puluh Delapan</v>
      </c>
    </row>
    <row r="6270" spans="10:12">
      <c r="J6270" s="31">
        <v>59</v>
      </c>
      <c r="K6270" s="33" t="s">
        <v>132</v>
      </c>
      <c r="L6270" s="31" t="str">
        <f t="shared" si="605"/>
        <v>Lima Puluh Sembilan</v>
      </c>
    </row>
    <row r="6271" spans="10:12">
      <c r="J6271" s="31">
        <v>60</v>
      </c>
      <c r="K6271" s="33" t="s">
        <v>133</v>
      </c>
      <c r="L6271" s="31" t="s">
        <v>134</v>
      </c>
    </row>
    <row r="6272" spans="10:12">
      <c r="J6272" s="31">
        <v>61</v>
      </c>
      <c r="K6272" s="33" t="s">
        <v>135</v>
      </c>
      <c r="L6272" s="31" t="str">
        <f t="shared" ref="L6272:L6280" si="606">$L$63&amp;" "&amp;L6212</f>
        <v>Enam Puluh Satu</v>
      </c>
    </row>
    <row r="6273" spans="10:12">
      <c r="J6273" s="31">
        <v>62</v>
      </c>
      <c r="K6273" s="33" t="s">
        <v>136</v>
      </c>
      <c r="L6273" s="31" t="str">
        <f t="shared" si="606"/>
        <v>Enam Puluh Dua</v>
      </c>
    </row>
    <row r="6274" spans="10:12">
      <c r="J6274" s="31">
        <v>63</v>
      </c>
      <c r="K6274" s="33" t="s">
        <v>137</v>
      </c>
      <c r="L6274" s="31" t="str">
        <f t="shared" si="606"/>
        <v>Enam Puluh Tiga</v>
      </c>
    </row>
    <row r="6275" spans="10:12">
      <c r="J6275" s="31">
        <v>64</v>
      </c>
      <c r="K6275" s="33" t="s">
        <v>138</v>
      </c>
      <c r="L6275" s="31" t="str">
        <f t="shared" si="606"/>
        <v>Enam Puluh Empat</v>
      </c>
    </row>
    <row r="6276" spans="10:12">
      <c r="J6276" s="31">
        <v>65</v>
      </c>
      <c r="K6276" s="33" t="s">
        <v>139</v>
      </c>
      <c r="L6276" s="31" t="str">
        <f t="shared" si="606"/>
        <v>Enam Puluh Lima</v>
      </c>
    </row>
    <row r="6277" spans="10:12">
      <c r="J6277" s="31">
        <v>66</v>
      </c>
      <c r="K6277" s="33" t="s">
        <v>140</v>
      </c>
      <c r="L6277" s="31" t="str">
        <f t="shared" si="606"/>
        <v>Enam Puluh Enam</v>
      </c>
    </row>
    <row r="6278" spans="10:12">
      <c r="J6278" s="31">
        <v>67</v>
      </c>
      <c r="K6278" s="33" t="s">
        <v>141</v>
      </c>
      <c r="L6278" s="31" t="str">
        <f t="shared" si="606"/>
        <v>Enam Puluh Tujuh</v>
      </c>
    </row>
    <row r="6279" spans="10:12">
      <c r="J6279" s="31">
        <v>68</v>
      </c>
      <c r="K6279" s="33" t="s">
        <v>142</v>
      </c>
      <c r="L6279" s="31" t="str">
        <f t="shared" si="606"/>
        <v>Enam Puluh Delapan</v>
      </c>
    </row>
    <row r="6280" spans="10:12">
      <c r="J6280" s="31">
        <v>69</v>
      </c>
      <c r="K6280" s="33" t="s">
        <v>143</v>
      </c>
      <c r="L6280" s="31" t="str">
        <f t="shared" si="606"/>
        <v>Enam Puluh Sembilan</v>
      </c>
    </row>
    <row r="6281" spans="10:12">
      <c r="J6281" s="31">
        <v>70</v>
      </c>
      <c r="K6281" s="33" t="s">
        <v>144</v>
      </c>
      <c r="L6281" s="31" t="s">
        <v>145</v>
      </c>
    </row>
    <row r="6282" spans="10:12">
      <c r="J6282" s="31">
        <v>71</v>
      </c>
      <c r="K6282" s="33" t="s">
        <v>146</v>
      </c>
      <c r="L6282" s="31" t="str">
        <f t="shared" ref="L6282:L6290" si="607">$L$73&amp;" "&amp;L6212</f>
        <v>Tujuh Puluh Satu</v>
      </c>
    </row>
    <row r="6283" spans="10:12">
      <c r="J6283" s="31">
        <v>72</v>
      </c>
      <c r="K6283" s="33" t="s">
        <v>147</v>
      </c>
      <c r="L6283" s="31" t="str">
        <f t="shared" si="607"/>
        <v>Tujuh Puluh Dua</v>
      </c>
    </row>
    <row r="6284" spans="10:12">
      <c r="J6284" s="31">
        <v>73</v>
      </c>
      <c r="K6284" s="33" t="s">
        <v>148</v>
      </c>
      <c r="L6284" s="31" t="str">
        <f t="shared" si="607"/>
        <v>Tujuh Puluh Tiga</v>
      </c>
    </row>
    <row r="6285" spans="10:12">
      <c r="J6285" s="31">
        <v>74</v>
      </c>
      <c r="K6285" s="33" t="s">
        <v>149</v>
      </c>
      <c r="L6285" s="31" t="str">
        <f t="shared" si="607"/>
        <v>Tujuh Puluh Empat</v>
      </c>
    </row>
    <row r="6286" spans="10:12">
      <c r="J6286" s="31">
        <v>75</v>
      </c>
      <c r="K6286" s="33" t="s">
        <v>150</v>
      </c>
      <c r="L6286" s="31" t="str">
        <f t="shared" si="607"/>
        <v>Tujuh Puluh Lima</v>
      </c>
    </row>
    <row r="6287" spans="10:12">
      <c r="J6287" s="31">
        <v>76</v>
      </c>
      <c r="K6287" s="33" t="s">
        <v>151</v>
      </c>
      <c r="L6287" s="31" t="str">
        <f t="shared" si="607"/>
        <v>Tujuh Puluh Enam</v>
      </c>
    </row>
    <row r="6288" spans="10:12">
      <c r="J6288" s="31">
        <v>77</v>
      </c>
      <c r="K6288" s="33" t="s">
        <v>152</v>
      </c>
      <c r="L6288" s="31" t="str">
        <f t="shared" si="607"/>
        <v>Tujuh Puluh Tujuh</v>
      </c>
    </row>
    <row r="6289" spans="10:12">
      <c r="J6289" s="31">
        <v>78</v>
      </c>
      <c r="K6289" s="33" t="s">
        <v>153</v>
      </c>
      <c r="L6289" s="31" t="str">
        <f t="shared" si="607"/>
        <v>Tujuh Puluh Delapan</v>
      </c>
    </row>
    <row r="6290" spans="10:12">
      <c r="J6290" s="31">
        <v>79</v>
      </c>
      <c r="K6290" s="33" t="s">
        <v>154</v>
      </c>
      <c r="L6290" s="31" t="str">
        <f t="shared" si="607"/>
        <v>Tujuh Puluh Sembilan</v>
      </c>
    </row>
    <row r="6291" spans="10:12">
      <c r="J6291" s="31">
        <v>80</v>
      </c>
      <c r="K6291" s="33" t="s">
        <v>155</v>
      </c>
      <c r="L6291" s="31" t="s">
        <v>156</v>
      </c>
    </row>
    <row r="6292" spans="10:12">
      <c r="J6292" s="31">
        <v>81</v>
      </c>
      <c r="K6292" s="33" t="s">
        <v>157</v>
      </c>
      <c r="L6292" s="31" t="str">
        <f t="shared" ref="L6292:L6300" si="608">$L$83&amp;" "&amp;L6212</f>
        <v>Delapan Puluh Satu</v>
      </c>
    </row>
    <row r="6293" spans="10:12">
      <c r="J6293" s="31">
        <v>82</v>
      </c>
      <c r="K6293" s="33" t="s">
        <v>158</v>
      </c>
      <c r="L6293" s="31" t="str">
        <f t="shared" si="608"/>
        <v>Delapan Puluh Dua</v>
      </c>
    </row>
    <row r="6294" spans="10:12">
      <c r="J6294" s="31">
        <v>83</v>
      </c>
      <c r="K6294" s="33" t="s">
        <v>159</v>
      </c>
      <c r="L6294" s="31" t="str">
        <f t="shared" si="608"/>
        <v>Delapan Puluh Tiga</v>
      </c>
    </row>
    <row r="6295" spans="10:12">
      <c r="J6295" s="31">
        <v>84</v>
      </c>
      <c r="K6295" s="33" t="s">
        <v>160</v>
      </c>
      <c r="L6295" s="31" t="str">
        <f t="shared" si="608"/>
        <v>Delapan Puluh Empat</v>
      </c>
    </row>
    <row r="6296" spans="10:12">
      <c r="J6296" s="31">
        <v>85</v>
      </c>
      <c r="K6296" s="33" t="s">
        <v>161</v>
      </c>
      <c r="L6296" s="31" t="str">
        <f t="shared" si="608"/>
        <v>Delapan Puluh Lima</v>
      </c>
    </row>
    <row r="6297" spans="10:12">
      <c r="J6297" s="31">
        <v>86</v>
      </c>
      <c r="K6297" s="33" t="s">
        <v>162</v>
      </c>
      <c r="L6297" s="31" t="str">
        <f t="shared" si="608"/>
        <v>Delapan Puluh Enam</v>
      </c>
    </row>
    <row r="6298" spans="10:12">
      <c r="J6298" s="31">
        <v>87</v>
      </c>
      <c r="K6298" s="33" t="s">
        <v>163</v>
      </c>
      <c r="L6298" s="31" t="str">
        <f t="shared" si="608"/>
        <v>Delapan Puluh Tujuh</v>
      </c>
    </row>
    <row r="6299" spans="10:12">
      <c r="J6299" s="31">
        <v>88</v>
      </c>
      <c r="K6299" s="33" t="s">
        <v>164</v>
      </c>
      <c r="L6299" s="31" t="str">
        <f t="shared" si="608"/>
        <v>Delapan Puluh Delapan</v>
      </c>
    </row>
    <row r="6300" spans="10:12">
      <c r="J6300" s="31">
        <v>89</v>
      </c>
      <c r="K6300" s="33" t="s">
        <v>165</v>
      </c>
      <c r="L6300" s="31" t="str">
        <f t="shared" si="608"/>
        <v>Delapan Puluh Sembilan</v>
      </c>
    </row>
    <row r="6301" spans="10:12">
      <c r="J6301" s="31">
        <v>90</v>
      </c>
      <c r="K6301" s="33" t="s">
        <v>166</v>
      </c>
      <c r="L6301" s="31" t="s">
        <v>167</v>
      </c>
    </row>
    <row r="6302" spans="10:12">
      <c r="J6302" s="31">
        <v>91</v>
      </c>
      <c r="K6302" s="33" t="s">
        <v>168</v>
      </c>
      <c r="L6302" s="31" t="str">
        <f t="shared" ref="L6302:L6310" si="609">$L$93&amp;" "&amp;L6212</f>
        <v>Sembilan Puluh Satu</v>
      </c>
    </row>
    <row r="6303" spans="10:12">
      <c r="J6303" s="31">
        <v>92</v>
      </c>
      <c r="K6303" s="33" t="s">
        <v>169</v>
      </c>
      <c r="L6303" s="31" t="str">
        <f t="shared" si="609"/>
        <v>Sembilan Puluh Dua</v>
      </c>
    </row>
    <row r="6304" spans="10:12">
      <c r="J6304" s="31">
        <v>93</v>
      </c>
      <c r="K6304" s="33" t="s">
        <v>170</v>
      </c>
      <c r="L6304" s="31" t="str">
        <f t="shared" si="609"/>
        <v>Sembilan Puluh Tiga</v>
      </c>
    </row>
    <row r="6305" spans="1:12">
      <c r="J6305" s="31">
        <v>94</v>
      </c>
      <c r="K6305" s="33" t="s">
        <v>171</v>
      </c>
      <c r="L6305" s="31" t="str">
        <f t="shared" si="609"/>
        <v>Sembilan Puluh Empat</v>
      </c>
    </row>
    <row r="6306" spans="1:12">
      <c r="J6306" s="31">
        <v>95</v>
      </c>
      <c r="K6306" s="33" t="s">
        <v>172</v>
      </c>
      <c r="L6306" s="31" t="str">
        <f t="shared" si="609"/>
        <v>Sembilan Puluh Lima</v>
      </c>
    </row>
    <row r="6307" spans="1:12">
      <c r="J6307" s="31">
        <v>96</v>
      </c>
      <c r="K6307" s="33" t="s">
        <v>173</v>
      </c>
      <c r="L6307" s="31" t="str">
        <f t="shared" si="609"/>
        <v>Sembilan Puluh Enam</v>
      </c>
    </row>
    <row r="6308" spans="1:12">
      <c r="J6308" s="31">
        <v>97</v>
      </c>
      <c r="K6308" s="33" t="s">
        <v>174</v>
      </c>
      <c r="L6308" s="31" t="str">
        <f t="shared" si="609"/>
        <v>Sembilan Puluh Tujuh</v>
      </c>
    </row>
    <row r="6309" spans="1:12">
      <c r="J6309" s="31">
        <v>98</v>
      </c>
      <c r="K6309" s="33" t="s">
        <v>175</v>
      </c>
      <c r="L6309" s="31" t="str">
        <f t="shared" si="609"/>
        <v>Sembilan Puluh Delapan</v>
      </c>
    </row>
    <row r="6310" spans="1:12">
      <c r="J6310" s="31">
        <v>99</v>
      </c>
      <c r="K6310" s="33" t="s">
        <v>176</v>
      </c>
      <c r="L6310" s="31" t="str">
        <f t="shared" si="609"/>
        <v>Sembilan Puluh Sembilan</v>
      </c>
    </row>
    <row r="6312" spans="1:12">
      <c r="A6312" s="30" t="e">
        <f>#REF!</f>
        <v>#REF!</v>
      </c>
      <c r="C6312" s="31" t="s">
        <v>254</v>
      </c>
    </row>
    <row r="6313" spans="1:12">
      <c r="A6313" s="32"/>
    </row>
    <row r="6314" spans="1:12">
      <c r="J6314" s="31">
        <v>0</v>
      </c>
      <c r="K6314" s="33" t="s">
        <v>48</v>
      </c>
      <c r="L6314" s="31" t="s">
        <v>49</v>
      </c>
    </row>
    <row r="6315" spans="1:12">
      <c r="A6315" s="34"/>
      <c r="J6315" s="31">
        <v>1</v>
      </c>
      <c r="K6315" s="33" t="s">
        <v>50</v>
      </c>
      <c r="L6315" s="31" t="s">
        <v>51</v>
      </c>
    </row>
    <row r="6316" spans="1:12">
      <c r="A6316" s="255" t="e">
        <f>TRIM(D6324&amp;E6324&amp;D6325&amp;E6325&amp;D6326&amp;E6326&amp;D6327&amp;E6327&amp;D6328&amp;E6328&amp;D6329&amp;E6329&amp;E6330&amp;D6330&amp;" Only")</f>
        <v>#REF!</v>
      </c>
      <c r="B6316" s="255"/>
      <c r="C6316" s="255"/>
      <c r="D6316" s="255"/>
      <c r="E6316" s="35"/>
      <c r="F6316" s="36"/>
      <c r="J6316" s="31">
        <v>2</v>
      </c>
      <c r="K6316" s="33" t="s">
        <v>52</v>
      </c>
      <c r="L6316" s="31" t="s">
        <v>53</v>
      </c>
    </row>
    <row r="6317" spans="1:12">
      <c r="A6317" s="37"/>
      <c r="B6317" s="37"/>
      <c r="C6317" s="37"/>
      <c r="D6317" s="37"/>
      <c r="E6317" s="35"/>
      <c r="F6317" s="36"/>
      <c r="J6317" s="31">
        <v>3</v>
      </c>
      <c r="K6317" s="33" t="s">
        <v>54</v>
      </c>
      <c r="L6317" s="31" t="s">
        <v>55</v>
      </c>
    </row>
    <row r="6318" spans="1:12">
      <c r="A6318" s="37"/>
      <c r="B6318" s="37"/>
      <c r="C6318" s="37"/>
      <c r="D6318" s="37"/>
      <c r="J6318" s="31">
        <v>4</v>
      </c>
      <c r="K6318" s="33" t="s">
        <v>56</v>
      </c>
      <c r="L6318" s="31" t="s">
        <v>57</v>
      </c>
    </row>
    <row r="6319" spans="1:12">
      <c r="A6319" s="255" t="e">
        <f>TRIM(D6334&amp;E6334&amp;D6335&amp;E6335&amp;D6336&amp;E6336&amp;D6337&amp;E6337&amp;D6338&amp;E6338&amp;D6339&amp;E6339&amp;D6340&amp;E6340&amp;" Rupiah")</f>
        <v>#REF!</v>
      </c>
      <c r="B6319" s="255"/>
      <c r="C6319" s="255"/>
      <c r="D6319" s="255"/>
      <c r="E6319" s="35"/>
      <c r="F6319" s="36"/>
      <c r="J6319" s="31">
        <v>5</v>
      </c>
      <c r="K6319" s="33" t="s">
        <v>58</v>
      </c>
      <c r="L6319" s="31" t="s">
        <v>59</v>
      </c>
    </row>
    <row r="6320" spans="1:12">
      <c r="A6320" s="35"/>
      <c r="B6320" s="35"/>
      <c r="C6320" s="35"/>
      <c r="D6320" s="35"/>
      <c r="E6320" s="35"/>
      <c r="F6320" s="36"/>
      <c r="J6320" s="31">
        <v>6</v>
      </c>
      <c r="K6320" s="33" t="s">
        <v>60</v>
      </c>
      <c r="L6320" s="31" t="s">
        <v>61</v>
      </c>
    </row>
    <row r="6321" spans="1:12">
      <c r="J6321" s="31">
        <v>7</v>
      </c>
      <c r="K6321" s="33" t="s">
        <v>62</v>
      </c>
      <c r="L6321" s="31" t="s">
        <v>63</v>
      </c>
    </row>
    <row r="6322" spans="1:12">
      <c r="J6322" s="31">
        <v>8</v>
      </c>
      <c r="K6322" s="33" t="s">
        <v>64</v>
      </c>
      <c r="L6322" s="31" t="s">
        <v>65</v>
      </c>
    </row>
    <row r="6323" spans="1:12">
      <c r="A6323" s="38" t="s">
        <v>66</v>
      </c>
      <c r="J6323" s="31">
        <v>9</v>
      </c>
      <c r="K6323" s="33" t="s">
        <v>67</v>
      </c>
      <c r="L6323" s="31" t="s">
        <v>68</v>
      </c>
    </row>
    <row r="6324" spans="1:12">
      <c r="A6324" s="31" t="s">
        <v>69</v>
      </c>
      <c r="B6324" s="39" t="e">
        <f>TRUNC(A6312/100000000)</f>
        <v>#REF!</v>
      </c>
      <c r="C6324" s="31" t="e">
        <f>B6324*100000000</f>
        <v>#REF!</v>
      </c>
      <c r="D6324" s="31" t="e">
        <f t="shared" ref="D6324:D6330" si="610">IF(B6324&lt;1,"",VLOOKUP(B6324,$J$3:$K$102,2))</f>
        <v>#REF!</v>
      </c>
      <c r="E6324" s="31" t="e">
        <f>IF(B6324&lt;1,"",IF(B6324&gt;1," Hundreds "," Hundred "))</f>
        <v>#REF!</v>
      </c>
      <c r="J6324" s="31">
        <v>10</v>
      </c>
      <c r="K6324" s="33" t="s">
        <v>70</v>
      </c>
      <c r="L6324" s="31" t="s">
        <v>71</v>
      </c>
    </row>
    <row r="6325" spans="1:12">
      <c r="A6325" s="31" t="s">
        <v>72</v>
      </c>
      <c r="B6325" s="39" t="e">
        <f>TRUNC((A6312-C6324)/1000000)</f>
        <v>#REF!</v>
      </c>
      <c r="C6325" s="31" t="e">
        <f>B6325*1000000</f>
        <v>#REF!</v>
      </c>
      <c r="D6325" s="31" t="e">
        <f t="shared" si="610"/>
        <v>#REF!</v>
      </c>
      <c r="E6325" s="31" t="e">
        <f>IF(B6324+B6325=0,"",IF(B6325=1," Million "," Millions "))</f>
        <v>#REF!</v>
      </c>
      <c r="J6325" s="31">
        <v>11</v>
      </c>
      <c r="K6325" s="33" t="s">
        <v>73</v>
      </c>
      <c r="L6325" s="31" t="s">
        <v>74</v>
      </c>
    </row>
    <row r="6326" spans="1:12">
      <c r="A6326" s="31" t="s">
        <v>75</v>
      </c>
      <c r="B6326" s="39" t="e">
        <f>TRUNC((A6312-SUM(C6324:C6325))/100000)</f>
        <v>#REF!</v>
      </c>
      <c r="C6326" s="31" t="e">
        <f>B6326*100000</f>
        <v>#REF!</v>
      </c>
      <c r="D6326" s="31" t="e">
        <f t="shared" si="610"/>
        <v>#REF!</v>
      </c>
      <c r="E6326" s="31" t="e">
        <f>IF(B6326&lt;1,"",IF(B6326&gt;1," Hundreds "," Hundred "))</f>
        <v>#REF!</v>
      </c>
      <c r="J6326" s="31">
        <v>12</v>
      </c>
      <c r="K6326" s="33" t="s">
        <v>76</v>
      </c>
      <c r="L6326" s="31" t="str">
        <f t="shared" ref="L6326:L6333" si="611">L6316&amp;" Belas"</f>
        <v>Dua Belas</v>
      </c>
    </row>
    <row r="6327" spans="1:12">
      <c r="A6327" s="33" t="s">
        <v>77</v>
      </c>
      <c r="B6327" s="40" t="e">
        <f>TRUNC((A6312-SUM(C6324:C6326))/1000)</f>
        <v>#REF!</v>
      </c>
      <c r="C6327" s="31" t="e">
        <f>B6327*1000</f>
        <v>#REF!</v>
      </c>
      <c r="D6327" s="31" t="e">
        <f t="shared" si="610"/>
        <v>#REF!</v>
      </c>
      <c r="E6327" s="31" t="e">
        <f>IF(B6326+B6327=0,"",IF(B6327=1," Thousand "," Thousands "))</f>
        <v>#REF!</v>
      </c>
      <c r="J6327" s="31">
        <v>13</v>
      </c>
      <c r="K6327" s="33" t="s">
        <v>78</v>
      </c>
      <c r="L6327" s="31" t="str">
        <f t="shared" si="611"/>
        <v>Tiga Belas</v>
      </c>
    </row>
    <row r="6328" spans="1:12">
      <c r="A6328" s="33" t="s">
        <v>79</v>
      </c>
      <c r="B6328" s="40" t="e">
        <f>TRUNC((A6312-SUM(C6324:C6327))/100)</f>
        <v>#REF!</v>
      </c>
      <c r="C6328" s="31" t="e">
        <f>B6328*100</f>
        <v>#REF!</v>
      </c>
      <c r="D6328" s="31" t="e">
        <f t="shared" si="610"/>
        <v>#REF!</v>
      </c>
      <c r="E6328" s="31" t="e">
        <f>IF(B6328&lt;1,"",IF(B6328&gt;1," Hundreds "," Hundred "))</f>
        <v>#REF!</v>
      </c>
      <c r="J6328" s="31">
        <v>14</v>
      </c>
      <c r="K6328" s="33" t="s">
        <v>80</v>
      </c>
      <c r="L6328" s="31" t="str">
        <f t="shared" si="611"/>
        <v>Empat Belas</v>
      </c>
    </row>
    <row r="6329" spans="1:12">
      <c r="A6329" s="33" t="s">
        <v>81</v>
      </c>
      <c r="B6329" s="41" t="e">
        <f>TRUNC((A6312-SUM(C6324:C6328)))</f>
        <v>#REF!</v>
      </c>
      <c r="C6329" s="42" t="e">
        <f>B6329</f>
        <v>#REF!</v>
      </c>
      <c r="D6329" s="31" t="e">
        <f t="shared" si="610"/>
        <v>#REF!</v>
      </c>
      <c r="E6329" s="31" t="e">
        <f>IF(SUM(C6324:C6329)&lt;1,"",IF(B6330&lt;1,""," And "))</f>
        <v>#REF!</v>
      </c>
      <c r="J6329" s="31">
        <v>15</v>
      </c>
      <c r="K6329" s="33" t="s">
        <v>82</v>
      </c>
      <c r="L6329" s="31" t="str">
        <f t="shared" si="611"/>
        <v>Lima Belas</v>
      </c>
    </row>
    <row r="6330" spans="1:12">
      <c r="A6330" s="33" t="s">
        <v>83</v>
      </c>
      <c r="B6330" s="40" t="e">
        <f>ROUND(A6312-SUM(C6324:C6329),2)*100</f>
        <v>#REF!</v>
      </c>
      <c r="D6330" s="43" t="e">
        <f t="shared" si="610"/>
        <v>#REF!</v>
      </c>
      <c r="E6330" s="31" t="e">
        <f>IF(B6330&lt;1,"",IF(B6330=1," Cent "," Cents "))</f>
        <v>#REF!</v>
      </c>
      <c r="J6330" s="31">
        <v>16</v>
      </c>
      <c r="K6330" s="33" t="s">
        <v>84</v>
      </c>
      <c r="L6330" s="31" t="str">
        <f t="shared" si="611"/>
        <v>Enam Belas</v>
      </c>
    </row>
    <row r="6331" spans="1:12">
      <c r="J6331" s="31">
        <v>17</v>
      </c>
      <c r="K6331" s="33" t="s">
        <v>85</v>
      </c>
      <c r="L6331" s="31" t="str">
        <f t="shared" si="611"/>
        <v>Tujuh Belas</v>
      </c>
    </row>
    <row r="6332" spans="1:12">
      <c r="A6332" s="44"/>
      <c r="J6332" s="31">
        <v>18</v>
      </c>
      <c r="K6332" s="33" t="s">
        <v>86</v>
      </c>
      <c r="L6332" s="31" t="str">
        <f t="shared" si="611"/>
        <v>Delapan Belas</v>
      </c>
    </row>
    <row r="6333" spans="1:12">
      <c r="A6333" s="38" t="s">
        <v>87</v>
      </c>
      <c r="J6333" s="31">
        <v>19</v>
      </c>
      <c r="K6333" s="33" t="s">
        <v>88</v>
      </c>
      <c r="L6333" s="31" t="str">
        <f t="shared" si="611"/>
        <v>Sembilan Belas</v>
      </c>
    </row>
    <row r="6334" spans="1:12">
      <c r="A6334" s="31" t="s">
        <v>69</v>
      </c>
      <c r="B6334" s="39" t="e">
        <f>TRUNC(A6312/100000000)</f>
        <v>#REF!</v>
      </c>
      <c r="C6334" s="31" t="e">
        <f>B6334*100000000</f>
        <v>#REF!</v>
      </c>
      <c r="D6334" s="31" t="e">
        <f>IF(B6334&lt;1,"",IF(B6334=1,"",VLOOKUP(B6334,$J$3:$L$102,3)))</f>
        <v>#REF!</v>
      </c>
      <c r="E6334" s="31" t="e">
        <f>IF(B6334&lt;1,"",IF(B6334=1,"Seratus "," Ratus "))</f>
        <v>#REF!</v>
      </c>
      <c r="J6334" s="31">
        <v>20</v>
      </c>
      <c r="K6334" s="33" t="s">
        <v>89</v>
      </c>
      <c r="L6334" s="31" t="s">
        <v>90</v>
      </c>
    </row>
    <row r="6335" spans="1:12">
      <c r="A6335" s="31" t="s">
        <v>72</v>
      </c>
      <c r="B6335" s="39" t="e">
        <f>TRUNC((A6312-C6334)/1000000)</f>
        <v>#REF!</v>
      </c>
      <c r="C6335" s="31" t="e">
        <f>B6335*1000000</f>
        <v>#REF!</v>
      </c>
      <c r="D6335" s="31" t="e">
        <f>IF(B6335&lt;1,"",VLOOKUP(B6335,$J$3:$L$102,3))</f>
        <v>#REF!</v>
      </c>
      <c r="E6335" s="31" t="e">
        <f>IF(B6334+B6335=0,""," Juta ")</f>
        <v>#REF!</v>
      </c>
      <c r="J6335" s="31">
        <v>21</v>
      </c>
      <c r="K6335" s="33" t="s">
        <v>91</v>
      </c>
      <c r="L6335" s="31" t="str">
        <f t="shared" ref="L6335:L6343" si="612">$L$23&amp;" "&amp;L6315</f>
        <v>Dua Puluh Satu</v>
      </c>
    </row>
    <row r="6336" spans="1:12">
      <c r="A6336" s="31" t="s">
        <v>75</v>
      </c>
      <c r="B6336" s="39" t="e">
        <f>TRUNC((A6312-SUM(C6334:C6335))/100000)</f>
        <v>#REF!</v>
      </c>
      <c r="C6336" s="31" t="e">
        <f>B6336*100000</f>
        <v>#REF!</v>
      </c>
      <c r="D6336" s="31" t="e">
        <f>IF(B6336&lt;1,"",IF(B6336=1,"",VLOOKUP(B6336,$J$3:$L$102,3)))</f>
        <v>#REF!</v>
      </c>
      <c r="E6336" s="31" t="e">
        <f>IF(B6336&lt;1,"",IF(B6336=1," Seratus "," Ratus "))</f>
        <v>#REF!</v>
      </c>
      <c r="J6336" s="31">
        <v>22</v>
      </c>
      <c r="K6336" s="33" t="s">
        <v>92</v>
      </c>
      <c r="L6336" s="31" t="str">
        <f t="shared" si="612"/>
        <v>Dua Puluh Dua</v>
      </c>
    </row>
    <row r="6337" spans="1:12">
      <c r="A6337" s="33" t="s">
        <v>77</v>
      </c>
      <c r="B6337" s="40" t="e">
        <f>TRUNC((A6312-SUM(C6334:C6336))/1000)</f>
        <v>#REF!</v>
      </c>
      <c r="C6337" s="31" t="e">
        <f>B6337*1000</f>
        <v>#REF!</v>
      </c>
      <c r="D6337" s="31" t="e">
        <f>IF(B6337&lt;1,"",IF(B6337=1,"",VLOOKUP(B6337,$J$3:$L$102,3)))</f>
        <v>#REF!</v>
      </c>
      <c r="E6337" s="31" t="e">
        <f>IF(B6336+B6337&lt;1,"",IF(B6337=1," Seribu "," Ribu "))</f>
        <v>#REF!</v>
      </c>
      <c r="J6337" s="31">
        <v>23</v>
      </c>
      <c r="K6337" s="33" t="s">
        <v>93</v>
      </c>
      <c r="L6337" s="31" t="str">
        <f t="shared" si="612"/>
        <v>Dua Puluh Tiga</v>
      </c>
    </row>
    <row r="6338" spans="1:12">
      <c r="A6338" s="33" t="s">
        <v>79</v>
      </c>
      <c r="B6338" s="40" t="e">
        <f>TRUNC((A6312-SUM(C6334:C6337))/100)</f>
        <v>#REF!</v>
      </c>
      <c r="C6338" s="31" t="e">
        <f>B6338*100</f>
        <v>#REF!</v>
      </c>
      <c r="D6338" s="31" t="e">
        <f>IF(B6338&lt;1,"",IF(B6338=1,"",VLOOKUP(B6338,$J$3:$L$102,3)))</f>
        <v>#REF!</v>
      </c>
      <c r="E6338" s="31" t="e">
        <f>IF(B6338&lt;1,"",IF(B6338=1," Seratus "," Ratus "))</f>
        <v>#REF!</v>
      </c>
      <c r="J6338" s="31">
        <v>24</v>
      </c>
      <c r="K6338" s="33" t="s">
        <v>94</v>
      </c>
      <c r="L6338" s="31" t="str">
        <f t="shared" si="612"/>
        <v>Dua Puluh Empat</v>
      </c>
    </row>
    <row r="6339" spans="1:12">
      <c r="A6339" s="33" t="s">
        <v>81</v>
      </c>
      <c r="B6339" s="41" t="e">
        <f>TRUNC((A6312-SUM(C6334:C6338)))</f>
        <v>#REF!</v>
      </c>
      <c r="C6339" s="42" t="e">
        <f>B6339</f>
        <v>#REF!</v>
      </c>
      <c r="D6339" s="31" t="e">
        <f>IF(B6339&lt;1,"",VLOOKUP(B6339,$J$3:$L$102,3))</f>
        <v>#REF!</v>
      </c>
      <c r="E6339" s="31" t="e">
        <f>IF(SUM(C6334:C6339)&lt;1,"",IF(B6340&lt;1,""," Dan "))</f>
        <v>#REF!</v>
      </c>
      <c r="J6339" s="31">
        <v>25</v>
      </c>
      <c r="K6339" s="33" t="s">
        <v>95</v>
      </c>
      <c r="L6339" s="31" t="str">
        <f t="shared" si="612"/>
        <v>Dua Puluh Lima</v>
      </c>
    </row>
    <row r="6340" spans="1:12">
      <c r="A6340" s="33" t="s">
        <v>83</v>
      </c>
      <c r="B6340" s="40" t="e">
        <f>ROUND(A6312-SUM(C6334:C6339),2)*100</f>
        <v>#REF!</v>
      </c>
      <c r="D6340" s="31" t="e">
        <f>IF(B6340&lt;1,"",VLOOKUP(B6340,$J$3:$L$102,3))</f>
        <v>#REF!</v>
      </c>
      <c r="E6340" s="31" t="e">
        <f>IF(B6340&lt;1,""," Sen ")</f>
        <v>#REF!</v>
      </c>
      <c r="J6340" s="31">
        <v>26</v>
      </c>
      <c r="K6340" s="33" t="s">
        <v>96</v>
      </c>
      <c r="L6340" s="31" t="str">
        <f t="shared" si="612"/>
        <v>Dua Puluh Enam</v>
      </c>
    </row>
    <row r="6341" spans="1:12">
      <c r="J6341" s="31">
        <v>27</v>
      </c>
      <c r="K6341" s="33" t="s">
        <v>97</v>
      </c>
      <c r="L6341" s="31" t="str">
        <f t="shared" si="612"/>
        <v>Dua Puluh Tujuh</v>
      </c>
    </row>
    <row r="6342" spans="1:12">
      <c r="J6342" s="31">
        <v>28</v>
      </c>
      <c r="K6342" s="33" t="s">
        <v>98</v>
      </c>
      <c r="L6342" s="31" t="str">
        <f t="shared" si="612"/>
        <v>Dua Puluh Delapan</v>
      </c>
    </row>
    <row r="6343" spans="1:12">
      <c r="J6343" s="31">
        <v>29</v>
      </c>
      <c r="K6343" s="33" t="s">
        <v>99</v>
      </c>
      <c r="L6343" s="31" t="str">
        <f t="shared" si="612"/>
        <v>Dua Puluh Sembilan</v>
      </c>
    </row>
    <row r="6344" spans="1:12">
      <c r="J6344" s="31">
        <v>30</v>
      </c>
      <c r="K6344" s="33" t="s">
        <v>100</v>
      </c>
      <c r="L6344" s="31" t="s">
        <v>101</v>
      </c>
    </row>
    <row r="6345" spans="1:12">
      <c r="J6345" s="31">
        <v>31</v>
      </c>
      <c r="K6345" s="33" t="s">
        <v>102</v>
      </c>
      <c r="L6345" s="31" t="str">
        <f t="shared" ref="L6345:L6353" si="613">$L$33&amp;" "&amp;L6315</f>
        <v>Tiga Puluh Satu</v>
      </c>
    </row>
    <row r="6346" spans="1:12">
      <c r="J6346" s="31">
        <v>32</v>
      </c>
      <c r="K6346" s="33" t="s">
        <v>103</v>
      </c>
      <c r="L6346" s="31" t="str">
        <f t="shared" si="613"/>
        <v>Tiga Puluh Dua</v>
      </c>
    </row>
    <row r="6347" spans="1:12">
      <c r="J6347" s="31">
        <v>33</v>
      </c>
      <c r="K6347" s="33" t="s">
        <v>104</v>
      </c>
      <c r="L6347" s="31" t="str">
        <f t="shared" si="613"/>
        <v>Tiga Puluh Tiga</v>
      </c>
    </row>
    <row r="6348" spans="1:12">
      <c r="J6348" s="31">
        <v>34</v>
      </c>
      <c r="K6348" s="33" t="s">
        <v>105</v>
      </c>
      <c r="L6348" s="31" t="str">
        <f t="shared" si="613"/>
        <v>Tiga Puluh Empat</v>
      </c>
    </row>
    <row r="6349" spans="1:12">
      <c r="J6349" s="31">
        <v>35</v>
      </c>
      <c r="K6349" s="33" t="s">
        <v>106</v>
      </c>
      <c r="L6349" s="31" t="str">
        <f t="shared" si="613"/>
        <v>Tiga Puluh Lima</v>
      </c>
    </row>
    <row r="6350" spans="1:12">
      <c r="J6350" s="31">
        <v>36</v>
      </c>
      <c r="K6350" s="33" t="s">
        <v>107</v>
      </c>
      <c r="L6350" s="31" t="str">
        <f t="shared" si="613"/>
        <v>Tiga Puluh Enam</v>
      </c>
    </row>
    <row r="6351" spans="1:12">
      <c r="J6351" s="31">
        <v>37</v>
      </c>
      <c r="K6351" s="33" t="s">
        <v>108</v>
      </c>
      <c r="L6351" s="31" t="str">
        <f t="shared" si="613"/>
        <v>Tiga Puluh Tujuh</v>
      </c>
    </row>
    <row r="6352" spans="1:12">
      <c r="J6352" s="31">
        <v>38</v>
      </c>
      <c r="K6352" s="33" t="s">
        <v>109</v>
      </c>
      <c r="L6352" s="31" t="str">
        <f t="shared" si="613"/>
        <v>Tiga Puluh Delapan</v>
      </c>
    </row>
    <row r="6353" spans="1:12">
      <c r="J6353" s="31">
        <v>39</v>
      </c>
      <c r="K6353" s="33" t="s">
        <v>110</v>
      </c>
      <c r="L6353" s="31" t="str">
        <f t="shared" si="613"/>
        <v>Tiga Puluh Sembilan</v>
      </c>
    </row>
    <row r="6354" spans="1:12">
      <c r="B6354" s="35"/>
      <c r="C6354" s="35"/>
      <c r="D6354" s="35"/>
      <c r="J6354" s="31">
        <v>40</v>
      </c>
      <c r="K6354" s="33" t="s">
        <v>111</v>
      </c>
      <c r="L6354" s="31" t="s">
        <v>112</v>
      </c>
    </row>
    <row r="6355" spans="1:12">
      <c r="A6355" s="35"/>
      <c r="B6355" s="35"/>
      <c r="C6355" s="35"/>
      <c r="D6355" s="35"/>
      <c r="J6355" s="31">
        <v>41</v>
      </c>
      <c r="K6355" s="33" t="s">
        <v>113</v>
      </c>
      <c r="L6355" s="31" t="str">
        <f t="shared" ref="L6355:L6363" si="614">$L$43&amp;" "&amp;L6315</f>
        <v>Empat Puluh Satu</v>
      </c>
    </row>
    <row r="6356" spans="1:12">
      <c r="J6356" s="31">
        <v>42</v>
      </c>
      <c r="K6356" s="33" t="s">
        <v>114</v>
      </c>
      <c r="L6356" s="31" t="str">
        <f t="shared" si="614"/>
        <v>Empat Puluh Dua</v>
      </c>
    </row>
    <row r="6357" spans="1:12">
      <c r="A6357" s="38"/>
      <c r="J6357" s="31">
        <v>43</v>
      </c>
      <c r="K6357" s="33" t="s">
        <v>115</v>
      </c>
      <c r="L6357" s="31" t="str">
        <f t="shared" si="614"/>
        <v>Empat Puluh Tiga</v>
      </c>
    </row>
    <row r="6358" spans="1:12">
      <c r="J6358" s="31">
        <v>44</v>
      </c>
      <c r="K6358" s="33" t="s">
        <v>116</v>
      </c>
      <c r="L6358" s="31" t="str">
        <f t="shared" si="614"/>
        <v>Empat Puluh Empat</v>
      </c>
    </row>
    <row r="6359" spans="1:12">
      <c r="J6359" s="31">
        <v>45</v>
      </c>
      <c r="K6359" s="33" t="s">
        <v>117</v>
      </c>
      <c r="L6359" s="31" t="str">
        <f t="shared" si="614"/>
        <v>Empat Puluh Lima</v>
      </c>
    </row>
    <row r="6360" spans="1:12">
      <c r="J6360" s="31">
        <v>46</v>
      </c>
      <c r="K6360" s="33" t="s">
        <v>118</v>
      </c>
      <c r="L6360" s="31" t="str">
        <f t="shared" si="614"/>
        <v>Empat Puluh Enam</v>
      </c>
    </row>
    <row r="6361" spans="1:12">
      <c r="J6361" s="31">
        <v>47</v>
      </c>
      <c r="K6361" s="33" t="s">
        <v>119</v>
      </c>
      <c r="L6361" s="31" t="str">
        <f t="shared" si="614"/>
        <v>Empat Puluh Tujuh</v>
      </c>
    </row>
    <row r="6362" spans="1:12">
      <c r="J6362" s="31">
        <v>48</v>
      </c>
      <c r="K6362" s="33" t="s">
        <v>120</v>
      </c>
      <c r="L6362" s="31" t="str">
        <f t="shared" si="614"/>
        <v>Empat Puluh Delapan</v>
      </c>
    </row>
    <row r="6363" spans="1:12">
      <c r="J6363" s="31">
        <v>49</v>
      </c>
      <c r="K6363" s="33" t="s">
        <v>121</v>
      </c>
      <c r="L6363" s="31" t="str">
        <f t="shared" si="614"/>
        <v>Empat Puluh Sembilan</v>
      </c>
    </row>
    <row r="6364" spans="1:12">
      <c r="J6364" s="31">
        <v>50</v>
      </c>
      <c r="K6364" s="33" t="s">
        <v>122</v>
      </c>
      <c r="L6364" s="31" t="s">
        <v>123</v>
      </c>
    </row>
    <row r="6365" spans="1:12">
      <c r="J6365" s="31">
        <v>51</v>
      </c>
      <c r="K6365" s="33" t="s">
        <v>124</v>
      </c>
      <c r="L6365" s="31" t="str">
        <f t="shared" ref="L6365:L6373" si="615">$L$53&amp;" "&amp;L6315</f>
        <v>Lima Puluh Satu</v>
      </c>
    </row>
    <row r="6366" spans="1:12">
      <c r="J6366" s="31">
        <v>52</v>
      </c>
      <c r="K6366" s="33" t="s">
        <v>125</v>
      </c>
      <c r="L6366" s="31" t="str">
        <f t="shared" si="615"/>
        <v>Lima Puluh Dua</v>
      </c>
    </row>
    <row r="6367" spans="1:12">
      <c r="J6367" s="31">
        <v>53</v>
      </c>
      <c r="K6367" s="33" t="s">
        <v>126</v>
      </c>
      <c r="L6367" s="31" t="str">
        <f t="shared" si="615"/>
        <v>Lima Puluh Tiga</v>
      </c>
    </row>
    <row r="6368" spans="1:12">
      <c r="J6368" s="31">
        <v>54</v>
      </c>
      <c r="K6368" s="33" t="s">
        <v>127</v>
      </c>
      <c r="L6368" s="31" t="str">
        <f t="shared" si="615"/>
        <v>Lima Puluh Empat</v>
      </c>
    </row>
    <row r="6369" spans="10:12">
      <c r="J6369" s="31">
        <v>55</v>
      </c>
      <c r="K6369" s="33" t="s">
        <v>128</v>
      </c>
      <c r="L6369" s="31" t="str">
        <f t="shared" si="615"/>
        <v>Lima Puluh Lima</v>
      </c>
    </row>
    <row r="6370" spans="10:12">
      <c r="J6370" s="31">
        <v>56</v>
      </c>
      <c r="K6370" s="33" t="s">
        <v>129</v>
      </c>
      <c r="L6370" s="31" t="str">
        <f t="shared" si="615"/>
        <v>Lima Puluh Enam</v>
      </c>
    </row>
    <row r="6371" spans="10:12">
      <c r="J6371" s="31">
        <v>57</v>
      </c>
      <c r="K6371" s="33" t="s">
        <v>130</v>
      </c>
      <c r="L6371" s="31" t="str">
        <f t="shared" si="615"/>
        <v>Lima Puluh Tujuh</v>
      </c>
    </row>
    <row r="6372" spans="10:12">
      <c r="J6372" s="31">
        <v>58</v>
      </c>
      <c r="K6372" s="33" t="s">
        <v>131</v>
      </c>
      <c r="L6372" s="31" t="str">
        <f t="shared" si="615"/>
        <v>Lima Puluh Delapan</v>
      </c>
    </row>
    <row r="6373" spans="10:12">
      <c r="J6373" s="31">
        <v>59</v>
      </c>
      <c r="K6373" s="33" t="s">
        <v>132</v>
      </c>
      <c r="L6373" s="31" t="str">
        <f t="shared" si="615"/>
        <v>Lima Puluh Sembilan</v>
      </c>
    </row>
    <row r="6374" spans="10:12">
      <c r="J6374" s="31">
        <v>60</v>
      </c>
      <c r="K6374" s="33" t="s">
        <v>133</v>
      </c>
      <c r="L6374" s="31" t="s">
        <v>134</v>
      </c>
    </row>
    <row r="6375" spans="10:12">
      <c r="J6375" s="31">
        <v>61</v>
      </c>
      <c r="K6375" s="33" t="s">
        <v>135</v>
      </c>
      <c r="L6375" s="31" t="str">
        <f t="shared" ref="L6375:L6383" si="616">$L$63&amp;" "&amp;L6315</f>
        <v>Enam Puluh Satu</v>
      </c>
    </row>
    <row r="6376" spans="10:12">
      <c r="J6376" s="31">
        <v>62</v>
      </c>
      <c r="K6376" s="33" t="s">
        <v>136</v>
      </c>
      <c r="L6376" s="31" t="str">
        <f t="shared" si="616"/>
        <v>Enam Puluh Dua</v>
      </c>
    </row>
    <row r="6377" spans="10:12">
      <c r="J6377" s="31">
        <v>63</v>
      </c>
      <c r="K6377" s="33" t="s">
        <v>137</v>
      </c>
      <c r="L6377" s="31" t="str">
        <f t="shared" si="616"/>
        <v>Enam Puluh Tiga</v>
      </c>
    </row>
    <row r="6378" spans="10:12">
      <c r="J6378" s="31">
        <v>64</v>
      </c>
      <c r="K6378" s="33" t="s">
        <v>138</v>
      </c>
      <c r="L6378" s="31" t="str">
        <f t="shared" si="616"/>
        <v>Enam Puluh Empat</v>
      </c>
    </row>
    <row r="6379" spans="10:12">
      <c r="J6379" s="31">
        <v>65</v>
      </c>
      <c r="K6379" s="33" t="s">
        <v>139</v>
      </c>
      <c r="L6379" s="31" t="str">
        <f t="shared" si="616"/>
        <v>Enam Puluh Lima</v>
      </c>
    </row>
    <row r="6380" spans="10:12">
      <c r="J6380" s="31">
        <v>66</v>
      </c>
      <c r="K6380" s="33" t="s">
        <v>140</v>
      </c>
      <c r="L6380" s="31" t="str">
        <f t="shared" si="616"/>
        <v>Enam Puluh Enam</v>
      </c>
    </row>
    <row r="6381" spans="10:12">
      <c r="J6381" s="31">
        <v>67</v>
      </c>
      <c r="K6381" s="33" t="s">
        <v>141</v>
      </c>
      <c r="L6381" s="31" t="str">
        <f t="shared" si="616"/>
        <v>Enam Puluh Tujuh</v>
      </c>
    </row>
    <row r="6382" spans="10:12">
      <c r="J6382" s="31">
        <v>68</v>
      </c>
      <c r="K6382" s="33" t="s">
        <v>142</v>
      </c>
      <c r="L6382" s="31" t="str">
        <f t="shared" si="616"/>
        <v>Enam Puluh Delapan</v>
      </c>
    </row>
    <row r="6383" spans="10:12">
      <c r="J6383" s="31">
        <v>69</v>
      </c>
      <c r="K6383" s="33" t="s">
        <v>143</v>
      </c>
      <c r="L6383" s="31" t="str">
        <f t="shared" si="616"/>
        <v>Enam Puluh Sembilan</v>
      </c>
    </row>
    <row r="6384" spans="10:12">
      <c r="J6384" s="31">
        <v>70</v>
      </c>
      <c r="K6384" s="33" t="s">
        <v>144</v>
      </c>
      <c r="L6384" s="31" t="s">
        <v>145</v>
      </c>
    </row>
    <row r="6385" spans="10:12">
      <c r="J6385" s="31">
        <v>71</v>
      </c>
      <c r="K6385" s="33" t="s">
        <v>146</v>
      </c>
      <c r="L6385" s="31" t="str">
        <f t="shared" ref="L6385:L6393" si="617">$L$73&amp;" "&amp;L6315</f>
        <v>Tujuh Puluh Satu</v>
      </c>
    </row>
    <row r="6386" spans="10:12">
      <c r="J6386" s="31">
        <v>72</v>
      </c>
      <c r="K6386" s="33" t="s">
        <v>147</v>
      </c>
      <c r="L6386" s="31" t="str">
        <f t="shared" si="617"/>
        <v>Tujuh Puluh Dua</v>
      </c>
    </row>
    <row r="6387" spans="10:12">
      <c r="J6387" s="31">
        <v>73</v>
      </c>
      <c r="K6387" s="33" t="s">
        <v>148</v>
      </c>
      <c r="L6387" s="31" t="str">
        <f t="shared" si="617"/>
        <v>Tujuh Puluh Tiga</v>
      </c>
    </row>
    <row r="6388" spans="10:12">
      <c r="J6388" s="31">
        <v>74</v>
      </c>
      <c r="K6388" s="33" t="s">
        <v>149</v>
      </c>
      <c r="L6388" s="31" t="str">
        <f t="shared" si="617"/>
        <v>Tujuh Puluh Empat</v>
      </c>
    </row>
    <row r="6389" spans="10:12">
      <c r="J6389" s="31">
        <v>75</v>
      </c>
      <c r="K6389" s="33" t="s">
        <v>150</v>
      </c>
      <c r="L6389" s="31" t="str">
        <f t="shared" si="617"/>
        <v>Tujuh Puluh Lima</v>
      </c>
    </row>
    <row r="6390" spans="10:12">
      <c r="J6390" s="31">
        <v>76</v>
      </c>
      <c r="K6390" s="33" t="s">
        <v>151</v>
      </c>
      <c r="L6390" s="31" t="str">
        <f t="shared" si="617"/>
        <v>Tujuh Puluh Enam</v>
      </c>
    </row>
    <row r="6391" spans="10:12">
      <c r="J6391" s="31">
        <v>77</v>
      </c>
      <c r="K6391" s="33" t="s">
        <v>152</v>
      </c>
      <c r="L6391" s="31" t="str">
        <f t="shared" si="617"/>
        <v>Tujuh Puluh Tujuh</v>
      </c>
    </row>
    <row r="6392" spans="10:12">
      <c r="J6392" s="31">
        <v>78</v>
      </c>
      <c r="K6392" s="33" t="s">
        <v>153</v>
      </c>
      <c r="L6392" s="31" t="str">
        <f t="shared" si="617"/>
        <v>Tujuh Puluh Delapan</v>
      </c>
    </row>
    <row r="6393" spans="10:12">
      <c r="J6393" s="31">
        <v>79</v>
      </c>
      <c r="K6393" s="33" t="s">
        <v>154</v>
      </c>
      <c r="L6393" s="31" t="str">
        <f t="shared" si="617"/>
        <v>Tujuh Puluh Sembilan</v>
      </c>
    </row>
    <row r="6394" spans="10:12">
      <c r="J6394" s="31">
        <v>80</v>
      </c>
      <c r="K6394" s="33" t="s">
        <v>155</v>
      </c>
      <c r="L6394" s="31" t="s">
        <v>156</v>
      </c>
    </row>
    <row r="6395" spans="10:12">
      <c r="J6395" s="31">
        <v>81</v>
      </c>
      <c r="K6395" s="33" t="s">
        <v>157</v>
      </c>
      <c r="L6395" s="31" t="str">
        <f t="shared" ref="L6395:L6403" si="618">$L$83&amp;" "&amp;L6315</f>
        <v>Delapan Puluh Satu</v>
      </c>
    </row>
    <row r="6396" spans="10:12">
      <c r="J6396" s="31">
        <v>82</v>
      </c>
      <c r="K6396" s="33" t="s">
        <v>158</v>
      </c>
      <c r="L6396" s="31" t="str">
        <f t="shared" si="618"/>
        <v>Delapan Puluh Dua</v>
      </c>
    </row>
    <row r="6397" spans="10:12">
      <c r="J6397" s="31">
        <v>83</v>
      </c>
      <c r="K6397" s="33" t="s">
        <v>159</v>
      </c>
      <c r="L6397" s="31" t="str">
        <f t="shared" si="618"/>
        <v>Delapan Puluh Tiga</v>
      </c>
    </row>
    <row r="6398" spans="10:12">
      <c r="J6398" s="31">
        <v>84</v>
      </c>
      <c r="K6398" s="33" t="s">
        <v>160</v>
      </c>
      <c r="L6398" s="31" t="str">
        <f t="shared" si="618"/>
        <v>Delapan Puluh Empat</v>
      </c>
    </row>
    <row r="6399" spans="10:12">
      <c r="J6399" s="31">
        <v>85</v>
      </c>
      <c r="K6399" s="33" t="s">
        <v>161</v>
      </c>
      <c r="L6399" s="31" t="str">
        <f t="shared" si="618"/>
        <v>Delapan Puluh Lima</v>
      </c>
    </row>
    <row r="6400" spans="10:12">
      <c r="J6400" s="31">
        <v>86</v>
      </c>
      <c r="K6400" s="33" t="s">
        <v>162</v>
      </c>
      <c r="L6400" s="31" t="str">
        <f t="shared" si="618"/>
        <v>Delapan Puluh Enam</v>
      </c>
    </row>
    <row r="6401" spans="1:12">
      <c r="J6401" s="31">
        <v>87</v>
      </c>
      <c r="K6401" s="33" t="s">
        <v>163</v>
      </c>
      <c r="L6401" s="31" t="str">
        <f t="shared" si="618"/>
        <v>Delapan Puluh Tujuh</v>
      </c>
    </row>
    <row r="6402" spans="1:12">
      <c r="J6402" s="31">
        <v>88</v>
      </c>
      <c r="K6402" s="33" t="s">
        <v>164</v>
      </c>
      <c r="L6402" s="31" t="str">
        <f t="shared" si="618"/>
        <v>Delapan Puluh Delapan</v>
      </c>
    </row>
    <row r="6403" spans="1:12">
      <c r="J6403" s="31">
        <v>89</v>
      </c>
      <c r="K6403" s="33" t="s">
        <v>165</v>
      </c>
      <c r="L6403" s="31" t="str">
        <f t="shared" si="618"/>
        <v>Delapan Puluh Sembilan</v>
      </c>
    </row>
    <row r="6404" spans="1:12">
      <c r="J6404" s="31">
        <v>90</v>
      </c>
      <c r="K6404" s="33" t="s">
        <v>166</v>
      </c>
      <c r="L6404" s="31" t="s">
        <v>167</v>
      </c>
    </row>
    <row r="6405" spans="1:12">
      <c r="J6405" s="31">
        <v>91</v>
      </c>
      <c r="K6405" s="33" t="s">
        <v>168</v>
      </c>
      <c r="L6405" s="31" t="str">
        <f t="shared" ref="L6405:L6413" si="619">$L$93&amp;" "&amp;L6315</f>
        <v>Sembilan Puluh Satu</v>
      </c>
    </row>
    <row r="6406" spans="1:12">
      <c r="J6406" s="31">
        <v>92</v>
      </c>
      <c r="K6406" s="33" t="s">
        <v>169</v>
      </c>
      <c r="L6406" s="31" t="str">
        <f t="shared" si="619"/>
        <v>Sembilan Puluh Dua</v>
      </c>
    </row>
    <row r="6407" spans="1:12">
      <c r="J6407" s="31">
        <v>93</v>
      </c>
      <c r="K6407" s="33" t="s">
        <v>170</v>
      </c>
      <c r="L6407" s="31" t="str">
        <f t="shared" si="619"/>
        <v>Sembilan Puluh Tiga</v>
      </c>
    </row>
    <row r="6408" spans="1:12">
      <c r="J6408" s="31">
        <v>94</v>
      </c>
      <c r="K6408" s="33" t="s">
        <v>171</v>
      </c>
      <c r="L6408" s="31" t="str">
        <f t="shared" si="619"/>
        <v>Sembilan Puluh Empat</v>
      </c>
    </row>
    <row r="6409" spans="1:12">
      <c r="J6409" s="31">
        <v>95</v>
      </c>
      <c r="K6409" s="33" t="s">
        <v>172</v>
      </c>
      <c r="L6409" s="31" t="str">
        <f t="shared" si="619"/>
        <v>Sembilan Puluh Lima</v>
      </c>
    </row>
    <row r="6410" spans="1:12">
      <c r="J6410" s="31">
        <v>96</v>
      </c>
      <c r="K6410" s="33" t="s">
        <v>173</v>
      </c>
      <c r="L6410" s="31" t="str">
        <f t="shared" si="619"/>
        <v>Sembilan Puluh Enam</v>
      </c>
    </row>
    <row r="6411" spans="1:12">
      <c r="J6411" s="31">
        <v>97</v>
      </c>
      <c r="K6411" s="33" t="s">
        <v>174</v>
      </c>
      <c r="L6411" s="31" t="str">
        <f t="shared" si="619"/>
        <v>Sembilan Puluh Tujuh</v>
      </c>
    </row>
    <row r="6412" spans="1:12">
      <c r="J6412" s="31">
        <v>98</v>
      </c>
      <c r="K6412" s="33" t="s">
        <v>175</v>
      </c>
      <c r="L6412" s="31" t="str">
        <f t="shared" si="619"/>
        <v>Sembilan Puluh Delapan</v>
      </c>
    </row>
    <row r="6413" spans="1:12">
      <c r="J6413" s="31">
        <v>99</v>
      </c>
      <c r="K6413" s="33" t="s">
        <v>176</v>
      </c>
      <c r="L6413" s="31" t="str">
        <f t="shared" si="619"/>
        <v>Sembilan Puluh Sembilan</v>
      </c>
    </row>
    <row r="6415" spans="1:12">
      <c r="A6415" s="30" t="e">
        <f>#REF!</f>
        <v>#REF!</v>
      </c>
      <c r="C6415" s="31" t="s">
        <v>260</v>
      </c>
    </row>
    <row r="6416" spans="1:12">
      <c r="A6416" s="32"/>
    </row>
    <row r="6417" spans="1:12">
      <c r="J6417" s="31">
        <v>0</v>
      </c>
      <c r="K6417" s="33" t="s">
        <v>48</v>
      </c>
      <c r="L6417" s="31" t="s">
        <v>49</v>
      </c>
    </row>
    <row r="6418" spans="1:12">
      <c r="A6418" s="34"/>
      <c r="J6418" s="31">
        <v>1</v>
      </c>
      <c r="K6418" s="33" t="s">
        <v>50</v>
      </c>
      <c r="L6418" s="31" t="s">
        <v>51</v>
      </c>
    </row>
    <row r="6419" spans="1:12">
      <c r="A6419" s="255" t="e">
        <f>TRIM(D6427&amp;E6427&amp;D6428&amp;E6428&amp;D6429&amp;E6429&amp;D6430&amp;E6430&amp;D6431&amp;E6431&amp;D6432&amp;E6432&amp;E6433&amp;D6433&amp;" Only")</f>
        <v>#REF!</v>
      </c>
      <c r="B6419" s="255"/>
      <c r="C6419" s="255"/>
      <c r="D6419" s="255"/>
      <c r="E6419" s="35"/>
      <c r="F6419" s="36"/>
      <c r="J6419" s="31">
        <v>2</v>
      </c>
      <c r="K6419" s="33" t="s">
        <v>52</v>
      </c>
      <c r="L6419" s="31" t="s">
        <v>53</v>
      </c>
    </row>
    <row r="6420" spans="1:12">
      <c r="A6420" s="37"/>
      <c r="B6420" s="37"/>
      <c r="C6420" s="37"/>
      <c r="D6420" s="37"/>
      <c r="E6420" s="35"/>
      <c r="F6420" s="36"/>
      <c r="J6420" s="31">
        <v>3</v>
      </c>
      <c r="K6420" s="33" t="s">
        <v>54</v>
      </c>
      <c r="L6420" s="31" t="s">
        <v>55</v>
      </c>
    </row>
    <row r="6421" spans="1:12">
      <c r="A6421" s="37"/>
      <c r="B6421" s="37"/>
      <c r="C6421" s="37"/>
      <c r="D6421" s="37"/>
      <c r="J6421" s="31">
        <v>4</v>
      </c>
      <c r="K6421" s="33" t="s">
        <v>56</v>
      </c>
      <c r="L6421" s="31" t="s">
        <v>57</v>
      </c>
    </row>
    <row r="6422" spans="1:12">
      <c r="A6422" s="255" t="e">
        <f>TRIM(D6437&amp;E6437&amp;D6438&amp;E6438&amp;D6439&amp;E6439&amp;D6440&amp;E6440&amp;D6441&amp;E6441&amp;D6442&amp;E6442&amp;D6443&amp;E6443&amp;" Rupiah")</f>
        <v>#REF!</v>
      </c>
      <c r="B6422" s="255"/>
      <c r="C6422" s="255"/>
      <c r="D6422" s="255"/>
      <c r="E6422" s="35"/>
      <c r="F6422" s="36"/>
      <c r="J6422" s="31">
        <v>5</v>
      </c>
      <c r="K6422" s="33" t="s">
        <v>58</v>
      </c>
      <c r="L6422" s="31" t="s">
        <v>59</v>
      </c>
    </row>
    <row r="6423" spans="1:12">
      <c r="A6423" s="35"/>
      <c r="B6423" s="35"/>
      <c r="C6423" s="35"/>
      <c r="D6423" s="35"/>
      <c r="E6423" s="35"/>
      <c r="F6423" s="36"/>
      <c r="J6423" s="31">
        <v>6</v>
      </c>
      <c r="K6423" s="33" t="s">
        <v>60</v>
      </c>
      <c r="L6423" s="31" t="s">
        <v>61</v>
      </c>
    </row>
    <row r="6424" spans="1:12">
      <c r="J6424" s="31">
        <v>7</v>
      </c>
      <c r="K6424" s="33" t="s">
        <v>62</v>
      </c>
      <c r="L6424" s="31" t="s">
        <v>63</v>
      </c>
    </row>
    <row r="6425" spans="1:12">
      <c r="J6425" s="31">
        <v>8</v>
      </c>
      <c r="K6425" s="33" t="s">
        <v>64</v>
      </c>
      <c r="L6425" s="31" t="s">
        <v>65</v>
      </c>
    </row>
    <row r="6426" spans="1:12">
      <c r="A6426" s="38" t="s">
        <v>66</v>
      </c>
      <c r="J6426" s="31">
        <v>9</v>
      </c>
      <c r="K6426" s="33" t="s">
        <v>67</v>
      </c>
      <c r="L6426" s="31" t="s">
        <v>68</v>
      </c>
    </row>
    <row r="6427" spans="1:12">
      <c r="A6427" s="31" t="s">
        <v>69</v>
      </c>
      <c r="B6427" s="39" t="e">
        <f>TRUNC(A6415/100000000)</f>
        <v>#REF!</v>
      </c>
      <c r="C6427" s="31" t="e">
        <f>B6427*100000000</f>
        <v>#REF!</v>
      </c>
      <c r="D6427" s="31" t="e">
        <f t="shared" ref="D6427:D6433" si="620">IF(B6427&lt;1,"",VLOOKUP(B6427,$J$3:$K$102,2))</f>
        <v>#REF!</v>
      </c>
      <c r="E6427" s="31" t="e">
        <f>IF(B6427&lt;1,"",IF(B6427&gt;1," Hundreds "," Hundred "))</f>
        <v>#REF!</v>
      </c>
      <c r="J6427" s="31">
        <v>10</v>
      </c>
      <c r="K6427" s="33" t="s">
        <v>70</v>
      </c>
      <c r="L6427" s="31" t="s">
        <v>71</v>
      </c>
    </row>
    <row r="6428" spans="1:12">
      <c r="A6428" s="31" t="s">
        <v>72</v>
      </c>
      <c r="B6428" s="39" t="e">
        <f>TRUNC((A6415-C6427)/1000000)</f>
        <v>#REF!</v>
      </c>
      <c r="C6428" s="31" t="e">
        <f>B6428*1000000</f>
        <v>#REF!</v>
      </c>
      <c r="D6428" s="31" t="e">
        <f t="shared" si="620"/>
        <v>#REF!</v>
      </c>
      <c r="E6428" s="31" t="e">
        <f>IF(B6427+B6428=0,"",IF(B6428=1," Million "," Millions "))</f>
        <v>#REF!</v>
      </c>
      <c r="J6428" s="31">
        <v>11</v>
      </c>
      <c r="K6428" s="33" t="s">
        <v>73</v>
      </c>
      <c r="L6428" s="31" t="s">
        <v>74</v>
      </c>
    </row>
    <row r="6429" spans="1:12">
      <c r="A6429" s="31" t="s">
        <v>75</v>
      </c>
      <c r="B6429" s="39" t="e">
        <f>TRUNC((A6415-SUM(C6427:C6428))/100000)</f>
        <v>#REF!</v>
      </c>
      <c r="C6429" s="31" t="e">
        <f>B6429*100000</f>
        <v>#REF!</v>
      </c>
      <c r="D6429" s="31" t="e">
        <f t="shared" si="620"/>
        <v>#REF!</v>
      </c>
      <c r="E6429" s="31" t="e">
        <f>IF(B6429&lt;1,"",IF(B6429&gt;1," Hundreds "," Hundred "))</f>
        <v>#REF!</v>
      </c>
      <c r="J6429" s="31">
        <v>12</v>
      </c>
      <c r="K6429" s="33" t="s">
        <v>76</v>
      </c>
      <c r="L6429" s="31" t="str">
        <f t="shared" ref="L6429:L6436" si="621">L6419&amp;" Belas"</f>
        <v>Dua Belas</v>
      </c>
    </row>
    <row r="6430" spans="1:12">
      <c r="A6430" s="33" t="s">
        <v>77</v>
      </c>
      <c r="B6430" s="40" t="e">
        <f>TRUNC((A6415-SUM(C6427:C6429))/1000)</f>
        <v>#REF!</v>
      </c>
      <c r="C6430" s="31" t="e">
        <f>B6430*1000</f>
        <v>#REF!</v>
      </c>
      <c r="D6430" s="31" t="e">
        <f t="shared" si="620"/>
        <v>#REF!</v>
      </c>
      <c r="E6430" s="31" t="e">
        <f>IF(B6429+B6430=0,"",IF(B6430=1," Thousand "," Thousands "))</f>
        <v>#REF!</v>
      </c>
      <c r="J6430" s="31">
        <v>13</v>
      </c>
      <c r="K6430" s="33" t="s">
        <v>78</v>
      </c>
      <c r="L6430" s="31" t="str">
        <f t="shared" si="621"/>
        <v>Tiga Belas</v>
      </c>
    </row>
    <row r="6431" spans="1:12">
      <c r="A6431" s="33" t="s">
        <v>79</v>
      </c>
      <c r="B6431" s="40" t="e">
        <f>TRUNC((A6415-SUM(C6427:C6430))/100)</f>
        <v>#REF!</v>
      </c>
      <c r="C6431" s="31" t="e">
        <f>B6431*100</f>
        <v>#REF!</v>
      </c>
      <c r="D6431" s="31" t="e">
        <f t="shared" si="620"/>
        <v>#REF!</v>
      </c>
      <c r="E6431" s="31" t="e">
        <f>IF(B6431&lt;1,"",IF(B6431&gt;1," Hundreds "," Hundred "))</f>
        <v>#REF!</v>
      </c>
      <c r="J6431" s="31">
        <v>14</v>
      </c>
      <c r="K6431" s="33" t="s">
        <v>80</v>
      </c>
      <c r="L6431" s="31" t="str">
        <f t="shared" si="621"/>
        <v>Empat Belas</v>
      </c>
    </row>
    <row r="6432" spans="1:12">
      <c r="A6432" s="33" t="s">
        <v>81</v>
      </c>
      <c r="B6432" s="41" t="e">
        <f>TRUNC((A6415-SUM(C6427:C6431)))</f>
        <v>#REF!</v>
      </c>
      <c r="C6432" s="42" t="e">
        <f>B6432</f>
        <v>#REF!</v>
      </c>
      <c r="D6432" s="31" t="e">
        <f t="shared" si="620"/>
        <v>#REF!</v>
      </c>
      <c r="E6432" s="31" t="e">
        <f>IF(SUM(C6427:C6432)&lt;1,"",IF(B6433&lt;1,""," And "))</f>
        <v>#REF!</v>
      </c>
      <c r="J6432" s="31">
        <v>15</v>
      </c>
      <c r="K6432" s="33" t="s">
        <v>82</v>
      </c>
      <c r="L6432" s="31" t="str">
        <f t="shared" si="621"/>
        <v>Lima Belas</v>
      </c>
    </row>
    <row r="6433" spans="1:12">
      <c r="A6433" s="33" t="s">
        <v>83</v>
      </c>
      <c r="B6433" s="40" t="e">
        <f>ROUND(A6415-SUM(C6427:C6432),2)*100</f>
        <v>#REF!</v>
      </c>
      <c r="D6433" s="43" t="e">
        <f t="shared" si="620"/>
        <v>#REF!</v>
      </c>
      <c r="E6433" s="31" t="e">
        <f>IF(B6433&lt;1,"",IF(B6433=1," Cent "," Cents "))</f>
        <v>#REF!</v>
      </c>
      <c r="J6433" s="31">
        <v>16</v>
      </c>
      <c r="K6433" s="33" t="s">
        <v>84</v>
      </c>
      <c r="L6433" s="31" t="str">
        <f t="shared" si="621"/>
        <v>Enam Belas</v>
      </c>
    </row>
    <row r="6434" spans="1:12">
      <c r="J6434" s="31">
        <v>17</v>
      </c>
      <c r="K6434" s="33" t="s">
        <v>85</v>
      </c>
      <c r="L6434" s="31" t="str">
        <f t="shared" si="621"/>
        <v>Tujuh Belas</v>
      </c>
    </row>
    <row r="6435" spans="1:12">
      <c r="A6435" s="44"/>
      <c r="J6435" s="31">
        <v>18</v>
      </c>
      <c r="K6435" s="33" t="s">
        <v>86</v>
      </c>
      <c r="L6435" s="31" t="str">
        <f t="shared" si="621"/>
        <v>Delapan Belas</v>
      </c>
    </row>
    <row r="6436" spans="1:12">
      <c r="A6436" s="38" t="s">
        <v>87</v>
      </c>
      <c r="J6436" s="31">
        <v>19</v>
      </c>
      <c r="K6436" s="33" t="s">
        <v>88</v>
      </c>
      <c r="L6436" s="31" t="str">
        <f t="shared" si="621"/>
        <v>Sembilan Belas</v>
      </c>
    </row>
    <row r="6437" spans="1:12">
      <c r="A6437" s="31" t="s">
        <v>69</v>
      </c>
      <c r="B6437" s="39" t="e">
        <f>TRUNC(A6415/100000000)</f>
        <v>#REF!</v>
      </c>
      <c r="C6437" s="31" t="e">
        <f>B6437*100000000</f>
        <v>#REF!</v>
      </c>
      <c r="D6437" s="31" t="e">
        <f>IF(B6437&lt;1,"",IF(B6437=1,"",VLOOKUP(B6437,$J$3:$L$102,3)))</f>
        <v>#REF!</v>
      </c>
      <c r="E6437" s="31" t="e">
        <f>IF(B6437&lt;1,"",IF(B6437=1,"Seratus "," Ratus "))</f>
        <v>#REF!</v>
      </c>
      <c r="J6437" s="31">
        <v>20</v>
      </c>
      <c r="K6437" s="33" t="s">
        <v>89</v>
      </c>
      <c r="L6437" s="31" t="s">
        <v>90</v>
      </c>
    </row>
    <row r="6438" spans="1:12">
      <c r="A6438" s="31" t="s">
        <v>72</v>
      </c>
      <c r="B6438" s="39" t="e">
        <f>TRUNC((A6415-C6437)/1000000)</f>
        <v>#REF!</v>
      </c>
      <c r="C6438" s="31" t="e">
        <f>B6438*1000000</f>
        <v>#REF!</v>
      </c>
      <c r="D6438" s="31" t="e">
        <f>IF(B6438&lt;1,"",VLOOKUP(B6438,$J$3:$L$102,3))</f>
        <v>#REF!</v>
      </c>
      <c r="E6438" s="31" t="e">
        <f>IF(B6437+B6438=0,""," Juta ")</f>
        <v>#REF!</v>
      </c>
      <c r="J6438" s="31">
        <v>21</v>
      </c>
      <c r="K6438" s="33" t="s">
        <v>91</v>
      </c>
      <c r="L6438" s="31" t="str">
        <f t="shared" ref="L6438:L6446" si="622">$L$23&amp;" "&amp;L6418</f>
        <v>Dua Puluh Satu</v>
      </c>
    </row>
    <row r="6439" spans="1:12">
      <c r="A6439" s="31" t="s">
        <v>75</v>
      </c>
      <c r="B6439" s="39" t="e">
        <f>TRUNC((A6415-SUM(C6437:C6438))/100000)</f>
        <v>#REF!</v>
      </c>
      <c r="C6439" s="31" t="e">
        <f>B6439*100000</f>
        <v>#REF!</v>
      </c>
      <c r="D6439" s="31" t="e">
        <f>IF(B6439&lt;1,"",IF(B6439=1,"",VLOOKUP(B6439,$J$3:$L$102,3)))</f>
        <v>#REF!</v>
      </c>
      <c r="E6439" s="31" t="e">
        <f>IF(B6439&lt;1,"",IF(B6439=1," Seratus "," Ratus "))</f>
        <v>#REF!</v>
      </c>
      <c r="J6439" s="31">
        <v>22</v>
      </c>
      <c r="K6439" s="33" t="s">
        <v>92</v>
      </c>
      <c r="L6439" s="31" t="str">
        <f t="shared" si="622"/>
        <v>Dua Puluh Dua</v>
      </c>
    </row>
    <row r="6440" spans="1:12">
      <c r="A6440" s="33" t="s">
        <v>77</v>
      </c>
      <c r="B6440" s="40" t="e">
        <f>TRUNC((A6415-SUM(C6437:C6439))/1000)</f>
        <v>#REF!</v>
      </c>
      <c r="C6440" s="31" t="e">
        <f>B6440*1000</f>
        <v>#REF!</v>
      </c>
      <c r="D6440" s="31" t="e">
        <f>IF(B6440&lt;1,"",IF(B6440=1,"",VLOOKUP(B6440,$J$3:$L$102,3)))</f>
        <v>#REF!</v>
      </c>
      <c r="E6440" s="31" t="e">
        <f>IF(B6439+B6440&lt;1,"",IF(B6440=1," Seribu "," Ribu "))</f>
        <v>#REF!</v>
      </c>
      <c r="J6440" s="31">
        <v>23</v>
      </c>
      <c r="K6440" s="33" t="s">
        <v>93</v>
      </c>
      <c r="L6440" s="31" t="str">
        <f t="shared" si="622"/>
        <v>Dua Puluh Tiga</v>
      </c>
    </row>
    <row r="6441" spans="1:12">
      <c r="A6441" s="33" t="s">
        <v>79</v>
      </c>
      <c r="B6441" s="40" t="e">
        <f>TRUNC((A6415-SUM(C6437:C6440))/100)</f>
        <v>#REF!</v>
      </c>
      <c r="C6441" s="31" t="e">
        <f>B6441*100</f>
        <v>#REF!</v>
      </c>
      <c r="D6441" s="31" t="e">
        <f>IF(B6441&lt;1,"",IF(B6441=1,"",VLOOKUP(B6441,$J$3:$L$102,3)))</f>
        <v>#REF!</v>
      </c>
      <c r="E6441" s="31" t="e">
        <f>IF(B6441&lt;1,"",IF(B6441=1," Seratus "," Ratus "))</f>
        <v>#REF!</v>
      </c>
      <c r="J6441" s="31">
        <v>24</v>
      </c>
      <c r="K6441" s="33" t="s">
        <v>94</v>
      </c>
      <c r="L6441" s="31" t="str">
        <f t="shared" si="622"/>
        <v>Dua Puluh Empat</v>
      </c>
    </row>
    <row r="6442" spans="1:12">
      <c r="A6442" s="33" t="s">
        <v>81</v>
      </c>
      <c r="B6442" s="41" t="e">
        <f>TRUNC((A6415-SUM(C6437:C6441)))</f>
        <v>#REF!</v>
      </c>
      <c r="C6442" s="42" t="e">
        <f>B6442</f>
        <v>#REF!</v>
      </c>
      <c r="D6442" s="31" t="e">
        <f>IF(B6442&lt;1,"",VLOOKUP(B6442,$J$3:$L$102,3))</f>
        <v>#REF!</v>
      </c>
      <c r="E6442" s="31" t="e">
        <f>IF(SUM(C6437:C6442)&lt;1,"",IF(B6443&lt;1,""," Dan "))</f>
        <v>#REF!</v>
      </c>
      <c r="J6442" s="31">
        <v>25</v>
      </c>
      <c r="K6442" s="33" t="s">
        <v>95</v>
      </c>
      <c r="L6442" s="31" t="str">
        <f t="shared" si="622"/>
        <v>Dua Puluh Lima</v>
      </c>
    </row>
    <row r="6443" spans="1:12">
      <c r="A6443" s="33" t="s">
        <v>83</v>
      </c>
      <c r="B6443" s="40" t="e">
        <f>ROUND(A6415-SUM(C6437:C6442),2)*100</f>
        <v>#REF!</v>
      </c>
      <c r="D6443" s="31" t="e">
        <f>IF(B6443&lt;1,"",VLOOKUP(B6443,$J$3:$L$102,3))</f>
        <v>#REF!</v>
      </c>
      <c r="E6443" s="31" t="e">
        <f>IF(B6443&lt;1,""," Sen ")</f>
        <v>#REF!</v>
      </c>
      <c r="J6443" s="31">
        <v>26</v>
      </c>
      <c r="K6443" s="33" t="s">
        <v>96</v>
      </c>
      <c r="L6443" s="31" t="str">
        <f t="shared" si="622"/>
        <v>Dua Puluh Enam</v>
      </c>
    </row>
    <row r="6444" spans="1:12">
      <c r="J6444" s="31">
        <v>27</v>
      </c>
      <c r="K6444" s="33" t="s">
        <v>97</v>
      </c>
      <c r="L6444" s="31" t="str">
        <f t="shared" si="622"/>
        <v>Dua Puluh Tujuh</v>
      </c>
    </row>
    <row r="6445" spans="1:12">
      <c r="J6445" s="31">
        <v>28</v>
      </c>
      <c r="K6445" s="33" t="s">
        <v>98</v>
      </c>
      <c r="L6445" s="31" t="str">
        <f t="shared" si="622"/>
        <v>Dua Puluh Delapan</v>
      </c>
    </row>
    <row r="6446" spans="1:12">
      <c r="J6446" s="31">
        <v>29</v>
      </c>
      <c r="K6446" s="33" t="s">
        <v>99</v>
      </c>
      <c r="L6446" s="31" t="str">
        <f t="shared" si="622"/>
        <v>Dua Puluh Sembilan</v>
      </c>
    </row>
    <row r="6447" spans="1:12">
      <c r="J6447" s="31">
        <v>30</v>
      </c>
      <c r="K6447" s="33" t="s">
        <v>100</v>
      </c>
      <c r="L6447" s="31" t="s">
        <v>101</v>
      </c>
    </row>
    <row r="6448" spans="1:12">
      <c r="J6448" s="31">
        <v>31</v>
      </c>
      <c r="K6448" s="33" t="s">
        <v>102</v>
      </c>
      <c r="L6448" s="31" t="str">
        <f t="shared" ref="L6448:L6456" si="623">$L$33&amp;" "&amp;L6418</f>
        <v>Tiga Puluh Satu</v>
      </c>
    </row>
    <row r="6449" spans="1:12">
      <c r="J6449" s="31">
        <v>32</v>
      </c>
      <c r="K6449" s="33" t="s">
        <v>103</v>
      </c>
      <c r="L6449" s="31" t="str">
        <f t="shared" si="623"/>
        <v>Tiga Puluh Dua</v>
      </c>
    </row>
    <row r="6450" spans="1:12">
      <c r="J6450" s="31">
        <v>33</v>
      </c>
      <c r="K6450" s="33" t="s">
        <v>104</v>
      </c>
      <c r="L6450" s="31" t="str">
        <f t="shared" si="623"/>
        <v>Tiga Puluh Tiga</v>
      </c>
    </row>
    <row r="6451" spans="1:12">
      <c r="J6451" s="31">
        <v>34</v>
      </c>
      <c r="K6451" s="33" t="s">
        <v>105</v>
      </c>
      <c r="L6451" s="31" t="str">
        <f t="shared" si="623"/>
        <v>Tiga Puluh Empat</v>
      </c>
    </row>
    <row r="6452" spans="1:12">
      <c r="J6452" s="31">
        <v>35</v>
      </c>
      <c r="K6452" s="33" t="s">
        <v>106</v>
      </c>
      <c r="L6452" s="31" t="str">
        <f t="shared" si="623"/>
        <v>Tiga Puluh Lima</v>
      </c>
    </row>
    <row r="6453" spans="1:12">
      <c r="J6453" s="31">
        <v>36</v>
      </c>
      <c r="K6453" s="33" t="s">
        <v>107</v>
      </c>
      <c r="L6453" s="31" t="str">
        <f t="shared" si="623"/>
        <v>Tiga Puluh Enam</v>
      </c>
    </row>
    <row r="6454" spans="1:12">
      <c r="J6454" s="31">
        <v>37</v>
      </c>
      <c r="K6454" s="33" t="s">
        <v>108</v>
      </c>
      <c r="L6454" s="31" t="str">
        <f t="shared" si="623"/>
        <v>Tiga Puluh Tujuh</v>
      </c>
    </row>
    <row r="6455" spans="1:12">
      <c r="J6455" s="31">
        <v>38</v>
      </c>
      <c r="K6455" s="33" t="s">
        <v>109</v>
      </c>
      <c r="L6455" s="31" t="str">
        <f t="shared" si="623"/>
        <v>Tiga Puluh Delapan</v>
      </c>
    </row>
    <row r="6456" spans="1:12">
      <c r="J6456" s="31">
        <v>39</v>
      </c>
      <c r="K6456" s="33" t="s">
        <v>110</v>
      </c>
      <c r="L6456" s="31" t="str">
        <f t="shared" si="623"/>
        <v>Tiga Puluh Sembilan</v>
      </c>
    </row>
    <row r="6457" spans="1:12">
      <c r="B6457" s="35"/>
      <c r="C6457" s="35"/>
      <c r="D6457" s="35"/>
      <c r="J6457" s="31">
        <v>40</v>
      </c>
      <c r="K6457" s="33" t="s">
        <v>111</v>
      </c>
      <c r="L6457" s="31" t="s">
        <v>112</v>
      </c>
    </row>
    <row r="6458" spans="1:12">
      <c r="A6458" s="35"/>
      <c r="B6458" s="35"/>
      <c r="C6458" s="35"/>
      <c r="D6458" s="35"/>
      <c r="J6458" s="31">
        <v>41</v>
      </c>
      <c r="K6458" s="33" t="s">
        <v>113</v>
      </c>
      <c r="L6458" s="31" t="str">
        <f t="shared" ref="L6458:L6466" si="624">$L$43&amp;" "&amp;L6418</f>
        <v>Empat Puluh Satu</v>
      </c>
    </row>
    <row r="6459" spans="1:12">
      <c r="J6459" s="31">
        <v>42</v>
      </c>
      <c r="K6459" s="33" t="s">
        <v>114</v>
      </c>
      <c r="L6459" s="31" t="str">
        <f t="shared" si="624"/>
        <v>Empat Puluh Dua</v>
      </c>
    </row>
    <row r="6460" spans="1:12">
      <c r="A6460" s="38"/>
      <c r="J6460" s="31">
        <v>43</v>
      </c>
      <c r="K6460" s="33" t="s">
        <v>115</v>
      </c>
      <c r="L6460" s="31" t="str">
        <f t="shared" si="624"/>
        <v>Empat Puluh Tiga</v>
      </c>
    </row>
    <row r="6461" spans="1:12">
      <c r="J6461" s="31">
        <v>44</v>
      </c>
      <c r="K6461" s="33" t="s">
        <v>116</v>
      </c>
      <c r="L6461" s="31" t="str">
        <f t="shared" si="624"/>
        <v>Empat Puluh Empat</v>
      </c>
    </row>
    <row r="6462" spans="1:12">
      <c r="J6462" s="31">
        <v>45</v>
      </c>
      <c r="K6462" s="33" t="s">
        <v>117</v>
      </c>
      <c r="L6462" s="31" t="str">
        <f t="shared" si="624"/>
        <v>Empat Puluh Lima</v>
      </c>
    </row>
    <row r="6463" spans="1:12">
      <c r="J6463" s="31">
        <v>46</v>
      </c>
      <c r="K6463" s="33" t="s">
        <v>118</v>
      </c>
      <c r="L6463" s="31" t="str">
        <f t="shared" si="624"/>
        <v>Empat Puluh Enam</v>
      </c>
    </row>
    <row r="6464" spans="1:12">
      <c r="J6464" s="31">
        <v>47</v>
      </c>
      <c r="K6464" s="33" t="s">
        <v>119</v>
      </c>
      <c r="L6464" s="31" t="str">
        <f t="shared" si="624"/>
        <v>Empat Puluh Tujuh</v>
      </c>
    </row>
    <row r="6465" spans="10:12">
      <c r="J6465" s="31">
        <v>48</v>
      </c>
      <c r="K6465" s="33" t="s">
        <v>120</v>
      </c>
      <c r="L6465" s="31" t="str">
        <f t="shared" si="624"/>
        <v>Empat Puluh Delapan</v>
      </c>
    </row>
    <row r="6466" spans="10:12">
      <c r="J6466" s="31">
        <v>49</v>
      </c>
      <c r="K6466" s="33" t="s">
        <v>121</v>
      </c>
      <c r="L6466" s="31" t="str">
        <f t="shared" si="624"/>
        <v>Empat Puluh Sembilan</v>
      </c>
    </row>
    <row r="6467" spans="10:12">
      <c r="J6467" s="31">
        <v>50</v>
      </c>
      <c r="K6467" s="33" t="s">
        <v>122</v>
      </c>
      <c r="L6467" s="31" t="s">
        <v>123</v>
      </c>
    </row>
    <row r="6468" spans="10:12">
      <c r="J6468" s="31">
        <v>51</v>
      </c>
      <c r="K6468" s="33" t="s">
        <v>124</v>
      </c>
      <c r="L6468" s="31" t="str">
        <f t="shared" ref="L6468:L6476" si="625">$L$53&amp;" "&amp;L6418</f>
        <v>Lima Puluh Satu</v>
      </c>
    </row>
    <row r="6469" spans="10:12">
      <c r="J6469" s="31">
        <v>52</v>
      </c>
      <c r="K6469" s="33" t="s">
        <v>125</v>
      </c>
      <c r="L6469" s="31" t="str">
        <f t="shared" si="625"/>
        <v>Lima Puluh Dua</v>
      </c>
    </row>
    <row r="6470" spans="10:12">
      <c r="J6470" s="31">
        <v>53</v>
      </c>
      <c r="K6470" s="33" t="s">
        <v>126</v>
      </c>
      <c r="L6470" s="31" t="str">
        <f t="shared" si="625"/>
        <v>Lima Puluh Tiga</v>
      </c>
    </row>
    <row r="6471" spans="10:12">
      <c r="J6471" s="31">
        <v>54</v>
      </c>
      <c r="K6471" s="33" t="s">
        <v>127</v>
      </c>
      <c r="L6471" s="31" t="str">
        <f t="shared" si="625"/>
        <v>Lima Puluh Empat</v>
      </c>
    </row>
    <row r="6472" spans="10:12">
      <c r="J6472" s="31">
        <v>55</v>
      </c>
      <c r="K6472" s="33" t="s">
        <v>128</v>
      </c>
      <c r="L6472" s="31" t="str">
        <f t="shared" si="625"/>
        <v>Lima Puluh Lima</v>
      </c>
    </row>
    <row r="6473" spans="10:12">
      <c r="J6473" s="31">
        <v>56</v>
      </c>
      <c r="K6473" s="33" t="s">
        <v>129</v>
      </c>
      <c r="L6473" s="31" t="str">
        <f t="shared" si="625"/>
        <v>Lima Puluh Enam</v>
      </c>
    </row>
    <row r="6474" spans="10:12">
      <c r="J6474" s="31">
        <v>57</v>
      </c>
      <c r="K6474" s="33" t="s">
        <v>130</v>
      </c>
      <c r="L6474" s="31" t="str">
        <f t="shared" si="625"/>
        <v>Lima Puluh Tujuh</v>
      </c>
    </row>
    <row r="6475" spans="10:12">
      <c r="J6475" s="31">
        <v>58</v>
      </c>
      <c r="K6475" s="33" t="s">
        <v>131</v>
      </c>
      <c r="L6475" s="31" t="str">
        <f t="shared" si="625"/>
        <v>Lima Puluh Delapan</v>
      </c>
    </row>
    <row r="6476" spans="10:12">
      <c r="J6476" s="31">
        <v>59</v>
      </c>
      <c r="K6476" s="33" t="s">
        <v>132</v>
      </c>
      <c r="L6476" s="31" t="str">
        <f t="shared" si="625"/>
        <v>Lima Puluh Sembilan</v>
      </c>
    </row>
    <row r="6477" spans="10:12">
      <c r="J6477" s="31">
        <v>60</v>
      </c>
      <c r="K6477" s="33" t="s">
        <v>133</v>
      </c>
      <c r="L6477" s="31" t="s">
        <v>134</v>
      </c>
    </row>
    <row r="6478" spans="10:12">
      <c r="J6478" s="31">
        <v>61</v>
      </c>
      <c r="K6478" s="33" t="s">
        <v>135</v>
      </c>
      <c r="L6478" s="31" t="str">
        <f t="shared" ref="L6478:L6486" si="626">$L$63&amp;" "&amp;L6418</f>
        <v>Enam Puluh Satu</v>
      </c>
    </row>
    <row r="6479" spans="10:12">
      <c r="J6479" s="31">
        <v>62</v>
      </c>
      <c r="K6479" s="33" t="s">
        <v>136</v>
      </c>
      <c r="L6479" s="31" t="str">
        <f t="shared" si="626"/>
        <v>Enam Puluh Dua</v>
      </c>
    </row>
    <row r="6480" spans="10:12">
      <c r="J6480" s="31">
        <v>63</v>
      </c>
      <c r="K6480" s="33" t="s">
        <v>137</v>
      </c>
      <c r="L6480" s="31" t="str">
        <f t="shared" si="626"/>
        <v>Enam Puluh Tiga</v>
      </c>
    </row>
    <row r="6481" spans="10:12">
      <c r="J6481" s="31">
        <v>64</v>
      </c>
      <c r="K6481" s="33" t="s">
        <v>138</v>
      </c>
      <c r="L6481" s="31" t="str">
        <f t="shared" si="626"/>
        <v>Enam Puluh Empat</v>
      </c>
    </row>
    <row r="6482" spans="10:12">
      <c r="J6482" s="31">
        <v>65</v>
      </c>
      <c r="K6482" s="33" t="s">
        <v>139</v>
      </c>
      <c r="L6482" s="31" t="str">
        <f t="shared" si="626"/>
        <v>Enam Puluh Lima</v>
      </c>
    </row>
    <row r="6483" spans="10:12">
      <c r="J6483" s="31">
        <v>66</v>
      </c>
      <c r="K6483" s="33" t="s">
        <v>140</v>
      </c>
      <c r="L6483" s="31" t="str">
        <f t="shared" si="626"/>
        <v>Enam Puluh Enam</v>
      </c>
    </row>
    <row r="6484" spans="10:12">
      <c r="J6484" s="31">
        <v>67</v>
      </c>
      <c r="K6484" s="33" t="s">
        <v>141</v>
      </c>
      <c r="L6484" s="31" t="str">
        <f t="shared" si="626"/>
        <v>Enam Puluh Tujuh</v>
      </c>
    </row>
    <row r="6485" spans="10:12">
      <c r="J6485" s="31">
        <v>68</v>
      </c>
      <c r="K6485" s="33" t="s">
        <v>142</v>
      </c>
      <c r="L6485" s="31" t="str">
        <f t="shared" si="626"/>
        <v>Enam Puluh Delapan</v>
      </c>
    </row>
    <row r="6486" spans="10:12">
      <c r="J6486" s="31">
        <v>69</v>
      </c>
      <c r="K6486" s="33" t="s">
        <v>143</v>
      </c>
      <c r="L6486" s="31" t="str">
        <f t="shared" si="626"/>
        <v>Enam Puluh Sembilan</v>
      </c>
    </row>
    <row r="6487" spans="10:12">
      <c r="J6487" s="31">
        <v>70</v>
      </c>
      <c r="K6487" s="33" t="s">
        <v>144</v>
      </c>
      <c r="L6487" s="31" t="s">
        <v>145</v>
      </c>
    </row>
    <row r="6488" spans="10:12">
      <c r="J6488" s="31">
        <v>71</v>
      </c>
      <c r="K6488" s="33" t="s">
        <v>146</v>
      </c>
      <c r="L6488" s="31" t="str">
        <f t="shared" ref="L6488:L6496" si="627">$L$73&amp;" "&amp;L6418</f>
        <v>Tujuh Puluh Satu</v>
      </c>
    </row>
    <row r="6489" spans="10:12">
      <c r="J6489" s="31">
        <v>72</v>
      </c>
      <c r="K6489" s="33" t="s">
        <v>147</v>
      </c>
      <c r="L6489" s="31" t="str">
        <f t="shared" si="627"/>
        <v>Tujuh Puluh Dua</v>
      </c>
    </row>
    <row r="6490" spans="10:12">
      <c r="J6490" s="31">
        <v>73</v>
      </c>
      <c r="K6490" s="33" t="s">
        <v>148</v>
      </c>
      <c r="L6490" s="31" t="str">
        <f t="shared" si="627"/>
        <v>Tujuh Puluh Tiga</v>
      </c>
    </row>
    <row r="6491" spans="10:12">
      <c r="J6491" s="31">
        <v>74</v>
      </c>
      <c r="K6491" s="33" t="s">
        <v>149</v>
      </c>
      <c r="L6491" s="31" t="str">
        <f t="shared" si="627"/>
        <v>Tujuh Puluh Empat</v>
      </c>
    </row>
    <row r="6492" spans="10:12">
      <c r="J6492" s="31">
        <v>75</v>
      </c>
      <c r="K6492" s="33" t="s">
        <v>150</v>
      </c>
      <c r="L6492" s="31" t="str">
        <f t="shared" si="627"/>
        <v>Tujuh Puluh Lima</v>
      </c>
    </row>
    <row r="6493" spans="10:12">
      <c r="J6493" s="31">
        <v>76</v>
      </c>
      <c r="K6493" s="33" t="s">
        <v>151</v>
      </c>
      <c r="L6493" s="31" t="str">
        <f t="shared" si="627"/>
        <v>Tujuh Puluh Enam</v>
      </c>
    </row>
    <row r="6494" spans="10:12">
      <c r="J6494" s="31">
        <v>77</v>
      </c>
      <c r="K6494" s="33" t="s">
        <v>152</v>
      </c>
      <c r="L6494" s="31" t="str">
        <f t="shared" si="627"/>
        <v>Tujuh Puluh Tujuh</v>
      </c>
    </row>
    <row r="6495" spans="10:12">
      <c r="J6495" s="31">
        <v>78</v>
      </c>
      <c r="K6495" s="33" t="s">
        <v>153</v>
      </c>
      <c r="L6495" s="31" t="str">
        <f t="shared" si="627"/>
        <v>Tujuh Puluh Delapan</v>
      </c>
    </row>
    <row r="6496" spans="10:12">
      <c r="J6496" s="31">
        <v>79</v>
      </c>
      <c r="K6496" s="33" t="s">
        <v>154</v>
      </c>
      <c r="L6496" s="31" t="str">
        <f t="shared" si="627"/>
        <v>Tujuh Puluh Sembilan</v>
      </c>
    </row>
    <row r="6497" spans="10:12">
      <c r="J6497" s="31">
        <v>80</v>
      </c>
      <c r="K6497" s="33" t="s">
        <v>155</v>
      </c>
      <c r="L6497" s="31" t="s">
        <v>156</v>
      </c>
    </row>
    <row r="6498" spans="10:12">
      <c r="J6498" s="31">
        <v>81</v>
      </c>
      <c r="K6498" s="33" t="s">
        <v>157</v>
      </c>
      <c r="L6498" s="31" t="str">
        <f t="shared" ref="L6498:L6506" si="628">$L$83&amp;" "&amp;L6418</f>
        <v>Delapan Puluh Satu</v>
      </c>
    </row>
    <row r="6499" spans="10:12">
      <c r="J6499" s="31">
        <v>82</v>
      </c>
      <c r="K6499" s="33" t="s">
        <v>158</v>
      </c>
      <c r="L6499" s="31" t="str">
        <f t="shared" si="628"/>
        <v>Delapan Puluh Dua</v>
      </c>
    </row>
    <row r="6500" spans="10:12">
      <c r="J6500" s="31">
        <v>83</v>
      </c>
      <c r="K6500" s="33" t="s">
        <v>159</v>
      </c>
      <c r="L6500" s="31" t="str">
        <f t="shared" si="628"/>
        <v>Delapan Puluh Tiga</v>
      </c>
    </row>
    <row r="6501" spans="10:12">
      <c r="J6501" s="31">
        <v>84</v>
      </c>
      <c r="K6501" s="33" t="s">
        <v>160</v>
      </c>
      <c r="L6501" s="31" t="str">
        <f t="shared" si="628"/>
        <v>Delapan Puluh Empat</v>
      </c>
    </row>
    <row r="6502" spans="10:12">
      <c r="J6502" s="31">
        <v>85</v>
      </c>
      <c r="K6502" s="33" t="s">
        <v>161</v>
      </c>
      <c r="L6502" s="31" t="str">
        <f t="shared" si="628"/>
        <v>Delapan Puluh Lima</v>
      </c>
    </row>
    <row r="6503" spans="10:12">
      <c r="J6503" s="31">
        <v>86</v>
      </c>
      <c r="K6503" s="33" t="s">
        <v>162</v>
      </c>
      <c r="L6503" s="31" t="str">
        <f t="shared" si="628"/>
        <v>Delapan Puluh Enam</v>
      </c>
    </row>
    <row r="6504" spans="10:12">
      <c r="J6504" s="31">
        <v>87</v>
      </c>
      <c r="K6504" s="33" t="s">
        <v>163</v>
      </c>
      <c r="L6504" s="31" t="str">
        <f t="shared" si="628"/>
        <v>Delapan Puluh Tujuh</v>
      </c>
    </row>
    <row r="6505" spans="10:12">
      <c r="J6505" s="31">
        <v>88</v>
      </c>
      <c r="K6505" s="33" t="s">
        <v>164</v>
      </c>
      <c r="L6505" s="31" t="str">
        <f t="shared" si="628"/>
        <v>Delapan Puluh Delapan</v>
      </c>
    </row>
    <row r="6506" spans="10:12">
      <c r="J6506" s="31">
        <v>89</v>
      </c>
      <c r="K6506" s="33" t="s">
        <v>165</v>
      </c>
      <c r="L6506" s="31" t="str">
        <f t="shared" si="628"/>
        <v>Delapan Puluh Sembilan</v>
      </c>
    </row>
    <row r="6507" spans="10:12">
      <c r="J6507" s="31">
        <v>90</v>
      </c>
      <c r="K6507" s="33" t="s">
        <v>166</v>
      </c>
      <c r="L6507" s="31" t="s">
        <v>167</v>
      </c>
    </row>
    <row r="6508" spans="10:12">
      <c r="J6508" s="31">
        <v>91</v>
      </c>
      <c r="K6508" s="33" t="s">
        <v>168</v>
      </c>
      <c r="L6508" s="31" t="str">
        <f t="shared" ref="L6508:L6516" si="629">$L$93&amp;" "&amp;L6418</f>
        <v>Sembilan Puluh Satu</v>
      </c>
    </row>
    <row r="6509" spans="10:12">
      <c r="J6509" s="31">
        <v>92</v>
      </c>
      <c r="K6509" s="33" t="s">
        <v>169</v>
      </c>
      <c r="L6509" s="31" t="str">
        <f t="shared" si="629"/>
        <v>Sembilan Puluh Dua</v>
      </c>
    </row>
    <row r="6510" spans="10:12">
      <c r="J6510" s="31">
        <v>93</v>
      </c>
      <c r="K6510" s="33" t="s">
        <v>170</v>
      </c>
      <c r="L6510" s="31" t="str">
        <f t="shared" si="629"/>
        <v>Sembilan Puluh Tiga</v>
      </c>
    </row>
    <row r="6511" spans="10:12">
      <c r="J6511" s="31">
        <v>94</v>
      </c>
      <c r="K6511" s="33" t="s">
        <v>171</v>
      </c>
      <c r="L6511" s="31" t="str">
        <f t="shared" si="629"/>
        <v>Sembilan Puluh Empat</v>
      </c>
    </row>
    <row r="6512" spans="10:12">
      <c r="J6512" s="31">
        <v>95</v>
      </c>
      <c r="K6512" s="33" t="s">
        <v>172</v>
      </c>
      <c r="L6512" s="31" t="str">
        <f t="shared" si="629"/>
        <v>Sembilan Puluh Lima</v>
      </c>
    </row>
    <row r="6513" spans="1:12">
      <c r="J6513" s="31">
        <v>96</v>
      </c>
      <c r="K6513" s="33" t="s">
        <v>173</v>
      </c>
      <c r="L6513" s="31" t="str">
        <f t="shared" si="629"/>
        <v>Sembilan Puluh Enam</v>
      </c>
    </row>
    <row r="6514" spans="1:12">
      <c r="J6514" s="31">
        <v>97</v>
      </c>
      <c r="K6514" s="33" t="s">
        <v>174</v>
      </c>
      <c r="L6514" s="31" t="str">
        <f t="shared" si="629"/>
        <v>Sembilan Puluh Tujuh</v>
      </c>
    </row>
    <row r="6515" spans="1:12">
      <c r="J6515" s="31">
        <v>98</v>
      </c>
      <c r="K6515" s="33" t="s">
        <v>175</v>
      </c>
      <c r="L6515" s="31" t="str">
        <f t="shared" si="629"/>
        <v>Sembilan Puluh Delapan</v>
      </c>
    </row>
    <row r="6516" spans="1:12">
      <c r="J6516" s="31">
        <v>99</v>
      </c>
      <c r="K6516" s="33" t="s">
        <v>176</v>
      </c>
      <c r="L6516" s="31" t="str">
        <f t="shared" si="629"/>
        <v>Sembilan Puluh Sembilan</v>
      </c>
    </row>
    <row r="6518" spans="1:12">
      <c r="A6518" s="30" t="e">
        <f>#REF!</f>
        <v>#REF!</v>
      </c>
      <c r="C6518" s="31" t="s">
        <v>261</v>
      </c>
    </row>
    <row r="6519" spans="1:12">
      <c r="A6519" s="32"/>
    </row>
    <row r="6520" spans="1:12">
      <c r="J6520" s="31">
        <v>0</v>
      </c>
      <c r="K6520" s="33" t="s">
        <v>48</v>
      </c>
      <c r="L6520" s="31" t="s">
        <v>49</v>
      </c>
    </row>
    <row r="6521" spans="1:12">
      <c r="A6521" s="34"/>
      <c r="J6521" s="31">
        <v>1</v>
      </c>
      <c r="K6521" s="33" t="s">
        <v>50</v>
      </c>
      <c r="L6521" s="31" t="s">
        <v>51</v>
      </c>
    </row>
    <row r="6522" spans="1:12">
      <c r="A6522" s="255" t="e">
        <f>TRIM(D6530&amp;E6530&amp;D6531&amp;E6531&amp;D6532&amp;E6532&amp;D6533&amp;E6533&amp;D6534&amp;E6534&amp;D6535&amp;E6535&amp;E6536&amp;D6536&amp;" Only")</f>
        <v>#REF!</v>
      </c>
      <c r="B6522" s="255"/>
      <c r="C6522" s="255"/>
      <c r="D6522" s="255"/>
      <c r="E6522" s="35"/>
      <c r="F6522" s="36"/>
      <c r="J6522" s="31">
        <v>2</v>
      </c>
      <c r="K6522" s="33" t="s">
        <v>52</v>
      </c>
      <c r="L6522" s="31" t="s">
        <v>53</v>
      </c>
    </row>
    <row r="6523" spans="1:12">
      <c r="A6523" s="37"/>
      <c r="B6523" s="37"/>
      <c r="C6523" s="37"/>
      <c r="D6523" s="37"/>
      <c r="E6523" s="35"/>
      <c r="F6523" s="36"/>
      <c r="J6523" s="31">
        <v>3</v>
      </c>
      <c r="K6523" s="33" t="s">
        <v>54</v>
      </c>
      <c r="L6523" s="31" t="s">
        <v>55</v>
      </c>
    </row>
    <row r="6524" spans="1:12">
      <c r="A6524" s="37"/>
      <c r="B6524" s="37"/>
      <c r="C6524" s="37"/>
      <c r="D6524" s="37"/>
      <c r="J6524" s="31">
        <v>4</v>
      </c>
      <c r="K6524" s="33" t="s">
        <v>56</v>
      </c>
      <c r="L6524" s="31" t="s">
        <v>57</v>
      </c>
    </row>
    <row r="6525" spans="1:12">
      <c r="A6525" s="255" t="e">
        <f>TRIM(D6540&amp;E6540&amp;D6541&amp;E6541&amp;D6542&amp;E6542&amp;D6543&amp;E6543&amp;D6544&amp;E6544&amp;D6545&amp;E6545&amp;D6546&amp;E6546&amp;" Rupiah")</f>
        <v>#REF!</v>
      </c>
      <c r="B6525" s="255"/>
      <c r="C6525" s="255"/>
      <c r="D6525" s="255"/>
      <c r="E6525" s="35"/>
      <c r="F6525" s="36"/>
      <c r="J6525" s="31">
        <v>5</v>
      </c>
      <c r="K6525" s="33" t="s">
        <v>58</v>
      </c>
      <c r="L6525" s="31" t="s">
        <v>59</v>
      </c>
    </row>
    <row r="6526" spans="1:12">
      <c r="A6526" s="35"/>
      <c r="B6526" s="35"/>
      <c r="C6526" s="35"/>
      <c r="D6526" s="35"/>
      <c r="E6526" s="35"/>
      <c r="F6526" s="36"/>
      <c r="J6526" s="31">
        <v>6</v>
      </c>
      <c r="K6526" s="33" t="s">
        <v>60</v>
      </c>
      <c r="L6526" s="31" t="s">
        <v>61</v>
      </c>
    </row>
    <row r="6527" spans="1:12">
      <c r="J6527" s="31">
        <v>7</v>
      </c>
      <c r="K6527" s="33" t="s">
        <v>62</v>
      </c>
      <c r="L6527" s="31" t="s">
        <v>63</v>
      </c>
    </row>
    <row r="6528" spans="1:12">
      <c r="J6528" s="31">
        <v>8</v>
      </c>
      <c r="K6528" s="33" t="s">
        <v>64</v>
      </c>
      <c r="L6528" s="31" t="s">
        <v>65</v>
      </c>
    </row>
    <row r="6529" spans="1:12">
      <c r="A6529" s="38" t="s">
        <v>66</v>
      </c>
      <c r="J6529" s="31">
        <v>9</v>
      </c>
      <c r="K6529" s="33" t="s">
        <v>67</v>
      </c>
      <c r="L6529" s="31" t="s">
        <v>68</v>
      </c>
    </row>
    <row r="6530" spans="1:12">
      <c r="A6530" s="31" t="s">
        <v>69</v>
      </c>
      <c r="B6530" s="39" t="e">
        <f>TRUNC(A6518/100000000)</f>
        <v>#REF!</v>
      </c>
      <c r="C6530" s="31" t="e">
        <f>B6530*100000000</f>
        <v>#REF!</v>
      </c>
      <c r="D6530" s="31" t="e">
        <f t="shared" ref="D6530:D6536" si="630">IF(B6530&lt;1,"",VLOOKUP(B6530,$J$3:$K$102,2))</f>
        <v>#REF!</v>
      </c>
      <c r="E6530" s="31" t="e">
        <f>IF(B6530&lt;1,"",IF(B6530&gt;1," Hundreds "," Hundred "))</f>
        <v>#REF!</v>
      </c>
      <c r="J6530" s="31">
        <v>10</v>
      </c>
      <c r="K6530" s="33" t="s">
        <v>70</v>
      </c>
      <c r="L6530" s="31" t="s">
        <v>71</v>
      </c>
    </row>
    <row r="6531" spans="1:12">
      <c r="A6531" s="31" t="s">
        <v>72</v>
      </c>
      <c r="B6531" s="39" t="e">
        <f>TRUNC((A6518-C6530)/1000000)</f>
        <v>#REF!</v>
      </c>
      <c r="C6531" s="31" t="e">
        <f>B6531*1000000</f>
        <v>#REF!</v>
      </c>
      <c r="D6531" s="31" t="e">
        <f t="shared" si="630"/>
        <v>#REF!</v>
      </c>
      <c r="E6531" s="31" t="e">
        <f>IF(B6530+B6531=0,"",IF(B6531=1," Million "," Millions "))</f>
        <v>#REF!</v>
      </c>
      <c r="J6531" s="31">
        <v>11</v>
      </c>
      <c r="K6531" s="33" t="s">
        <v>73</v>
      </c>
      <c r="L6531" s="31" t="s">
        <v>74</v>
      </c>
    </row>
    <row r="6532" spans="1:12">
      <c r="A6532" s="31" t="s">
        <v>75</v>
      </c>
      <c r="B6532" s="39" t="e">
        <f>TRUNC((A6518-SUM(C6530:C6531))/100000)</f>
        <v>#REF!</v>
      </c>
      <c r="C6532" s="31" t="e">
        <f>B6532*100000</f>
        <v>#REF!</v>
      </c>
      <c r="D6532" s="31" t="e">
        <f t="shared" si="630"/>
        <v>#REF!</v>
      </c>
      <c r="E6532" s="31" t="e">
        <f>IF(B6532&lt;1,"",IF(B6532&gt;1," Hundreds "," Hundred "))</f>
        <v>#REF!</v>
      </c>
      <c r="J6532" s="31">
        <v>12</v>
      </c>
      <c r="K6532" s="33" t="s">
        <v>76</v>
      </c>
      <c r="L6532" s="31" t="str">
        <f t="shared" ref="L6532:L6539" si="631">L6522&amp;" Belas"</f>
        <v>Dua Belas</v>
      </c>
    </row>
    <row r="6533" spans="1:12">
      <c r="A6533" s="33" t="s">
        <v>77</v>
      </c>
      <c r="B6533" s="40" t="e">
        <f>TRUNC((A6518-SUM(C6530:C6532))/1000)</f>
        <v>#REF!</v>
      </c>
      <c r="C6533" s="31" t="e">
        <f>B6533*1000</f>
        <v>#REF!</v>
      </c>
      <c r="D6533" s="31" t="e">
        <f t="shared" si="630"/>
        <v>#REF!</v>
      </c>
      <c r="E6533" s="31" t="e">
        <f>IF(B6532+B6533=0,"",IF(B6533=1," Thousand "," Thousands "))</f>
        <v>#REF!</v>
      </c>
      <c r="J6533" s="31">
        <v>13</v>
      </c>
      <c r="K6533" s="33" t="s">
        <v>78</v>
      </c>
      <c r="L6533" s="31" t="str">
        <f t="shared" si="631"/>
        <v>Tiga Belas</v>
      </c>
    </row>
    <row r="6534" spans="1:12">
      <c r="A6534" s="33" t="s">
        <v>79</v>
      </c>
      <c r="B6534" s="40" t="e">
        <f>TRUNC((A6518-SUM(C6530:C6533))/100)</f>
        <v>#REF!</v>
      </c>
      <c r="C6534" s="31" t="e">
        <f>B6534*100</f>
        <v>#REF!</v>
      </c>
      <c r="D6534" s="31" t="e">
        <f t="shared" si="630"/>
        <v>#REF!</v>
      </c>
      <c r="E6534" s="31" t="e">
        <f>IF(B6534&lt;1,"",IF(B6534&gt;1," Hundreds "," Hundred "))</f>
        <v>#REF!</v>
      </c>
      <c r="J6534" s="31">
        <v>14</v>
      </c>
      <c r="K6534" s="33" t="s">
        <v>80</v>
      </c>
      <c r="L6534" s="31" t="str">
        <f t="shared" si="631"/>
        <v>Empat Belas</v>
      </c>
    </row>
    <row r="6535" spans="1:12">
      <c r="A6535" s="33" t="s">
        <v>81</v>
      </c>
      <c r="B6535" s="41" t="e">
        <f>TRUNC((A6518-SUM(C6530:C6534)))</f>
        <v>#REF!</v>
      </c>
      <c r="C6535" s="42" t="e">
        <f>B6535</f>
        <v>#REF!</v>
      </c>
      <c r="D6535" s="31" t="e">
        <f t="shared" si="630"/>
        <v>#REF!</v>
      </c>
      <c r="E6535" s="31" t="e">
        <f>IF(SUM(C6530:C6535)&lt;1,"",IF(B6536&lt;1,""," And "))</f>
        <v>#REF!</v>
      </c>
      <c r="J6535" s="31">
        <v>15</v>
      </c>
      <c r="K6535" s="33" t="s">
        <v>82</v>
      </c>
      <c r="L6535" s="31" t="str">
        <f t="shared" si="631"/>
        <v>Lima Belas</v>
      </c>
    </row>
    <row r="6536" spans="1:12">
      <c r="A6536" s="33" t="s">
        <v>83</v>
      </c>
      <c r="B6536" s="40" t="e">
        <f>ROUND(A6518-SUM(C6530:C6535),2)*100</f>
        <v>#REF!</v>
      </c>
      <c r="D6536" s="43" t="e">
        <f t="shared" si="630"/>
        <v>#REF!</v>
      </c>
      <c r="E6536" s="31" t="e">
        <f>IF(B6536&lt;1,"",IF(B6536=1," Cent "," Cents "))</f>
        <v>#REF!</v>
      </c>
      <c r="J6536" s="31">
        <v>16</v>
      </c>
      <c r="K6536" s="33" t="s">
        <v>84</v>
      </c>
      <c r="L6536" s="31" t="str">
        <f t="shared" si="631"/>
        <v>Enam Belas</v>
      </c>
    </row>
    <row r="6537" spans="1:12">
      <c r="J6537" s="31">
        <v>17</v>
      </c>
      <c r="K6537" s="33" t="s">
        <v>85</v>
      </c>
      <c r="L6537" s="31" t="str">
        <f t="shared" si="631"/>
        <v>Tujuh Belas</v>
      </c>
    </row>
    <row r="6538" spans="1:12">
      <c r="A6538" s="44"/>
      <c r="J6538" s="31">
        <v>18</v>
      </c>
      <c r="K6538" s="33" t="s">
        <v>86</v>
      </c>
      <c r="L6538" s="31" t="str">
        <f t="shared" si="631"/>
        <v>Delapan Belas</v>
      </c>
    </row>
    <row r="6539" spans="1:12">
      <c r="A6539" s="38" t="s">
        <v>87</v>
      </c>
      <c r="J6539" s="31">
        <v>19</v>
      </c>
      <c r="K6539" s="33" t="s">
        <v>88</v>
      </c>
      <c r="L6539" s="31" t="str">
        <f t="shared" si="631"/>
        <v>Sembilan Belas</v>
      </c>
    </row>
    <row r="6540" spans="1:12">
      <c r="A6540" s="31" t="s">
        <v>69</v>
      </c>
      <c r="B6540" s="39" t="e">
        <f>TRUNC(A6518/100000000)</f>
        <v>#REF!</v>
      </c>
      <c r="C6540" s="31" t="e">
        <f>B6540*100000000</f>
        <v>#REF!</v>
      </c>
      <c r="D6540" s="31" t="e">
        <f>IF(B6540&lt;1,"",IF(B6540=1,"",VLOOKUP(B6540,$J$3:$L$102,3)))</f>
        <v>#REF!</v>
      </c>
      <c r="E6540" s="31" t="e">
        <f>IF(B6540&lt;1,"",IF(B6540=1,"Seratus "," Ratus "))</f>
        <v>#REF!</v>
      </c>
      <c r="J6540" s="31">
        <v>20</v>
      </c>
      <c r="K6540" s="33" t="s">
        <v>89</v>
      </c>
      <c r="L6540" s="31" t="s">
        <v>90</v>
      </c>
    </row>
    <row r="6541" spans="1:12">
      <c r="A6541" s="31" t="s">
        <v>72</v>
      </c>
      <c r="B6541" s="39" t="e">
        <f>TRUNC((A6518-C6540)/1000000)</f>
        <v>#REF!</v>
      </c>
      <c r="C6541" s="31" t="e">
        <f>B6541*1000000</f>
        <v>#REF!</v>
      </c>
      <c r="D6541" s="31" t="e">
        <f>IF(B6541&lt;1,"",VLOOKUP(B6541,$J$3:$L$102,3))</f>
        <v>#REF!</v>
      </c>
      <c r="E6541" s="31" t="e">
        <f>IF(B6540+B6541=0,""," Juta ")</f>
        <v>#REF!</v>
      </c>
      <c r="J6541" s="31">
        <v>21</v>
      </c>
      <c r="K6541" s="33" t="s">
        <v>91</v>
      </c>
      <c r="L6541" s="31" t="str">
        <f t="shared" ref="L6541:L6549" si="632">$L$23&amp;" "&amp;L6521</f>
        <v>Dua Puluh Satu</v>
      </c>
    </row>
    <row r="6542" spans="1:12">
      <c r="A6542" s="31" t="s">
        <v>75</v>
      </c>
      <c r="B6542" s="39" t="e">
        <f>TRUNC((A6518-SUM(C6540:C6541))/100000)</f>
        <v>#REF!</v>
      </c>
      <c r="C6542" s="31" t="e">
        <f>B6542*100000</f>
        <v>#REF!</v>
      </c>
      <c r="D6542" s="31" t="e">
        <f>IF(B6542&lt;1,"",IF(B6542=1,"",VLOOKUP(B6542,$J$3:$L$102,3)))</f>
        <v>#REF!</v>
      </c>
      <c r="E6542" s="31" t="e">
        <f>IF(B6542&lt;1,"",IF(B6542=1," Seratus "," Ratus "))</f>
        <v>#REF!</v>
      </c>
      <c r="J6542" s="31">
        <v>22</v>
      </c>
      <c r="K6542" s="33" t="s">
        <v>92</v>
      </c>
      <c r="L6542" s="31" t="str">
        <f t="shared" si="632"/>
        <v>Dua Puluh Dua</v>
      </c>
    </row>
    <row r="6543" spans="1:12">
      <c r="A6543" s="33" t="s">
        <v>77</v>
      </c>
      <c r="B6543" s="40" t="e">
        <f>TRUNC((A6518-SUM(C6540:C6542))/1000)</f>
        <v>#REF!</v>
      </c>
      <c r="C6543" s="31" t="e">
        <f>B6543*1000</f>
        <v>#REF!</v>
      </c>
      <c r="D6543" s="31" t="e">
        <f>IF(B6543&lt;1,"",IF(B6543=1,"",VLOOKUP(B6543,$J$3:$L$102,3)))</f>
        <v>#REF!</v>
      </c>
      <c r="E6543" s="31" t="e">
        <f>IF(B6542+B6543&lt;1,"",IF(B6543=1," Seribu "," Ribu "))</f>
        <v>#REF!</v>
      </c>
      <c r="J6543" s="31">
        <v>23</v>
      </c>
      <c r="K6543" s="33" t="s">
        <v>93</v>
      </c>
      <c r="L6543" s="31" t="str">
        <f t="shared" si="632"/>
        <v>Dua Puluh Tiga</v>
      </c>
    </row>
    <row r="6544" spans="1:12">
      <c r="A6544" s="33" t="s">
        <v>79</v>
      </c>
      <c r="B6544" s="40" t="e">
        <f>TRUNC((A6518-SUM(C6540:C6543))/100)</f>
        <v>#REF!</v>
      </c>
      <c r="C6544" s="31" t="e">
        <f>B6544*100</f>
        <v>#REF!</v>
      </c>
      <c r="D6544" s="31" t="e">
        <f>IF(B6544&lt;1,"",IF(B6544=1,"",VLOOKUP(B6544,$J$3:$L$102,3)))</f>
        <v>#REF!</v>
      </c>
      <c r="E6544" s="31" t="e">
        <f>IF(B6544&lt;1,"",IF(B6544=1," Seratus "," Ratus "))</f>
        <v>#REF!</v>
      </c>
      <c r="J6544" s="31">
        <v>24</v>
      </c>
      <c r="K6544" s="33" t="s">
        <v>94</v>
      </c>
      <c r="L6544" s="31" t="str">
        <f t="shared" si="632"/>
        <v>Dua Puluh Empat</v>
      </c>
    </row>
    <row r="6545" spans="1:12">
      <c r="A6545" s="33" t="s">
        <v>81</v>
      </c>
      <c r="B6545" s="41" t="e">
        <f>TRUNC((A6518-SUM(C6540:C6544)))</f>
        <v>#REF!</v>
      </c>
      <c r="C6545" s="42" t="e">
        <f>B6545</f>
        <v>#REF!</v>
      </c>
      <c r="D6545" s="31" t="e">
        <f>IF(B6545&lt;1,"",VLOOKUP(B6545,$J$3:$L$102,3))</f>
        <v>#REF!</v>
      </c>
      <c r="E6545" s="31" t="e">
        <f>IF(SUM(C6540:C6545)&lt;1,"",IF(B6546&lt;1,""," Dan "))</f>
        <v>#REF!</v>
      </c>
      <c r="J6545" s="31">
        <v>25</v>
      </c>
      <c r="K6545" s="33" t="s">
        <v>95</v>
      </c>
      <c r="L6545" s="31" t="str">
        <f t="shared" si="632"/>
        <v>Dua Puluh Lima</v>
      </c>
    </row>
    <row r="6546" spans="1:12">
      <c r="A6546" s="33" t="s">
        <v>83</v>
      </c>
      <c r="B6546" s="40" t="e">
        <f>ROUND(A6518-SUM(C6540:C6545),2)*100</f>
        <v>#REF!</v>
      </c>
      <c r="D6546" s="31" t="e">
        <f>IF(B6546&lt;1,"",VLOOKUP(B6546,$J$3:$L$102,3))</f>
        <v>#REF!</v>
      </c>
      <c r="E6546" s="31" t="e">
        <f>IF(B6546&lt;1,""," Sen ")</f>
        <v>#REF!</v>
      </c>
      <c r="J6546" s="31">
        <v>26</v>
      </c>
      <c r="K6546" s="33" t="s">
        <v>96</v>
      </c>
      <c r="L6546" s="31" t="str">
        <f t="shared" si="632"/>
        <v>Dua Puluh Enam</v>
      </c>
    </row>
    <row r="6547" spans="1:12">
      <c r="J6547" s="31">
        <v>27</v>
      </c>
      <c r="K6547" s="33" t="s">
        <v>97</v>
      </c>
      <c r="L6547" s="31" t="str">
        <f t="shared" si="632"/>
        <v>Dua Puluh Tujuh</v>
      </c>
    </row>
    <row r="6548" spans="1:12">
      <c r="J6548" s="31">
        <v>28</v>
      </c>
      <c r="K6548" s="33" t="s">
        <v>98</v>
      </c>
      <c r="L6548" s="31" t="str">
        <f t="shared" si="632"/>
        <v>Dua Puluh Delapan</v>
      </c>
    </row>
    <row r="6549" spans="1:12">
      <c r="J6549" s="31">
        <v>29</v>
      </c>
      <c r="K6549" s="33" t="s">
        <v>99</v>
      </c>
      <c r="L6549" s="31" t="str">
        <f t="shared" si="632"/>
        <v>Dua Puluh Sembilan</v>
      </c>
    </row>
    <row r="6550" spans="1:12">
      <c r="J6550" s="31">
        <v>30</v>
      </c>
      <c r="K6550" s="33" t="s">
        <v>100</v>
      </c>
      <c r="L6550" s="31" t="s">
        <v>101</v>
      </c>
    </row>
    <row r="6551" spans="1:12">
      <c r="J6551" s="31">
        <v>31</v>
      </c>
      <c r="K6551" s="33" t="s">
        <v>102</v>
      </c>
      <c r="L6551" s="31" t="str">
        <f t="shared" ref="L6551:L6559" si="633">$L$33&amp;" "&amp;L6521</f>
        <v>Tiga Puluh Satu</v>
      </c>
    </row>
    <row r="6552" spans="1:12">
      <c r="J6552" s="31">
        <v>32</v>
      </c>
      <c r="K6552" s="33" t="s">
        <v>103</v>
      </c>
      <c r="L6552" s="31" t="str">
        <f t="shared" si="633"/>
        <v>Tiga Puluh Dua</v>
      </c>
    </row>
    <row r="6553" spans="1:12">
      <c r="J6553" s="31">
        <v>33</v>
      </c>
      <c r="K6553" s="33" t="s">
        <v>104</v>
      </c>
      <c r="L6553" s="31" t="str">
        <f t="shared" si="633"/>
        <v>Tiga Puluh Tiga</v>
      </c>
    </row>
    <row r="6554" spans="1:12">
      <c r="J6554" s="31">
        <v>34</v>
      </c>
      <c r="K6554" s="33" t="s">
        <v>105</v>
      </c>
      <c r="L6554" s="31" t="str">
        <f t="shared" si="633"/>
        <v>Tiga Puluh Empat</v>
      </c>
    </row>
    <row r="6555" spans="1:12">
      <c r="J6555" s="31">
        <v>35</v>
      </c>
      <c r="K6555" s="33" t="s">
        <v>106</v>
      </c>
      <c r="L6555" s="31" t="str">
        <f t="shared" si="633"/>
        <v>Tiga Puluh Lima</v>
      </c>
    </row>
    <row r="6556" spans="1:12">
      <c r="J6556" s="31">
        <v>36</v>
      </c>
      <c r="K6556" s="33" t="s">
        <v>107</v>
      </c>
      <c r="L6556" s="31" t="str">
        <f t="shared" si="633"/>
        <v>Tiga Puluh Enam</v>
      </c>
    </row>
    <row r="6557" spans="1:12">
      <c r="J6557" s="31">
        <v>37</v>
      </c>
      <c r="K6557" s="33" t="s">
        <v>108</v>
      </c>
      <c r="L6557" s="31" t="str">
        <f t="shared" si="633"/>
        <v>Tiga Puluh Tujuh</v>
      </c>
    </row>
    <row r="6558" spans="1:12">
      <c r="J6558" s="31">
        <v>38</v>
      </c>
      <c r="K6558" s="33" t="s">
        <v>109</v>
      </c>
      <c r="L6558" s="31" t="str">
        <f t="shared" si="633"/>
        <v>Tiga Puluh Delapan</v>
      </c>
    </row>
    <row r="6559" spans="1:12">
      <c r="J6559" s="31">
        <v>39</v>
      </c>
      <c r="K6559" s="33" t="s">
        <v>110</v>
      </c>
      <c r="L6559" s="31" t="str">
        <f t="shared" si="633"/>
        <v>Tiga Puluh Sembilan</v>
      </c>
    </row>
    <row r="6560" spans="1:12">
      <c r="B6560" s="35"/>
      <c r="C6560" s="35"/>
      <c r="D6560" s="35"/>
      <c r="J6560" s="31">
        <v>40</v>
      </c>
      <c r="K6560" s="33" t="s">
        <v>111</v>
      </c>
      <c r="L6560" s="31" t="s">
        <v>112</v>
      </c>
    </row>
    <row r="6561" spans="1:12">
      <c r="A6561" s="35"/>
      <c r="B6561" s="35"/>
      <c r="C6561" s="35"/>
      <c r="D6561" s="35"/>
      <c r="J6561" s="31">
        <v>41</v>
      </c>
      <c r="K6561" s="33" t="s">
        <v>113</v>
      </c>
      <c r="L6561" s="31" t="str">
        <f t="shared" ref="L6561:L6569" si="634">$L$43&amp;" "&amp;L6521</f>
        <v>Empat Puluh Satu</v>
      </c>
    </row>
    <row r="6562" spans="1:12">
      <c r="J6562" s="31">
        <v>42</v>
      </c>
      <c r="K6562" s="33" t="s">
        <v>114</v>
      </c>
      <c r="L6562" s="31" t="str">
        <f t="shared" si="634"/>
        <v>Empat Puluh Dua</v>
      </c>
    </row>
    <row r="6563" spans="1:12">
      <c r="A6563" s="38"/>
      <c r="J6563" s="31">
        <v>43</v>
      </c>
      <c r="K6563" s="33" t="s">
        <v>115</v>
      </c>
      <c r="L6563" s="31" t="str">
        <f t="shared" si="634"/>
        <v>Empat Puluh Tiga</v>
      </c>
    </row>
    <row r="6564" spans="1:12">
      <c r="J6564" s="31">
        <v>44</v>
      </c>
      <c r="K6564" s="33" t="s">
        <v>116</v>
      </c>
      <c r="L6564" s="31" t="str">
        <f t="shared" si="634"/>
        <v>Empat Puluh Empat</v>
      </c>
    </row>
    <row r="6565" spans="1:12">
      <c r="J6565" s="31">
        <v>45</v>
      </c>
      <c r="K6565" s="33" t="s">
        <v>117</v>
      </c>
      <c r="L6565" s="31" t="str">
        <f t="shared" si="634"/>
        <v>Empat Puluh Lima</v>
      </c>
    </row>
    <row r="6566" spans="1:12">
      <c r="J6566" s="31">
        <v>46</v>
      </c>
      <c r="K6566" s="33" t="s">
        <v>118</v>
      </c>
      <c r="L6566" s="31" t="str">
        <f t="shared" si="634"/>
        <v>Empat Puluh Enam</v>
      </c>
    </row>
    <row r="6567" spans="1:12">
      <c r="J6567" s="31">
        <v>47</v>
      </c>
      <c r="K6567" s="33" t="s">
        <v>119</v>
      </c>
      <c r="L6567" s="31" t="str">
        <f t="shared" si="634"/>
        <v>Empat Puluh Tujuh</v>
      </c>
    </row>
    <row r="6568" spans="1:12">
      <c r="J6568" s="31">
        <v>48</v>
      </c>
      <c r="K6568" s="33" t="s">
        <v>120</v>
      </c>
      <c r="L6568" s="31" t="str">
        <f t="shared" si="634"/>
        <v>Empat Puluh Delapan</v>
      </c>
    </row>
    <row r="6569" spans="1:12">
      <c r="J6569" s="31">
        <v>49</v>
      </c>
      <c r="K6569" s="33" t="s">
        <v>121</v>
      </c>
      <c r="L6569" s="31" t="str">
        <f t="shared" si="634"/>
        <v>Empat Puluh Sembilan</v>
      </c>
    </row>
    <row r="6570" spans="1:12">
      <c r="J6570" s="31">
        <v>50</v>
      </c>
      <c r="K6570" s="33" t="s">
        <v>122</v>
      </c>
      <c r="L6570" s="31" t="s">
        <v>123</v>
      </c>
    </row>
    <row r="6571" spans="1:12">
      <c r="J6571" s="31">
        <v>51</v>
      </c>
      <c r="K6571" s="33" t="s">
        <v>124</v>
      </c>
      <c r="L6571" s="31" t="str">
        <f t="shared" ref="L6571:L6579" si="635">$L$53&amp;" "&amp;L6521</f>
        <v>Lima Puluh Satu</v>
      </c>
    </row>
    <row r="6572" spans="1:12">
      <c r="J6572" s="31">
        <v>52</v>
      </c>
      <c r="K6572" s="33" t="s">
        <v>125</v>
      </c>
      <c r="L6572" s="31" t="str">
        <f t="shared" si="635"/>
        <v>Lima Puluh Dua</v>
      </c>
    </row>
    <row r="6573" spans="1:12">
      <c r="J6573" s="31">
        <v>53</v>
      </c>
      <c r="K6573" s="33" t="s">
        <v>126</v>
      </c>
      <c r="L6573" s="31" t="str">
        <f t="shared" si="635"/>
        <v>Lima Puluh Tiga</v>
      </c>
    </row>
    <row r="6574" spans="1:12">
      <c r="J6574" s="31">
        <v>54</v>
      </c>
      <c r="K6574" s="33" t="s">
        <v>127</v>
      </c>
      <c r="L6574" s="31" t="str">
        <f t="shared" si="635"/>
        <v>Lima Puluh Empat</v>
      </c>
    </row>
    <row r="6575" spans="1:12">
      <c r="J6575" s="31">
        <v>55</v>
      </c>
      <c r="K6575" s="33" t="s">
        <v>128</v>
      </c>
      <c r="L6575" s="31" t="str">
        <f t="shared" si="635"/>
        <v>Lima Puluh Lima</v>
      </c>
    </row>
    <row r="6576" spans="1:12">
      <c r="J6576" s="31">
        <v>56</v>
      </c>
      <c r="K6576" s="33" t="s">
        <v>129</v>
      </c>
      <c r="L6576" s="31" t="str">
        <f t="shared" si="635"/>
        <v>Lima Puluh Enam</v>
      </c>
    </row>
    <row r="6577" spans="10:12">
      <c r="J6577" s="31">
        <v>57</v>
      </c>
      <c r="K6577" s="33" t="s">
        <v>130</v>
      </c>
      <c r="L6577" s="31" t="str">
        <f t="shared" si="635"/>
        <v>Lima Puluh Tujuh</v>
      </c>
    </row>
    <row r="6578" spans="10:12">
      <c r="J6578" s="31">
        <v>58</v>
      </c>
      <c r="K6578" s="33" t="s">
        <v>131</v>
      </c>
      <c r="L6578" s="31" t="str">
        <f t="shared" si="635"/>
        <v>Lima Puluh Delapan</v>
      </c>
    </row>
    <row r="6579" spans="10:12">
      <c r="J6579" s="31">
        <v>59</v>
      </c>
      <c r="K6579" s="33" t="s">
        <v>132</v>
      </c>
      <c r="L6579" s="31" t="str">
        <f t="shared" si="635"/>
        <v>Lima Puluh Sembilan</v>
      </c>
    </row>
    <row r="6580" spans="10:12">
      <c r="J6580" s="31">
        <v>60</v>
      </c>
      <c r="K6580" s="33" t="s">
        <v>133</v>
      </c>
      <c r="L6580" s="31" t="s">
        <v>134</v>
      </c>
    </row>
    <row r="6581" spans="10:12">
      <c r="J6581" s="31">
        <v>61</v>
      </c>
      <c r="K6581" s="33" t="s">
        <v>135</v>
      </c>
      <c r="L6581" s="31" t="str">
        <f t="shared" ref="L6581:L6589" si="636">$L$63&amp;" "&amp;L6521</f>
        <v>Enam Puluh Satu</v>
      </c>
    </row>
    <row r="6582" spans="10:12">
      <c r="J6582" s="31">
        <v>62</v>
      </c>
      <c r="K6582" s="33" t="s">
        <v>136</v>
      </c>
      <c r="L6582" s="31" t="str">
        <f t="shared" si="636"/>
        <v>Enam Puluh Dua</v>
      </c>
    </row>
    <row r="6583" spans="10:12">
      <c r="J6583" s="31">
        <v>63</v>
      </c>
      <c r="K6583" s="33" t="s">
        <v>137</v>
      </c>
      <c r="L6583" s="31" t="str">
        <f t="shared" si="636"/>
        <v>Enam Puluh Tiga</v>
      </c>
    </row>
    <row r="6584" spans="10:12">
      <c r="J6584" s="31">
        <v>64</v>
      </c>
      <c r="K6584" s="33" t="s">
        <v>138</v>
      </c>
      <c r="L6584" s="31" t="str">
        <f t="shared" si="636"/>
        <v>Enam Puluh Empat</v>
      </c>
    </row>
    <row r="6585" spans="10:12">
      <c r="J6585" s="31">
        <v>65</v>
      </c>
      <c r="K6585" s="33" t="s">
        <v>139</v>
      </c>
      <c r="L6585" s="31" t="str">
        <f t="shared" si="636"/>
        <v>Enam Puluh Lima</v>
      </c>
    </row>
    <row r="6586" spans="10:12">
      <c r="J6586" s="31">
        <v>66</v>
      </c>
      <c r="K6586" s="33" t="s">
        <v>140</v>
      </c>
      <c r="L6586" s="31" t="str">
        <f t="shared" si="636"/>
        <v>Enam Puluh Enam</v>
      </c>
    </row>
    <row r="6587" spans="10:12">
      <c r="J6587" s="31">
        <v>67</v>
      </c>
      <c r="K6587" s="33" t="s">
        <v>141</v>
      </c>
      <c r="L6587" s="31" t="str">
        <f t="shared" si="636"/>
        <v>Enam Puluh Tujuh</v>
      </c>
    </row>
    <row r="6588" spans="10:12">
      <c r="J6588" s="31">
        <v>68</v>
      </c>
      <c r="K6588" s="33" t="s">
        <v>142</v>
      </c>
      <c r="L6588" s="31" t="str">
        <f t="shared" si="636"/>
        <v>Enam Puluh Delapan</v>
      </c>
    </row>
    <row r="6589" spans="10:12">
      <c r="J6589" s="31">
        <v>69</v>
      </c>
      <c r="K6589" s="33" t="s">
        <v>143</v>
      </c>
      <c r="L6589" s="31" t="str">
        <f t="shared" si="636"/>
        <v>Enam Puluh Sembilan</v>
      </c>
    </row>
    <row r="6590" spans="10:12">
      <c r="J6590" s="31">
        <v>70</v>
      </c>
      <c r="K6590" s="33" t="s">
        <v>144</v>
      </c>
      <c r="L6590" s="31" t="s">
        <v>145</v>
      </c>
    </row>
    <row r="6591" spans="10:12">
      <c r="J6591" s="31">
        <v>71</v>
      </c>
      <c r="K6591" s="33" t="s">
        <v>146</v>
      </c>
      <c r="L6591" s="31" t="str">
        <f t="shared" ref="L6591:L6599" si="637">$L$73&amp;" "&amp;L6521</f>
        <v>Tujuh Puluh Satu</v>
      </c>
    </row>
    <row r="6592" spans="10:12">
      <c r="J6592" s="31">
        <v>72</v>
      </c>
      <c r="K6592" s="33" t="s">
        <v>147</v>
      </c>
      <c r="L6592" s="31" t="str">
        <f t="shared" si="637"/>
        <v>Tujuh Puluh Dua</v>
      </c>
    </row>
    <row r="6593" spans="10:12">
      <c r="J6593" s="31">
        <v>73</v>
      </c>
      <c r="K6593" s="33" t="s">
        <v>148</v>
      </c>
      <c r="L6593" s="31" t="str">
        <f t="shared" si="637"/>
        <v>Tujuh Puluh Tiga</v>
      </c>
    </row>
    <row r="6594" spans="10:12">
      <c r="J6594" s="31">
        <v>74</v>
      </c>
      <c r="K6594" s="33" t="s">
        <v>149</v>
      </c>
      <c r="L6594" s="31" t="str">
        <f t="shared" si="637"/>
        <v>Tujuh Puluh Empat</v>
      </c>
    </row>
    <row r="6595" spans="10:12">
      <c r="J6595" s="31">
        <v>75</v>
      </c>
      <c r="K6595" s="33" t="s">
        <v>150</v>
      </c>
      <c r="L6595" s="31" t="str">
        <f t="shared" si="637"/>
        <v>Tujuh Puluh Lima</v>
      </c>
    </row>
    <row r="6596" spans="10:12">
      <c r="J6596" s="31">
        <v>76</v>
      </c>
      <c r="K6596" s="33" t="s">
        <v>151</v>
      </c>
      <c r="L6596" s="31" t="str">
        <f t="shared" si="637"/>
        <v>Tujuh Puluh Enam</v>
      </c>
    </row>
    <row r="6597" spans="10:12">
      <c r="J6597" s="31">
        <v>77</v>
      </c>
      <c r="K6597" s="33" t="s">
        <v>152</v>
      </c>
      <c r="L6597" s="31" t="str">
        <f t="shared" si="637"/>
        <v>Tujuh Puluh Tujuh</v>
      </c>
    </row>
    <row r="6598" spans="10:12">
      <c r="J6598" s="31">
        <v>78</v>
      </c>
      <c r="K6598" s="33" t="s">
        <v>153</v>
      </c>
      <c r="L6598" s="31" t="str">
        <f t="shared" si="637"/>
        <v>Tujuh Puluh Delapan</v>
      </c>
    </row>
    <row r="6599" spans="10:12">
      <c r="J6599" s="31">
        <v>79</v>
      </c>
      <c r="K6599" s="33" t="s">
        <v>154</v>
      </c>
      <c r="L6599" s="31" t="str">
        <f t="shared" si="637"/>
        <v>Tujuh Puluh Sembilan</v>
      </c>
    </row>
    <row r="6600" spans="10:12">
      <c r="J6600" s="31">
        <v>80</v>
      </c>
      <c r="K6600" s="33" t="s">
        <v>155</v>
      </c>
      <c r="L6600" s="31" t="s">
        <v>156</v>
      </c>
    </row>
    <row r="6601" spans="10:12">
      <c r="J6601" s="31">
        <v>81</v>
      </c>
      <c r="K6601" s="33" t="s">
        <v>157</v>
      </c>
      <c r="L6601" s="31" t="str">
        <f t="shared" ref="L6601:L6609" si="638">$L$83&amp;" "&amp;L6521</f>
        <v>Delapan Puluh Satu</v>
      </c>
    </row>
    <row r="6602" spans="10:12">
      <c r="J6602" s="31">
        <v>82</v>
      </c>
      <c r="K6602" s="33" t="s">
        <v>158</v>
      </c>
      <c r="L6602" s="31" t="str">
        <f t="shared" si="638"/>
        <v>Delapan Puluh Dua</v>
      </c>
    </row>
    <row r="6603" spans="10:12">
      <c r="J6603" s="31">
        <v>83</v>
      </c>
      <c r="K6603" s="33" t="s">
        <v>159</v>
      </c>
      <c r="L6603" s="31" t="str">
        <f t="shared" si="638"/>
        <v>Delapan Puluh Tiga</v>
      </c>
    </row>
    <row r="6604" spans="10:12">
      <c r="J6604" s="31">
        <v>84</v>
      </c>
      <c r="K6604" s="33" t="s">
        <v>160</v>
      </c>
      <c r="L6604" s="31" t="str">
        <f t="shared" si="638"/>
        <v>Delapan Puluh Empat</v>
      </c>
    </row>
    <row r="6605" spans="10:12">
      <c r="J6605" s="31">
        <v>85</v>
      </c>
      <c r="K6605" s="33" t="s">
        <v>161</v>
      </c>
      <c r="L6605" s="31" t="str">
        <f t="shared" si="638"/>
        <v>Delapan Puluh Lima</v>
      </c>
    </row>
    <row r="6606" spans="10:12">
      <c r="J6606" s="31">
        <v>86</v>
      </c>
      <c r="K6606" s="33" t="s">
        <v>162</v>
      </c>
      <c r="L6606" s="31" t="str">
        <f t="shared" si="638"/>
        <v>Delapan Puluh Enam</v>
      </c>
    </row>
    <row r="6607" spans="10:12">
      <c r="J6607" s="31">
        <v>87</v>
      </c>
      <c r="K6607" s="33" t="s">
        <v>163</v>
      </c>
      <c r="L6607" s="31" t="str">
        <f t="shared" si="638"/>
        <v>Delapan Puluh Tujuh</v>
      </c>
    </row>
    <row r="6608" spans="10:12">
      <c r="J6608" s="31">
        <v>88</v>
      </c>
      <c r="K6608" s="33" t="s">
        <v>164</v>
      </c>
      <c r="L6608" s="31" t="str">
        <f t="shared" si="638"/>
        <v>Delapan Puluh Delapan</v>
      </c>
    </row>
    <row r="6609" spans="1:12">
      <c r="J6609" s="31">
        <v>89</v>
      </c>
      <c r="K6609" s="33" t="s">
        <v>165</v>
      </c>
      <c r="L6609" s="31" t="str">
        <f t="shared" si="638"/>
        <v>Delapan Puluh Sembilan</v>
      </c>
    </row>
    <row r="6610" spans="1:12">
      <c r="J6610" s="31">
        <v>90</v>
      </c>
      <c r="K6610" s="33" t="s">
        <v>166</v>
      </c>
      <c r="L6610" s="31" t="s">
        <v>167</v>
      </c>
    </row>
    <row r="6611" spans="1:12">
      <c r="J6611" s="31">
        <v>91</v>
      </c>
      <c r="K6611" s="33" t="s">
        <v>168</v>
      </c>
      <c r="L6611" s="31" t="str">
        <f t="shared" ref="L6611:L6619" si="639">$L$93&amp;" "&amp;L6521</f>
        <v>Sembilan Puluh Satu</v>
      </c>
    </row>
    <row r="6612" spans="1:12">
      <c r="J6612" s="31">
        <v>92</v>
      </c>
      <c r="K6612" s="33" t="s">
        <v>169</v>
      </c>
      <c r="L6612" s="31" t="str">
        <f t="shared" si="639"/>
        <v>Sembilan Puluh Dua</v>
      </c>
    </row>
    <row r="6613" spans="1:12">
      <c r="J6613" s="31">
        <v>93</v>
      </c>
      <c r="K6613" s="33" t="s">
        <v>170</v>
      </c>
      <c r="L6613" s="31" t="str">
        <f t="shared" si="639"/>
        <v>Sembilan Puluh Tiga</v>
      </c>
    </row>
    <row r="6614" spans="1:12">
      <c r="J6614" s="31">
        <v>94</v>
      </c>
      <c r="K6614" s="33" t="s">
        <v>171</v>
      </c>
      <c r="L6614" s="31" t="str">
        <f t="shared" si="639"/>
        <v>Sembilan Puluh Empat</v>
      </c>
    </row>
    <row r="6615" spans="1:12">
      <c r="J6615" s="31">
        <v>95</v>
      </c>
      <c r="K6615" s="33" t="s">
        <v>172</v>
      </c>
      <c r="L6615" s="31" t="str">
        <f t="shared" si="639"/>
        <v>Sembilan Puluh Lima</v>
      </c>
    </row>
    <row r="6616" spans="1:12">
      <c r="J6616" s="31">
        <v>96</v>
      </c>
      <c r="K6616" s="33" t="s">
        <v>173</v>
      </c>
      <c r="L6616" s="31" t="str">
        <f t="shared" si="639"/>
        <v>Sembilan Puluh Enam</v>
      </c>
    </row>
    <row r="6617" spans="1:12">
      <c r="J6617" s="31">
        <v>97</v>
      </c>
      <c r="K6617" s="33" t="s">
        <v>174</v>
      </c>
      <c r="L6617" s="31" t="str">
        <f t="shared" si="639"/>
        <v>Sembilan Puluh Tujuh</v>
      </c>
    </row>
    <row r="6618" spans="1:12">
      <c r="J6618" s="31">
        <v>98</v>
      </c>
      <c r="K6618" s="33" t="s">
        <v>175</v>
      </c>
      <c r="L6618" s="31" t="str">
        <f t="shared" si="639"/>
        <v>Sembilan Puluh Delapan</v>
      </c>
    </row>
    <row r="6619" spans="1:12">
      <c r="J6619" s="31">
        <v>99</v>
      </c>
      <c r="K6619" s="33" t="s">
        <v>176</v>
      </c>
      <c r="L6619" s="31" t="str">
        <f t="shared" si="639"/>
        <v>Sembilan Puluh Sembilan</v>
      </c>
    </row>
    <row r="6621" spans="1:12">
      <c r="A6621" s="30" t="e">
        <f>#REF!</f>
        <v>#REF!</v>
      </c>
      <c r="C6621" s="31" t="s">
        <v>262</v>
      </c>
    </row>
    <row r="6622" spans="1:12">
      <c r="A6622" s="32"/>
    </row>
    <row r="6623" spans="1:12">
      <c r="J6623" s="31">
        <v>0</v>
      </c>
      <c r="K6623" s="33" t="s">
        <v>48</v>
      </c>
      <c r="L6623" s="31" t="s">
        <v>49</v>
      </c>
    </row>
    <row r="6624" spans="1:12">
      <c r="A6624" s="34"/>
      <c r="J6624" s="31">
        <v>1</v>
      </c>
      <c r="K6624" s="33" t="s">
        <v>50</v>
      </c>
      <c r="L6624" s="31" t="s">
        <v>51</v>
      </c>
    </row>
    <row r="6625" spans="1:12">
      <c r="A6625" s="255" t="e">
        <f>TRIM(D6633&amp;E6633&amp;D6634&amp;E6634&amp;D6635&amp;E6635&amp;D6636&amp;E6636&amp;D6637&amp;E6637&amp;D6638&amp;E6638&amp;E6639&amp;D6639&amp;" Only")</f>
        <v>#REF!</v>
      </c>
      <c r="B6625" s="255"/>
      <c r="C6625" s="255"/>
      <c r="D6625" s="255"/>
      <c r="E6625" s="35"/>
      <c r="F6625" s="36"/>
      <c r="J6625" s="31">
        <v>2</v>
      </c>
      <c r="K6625" s="33" t="s">
        <v>52</v>
      </c>
      <c r="L6625" s="31" t="s">
        <v>53</v>
      </c>
    </row>
    <row r="6626" spans="1:12">
      <c r="A6626" s="37"/>
      <c r="B6626" s="37"/>
      <c r="C6626" s="37"/>
      <c r="D6626" s="37"/>
      <c r="E6626" s="35"/>
      <c r="F6626" s="36"/>
      <c r="J6626" s="31">
        <v>3</v>
      </c>
      <c r="K6626" s="33" t="s">
        <v>54</v>
      </c>
      <c r="L6626" s="31" t="s">
        <v>55</v>
      </c>
    </row>
    <row r="6627" spans="1:12">
      <c r="A6627" s="37"/>
      <c r="B6627" s="37"/>
      <c r="C6627" s="37"/>
      <c r="D6627" s="37"/>
      <c r="J6627" s="31">
        <v>4</v>
      </c>
      <c r="K6627" s="33" t="s">
        <v>56</v>
      </c>
      <c r="L6627" s="31" t="s">
        <v>57</v>
      </c>
    </row>
    <row r="6628" spans="1:12">
      <c r="A6628" s="255" t="e">
        <f>TRIM(D6643&amp;E6643&amp;D6644&amp;E6644&amp;D6645&amp;E6645&amp;D6646&amp;E6646&amp;D6647&amp;E6647&amp;D6648&amp;E6648&amp;D6649&amp;E6649&amp;" Rupiah")</f>
        <v>#REF!</v>
      </c>
      <c r="B6628" s="255"/>
      <c r="C6628" s="255"/>
      <c r="D6628" s="255"/>
      <c r="E6628" s="35"/>
      <c r="F6628" s="36"/>
      <c r="J6628" s="31">
        <v>5</v>
      </c>
      <c r="K6628" s="33" t="s">
        <v>58</v>
      </c>
      <c r="L6628" s="31" t="s">
        <v>59</v>
      </c>
    </row>
    <row r="6629" spans="1:12">
      <c r="A6629" s="35"/>
      <c r="B6629" s="35"/>
      <c r="C6629" s="35"/>
      <c r="D6629" s="35"/>
      <c r="E6629" s="35"/>
      <c r="F6629" s="36"/>
      <c r="J6629" s="31">
        <v>6</v>
      </c>
      <c r="K6629" s="33" t="s">
        <v>60</v>
      </c>
      <c r="L6629" s="31" t="s">
        <v>61</v>
      </c>
    </row>
    <row r="6630" spans="1:12">
      <c r="J6630" s="31">
        <v>7</v>
      </c>
      <c r="K6630" s="33" t="s">
        <v>62</v>
      </c>
      <c r="L6630" s="31" t="s">
        <v>63</v>
      </c>
    </row>
    <row r="6631" spans="1:12">
      <c r="J6631" s="31">
        <v>8</v>
      </c>
      <c r="K6631" s="33" t="s">
        <v>64</v>
      </c>
      <c r="L6631" s="31" t="s">
        <v>65</v>
      </c>
    </row>
    <row r="6632" spans="1:12">
      <c r="A6632" s="38" t="s">
        <v>66</v>
      </c>
      <c r="J6632" s="31">
        <v>9</v>
      </c>
      <c r="K6632" s="33" t="s">
        <v>67</v>
      </c>
      <c r="L6632" s="31" t="s">
        <v>68</v>
      </c>
    </row>
    <row r="6633" spans="1:12">
      <c r="A6633" s="31" t="s">
        <v>69</v>
      </c>
      <c r="B6633" s="39" t="e">
        <f>TRUNC(A6621/100000000)</f>
        <v>#REF!</v>
      </c>
      <c r="C6633" s="31" t="e">
        <f>B6633*100000000</f>
        <v>#REF!</v>
      </c>
      <c r="D6633" s="31" t="e">
        <f t="shared" ref="D6633:D6639" si="640">IF(B6633&lt;1,"",VLOOKUP(B6633,$J$3:$K$102,2))</f>
        <v>#REF!</v>
      </c>
      <c r="E6633" s="31" t="e">
        <f>IF(B6633&lt;1,"",IF(B6633&gt;1," Hundreds "," Hundred "))</f>
        <v>#REF!</v>
      </c>
      <c r="J6633" s="31">
        <v>10</v>
      </c>
      <c r="K6633" s="33" t="s">
        <v>70</v>
      </c>
      <c r="L6633" s="31" t="s">
        <v>71</v>
      </c>
    </row>
    <row r="6634" spans="1:12">
      <c r="A6634" s="31" t="s">
        <v>72</v>
      </c>
      <c r="B6634" s="39" t="e">
        <f>TRUNC((A6621-C6633)/1000000)</f>
        <v>#REF!</v>
      </c>
      <c r="C6634" s="31" t="e">
        <f>B6634*1000000</f>
        <v>#REF!</v>
      </c>
      <c r="D6634" s="31" t="e">
        <f t="shared" si="640"/>
        <v>#REF!</v>
      </c>
      <c r="E6634" s="31" t="e">
        <f>IF(B6633+B6634=0,"",IF(B6634=1," Million "," Millions "))</f>
        <v>#REF!</v>
      </c>
      <c r="J6634" s="31">
        <v>11</v>
      </c>
      <c r="K6634" s="33" t="s">
        <v>73</v>
      </c>
      <c r="L6634" s="31" t="s">
        <v>74</v>
      </c>
    </row>
    <row r="6635" spans="1:12">
      <c r="A6635" s="31" t="s">
        <v>75</v>
      </c>
      <c r="B6635" s="39" t="e">
        <f>TRUNC((A6621-SUM(C6633:C6634))/100000)</f>
        <v>#REF!</v>
      </c>
      <c r="C6635" s="31" t="e">
        <f>B6635*100000</f>
        <v>#REF!</v>
      </c>
      <c r="D6635" s="31" t="e">
        <f t="shared" si="640"/>
        <v>#REF!</v>
      </c>
      <c r="E6635" s="31" t="e">
        <f>IF(B6635&lt;1,"",IF(B6635&gt;1," Hundreds "," Hundred "))</f>
        <v>#REF!</v>
      </c>
      <c r="J6635" s="31">
        <v>12</v>
      </c>
      <c r="K6635" s="33" t="s">
        <v>76</v>
      </c>
      <c r="L6635" s="31" t="str">
        <f t="shared" ref="L6635:L6642" si="641">L6625&amp;" Belas"</f>
        <v>Dua Belas</v>
      </c>
    </row>
    <row r="6636" spans="1:12">
      <c r="A6636" s="33" t="s">
        <v>77</v>
      </c>
      <c r="B6636" s="40" t="e">
        <f>TRUNC((A6621-SUM(C6633:C6635))/1000)</f>
        <v>#REF!</v>
      </c>
      <c r="C6636" s="31" t="e">
        <f>B6636*1000</f>
        <v>#REF!</v>
      </c>
      <c r="D6636" s="31" t="e">
        <f t="shared" si="640"/>
        <v>#REF!</v>
      </c>
      <c r="E6636" s="31" t="e">
        <f>IF(B6635+B6636=0,"",IF(B6636=1," Thousand "," Thousands "))</f>
        <v>#REF!</v>
      </c>
      <c r="J6636" s="31">
        <v>13</v>
      </c>
      <c r="K6636" s="33" t="s">
        <v>78</v>
      </c>
      <c r="L6636" s="31" t="str">
        <f t="shared" si="641"/>
        <v>Tiga Belas</v>
      </c>
    </row>
    <row r="6637" spans="1:12">
      <c r="A6637" s="33" t="s">
        <v>79</v>
      </c>
      <c r="B6637" s="40" t="e">
        <f>TRUNC((A6621-SUM(C6633:C6636))/100)</f>
        <v>#REF!</v>
      </c>
      <c r="C6637" s="31" t="e">
        <f>B6637*100</f>
        <v>#REF!</v>
      </c>
      <c r="D6637" s="31" t="e">
        <f t="shared" si="640"/>
        <v>#REF!</v>
      </c>
      <c r="E6637" s="31" t="e">
        <f>IF(B6637&lt;1,"",IF(B6637&gt;1," Hundreds "," Hundred "))</f>
        <v>#REF!</v>
      </c>
      <c r="J6637" s="31">
        <v>14</v>
      </c>
      <c r="K6637" s="33" t="s">
        <v>80</v>
      </c>
      <c r="L6637" s="31" t="str">
        <f t="shared" si="641"/>
        <v>Empat Belas</v>
      </c>
    </row>
    <row r="6638" spans="1:12">
      <c r="A6638" s="33" t="s">
        <v>81</v>
      </c>
      <c r="B6638" s="41" t="e">
        <f>TRUNC((A6621-SUM(C6633:C6637)))</f>
        <v>#REF!</v>
      </c>
      <c r="C6638" s="42" t="e">
        <f>B6638</f>
        <v>#REF!</v>
      </c>
      <c r="D6638" s="31" t="e">
        <f t="shared" si="640"/>
        <v>#REF!</v>
      </c>
      <c r="E6638" s="31" t="e">
        <f>IF(SUM(C6633:C6638)&lt;1,"",IF(B6639&lt;1,""," And "))</f>
        <v>#REF!</v>
      </c>
      <c r="J6638" s="31">
        <v>15</v>
      </c>
      <c r="K6638" s="33" t="s">
        <v>82</v>
      </c>
      <c r="L6638" s="31" t="str">
        <f t="shared" si="641"/>
        <v>Lima Belas</v>
      </c>
    </row>
    <row r="6639" spans="1:12">
      <c r="A6639" s="33" t="s">
        <v>83</v>
      </c>
      <c r="B6639" s="40" t="e">
        <f>ROUND(A6621-SUM(C6633:C6638),2)*100</f>
        <v>#REF!</v>
      </c>
      <c r="D6639" s="43" t="e">
        <f t="shared" si="640"/>
        <v>#REF!</v>
      </c>
      <c r="E6639" s="31" t="e">
        <f>IF(B6639&lt;1,"",IF(B6639=1," Cent "," Cents "))</f>
        <v>#REF!</v>
      </c>
      <c r="J6639" s="31">
        <v>16</v>
      </c>
      <c r="K6639" s="33" t="s">
        <v>84</v>
      </c>
      <c r="L6639" s="31" t="str">
        <f t="shared" si="641"/>
        <v>Enam Belas</v>
      </c>
    </row>
    <row r="6640" spans="1:12">
      <c r="J6640" s="31">
        <v>17</v>
      </c>
      <c r="K6640" s="33" t="s">
        <v>85</v>
      </c>
      <c r="L6640" s="31" t="str">
        <f t="shared" si="641"/>
        <v>Tujuh Belas</v>
      </c>
    </row>
    <row r="6641" spans="1:12">
      <c r="A6641" s="44"/>
      <c r="J6641" s="31">
        <v>18</v>
      </c>
      <c r="K6641" s="33" t="s">
        <v>86</v>
      </c>
      <c r="L6641" s="31" t="str">
        <f t="shared" si="641"/>
        <v>Delapan Belas</v>
      </c>
    </row>
    <row r="6642" spans="1:12">
      <c r="A6642" s="38" t="s">
        <v>87</v>
      </c>
      <c r="J6642" s="31">
        <v>19</v>
      </c>
      <c r="K6642" s="33" t="s">
        <v>88</v>
      </c>
      <c r="L6642" s="31" t="str">
        <f t="shared" si="641"/>
        <v>Sembilan Belas</v>
      </c>
    </row>
    <row r="6643" spans="1:12">
      <c r="A6643" s="31" t="s">
        <v>69</v>
      </c>
      <c r="B6643" s="39" t="e">
        <f>TRUNC(A6621/100000000)</f>
        <v>#REF!</v>
      </c>
      <c r="C6643" s="31" t="e">
        <f>B6643*100000000</f>
        <v>#REF!</v>
      </c>
      <c r="D6643" s="31" t="e">
        <f>IF(B6643&lt;1,"",IF(B6643=1,"",VLOOKUP(B6643,$J$3:$L$102,3)))</f>
        <v>#REF!</v>
      </c>
      <c r="E6643" s="31" t="e">
        <f>IF(B6643&lt;1,"",IF(B6643=1,"Seratus "," Ratus "))</f>
        <v>#REF!</v>
      </c>
      <c r="J6643" s="31">
        <v>20</v>
      </c>
      <c r="K6643" s="33" t="s">
        <v>89</v>
      </c>
      <c r="L6643" s="31" t="s">
        <v>90</v>
      </c>
    </row>
    <row r="6644" spans="1:12">
      <c r="A6644" s="31" t="s">
        <v>72</v>
      </c>
      <c r="B6644" s="39" t="e">
        <f>TRUNC((A6621-C6643)/1000000)</f>
        <v>#REF!</v>
      </c>
      <c r="C6644" s="31" t="e">
        <f>B6644*1000000</f>
        <v>#REF!</v>
      </c>
      <c r="D6644" s="31" t="e">
        <f>IF(B6644&lt;1,"",VLOOKUP(B6644,$J$3:$L$102,3))</f>
        <v>#REF!</v>
      </c>
      <c r="E6644" s="31" t="e">
        <f>IF(B6643+B6644=0,""," Juta ")</f>
        <v>#REF!</v>
      </c>
      <c r="J6644" s="31">
        <v>21</v>
      </c>
      <c r="K6644" s="33" t="s">
        <v>91</v>
      </c>
      <c r="L6644" s="31" t="str">
        <f t="shared" ref="L6644:L6652" si="642">$L$23&amp;" "&amp;L6624</f>
        <v>Dua Puluh Satu</v>
      </c>
    </row>
    <row r="6645" spans="1:12">
      <c r="A6645" s="31" t="s">
        <v>75</v>
      </c>
      <c r="B6645" s="39" t="e">
        <f>TRUNC((A6621-SUM(C6643:C6644))/100000)</f>
        <v>#REF!</v>
      </c>
      <c r="C6645" s="31" t="e">
        <f>B6645*100000</f>
        <v>#REF!</v>
      </c>
      <c r="D6645" s="31" t="e">
        <f>IF(B6645&lt;1,"",IF(B6645=1,"",VLOOKUP(B6645,$J$3:$L$102,3)))</f>
        <v>#REF!</v>
      </c>
      <c r="E6645" s="31" t="e">
        <f>IF(B6645&lt;1,"",IF(B6645=1," Seratus "," Ratus "))</f>
        <v>#REF!</v>
      </c>
      <c r="J6645" s="31">
        <v>22</v>
      </c>
      <c r="K6645" s="33" t="s">
        <v>92</v>
      </c>
      <c r="L6645" s="31" t="str">
        <f t="shared" si="642"/>
        <v>Dua Puluh Dua</v>
      </c>
    </row>
    <row r="6646" spans="1:12">
      <c r="A6646" s="33" t="s">
        <v>77</v>
      </c>
      <c r="B6646" s="40" t="e">
        <f>TRUNC((A6621-SUM(C6643:C6645))/1000)</f>
        <v>#REF!</v>
      </c>
      <c r="C6646" s="31" t="e">
        <f>B6646*1000</f>
        <v>#REF!</v>
      </c>
      <c r="D6646" s="31" t="e">
        <f>IF(B6646&lt;1,"",IF(B6646=1,"",VLOOKUP(B6646,$J$3:$L$102,3)))</f>
        <v>#REF!</v>
      </c>
      <c r="E6646" s="31" t="e">
        <f>IF(B6645+B6646&lt;1,"",IF(B6646=1," Seribu "," Ribu "))</f>
        <v>#REF!</v>
      </c>
      <c r="J6646" s="31">
        <v>23</v>
      </c>
      <c r="K6646" s="33" t="s">
        <v>93</v>
      </c>
      <c r="L6646" s="31" t="str">
        <f t="shared" si="642"/>
        <v>Dua Puluh Tiga</v>
      </c>
    </row>
    <row r="6647" spans="1:12">
      <c r="A6647" s="33" t="s">
        <v>79</v>
      </c>
      <c r="B6647" s="40" t="e">
        <f>TRUNC((A6621-SUM(C6643:C6646))/100)</f>
        <v>#REF!</v>
      </c>
      <c r="C6647" s="31" t="e">
        <f>B6647*100</f>
        <v>#REF!</v>
      </c>
      <c r="D6647" s="31" t="e">
        <f>IF(B6647&lt;1,"",IF(B6647=1,"",VLOOKUP(B6647,$J$3:$L$102,3)))</f>
        <v>#REF!</v>
      </c>
      <c r="E6647" s="31" t="e">
        <f>IF(B6647&lt;1,"",IF(B6647=1," Seratus "," Ratus "))</f>
        <v>#REF!</v>
      </c>
      <c r="J6647" s="31">
        <v>24</v>
      </c>
      <c r="K6647" s="33" t="s">
        <v>94</v>
      </c>
      <c r="L6647" s="31" t="str">
        <f t="shared" si="642"/>
        <v>Dua Puluh Empat</v>
      </c>
    </row>
    <row r="6648" spans="1:12">
      <c r="A6648" s="33" t="s">
        <v>81</v>
      </c>
      <c r="B6648" s="41" t="e">
        <f>TRUNC((A6621-SUM(C6643:C6647)))</f>
        <v>#REF!</v>
      </c>
      <c r="C6648" s="42" t="e">
        <f>B6648</f>
        <v>#REF!</v>
      </c>
      <c r="D6648" s="31" t="e">
        <f>IF(B6648&lt;1,"",VLOOKUP(B6648,$J$3:$L$102,3))</f>
        <v>#REF!</v>
      </c>
      <c r="E6648" s="31" t="e">
        <f>IF(SUM(C6643:C6648)&lt;1,"",IF(B6649&lt;1,""," Dan "))</f>
        <v>#REF!</v>
      </c>
      <c r="J6648" s="31">
        <v>25</v>
      </c>
      <c r="K6648" s="33" t="s">
        <v>95</v>
      </c>
      <c r="L6648" s="31" t="str">
        <f t="shared" si="642"/>
        <v>Dua Puluh Lima</v>
      </c>
    </row>
    <row r="6649" spans="1:12">
      <c r="A6649" s="33" t="s">
        <v>83</v>
      </c>
      <c r="B6649" s="40" t="e">
        <f>ROUND(A6621-SUM(C6643:C6648),2)*100</f>
        <v>#REF!</v>
      </c>
      <c r="D6649" s="31" t="e">
        <f>IF(B6649&lt;1,"",VLOOKUP(B6649,$J$3:$L$102,3))</f>
        <v>#REF!</v>
      </c>
      <c r="E6649" s="31" t="e">
        <f>IF(B6649&lt;1,""," Sen ")</f>
        <v>#REF!</v>
      </c>
      <c r="J6649" s="31">
        <v>26</v>
      </c>
      <c r="K6649" s="33" t="s">
        <v>96</v>
      </c>
      <c r="L6649" s="31" t="str">
        <f t="shared" si="642"/>
        <v>Dua Puluh Enam</v>
      </c>
    </row>
    <row r="6650" spans="1:12">
      <c r="J6650" s="31">
        <v>27</v>
      </c>
      <c r="K6650" s="33" t="s">
        <v>97</v>
      </c>
      <c r="L6650" s="31" t="str">
        <f t="shared" si="642"/>
        <v>Dua Puluh Tujuh</v>
      </c>
    </row>
    <row r="6651" spans="1:12">
      <c r="J6651" s="31">
        <v>28</v>
      </c>
      <c r="K6651" s="33" t="s">
        <v>98</v>
      </c>
      <c r="L6651" s="31" t="str">
        <f t="shared" si="642"/>
        <v>Dua Puluh Delapan</v>
      </c>
    </row>
    <row r="6652" spans="1:12">
      <c r="J6652" s="31">
        <v>29</v>
      </c>
      <c r="K6652" s="33" t="s">
        <v>99</v>
      </c>
      <c r="L6652" s="31" t="str">
        <f t="shared" si="642"/>
        <v>Dua Puluh Sembilan</v>
      </c>
    </row>
    <row r="6653" spans="1:12">
      <c r="J6653" s="31">
        <v>30</v>
      </c>
      <c r="K6653" s="33" t="s">
        <v>100</v>
      </c>
      <c r="L6653" s="31" t="s">
        <v>101</v>
      </c>
    </row>
    <row r="6654" spans="1:12">
      <c r="J6654" s="31">
        <v>31</v>
      </c>
      <c r="K6654" s="33" t="s">
        <v>102</v>
      </c>
      <c r="L6654" s="31" t="str">
        <f t="shared" ref="L6654:L6662" si="643">$L$33&amp;" "&amp;L6624</f>
        <v>Tiga Puluh Satu</v>
      </c>
    </row>
    <row r="6655" spans="1:12">
      <c r="J6655" s="31">
        <v>32</v>
      </c>
      <c r="K6655" s="33" t="s">
        <v>103</v>
      </c>
      <c r="L6655" s="31" t="str">
        <f t="shared" si="643"/>
        <v>Tiga Puluh Dua</v>
      </c>
    </row>
    <row r="6656" spans="1:12">
      <c r="J6656" s="31">
        <v>33</v>
      </c>
      <c r="K6656" s="33" t="s">
        <v>104</v>
      </c>
      <c r="L6656" s="31" t="str">
        <f t="shared" si="643"/>
        <v>Tiga Puluh Tiga</v>
      </c>
    </row>
    <row r="6657" spans="1:12">
      <c r="J6657" s="31">
        <v>34</v>
      </c>
      <c r="K6657" s="33" t="s">
        <v>105</v>
      </c>
      <c r="L6657" s="31" t="str">
        <f t="shared" si="643"/>
        <v>Tiga Puluh Empat</v>
      </c>
    </row>
    <row r="6658" spans="1:12">
      <c r="J6658" s="31">
        <v>35</v>
      </c>
      <c r="K6658" s="33" t="s">
        <v>106</v>
      </c>
      <c r="L6658" s="31" t="str">
        <f t="shared" si="643"/>
        <v>Tiga Puluh Lima</v>
      </c>
    </row>
    <row r="6659" spans="1:12">
      <c r="J6659" s="31">
        <v>36</v>
      </c>
      <c r="K6659" s="33" t="s">
        <v>107</v>
      </c>
      <c r="L6659" s="31" t="str">
        <f t="shared" si="643"/>
        <v>Tiga Puluh Enam</v>
      </c>
    </row>
    <row r="6660" spans="1:12">
      <c r="J6660" s="31">
        <v>37</v>
      </c>
      <c r="K6660" s="33" t="s">
        <v>108</v>
      </c>
      <c r="L6660" s="31" t="str">
        <f t="shared" si="643"/>
        <v>Tiga Puluh Tujuh</v>
      </c>
    </row>
    <row r="6661" spans="1:12">
      <c r="J6661" s="31">
        <v>38</v>
      </c>
      <c r="K6661" s="33" t="s">
        <v>109</v>
      </c>
      <c r="L6661" s="31" t="str">
        <f t="shared" si="643"/>
        <v>Tiga Puluh Delapan</v>
      </c>
    </row>
    <row r="6662" spans="1:12">
      <c r="J6662" s="31">
        <v>39</v>
      </c>
      <c r="K6662" s="33" t="s">
        <v>110</v>
      </c>
      <c r="L6662" s="31" t="str">
        <f t="shared" si="643"/>
        <v>Tiga Puluh Sembilan</v>
      </c>
    </row>
    <row r="6663" spans="1:12">
      <c r="B6663" s="35"/>
      <c r="C6663" s="35"/>
      <c r="D6663" s="35"/>
      <c r="J6663" s="31">
        <v>40</v>
      </c>
      <c r="K6663" s="33" t="s">
        <v>111</v>
      </c>
      <c r="L6663" s="31" t="s">
        <v>112</v>
      </c>
    </row>
    <row r="6664" spans="1:12">
      <c r="A6664" s="35"/>
      <c r="B6664" s="35"/>
      <c r="C6664" s="35"/>
      <c r="D6664" s="35"/>
      <c r="J6664" s="31">
        <v>41</v>
      </c>
      <c r="K6664" s="33" t="s">
        <v>113</v>
      </c>
      <c r="L6664" s="31" t="str">
        <f t="shared" ref="L6664:L6672" si="644">$L$43&amp;" "&amp;L6624</f>
        <v>Empat Puluh Satu</v>
      </c>
    </row>
    <row r="6665" spans="1:12">
      <c r="J6665" s="31">
        <v>42</v>
      </c>
      <c r="K6665" s="33" t="s">
        <v>114</v>
      </c>
      <c r="L6665" s="31" t="str">
        <f t="shared" si="644"/>
        <v>Empat Puluh Dua</v>
      </c>
    </row>
    <row r="6666" spans="1:12">
      <c r="A6666" s="38"/>
      <c r="J6666" s="31">
        <v>43</v>
      </c>
      <c r="K6666" s="33" t="s">
        <v>115</v>
      </c>
      <c r="L6666" s="31" t="str">
        <f t="shared" si="644"/>
        <v>Empat Puluh Tiga</v>
      </c>
    </row>
    <row r="6667" spans="1:12">
      <c r="J6667" s="31">
        <v>44</v>
      </c>
      <c r="K6667" s="33" t="s">
        <v>116</v>
      </c>
      <c r="L6667" s="31" t="str">
        <f t="shared" si="644"/>
        <v>Empat Puluh Empat</v>
      </c>
    </row>
    <row r="6668" spans="1:12">
      <c r="J6668" s="31">
        <v>45</v>
      </c>
      <c r="K6668" s="33" t="s">
        <v>117</v>
      </c>
      <c r="L6668" s="31" t="str">
        <f t="shared" si="644"/>
        <v>Empat Puluh Lima</v>
      </c>
    </row>
    <row r="6669" spans="1:12">
      <c r="J6669" s="31">
        <v>46</v>
      </c>
      <c r="K6669" s="33" t="s">
        <v>118</v>
      </c>
      <c r="L6669" s="31" t="str">
        <f t="shared" si="644"/>
        <v>Empat Puluh Enam</v>
      </c>
    </row>
    <row r="6670" spans="1:12">
      <c r="J6670" s="31">
        <v>47</v>
      </c>
      <c r="K6670" s="33" t="s">
        <v>119</v>
      </c>
      <c r="L6670" s="31" t="str">
        <f t="shared" si="644"/>
        <v>Empat Puluh Tujuh</v>
      </c>
    </row>
    <row r="6671" spans="1:12">
      <c r="J6671" s="31">
        <v>48</v>
      </c>
      <c r="K6671" s="33" t="s">
        <v>120</v>
      </c>
      <c r="L6671" s="31" t="str">
        <f t="shared" si="644"/>
        <v>Empat Puluh Delapan</v>
      </c>
    </row>
    <row r="6672" spans="1:12">
      <c r="J6672" s="31">
        <v>49</v>
      </c>
      <c r="K6672" s="33" t="s">
        <v>121</v>
      </c>
      <c r="L6672" s="31" t="str">
        <f t="shared" si="644"/>
        <v>Empat Puluh Sembilan</v>
      </c>
    </row>
    <row r="6673" spans="10:12">
      <c r="J6673" s="31">
        <v>50</v>
      </c>
      <c r="K6673" s="33" t="s">
        <v>122</v>
      </c>
      <c r="L6673" s="31" t="s">
        <v>123</v>
      </c>
    </row>
    <row r="6674" spans="10:12">
      <c r="J6674" s="31">
        <v>51</v>
      </c>
      <c r="K6674" s="33" t="s">
        <v>124</v>
      </c>
      <c r="L6674" s="31" t="str">
        <f t="shared" ref="L6674:L6682" si="645">$L$53&amp;" "&amp;L6624</f>
        <v>Lima Puluh Satu</v>
      </c>
    </row>
    <row r="6675" spans="10:12">
      <c r="J6675" s="31">
        <v>52</v>
      </c>
      <c r="K6675" s="33" t="s">
        <v>125</v>
      </c>
      <c r="L6675" s="31" t="str">
        <f t="shared" si="645"/>
        <v>Lima Puluh Dua</v>
      </c>
    </row>
    <row r="6676" spans="10:12">
      <c r="J6676" s="31">
        <v>53</v>
      </c>
      <c r="K6676" s="33" t="s">
        <v>126</v>
      </c>
      <c r="L6676" s="31" t="str">
        <f t="shared" si="645"/>
        <v>Lima Puluh Tiga</v>
      </c>
    </row>
    <row r="6677" spans="10:12">
      <c r="J6677" s="31">
        <v>54</v>
      </c>
      <c r="K6677" s="33" t="s">
        <v>127</v>
      </c>
      <c r="L6677" s="31" t="str">
        <f t="shared" si="645"/>
        <v>Lima Puluh Empat</v>
      </c>
    </row>
    <row r="6678" spans="10:12">
      <c r="J6678" s="31">
        <v>55</v>
      </c>
      <c r="K6678" s="33" t="s">
        <v>128</v>
      </c>
      <c r="L6678" s="31" t="str">
        <f t="shared" si="645"/>
        <v>Lima Puluh Lima</v>
      </c>
    </row>
    <row r="6679" spans="10:12">
      <c r="J6679" s="31">
        <v>56</v>
      </c>
      <c r="K6679" s="33" t="s">
        <v>129</v>
      </c>
      <c r="L6679" s="31" t="str">
        <f t="shared" si="645"/>
        <v>Lima Puluh Enam</v>
      </c>
    </row>
    <row r="6680" spans="10:12">
      <c r="J6680" s="31">
        <v>57</v>
      </c>
      <c r="K6680" s="33" t="s">
        <v>130</v>
      </c>
      <c r="L6680" s="31" t="str">
        <f t="shared" si="645"/>
        <v>Lima Puluh Tujuh</v>
      </c>
    </row>
    <row r="6681" spans="10:12">
      <c r="J6681" s="31">
        <v>58</v>
      </c>
      <c r="K6681" s="33" t="s">
        <v>131</v>
      </c>
      <c r="L6681" s="31" t="str">
        <f t="shared" si="645"/>
        <v>Lima Puluh Delapan</v>
      </c>
    </row>
    <row r="6682" spans="10:12">
      <c r="J6682" s="31">
        <v>59</v>
      </c>
      <c r="K6682" s="33" t="s">
        <v>132</v>
      </c>
      <c r="L6682" s="31" t="str">
        <f t="shared" si="645"/>
        <v>Lima Puluh Sembilan</v>
      </c>
    </row>
    <row r="6683" spans="10:12">
      <c r="J6683" s="31">
        <v>60</v>
      </c>
      <c r="K6683" s="33" t="s">
        <v>133</v>
      </c>
      <c r="L6683" s="31" t="s">
        <v>134</v>
      </c>
    </row>
    <row r="6684" spans="10:12">
      <c r="J6684" s="31">
        <v>61</v>
      </c>
      <c r="K6684" s="33" t="s">
        <v>135</v>
      </c>
      <c r="L6684" s="31" t="str">
        <f t="shared" ref="L6684:L6692" si="646">$L$63&amp;" "&amp;L6624</f>
        <v>Enam Puluh Satu</v>
      </c>
    </row>
    <row r="6685" spans="10:12">
      <c r="J6685" s="31">
        <v>62</v>
      </c>
      <c r="K6685" s="33" t="s">
        <v>136</v>
      </c>
      <c r="L6685" s="31" t="str">
        <f t="shared" si="646"/>
        <v>Enam Puluh Dua</v>
      </c>
    </row>
    <row r="6686" spans="10:12">
      <c r="J6686" s="31">
        <v>63</v>
      </c>
      <c r="K6686" s="33" t="s">
        <v>137</v>
      </c>
      <c r="L6686" s="31" t="str">
        <f t="shared" si="646"/>
        <v>Enam Puluh Tiga</v>
      </c>
    </row>
    <row r="6687" spans="10:12">
      <c r="J6687" s="31">
        <v>64</v>
      </c>
      <c r="K6687" s="33" t="s">
        <v>138</v>
      </c>
      <c r="L6687" s="31" t="str">
        <f t="shared" si="646"/>
        <v>Enam Puluh Empat</v>
      </c>
    </row>
    <row r="6688" spans="10:12">
      <c r="J6688" s="31">
        <v>65</v>
      </c>
      <c r="K6688" s="33" t="s">
        <v>139</v>
      </c>
      <c r="L6688" s="31" t="str">
        <f t="shared" si="646"/>
        <v>Enam Puluh Lima</v>
      </c>
    </row>
    <row r="6689" spans="10:12">
      <c r="J6689" s="31">
        <v>66</v>
      </c>
      <c r="K6689" s="33" t="s">
        <v>140</v>
      </c>
      <c r="L6689" s="31" t="str">
        <f t="shared" si="646"/>
        <v>Enam Puluh Enam</v>
      </c>
    </row>
    <row r="6690" spans="10:12">
      <c r="J6690" s="31">
        <v>67</v>
      </c>
      <c r="K6690" s="33" t="s">
        <v>141</v>
      </c>
      <c r="L6690" s="31" t="str">
        <f t="shared" si="646"/>
        <v>Enam Puluh Tujuh</v>
      </c>
    </row>
    <row r="6691" spans="10:12">
      <c r="J6691" s="31">
        <v>68</v>
      </c>
      <c r="K6691" s="33" t="s">
        <v>142</v>
      </c>
      <c r="L6691" s="31" t="str">
        <f t="shared" si="646"/>
        <v>Enam Puluh Delapan</v>
      </c>
    </row>
    <row r="6692" spans="10:12">
      <c r="J6692" s="31">
        <v>69</v>
      </c>
      <c r="K6692" s="33" t="s">
        <v>143</v>
      </c>
      <c r="L6692" s="31" t="str">
        <f t="shared" si="646"/>
        <v>Enam Puluh Sembilan</v>
      </c>
    </row>
    <row r="6693" spans="10:12">
      <c r="J6693" s="31">
        <v>70</v>
      </c>
      <c r="K6693" s="33" t="s">
        <v>144</v>
      </c>
      <c r="L6693" s="31" t="s">
        <v>145</v>
      </c>
    </row>
    <row r="6694" spans="10:12">
      <c r="J6694" s="31">
        <v>71</v>
      </c>
      <c r="K6694" s="33" t="s">
        <v>146</v>
      </c>
      <c r="L6694" s="31" t="str">
        <f t="shared" ref="L6694:L6702" si="647">$L$73&amp;" "&amp;L6624</f>
        <v>Tujuh Puluh Satu</v>
      </c>
    </row>
    <row r="6695" spans="10:12">
      <c r="J6695" s="31">
        <v>72</v>
      </c>
      <c r="K6695" s="33" t="s">
        <v>147</v>
      </c>
      <c r="L6695" s="31" t="str">
        <f t="shared" si="647"/>
        <v>Tujuh Puluh Dua</v>
      </c>
    </row>
    <row r="6696" spans="10:12">
      <c r="J6696" s="31">
        <v>73</v>
      </c>
      <c r="K6696" s="33" t="s">
        <v>148</v>
      </c>
      <c r="L6696" s="31" t="str">
        <f t="shared" si="647"/>
        <v>Tujuh Puluh Tiga</v>
      </c>
    </row>
    <row r="6697" spans="10:12">
      <c r="J6697" s="31">
        <v>74</v>
      </c>
      <c r="K6697" s="33" t="s">
        <v>149</v>
      </c>
      <c r="L6697" s="31" t="str">
        <f t="shared" si="647"/>
        <v>Tujuh Puluh Empat</v>
      </c>
    </row>
    <row r="6698" spans="10:12">
      <c r="J6698" s="31">
        <v>75</v>
      </c>
      <c r="K6698" s="33" t="s">
        <v>150</v>
      </c>
      <c r="L6698" s="31" t="str">
        <f t="shared" si="647"/>
        <v>Tujuh Puluh Lima</v>
      </c>
    </row>
    <row r="6699" spans="10:12">
      <c r="J6699" s="31">
        <v>76</v>
      </c>
      <c r="K6699" s="33" t="s">
        <v>151</v>
      </c>
      <c r="L6699" s="31" t="str">
        <f t="shared" si="647"/>
        <v>Tujuh Puluh Enam</v>
      </c>
    </row>
    <row r="6700" spans="10:12">
      <c r="J6700" s="31">
        <v>77</v>
      </c>
      <c r="K6700" s="33" t="s">
        <v>152</v>
      </c>
      <c r="L6700" s="31" t="str">
        <f t="shared" si="647"/>
        <v>Tujuh Puluh Tujuh</v>
      </c>
    </row>
    <row r="6701" spans="10:12">
      <c r="J6701" s="31">
        <v>78</v>
      </c>
      <c r="K6701" s="33" t="s">
        <v>153</v>
      </c>
      <c r="L6701" s="31" t="str">
        <f t="shared" si="647"/>
        <v>Tujuh Puluh Delapan</v>
      </c>
    </row>
    <row r="6702" spans="10:12">
      <c r="J6702" s="31">
        <v>79</v>
      </c>
      <c r="K6702" s="33" t="s">
        <v>154</v>
      </c>
      <c r="L6702" s="31" t="str">
        <f t="shared" si="647"/>
        <v>Tujuh Puluh Sembilan</v>
      </c>
    </row>
    <row r="6703" spans="10:12">
      <c r="J6703" s="31">
        <v>80</v>
      </c>
      <c r="K6703" s="33" t="s">
        <v>155</v>
      </c>
      <c r="L6703" s="31" t="s">
        <v>156</v>
      </c>
    </row>
    <row r="6704" spans="10:12">
      <c r="J6704" s="31">
        <v>81</v>
      </c>
      <c r="K6704" s="33" t="s">
        <v>157</v>
      </c>
      <c r="L6704" s="31" t="str">
        <f t="shared" ref="L6704:L6712" si="648">$L$83&amp;" "&amp;L6624</f>
        <v>Delapan Puluh Satu</v>
      </c>
    </row>
    <row r="6705" spans="10:12">
      <c r="J6705" s="31">
        <v>82</v>
      </c>
      <c r="K6705" s="33" t="s">
        <v>158</v>
      </c>
      <c r="L6705" s="31" t="str">
        <f t="shared" si="648"/>
        <v>Delapan Puluh Dua</v>
      </c>
    </row>
    <row r="6706" spans="10:12">
      <c r="J6706" s="31">
        <v>83</v>
      </c>
      <c r="K6706" s="33" t="s">
        <v>159</v>
      </c>
      <c r="L6706" s="31" t="str">
        <f t="shared" si="648"/>
        <v>Delapan Puluh Tiga</v>
      </c>
    </row>
    <row r="6707" spans="10:12">
      <c r="J6707" s="31">
        <v>84</v>
      </c>
      <c r="K6707" s="33" t="s">
        <v>160</v>
      </c>
      <c r="L6707" s="31" t="str">
        <f t="shared" si="648"/>
        <v>Delapan Puluh Empat</v>
      </c>
    </row>
    <row r="6708" spans="10:12">
      <c r="J6708" s="31">
        <v>85</v>
      </c>
      <c r="K6708" s="33" t="s">
        <v>161</v>
      </c>
      <c r="L6708" s="31" t="str">
        <f t="shared" si="648"/>
        <v>Delapan Puluh Lima</v>
      </c>
    </row>
    <row r="6709" spans="10:12">
      <c r="J6709" s="31">
        <v>86</v>
      </c>
      <c r="K6709" s="33" t="s">
        <v>162</v>
      </c>
      <c r="L6709" s="31" t="str">
        <f t="shared" si="648"/>
        <v>Delapan Puluh Enam</v>
      </c>
    </row>
    <row r="6710" spans="10:12">
      <c r="J6710" s="31">
        <v>87</v>
      </c>
      <c r="K6710" s="33" t="s">
        <v>163</v>
      </c>
      <c r="L6710" s="31" t="str">
        <f t="shared" si="648"/>
        <v>Delapan Puluh Tujuh</v>
      </c>
    </row>
    <row r="6711" spans="10:12">
      <c r="J6711" s="31">
        <v>88</v>
      </c>
      <c r="K6711" s="33" t="s">
        <v>164</v>
      </c>
      <c r="L6711" s="31" t="str">
        <f t="shared" si="648"/>
        <v>Delapan Puluh Delapan</v>
      </c>
    </row>
    <row r="6712" spans="10:12">
      <c r="J6712" s="31">
        <v>89</v>
      </c>
      <c r="K6712" s="33" t="s">
        <v>165</v>
      </c>
      <c r="L6712" s="31" t="str">
        <f t="shared" si="648"/>
        <v>Delapan Puluh Sembilan</v>
      </c>
    </row>
    <row r="6713" spans="10:12">
      <c r="J6713" s="31">
        <v>90</v>
      </c>
      <c r="K6713" s="33" t="s">
        <v>166</v>
      </c>
      <c r="L6713" s="31" t="s">
        <v>167</v>
      </c>
    </row>
    <row r="6714" spans="10:12">
      <c r="J6714" s="31">
        <v>91</v>
      </c>
      <c r="K6714" s="33" t="s">
        <v>168</v>
      </c>
      <c r="L6714" s="31" t="str">
        <f t="shared" ref="L6714:L6722" si="649">$L$93&amp;" "&amp;L6624</f>
        <v>Sembilan Puluh Satu</v>
      </c>
    </row>
    <row r="6715" spans="10:12">
      <c r="J6715" s="31">
        <v>92</v>
      </c>
      <c r="K6715" s="33" t="s">
        <v>169</v>
      </c>
      <c r="L6715" s="31" t="str">
        <f t="shared" si="649"/>
        <v>Sembilan Puluh Dua</v>
      </c>
    </row>
    <row r="6716" spans="10:12">
      <c r="J6716" s="31">
        <v>93</v>
      </c>
      <c r="K6716" s="33" t="s">
        <v>170</v>
      </c>
      <c r="L6716" s="31" t="str">
        <f t="shared" si="649"/>
        <v>Sembilan Puluh Tiga</v>
      </c>
    </row>
    <row r="6717" spans="10:12">
      <c r="J6717" s="31">
        <v>94</v>
      </c>
      <c r="K6717" s="33" t="s">
        <v>171</v>
      </c>
      <c r="L6717" s="31" t="str">
        <f t="shared" si="649"/>
        <v>Sembilan Puluh Empat</v>
      </c>
    </row>
    <row r="6718" spans="10:12">
      <c r="J6718" s="31">
        <v>95</v>
      </c>
      <c r="K6718" s="33" t="s">
        <v>172</v>
      </c>
      <c r="L6718" s="31" t="str">
        <f t="shared" si="649"/>
        <v>Sembilan Puluh Lima</v>
      </c>
    </row>
    <row r="6719" spans="10:12">
      <c r="J6719" s="31">
        <v>96</v>
      </c>
      <c r="K6719" s="33" t="s">
        <v>173</v>
      </c>
      <c r="L6719" s="31" t="str">
        <f t="shared" si="649"/>
        <v>Sembilan Puluh Enam</v>
      </c>
    </row>
    <row r="6720" spans="10:12">
      <c r="J6720" s="31">
        <v>97</v>
      </c>
      <c r="K6720" s="33" t="s">
        <v>174</v>
      </c>
      <c r="L6720" s="31" t="str">
        <f t="shared" si="649"/>
        <v>Sembilan Puluh Tujuh</v>
      </c>
    </row>
    <row r="6721" spans="1:12">
      <c r="J6721" s="31">
        <v>98</v>
      </c>
      <c r="K6721" s="33" t="s">
        <v>175</v>
      </c>
      <c r="L6721" s="31" t="str">
        <f t="shared" si="649"/>
        <v>Sembilan Puluh Delapan</v>
      </c>
    </row>
    <row r="6722" spans="1:12">
      <c r="J6722" s="31">
        <v>99</v>
      </c>
      <c r="K6722" s="33" t="s">
        <v>176</v>
      </c>
      <c r="L6722" s="31" t="str">
        <f t="shared" si="649"/>
        <v>Sembilan Puluh Sembilan</v>
      </c>
    </row>
    <row r="6724" spans="1:12">
      <c r="A6724" s="30" t="e">
        <f>#REF!</f>
        <v>#REF!</v>
      </c>
      <c r="C6724" s="31" t="s">
        <v>263</v>
      </c>
    </row>
    <row r="6725" spans="1:12">
      <c r="A6725" s="32"/>
    </row>
    <row r="6726" spans="1:12">
      <c r="J6726" s="31">
        <v>0</v>
      </c>
      <c r="K6726" s="33" t="s">
        <v>48</v>
      </c>
      <c r="L6726" s="31" t="s">
        <v>49</v>
      </c>
    </row>
    <row r="6727" spans="1:12">
      <c r="A6727" s="34"/>
      <c r="J6727" s="31">
        <v>1</v>
      </c>
      <c r="K6727" s="33" t="s">
        <v>50</v>
      </c>
      <c r="L6727" s="31" t="s">
        <v>51</v>
      </c>
    </row>
    <row r="6728" spans="1:12">
      <c r="A6728" s="255" t="e">
        <f>TRIM(D6736&amp;E6736&amp;D6737&amp;E6737&amp;D6738&amp;E6738&amp;D6739&amp;E6739&amp;D6740&amp;E6740&amp;D6741&amp;E6741&amp;E6742&amp;D6742&amp;" Only")</f>
        <v>#REF!</v>
      </c>
      <c r="B6728" s="255"/>
      <c r="C6728" s="255"/>
      <c r="D6728" s="255"/>
      <c r="E6728" s="35"/>
      <c r="F6728" s="36"/>
      <c r="J6728" s="31">
        <v>2</v>
      </c>
      <c r="K6728" s="33" t="s">
        <v>52</v>
      </c>
      <c r="L6728" s="31" t="s">
        <v>53</v>
      </c>
    </row>
    <row r="6729" spans="1:12">
      <c r="A6729" s="37"/>
      <c r="B6729" s="37"/>
      <c r="C6729" s="37"/>
      <c r="D6729" s="37"/>
      <c r="E6729" s="35"/>
      <c r="F6729" s="36"/>
      <c r="J6729" s="31">
        <v>3</v>
      </c>
      <c r="K6729" s="33" t="s">
        <v>54</v>
      </c>
      <c r="L6729" s="31" t="s">
        <v>55</v>
      </c>
    </row>
    <row r="6730" spans="1:12">
      <c r="A6730" s="37"/>
      <c r="B6730" s="37"/>
      <c r="C6730" s="37"/>
      <c r="D6730" s="37"/>
      <c r="J6730" s="31">
        <v>4</v>
      </c>
      <c r="K6730" s="33" t="s">
        <v>56</v>
      </c>
      <c r="L6730" s="31" t="s">
        <v>57</v>
      </c>
    </row>
    <row r="6731" spans="1:12">
      <c r="A6731" s="255" t="e">
        <f>TRIM(D6746&amp;E6746&amp;D6747&amp;E6747&amp;D6748&amp;E6748&amp;D6749&amp;E6749&amp;D6750&amp;E6750&amp;D6751&amp;E6751&amp;D6752&amp;E6752&amp;" Rupiah")</f>
        <v>#REF!</v>
      </c>
      <c r="B6731" s="255"/>
      <c r="C6731" s="255"/>
      <c r="D6731" s="255"/>
      <c r="E6731" s="35"/>
      <c r="F6731" s="36"/>
      <c r="J6731" s="31">
        <v>5</v>
      </c>
      <c r="K6731" s="33" t="s">
        <v>58</v>
      </c>
      <c r="L6731" s="31" t="s">
        <v>59</v>
      </c>
    </row>
    <row r="6732" spans="1:12">
      <c r="A6732" s="35"/>
      <c r="B6732" s="35"/>
      <c r="C6732" s="35"/>
      <c r="D6732" s="35"/>
      <c r="E6732" s="35"/>
      <c r="F6732" s="36"/>
      <c r="J6732" s="31">
        <v>6</v>
      </c>
      <c r="K6732" s="33" t="s">
        <v>60</v>
      </c>
      <c r="L6732" s="31" t="s">
        <v>61</v>
      </c>
    </row>
    <row r="6733" spans="1:12">
      <c r="J6733" s="31">
        <v>7</v>
      </c>
      <c r="K6733" s="33" t="s">
        <v>62</v>
      </c>
      <c r="L6733" s="31" t="s">
        <v>63</v>
      </c>
    </row>
    <row r="6734" spans="1:12">
      <c r="J6734" s="31">
        <v>8</v>
      </c>
      <c r="K6734" s="33" t="s">
        <v>64</v>
      </c>
      <c r="L6734" s="31" t="s">
        <v>65</v>
      </c>
    </row>
    <row r="6735" spans="1:12">
      <c r="A6735" s="38" t="s">
        <v>66</v>
      </c>
      <c r="J6735" s="31">
        <v>9</v>
      </c>
      <c r="K6735" s="33" t="s">
        <v>67</v>
      </c>
      <c r="L6735" s="31" t="s">
        <v>68</v>
      </c>
    </row>
    <row r="6736" spans="1:12">
      <c r="A6736" s="31" t="s">
        <v>69</v>
      </c>
      <c r="B6736" s="39" t="e">
        <f>TRUNC(A6724/100000000)</f>
        <v>#REF!</v>
      </c>
      <c r="C6736" s="31" t="e">
        <f>B6736*100000000</f>
        <v>#REF!</v>
      </c>
      <c r="D6736" s="31" t="e">
        <f t="shared" ref="D6736:D6742" si="650">IF(B6736&lt;1,"",VLOOKUP(B6736,$J$3:$K$102,2))</f>
        <v>#REF!</v>
      </c>
      <c r="E6736" s="31" t="e">
        <f>IF(B6736&lt;1,"",IF(B6736&gt;1," Hundreds "," Hundred "))</f>
        <v>#REF!</v>
      </c>
      <c r="J6736" s="31">
        <v>10</v>
      </c>
      <c r="K6736" s="33" t="s">
        <v>70</v>
      </c>
      <c r="L6736" s="31" t="s">
        <v>71</v>
      </c>
    </row>
    <row r="6737" spans="1:12">
      <c r="A6737" s="31" t="s">
        <v>72</v>
      </c>
      <c r="B6737" s="39" t="e">
        <f>TRUNC((A6724-C6736)/1000000)</f>
        <v>#REF!</v>
      </c>
      <c r="C6737" s="31" t="e">
        <f>B6737*1000000</f>
        <v>#REF!</v>
      </c>
      <c r="D6737" s="31" t="e">
        <f t="shared" si="650"/>
        <v>#REF!</v>
      </c>
      <c r="E6737" s="31" t="e">
        <f>IF(B6736+B6737=0,"",IF(B6737=1," Million "," Millions "))</f>
        <v>#REF!</v>
      </c>
      <c r="J6737" s="31">
        <v>11</v>
      </c>
      <c r="K6737" s="33" t="s">
        <v>73</v>
      </c>
      <c r="L6737" s="31" t="s">
        <v>74</v>
      </c>
    </row>
    <row r="6738" spans="1:12">
      <c r="A6738" s="31" t="s">
        <v>75</v>
      </c>
      <c r="B6738" s="39" t="e">
        <f>TRUNC((A6724-SUM(C6736:C6737))/100000)</f>
        <v>#REF!</v>
      </c>
      <c r="C6738" s="31" t="e">
        <f>B6738*100000</f>
        <v>#REF!</v>
      </c>
      <c r="D6738" s="31" t="e">
        <f t="shared" si="650"/>
        <v>#REF!</v>
      </c>
      <c r="E6738" s="31" t="e">
        <f>IF(B6738&lt;1,"",IF(B6738&gt;1," Hundreds "," Hundred "))</f>
        <v>#REF!</v>
      </c>
      <c r="J6738" s="31">
        <v>12</v>
      </c>
      <c r="K6738" s="33" t="s">
        <v>76</v>
      </c>
      <c r="L6738" s="31" t="str">
        <f t="shared" ref="L6738:L6745" si="651">L6728&amp;" Belas"</f>
        <v>Dua Belas</v>
      </c>
    </row>
    <row r="6739" spans="1:12">
      <c r="A6739" s="33" t="s">
        <v>77</v>
      </c>
      <c r="B6739" s="40" t="e">
        <f>TRUNC((A6724-SUM(C6736:C6738))/1000)</f>
        <v>#REF!</v>
      </c>
      <c r="C6739" s="31" t="e">
        <f>B6739*1000</f>
        <v>#REF!</v>
      </c>
      <c r="D6739" s="31" t="e">
        <f t="shared" si="650"/>
        <v>#REF!</v>
      </c>
      <c r="E6739" s="31" t="e">
        <f>IF(B6738+B6739=0,"",IF(B6739=1," Thousand "," Thousands "))</f>
        <v>#REF!</v>
      </c>
      <c r="J6739" s="31">
        <v>13</v>
      </c>
      <c r="K6739" s="33" t="s">
        <v>78</v>
      </c>
      <c r="L6739" s="31" t="str">
        <f t="shared" si="651"/>
        <v>Tiga Belas</v>
      </c>
    </row>
    <row r="6740" spans="1:12">
      <c r="A6740" s="33" t="s">
        <v>79</v>
      </c>
      <c r="B6740" s="40" t="e">
        <f>TRUNC((A6724-SUM(C6736:C6739))/100)</f>
        <v>#REF!</v>
      </c>
      <c r="C6740" s="31" t="e">
        <f>B6740*100</f>
        <v>#REF!</v>
      </c>
      <c r="D6740" s="31" t="e">
        <f t="shared" si="650"/>
        <v>#REF!</v>
      </c>
      <c r="E6740" s="31" t="e">
        <f>IF(B6740&lt;1,"",IF(B6740&gt;1," Hundreds "," Hundred "))</f>
        <v>#REF!</v>
      </c>
      <c r="J6740" s="31">
        <v>14</v>
      </c>
      <c r="K6740" s="33" t="s">
        <v>80</v>
      </c>
      <c r="L6740" s="31" t="str">
        <f t="shared" si="651"/>
        <v>Empat Belas</v>
      </c>
    </row>
    <row r="6741" spans="1:12">
      <c r="A6741" s="33" t="s">
        <v>81</v>
      </c>
      <c r="B6741" s="41" t="e">
        <f>TRUNC((A6724-SUM(C6736:C6740)))</f>
        <v>#REF!</v>
      </c>
      <c r="C6741" s="42" t="e">
        <f>B6741</f>
        <v>#REF!</v>
      </c>
      <c r="D6741" s="31" t="e">
        <f t="shared" si="650"/>
        <v>#REF!</v>
      </c>
      <c r="E6741" s="31" t="e">
        <f>IF(SUM(C6736:C6741)&lt;1,"",IF(B6742&lt;1,""," And "))</f>
        <v>#REF!</v>
      </c>
      <c r="J6741" s="31">
        <v>15</v>
      </c>
      <c r="K6741" s="33" t="s">
        <v>82</v>
      </c>
      <c r="L6741" s="31" t="str">
        <f t="shared" si="651"/>
        <v>Lima Belas</v>
      </c>
    </row>
    <row r="6742" spans="1:12">
      <c r="A6742" s="33" t="s">
        <v>83</v>
      </c>
      <c r="B6742" s="40" t="e">
        <f>ROUND(A6724-SUM(C6736:C6741),2)*100</f>
        <v>#REF!</v>
      </c>
      <c r="D6742" s="43" t="e">
        <f t="shared" si="650"/>
        <v>#REF!</v>
      </c>
      <c r="E6742" s="31" t="e">
        <f>IF(B6742&lt;1,"",IF(B6742=1," Cent "," Cents "))</f>
        <v>#REF!</v>
      </c>
      <c r="J6742" s="31">
        <v>16</v>
      </c>
      <c r="K6742" s="33" t="s">
        <v>84</v>
      </c>
      <c r="L6742" s="31" t="str">
        <f t="shared" si="651"/>
        <v>Enam Belas</v>
      </c>
    </row>
    <row r="6743" spans="1:12">
      <c r="J6743" s="31">
        <v>17</v>
      </c>
      <c r="K6743" s="33" t="s">
        <v>85</v>
      </c>
      <c r="L6743" s="31" t="str">
        <f t="shared" si="651"/>
        <v>Tujuh Belas</v>
      </c>
    </row>
    <row r="6744" spans="1:12">
      <c r="A6744" s="44"/>
      <c r="J6744" s="31">
        <v>18</v>
      </c>
      <c r="K6744" s="33" t="s">
        <v>86</v>
      </c>
      <c r="L6744" s="31" t="str">
        <f t="shared" si="651"/>
        <v>Delapan Belas</v>
      </c>
    </row>
    <row r="6745" spans="1:12">
      <c r="A6745" s="38" t="s">
        <v>87</v>
      </c>
      <c r="J6745" s="31">
        <v>19</v>
      </c>
      <c r="K6745" s="33" t="s">
        <v>88</v>
      </c>
      <c r="L6745" s="31" t="str">
        <f t="shared" si="651"/>
        <v>Sembilan Belas</v>
      </c>
    </row>
    <row r="6746" spans="1:12">
      <c r="A6746" s="31" t="s">
        <v>69</v>
      </c>
      <c r="B6746" s="39" t="e">
        <f>TRUNC(A6724/100000000)</f>
        <v>#REF!</v>
      </c>
      <c r="C6746" s="31" t="e">
        <f>B6746*100000000</f>
        <v>#REF!</v>
      </c>
      <c r="D6746" s="31" t="e">
        <f>IF(B6746&lt;1,"",IF(B6746=1,"",VLOOKUP(B6746,$J$3:$L$102,3)))</f>
        <v>#REF!</v>
      </c>
      <c r="E6746" s="31" t="e">
        <f>IF(B6746&lt;1,"",IF(B6746=1,"Seratus "," Ratus "))</f>
        <v>#REF!</v>
      </c>
      <c r="J6746" s="31">
        <v>20</v>
      </c>
      <c r="K6746" s="33" t="s">
        <v>89</v>
      </c>
      <c r="L6746" s="31" t="s">
        <v>90</v>
      </c>
    </row>
    <row r="6747" spans="1:12">
      <c r="A6747" s="31" t="s">
        <v>72</v>
      </c>
      <c r="B6747" s="39" t="e">
        <f>TRUNC((A6724-C6746)/1000000)</f>
        <v>#REF!</v>
      </c>
      <c r="C6747" s="31" t="e">
        <f>B6747*1000000</f>
        <v>#REF!</v>
      </c>
      <c r="D6747" s="31" t="e">
        <f>IF(B6747&lt;1,"",VLOOKUP(B6747,$J$3:$L$102,3))</f>
        <v>#REF!</v>
      </c>
      <c r="E6747" s="31" t="e">
        <f>IF(B6746+B6747=0,""," Juta ")</f>
        <v>#REF!</v>
      </c>
      <c r="J6747" s="31">
        <v>21</v>
      </c>
      <c r="K6747" s="33" t="s">
        <v>91</v>
      </c>
      <c r="L6747" s="31" t="str">
        <f t="shared" ref="L6747:L6755" si="652">$L$23&amp;" "&amp;L6727</f>
        <v>Dua Puluh Satu</v>
      </c>
    </row>
    <row r="6748" spans="1:12">
      <c r="A6748" s="31" t="s">
        <v>75</v>
      </c>
      <c r="B6748" s="39" t="e">
        <f>TRUNC((A6724-SUM(C6746:C6747))/100000)</f>
        <v>#REF!</v>
      </c>
      <c r="C6748" s="31" t="e">
        <f>B6748*100000</f>
        <v>#REF!</v>
      </c>
      <c r="D6748" s="31" t="e">
        <f>IF(B6748&lt;1,"",IF(B6748=1,"",VLOOKUP(B6748,$J$3:$L$102,3)))</f>
        <v>#REF!</v>
      </c>
      <c r="E6748" s="31" t="e">
        <f>IF(B6748&lt;1,"",IF(B6748=1," Seratus "," Ratus "))</f>
        <v>#REF!</v>
      </c>
      <c r="J6748" s="31">
        <v>22</v>
      </c>
      <c r="K6748" s="33" t="s">
        <v>92</v>
      </c>
      <c r="L6748" s="31" t="str">
        <f t="shared" si="652"/>
        <v>Dua Puluh Dua</v>
      </c>
    </row>
    <row r="6749" spans="1:12">
      <c r="A6749" s="33" t="s">
        <v>77</v>
      </c>
      <c r="B6749" s="40" t="e">
        <f>TRUNC((A6724-SUM(C6746:C6748))/1000)</f>
        <v>#REF!</v>
      </c>
      <c r="C6749" s="31" t="e">
        <f>B6749*1000</f>
        <v>#REF!</v>
      </c>
      <c r="D6749" s="31" t="e">
        <f>IF(B6749&lt;1,"",IF(B6749=1,"",VLOOKUP(B6749,$J$3:$L$102,3)))</f>
        <v>#REF!</v>
      </c>
      <c r="E6749" s="31" t="e">
        <f>IF(B6748+B6749&lt;1,"",IF(B6749=1," Seribu "," Ribu "))</f>
        <v>#REF!</v>
      </c>
      <c r="J6749" s="31">
        <v>23</v>
      </c>
      <c r="K6749" s="33" t="s">
        <v>93</v>
      </c>
      <c r="L6749" s="31" t="str">
        <f t="shared" si="652"/>
        <v>Dua Puluh Tiga</v>
      </c>
    </row>
    <row r="6750" spans="1:12">
      <c r="A6750" s="33" t="s">
        <v>79</v>
      </c>
      <c r="B6750" s="40" t="e">
        <f>TRUNC((A6724-SUM(C6746:C6749))/100)</f>
        <v>#REF!</v>
      </c>
      <c r="C6750" s="31" t="e">
        <f>B6750*100</f>
        <v>#REF!</v>
      </c>
      <c r="D6750" s="31" t="e">
        <f>IF(B6750&lt;1,"",IF(B6750=1,"",VLOOKUP(B6750,$J$3:$L$102,3)))</f>
        <v>#REF!</v>
      </c>
      <c r="E6750" s="31" t="e">
        <f>IF(B6750&lt;1,"",IF(B6750=1," Seratus "," Ratus "))</f>
        <v>#REF!</v>
      </c>
      <c r="J6750" s="31">
        <v>24</v>
      </c>
      <c r="K6750" s="33" t="s">
        <v>94</v>
      </c>
      <c r="L6750" s="31" t="str">
        <f t="shared" si="652"/>
        <v>Dua Puluh Empat</v>
      </c>
    </row>
    <row r="6751" spans="1:12">
      <c r="A6751" s="33" t="s">
        <v>81</v>
      </c>
      <c r="B6751" s="41" t="e">
        <f>TRUNC((A6724-SUM(C6746:C6750)))</f>
        <v>#REF!</v>
      </c>
      <c r="C6751" s="42" t="e">
        <f>B6751</f>
        <v>#REF!</v>
      </c>
      <c r="D6751" s="31" t="e">
        <f>IF(B6751&lt;1,"",VLOOKUP(B6751,$J$3:$L$102,3))</f>
        <v>#REF!</v>
      </c>
      <c r="E6751" s="31" t="e">
        <f>IF(SUM(C6746:C6751)&lt;1,"",IF(B6752&lt;1,""," Dan "))</f>
        <v>#REF!</v>
      </c>
      <c r="J6751" s="31">
        <v>25</v>
      </c>
      <c r="K6751" s="33" t="s">
        <v>95</v>
      </c>
      <c r="L6751" s="31" t="str">
        <f t="shared" si="652"/>
        <v>Dua Puluh Lima</v>
      </c>
    </row>
    <row r="6752" spans="1:12">
      <c r="A6752" s="33" t="s">
        <v>83</v>
      </c>
      <c r="B6752" s="40" t="e">
        <f>ROUND(A6724-SUM(C6746:C6751),2)*100</f>
        <v>#REF!</v>
      </c>
      <c r="D6752" s="31" t="e">
        <f>IF(B6752&lt;1,"",VLOOKUP(B6752,$J$3:$L$102,3))</f>
        <v>#REF!</v>
      </c>
      <c r="E6752" s="31" t="e">
        <f>IF(B6752&lt;1,""," Sen ")</f>
        <v>#REF!</v>
      </c>
      <c r="J6752" s="31">
        <v>26</v>
      </c>
      <c r="K6752" s="33" t="s">
        <v>96</v>
      </c>
      <c r="L6752" s="31" t="str">
        <f t="shared" si="652"/>
        <v>Dua Puluh Enam</v>
      </c>
    </row>
    <row r="6753" spans="1:12">
      <c r="J6753" s="31">
        <v>27</v>
      </c>
      <c r="K6753" s="33" t="s">
        <v>97</v>
      </c>
      <c r="L6753" s="31" t="str">
        <f t="shared" si="652"/>
        <v>Dua Puluh Tujuh</v>
      </c>
    </row>
    <row r="6754" spans="1:12">
      <c r="J6754" s="31">
        <v>28</v>
      </c>
      <c r="K6754" s="33" t="s">
        <v>98</v>
      </c>
      <c r="L6754" s="31" t="str">
        <f t="shared" si="652"/>
        <v>Dua Puluh Delapan</v>
      </c>
    </row>
    <row r="6755" spans="1:12">
      <c r="J6755" s="31">
        <v>29</v>
      </c>
      <c r="K6755" s="33" t="s">
        <v>99</v>
      </c>
      <c r="L6755" s="31" t="str">
        <f t="shared" si="652"/>
        <v>Dua Puluh Sembilan</v>
      </c>
    </row>
    <row r="6756" spans="1:12">
      <c r="J6756" s="31">
        <v>30</v>
      </c>
      <c r="K6756" s="33" t="s">
        <v>100</v>
      </c>
      <c r="L6756" s="31" t="s">
        <v>101</v>
      </c>
    </row>
    <row r="6757" spans="1:12">
      <c r="J6757" s="31">
        <v>31</v>
      </c>
      <c r="K6757" s="33" t="s">
        <v>102</v>
      </c>
      <c r="L6757" s="31" t="str">
        <f t="shared" ref="L6757:L6765" si="653">$L$33&amp;" "&amp;L6727</f>
        <v>Tiga Puluh Satu</v>
      </c>
    </row>
    <row r="6758" spans="1:12">
      <c r="J6758" s="31">
        <v>32</v>
      </c>
      <c r="K6758" s="33" t="s">
        <v>103</v>
      </c>
      <c r="L6758" s="31" t="str">
        <f t="shared" si="653"/>
        <v>Tiga Puluh Dua</v>
      </c>
    </row>
    <row r="6759" spans="1:12">
      <c r="J6759" s="31">
        <v>33</v>
      </c>
      <c r="K6759" s="33" t="s">
        <v>104</v>
      </c>
      <c r="L6759" s="31" t="str">
        <f t="shared" si="653"/>
        <v>Tiga Puluh Tiga</v>
      </c>
    </row>
    <row r="6760" spans="1:12">
      <c r="J6760" s="31">
        <v>34</v>
      </c>
      <c r="K6760" s="33" t="s">
        <v>105</v>
      </c>
      <c r="L6760" s="31" t="str">
        <f t="shared" si="653"/>
        <v>Tiga Puluh Empat</v>
      </c>
    </row>
    <row r="6761" spans="1:12">
      <c r="J6761" s="31">
        <v>35</v>
      </c>
      <c r="K6761" s="33" t="s">
        <v>106</v>
      </c>
      <c r="L6761" s="31" t="str">
        <f t="shared" si="653"/>
        <v>Tiga Puluh Lima</v>
      </c>
    </row>
    <row r="6762" spans="1:12">
      <c r="J6762" s="31">
        <v>36</v>
      </c>
      <c r="K6762" s="33" t="s">
        <v>107</v>
      </c>
      <c r="L6762" s="31" t="str">
        <f t="shared" si="653"/>
        <v>Tiga Puluh Enam</v>
      </c>
    </row>
    <row r="6763" spans="1:12">
      <c r="J6763" s="31">
        <v>37</v>
      </c>
      <c r="K6763" s="33" t="s">
        <v>108</v>
      </c>
      <c r="L6763" s="31" t="str">
        <f t="shared" si="653"/>
        <v>Tiga Puluh Tujuh</v>
      </c>
    </row>
    <row r="6764" spans="1:12">
      <c r="J6764" s="31">
        <v>38</v>
      </c>
      <c r="K6764" s="33" t="s">
        <v>109</v>
      </c>
      <c r="L6764" s="31" t="str">
        <f t="shared" si="653"/>
        <v>Tiga Puluh Delapan</v>
      </c>
    </row>
    <row r="6765" spans="1:12">
      <c r="J6765" s="31">
        <v>39</v>
      </c>
      <c r="K6765" s="33" t="s">
        <v>110</v>
      </c>
      <c r="L6765" s="31" t="str">
        <f t="shared" si="653"/>
        <v>Tiga Puluh Sembilan</v>
      </c>
    </row>
    <row r="6766" spans="1:12">
      <c r="B6766" s="35"/>
      <c r="C6766" s="35"/>
      <c r="D6766" s="35"/>
      <c r="J6766" s="31">
        <v>40</v>
      </c>
      <c r="K6766" s="33" t="s">
        <v>111</v>
      </c>
      <c r="L6766" s="31" t="s">
        <v>112</v>
      </c>
    </row>
    <row r="6767" spans="1:12">
      <c r="A6767" s="35"/>
      <c r="B6767" s="35"/>
      <c r="C6767" s="35"/>
      <c r="D6767" s="35"/>
      <c r="J6767" s="31">
        <v>41</v>
      </c>
      <c r="K6767" s="33" t="s">
        <v>113</v>
      </c>
      <c r="L6767" s="31" t="str">
        <f t="shared" ref="L6767:L6775" si="654">$L$43&amp;" "&amp;L6727</f>
        <v>Empat Puluh Satu</v>
      </c>
    </row>
    <row r="6768" spans="1:12">
      <c r="J6768" s="31">
        <v>42</v>
      </c>
      <c r="K6768" s="33" t="s">
        <v>114</v>
      </c>
      <c r="L6768" s="31" t="str">
        <f t="shared" si="654"/>
        <v>Empat Puluh Dua</v>
      </c>
    </row>
    <row r="6769" spans="1:12">
      <c r="A6769" s="38"/>
      <c r="J6769" s="31">
        <v>43</v>
      </c>
      <c r="K6769" s="33" t="s">
        <v>115</v>
      </c>
      <c r="L6769" s="31" t="str">
        <f t="shared" si="654"/>
        <v>Empat Puluh Tiga</v>
      </c>
    </row>
    <row r="6770" spans="1:12">
      <c r="J6770" s="31">
        <v>44</v>
      </c>
      <c r="K6770" s="33" t="s">
        <v>116</v>
      </c>
      <c r="L6770" s="31" t="str">
        <f t="shared" si="654"/>
        <v>Empat Puluh Empat</v>
      </c>
    </row>
    <row r="6771" spans="1:12">
      <c r="J6771" s="31">
        <v>45</v>
      </c>
      <c r="K6771" s="33" t="s">
        <v>117</v>
      </c>
      <c r="L6771" s="31" t="str">
        <f t="shared" si="654"/>
        <v>Empat Puluh Lima</v>
      </c>
    </row>
    <row r="6772" spans="1:12">
      <c r="J6772" s="31">
        <v>46</v>
      </c>
      <c r="K6772" s="33" t="s">
        <v>118</v>
      </c>
      <c r="L6772" s="31" t="str">
        <f t="shared" si="654"/>
        <v>Empat Puluh Enam</v>
      </c>
    </row>
    <row r="6773" spans="1:12">
      <c r="J6773" s="31">
        <v>47</v>
      </c>
      <c r="K6773" s="33" t="s">
        <v>119</v>
      </c>
      <c r="L6773" s="31" t="str">
        <f t="shared" si="654"/>
        <v>Empat Puluh Tujuh</v>
      </c>
    </row>
    <row r="6774" spans="1:12">
      <c r="J6774" s="31">
        <v>48</v>
      </c>
      <c r="K6774" s="33" t="s">
        <v>120</v>
      </c>
      <c r="L6774" s="31" t="str">
        <f t="shared" si="654"/>
        <v>Empat Puluh Delapan</v>
      </c>
    </row>
    <row r="6775" spans="1:12">
      <c r="J6775" s="31">
        <v>49</v>
      </c>
      <c r="K6775" s="33" t="s">
        <v>121</v>
      </c>
      <c r="L6775" s="31" t="str">
        <f t="shared" si="654"/>
        <v>Empat Puluh Sembilan</v>
      </c>
    </row>
    <row r="6776" spans="1:12">
      <c r="J6776" s="31">
        <v>50</v>
      </c>
      <c r="K6776" s="33" t="s">
        <v>122</v>
      </c>
      <c r="L6776" s="31" t="s">
        <v>123</v>
      </c>
    </row>
    <row r="6777" spans="1:12">
      <c r="J6777" s="31">
        <v>51</v>
      </c>
      <c r="K6777" s="33" t="s">
        <v>124</v>
      </c>
      <c r="L6777" s="31" t="str">
        <f t="shared" ref="L6777:L6785" si="655">$L$53&amp;" "&amp;L6727</f>
        <v>Lima Puluh Satu</v>
      </c>
    </row>
    <row r="6778" spans="1:12">
      <c r="J6778" s="31">
        <v>52</v>
      </c>
      <c r="K6778" s="33" t="s">
        <v>125</v>
      </c>
      <c r="L6778" s="31" t="str">
        <f t="shared" si="655"/>
        <v>Lima Puluh Dua</v>
      </c>
    </row>
    <row r="6779" spans="1:12">
      <c r="J6779" s="31">
        <v>53</v>
      </c>
      <c r="K6779" s="33" t="s">
        <v>126</v>
      </c>
      <c r="L6779" s="31" t="str">
        <f t="shared" si="655"/>
        <v>Lima Puluh Tiga</v>
      </c>
    </row>
    <row r="6780" spans="1:12">
      <c r="J6780" s="31">
        <v>54</v>
      </c>
      <c r="K6780" s="33" t="s">
        <v>127</v>
      </c>
      <c r="L6780" s="31" t="str">
        <f t="shared" si="655"/>
        <v>Lima Puluh Empat</v>
      </c>
    </row>
    <row r="6781" spans="1:12">
      <c r="J6781" s="31">
        <v>55</v>
      </c>
      <c r="K6781" s="33" t="s">
        <v>128</v>
      </c>
      <c r="L6781" s="31" t="str">
        <f t="shared" si="655"/>
        <v>Lima Puluh Lima</v>
      </c>
    </row>
    <row r="6782" spans="1:12">
      <c r="J6782" s="31">
        <v>56</v>
      </c>
      <c r="K6782" s="33" t="s">
        <v>129</v>
      </c>
      <c r="L6782" s="31" t="str">
        <f t="shared" si="655"/>
        <v>Lima Puluh Enam</v>
      </c>
    </row>
    <row r="6783" spans="1:12">
      <c r="J6783" s="31">
        <v>57</v>
      </c>
      <c r="K6783" s="33" t="s">
        <v>130</v>
      </c>
      <c r="L6783" s="31" t="str">
        <f t="shared" si="655"/>
        <v>Lima Puluh Tujuh</v>
      </c>
    </row>
    <row r="6784" spans="1:12">
      <c r="J6784" s="31">
        <v>58</v>
      </c>
      <c r="K6784" s="33" t="s">
        <v>131</v>
      </c>
      <c r="L6784" s="31" t="str">
        <f t="shared" si="655"/>
        <v>Lima Puluh Delapan</v>
      </c>
    </row>
    <row r="6785" spans="10:12">
      <c r="J6785" s="31">
        <v>59</v>
      </c>
      <c r="K6785" s="33" t="s">
        <v>132</v>
      </c>
      <c r="L6785" s="31" t="str">
        <f t="shared" si="655"/>
        <v>Lima Puluh Sembilan</v>
      </c>
    </row>
    <row r="6786" spans="10:12">
      <c r="J6786" s="31">
        <v>60</v>
      </c>
      <c r="K6786" s="33" t="s">
        <v>133</v>
      </c>
      <c r="L6786" s="31" t="s">
        <v>134</v>
      </c>
    </row>
    <row r="6787" spans="10:12">
      <c r="J6787" s="31">
        <v>61</v>
      </c>
      <c r="K6787" s="33" t="s">
        <v>135</v>
      </c>
      <c r="L6787" s="31" t="str">
        <f t="shared" ref="L6787:L6795" si="656">$L$63&amp;" "&amp;L6727</f>
        <v>Enam Puluh Satu</v>
      </c>
    </row>
    <row r="6788" spans="10:12">
      <c r="J6788" s="31">
        <v>62</v>
      </c>
      <c r="K6788" s="33" t="s">
        <v>136</v>
      </c>
      <c r="L6788" s="31" t="str">
        <f t="shared" si="656"/>
        <v>Enam Puluh Dua</v>
      </c>
    </row>
    <row r="6789" spans="10:12">
      <c r="J6789" s="31">
        <v>63</v>
      </c>
      <c r="K6789" s="33" t="s">
        <v>137</v>
      </c>
      <c r="L6789" s="31" t="str">
        <f t="shared" si="656"/>
        <v>Enam Puluh Tiga</v>
      </c>
    </row>
    <row r="6790" spans="10:12">
      <c r="J6790" s="31">
        <v>64</v>
      </c>
      <c r="K6790" s="33" t="s">
        <v>138</v>
      </c>
      <c r="L6790" s="31" t="str">
        <f t="shared" si="656"/>
        <v>Enam Puluh Empat</v>
      </c>
    </row>
    <row r="6791" spans="10:12">
      <c r="J6791" s="31">
        <v>65</v>
      </c>
      <c r="K6791" s="33" t="s">
        <v>139</v>
      </c>
      <c r="L6791" s="31" t="str">
        <f t="shared" si="656"/>
        <v>Enam Puluh Lima</v>
      </c>
    </row>
    <row r="6792" spans="10:12">
      <c r="J6792" s="31">
        <v>66</v>
      </c>
      <c r="K6792" s="33" t="s">
        <v>140</v>
      </c>
      <c r="L6792" s="31" t="str">
        <f t="shared" si="656"/>
        <v>Enam Puluh Enam</v>
      </c>
    </row>
    <row r="6793" spans="10:12">
      <c r="J6793" s="31">
        <v>67</v>
      </c>
      <c r="K6793" s="33" t="s">
        <v>141</v>
      </c>
      <c r="L6793" s="31" t="str">
        <f t="shared" si="656"/>
        <v>Enam Puluh Tujuh</v>
      </c>
    </row>
    <row r="6794" spans="10:12">
      <c r="J6794" s="31">
        <v>68</v>
      </c>
      <c r="K6794" s="33" t="s">
        <v>142</v>
      </c>
      <c r="L6794" s="31" t="str">
        <f t="shared" si="656"/>
        <v>Enam Puluh Delapan</v>
      </c>
    </row>
    <row r="6795" spans="10:12">
      <c r="J6795" s="31">
        <v>69</v>
      </c>
      <c r="K6795" s="33" t="s">
        <v>143</v>
      </c>
      <c r="L6795" s="31" t="str">
        <f t="shared" si="656"/>
        <v>Enam Puluh Sembilan</v>
      </c>
    </row>
    <row r="6796" spans="10:12">
      <c r="J6796" s="31">
        <v>70</v>
      </c>
      <c r="K6796" s="33" t="s">
        <v>144</v>
      </c>
      <c r="L6796" s="31" t="s">
        <v>145</v>
      </c>
    </row>
    <row r="6797" spans="10:12">
      <c r="J6797" s="31">
        <v>71</v>
      </c>
      <c r="K6797" s="33" t="s">
        <v>146</v>
      </c>
      <c r="L6797" s="31" t="str">
        <f t="shared" ref="L6797:L6805" si="657">$L$73&amp;" "&amp;L6727</f>
        <v>Tujuh Puluh Satu</v>
      </c>
    </row>
    <row r="6798" spans="10:12">
      <c r="J6798" s="31">
        <v>72</v>
      </c>
      <c r="K6798" s="33" t="s">
        <v>147</v>
      </c>
      <c r="L6798" s="31" t="str">
        <f t="shared" si="657"/>
        <v>Tujuh Puluh Dua</v>
      </c>
    </row>
    <row r="6799" spans="10:12">
      <c r="J6799" s="31">
        <v>73</v>
      </c>
      <c r="K6799" s="33" t="s">
        <v>148</v>
      </c>
      <c r="L6799" s="31" t="str">
        <f t="shared" si="657"/>
        <v>Tujuh Puluh Tiga</v>
      </c>
    </row>
    <row r="6800" spans="10:12">
      <c r="J6800" s="31">
        <v>74</v>
      </c>
      <c r="K6800" s="33" t="s">
        <v>149</v>
      </c>
      <c r="L6800" s="31" t="str">
        <f t="shared" si="657"/>
        <v>Tujuh Puluh Empat</v>
      </c>
    </row>
    <row r="6801" spans="10:12">
      <c r="J6801" s="31">
        <v>75</v>
      </c>
      <c r="K6801" s="33" t="s">
        <v>150</v>
      </c>
      <c r="L6801" s="31" t="str">
        <f t="shared" si="657"/>
        <v>Tujuh Puluh Lima</v>
      </c>
    </row>
    <row r="6802" spans="10:12">
      <c r="J6802" s="31">
        <v>76</v>
      </c>
      <c r="K6802" s="33" t="s">
        <v>151</v>
      </c>
      <c r="L6802" s="31" t="str">
        <f t="shared" si="657"/>
        <v>Tujuh Puluh Enam</v>
      </c>
    </row>
    <row r="6803" spans="10:12">
      <c r="J6803" s="31">
        <v>77</v>
      </c>
      <c r="K6803" s="33" t="s">
        <v>152</v>
      </c>
      <c r="L6803" s="31" t="str">
        <f t="shared" si="657"/>
        <v>Tujuh Puluh Tujuh</v>
      </c>
    </row>
    <row r="6804" spans="10:12">
      <c r="J6804" s="31">
        <v>78</v>
      </c>
      <c r="K6804" s="33" t="s">
        <v>153</v>
      </c>
      <c r="L6804" s="31" t="str">
        <f t="shared" si="657"/>
        <v>Tujuh Puluh Delapan</v>
      </c>
    </row>
    <row r="6805" spans="10:12">
      <c r="J6805" s="31">
        <v>79</v>
      </c>
      <c r="K6805" s="33" t="s">
        <v>154</v>
      </c>
      <c r="L6805" s="31" t="str">
        <f t="shared" si="657"/>
        <v>Tujuh Puluh Sembilan</v>
      </c>
    </row>
    <row r="6806" spans="10:12">
      <c r="J6806" s="31">
        <v>80</v>
      </c>
      <c r="K6806" s="33" t="s">
        <v>155</v>
      </c>
      <c r="L6806" s="31" t="s">
        <v>156</v>
      </c>
    </row>
    <row r="6807" spans="10:12">
      <c r="J6807" s="31">
        <v>81</v>
      </c>
      <c r="K6807" s="33" t="s">
        <v>157</v>
      </c>
      <c r="L6807" s="31" t="str">
        <f t="shared" ref="L6807:L6815" si="658">$L$83&amp;" "&amp;L6727</f>
        <v>Delapan Puluh Satu</v>
      </c>
    </row>
    <row r="6808" spans="10:12">
      <c r="J6808" s="31">
        <v>82</v>
      </c>
      <c r="K6808" s="33" t="s">
        <v>158</v>
      </c>
      <c r="L6808" s="31" t="str">
        <f t="shared" si="658"/>
        <v>Delapan Puluh Dua</v>
      </c>
    </row>
    <row r="6809" spans="10:12">
      <c r="J6809" s="31">
        <v>83</v>
      </c>
      <c r="K6809" s="33" t="s">
        <v>159</v>
      </c>
      <c r="L6809" s="31" t="str">
        <f t="shared" si="658"/>
        <v>Delapan Puluh Tiga</v>
      </c>
    </row>
    <row r="6810" spans="10:12">
      <c r="J6810" s="31">
        <v>84</v>
      </c>
      <c r="K6810" s="33" t="s">
        <v>160</v>
      </c>
      <c r="L6810" s="31" t="str">
        <f t="shared" si="658"/>
        <v>Delapan Puluh Empat</v>
      </c>
    </row>
    <row r="6811" spans="10:12">
      <c r="J6811" s="31">
        <v>85</v>
      </c>
      <c r="K6811" s="33" t="s">
        <v>161</v>
      </c>
      <c r="L6811" s="31" t="str">
        <f t="shared" si="658"/>
        <v>Delapan Puluh Lima</v>
      </c>
    </row>
    <row r="6812" spans="10:12">
      <c r="J6812" s="31">
        <v>86</v>
      </c>
      <c r="K6812" s="33" t="s">
        <v>162</v>
      </c>
      <c r="L6812" s="31" t="str">
        <f t="shared" si="658"/>
        <v>Delapan Puluh Enam</v>
      </c>
    </row>
    <row r="6813" spans="10:12">
      <c r="J6813" s="31">
        <v>87</v>
      </c>
      <c r="K6813" s="33" t="s">
        <v>163</v>
      </c>
      <c r="L6813" s="31" t="str">
        <f t="shared" si="658"/>
        <v>Delapan Puluh Tujuh</v>
      </c>
    </row>
    <row r="6814" spans="10:12">
      <c r="J6814" s="31">
        <v>88</v>
      </c>
      <c r="K6814" s="33" t="s">
        <v>164</v>
      </c>
      <c r="L6814" s="31" t="str">
        <f t="shared" si="658"/>
        <v>Delapan Puluh Delapan</v>
      </c>
    </row>
    <row r="6815" spans="10:12">
      <c r="J6815" s="31">
        <v>89</v>
      </c>
      <c r="K6815" s="33" t="s">
        <v>165</v>
      </c>
      <c r="L6815" s="31" t="str">
        <f t="shared" si="658"/>
        <v>Delapan Puluh Sembilan</v>
      </c>
    </row>
    <row r="6816" spans="10:12">
      <c r="J6816" s="31">
        <v>90</v>
      </c>
      <c r="K6816" s="33" t="s">
        <v>166</v>
      </c>
      <c r="L6816" s="31" t="s">
        <v>167</v>
      </c>
    </row>
    <row r="6817" spans="1:12">
      <c r="J6817" s="31">
        <v>91</v>
      </c>
      <c r="K6817" s="33" t="s">
        <v>168</v>
      </c>
      <c r="L6817" s="31" t="str">
        <f t="shared" ref="L6817:L6825" si="659">$L$93&amp;" "&amp;L6727</f>
        <v>Sembilan Puluh Satu</v>
      </c>
    </row>
    <row r="6818" spans="1:12">
      <c r="J6818" s="31">
        <v>92</v>
      </c>
      <c r="K6818" s="33" t="s">
        <v>169</v>
      </c>
      <c r="L6818" s="31" t="str">
        <f t="shared" si="659"/>
        <v>Sembilan Puluh Dua</v>
      </c>
    </row>
    <row r="6819" spans="1:12">
      <c r="J6819" s="31">
        <v>93</v>
      </c>
      <c r="K6819" s="33" t="s">
        <v>170</v>
      </c>
      <c r="L6819" s="31" t="str">
        <f t="shared" si="659"/>
        <v>Sembilan Puluh Tiga</v>
      </c>
    </row>
    <row r="6820" spans="1:12">
      <c r="J6820" s="31">
        <v>94</v>
      </c>
      <c r="K6820" s="33" t="s">
        <v>171</v>
      </c>
      <c r="L6820" s="31" t="str">
        <f t="shared" si="659"/>
        <v>Sembilan Puluh Empat</v>
      </c>
    </row>
    <row r="6821" spans="1:12">
      <c r="J6821" s="31">
        <v>95</v>
      </c>
      <c r="K6821" s="33" t="s">
        <v>172</v>
      </c>
      <c r="L6821" s="31" t="str">
        <f t="shared" si="659"/>
        <v>Sembilan Puluh Lima</v>
      </c>
    </row>
    <row r="6822" spans="1:12">
      <c r="J6822" s="31">
        <v>96</v>
      </c>
      <c r="K6822" s="33" t="s">
        <v>173</v>
      </c>
      <c r="L6822" s="31" t="str">
        <f t="shared" si="659"/>
        <v>Sembilan Puluh Enam</v>
      </c>
    </row>
    <row r="6823" spans="1:12">
      <c r="J6823" s="31">
        <v>97</v>
      </c>
      <c r="K6823" s="33" t="s">
        <v>174</v>
      </c>
      <c r="L6823" s="31" t="str">
        <f t="shared" si="659"/>
        <v>Sembilan Puluh Tujuh</v>
      </c>
    </row>
    <row r="6824" spans="1:12">
      <c r="J6824" s="31">
        <v>98</v>
      </c>
      <c r="K6824" s="33" t="s">
        <v>175</v>
      </c>
      <c r="L6824" s="31" t="str">
        <f t="shared" si="659"/>
        <v>Sembilan Puluh Delapan</v>
      </c>
    </row>
    <row r="6825" spans="1:12">
      <c r="J6825" s="31">
        <v>99</v>
      </c>
      <c r="K6825" s="33" t="s">
        <v>176</v>
      </c>
      <c r="L6825" s="31" t="str">
        <f t="shared" si="659"/>
        <v>Sembilan Puluh Sembilan</v>
      </c>
    </row>
    <row r="6827" spans="1:12">
      <c r="A6827" s="30" t="e">
        <f>#REF!</f>
        <v>#REF!</v>
      </c>
      <c r="C6827" s="31" t="s">
        <v>264</v>
      </c>
    </row>
    <row r="6828" spans="1:12">
      <c r="A6828" s="32"/>
    </row>
    <row r="6829" spans="1:12">
      <c r="J6829" s="31">
        <v>0</v>
      </c>
      <c r="K6829" s="33" t="s">
        <v>48</v>
      </c>
      <c r="L6829" s="31" t="s">
        <v>49</v>
      </c>
    </row>
    <row r="6830" spans="1:12">
      <c r="A6830" s="34"/>
      <c r="J6830" s="31">
        <v>1</v>
      </c>
      <c r="K6830" s="33" t="s">
        <v>50</v>
      </c>
      <c r="L6830" s="31" t="s">
        <v>51</v>
      </c>
    </row>
    <row r="6831" spans="1:12">
      <c r="A6831" s="255" t="e">
        <f>TRIM(D6839&amp;E6839&amp;D6840&amp;E6840&amp;D6841&amp;E6841&amp;D6842&amp;E6842&amp;D6843&amp;E6843&amp;D6844&amp;E6844&amp;E6845&amp;D6845&amp;" Only")</f>
        <v>#REF!</v>
      </c>
      <c r="B6831" s="255"/>
      <c r="C6831" s="255"/>
      <c r="D6831" s="255"/>
      <c r="E6831" s="35"/>
      <c r="F6831" s="36"/>
      <c r="J6831" s="31">
        <v>2</v>
      </c>
      <c r="K6831" s="33" t="s">
        <v>52</v>
      </c>
      <c r="L6831" s="31" t="s">
        <v>53</v>
      </c>
    </row>
    <row r="6832" spans="1:12">
      <c r="A6832" s="37"/>
      <c r="B6832" s="37"/>
      <c r="C6832" s="37"/>
      <c r="D6832" s="37"/>
      <c r="E6832" s="35"/>
      <c r="F6832" s="36"/>
      <c r="J6832" s="31">
        <v>3</v>
      </c>
      <c r="K6832" s="33" t="s">
        <v>54</v>
      </c>
      <c r="L6832" s="31" t="s">
        <v>55</v>
      </c>
    </row>
    <row r="6833" spans="1:12">
      <c r="A6833" s="37"/>
      <c r="B6833" s="37"/>
      <c r="C6833" s="37"/>
      <c r="D6833" s="37"/>
      <c r="J6833" s="31">
        <v>4</v>
      </c>
      <c r="K6833" s="33" t="s">
        <v>56</v>
      </c>
      <c r="L6833" s="31" t="s">
        <v>57</v>
      </c>
    </row>
    <row r="6834" spans="1:12">
      <c r="A6834" s="255" t="e">
        <f>TRIM(D6849&amp;E6849&amp;D6850&amp;E6850&amp;D6851&amp;E6851&amp;D6852&amp;E6852&amp;D6853&amp;E6853&amp;D6854&amp;E6854&amp;D6855&amp;E6855&amp;" Rupiah")</f>
        <v>#REF!</v>
      </c>
      <c r="B6834" s="255"/>
      <c r="C6834" s="255"/>
      <c r="D6834" s="255"/>
      <c r="E6834" s="35"/>
      <c r="F6834" s="36"/>
      <c r="J6834" s="31">
        <v>5</v>
      </c>
      <c r="K6834" s="33" t="s">
        <v>58</v>
      </c>
      <c r="L6834" s="31" t="s">
        <v>59</v>
      </c>
    </row>
    <row r="6835" spans="1:12">
      <c r="A6835" s="35"/>
      <c r="B6835" s="35"/>
      <c r="C6835" s="35"/>
      <c r="D6835" s="35"/>
      <c r="E6835" s="35"/>
      <c r="F6835" s="36"/>
      <c r="J6835" s="31">
        <v>6</v>
      </c>
      <c r="K6835" s="33" t="s">
        <v>60</v>
      </c>
      <c r="L6835" s="31" t="s">
        <v>61</v>
      </c>
    </row>
    <row r="6836" spans="1:12">
      <c r="J6836" s="31">
        <v>7</v>
      </c>
      <c r="K6836" s="33" t="s">
        <v>62</v>
      </c>
      <c r="L6836" s="31" t="s">
        <v>63</v>
      </c>
    </row>
    <row r="6837" spans="1:12">
      <c r="J6837" s="31">
        <v>8</v>
      </c>
      <c r="K6837" s="33" t="s">
        <v>64</v>
      </c>
      <c r="L6837" s="31" t="s">
        <v>65</v>
      </c>
    </row>
    <row r="6838" spans="1:12">
      <c r="A6838" s="38" t="s">
        <v>66</v>
      </c>
      <c r="J6838" s="31">
        <v>9</v>
      </c>
      <c r="K6838" s="33" t="s">
        <v>67</v>
      </c>
      <c r="L6838" s="31" t="s">
        <v>68</v>
      </c>
    </row>
    <row r="6839" spans="1:12">
      <c r="A6839" s="31" t="s">
        <v>69</v>
      </c>
      <c r="B6839" s="39" t="e">
        <f>TRUNC(A6827/100000000)</f>
        <v>#REF!</v>
      </c>
      <c r="C6839" s="31" t="e">
        <f>B6839*100000000</f>
        <v>#REF!</v>
      </c>
      <c r="D6839" s="31" t="e">
        <f t="shared" ref="D6839:D6845" si="660">IF(B6839&lt;1,"",VLOOKUP(B6839,$J$3:$K$102,2))</f>
        <v>#REF!</v>
      </c>
      <c r="E6839" s="31" t="e">
        <f>IF(B6839&lt;1,"",IF(B6839&gt;1," Hundreds "," Hundred "))</f>
        <v>#REF!</v>
      </c>
      <c r="J6839" s="31">
        <v>10</v>
      </c>
      <c r="K6839" s="33" t="s">
        <v>70</v>
      </c>
      <c r="L6839" s="31" t="s">
        <v>71</v>
      </c>
    </row>
    <row r="6840" spans="1:12">
      <c r="A6840" s="31" t="s">
        <v>72</v>
      </c>
      <c r="B6840" s="39" t="e">
        <f>TRUNC((A6827-C6839)/1000000)</f>
        <v>#REF!</v>
      </c>
      <c r="C6840" s="31" t="e">
        <f>B6840*1000000</f>
        <v>#REF!</v>
      </c>
      <c r="D6840" s="31" t="e">
        <f t="shared" si="660"/>
        <v>#REF!</v>
      </c>
      <c r="E6840" s="31" t="e">
        <f>IF(B6839+B6840=0,"",IF(B6840=1," Million "," Millions "))</f>
        <v>#REF!</v>
      </c>
      <c r="J6840" s="31">
        <v>11</v>
      </c>
      <c r="K6840" s="33" t="s">
        <v>73</v>
      </c>
      <c r="L6840" s="31" t="s">
        <v>74</v>
      </c>
    </row>
    <row r="6841" spans="1:12">
      <c r="A6841" s="31" t="s">
        <v>75</v>
      </c>
      <c r="B6841" s="39" t="e">
        <f>TRUNC((A6827-SUM(C6839:C6840))/100000)</f>
        <v>#REF!</v>
      </c>
      <c r="C6841" s="31" t="e">
        <f>B6841*100000</f>
        <v>#REF!</v>
      </c>
      <c r="D6841" s="31" t="e">
        <f t="shared" si="660"/>
        <v>#REF!</v>
      </c>
      <c r="E6841" s="31" t="e">
        <f>IF(B6841&lt;1,"",IF(B6841&gt;1," Hundreds "," Hundred "))</f>
        <v>#REF!</v>
      </c>
      <c r="J6841" s="31">
        <v>12</v>
      </c>
      <c r="K6841" s="33" t="s">
        <v>76</v>
      </c>
      <c r="L6841" s="31" t="str">
        <f t="shared" ref="L6841:L6848" si="661">L6831&amp;" Belas"</f>
        <v>Dua Belas</v>
      </c>
    </row>
    <row r="6842" spans="1:12">
      <c r="A6842" s="33" t="s">
        <v>77</v>
      </c>
      <c r="B6842" s="40" t="e">
        <f>TRUNC((A6827-SUM(C6839:C6841))/1000)</f>
        <v>#REF!</v>
      </c>
      <c r="C6842" s="31" t="e">
        <f>B6842*1000</f>
        <v>#REF!</v>
      </c>
      <c r="D6842" s="31" t="e">
        <f t="shared" si="660"/>
        <v>#REF!</v>
      </c>
      <c r="E6842" s="31" t="e">
        <f>IF(B6841+B6842=0,"",IF(B6842=1," Thousand "," Thousands "))</f>
        <v>#REF!</v>
      </c>
      <c r="J6842" s="31">
        <v>13</v>
      </c>
      <c r="K6842" s="33" t="s">
        <v>78</v>
      </c>
      <c r="L6842" s="31" t="str">
        <f t="shared" si="661"/>
        <v>Tiga Belas</v>
      </c>
    </row>
    <row r="6843" spans="1:12">
      <c r="A6843" s="33" t="s">
        <v>79</v>
      </c>
      <c r="B6843" s="40" t="e">
        <f>TRUNC((A6827-SUM(C6839:C6842))/100)</f>
        <v>#REF!</v>
      </c>
      <c r="C6843" s="31" t="e">
        <f>B6843*100</f>
        <v>#REF!</v>
      </c>
      <c r="D6843" s="31" t="e">
        <f t="shared" si="660"/>
        <v>#REF!</v>
      </c>
      <c r="E6843" s="31" t="e">
        <f>IF(B6843&lt;1,"",IF(B6843&gt;1," Hundreds "," Hundred "))</f>
        <v>#REF!</v>
      </c>
      <c r="J6843" s="31">
        <v>14</v>
      </c>
      <c r="K6843" s="33" t="s">
        <v>80</v>
      </c>
      <c r="L6843" s="31" t="str">
        <f t="shared" si="661"/>
        <v>Empat Belas</v>
      </c>
    </row>
    <row r="6844" spans="1:12">
      <c r="A6844" s="33" t="s">
        <v>81</v>
      </c>
      <c r="B6844" s="41" t="e">
        <f>TRUNC((A6827-SUM(C6839:C6843)))</f>
        <v>#REF!</v>
      </c>
      <c r="C6844" s="42" t="e">
        <f>B6844</f>
        <v>#REF!</v>
      </c>
      <c r="D6844" s="31" t="e">
        <f t="shared" si="660"/>
        <v>#REF!</v>
      </c>
      <c r="E6844" s="31" t="e">
        <f>IF(SUM(C6839:C6844)&lt;1,"",IF(B6845&lt;1,""," And "))</f>
        <v>#REF!</v>
      </c>
      <c r="J6844" s="31">
        <v>15</v>
      </c>
      <c r="K6844" s="33" t="s">
        <v>82</v>
      </c>
      <c r="L6844" s="31" t="str">
        <f t="shared" si="661"/>
        <v>Lima Belas</v>
      </c>
    </row>
    <row r="6845" spans="1:12">
      <c r="A6845" s="33" t="s">
        <v>83</v>
      </c>
      <c r="B6845" s="40" t="e">
        <f>ROUND(A6827-SUM(C6839:C6844),2)*100</f>
        <v>#REF!</v>
      </c>
      <c r="D6845" s="43" t="e">
        <f t="shared" si="660"/>
        <v>#REF!</v>
      </c>
      <c r="E6845" s="31" t="e">
        <f>IF(B6845&lt;1,"",IF(B6845=1," Cent "," Cents "))</f>
        <v>#REF!</v>
      </c>
      <c r="J6845" s="31">
        <v>16</v>
      </c>
      <c r="K6845" s="33" t="s">
        <v>84</v>
      </c>
      <c r="L6845" s="31" t="str">
        <f t="shared" si="661"/>
        <v>Enam Belas</v>
      </c>
    </row>
    <row r="6846" spans="1:12">
      <c r="J6846" s="31">
        <v>17</v>
      </c>
      <c r="K6846" s="33" t="s">
        <v>85</v>
      </c>
      <c r="L6846" s="31" t="str">
        <f t="shared" si="661"/>
        <v>Tujuh Belas</v>
      </c>
    </row>
    <row r="6847" spans="1:12">
      <c r="A6847" s="44"/>
      <c r="J6847" s="31">
        <v>18</v>
      </c>
      <c r="K6847" s="33" t="s">
        <v>86</v>
      </c>
      <c r="L6847" s="31" t="str">
        <f t="shared" si="661"/>
        <v>Delapan Belas</v>
      </c>
    </row>
    <row r="6848" spans="1:12">
      <c r="A6848" s="38" t="s">
        <v>87</v>
      </c>
      <c r="J6848" s="31">
        <v>19</v>
      </c>
      <c r="K6848" s="33" t="s">
        <v>88</v>
      </c>
      <c r="L6848" s="31" t="str">
        <f t="shared" si="661"/>
        <v>Sembilan Belas</v>
      </c>
    </row>
    <row r="6849" spans="1:12">
      <c r="A6849" s="31" t="s">
        <v>69</v>
      </c>
      <c r="B6849" s="39" t="e">
        <f>TRUNC(A6827/100000000)</f>
        <v>#REF!</v>
      </c>
      <c r="C6849" s="31" t="e">
        <f>B6849*100000000</f>
        <v>#REF!</v>
      </c>
      <c r="D6849" s="31" t="e">
        <f>IF(B6849&lt;1,"",IF(B6849=1,"",VLOOKUP(B6849,$J$3:$L$102,3)))</f>
        <v>#REF!</v>
      </c>
      <c r="E6849" s="31" t="e">
        <f>IF(B6849&lt;1,"",IF(B6849=1,"Seratus "," Ratus "))</f>
        <v>#REF!</v>
      </c>
      <c r="J6849" s="31">
        <v>20</v>
      </c>
      <c r="K6849" s="33" t="s">
        <v>89</v>
      </c>
      <c r="L6849" s="31" t="s">
        <v>90</v>
      </c>
    </row>
    <row r="6850" spans="1:12">
      <c r="A6850" s="31" t="s">
        <v>72</v>
      </c>
      <c r="B6850" s="39" t="e">
        <f>TRUNC((A6827-C6849)/1000000)</f>
        <v>#REF!</v>
      </c>
      <c r="C6850" s="31" t="e">
        <f>B6850*1000000</f>
        <v>#REF!</v>
      </c>
      <c r="D6850" s="31" t="e">
        <f>IF(B6850&lt;1,"",VLOOKUP(B6850,$J$3:$L$102,3))</f>
        <v>#REF!</v>
      </c>
      <c r="E6850" s="31" t="e">
        <f>IF(B6849+B6850=0,""," Juta ")</f>
        <v>#REF!</v>
      </c>
      <c r="J6850" s="31">
        <v>21</v>
      </c>
      <c r="K6850" s="33" t="s">
        <v>91</v>
      </c>
      <c r="L6850" s="31" t="str">
        <f t="shared" ref="L6850:L6858" si="662">$L$23&amp;" "&amp;L6830</f>
        <v>Dua Puluh Satu</v>
      </c>
    </row>
    <row r="6851" spans="1:12">
      <c r="A6851" s="31" t="s">
        <v>75</v>
      </c>
      <c r="B6851" s="39" t="e">
        <f>TRUNC((A6827-SUM(C6849:C6850))/100000)</f>
        <v>#REF!</v>
      </c>
      <c r="C6851" s="31" t="e">
        <f>B6851*100000</f>
        <v>#REF!</v>
      </c>
      <c r="D6851" s="31" t="e">
        <f>IF(B6851&lt;1,"",IF(B6851=1,"",VLOOKUP(B6851,$J$3:$L$102,3)))</f>
        <v>#REF!</v>
      </c>
      <c r="E6851" s="31" t="e">
        <f>IF(B6851&lt;1,"",IF(B6851=1," Seratus "," Ratus "))</f>
        <v>#REF!</v>
      </c>
      <c r="J6851" s="31">
        <v>22</v>
      </c>
      <c r="K6851" s="33" t="s">
        <v>92</v>
      </c>
      <c r="L6851" s="31" t="str">
        <f t="shared" si="662"/>
        <v>Dua Puluh Dua</v>
      </c>
    </row>
    <row r="6852" spans="1:12">
      <c r="A6852" s="33" t="s">
        <v>77</v>
      </c>
      <c r="B6852" s="40" t="e">
        <f>TRUNC((A6827-SUM(C6849:C6851))/1000)</f>
        <v>#REF!</v>
      </c>
      <c r="C6852" s="31" t="e">
        <f>B6852*1000</f>
        <v>#REF!</v>
      </c>
      <c r="D6852" s="31" t="e">
        <f>IF(B6852&lt;1,"",IF(B6852=1,"",VLOOKUP(B6852,$J$3:$L$102,3)))</f>
        <v>#REF!</v>
      </c>
      <c r="E6852" s="31" t="e">
        <f>IF(B6851+B6852&lt;1,"",IF(B6852=1," Seribu "," Ribu "))</f>
        <v>#REF!</v>
      </c>
      <c r="J6852" s="31">
        <v>23</v>
      </c>
      <c r="K6852" s="33" t="s">
        <v>93</v>
      </c>
      <c r="L6852" s="31" t="str">
        <f t="shared" si="662"/>
        <v>Dua Puluh Tiga</v>
      </c>
    </row>
    <row r="6853" spans="1:12">
      <c r="A6853" s="33" t="s">
        <v>79</v>
      </c>
      <c r="B6853" s="40" t="e">
        <f>TRUNC((A6827-SUM(C6849:C6852))/100)</f>
        <v>#REF!</v>
      </c>
      <c r="C6853" s="31" t="e">
        <f>B6853*100</f>
        <v>#REF!</v>
      </c>
      <c r="D6853" s="31" t="e">
        <f>IF(B6853&lt;1,"",IF(B6853=1,"",VLOOKUP(B6853,$J$3:$L$102,3)))</f>
        <v>#REF!</v>
      </c>
      <c r="E6853" s="31" t="e">
        <f>IF(B6853&lt;1,"",IF(B6853=1," Seratus "," Ratus "))</f>
        <v>#REF!</v>
      </c>
      <c r="J6853" s="31">
        <v>24</v>
      </c>
      <c r="K6853" s="33" t="s">
        <v>94</v>
      </c>
      <c r="L6853" s="31" t="str">
        <f t="shared" si="662"/>
        <v>Dua Puluh Empat</v>
      </c>
    </row>
    <row r="6854" spans="1:12">
      <c r="A6854" s="33" t="s">
        <v>81</v>
      </c>
      <c r="B6854" s="41" t="e">
        <f>TRUNC((A6827-SUM(C6849:C6853)))</f>
        <v>#REF!</v>
      </c>
      <c r="C6854" s="42" t="e">
        <f>B6854</f>
        <v>#REF!</v>
      </c>
      <c r="D6854" s="31" t="e">
        <f>IF(B6854&lt;1,"",VLOOKUP(B6854,$J$3:$L$102,3))</f>
        <v>#REF!</v>
      </c>
      <c r="E6854" s="31" t="e">
        <f>IF(SUM(C6849:C6854)&lt;1,"",IF(B6855&lt;1,""," Dan "))</f>
        <v>#REF!</v>
      </c>
      <c r="J6854" s="31">
        <v>25</v>
      </c>
      <c r="K6854" s="33" t="s">
        <v>95</v>
      </c>
      <c r="L6854" s="31" t="str">
        <f t="shared" si="662"/>
        <v>Dua Puluh Lima</v>
      </c>
    </row>
    <row r="6855" spans="1:12">
      <c r="A6855" s="33" t="s">
        <v>83</v>
      </c>
      <c r="B6855" s="40" t="e">
        <f>ROUND(A6827-SUM(C6849:C6854),2)*100</f>
        <v>#REF!</v>
      </c>
      <c r="D6855" s="31" t="e">
        <f>IF(B6855&lt;1,"",VLOOKUP(B6855,$J$3:$L$102,3))</f>
        <v>#REF!</v>
      </c>
      <c r="E6855" s="31" t="e">
        <f>IF(B6855&lt;1,""," Sen ")</f>
        <v>#REF!</v>
      </c>
      <c r="J6855" s="31">
        <v>26</v>
      </c>
      <c r="K6855" s="33" t="s">
        <v>96</v>
      </c>
      <c r="L6855" s="31" t="str">
        <f t="shared" si="662"/>
        <v>Dua Puluh Enam</v>
      </c>
    </row>
    <row r="6856" spans="1:12">
      <c r="J6856" s="31">
        <v>27</v>
      </c>
      <c r="K6856" s="33" t="s">
        <v>97</v>
      </c>
      <c r="L6856" s="31" t="str">
        <f t="shared" si="662"/>
        <v>Dua Puluh Tujuh</v>
      </c>
    </row>
    <row r="6857" spans="1:12">
      <c r="J6857" s="31">
        <v>28</v>
      </c>
      <c r="K6857" s="33" t="s">
        <v>98</v>
      </c>
      <c r="L6857" s="31" t="str">
        <f t="shared" si="662"/>
        <v>Dua Puluh Delapan</v>
      </c>
    </row>
    <row r="6858" spans="1:12">
      <c r="J6858" s="31">
        <v>29</v>
      </c>
      <c r="K6858" s="33" t="s">
        <v>99</v>
      </c>
      <c r="L6858" s="31" t="str">
        <f t="shared" si="662"/>
        <v>Dua Puluh Sembilan</v>
      </c>
    </row>
    <row r="6859" spans="1:12">
      <c r="J6859" s="31">
        <v>30</v>
      </c>
      <c r="K6859" s="33" t="s">
        <v>100</v>
      </c>
      <c r="L6859" s="31" t="s">
        <v>101</v>
      </c>
    </row>
    <row r="6860" spans="1:12">
      <c r="J6860" s="31">
        <v>31</v>
      </c>
      <c r="K6860" s="33" t="s">
        <v>102</v>
      </c>
      <c r="L6860" s="31" t="str">
        <f t="shared" ref="L6860:L6868" si="663">$L$33&amp;" "&amp;L6830</f>
        <v>Tiga Puluh Satu</v>
      </c>
    </row>
    <row r="6861" spans="1:12">
      <c r="J6861" s="31">
        <v>32</v>
      </c>
      <c r="K6861" s="33" t="s">
        <v>103</v>
      </c>
      <c r="L6861" s="31" t="str">
        <f t="shared" si="663"/>
        <v>Tiga Puluh Dua</v>
      </c>
    </row>
    <row r="6862" spans="1:12">
      <c r="J6862" s="31">
        <v>33</v>
      </c>
      <c r="K6862" s="33" t="s">
        <v>104</v>
      </c>
      <c r="L6862" s="31" t="str">
        <f t="shared" si="663"/>
        <v>Tiga Puluh Tiga</v>
      </c>
    </row>
    <row r="6863" spans="1:12">
      <c r="J6863" s="31">
        <v>34</v>
      </c>
      <c r="K6863" s="33" t="s">
        <v>105</v>
      </c>
      <c r="L6863" s="31" t="str">
        <f t="shared" si="663"/>
        <v>Tiga Puluh Empat</v>
      </c>
    </row>
    <row r="6864" spans="1:12">
      <c r="J6864" s="31">
        <v>35</v>
      </c>
      <c r="K6864" s="33" t="s">
        <v>106</v>
      </c>
      <c r="L6864" s="31" t="str">
        <f t="shared" si="663"/>
        <v>Tiga Puluh Lima</v>
      </c>
    </row>
    <row r="6865" spans="1:12">
      <c r="J6865" s="31">
        <v>36</v>
      </c>
      <c r="K6865" s="33" t="s">
        <v>107</v>
      </c>
      <c r="L6865" s="31" t="str">
        <f t="shared" si="663"/>
        <v>Tiga Puluh Enam</v>
      </c>
    </row>
    <row r="6866" spans="1:12">
      <c r="J6866" s="31">
        <v>37</v>
      </c>
      <c r="K6866" s="33" t="s">
        <v>108</v>
      </c>
      <c r="L6866" s="31" t="str">
        <f t="shared" si="663"/>
        <v>Tiga Puluh Tujuh</v>
      </c>
    </row>
    <row r="6867" spans="1:12">
      <c r="J6867" s="31">
        <v>38</v>
      </c>
      <c r="K6867" s="33" t="s">
        <v>109</v>
      </c>
      <c r="L6867" s="31" t="str">
        <f t="shared" si="663"/>
        <v>Tiga Puluh Delapan</v>
      </c>
    </row>
    <row r="6868" spans="1:12">
      <c r="J6868" s="31">
        <v>39</v>
      </c>
      <c r="K6868" s="33" t="s">
        <v>110</v>
      </c>
      <c r="L6868" s="31" t="str">
        <f t="shared" si="663"/>
        <v>Tiga Puluh Sembilan</v>
      </c>
    </row>
    <row r="6869" spans="1:12">
      <c r="B6869" s="35"/>
      <c r="C6869" s="35"/>
      <c r="D6869" s="35"/>
      <c r="J6869" s="31">
        <v>40</v>
      </c>
      <c r="K6869" s="33" t="s">
        <v>111</v>
      </c>
      <c r="L6869" s="31" t="s">
        <v>112</v>
      </c>
    </row>
    <row r="6870" spans="1:12">
      <c r="A6870" s="35"/>
      <c r="B6870" s="35"/>
      <c r="C6870" s="35"/>
      <c r="D6870" s="35"/>
      <c r="J6870" s="31">
        <v>41</v>
      </c>
      <c r="K6870" s="33" t="s">
        <v>113</v>
      </c>
      <c r="L6870" s="31" t="str">
        <f t="shared" ref="L6870:L6878" si="664">$L$43&amp;" "&amp;L6830</f>
        <v>Empat Puluh Satu</v>
      </c>
    </row>
    <row r="6871" spans="1:12">
      <c r="J6871" s="31">
        <v>42</v>
      </c>
      <c r="K6871" s="33" t="s">
        <v>114</v>
      </c>
      <c r="L6871" s="31" t="str">
        <f t="shared" si="664"/>
        <v>Empat Puluh Dua</v>
      </c>
    </row>
    <row r="6872" spans="1:12">
      <c r="A6872" s="38"/>
      <c r="J6872" s="31">
        <v>43</v>
      </c>
      <c r="K6872" s="33" t="s">
        <v>115</v>
      </c>
      <c r="L6872" s="31" t="str">
        <f t="shared" si="664"/>
        <v>Empat Puluh Tiga</v>
      </c>
    </row>
    <row r="6873" spans="1:12">
      <c r="J6873" s="31">
        <v>44</v>
      </c>
      <c r="K6873" s="33" t="s">
        <v>116</v>
      </c>
      <c r="L6873" s="31" t="str">
        <f t="shared" si="664"/>
        <v>Empat Puluh Empat</v>
      </c>
    </row>
    <row r="6874" spans="1:12">
      <c r="J6874" s="31">
        <v>45</v>
      </c>
      <c r="K6874" s="33" t="s">
        <v>117</v>
      </c>
      <c r="L6874" s="31" t="str">
        <f t="shared" si="664"/>
        <v>Empat Puluh Lima</v>
      </c>
    </row>
    <row r="6875" spans="1:12">
      <c r="J6875" s="31">
        <v>46</v>
      </c>
      <c r="K6875" s="33" t="s">
        <v>118</v>
      </c>
      <c r="L6875" s="31" t="str">
        <f t="shared" si="664"/>
        <v>Empat Puluh Enam</v>
      </c>
    </row>
    <row r="6876" spans="1:12">
      <c r="J6876" s="31">
        <v>47</v>
      </c>
      <c r="K6876" s="33" t="s">
        <v>119</v>
      </c>
      <c r="L6876" s="31" t="str">
        <f t="shared" si="664"/>
        <v>Empat Puluh Tujuh</v>
      </c>
    </row>
    <row r="6877" spans="1:12">
      <c r="J6877" s="31">
        <v>48</v>
      </c>
      <c r="K6877" s="33" t="s">
        <v>120</v>
      </c>
      <c r="L6877" s="31" t="str">
        <f t="shared" si="664"/>
        <v>Empat Puluh Delapan</v>
      </c>
    </row>
    <row r="6878" spans="1:12">
      <c r="J6878" s="31">
        <v>49</v>
      </c>
      <c r="K6878" s="33" t="s">
        <v>121</v>
      </c>
      <c r="L6878" s="31" t="str">
        <f t="shared" si="664"/>
        <v>Empat Puluh Sembilan</v>
      </c>
    </row>
    <row r="6879" spans="1:12">
      <c r="J6879" s="31">
        <v>50</v>
      </c>
      <c r="K6879" s="33" t="s">
        <v>122</v>
      </c>
      <c r="L6879" s="31" t="s">
        <v>123</v>
      </c>
    </row>
    <row r="6880" spans="1:12">
      <c r="J6880" s="31">
        <v>51</v>
      </c>
      <c r="K6880" s="33" t="s">
        <v>124</v>
      </c>
      <c r="L6880" s="31" t="str">
        <f t="shared" ref="L6880:L6888" si="665">$L$53&amp;" "&amp;L6830</f>
        <v>Lima Puluh Satu</v>
      </c>
    </row>
    <row r="6881" spans="10:12">
      <c r="J6881" s="31">
        <v>52</v>
      </c>
      <c r="K6881" s="33" t="s">
        <v>125</v>
      </c>
      <c r="L6881" s="31" t="str">
        <f t="shared" si="665"/>
        <v>Lima Puluh Dua</v>
      </c>
    </row>
    <row r="6882" spans="10:12">
      <c r="J6882" s="31">
        <v>53</v>
      </c>
      <c r="K6882" s="33" t="s">
        <v>126</v>
      </c>
      <c r="L6882" s="31" t="str">
        <f t="shared" si="665"/>
        <v>Lima Puluh Tiga</v>
      </c>
    </row>
    <row r="6883" spans="10:12">
      <c r="J6883" s="31">
        <v>54</v>
      </c>
      <c r="K6883" s="33" t="s">
        <v>127</v>
      </c>
      <c r="L6883" s="31" t="str">
        <f t="shared" si="665"/>
        <v>Lima Puluh Empat</v>
      </c>
    </row>
    <row r="6884" spans="10:12">
      <c r="J6884" s="31">
        <v>55</v>
      </c>
      <c r="K6884" s="33" t="s">
        <v>128</v>
      </c>
      <c r="L6884" s="31" t="str">
        <f t="shared" si="665"/>
        <v>Lima Puluh Lima</v>
      </c>
    </row>
    <row r="6885" spans="10:12">
      <c r="J6885" s="31">
        <v>56</v>
      </c>
      <c r="K6885" s="33" t="s">
        <v>129</v>
      </c>
      <c r="L6885" s="31" t="str">
        <f t="shared" si="665"/>
        <v>Lima Puluh Enam</v>
      </c>
    </row>
    <row r="6886" spans="10:12">
      <c r="J6886" s="31">
        <v>57</v>
      </c>
      <c r="K6886" s="33" t="s">
        <v>130</v>
      </c>
      <c r="L6886" s="31" t="str">
        <f t="shared" si="665"/>
        <v>Lima Puluh Tujuh</v>
      </c>
    </row>
    <row r="6887" spans="10:12">
      <c r="J6887" s="31">
        <v>58</v>
      </c>
      <c r="K6887" s="33" t="s">
        <v>131</v>
      </c>
      <c r="L6887" s="31" t="str">
        <f t="shared" si="665"/>
        <v>Lima Puluh Delapan</v>
      </c>
    </row>
    <row r="6888" spans="10:12">
      <c r="J6888" s="31">
        <v>59</v>
      </c>
      <c r="K6888" s="33" t="s">
        <v>132</v>
      </c>
      <c r="L6888" s="31" t="str">
        <f t="shared" si="665"/>
        <v>Lima Puluh Sembilan</v>
      </c>
    </row>
    <row r="6889" spans="10:12">
      <c r="J6889" s="31">
        <v>60</v>
      </c>
      <c r="K6889" s="33" t="s">
        <v>133</v>
      </c>
      <c r="L6889" s="31" t="s">
        <v>134</v>
      </c>
    </row>
    <row r="6890" spans="10:12">
      <c r="J6890" s="31">
        <v>61</v>
      </c>
      <c r="K6890" s="33" t="s">
        <v>135</v>
      </c>
      <c r="L6890" s="31" t="str">
        <f t="shared" ref="L6890:L6898" si="666">$L$63&amp;" "&amp;L6830</f>
        <v>Enam Puluh Satu</v>
      </c>
    </row>
    <row r="6891" spans="10:12">
      <c r="J6891" s="31">
        <v>62</v>
      </c>
      <c r="K6891" s="33" t="s">
        <v>136</v>
      </c>
      <c r="L6891" s="31" t="str">
        <f t="shared" si="666"/>
        <v>Enam Puluh Dua</v>
      </c>
    </row>
    <row r="6892" spans="10:12">
      <c r="J6892" s="31">
        <v>63</v>
      </c>
      <c r="K6892" s="33" t="s">
        <v>137</v>
      </c>
      <c r="L6892" s="31" t="str">
        <f t="shared" si="666"/>
        <v>Enam Puluh Tiga</v>
      </c>
    </row>
    <row r="6893" spans="10:12">
      <c r="J6893" s="31">
        <v>64</v>
      </c>
      <c r="K6893" s="33" t="s">
        <v>138</v>
      </c>
      <c r="L6893" s="31" t="str">
        <f t="shared" si="666"/>
        <v>Enam Puluh Empat</v>
      </c>
    </row>
    <row r="6894" spans="10:12">
      <c r="J6894" s="31">
        <v>65</v>
      </c>
      <c r="K6894" s="33" t="s">
        <v>139</v>
      </c>
      <c r="L6894" s="31" t="str">
        <f t="shared" si="666"/>
        <v>Enam Puluh Lima</v>
      </c>
    </row>
    <row r="6895" spans="10:12">
      <c r="J6895" s="31">
        <v>66</v>
      </c>
      <c r="K6895" s="33" t="s">
        <v>140</v>
      </c>
      <c r="L6895" s="31" t="str">
        <f t="shared" si="666"/>
        <v>Enam Puluh Enam</v>
      </c>
    </row>
    <row r="6896" spans="10:12">
      <c r="J6896" s="31">
        <v>67</v>
      </c>
      <c r="K6896" s="33" t="s">
        <v>141</v>
      </c>
      <c r="L6896" s="31" t="str">
        <f t="shared" si="666"/>
        <v>Enam Puluh Tujuh</v>
      </c>
    </row>
    <row r="6897" spans="10:12">
      <c r="J6897" s="31">
        <v>68</v>
      </c>
      <c r="K6897" s="33" t="s">
        <v>142</v>
      </c>
      <c r="L6897" s="31" t="str">
        <f t="shared" si="666"/>
        <v>Enam Puluh Delapan</v>
      </c>
    </row>
    <row r="6898" spans="10:12">
      <c r="J6898" s="31">
        <v>69</v>
      </c>
      <c r="K6898" s="33" t="s">
        <v>143</v>
      </c>
      <c r="L6898" s="31" t="str">
        <f t="shared" si="666"/>
        <v>Enam Puluh Sembilan</v>
      </c>
    </row>
    <row r="6899" spans="10:12">
      <c r="J6899" s="31">
        <v>70</v>
      </c>
      <c r="K6899" s="33" t="s">
        <v>144</v>
      </c>
      <c r="L6899" s="31" t="s">
        <v>145</v>
      </c>
    </row>
    <row r="6900" spans="10:12">
      <c r="J6900" s="31">
        <v>71</v>
      </c>
      <c r="K6900" s="33" t="s">
        <v>146</v>
      </c>
      <c r="L6900" s="31" t="str">
        <f t="shared" ref="L6900:L6908" si="667">$L$73&amp;" "&amp;L6830</f>
        <v>Tujuh Puluh Satu</v>
      </c>
    </row>
    <row r="6901" spans="10:12">
      <c r="J6901" s="31">
        <v>72</v>
      </c>
      <c r="K6901" s="33" t="s">
        <v>147</v>
      </c>
      <c r="L6901" s="31" t="str">
        <f t="shared" si="667"/>
        <v>Tujuh Puluh Dua</v>
      </c>
    </row>
    <row r="6902" spans="10:12">
      <c r="J6902" s="31">
        <v>73</v>
      </c>
      <c r="K6902" s="33" t="s">
        <v>148</v>
      </c>
      <c r="L6902" s="31" t="str">
        <f t="shared" si="667"/>
        <v>Tujuh Puluh Tiga</v>
      </c>
    </row>
    <row r="6903" spans="10:12">
      <c r="J6903" s="31">
        <v>74</v>
      </c>
      <c r="K6903" s="33" t="s">
        <v>149</v>
      </c>
      <c r="L6903" s="31" t="str">
        <f t="shared" si="667"/>
        <v>Tujuh Puluh Empat</v>
      </c>
    </row>
    <row r="6904" spans="10:12">
      <c r="J6904" s="31">
        <v>75</v>
      </c>
      <c r="K6904" s="33" t="s">
        <v>150</v>
      </c>
      <c r="L6904" s="31" t="str">
        <f t="shared" si="667"/>
        <v>Tujuh Puluh Lima</v>
      </c>
    </row>
    <row r="6905" spans="10:12">
      <c r="J6905" s="31">
        <v>76</v>
      </c>
      <c r="K6905" s="33" t="s">
        <v>151</v>
      </c>
      <c r="L6905" s="31" t="str">
        <f t="shared" si="667"/>
        <v>Tujuh Puluh Enam</v>
      </c>
    </row>
    <row r="6906" spans="10:12">
      <c r="J6906" s="31">
        <v>77</v>
      </c>
      <c r="K6906" s="33" t="s">
        <v>152</v>
      </c>
      <c r="L6906" s="31" t="str">
        <f t="shared" si="667"/>
        <v>Tujuh Puluh Tujuh</v>
      </c>
    </row>
    <row r="6907" spans="10:12">
      <c r="J6907" s="31">
        <v>78</v>
      </c>
      <c r="K6907" s="33" t="s">
        <v>153</v>
      </c>
      <c r="L6907" s="31" t="str">
        <f t="shared" si="667"/>
        <v>Tujuh Puluh Delapan</v>
      </c>
    </row>
    <row r="6908" spans="10:12">
      <c r="J6908" s="31">
        <v>79</v>
      </c>
      <c r="K6908" s="33" t="s">
        <v>154</v>
      </c>
      <c r="L6908" s="31" t="str">
        <f t="shared" si="667"/>
        <v>Tujuh Puluh Sembilan</v>
      </c>
    </row>
    <row r="6909" spans="10:12">
      <c r="J6909" s="31">
        <v>80</v>
      </c>
      <c r="K6909" s="33" t="s">
        <v>155</v>
      </c>
      <c r="L6909" s="31" t="s">
        <v>156</v>
      </c>
    </row>
    <row r="6910" spans="10:12">
      <c r="J6910" s="31">
        <v>81</v>
      </c>
      <c r="K6910" s="33" t="s">
        <v>157</v>
      </c>
      <c r="L6910" s="31" t="str">
        <f t="shared" ref="L6910:L6918" si="668">$L$83&amp;" "&amp;L6830</f>
        <v>Delapan Puluh Satu</v>
      </c>
    </row>
    <row r="6911" spans="10:12">
      <c r="J6911" s="31">
        <v>82</v>
      </c>
      <c r="K6911" s="33" t="s">
        <v>158</v>
      </c>
      <c r="L6911" s="31" t="str">
        <f t="shared" si="668"/>
        <v>Delapan Puluh Dua</v>
      </c>
    </row>
    <row r="6912" spans="10:12">
      <c r="J6912" s="31">
        <v>83</v>
      </c>
      <c r="K6912" s="33" t="s">
        <v>159</v>
      </c>
      <c r="L6912" s="31" t="str">
        <f t="shared" si="668"/>
        <v>Delapan Puluh Tiga</v>
      </c>
    </row>
    <row r="6913" spans="10:12">
      <c r="J6913" s="31">
        <v>84</v>
      </c>
      <c r="K6913" s="33" t="s">
        <v>160</v>
      </c>
      <c r="L6913" s="31" t="str">
        <f t="shared" si="668"/>
        <v>Delapan Puluh Empat</v>
      </c>
    </row>
    <row r="6914" spans="10:12">
      <c r="J6914" s="31">
        <v>85</v>
      </c>
      <c r="K6914" s="33" t="s">
        <v>161</v>
      </c>
      <c r="L6914" s="31" t="str">
        <f t="shared" si="668"/>
        <v>Delapan Puluh Lima</v>
      </c>
    </row>
    <row r="6915" spans="10:12">
      <c r="J6915" s="31">
        <v>86</v>
      </c>
      <c r="K6915" s="33" t="s">
        <v>162</v>
      </c>
      <c r="L6915" s="31" t="str">
        <f t="shared" si="668"/>
        <v>Delapan Puluh Enam</v>
      </c>
    </row>
    <row r="6916" spans="10:12">
      <c r="J6916" s="31">
        <v>87</v>
      </c>
      <c r="K6916" s="33" t="s">
        <v>163</v>
      </c>
      <c r="L6916" s="31" t="str">
        <f t="shared" si="668"/>
        <v>Delapan Puluh Tujuh</v>
      </c>
    </row>
    <row r="6917" spans="10:12">
      <c r="J6917" s="31">
        <v>88</v>
      </c>
      <c r="K6917" s="33" t="s">
        <v>164</v>
      </c>
      <c r="L6917" s="31" t="str">
        <f t="shared" si="668"/>
        <v>Delapan Puluh Delapan</v>
      </c>
    </row>
    <row r="6918" spans="10:12">
      <c r="J6918" s="31">
        <v>89</v>
      </c>
      <c r="K6918" s="33" t="s">
        <v>165</v>
      </c>
      <c r="L6918" s="31" t="str">
        <f t="shared" si="668"/>
        <v>Delapan Puluh Sembilan</v>
      </c>
    </row>
    <row r="6919" spans="10:12">
      <c r="J6919" s="31">
        <v>90</v>
      </c>
      <c r="K6919" s="33" t="s">
        <v>166</v>
      </c>
      <c r="L6919" s="31" t="s">
        <v>167</v>
      </c>
    </row>
    <row r="6920" spans="10:12">
      <c r="J6920" s="31">
        <v>91</v>
      </c>
      <c r="K6920" s="33" t="s">
        <v>168</v>
      </c>
      <c r="L6920" s="31" t="str">
        <f t="shared" ref="L6920:L6928" si="669">$L$93&amp;" "&amp;L6830</f>
        <v>Sembilan Puluh Satu</v>
      </c>
    </row>
    <row r="6921" spans="10:12">
      <c r="J6921" s="31">
        <v>92</v>
      </c>
      <c r="K6921" s="33" t="s">
        <v>169</v>
      </c>
      <c r="L6921" s="31" t="str">
        <f t="shared" si="669"/>
        <v>Sembilan Puluh Dua</v>
      </c>
    </row>
    <row r="6922" spans="10:12">
      <c r="J6922" s="31">
        <v>93</v>
      </c>
      <c r="K6922" s="33" t="s">
        <v>170</v>
      </c>
      <c r="L6922" s="31" t="str">
        <f t="shared" si="669"/>
        <v>Sembilan Puluh Tiga</v>
      </c>
    </row>
    <row r="6923" spans="10:12">
      <c r="J6923" s="31">
        <v>94</v>
      </c>
      <c r="K6923" s="33" t="s">
        <v>171</v>
      </c>
      <c r="L6923" s="31" t="str">
        <f t="shared" si="669"/>
        <v>Sembilan Puluh Empat</v>
      </c>
    </row>
    <row r="6924" spans="10:12">
      <c r="J6924" s="31">
        <v>95</v>
      </c>
      <c r="K6924" s="33" t="s">
        <v>172</v>
      </c>
      <c r="L6924" s="31" t="str">
        <f t="shared" si="669"/>
        <v>Sembilan Puluh Lima</v>
      </c>
    </row>
    <row r="6925" spans="10:12">
      <c r="J6925" s="31">
        <v>96</v>
      </c>
      <c r="K6925" s="33" t="s">
        <v>173</v>
      </c>
      <c r="L6925" s="31" t="str">
        <f t="shared" si="669"/>
        <v>Sembilan Puluh Enam</v>
      </c>
    </row>
    <row r="6926" spans="10:12">
      <c r="J6926" s="31">
        <v>97</v>
      </c>
      <c r="K6926" s="33" t="s">
        <v>174</v>
      </c>
      <c r="L6926" s="31" t="str">
        <f t="shared" si="669"/>
        <v>Sembilan Puluh Tujuh</v>
      </c>
    </row>
    <row r="6927" spans="10:12">
      <c r="J6927" s="31">
        <v>98</v>
      </c>
      <c r="K6927" s="33" t="s">
        <v>175</v>
      </c>
      <c r="L6927" s="31" t="str">
        <f t="shared" si="669"/>
        <v>Sembilan Puluh Delapan</v>
      </c>
    </row>
    <row r="6928" spans="10:12">
      <c r="J6928" s="31">
        <v>99</v>
      </c>
      <c r="K6928" s="33" t="s">
        <v>176</v>
      </c>
      <c r="L6928" s="31" t="str">
        <f t="shared" si="669"/>
        <v>Sembilan Puluh Sembilan</v>
      </c>
    </row>
    <row r="6930" spans="1:12">
      <c r="A6930" s="30" t="e">
        <f>#REF!</f>
        <v>#REF!</v>
      </c>
      <c r="C6930" s="31" t="s">
        <v>265</v>
      </c>
    </row>
    <row r="6931" spans="1:12">
      <c r="A6931" s="32"/>
    </row>
    <row r="6932" spans="1:12">
      <c r="J6932" s="31">
        <v>0</v>
      </c>
      <c r="K6932" s="33" t="s">
        <v>48</v>
      </c>
      <c r="L6932" s="31" t="s">
        <v>49</v>
      </c>
    </row>
    <row r="6933" spans="1:12">
      <c r="A6933" s="34"/>
      <c r="J6933" s="31">
        <v>1</v>
      </c>
      <c r="K6933" s="33" t="s">
        <v>50</v>
      </c>
      <c r="L6933" s="31" t="s">
        <v>51</v>
      </c>
    </row>
    <row r="6934" spans="1:12">
      <c r="A6934" s="255" t="e">
        <f>TRIM(D6942&amp;E6942&amp;D6943&amp;E6943&amp;D6944&amp;E6944&amp;D6945&amp;E6945&amp;D6946&amp;E6946&amp;D6947&amp;E6947&amp;E6948&amp;D6948&amp;" Only")</f>
        <v>#REF!</v>
      </c>
      <c r="B6934" s="255"/>
      <c r="C6934" s="255"/>
      <c r="D6934" s="255"/>
      <c r="E6934" s="35"/>
      <c r="F6934" s="36"/>
      <c r="J6934" s="31">
        <v>2</v>
      </c>
      <c r="K6934" s="33" t="s">
        <v>52</v>
      </c>
      <c r="L6934" s="31" t="s">
        <v>53</v>
      </c>
    </row>
    <row r="6935" spans="1:12">
      <c r="A6935" s="37"/>
      <c r="B6935" s="37"/>
      <c r="C6935" s="37"/>
      <c r="D6935" s="37"/>
      <c r="E6935" s="35"/>
      <c r="F6935" s="36"/>
      <c r="J6935" s="31">
        <v>3</v>
      </c>
      <c r="K6935" s="33" t="s">
        <v>54</v>
      </c>
      <c r="L6935" s="31" t="s">
        <v>55</v>
      </c>
    </row>
    <row r="6936" spans="1:12">
      <c r="A6936" s="37"/>
      <c r="B6936" s="37"/>
      <c r="C6936" s="37"/>
      <c r="D6936" s="37"/>
      <c r="J6936" s="31">
        <v>4</v>
      </c>
      <c r="K6936" s="33" t="s">
        <v>56</v>
      </c>
      <c r="L6936" s="31" t="s">
        <v>57</v>
      </c>
    </row>
    <row r="6937" spans="1:12">
      <c r="A6937" s="255" t="e">
        <f>TRIM(D6952&amp;E6952&amp;D6953&amp;E6953&amp;D6954&amp;E6954&amp;D6955&amp;E6955&amp;D6956&amp;E6956&amp;D6957&amp;E6957&amp;D6958&amp;E6958&amp;" Rupiah")</f>
        <v>#REF!</v>
      </c>
      <c r="B6937" s="255"/>
      <c r="C6937" s="255"/>
      <c r="D6937" s="255"/>
      <c r="E6937" s="35"/>
      <c r="F6937" s="36"/>
      <c r="J6937" s="31">
        <v>5</v>
      </c>
      <c r="K6937" s="33" t="s">
        <v>58</v>
      </c>
      <c r="L6937" s="31" t="s">
        <v>59</v>
      </c>
    </row>
    <row r="6938" spans="1:12">
      <c r="A6938" s="35"/>
      <c r="B6938" s="35"/>
      <c r="C6938" s="35"/>
      <c r="D6938" s="35"/>
      <c r="E6938" s="35"/>
      <c r="F6938" s="36"/>
      <c r="J6938" s="31">
        <v>6</v>
      </c>
      <c r="K6938" s="33" t="s">
        <v>60</v>
      </c>
      <c r="L6938" s="31" t="s">
        <v>61</v>
      </c>
    </row>
    <row r="6939" spans="1:12">
      <c r="J6939" s="31">
        <v>7</v>
      </c>
      <c r="K6939" s="33" t="s">
        <v>62</v>
      </c>
      <c r="L6939" s="31" t="s">
        <v>63</v>
      </c>
    </row>
    <row r="6940" spans="1:12">
      <c r="J6940" s="31">
        <v>8</v>
      </c>
      <c r="K6940" s="33" t="s">
        <v>64</v>
      </c>
      <c r="L6940" s="31" t="s">
        <v>65</v>
      </c>
    </row>
    <row r="6941" spans="1:12">
      <c r="A6941" s="38" t="s">
        <v>66</v>
      </c>
      <c r="J6941" s="31">
        <v>9</v>
      </c>
      <c r="K6941" s="33" t="s">
        <v>67</v>
      </c>
      <c r="L6941" s="31" t="s">
        <v>68</v>
      </c>
    </row>
    <row r="6942" spans="1:12">
      <c r="A6942" s="31" t="s">
        <v>69</v>
      </c>
      <c r="B6942" s="39" t="e">
        <f>TRUNC(A6930/100000000)</f>
        <v>#REF!</v>
      </c>
      <c r="C6942" s="31" t="e">
        <f>B6942*100000000</f>
        <v>#REF!</v>
      </c>
      <c r="D6942" s="31" t="e">
        <f t="shared" ref="D6942:D6948" si="670">IF(B6942&lt;1,"",VLOOKUP(B6942,$J$3:$K$102,2))</f>
        <v>#REF!</v>
      </c>
      <c r="E6942" s="31" t="e">
        <f>IF(B6942&lt;1,"",IF(B6942&gt;1," Hundreds "," Hundred "))</f>
        <v>#REF!</v>
      </c>
      <c r="J6942" s="31">
        <v>10</v>
      </c>
      <c r="K6942" s="33" t="s">
        <v>70</v>
      </c>
      <c r="L6942" s="31" t="s">
        <v>71</v>
      </c>
    </row>
    <row r="6943" spans="1:12">
      <c r="A6943" s="31" t="s">
        <v>72</v>
      </c>
      <c r="B6943" s="39" t="e">
        <f>TRUNC((A6930-C6942)/1000000)</f>
        <v>#REF!</v>
      </c>
      <c r="C6943" s="31" t="e">
        <f>B6943*1000000</f>
        <v>#REF!</v>
      </c>
      <c r="D6943" s="31" t="e">
        <f t="shared" si="670"/>
        <v>#REF!</v>
      </c>
      <c r="E6943" s="31" t="e">
        <f>IF(B6942+B6943=0,"",IF(B6943=1," Million "," Millions "))</f>
        <v>#REF!</v>
      </c>
      <c r="J6943" s="31">
        <v>11</v>
      </c>
      <c r="K6943" s="33" t="s">
        <v>73</v>
      </c>
      <c r="L6943" s="31" t="s">
        <v>74</v>
      </c>
    </row>
    <row r="6944" spans="1:12">
      <c r="A6944" s="31" t="s">
        <v>75</v>
      </c>
      <c r="B6944" s="39" t="e">
        <f>TRUNC((A6930-SUM(C6942:C6943))/100000)</f>
        <v>#REF!</v>
      </c>
      <c r="C6944" s="31" t="e">
        <f>B6944*100000</f>
        <v>#REF!</v>
      </c>
      <c r="D6944" s="31" t="e">
        <f t="shared" si="670"/>
        <v>#REF!</v>
      </c>
      <c r="E6944" s="31" t="e">
        <f>IF(B6944&lt;1,"",IF(B6944&gt;1," Hundreds "," Hundred "))</f>
        <v>#REF!</v>
      </c>
      <c r="J6944" s="31">
        <v>12</v>
      </c>
      <c r="K6944" s="33" t="s">
        <v>76</v>
      </c>
      <c r="L6944" s="31" t="str">
        <f t="shared" ref="L6944:L6951" si="671">L6934&amp;" Belas"</f>
        <v>Dua Belas</v>
      </c>
    </row>
    <row r="6945" spans="1:12">
      <c r="A6945" s="33" t="s">
        <v>77</v>
      </c>
      <c r="B6945" s="40" t="e">
        <f>TRUNC((A6930-SUM(C6942:C6944))/1000)</f>
        <v>#REF!</v>
      </c>
      <c r="C6945" s="31" t="e">
        <f>B6945*1000</f>
        <v>#REF!</v>
      </c>
      <c r="D6945" s="31" t="e">
        <f t="shared" si="670"/>
        <v>#REF!</v>
      </c>
      <c r="E6945" s="31" t="e">
        <f>IF(B6944+B6945=0,"",IF(B6945=1," Thousand "," Thousands "))</f>
        <v>#REF!</v>
      </c>
      <c r="J6945" s="31">
        <v>13</v>
      </c>
      <c r="K6945" s="33" t="s">
        <v>78</v>
      </c>
      <c r="L6945" s="31" t="str">
        <f t="shared" si="671"/>
        <v>Tiga Belas</v>
      </c>
    </row>
    <row r="6946" spans="1:12">
      <c r="A6946" s="33" t="s">
        <v>79</v>
      </c>
      <c r="B6946" s="40" t="e">
        <f>TRUNC((A6930-SUM(C6942:C6945))/100)</f>
        <v>#REF!</v>
      </c>
      <c r="C6946" s="31" t="e">
        <f>B6946*100</f>
        <v>#REF!</v>
      </c>
      <c r="D6946" s="31" t="e">
        <f t="shared" si="670"/>
        <v>#REF!</v>
      </c>
      <c r="E6946" s="31" t="e">
        <f>IF(B6946&lt;1,"",IF(B6946&gt;1," Hundreds "," Hundred "))</f>
        <v>#REF!</v>
      </c>
      <c r="J6946" s="31">
        <v>14</v>
      </c>
      <c r="K6946" s="33" t="s">
        <v>80</v>
      </c>
      <c r="L6946" s="31" t="str">
        <f t="shared" si="671"/>
        <v>Empat Belas</v>
      </c>
    </row>
    <row r="6947" spans="1:12">
      <c r="A6947" s="33" t="s">
        <v>81</v>
      </c>
      <c r="B6947" s="41" t="e">
        <f>TRUNC((A6930-SUM(C6942:C6946)))</f>
        <v>#REF!</v>
      </c>
      <c r="C6947" s="42" t="e">
        <f>B6947</f>
        <v>#REF!</v>
      </c>
      <c r="D6947" s="31" t="e">
        <f t="shared" si="670"/>
        <v>#REF!</v>
      </c>
      <c r="E6947" s="31" t="e">
        <f>IF(SUM(C6942:C6947)&lt;1,"",IF(B6948&lt;1,""," And "))</f>
        <v>#REF!</v>
      </c>
      <c r="J6947" s="31">
        <v>15</v>
      </c>
      <c r="K6947" s="33" t="s">
        <v>82</v>
      </c>
      <c r="L6947" s="31" t="str">
        <f t="shared" si="671"/>
        <v>Lima Belas</v>
      </c>
    </row>
    <row r="6948" spans="1:12">
      <c r="A6948" s="33" t="s">
        <v>83</v>
      </c>
      <c r="B6948" s="40" t="e">
        <f>ROUND(A6930-SUM(C6942:C6947),2)*100</f>
        <v>#REF!</v>
      </c>
      <c r="D6948" s="43" t="e">
        <f t="shared" si="670"/>
        <v>#REF!</v>
      </c>
      <c r="E6948" s="31" t="e">
        <f>IF(B6948&lt;1,"",IF(B6948=1," Cent "," Cents "))</f>
        <v>#REF!</v>
      </c>
      <c r="J6948" s="31">
        <v>16</v>
      </c>
      <c r="K6948" s="33" t="s">
        <v>84</v>
      </c>
      <c r="L6948" s="31" t="str">
        <f t="shared" si="671"/>
        <v>Enam Belas</v>
      </c>
    </row>
    <row r="6949" spans="1:12">
      <c r="J6949" s="31">
        <v>17</v>
      </c>
      <c r="K6949" s="33" t="s">
        <v>85</v>
      </c>
      <c r="L6949" s="31" t="str">
        <f t="shared" si="671"/>
        <v>Tujuh Belas</v>
      </c>
    </row>
    <row r="6950" spans="1:12">
      <c r="A6950" s="44"/>
      <c r="J6950" s="31">
        <v>18</v>
      </c>
      <c r="K6950" s="33" t="s">
        <v>86</v>
      </c>
      <c r="L6950" s="31" t="str">
        <f t="shared" si="671"/>
        <v>Delapan Belas</v>
      </c>
    </row>
    <row r="6951" spans="1:12">
      <c r="A6951" s="38" t="s">
        <v>87</v>
      </c>
      <c r="J6951" s="31">
        <v>19</v>
      </c>
      <c r="K6951" s="33" t="s">
        <v>88</v>
      </c>
      <c r="L6951" s="31" t="str">
        <f t="shared" si="671"/>
        <v>Sembilan Belas</v>
      </c>
    </row>
    <row r="6952" spans="1:12">
      <c r="A6952" s="31" t="s">
        <v>69</v>
      </c>
      <c r="B6952" s="39" t="e">
        <f>TRUNC(A6930/100000000)</f>
        <v>#REF!</v>
      </c>
      <c r="C6952" s="31" t="e">
        <f>B6952*100000000</f>
        <v>#REF!</v>
      </c>
      <c r="D6952" s="31" t="e">
        <f>IF(B6952&lt;1,"",IF(B6952=1,"",VLOOKUP(B6952,$J$3:$L$102,3)))</f>
        <v>#REF!</v>
      </c>
      <c r="E6952" s="31" t="e">
        <f>IF(B6952&lt;1,"",IF(B6952=1,"Seratus "," Ratus "))</f>
        <v>#REF!</v>
      </c>
      <c r="J6952" s="31">
        <v>20</v>
      </c>
      <c r="K6952" s="33" t="s">
        <v>89</v>
      </c>
      <c r="L6952" s="31" t="s">
        <v>90</v>
      </c>
    </row>
    <row r="6953" spans="1:12">
      <c r="A6953" s="31" t="s">
        <v>72</v>
      </c>
      <c r="B6953" s="39" t="e">
        <f>TRUNC((A6930-C6952)/1000000)</f>
        <v>#REF!</v>
      </c>
      <c r="C6953" s="31" t="e">
        <f>B6953*1000000</f>
        <v>#REF!</v>
      </c>
      <c r="D6953" s="31" t="e">
        <f>IF(B6953&lt;1,"",VLOOKUP(B6953,$J$3:$L$102,3))</f>
        <v>#REF!</v>
      </c>
      <c r="E6953" s="31" t="e">
        <f>IF(B6952+B6953=0,""," Juta ")</f>
        <v>#REF!</v>
      </c>
      <c r="J6953" s="31">
        <v>21</v>
      </c>
      <c r="K6953" s="33" t="s">
        <v>91</v>
      </c>
      <c r="L6953" s="31" t="str">
        <f t="shared" ref="L6953:L6961" si="672">$L$23&amp;" "&amp;L6933</f>
        <v>Dua Puluh Satu</v>
      </c>
    </row>
    <row r="6954" spans="1:12">
      <c r="A6954" s="31" t="s">
        <v>75</v>
      </c>
      <c r="B6954" s="39" t="e">
        <f>TRUNC((A6930-SUM(C6952:C6953))/100000)</f>
        <v>#REF!</v>
      </c>
      <c r="C6954" s="31" t="e">
        <f>B6954*100000</f>
        <v>#REF!</v>
      </c>
      <c r="D6954" s="31" t="e">
        <f>IF(B6954&lt;1,"",IF(B6954=1,"",VLOOKUP(B6954,$J$3:$L$102,3)))</f>
        <v>#REF!</v>
      </c>
      <c r="E6954" s="31" t="e">
        <f>IF(B6954&lt;1,"",IF(B6954=1," Seratus "," Ratus "))</f>
        <v>#REF!</v>
      </c>
      <c r="J6954" s="31">
        <v>22</v>
      </c>
      <c r="K6954" s="33" t="s">
        <v>92</v>
      </c>
      <c r="L6954" s="31" t="str">
        <f t="shared" si="672"/>
        <v>Dua Puluh Dua</v>
      </c>
    </row>
    <row r="6955" spans="1:12">
      <c r="A6955" s="33" t="s">
        <v>77</v>
      </c>
      <c r="B6955" s="40" t="e">
        <f>TRUNC((A6930-SUM(C6952:C6954))/1000)</f>
        <v>#REF!</v>
      </c>
      <c r="C6955" s="31" t="e">
        <f>B6955*1000</f>
        <v>#REF!</v>
      </c>
      <c r="D6955" s="31" t="e">
        <f>IF(B6955&lt;1,"",IF(B6955=1,"",VLOOKUP(B6955,$J$3:$L$102,3)))</f>
        <v>#REF!</v>
      </c>
      <c r="E6955" s="31" t="e">
        <f>IF(B6954+B6955&lt;1,"",IF(B6955=1," Seribu "," Ribu "))</f>
        <v>#REF!</v>
      </c>
      <c r="J6955" s="31">
        <v>23</v>
      </c>
      <c r="K6955" s="33" t="s">
        <v>93</v>
      </c>
      <c r="L6955" s="31" t="str">
        <f t="shared" si="672"/>
        <v>Dua Puluh Tiga</v>
      </c>
    </row>
    <row r="6956" spans="1:12">
      <c r="A6956" s="33" t="s">
        <v>79</v>
      </c>
      <c r="B6956" s="40" t="e">
        <f>TRUNC((A6930-SUM(C6952:C6955))/100)</f>
        <v>#REF!</v>
      </c>
      <c r="C6956" s="31" t="e">
        <f>B6956*100</f>
        <v>#REF!</v>
      </c>
      <c r="D6956" s="31" t="e">
        <f>IF(B6956&lt;1,"",IF(B6956=1,"",VLOOKUP(B6956,$J$3:$L$102,3)))</f>
        <v>#REF!</v>
      </c>
      <c r="E6956" s="31" t="e">
        <f>IF(B6956&lt;1,"",IF(B6956=1," Seratus "," Ratus "))</f>
        <v>#REF!</v>
      </c>
      <c r="J6956" s="31">
        <v>24</v>
      </c>
      <c r="K6956" s="33" t="s">
        <v>94</v>
      </c>
      <c r="L6956" s="31" t="str">
        <f t="shared" si="672"/>
        <v>Dua Puluh Empat</v>
      </c>
    </row>
    <row r="6957" spans="1:12">
      <c r="A6957" s="33" t="s">
        <v>81</v>
      </c>
      <c r="B6957" s="41" t="e">
        <f>TRUNC((A6930-SUM(C6952:C6956)))</f>
        <v>#REF!</v>
      </c>
      <c r="C6957" s="42" t="e">
        <f>B6957</f>
        <v>#REF!</v>
      </c>
      <c r="D6957" s="31" t="e">
        <f>IF(B6957&lt;1,"",VLOOKUP(B6957,$J$3:$L$102,3))</f>
        <v>#REF!</v>
      </c>
      <c r="E6957" s="31" t="e">
        <f>IF(SUM(C6952:C6957)&lt;1,"",IF(B6958&lt;1,""," Dan "))</f>
        <v>#REF!</v>
      </c>
      <c r="J6957" s="31">
        <v>25</v>
      </c>
      <c r="K6957" s="33" t="s">
        <v>95</v>
      </c>
      <c r="L6957" s="31" t="str">
        <f t="shared" si="672"/>
        <v>Dua Puluh Lima</v>
      </c>
    </row>
    <row r="6958" spans="1:12">
      <c r="A6958" s="33" t="s">
        <v>83</v>
      </c>
      <c r="B6958" s="40" t="e">
        <f>ROUND(A6930-SUM(C6952:C6957),2)*100</f>
        <v>#REF!</v>
      </c>
      <c r="D6958" s="31" t="e">
        <f>IF(B6958&lt;1,"",VLOOKUP(B6958,$J$3:$L$102,3))</f>
        <v>#REF!</v>
      </c>
      <c r="E6958" s="31" t="e">
        <f>IF(B6958&lt;1,""," Sen ")</f>
        <v>#REF!</v>
      </c>
      <c r="J6958" s="31">
        <v>26</v>
      </c>
      <c r="K6958" s="33" t="s">
        <v>96</v>
      </c>
      <c r="L6958" s="31" t="str">
        <f t="shared" si="672"/>
        <v>Dua Puluh Enam</v>
      </c>
    </row>
    <row r="6959" spans="1:12">
      <c r="J6959" s="31">
        <v>27</v>
      </c>
      <c r="K6959" s="33" t="s">
        <v>97</v>
      </c>
      <c r="L6959" s="31" t="str">
        <f t="shared" si="672"/>
        <v>Dua Puluh Tujuh</v>
      </c>
    </row>
    <row r="6960" spans="1:12">
      <c r="J6960" s="31">
        <v>28</v>
      </c>
      <c r="K6960" s="33" t="s">
        <v>98</v>
      </c>
      <c r="L6960" s="31" t="str">
        <f t="shared" si="672"/>
        <v>Dua Puluh Delapan</v>
      </c>
    </row>
    <row r="6961" spans="1:12">
      <c r="J6961" s="31">
        <v>29</v>
      </c>
      <c r="K6961" s="33" t="s">
        <v>99</v>
      </c>
      <c r="L6961" s="31" t="str">
        <f t="shared" si="672"/>
        <v>Dua Puluh Sembilan</v>
      </c>
    </row>
    <row r="6962" spans="1:12">
      <c r="J6962" s="31">
        <v>30</v>
      </c>
      <c r="K6962" s="33" t="s">
        <v>100</v>
      </c>
      <c r="L6962" s="31" t="s">
        <v>101</v>
      </c>
    </row>
    <row r="6963" spans="1:12">
      <c r="J6963" s="31">
        <v>31</v>
      </c>
      <c r="K6963" s="33" t="s">
        <v>102</v>
      </c>
      <c r="L6963" s="31" t="str">
        <f t="shared" ref="L6963:L6971" si="673">$L$33&amp;" "&amp;L6933</f>
        <v>Tiga Puluh Satu</v>
      </c>
    </row>
    <row r="6964" spans="1:12">
      <c r="J6964" s="31">
        <v>32</v>
      </c>
      <c r="K6964" s="33" t="s">
        <v>103</v>
      </c>
      <c r="L6964" s="31" t="str">
        <f t="shared" si="673"/>
        <v>Tiga Puluh Dua</v>
      </c>
    </row>
    <row r="6965" spans="1:12">
      <c r="J6965" s="31">
        <v>33</v>
      </c>
      <c r="K6965" s="33" t="s">
        <v>104</v>
      </c>
      <c r="L6965" s="31" t="str">
        <f t="shared" si="673"/>
        <v>Tiga Puluh Tiga</v>
      </c>
    </row>
    <row r="6966" spans="1:12">
      <c r="J6966" s="31">
        <v>34</v>
      </c>
      <c r="K6966" s="33" t="s">
        <v>105</v>
      </c>
      <c r="L6966" s="31" t="str">
        <f t="shared" si="673"/>
        <v>Tiga Puluh Empat</v>
      </c>
    </row>
    <row r="6967" spans="1:12">
      <c r="J6967" s="31">
        <v>35</v>
      </c>
      <c r="K6967" s="33" t="s">
        <v>106</v>
      </c>
      <c r="L6967" s="31" t="str">
        <f t="shared" si="673"/>
        <v>Tiga Puluh Lima</v>
      </c>
    </row>
    <row r="6968" spans="1:12">
      <c r="J6968" s="31">
        <v>36</v>
      </c>
      <c r="K6968" s="33" t="s">
        <v>107</v>
      </c>
      <c r="L6968" s="31" t="str">
        <f t="shared" si="673"/>
        <v>Tiga Puluh Enam</v>
      </c>
    </row>
    <row r="6969" spans="1:12">
      <c r="J6969" s="31">
        <v>37</v>
      </c>
      <c r="K6969" s="33" t="s">
        <v>108</v>
      </c>
      <c r="L6969" s="31" t="str">
        <f t="shared" si="673"/>
        <v>Tiga Puluh Tujuh</v>
      </c>
    </row>
    <row r="6970" spans="1:12">
      <c r="J6970" s="31">
        <v>38</v>
      </c>
      <c r="K6970" s="33" t="s">
        <v>109</v>
      </c>
      <c r="L6970" s="31" t="str">
        <f t="shared" si="673"/>
        <v>Tiga Puluh Delapan</v>
      </c>
    </row>
    <row r="6971" spans="1:12">
      <c r="J6971" s="31">
        <v>39</v>
      </c>
      <c r="K6971" s="33" t="s">
        <v>110</v>
      </c>
      <c r="L6971" s="31" t="str">
        <f t="shared" si="673"/>
        <v>Tiga Puluh Sembilan</v>
      </c>
    </row>
    <row r="6972" spans="1:12">
      <c r="B6972" s="35"/>
      <c r="C6972" s="35"/>
      <c r="D6972" s="35"/>
      <c r="J6972" s="31">
        <v>40</v>
      </c>
      <c r="K6972" s="33" t="s">
        <v>111</v>
      </c>
      <c r="L6972" s="31" t="s">
        <v>112</v>
      </c>
    </row>
    <row r="6973" spans="1:12">
      <c r="A6973" s="35"/>
      <c r="B6973" s="35"/>
      <c r="C6973" s="35"/>
      <c r="D6973" s="35"/>
      <c r="J6973" s="31">
        <v>41</v>
      </c>
      <c r="K6973" s="33" t="s">
        <v>113</v>
      </c>
      <c r="L6973" s="31" t="str">
        <f t="shared" ref="L6973:L6981" si="674">$L$43&amp;" "&amp;L6933</f>
        <v>Empat Puluh Satu</v>
      </c>
    </row>
    <row r="6974" spans="1:12">
      <c r="J6974" s="31">
        <v>42</v>
      </c>
      <c r="K6974" s="33" t="s">
        <v>114</v>
      </c>
      <c r="L6974" s="31" t="str">
        <f t="shared" si="674"/>
        <v>Empat Puluh Dua</v>
      </c>
    </row>
    <row r="6975" spans="1:12">
      <c r="A6975" s="38"/>
      <c r="J6975" s="31">
        <v>43</v>
      </c>
      <c r="K6975" s="33" t="s">
        <v>115</v>
      </c>
      <c r="L6975" s="31" t="str">
        <f t="shared" si="674"/>
        <v>Empat Puluh Tiga</v>
      </c>
    </row>
    <row r="6976" spans="1:12">
      <c r="J6976" s="31">
        <v>44</v>
      </c>
      <c r="K6976" s="33" t="s">
        <v>116</v>
      </c>
      <c r="L6976" s="31" t="str">
        <f t="shared" si="674"/>
        <v>Empat Puluh Empat</v>
      </c>
    </row>
    <row r="6977" spans="10:12">
      <c r="J6977" s="31">
        <v>45</v>
      </c>
      <c r="K6977" s="33" t="s">
        <v>117</v>
      </c>
      <c r="L6977" s="31" t="str">
        <f t="shared" si="674"/>
        <v>Empat Puluh Lima</v>
      </c>
    </row>
    <row r="6978" spans="10:12">
      <c r="J6978" s="31">
        <v>46</v>
      </c>
      <c r="K6978" s="33" t="s">
        <v>118</v>
      </c>
      <c r="L6978" s="31" t="str">
        <f t="shared" si="674"/>
        <v>Empat Puluh Enam</v>
      </c>
    </row>
    <row r="6979" spans="10:12">
      <c r="J6979" s="31">
        <v>47</v>
      </c>
      <c r="K6979" s="33" t="s">
        <v>119</v>
      </c>
      <c r="L6979" s="31" t="str">
        <f t="shared" si="674"/>
        <v>Empat Puluh Tujuh</v>
      </c>
    </row>
    <row r="6980" spans="10:12">
      <c r="J6980" s="31">
        <v>48</v>
      </c>
      <c r="K6980" s="33" t="s">
        <v>120</v>
      </c>
      <c r="L6980" s="31" t="str">
        <f t="shared" si="674"/>
        <v>Empat Puluh Delapan</v>
      </c>
    </row>
    <row r="6981" spans="10:12">
      <c r="J6981" s="31">
        <v>49</v>
      </c>
      <c r="K6981" s="33" t="s">
        <v>121</v>
      </c>
      <c r="L6981" s="31" t="str">
        <f t="shared" si="674"/>
        <v>Empat Puluh Sembilan</v>
      </c>
    </row>
    <row r="6982" spans="10:12">
      <c r="J6982" s="31">
        <v>50</v>
      </c>
      <c r="K6982" s="33" t="s">
        <v>122</v>
      </c>
      <c r="L6982" s="31" t="s">
        <v>123</v>
      </c>
    </row>
    <row r="6983" spans="10:12">
      <c r="J6983" s="31">
        <v>51</v>
      </c>
      <c r="K6983" s="33" t="s">
        <v>124</v>
      </c>
      <c r="L6983" s="31" t="str">
        <f t="shared" ref="L6983:L6991" si="675">$L$53&amp;" "&amp;L6933</f>
        <v>Lima Puluh Satu</v>
      </c>
    </row>
    <row r="6984" spans="10:12">
      <c r="J6984" s="31">
        <v>52</v>
      </c>
      <c r="K6984" s="33" t="s">
        <v>125</v>
      </c>
      <c r="L6984" s="31" t="str">
        <f t="shared" si="675"/>
        <v>Lima Puluh Dua</v>
      </c>
    </row>
    <row r="6985" spans="10:12">
      <c r="J6985" s="31">
        <v>53</v>
      </c>
      <c r="K6985" s="33" t="s">
        <v>126</v>
      </c>
      <c r="L6985" s="31" t="str">
        <f t="shared" si="675"/>
        <v>Lima Puluh Tiga</v>
      </c>
    </row>
    <row r="6986" spans="10:12">
      <c r="J6986" s="31">
        <v>54</v>
      </c>
      <c r="K6986" s="33" t="s">
        <v>127</v>
      </c>
      <c r="L6986" s="31" t="str">
        <f t="shared" si="675"/>
        <v>Lima Puluh Empat</v>
      </c>
    </row>
    <row r="6987" spans="10:12">
      <c r="J6987" s="31">
        <v>55</v>
      </c>
      <c r="K6987" s="33" t="s">
        <v>128</v>
      </c>
      <c r="L6987" s="31" t="str">
        <f t="shared" si="675"/>
        <v>Lima Puluh Lima</v>
      </c>
    </row>
    <row r="6988" spans="10:12">
      <c r="J6988" s="31">
        <v>56</v>
      </c>
      <c r="K6988" s="33" t="s">
        <v>129</v>
      </c>
      <c r="L6988" s="31" t="str">
        <f t="shared" si="675"/>
        <v>Lima Puluh Enam</v>
      </c>
    </row>
    <row r="6989" spans="10:12">
      <c r="J6989" s="31">
        <v>57</v>
      </c>
      <c r="K6989" s="33" t="s">
        <v>130</v>
      </c>
      <c r="L6989" s="31" t="str">
        <f t="shared" si="675"/>
        <v>Lima Puluh Tujuh</v>
      </c>
    </row>
    <row r="6990" spans="10:12">
      <c r="J6990" s="31">
        <v>58</v>
      </c>
      <c r="K6990" s="33" t="s">
        <v>131</v>
      </c>
      <c r="L6990" s="31" t="str">
        <f t="shared" si="675"/>
        <v>Lima Puluh Delapan</v>
      </c>
    </row>
    <row r="6991" spans="10:12">
      <c r="J6991" s="31">
        <v>59</v>
      </c>
      <c r="K6991" s="33" t="s">
        <v>132</v>
      </c>
      <c r="L6991" s="31" t="str">
        <f t="shared" si="675"/>
        <v>Lima Puluh Sembilan</v>
      </c>
    </row>
    <row r="6992" spans="10:12">
      <c r="J6992" s="31">
        <v>60</v>
      </c>
      <c r="K6992" s="33" t="s">
        <v>133</v>
      </c>
      <c r="L6992" s="31" t="s">
        <v>134</v>
      </c>
    </row>
    <row r="6993" spans="10:12">
      <c r="J6993" s="31">
        <v>61</v>
      </c>
      <c r="K6993" s="33" t="s">
        <v>135</v>
      </c>
      <c r="L6993" s="31" t="str">
        <f t="shared" ref="L6993:L7001" si="676">$L$63&amp;" "&amp;L6933</f>
        <v>Enam Puluh Satu</v>
      </c>
    </row>
    <row r="6994" spans="10:12">
      <c r="J6994" s="31">
        <v>62</v>
      </c>
      <c r="K6994" s="33" t="s">
        <v>136</v>
      </c>
      <c r="L6994" s="31" t="str">
        <f t="shared" si="676"/>
        <v>Enam Puluh Dua</v>
      </c>
    </row>
    <row r="6995" spans="10:12">
      <c r="J6995" s="31">
        <v>63</v>
      </c>
      <c r="K6995" s="33" t="s">
        <v>137</v>
      </c>
      <c r="L6995" s="31" t="str">
        <f t="shared" si="676"/>
        <v>Enam Puluh Tiga</v>
      </c>
    </row>
    <row r="6996" spans="10:12">
      <c r="J6996" s="31">
        <v>64</v>
      </c>
      <c r="K6996" s="33" t="s">
        <v>138</v>
      </c>
      <c r="L6996" s="31" t="str">
        <f t="shared" si="676"/>
        <v>Enam Puluh Empat</v>
      </c>
    </row>
    <row r="6997" spans="10:12">
      <c r="J6997" s="31">
        <v>65</v>
      </c>
      <c r="K6997" s="33" t="s">
        <v>139</v>
      </c>
      <c r="L6997" s="31" t="str">
        <f t="shared" si="676"/>
        <v>Enam Puluh Lima</v>
      </c>
    </row>
    <row r="6998" spans="10:12">
      <c r="J6998" s="31">
        <v>66</v>
      </c>
      <c r="K6998" s="33" t="s">
        <v>140</v>
      </c>
      <c r="L6998" s="31" t="str">
        <f t="shared" si="676"/>
        <v>Enam Puluh Enam</v>
      </c>
    </row>
    <row r="6999" spans="10:12">
      <c r="J6999" s="31">
        <v>67</v>
      </c>
      <c r="K6999" s="33" t="s">
        <v>141</v>
      </c>
      <c r="L6999" s="31" t="str">
        <f t="shared" si="676"/>
        <v>Enam Puluh Tujuh</v>
      </c>
    </row>
    <row r="7000" spans="10:12">
      <c r="J7000" s="31">
        <v>68</v>
      </c>
      <c r="K7000" s="33" t="s">
        <v>142</v>
      </c>
      <c r="L7000" s="31" t="str">
        <f t="shared" si="676"/>
        <v>Enam Puluh Delapan</v>
      </c>
    </row>
    <row r="7001" spans="10:12">
      <c r="J7001" s="31">
        <v>69</v>
      </c>
      <c r="K7001" s="33" t="s">
        <v>143</v>
      </c>
      <c r="L7001" s="31" t="str">
        <f t="shared" si="676"/>
        <v>Enam Puluh Sembilan</v>
      </c>
    </row>
    <row r="7002" spans="10:12">
      <c r="J7002" s="31">
        <v>70</v>
      </c>
      <c r="K7002" s="33" t="s">
        <v>144</v>
      </c>
      <c r="L7002" s="31" t="s">
        <v>145</v>
      </c>
    </row>
    <row r="7003" spans="10:12">
      <c r="J7003" s="31">
        <v>71</v>
      </c>
      <c r="K7003" s="33" t="s">
        <v>146</v>
      </c>
      <c r="L7003" s="31" t="str">
        <f t="shared" ref="L7003:L7011" si="677">$L$73&amp;" "&amp;L6933</f>
        <v>Tujuh Puluh Satu</v>
      </c>
    </row>
    <row r="7004" spans="10:12">
      <c r="J7004" s="31">
        <v>72</v>
      </c>
      <c r="K7004" s="33" t="s">
        <v>147</v>
      </c>
      <c r="L7004" s="31" t="str">
        <f t="shared" si="677"/>
        <v>Tujuh Puluh Dua</v>
      </c>
    </row>
    <row r="7005" spans="10:12">
      <c r="J7005" s="31">
        <v>73</v>
      </c>
      <c r="K7005" s="33" t="s">
        <v>148</v>
      </c>
      <c r="L7005" s="31" t="str">
        <f t="shared" si="677"/>
        <v>Tujuh Puluh Tiga</v>
      </c>
    </row>
    <row r="7006" spans="10:12">
      <c r="J7006" s="31">
        <v>74</v>
      </c>
      <c r="K7006" s="33" t="s">
        <v>149</v>
      </c>
      <c r="L7006" s="31" t="str">
        <f t="shared" si="677"/>
        <v>Tujuh Puluh Empat</v>
      </c>
    </row>
    <row r="7007" spans="10:12">
      <c r="J7007" s="31">
        <v>75</v>
      </c>
      <c r="K7007" s="33" t="s">
        <v>150</v>
      </c>
      <c r="L7007" s="31" t="str">
        <f t="shared" si="677"/>
        <v>Tujuh Puluh Lima</v>
      </c>
    </row>
    <row r="7008" spans="10:12">
      <c r="J7008" s="31">
        <v>76</v>
      </c>
      <c r="K7008" s="33" t="s">
        <v>151</v>
      </c>
      <c r="L7008" s="31" t="str">
        <f t="shared" si="677"/>
        <v>Tujuh Puluh Enam</v>
      </c>
    </row>
    <row r="7009" spans="10:12">
      <c r="J7009" s="31">
        <v>77</v>
      </c>
      <c r="K7009" s="33" t="s">
        <v>152</v>
      </c>
      <c r="L7009" s="31" t="str">
        <f t="shared" si="677"/>
        <v>Tujuh Puluh Tujuh</v>
      </c>
    </row>
    <row r="7010" spans="10:12">
      <c r="J7010" s="31">
        <v>78</v>
      </c>
      <c r="K7010" s="33" t="s">
        <v>153</v>
      </c>
      <c r="L7010" s="31" t="str">
        <f t="shared" si="677"/>
        <v>Tujuh Puluh Delapan</v>
      </c>
    </row>
    <row r="7011" spans="10:12">
      <c r="J7011" s="31">
        <v>79</v>
      </c>
      <c r="K7011" s="33" t="s">
        <v>154</v>
      </c>
      <c r="L7011" s="31" t="str">
        <f t="shared" si="677"/>
        <v>Tujuh Puluh Sembilan</v>
      </c>
    </row>
    <row r="7012" spans="10:12">
      <c r="J7012" s="31">
        <v>80</v>
      </c>
      <c r="K7012" s="33" t="s">
        <v>155</v>
      </c>
      <c r="L7012" s="31" t="s">
        <v>156</v>
      </c>
    </row>
    <row r="7013" spans="10:12">
      <c r="J7013" s="31">
        <v>81</v>
      </c>
      <c r="K7013" s="33" t="s">
        <v>157</v>
      </c>
      <c r="L7013" s="31" t="str">
        <f t="shared" ref="L7013:L7021" si="678">$L$83&amp;" "&amp;L6933</f>
        <v>Delapan Puluh Satu</v>
      </c>
    </row>
    <row r="7014" spans="10:12">
      <c r="J7014" s="31">
        <v>82</v>
      </c>
      <c r="K7014" s="33" t="s">
        <v>158</v>
      </c>
      <c r="L7014" s="31" t="str">
        <f t="shared" si="678"/>
        <v>Delapan Puluh Dua</v>
      </c>
    </row>
    <row r="7015" spans="10:12">
      <c r="J7015" s="31">
        <v>83</v>
      </c>
      <c r="K7015" s="33" t="s">
        <v>159</v>
      </c>
      <c r="L7015" s="31" t="str">
        <f t="shared" si="678"/>
        <v>Delapan Puluh Tiga</v>
      </c>
    </row>
    <row r="7016" spans="10:12">
      <c r="J7016" s="31">
        <v>84</v>
      </c>
      <c r="K7016" s="33" t="s">
        <v>160</v>
      </c>
      <c r="L7016" s="31" t="str">
        <f t="shared" si="678"/>
        <v>Delapan Puluh Empat</v>
      </c>
    </row>
    <row r="7017" spans="10:12">
      <c r="J7017" s="31">
        <v>85</v>
      </c>
      <c r="K7017" s="33" t="s">
        <v>161</v>
      </c>
      <c r="L7017" s="31" t="str">
        <f t="shared" si="678"/>
        <v>Delapan Puluh Lima</v>
      </c>
    </row>
    <row r="7018" spans="10:12">
      <c r="J7018" s="31">
        <v>86</v>
      </c>
      <c r="K7018" s="33" t="s">
        <v>162</v>
      </c>
      <c r="L7018" s="31" t="str">
        <f t="shared" si="678"/>
        <v>Delapan Puluh Enam</v>
      </c>
    </row>
    <row r="7019" spans="10:12">
      <c r="J7019" s="31">
        <v>87</v>
      </c>
      <c r="K7019" s="33" t="s">
        <v>163</v>
      </c>
      <c r="L7019" s="31" t="str">
        <f t="shared" si="678"/>
        <v>Delapan Puluh Tujuh</v>
      </c>
    </row>
    <row r="7020" spans="10:12">
      <c r="J7020" s="31">
        <v>88</v>
      </c>
      <c r="K7020" s="33" t="s">
        <v>164</v>
      </c>
      <c r="L7020" s="31" t="str">
        <f t="shared" si="678"/>
        <v>Delapan Puluh Delapan</v>
      </c>
    </row>
    <row r="7021" spans="10:12">
      <c r="J7021" s="31">
        <v>89</v>
      </c>
      <c r="K7021" s="33" t="s">
        <v>165</v>
      </c>
      <c r="L7021" s="31" t="str">
        <f t="shared" si="678"/>
        <v>Delapan Puluh Sembilan</v>
      </c>
    </row>
    <row r="7022" spans="10:12">
      <c r="J7022" s="31">
        <v>90</v>
      </c>
      <c r="K7022" s="33" t="s">
        <v>166</v>
      </c>
      <c r="L7022" s="31" t="s">
        <v>167</v>
      </c>
    </row>
    <row r="7023" spans="10:12">
      <c r="J7023" s="31">
        <v>91</v>
      </c>
      <c r="K7023" s="33" t="s">
        <v>168</v>
      </c>
      <c r="L7023" s="31" t="str">
        <f t="shared" ref="L7023:L7031" si="679">$L$93&amp;" "&amp;L6933</f>
        <v>Sembilan Puluh Satu</v>
      </c>
    </row>
    <row r="7024" spans="10:12">
      <c r="J7024" s="31">
        <v>92</v>
      </c>
      <c r="K7024" s="33" t="s">
        <v>169</v>
      </c>
      <c r="L7024" s="31" t="str">
        <f t="shared" si="679"/>
        <v>Sembilan Puluh Dua</v>
      </c>
    </row>
    <row r="7025" spans="1:12">
      <c r="J7025" s="31">
        <v>93</v>
      </c>
      <c r="K7025" s="33" t="s">
        <v>170</v>
      </c>
      <c r="L7025" s="31" t="str">
        <f t="shared" si="679"/>
        <v>Sembilan Puluh Tiga</v>
      </c>
    </row>
    <row r="7026" spans="1:12">
      <c r="J7026" s="31">
        <v>94</v>
      </c>
      <c r="K7026" s="33" t="s">
        <v>171</v>
      </c>
      <c r="L7026" s="31" t="str">
        <f t="shared" si="679"/>
        <v>Sembilan Puluh Empat</v>
      </c>
    </row>
    <row r="7027" spans="1:12">
      <c r="J7027" s="31">
        <v>95</v>
      </c>
      <c r="K7027" s="33" t="s">
        <v>172</v>
      </c>
      <c r="L7027" s="31" t="str">
        <f t="shared" si="679"/>
        <v>Sembilan Puluh Lima</v>
      </c>
    </row>
    <row r="7028" spans="1:12">
      <c r="J7028" s="31">
        <v>96</v>
      </c>
      <c r="K7028" s="33" t="s">
        <v>173</v>
      </c>
      <c r="L7028" s="31" t="str">
        <f t="shared" si="679"/>
        <v>Sembilan Puluh Enam</v>
      </c>
    </row>
    <row r="7029" spans="1:12">
      <c r="J7029" s="31">
        <v>97</v>
      </c>
      <c r="K7029" s="33" t="s">
        <v>174</v>
      </c>
      <c r="L7029" s="31" t="str">
        <f t="shared" si="679"/>
        <v>Sembilan Puluh Tujuh</v>
      </c>
    </row>
    <row r="7030" spans="1:12">
      <c r="J7030" s="31">
        <v>98</v>
      </c>
      <c r="K7030" s="33" t="s">
        <v>175</v>
      </c>
      <c r="L7030" s="31" t="str">
        <f t="shared" si="679"/>
        <v>Sembilan Puluh Delapan</v>
      </c>
    </row>
    <row r="7031" spans="1:12">
      <c r="J7031" s="31">
        <v>99</v>
      </c>
      <c r="K7031" s="33" t="s">
        <v>176</v>
      </c>
      <c r="L7031" s="31" t="str">
        <f t="shared" si="679"/>
        <v>Sembilan Puluh Sembilan</v>
      </c>
    </row>
    <row r="7033" spans="1:12">
      <c r="A7033" s="30" t="e">
        <f>#REF!</f>
        <v>#REF!</v>
      </c>
      <c r="C7033" s="31" t="s">
        <v>266</v>
      </c>
    </row>
    <row r="7034" spans="1:12">
      <c r="A7034" s="32"/>
    </row>
    <row r="7035" spans="1:12">
      <c r="J7035" s="31">
        <v>0</v>
      </c>
      <c r="K7035" s="33" t="s">
        <v>48</v>
      </c>
      <c r="L7035" s="31" t="s">
        <v>49</v>
      </c>
    </row>
    <row r="7036" spans="1:12">
      <c r="A7036" s="34"/>
      <c r="J7036" s="31">
        <v>1</v>
      </c>
      <c r="K7036" s="33" t="s">
        <v>50</v>
      </c>
      <c r="L7036" s="31" t="s">
        <v>51</v>
      </c>
    </row>
    <row r="7037" spans="1:12">
      <c r="A7037" s="255" t="e">
        <f>TRIM(D7045&amp;E7045&amp;D7046&amp;E7046&amp;D7047&amp;E7047&amp;D7048&amp;E7048&amp;D7049&amp;E7049&amp;D7050&amp;E7050&amp;E7051&amp;D7051&amp;" Only")</f>
        <v>#REF!</v>
      </c>
      <c r="B7037" s="255"/>
      <c r="C7037" s="255"/>
      <c r="D7037" s="255"/>
      <c r="E7037" s="35"/>
      <c r="F7037" s="36"/>
      <c r="J7037" s="31">
        <v>2</v>
      </c>
      <c r="K7037" s="33" t="s">
        <v>52</v>
      </c>
      <c r="L7037" s="31" t="s">
        <v>53</v>
      </c>
    </row>
    <row r="7038" spans="1:12">
      <c r="A7038" s="37"/>
      <c r="B7038" s="37"/>
      <c r="C7038" s="37"/>
      <c r="D7038" s="37"/>
      <c r="E7038" s="35"/>
      <c r="F7038" s="36"/>
      <c r="J7038" s="31">
        <v>3</v>
      </c>
      <c r="K7038" s="33" t="s">
        <v>54</v>
      </c>
      <c r="L7038" s="31" t="s">
        <v>55</v>
      </c>
    </row>
    <row r="7039" spans="1:12">
      <c r="A7039" s="37"/>
      <c r="B7039" s="37"/>
      <c r="C7039" s="37"/>
      <c r="D7039" s="37"/>
      <c r="J7039" s="31">
        <v>4</v>
      </c>
      <c r="K7039" s="33" t="s">
        <v>56</v>
      </c>
      <c r="L7039" s="31" t="s">
        <v>57</v>
      </c>
    </row>
    <row r="7040" spans="1:12">
      <c r="A7040" s="255" t="e">
        <f>TRIM(D7055&amp;E7055&amp;D7056&amp;E7056&amp;D7057&amp;E7057&amp;D7058&amp;E7058&amp;D7059&amp;E7059&amp;D7060&amp;E7060&amp;D7061&amp;E7061&amp;" Rupiah")</f>
        <v>#REF!</v>
      </c>
      <c r="B7040" s="255"/>
      <c r="C7040" s="255"/>
      <c r="D7040" s="255"/>
      <c r="E7040" s="35"/>
      <c r="F7040" s="36"/>
      <c r="J7040" s="31">
        <v>5</v>
      </c>
      <c r="K7040" s="33" t="s">
        <v>58</v>
      </c>
      <c r="L7040" s="31" t="s">
        <v>59</v>
      </c>
    </row>
    <row r="7041" spans="1:12">
      <c r="A7041" s="35"/>
      <c r="B7041" s="35"/>
      <c r="C7041" s="35"/>
      <c r="D7041" s="35"/>
      <c r="E7041" s="35"/>
      <c r="F7041" s="36"/>
      <c r="J7041" s="31">
        <v>6</v>
      </c>
      <c r="K7041" s="33" t="s">
        <v>60</v>
      </c>
      <c r="L7041" s="31" t="s">
        <v>61</v>
      </c>
    </row>
    <row r="7042" spans="1:12">
      <c r="J7042" s="31">
        <v>7</v>
      </c>
      <c r="K7042" s="33" t="s">
        <v>62</v>
      </c>
      <c r="L7042" s="31" t="s">
        <v>63</v>
      </c>
    </row>
    <row r="7043" spans="1:12">
      <c r="J7043" s="31">
        <v>8</v>
      </c>
      <c r="K7043" s="33" t="s">
        <v>64</v>
      </c>
      <c r="L7043" s="31" t="s">
        <v>65</v>
      </c>
    </row>
    <row r="7044" spans="1:12">
      <c r="A7044" s="38" t="s">
        <v>66</v>
      </c>
      <c r="J7044" s="31">
        <v>9</v>
      </c>
      <c r="K7044" s="33" t="s">
        <v>67</v>
      </c>
      <c r="L7044" s="31" t="s">
        <v>68</v>
      </c>
    </row>
    <row r="7045" spans="1:12">
      <c r="A7045" s="31" t="s">
        <v>69</v>
      </c>
      <c r="B7045" s="39" t="e">
        <f>TRUNC(A7033/100000000)</f>
        <v>#REF!</v>
      </c>
      <c r="C7045" s="31" t="e">
        <f>B7045*100000000</f>
        <v>#REF!</v>
      </c>
      <c r="D7045" s="31" t="e">
        <f t="shared" ref="D7045:D7051" si="680">IF(B7045&lt;1,"",VLOOKUP(B7045,$J$3:$K$102,2))</f>
        <v>#REF!</v>
      </c>
      <c r="E7045" s="31" t="e">
        <f>IF(B7045&lt;1,"",IF(B7045&gt;1," Hundreds "," Hundred "))</f>
        <v>#REF!</v>
      </c>
      <c r="J7045" s="31">
        <v>10</v>
      </c>
      <c r="K7045" s="33" t="s">
        <v>70</v>
      </c>
      <c r="L7045" s="31" t="s">
        <v>71</v>
      </c>
    </row>
    <row r="7046" spans="1:12">
      <c r="A7046" s="31" t="s">
        <v>72</v>
      </c>
      <c r="B7046" s="39" t="e">
        <f>TRUNC((A7033-C7045)/1000000)</f>
        <v>#REF!</v>
      </c>
      <c r="C7046" s="31" t="e">
        <f>B7046*1000000</f>
        <v>#REF!</v>
      </c>
      <c r="D7046" s="31" t="e">
        <f t="shared" si="680"/>
        <v>#REF!</v>
      </c>
      <c r="E7046" s="31" t="e">
        <f>IF(B7045+B7046=0,"",IF(B7046=1," Million "," Millions "))</f>
        <v>#REF!</v>
      </c>
      <c r="J7046" s="31">
        <v>11</v>
      </c>
      <c r="K7046" s="33" t="s">
        <v>73</v>
      </c>
      <c r="L7046" s="31" t="s">
        <v>74</v>
      </c>
    </row>
    <row r="7047" spans="1:12">
      <c r="A7047" s="31" t="s">
        <v>75</v>
      </c>
      <c r="B7047" s="39" t="e">
        <f>TRUNC((A7033-SUM(C7045:C7046))/100000)</f>
        <v>#REF!</v>
      </c>
      <c r="C7047" s="31" t="e">
        <f>B7047*100000</f>
        <v>#REF!</v>
      </c>
      <c r="D7047" s="31" t="e">
        <f t="shared" si="680"/>
        <v>#REF!</v>
      </c>
      <c r="E7047" s="31" t="e">
        <f>IF(B7047&lt;1,"",IF(B7047&gt;1," Hundreds "," Hundred "))</f>
        <v>#REF!</v>
      </c>
      <c r="J7047" s="31">
        <v>12</v>
      </c>
      <c r="K7047" s="33" t="s">
        <v>76</v>
      </c>
      <c r="L7047" s="31" t="str">
        <f t="shared" ref="L7047:L7054" si="681">L7037&amp;" Belas"</f>
        <v>Dua Belas</v>
      </c>
    </row>
    <row r="7048" spans="1:12">
      <c r="A7048" s="33" t="s">
        <v>77</v>
      </c>
      <c r="B7048" s="40" t="e">
        <f>TRUNC((A7033-SUM(C7045:C7047))/1000)</f>
        <v>#REF!</v>
      </c>
      <c r="C7048" s="31" t="e">
        <f>B7048*1000</f>
        <v>#REF!</v>
      </c>
      <c r="D7048" s="31" t="e">
        <f t="shared" si="680"/>
        <v>#REF!</v>
      </c>
      <c r="E7048" s="31" t="e">
        <f>IF(B7047+B7048=0,"",IF(B7048=1," Thousand "," Thousands "))</f>
        <v>#REF!</v>
      </c>
      <c r="J7048" s="31">
        <v>13</v>
      </c>
      <c r="K7048" s="33" t="s">
        <v>78</v>
      </c>
      <c r="L7048" s="31" t="str">
        <f t="shared" si="681"/>
        <v>Tiga Belas</v>
      </c>
    </row>
    <row r="7049" spans="1:12">
      <c r="A7049" s="33" t="s">
        <v>79</v>
      </c>
      <c r="B7049" s="40" t="e">
        <f>TRUNC((A7033-SUM(C7045:C7048))/100)</f>
        <v>#REF!</v>
      </c>
      <c r="C7049" s="31" t="e">
        <f>B7049*100</f>
        <v>#REF!</v>
      </c>
      <c r="D7049" s="31" t="e">
        <f t="shared" si="680"/>
        <v>#REF!</v>
      </c>
      <c r="E7049" s="31" t="e">
        <f>IF(B7049&lt;1,"",IF(B7049&gt;1," Hundreds "," Hundred "))</f>
        <v>#REF!</v>
      </c>
      <c r="J7049" s="31">
        <v>14</v>
      </c>
      <c r="K7049" s="33" t="s">
        <v>80</v>
      </c>
      <c r="L7049" s="31" t="str">
        <f t="shared" si="681"/>
        <v>Empat Belas</v>
      </c>
    </row>
    <row r="7050" spans="1:12">
      <c r="A7050" s="33" t="s">
        <v>81</v>
      </c>
      <c r="B7050" s="41" t="e">
        <f>TRUNC((A7033-SUM(C7045:C7049)))</f>
        <v>#REF!</v>
      </c>
      <c r="C7050" s="42" t="e">
        <f>B7050</f>
        <v>#REF!</v>
      </c>
      <c r="D7050" s="31" t="e">
        <f t="shared" si="680"/>
        <v>#REF!</v>
      </c>
      <c r="E7050" s="31" t="e">
        <f>IF(SUM(C7045:C7050)&lt;1,"",IF(B7051&lt;1,""," And "))</f>
        <v>#REF!</v>
      </c>
      <c r="J7050" s="31">
        <v>15</v>
      </c>
      <c r="K7050" s="33" t="s">
        <v>82</v>
      </c>
      <c r="L7050" s="31" t="str">
        <f t="shared" si="681"/>
        <v>Lima Belas</v>
      </c>
    </row>
    <row r="7051" spans="1:12">
      <c r="A7051" s="33" t="s">
        <v>83</v>
      </c>
      <c r="B7051" s="40" t="e">
        <f>ROUND(A7033-SUM(C7045:C7050),2)*100</f>
        <v>#REF!</v>
      </c>
      <c r="D7051" s="43" t="e">
        <f t="shared" si="680"/>
        <v>#REF!</v>
      </c>
      <c r="E7051" s="31" t="e">
        <f>IF(B7051&lt;1,"",IF(B7051=1," Cent "," Cents "))</f>
        <v>#REF!</v>
      </c>
      <c r="J7051" s="31">
        <v>16</v>
      </c>
      <c r="K7051" s="33" t="s">
        <v>84</v>
      </c>
      <c r="L7051" s="31" t="str">
        <f t="shared" si="681"/>
        <v>Enam Belas</v>
      </c>
    </row>
    <row r="7052" spans="1:12">
      <c r="J7052" s="31">
        <v>17</v>
      </c>
      <c r="K7052" s="33" t="s">
        <v>85</v>
      </c>
      <c r="L7052" s="31" t="str">
        <f t="shared" si="681"/>
        <v>Tujuh Belas</v>
      </c>
    </row>
    <row r="7053" spans="1:12">
      <c r="A7053" s="44"/>
      <c r="J7053" s="31">
        <v>18</v>
      </c>
      <c r="K7053" s="33" t="s">
        <v>86</v>
      </c>
      <c r="L7053" s="31" t="str">
        <f t="shared" si="681"/>
        <v>Delapan Belas</v>
      </c>
    </row>
    <row r="7054" spans="1:12">
      <c r="A7054" s="38" t="s">
        <v>87</v>
      </c>
      <c r="J7054" s="31">
        <v>19</v>
      </c>
      <c r="K7054" s="33" t="s">
        <v>88</v>
      </c>
      <c r="L7054" s="31" t="str">
        <f t="shared" si="681"/>
        <v>Sembilan Belas</v>
      </c>
    </row>
    <row r="7055" spans="1:12">
      <c r="A7055" s="31" t="s">
        <v>69</v>
      </c>
      <c r="B7055" s="39" t="e">
        <f>TRUNC(A7033/100000000)</f>
        <v>#REF!</v>
      </c>
      <c r="C7055" s="31" t="e">
        <f>B7055*100000000</f>
        <v>#REF!</v>
      </c>
      <c r="D7055" s="31" t="e">
        <f>IF(B7055&lt;1,"",IF(B7055=1,"",VLOOKUP(B7055,$J$3:$L$102,3)))</f>
        <v>#REF!</v>
      </c>
      <c r="E7055" s="31" t="e">
        <f>IF(B7055&lt;1,"",IF(B7055=1,"Seratus "," Ratus "))</f>
        <v>#REF!</v>
      </c>
      <c r="J7055" s="31">
        <v>20</v>
      </c>
      <c r="K7055" s="33" t="s">
        <v>89</v>
      </c>
      <c r="L7055" s="31" t="s">
        <v>90</v>
      </c>
    </row>
    <row r="7056" spans="1:12">
      <c r="A7056" s="31" t="s">
        <v>72</v>
      </c>
      <c r="B7056" s="39" t="e">
        <f>TRUNC((A7033-C7055)/1000000)</f>
        <v>#REF!</v>
      </c>
      <c r="C7056" s="31" t="e">
        <f>B7056*1000000</f>
        <v>#REF!</v>
      </c>
      <c r="D7056" s="31" t="e">
        <f>IF(B7056&lt;1,"",VLOOKUP(B7056,$J$3:$L$102,3))</f>
        <v>#REF!</v>
      </c>
      <c r="E7056" s="31" t="e">
        <f>IF(B7055+B7056=0,""," Juta ")</f>
        <v>#REF!</v>
      </c>
      <c r="J7056" s="31">
        <v>21</v>
      </c>
      <c r="K7056" s="33" t="s">
        <v>91</v>
      </c>
      <c r="L7056" s="31" t="str">
        <f t="shared" ref="L7056:L7064" si="682">$L$23&amp;" "&amp;L7036</f>
        <v>Dua Puluh Satu</v>
      </c>
    </row>
    <row r="7057" spans="1:12">
      <c r="A7057" s="31" t="s">
        <v>75</v>
      </c>
      <c r="B7057" s="39" t="e">
        <f>TRUNC((A7033-SUM(C7055:C7056))/100000)</f>
        <v>#REF!</v>
      </c>
      <c r="C7057" s="31" t="e">
        <f>B7057*100000</f>
        <v>#REF!</v>
      </c>
      <c r="D7057" s="31" t="e">
        <f>IF(B7057&lt;1,"",IF(B7057=1,"",VLOOKUP(B7057,$J$3:$L$102,3)))</f>
        <v>#REF!</v>
      </c>
      <c r="E7057" s="31" t="e">
        <f>IF(B7057&lt;1,"",IF(B7057=1," Seratus "," Ratus "))</f>
        <v>#REF!</v>
      </c>
      <c r="J7057" s="31">
        <v>22</v>
      </c>
      <c r="K7057" s="33" t="s">
        <v>92</v>
      </c>
      <c r="L7057" s="31" t="str">
        <f t="shared" si="682"/>
        <v>Dua Puluh Dua</v>
      </c>
    </row>
    <row r="7058" spans="1:12">
      <c r="A7058" s="33" t="s">
        <v>77</v>
      </c>
      <c r="B7058" s="40" t="e">
        <f>TRUNC((A7033-SUM(C7055:C7057))/1000)</f>
        <v>#REF!</v>
      </c>
      <c r="C7058" s="31" t="e">
        <f>B7058*1000</f>
        <v>#REF!</v>
      </c>
      <c r="D7058" s="31" t="e">
        <f>IF(B7058&lt;1,"",IF(B7058=1,"",VLOOKUP(B7058,$J$3:$L$102,3)))</f>
        <v>#REF!</v>
      </c>
      <c r="E7058" s="31" t="e">
        <f>IF(B7057+B7058&lt;1,"",IF(B7058=1," Seribu "," Ribu "))</f>
        <v>#REF!</v>
      </c>
      <c r="J7058" s="31">
        <v>23</v>
      </c>
      <c r="K7058" s="33" t="s">
        <v>93</v>
      </c>
      <c r="L7058" s="31" t="str">
        <f t="shared" si="682"/>
        <v>Dua Puluh Tiga</v>
      </c>
    </row>
    <row r="7059" spans="1:12">
      <c r="A7059" s="33" t="s">
        <v>79</v>
      </c>
      <c r="B7059" s="40" t="e">
        <f>TRUNC((A7033-SUM(C7055:C7058))/100)</f>
        <v>#REF!</v>
      </c>
      <c r="C7059" s="31" t="e">
        <f>B7059*100</f>
        <v>#REF!</v>
      </c>
      <c r="D7059" s="31" t="e">
        <f>IF(B7059&lt;1,"",IF(B7059=1,"",VLOOKUP(B7059,$J$3:$L$102,3)))</f>
        <v>#REF!</v>
      </c>
      <c r="E7059" s="31" t="e">
        <f>IF(B7059&lt;1,"",IF(B7059=1," Seratus "," Ratus "))</f>
        <v>#REF!</v>
      </c>
      <c r="J7059" s="31">
        <v>24</v>
      </c>
      <c r="K7059" s="33" t="s">
        <v>94</v>
      </c>
      <c r="L7059" s="31" t="str">
        <f t="shared" si="682"/>
        <v>Dua Puluh Empat</v>
      </c>
    </row>
    <row r="7060" spans="1:12">
      <c r="A7060" s="33" t="s">
        <v>81</v>
      </c>
      <c r="B7060" s="41" t="e">
        <f>TRUNC((A7033-SUM(C7055:C7059)))</f>
        <v>#REF!</v>
      </c>
      <c r="C7060" s="42" t="e">
        <f>B7060</f>
        <v>#REF!</v>
      </c>
      <c r="D7060" s="31" t="e">
        <f>IF(B7060&lt;1,"",VLOOKUP(B7060,$J$3:$L$102,3))</f>
        <v>#REF!</v>
      </c>
      <c r="E7060" s="31" t="e">
        <f>IF(SUM(C7055:C7060)&lt;1,"",IF(B7061&lt;1,""," Dan "))</f>
        <v>#REF!</v>
      </c>
      <c r="J7060" s="31">
        <v>25</v>
      </c>
      <c r="K7060" s="33" t="s">
        <v>95</v>
      </c>
      <c r="L7060" s="31" t="str">
        <f t="shared" si="682"/>
        <v>Dua Puluh Lima</v>
      </c>
    </row>
    <row r="7061" spans="1:12">
      <c r="A7061" s="33" t="s">
        <v>83</v>
      </c>
      <c r="B7061" s="40" t="e">
        <f>ROUND(A7033-SUM(C7055:C7060),2)*100</f>
        <v>#REF!</v>
      </c>
      <c r="D7061" s="31" t="e">
        <f>IF(B7061&lt;1,"",VLOOKUP(B7061,$J$3:$L$102,3))</f>
        <v>#REF!</v>
      </c>
      <c r="E7061" s="31" t="e">
        <f>IF(B7061&lt;1,""," Sen ")</f>
        <v>#REF!</v>
      </c>
      <c r="J7061" s="31">
        <v>26</v>
      </c>
      <c r="K7061" s="33" t="s">
        <v>96</v>
      </c>
      <c r="L7061" s="31" t="str">
        <f t="shared" si="682"/>
        <v>Dua Puluh Enam</v>
      </c>
    </row>
    <row r="7062" spans="1:12">
      <c r="J7062" s="31">
        <v>27</v>
      </c>
      <c r="K7062" s="33" t="s">
        <v>97</v>
      </c>
      <c r="L7062" s="31" t="str">
        <f t="shared" si="682"/>
        <v>Dua Puluh Tujuh</v>
      </c>
    </row>
    <row r="7063" spans="1:12">
      <c r="J7063" s="31">
        <v>28</v>
      </c>
      <c r="K7063" s="33" t="s">
        <v>98</v>
      </c>
      <c r="L7063" s="31" t="str">
        <f t="shared" si="682"/>
        <v>Dua Puluh Delapan</v>
      </c>
    </row>
    <row r="7064" spans="1:12">
      <c r="J7064" s="31">
        <v>29</v>
      </c>
      <c r="K7064" s="33" t="s">
        <v>99</v>
      </c>
      <c r="L7064" s="31" t="str">
        <f t="shared" si="682"/>
        <v>Dua Puluh Sembilan</v>
      </c>
    </row>
    <row r="7065" spans="1:12">
      <c r="J7065" s="31">
        <v>30</v>
      </c>
      <c r="K7065" s="33" t="s">
        <v>100</v>
      </c>
      <c r="L7065" s="31" t="s">
        <v>101</v>
      </c>
    </row>
    <row r="7066" spans="1:12">
      <c r="J7066" s="31">
        <v>31</v>
      </c>
      <c r="K7066" s="33" t="s">
        <v>102</v>
      </c>
      <c r="L7066" s="31" t="str">
        <f t="shared" ref="L7066:L7074" si="683">$L$33&amp;" "&amp;L7036</f>
        <v>Tiga Puluh Satu</v>
      </c>
    </row>
    <row r="7067" spans="1:12">
      <c r="J7067" s="31">
        <v>32</v>
      </c>
      <c r="K7067" s="33" t="s">
        <v>103</v>
      </c>
      <c r="L7067" s="31" t="str">
        <f t="shared" si="683"/>
        <v>Tiga Puluh Dua</v>
      </c>
    </row>
    <row r="7068" spans="1:12">
      <c r="J7068" s="31">
        <v>33</v>
      </c>
      <c r="K7068" s="33" t="s">
        <v>104</v>
      </c>
      <c r="L7068" s="31" t="str">
        <f t="shared" si="683"/>
        <v>Tiga Puluh Tiga</v>
      </c>
    </row>
    <row r="7069" spans="1:12">
      <c r="J7069" s="31">
        <v>34</v>
      </c>
      <c r="K7069" s="33" t="s">
        <v>105</v>
      </c>
      <c r="L7069" s="31" t="str">
        <f t="shared" si="683"/>
        <v>Tiga Puluh Empat</v>
      </c>
    </row>
    <row r="7070" spans="1:12">
      <c r="J7070" s="31">
        <v>35</v>
      </c>
      <c r="K7070" s="33" t="s">
        <v>106</v>
      </c>
      <c r="L7070" s="31" t="str">
        <f t="shared" si="683"/>
        <v>Tiga Puluh Lima</v>
      </c>
    </row>
    <row r="7071" spans="1:12">
      <c r="J7071" s="31">
        <v>36</v>
      </c>
      <c r="K7071" s="33" t="s">
        <v>107</v>
      </c>
      <c r="L7071" s="31" t="str">
        <f t="shared" si="683"/>
        <v>Tiga Puluh Enam</v>
      </c>
    </row>
    <row r="7072" spans="1:12">
      <c r="J7072" s="31">
        <v>37</v>
      </c>
      <c r="K7072" s="33" t="s">
        <v>108</v>
      </c>
      <c r="L7072" s="31" t="str">
        <f t="shared" si="683"/>
        <v>Tiga Puluh Tujuh</v>
      </c>
    </row>
    <row r="7073" spans="1:12">
      <c r="J7073" s="31">
        <v>38</v>
      </c>
      <c r="K7073" s="33" t="s">
        <v>109</v>
      </c>
      <c r="L7073" s="31" t="str">
        <f t="shared" si="683"/>
        <v>Tiga Puluh Delapan</v>
      </c>
    </row>
    <row r="7074" spans="1:12">
      <c r="J7074" s="31">
        <v>39</v>
      </c>
      <c r="K7074" s="33" t="s">
        <v>110</v>
      </c>
      <c r="L7074" s="31" t="str">
        <f t="shared" si="683"/>
        <v>Tiga Puluh Sembilan</v>
      </c>
    </row>
    <row r="7075" spans="1:12">
      <c r="B7075" s="35"/>
      <c r="C7075" s="35"/>
      <c r="D7075" s="35"/>
      <c r="J7075" s="31">
        <v>40</v>
      </c>
      <c r="K7075" s="33" t="s">
        <v>111</v>
      </c>
      <c r="L7075" s="31" t="s">
        <v>112</v>
      </c>
    </row>
    <row r="7076" spans="1:12">
      <c r="A7076" s="35"/>
      <c r="B7076" s="35"/>
      <c r="C7076" s="35"/>
      <c r="D7076" s="35"/>
      <c r="J7076" s="31">
        <v>41</v>
      </c>
      <c r="K7076" s="33" t="s">
        <v>113</v>
      </c>
      <c r="L7076" s="31" t="str">
        <f t="shared" ref="L7076:L7084" si="684">$L$43&amp;" "&amp;L7036</f>
        <v>Empat Puluh Satu</v>
      </c>
    </row>
    <row r="7077" spans="1:12">
      <c r="J7077" s="31">
        <v>42</v>
      </c>
      <c r="K7077" s="33" t="s">
        <v>114</v>
      </c>
      <c r="L7077" s="31" t="str">
        <f t="shared" si="684"/>
        <v>Empat Puluh Dua</v>
      </c>
    </row>
    <row r="7078" spans="1:12">
      <c r="A7078" s="38"/>
      <c r="J7078" s="31">
        <v>43</v>
      </c>
      <c r="K7078" s="33" t="s">
        <v>115</v>
      </c>
      <c r="L7078" s="31" t="str">
        <f t="shared" si="684"/>
        <v>Empat Puluh Tiga</v>
      </c>
    </row>
    <row r="7079" spans="1:12">
      <c r="J7079" s="31">
        <v>44</v>
      </c>
      <c r="K7079" s="33" t="s">
        <v>116</v>
      </c>
      <c r="L7079" s="31" t="str">
        <f t="shared" si="684"/>
        <v>Empat Puluh Empat</v>
      </c>
    </row>
    <row r="7080" spans="1:12">
      <c r="J7080" s="31">
        <v>45</v>
      </c>
      <c r="K7080" s="33" t="s">
        <v>117</v>
      </c>
      <c r="L7080" s="31" t="str">
        <f t="shared" si="684"/>
        <v>Empat Puluh Lima</v>
      </c>
    </row>
    <row r="7081" spans="1:12">
      <c r="J7081" s="31">
        <v>46</v>
      </c>
      <c r="K7081" s="33" t="s">
        <v>118</v>
      </c>
      <c r="L7081" s="31" t="str">
        <f t="shared" si="684"/>
        <v>Empat Puluh Enam</v>
      </c>
    </row>
    <row r="7082" spans="1:12">
      <c r="J7082" s="31">
        <v>47</v>
      </c>
      <c r="K7082" s="33" t="s">
        <v>119</v>
      </c>
      <c r="L7082" s="31" t="str">
        <f t="shared" si="684"/>
        <v>Empat Puluh Tujuh</v>
      </c>
    </row>
    <row r="7083" spans="1:12">
      <c r="J7083" s="31">
        <v>48</v>
      </c>
      <c r="K7083" s="33" t="s">
        <v>120</v>
      </c>
      <c r="L7083" s="31" t="str">
        <f t="shared" si="684"/>
        <v>Empat Puluh Delapan</v>
      </c>
    </row>
    <row r="7084" spans="1:12">
      <c r="J7084" s="31">
        <v>49</v>
      </c>
      <c r="K7084" s="33" t="s">
        <v>121</v>
      </c>
      <c r="L7084" s="31" t="str">
        <f t="shared" si="684"/>
        <v>Empat Puluh Sembilan</v>
      </c>
    </row>
    <row r="7085" spans="1:12">
      <c r="J7085" s="31">
        <v>50</v>
      </c>
      <c r="K7085" s="33" t="s">
        <v>122</v>
      </c>
      <c r="L7085" s="31" t="s">
        <v>123</v>
      </c>
    </row>
    <row r="7086" spans="1:12">
      <c r="J7086" s="31">
        <v>51</v>
      </c>
      <c r="K7086" s="33" t="s">
        <v>124</v>
      </c>
      <c r="L7086" s="31" t="str">
        <f t="shared" ref="L7086:L7094" si="685">$L$53&amp;" "&amp;L7036</f>
        <v>Lima Puluh Satu</v>
      </c>
    </row>
    <row r="7087" spans="1:12">
      <c r="J7087" s="31">
        <v>52</v>
      </c>
      <c r="K7087" s="33" t="s">
        <v>125</v>
      </c>
      <c r="L7087" s="31" t="str">
        <f t="shared" si="685"/>
        <v>Lima Puluh Dua</v>
      </c>
    </row>
    <row r="7088" spans="1:12">
      <c r="J7088" s="31">
        <v>53</v>
      </c>
      <c r="K7088" s="33" t="s">
        <v>126</v>
      </c>
      <c r="L7088" s="31" t="str">
        <f t="shared" si="685"/>
        <v>Lima Puluh Tiga</v>
      </c>
    </row>
    <row r="7089" spans="10:12">
      <c r="J7089" s="31">
        <v>54</v>
      </c>
      <c r="K7089" s="33" t="s">
        <v>127</v>
      </c>
      <c r="L7089" s="31" t="str">
        <f t="shared" si="685"/>
        <v>Lima Puluh Empat</v>
      </c>
    </row>
    <row r="7090" spans="10:12">
      <c r="J7090" s="31">
        <v>55</v>
      </c>
      <c r="K7090" s="33" t="s">
        <v>128</v>
      </c>
      <c r="L7090" s="31" t="str">
        <f t="shared" si="685"/>
        <v>Lima Puluh Lima</v>
      </c>
    </row>
    <row r="7091" spans="10:12">
      <c r="J7091" s="31">
        <v>56</v>
      </c>
      <c r="K7091" s="33" t="s">
        <v>129</v>
      </c>
      <c r="L7091" s="31" t="str">
        <f t="shared" si="685"/>
        <v>Lima Puluh Enam</v>
      </c>
    </row>
    <row r="7092" spans="10:12">
      <c r="J7092" s="31">
        <v>57</v>
      </c>
      <c r="K7092" s="33" t="s">
        <v>130</v>
      </c>
      <c r="L7092" s="31" t="str">
        <f t="shared" si="685"/>
        <v>Lima Puluh Tujuh</v>
      </c>
    </row>
    <row r="7093" spans="10:12">
      <c r="J7093" s="31">
        <v>58</v>
      </c>
      <c r="K7093" s="33" t="s">
        <v>131</v>
      </c>
      <c r="L7093" s="31" t="str">
        <f t="shared" si="685"/>
        <v>Lima Puluh Delapan</v>
      </c>
    </row>
    <row r="7094" spans="10:12">
      <c r="J7094" s="31">
        <v>59</v>
      </c>
      <c r="K7094" s="33" t="s">
        <v>132</v>
      </c>
      <c r="L7094" s="31" t="str">
        <f t="shared" si="685"/>
        <v>Lima Puluh Sembilan</v>
      </c>
    </row>
    <row r="7095" spans="10:12">
      <c r="J7095" s="31">
        <v>60</v>
      </c>
      <c r="K7095" s="33" t="s">
        <v>133</v>
      </c>
      <c r="L7095" s="31" t="s">
        <v>134</v>
      </c>
    </row>
    <row r="7096" spans="10:12">
      <c r="J7096" s="31">
        <v>61</v>
      </c>
      <c r="K7096" s="33" t="s">
        <v>135</v>
      </c>
      <c r="L7096" s="31" t="str">
        <f t="shared" ref="L7096:L7104" si="686">$L$63&amp;" "&amp;L7036</f>
        <v>Enam Puluh Satu</v>
      </c>
    </row>
    <row r="7097" spans="10:12">
      <c r="J7097" s="31">
        <v>62</v>
      </c>
      <c r="K7097" s="33" t="s">
        <v>136</v>
      </c>
      <c r="L7097" s="31" t="str">
        <f t="shared" si="686"/>
        <v>Enam Puluh Dua</v>
      </c>
    </row>
    <row r="7098" spans="10:12">
      <c r="J7098" s="31">
        <v>63</v>
      </c>
      <c r="K7098" s="33" t="s">
        <v>137</v>
      </c>
      <c r="L7098" s="31" t="str">
        <f t="shared" si="686"/>
        <v>Enam Puluh Tiga</v>
      </c>
    </row>
    <row r="7099" spans="10:12">
      <c r="J7099" s="31">
        <v>64</v>
      </c>
      <c r="K7099" s="33" t="s">
        <v>138</v>
      </c>
      <c r="L7099" s="31" t="str">
        <f t="shared" si="686"/>
        <v>Enam Puluh Empat</v>
      </c>
    </row>
    <row r="7100" spans="10:12">
      <c r="J7100" s="31">
        <v>65</v>
      </c>
      <c r="K7100" s="33" t="s">
        <v>139</v>
      </c>
      <c r="L7100" s="31" t="str">
        <f t="shared" si="686"/>
        <v>Enam Puluh Lima</v>
      </c>
    </row>
    <row r="7101" spans="10:12">
      <c r="J7101" s="31">
        <v>66</v>
      </c>
      <c r="K7101" s="33" t="s">
        <v>140</v>
      </c>
      <c r="L7101" s="31" t="str">
        <f t="shared" si="686"/>
        <v>Enam Puluh Enam</v>
      </c>
    </row>
    <row r="7102" spans="10:12">
      <c r="J7102" s="31">
        <v>67</v>
      </c>
      <c r="K7102" s="33" t="s">
        <v>141</v>
      </c>
      <c r="L7102" s="31" t="str">
        <f t="shared" si="686"/>
        <v>Enam Puluh Tujuh</v>
      </c>
    </row>
    <row r="7103" spans="10:12">
      <c r="J7103" s="31">
        <v>68</v>
      </c>
      <c r="K7103" s="33" t="s">
        <v>142</v>
      </c>
      <c r="L7103" s="31" t="str">
        <f t="shared" si="686"/>
        <v>Enam Puluh Delapan</v>
      </c>
    </row>
    <row r="7104" spans="10:12">
      <c r="J7104" s="31">
        <v>69</v>
      </c>
      <c r="K7104" s="33" t="s">
        <v>143</v>
      </c>
      <c r="L7104" s="31" t="str">
        <f t="shared" si="686"/>
        <v>Enam Puluh Sembilan</v>
      </c>
    </row>
    <row r="7105" spans="10:12">
      <c r="J7105" s="31">
        <v>70</v>
      </c>
      <c r="K7105" s="33" t="s">
        <v>144</v>
      </c>
      <c r="L7105" s="31" t="s">
        <v>145</v>
      </c>
    </row>
    <row r="7106" spans="10:12">
      <c r="J7106" s="31">
        <v>71</v>
      </c>
      <c r="K7106" s="33" t="s">
        <v>146</v>
      </c>
      <c r="L7106" s="31" t="str">
        <f t="shared" ref="L7106:L7114" si="687">$L$73&amp;" "&amp;L7036</f>
        <v>Tujuh Puluh Satu</v>
      </c>
    </row>
    <row r="7107" spans="10:12">
      <c r="J7107" s="31">
        <v>72</v>
      </c>
      <c r="K7107" s="33" t="s">
        <v>147</v>
      </c>
      <c r="L7107" s="31" t="str">
        <f t="shared" si="687"/>
        <v>Tujuh Puluh Dua</v>
      </c>
    </row>
    <row r="7108" spans="10:12">
      <c r="J7108" s="31">
        <v>73</v>
      </c>
      <c r="K7108" s="33" t="s">
        <v>148</v>
      </c>
      <c r="L7108" s="31" t="str">
        <f t="shared" si="687"/>
        <v>Tujuh Puluh Tiga</v>
      </c>
    </row>
    <row r="7109" spans="10:12">
      <c r="J7109" s="31">
        <v>74</v>
      </c>
      <c r="K7109" s="33" t="s">
        <v>149</v>
      </c>
      <c r="L7109" s="31" t="str">
        <f t="shared" si="687"/>
        <v>Tujuh Puluh Empat</v>
      </c>
    </row>
    <row r="7110" spans="10:12">
      <c r="J7110" s="31">
        <v>75</v>
      </c>
      <c r="K7110" s="33" t="s">
        <v>150</v>
      </c>
      <c r="L7110" s="31" t="str">
        <f t="shared" si="687"/>
        <v>Tujuh Puluh Lima</v>
      </c>
    </row>
    <row r="7111" spans="10:12">
      <c r="J7111" s="31">
        <v>76</v>
      </c>
      <c r="K7111" s="33" t="s">
        <v>151</v>
      </c>
      <c r="L7111" s="31" t="str">
        <f t="shared" si="687"/>
        <v>Tujuh Puluh Enam</v>
      </c>
    </row>
    <row r="7112" spans="10:12">
      <c r="J7112" s="31">
        <v>77</v>
      </c>
      <c r="K7112" s="33" t="s">
        <v>152</v>
      </c>
      <c r="L7112" s="31" t="str">
        <f t="shared" si="687"/>
        <v>Tujuh Puluh Tujuh</v>
      </c>
    </row>
    <row r="7113" spans="10:12">
      <c r="J7113" s="31">
        <v>78</v>
      </c>
      <c r="K7113" s="33" t="s">
        <v>153</v>
      </c>
      <c r="L7113" s="31" t="str">
        <f t="shared" si="687"/>
        <v>Tujuh Puluh Delapan</v>
      </c>
    </row>
    <row r="7114" spans="10:12">
      <c r="J7114" s="31">
        <v>79</v>
      </c>
      <c r="K7114" s="33" t="s">
        <v>154</v>
      </c>
      <c r="L7114" s="31" t="str">
        <f t="shared" si="687"/>
        <v>Tujuh Puluh Sembilan</v>
      </c>
    </row>
    <row r="7115" spans="10:12">
      <c r="J7115" s="31">
        <v>80</v>
      </c>
      <c r="K7115" s="33" t="s">
        <v>155</v>
      </c>
      <c r="L7115" s="31" t="s">
        <v>156</v>
      </c>
    </row>
    <row r="7116" spans="10:12">
      <c r="J7116" s="31">
        <v>81</v>
      </c>
      <c r="K7116" s="33" t="s">
        <v>157</v>
      </c>
      <c r="L7116" s="31" t="str">
        <f t="shared" ref="L7116:L7124" si="688">$L$83&amp;" "&amp;L7036</f>
        <v>Delapan Puluh Satu</v>
      </c>
    </row>
    <row r="7117" spans="10:12">
      <c r="J7117" s="31">
        <v>82</v>
      </c>
      <c r="K7117" s="33" t="s">
        <v>158</v>
      </c>
      <c r="L7117" s="31" t="str">
        <f t="shared" si="688"/>
        <v>Delapan Puluh Dua</v>
      </c>
    </row>
    <row r="7118" spans="10:12">
      <c r="J7118" s="31">
        <v>83</v>
      </c>
      <c r="K7118" s="33" t="s">
        <v>159</v>
      </c>
      <c r="L7118" s="31" t="str">
        <f t="shared" si="688"/>
        <v>Delapan Puluh Tiga</v>
      </c>
    </row>
    <row r="7119" spans="10:12">
      <c r="J7119" s="31">
        <v>84</v>
      </c>
      <c r="K7119" s="33" t="s">
        <v>160</v>
      </c>
      <c r="L7119" s="31" t="str">
        <f t="shared" si="688"/>
        <v>Delapan Puluh Empat</v>
      </c>
    </row>
    <row r="7120" spans="10:12">
      <c r="J7120" s="31">
        <v>85</v>
      </c>
      <c r="K7120" s="33" t="s">
        <v>161</v>
      </c>
      <c r="L7120" s="31" t="str">
        <f t="shared" si="688"/>
        <v>Delapan Puluh Lima</v>
      </c>
    </row>
    <row r="7121" spans="1:12">
      <c r="J7121" s="31">
        <v>86</v>
      </c>
      <c r="K7121" s="33" t="s">
        <v>162</v>
      </c>
      <c r="L7121" s="31" t="str">
        <f t="shared" si="688"/>
        <v>Delapan Puluh Enam</v>
      </c>
    </row>
    <row r="7122" spans="1:12">
      <c r="J7122" s="31">
        <v>87</v>
      </c>
      <c r="K7122" s="33" t="s">
        <v>163</v>
      </c>
      <c r="L7122" s="31" t="str">
        <f t="shared" si="688"/>
        <v>Delapan Puluh Tujuh</v>
      </c>
    </row>
    <row r="7123" spans="1:12">
      <c r="J7123" s="31">
        <v>88</v>
      </c>
      <c r="K7123" s="33" t="s">
        <v>164</v>
      </c>
      <c r="L7123" s="31" t="str">
        <f t="shared" si="688"/>
        <v>Delapan Puluh Delapan</v>
      </c>
    </row>
    <row r="7124" spans="1:12">
      <c r="J7124" s="31">
        <v>89</v>
      </c>
      <c r="K7124" s="33" t="s">
        <v>165</v>
      </c>
      <c r="L7124" s="31" t="str">
        <f t="shared" si="688"/>
        <v>Delapan Puluh Sembilan</v>
      </c>
    </row>
    <row r="7125" spans="1:12">
      <c r="J7125" s="31">
        <v>90</v>
      </c>
      <c r="K7125" s="33" t="s">
        <v>166</v>
      </c>
      <c r="L7125" s="31" t="s">
        <v>167</v>
      </c>
    </row>
    <row r="7126" spans="1:12">
      <c r="J7126" s="31">
        <v>91</v>
      </c>
      <c r="K7126" s="33" t="s">
        <v>168</v>
      </c>
      <c r="L7126" s="31" t="str">
        <f t="shared" ref="L7126:L7134" si="689">$L$93&amp;" "&amp;L7036</f>
        <v>Sembilan Puluh Satu</v>
      </c>
    </row>
    <row r="7127" spans="1:12">
      <c r="J7127" s="31">
        <v>92</v>
      </c>
      <c r="K7127" s="33" t="s">
        <v>169</v>
      </c>
      <c r="L7127" s="31" t="str">
        <f t="shared" si="689"/>
        <v>Sembilan Puluh Dua</v>
      </c>
    </row>
    <row r="7128" spans="1:12">
      <c r="J7128" s="31">
        <v>93</v>
      </c>
      <c r="K7128" s="33" t="s">
        <v>170</v>
      </c>
      <c r="L7128" s="31" t="str">
        <f t="shared" si="689"/>
        <v>Sembilan Puluh Tiga</v>
      </c>
    </row>
    <row r="7129" spans="1:12">
      <c r="J7129" s="31">
        <v>94</v>
      </c>
      <c r="K7129" s="33" t="s">
        <v>171</v>
      </c>
      <c r="L7129" s="31" t="str">
        <f t="shared" si="689"/>
        <v>Sembilan Puluh Empat</v>
      </c>
    </row>
    <row r="7130" spans="1:12">
      <c r="J7130" s="31">
        <v>95</v>
      </c>
      <c r="K7130" s="33" t="s">
        <v>172</v>
      </c>
      <c r="L7130" s="31" t="str">
        <f t="shared" si="689"/>
        <v>Sembilan Puluh Lima</v>
      </c>
    </row>
    <row r="7131" spans="1:12">
      <c r="J7131" s="31">
        <v>96</v>
      </c>
      <c r="K7131" s="33" t="s">
        <v>173</v>
      </c>
      <c r="L7131" s="31" t="str">
        <f t="shared" si="689"/>
        <v>Sembilan Puluh Enam</v>
      </c>
    </row>
    <row r="7132" spans="1:12">
      <c r="J7132" s="31">
        <v>97</v>
      </c>
      <c r="K7132" s="33" t="s">
        <v>174</v>
      </c>
      <c r="L7132" s="31" t="str">
        <f t="shared" si="689"/>
        <v>Sembilan Puluh Tujuh</v>
      </c>
    </row>
    <row r="7133" spans="1:12">
      <c r="J7133" s="31">
        <v>98</v>
      </c>
      <c r="K7133" s="33" t="s">
        <v>175</v>
      </c>
      <c r="L7133" s="31" t="str">
        <f t="shared" si="689"/>
        <v>Sembilan Puluh Delapan</v>
      </c>
    </row>
    <row r="7134" spans="1:12">
      <c r="J7134" s="31">
        <v>99</v>
      </c>
      <c r="K7134" s="33" t="s">
        <v>176</v>
      </c>
      <c r="L7134" s="31" t="str">
        <f t="shared" si="689"/>
        <v>Sembilan Puluh Sembilan</v>
      </c>
    </row>
    <row r="7136" spans="1:12">
      <c r="A7136" s="30" t="e">
        <f>#REF!</f>
        <v>#REF!</v>
      </c>
      <c r="C7136" s="31" t="s">
        <v>267</v>
      </c>
    </row>
    <row r="7137" spans="1:12">
      <c r="A7137" s="32"/>
    </row>
    <row r="7138" spans="1:12">
      <c r="J7138" s="31">
        <v>0</v>
      </c>
      <c r="K7138" s="33" t="s">
        <v>48</v>
      </c>
      <c r="L7138" s="31" t="s">
        <v>49</v>
      </c>
    </row>
    <row r="7139" spans="1:12">
      <c r="A7139" s="34"/>
      <c r="J7139" s="31">
        <v>1</v>
      </c>
      <c r="K7139" s="33" t="s">
        <v>50</v>
      </c>
      <c r="L7139" s="31" t="s">
        <v>51</v>
      </c>
    </row>
    <row r="7140" spans="1:12">
      <c r="A7140" s="255" t="e">
        <f>TRIM(D7148&amp;E7148&amp;D7149&amp;E7149&amp;D7150&amp;E7150&amp;D7151&amp;E7151&amp;D7152&amp;E7152&amp;D7153&amp;E7153&amp;E7154&amp;D7154&amp;" Only")</f>
        <v>#REF!</v>
      </c>
      <c r="B7140" s="255"/>
      <c r="C7140" s="255"/>
      <c r="D7140" s="255"/>
      <c r="E7140" s="35"/>
      <c r="F7140" s="36"/>
      <c r="J7140" s="31">
        <v>2</v>
      </c>
      <c r="K7140" s="33" t="s">
        <v>52</v>
      </c>
      <c r="L7140" s="31" t="s">
        <v>53</v>
      </c>
    </row>
    <row r="7141" spans="1:12">
      <c r="A7141" s="37"/>
      <c r="B7141" s="37"/>
      <c r="C7141" s="37"/>
      <c r="D7141" s="37"/>
      <c r="E7141" s="35"/>
      <c r="F7141" s="36"/>
      <c r="J7141" s="31">
        <v>3</v>
      </c>
      <c r="K7141" s="33" t="s">
        <v>54</v>
      </c>
      <c r="L7141" s="31" t="s">
        <v>55</v>
      </c>
    </row>
    <row r="7142" spans="1:12">
      <c r="A7142" s="37"/>
      <c r="B7142" s="37"/>
      <c r="C7142" s="37"/>
      <c r="D7142" s="37"/>
      <c r="J7142" s="31">
        <v>4</v>
      </c>
      <c r="K7142" s="33" t="s">
        <v>56</v>
      </c>
      <c r="L7142" s="31" t="s">
        <v>57</v>
      </c>
    </row>
    <row r="7143" spans="1:12">
      <c r="A7143" s="255" t="e">
        <f>TRIM(D7158&amp;E7158&amp;D7159&amp;E7159&amp;D7160&amp;E7160&amp;D7161&amp;E7161&amp;D7162&amp;E7162&amp;D7163&amp;E7163&amp;D7164&amp;E7164&amp;" Rupiah")</f>
        <v>#REF!</v>
      </c>
      <c r="B7143" s="255"/>
      <c r="C7143" s="255"/>
      <c r="D7143" s="255"/>
      <c r="E7143" s="35"/>
      <c r="F7143" s="36"/>
      <c r="J7143" s="31">
        <v>5</v>
      </c>
      <c r="K7143" s="33" t="s">
        <v>58</v>
      </c>
      <c r="L7143" s="31" t="s">
        <v>59</v>
      </c>
    </row>
    <row r="7144" spans="1:12">
      <c r="A7144" s="35"/>
      <c r="B7144" s="35"/>
      <c r="C7144" s="35"/>
      <c r="D7144" s="35"/>
      <c r="E7144" s="35"/>
      <c r="F7144" s="36"/>
      <c r="J7144" s="31">
        <v>6</v>
      </c>
      <c r="K7144" s="33" t="s">
        <v>60</v>
      </c>
      <c r="L7144" s="31" t="s">
        <v>61</v>
      </c>
    </row>
    <row r="7145" spans="1:12">
      <c r="J7145" s="31">
        <v>7</v>
      </c>
      <c r="K7145" s="33" t="s">
        <v>62</v>
      </c>
      <c r="L7145" s="31" t="s">
        <v>63</v>
      </c>
    </row>
    <row r="7146" spans="1:12">
      <c r="J7146" s="31">
        <v>8</v>
      </c>
      <c r="K7146" s="33" t="s">
        <v>64</v>
      </c>
      <c r="L7146" s="31" t="s">
        <v>65</v>
      </c>
    </row>
    <row r="7147" spans="1:12">
      <c r="A7147" s="38" t="s">
        <v>66</v>
      </c>
      <c r="J7147" s="31">
        <v>9</v>
      </c>
      <c r="K7147" s="33" t="s">
        <v>67</v>
      </c>
      <c r="L7147" s="31" t="s">
        <v>68</v>
      </c>
    </row>
    <row r="7148" spans="1:12">
      <c r="A7148" s="31" t="s">
        <v>69</v>
      </c>
      <c r="B7148" s="39" t="e">
        <f>TRUNC(A7136/100000000)</f>
        <v>#REF!</v>
      </c>
      <c r="C7148" s="31" t="e">
        <f>B7148*100000000</f>
        <v>#REF!</v>
      </c>
      <c r="D7148" s="31" t="e">
        <f t="shared" ref="D7148:D7154" si="690">IF(B7148&lt;1,"",VLOOKUP(B7148,$J$3:$K$102,2))</f>
        <v>#REF!</v>
      </c>
      <c r="E7148" s="31" t="e">
        <f>IF(B7148&lt;1,"",IF(B7148&gt;1," Hundreds "," Hundred "))</f>
        <v>#REF!</v>
      </c>
      <c r="J7148" s="31">
        <v>10</v>
      </c>
      <c r="K7148" s="33" t="s">
        <v>70</v>
      </c>
      <c r="L7148" s="31" t="s">
        <v>71</v>
      </c>
    </row>
    <row r="7149" spans="1:12">
      <c r="A7149" s="31" t="s">
        <v>72</v>
      </c>
      <c r="B7149" s="39" t="e">
        <f>TRUNC((A7136-C7148)/1000000)</f>
        <v>#REF!</v>
      </c>
      <c r="C7149" s="31" t="e">
        <f>B7149*1000000</f>
        <v>#REF!</v>
      </c>
      <c r="D7149" s="31" t="e">
        <f t="shared" si="690"/>
        <v>#REF!</v>
      </c>
      <c r="E7149" s="31" t="e">
        <f>IF(B7148+B7149=0,"",IF(B7149=1," Million "," Millions "))</f>
        <v>#REF!</v>
      </c>
      <c r="J7149" s="31">
        <v>11</v>
      </c>
      <c r="K7149" s="33" t="s">
        <v>73</v>
      </c>
      <c r="L7149" s="31" t="s">
        <v>74</v>
      </c>
    </row>
    <row r="7150" spans="1:12">
      <c r="A7150" s="31" t="s">
        <v>75</v>
      </c>
      <c r="B7150" s="39" t="e">
        <f>TRUNC((A7136-SUM(C7148:C7149))/100000)</f>
        <v>#REF!</v>
      </c>
      <c r="C7150" s="31" t="e">
        <f>B7150*100000</f>
        <v>#REF!</v>
      </c>
      <c r="D7150" s="31" t="e">
        <f t="shared" si="690"/>
        <v>#REF!</v>
      </c>
      <c r="E7150" s="31" t="e">
        <f>IF(B7150&lt;1,"",IF(B7150&gt;1," Hundreds "," Hundred "))</f>
        <v>#REF!</v>
      </c>
      <c r="J7150" s="31">
        <v>12</v>
      </c>
      <c r="K7150" s="33" t="s">
        <v>76</v>
      </c>
      <c r="L7150" s="31" t="str">
        <f t="shared" ref="L7150:L7157" si="691">L7140&amp;" Belas"</f>
        <v>Dua Belas</v>
      </c>
    </row>
    <row r="7151" spans="1:12">
      <c r="A7151" s="33" t="s">
        <v>77</v>
      </c>
      <c r="B7151" s="40" t="e">
        <f>TRUNC((A7136-SUM(C7148:C7150))/1000)</f>
        <v>#REF!</v>
      </c>
      <c r="C7151" s="31" t="e">
        <f>B7151*1000</f>
        <v>#REF!</v>
      </c>
      <c r="D7151" s="31" t="e">
        <f t="shared" si="690"/>
        <v>#REF!</v>
      </c>
      <c r="E7151" s="31" t="e">
        <f>IF(B7150+B7151=0,"",IF(B7151=1," Thousand "," Thousands "))</f>
        <v>#REF!</v>
      </c>
      <c r="J7151" s="31">
        <v>13</v>
      </c>
      <c r="K7151" s="33" t="s">
        <v>78</v>
      </c>
      <c r="L7151" s="31" t="str">
        <f t="shared" si="691"/>
        <v>Tiga Belas</v>
      </c>
    </row>
    <row r="7152" spans="1:12">
      <c r="A7152" s="33" t="s">
        <v>79</v>
      </c>
      <c r="B7152" s="40" t="e">
        <f>TRUNC((A7136-SUM(C7148:C7151))/100)</f>
        <v>#REF!</v>
      </c>
      <c r="C7152" s="31" t="e">
        <f>B7152*100</f>
        <v>#REF!</v>
      </c>
      <c r="D7152" s="31" t="e">
        <f t="shared" si="690"/>
        <v>#REF!</v>
      </c>
      <c r="E7152" s="31" t="e">
        <f>IF(B7152&lt;1,"",IF(B7152&gt;1," Hundreds "," Hundred "))</f>
        <v>#REF!</v>
      </c>
      <c r="J7152" s="31">
        <v>14</v>
      </c>
      <c r="K7152" s="33" t="s">
        <v>80</v>
      </c>
      <c r="L7152" s="31" t="str">
        <f t="shared" si="691"/>
        <v>Empat Belas</v>
      </c>
    </row>
    <row r="7153" spans="1:12">
      <c r="A7153" s="33" t="s">
        <v>81</v>
      </c>
      <c r="B7153" s="41" t="e">
        <f>TRUNC((A7136-SUM(C7148:C7152)))</f>
        <v>#REF!</v>
      </c>
      <c r="C7153" s="42" t="e">
        <f>B7153</f>
        <v>#REF!</v>
      </c>
      <c r="D7153" s="31" t="e">
        <f t="shared" si="690"/>
        <v>#REF!</v>
      </c>
      <c r="E7153" s="31" t="e">
        <f>IF(SUM(C7148:C7153)&lt;1,"",IF(B7154&lt;1,""," And "))</f>
        <v>#REF!</v>
      </c>
      <c r="J7153" s="31">
        <v>15</v>
      </c>
      <c r="K7153" s="33" t="s">
        <v>82</v>
      </c>
      <c r="L7153" s="31" t="str">
        <f t="shared" si="691"/>
        <v>Lima Belas</v>
      </c>
    </row>
    <row r="7154" spans="1:12">
      <c r="A7154" s="33" t="s">
        <v>83</v>
      </c>
      <c r="B7154" s="40" t="e">
        <f>ROUND(A7136-SUM(C7148:C7153),2)*100</f>
        <v>#REF!</v>
      </c>
      <c r="D7154" s="43" t="e">
        <f t="shared" si="690"/>
        <v>#REF!</v>
      </c>
      <c r="E7154" s="31" t="e">
        <f>IF(B7154&lt;1,"",IF(B7154=1," Cent "," Cents "))</f>
        <v>#REF!</v>
      </c>
      <c r="J7154" s="31">
        <v>16</v>
      </c>
      <c r="K7154" s="33" t="s">
        <v>84</v>
      </c>
      <c r="L7154" s="31" t="str">
        <f t="shared" si="691"/>
        <v>Enam Belas</v>
      </c>
    </row>
    <row r="7155" spans="1:12">
      <c r="J7155" s="31">
        <v>17</v>
      </c>
      <c r="K7155" s="33" t="s">
        <v>85</v>
      </c>
      <c r="L7155" s="31" t="str">
        <f t="shared" si="691"/>
        <v>Tujuh Belas</v>
      </c>
    </row>
    <row r="7156" spans="1:12">
      <c r="A7156" s="44"/>
      <c r="J7156" s="31">
        <v>18</v>
      </c>
      <c r="K7156" s="33" t="s">
        <v>86</v>
      </c>
      <c r="L7156" s="31" t="str">
        <f t="shared" si="691"/>
        <v>Delapan Belas</v>
      </c>
    </row>
    <row r="7157" spans="1:12">
      <c r="A7157" s="38" t="s">
        <v>87</v>
      </c>
      <c r="J7157" s="31">
        <v>19</v>
      </c>
      <c r="K7157" s="33" t="s">
        <v>88</v>
      </c>
      <c r="L7157" s="31" t="str">
        <f t="shared" si="691"/>
        <v>Sembilan Belas</v>
      </c>
    </row>
    <row r="7158" spans="1:12">
      <c r="A7158" s="31" t="s">
        <v>69</v>
      </c>
      <c r="B7158" s="39" t="e">
        <f>TRUNC(A7136/100000000)</f>
        <v>#REF!</v>
      </c>
      <c r="C7158" s="31" t="e">
        <f>B7158*100000000</f>
        <v>#REF!</v>
      </c>
      <c r="D7158" s="31" t="e">
        <f>IF(B7158&lt;1,"",IF(B7158=1,"",VLOOKUP(B7158,$J$3:$L$102,3)))</f>
        <v>#REF!</v>
      </c>
      <c r="E7158" s="31" t="e">
        <f>IF(B7158&lt;1,"",IF(B7158=1,"Seratus "," Ratus "))</f>
        <v>#REF!</v>
      </c>
      <c r="J7158" s="31">
        <v>20</v>
      </c>
      <c r="K7158" s="33" t="s">
        <v>89</v>
      </c>
      <c r="L7158" s="31" t="s">
        <v>90</v>
      </c>
    </row>
    <row r="7159" spans="1:12">
      <c r="A7159" s="31" t="s">
        <v>72</v>
      </c>
      <c r="B7159" s="39" t="e">
        <f>TRUNC((A7136-C7158)/1000000)</f>
        <v>#REF!</v>
      </c>
      <c r="C7159" s="31" t="e">
        <f>B7159*1000000</f>
        <v>#REF!</v>
      </c>
      <c r="D7159" s="31" t="e">
        <f>IF(B7159&lt;1,"",VLOOKUP(B7159,$J$3:$L$102,3))</f>
        <v>#REF!</v>
      </c>
      <c r="E7159" s="31" t="e">
        <f>IF(B7158+B7159=0,""," Juta ")</f>
        <v>#REF!</v>
      </c>
      <c r="J7159" s="31">
        <v>21</v>
      </c>
      <c r="K7159" s="33" t="s">
        <v>91</v>
      </c>
      <c r="L7159" s="31" t="str">
        <f t="shared" ref="L7159:L7167" si="692">$L$23&amp;" "&amp;L7139</f>
        <v>Dua Puluh Satu</v>
      </c>
    </row>
    <row r="7160" spans="1:12">
      <c r="A7160" s="31" t="s">
        <v>75</v>
      </c>
      <c r="B7160" s="39" t="e">
        <f>TRUNC((A7136-SUM(C7158:C7159))/100000)</f>
        <v>#REF!</v>
      </c>
      <c r="C7160" s="31" t="e">
        <f>B7160*100000</f>
        <v>#REF!</v>
      </c>
      <c r="D7160" s="31" t="e">
        <f>IF(B7160&lt;1,"",IF(B7160=1,"",VLOOKUP(B7160,$J$3:$L$102,3)))</f>
        <v>#REF!</v>
      </c>
      <c r="E7160" s="31" t="e">
        <f>IF(B7160&lt;1,"",IF(B7160=1," Seratus "," Ratus "))</f>
        <v>#REF!</v>
      </c>
      <c r="J7160" s="31">
        <v>22</v>
      </c>
      <c r="K7160" s="33" t="s">
        <v>92</v>
      </c>
      <c r="L7160" s="31" t="str">
        <f t="shared" si="692"/>
        <v>Dua Puluh Dua</v>
      </c>
    </row>
    <row r="7161" spans="1:12">
      <c r="A7161" s="33" t="s">
        <v>77</v>
      </c>
      <c r="B7161" s="40" t="e">
        <f>TRUNC((A7136-SUM(C7158:C7160))/1000)</f>
        <v>#REF!</v>
      </c>
      <c r="C7161" s="31" t="e">
        <f>B7161*1000</f>
        <v>#REF!</v>
      </c>
      <c r="D7161" s="31" t="e">
        <f>IF(B7161&lt;1,"",IF(B7161=1,"",VLOOKUP(B7161,$J$3:$L$102,3)))</f>
        <v>#REF!</v>
      </c>
      <c r="E7161" s="31" t="e">
        <f>IF(B7160+B7161&lt;1,"",IF(B7161=1," Seribu "," Ribu "))</f>
        <v>#REF!</v>
      </c>
      <c r="J7161" s="31">
        <v>23</v>
      </c>
      <c r="K7161" s="33" t="s">
        <v>93</v>
      </c>
      <c r="L7161" s="31" t="str">
        <f t="shared" si="692"/>
        <v>Dua Puluh Tiga</v>
      </c>
    </row>
    <row r="7162" spans="1:12">
      <c r="A7162" s="33" t="s">
        <v>79</v>
      </c>
      <c r="B7162" s="40" t="e">
        <f>TRUNC((A7136-SUM(C7158:C7161))/100)</f>
        <v>#REF!</v>
      </c>
      <c r="C7162" s="31" t="e">
        <f>B7162*100</f>
        <v>#REF!</v>
      </c>
      <c r="D7162" s="31" t="e">
        <f>IF(B7162&lt;1,"",IF(B7162=1,"",VLOOKUP(B7162,$J$3:$L$102,3)))</f>
        <v>#REF!</v>
      </c>
      <c r="E7162" s="31" t="e">
        <f>IF(B7162&lt;1,"",IF(B7162=1," Seratus "," Ratus "))</f>
        <v>#REF!</v>
      </c>
      <c r="J7162" s="31">
        <v>24</v>
      </c>
      <c r="K7162" s="33" t="s">
        <v>94</v>
      </c>
      <c r="L7162" s="31" t="str">
        <f t="shared" si="692"/>
        <v>Dua Puluh Empat</v>
      </c>
    </row>
    <row r="7163" spans="1:12">
      <c r="A7163" s="33" t="s">
        <v>81</v>
      </c>
      <c r="B7163" s="41" t="e">
        <f>TRUNC((A7136-SUM(C7158:C7162)))</f>
        <v>#REF!</v>
      </c>
      <c r="C7163" s="42" t="e">
        <f>B7163</f>
        <v>#REF!</v>
      </c>
      <c r="D7163" s="31" t="e">
        <f>IF(B7163&lt;1,"",VLOOKUP(B7163,$J$3:$L$102,3))</f>
        <v>#REF!</v>
      </c>
      <c r="E7163" s="31" t="e">
        <f>IF(SUM(C7158:C7163)&lt;1,"",IF(B7164&lt;1,""," Dan "))</f>
        <v>#REF!</v>
      </c>
      <c r="J7163" s="31">
        <v>25</v>
      </c>
      <c r="K7163" s="33" t="s">
        <v>95</v>
      </c>
      <c r="L7163" s="31" t="str">
        <f t="shared" si="692"/>
        <v>Dua Puluh Lima</v>
      </c>
    </row>
    <row r="7164" spans="1:12">
      <c r="A7164" s="33" t="s">
        <v>83</v>
      </c>
      <c r="B7164" s="40" t="e">
        <f>ROUND(A7136-SUM(C7158:C7163),2)*100</f>
        <v>#REF!</v>
      </c>
      <c r="D7164" s="31" t="e">
        <f>IF(B7164&lt;1,"",VLOOKUP(B7164,$J$3:$L$102,3))</f>
        <v>#REF!</v>
      </c>
      <c r="E7164" s="31" t="e">
        <f>IF(B7164&lt;1,""," Sen ")</f>
        <v>#REF!</v>
      </c>
      <c r="J7164" s="31">
        <v>26</v>
      </c>
      <c r="K7164" s="33" t="s">
        <v>96</v>
      </c>
      <c r="L7164" s="31" t="str">
        <f t="shared" si="692"/>
        <v>Dua Puluh Enam</v>
      </c>
    </row>
    <row r="7165" spans="1:12">
      <c r="J7165" s="31">
        <v>27</v>
      </c>
      <c r="K7165" s="33" t="s">
        <v>97</v>
      </c>
      <c r="L7165" s="31" t="str">
        <f t="shared" si="692"/>
        <v>Dua Puluh Tujuh</v>
      </c>
    </row>
    <row r="7166" spans="1:12">
      <c r="J7166" s="31">
        <v>28</v>
      </c>
      <c r="K7166" s="33" t="s">
        <v>98</v>
      </c>
      <c r="L7166" s="31" t="str">
        <f t="shared" si="692"/>
        <v>Dua Puluh Delapan</v>
      </c>
    </row>
    <row r="7167" spans="1:12">
      <c r="J7167" s="31">
        <v>29</v>
      </c>
      <c r="K7167" s="33" t="s">
        <v>99</v>
      </c>
      <c r="L7167" s="31" t="str">
        <f t="shared" si="692"/>
        <v>Dua Puluh Sembilan</v>
      </c>
    </row>
    <row r="7168" spans="1:12">
      <c r="J7168" s="31">
        <v>30</v>
      </c>
      <c r="K7168" s="33" t="s">
        <v>100</v>
      </c>
      <c r="L7168" s="31" t="s">
        <v>101</v>
      </c>
    </row>
    <row r="7169" spans="1:12">
      <c r="J7169" s="31">
        <v>31</v>
      </c>
      <c r="K7169" s="33" t="s">
        <v>102</v>
      </c>
      <c r="L7169" s="31" t="str">
        <f t="shared" ref="L7169:L7177" si="693">$L$33&amp;" "&amp;L7139</f>
        <v>Tiga Puluh Satu</v>
      </c>
    </row>
    <row r="7170" spans="1:12">
      <c r="J7170" s="31">
        <v>32</v>
      </c>
      <c r="K7170" s="33" t="s">
        <v>103</v>
      </c>
      <c r="L7170" s="31" t="str">
        <f t="shared" si="693"/>
        <v>Tiga Puluh Dua</v>
      </c>
    </row>
    <row r="7171" spans="1:12">
      <c r="J7171" s="31">
        <v>33</v>
      </c>
      <c r="K7171" s="33" t="s">
        <v>104</v>
      </c>
      <c r="L7171" s="31" t="str">
        <f t="shared" si="693"/>
        <v>Tiga Puluh Tiga</v>
      </c>
    </row>
    <row r="7172" spans="1:12">
      <c r="J7172" s="31">
        <v>34</v>
      </c>
      <c r="K7172" s="33" t="s">
        <v>105</v>
      </c>
      <c r="L7172" s="31" t="str">
        <f t="shared" si="693"/>
        <v>Tiga Puluh Empat</v>
      </c>
    </row>
    <row r="7173" spans="1:12">
      <c r="J7173" s="31">
        <v>35</v>
      </c>
      <c r="K7173" s="33" t="s">
        <v>106</v>
      </c>
      <c r="L7173" s="31" t="str">
        <f t="shared" si="693"/>
        <v>Tiga Puluh Lima</v>
      </c>
    </row>
    <row r="7174" spans="1:12">
      <c r="J7174" s="31">
        <v>36</v>
      </c>
      <c r="K7174" s="33" t="s">
        <v>107</v>
      </c>
      <c r="L7174" s="31" t="str">
        <f t="shared" si="693"/>
        <v>Tiga Puluh Enam</v>
      </c>
    </row>
    <row r="7175" spans="1:12">
      <c r="J7175" s="31">
        <v>37</v>
      </c>
      <c r="K7175" s="33" t="s">
        <v>108</v>
      </c>
      <c r="L7175" s="31" t="str">
        <f t="shared" si="693"/>
        <v>Tiga Puluh Tujuh</v>
      </c>
    </row>
    <row r="7176" spans="1:12">
      <c r="J7176" s="31">
        <v>38</v>
      </c>
      <c r="K7176" s="33" t="s">
        <v>109</v>
      </c>
      <c r="L7176" s="31" t="str">
        <f t="shared" si="693"/>
        <v>Tiga Puluh Delapan</v>
      </c>
    </row>
    <row r="7177" spans="1:12">
      <c r="J7177" s="31">
        <v>39</v>
      </c>
      <c r="K7177" s="33" t="s">
        <v>110</v>
      </c>
      <c r="L7177" s="31" t="str">
        <f t="shared" si="693"/>
        <v>Tiga Puluh Sembilan</v>
      </c>
    </row>
    <row r="7178" spans="1:12">
      <c r="B7178" s="35"/>
      <c r="C7178" s="35"/>
      <c r="D7178" s="35"/>
      <c r="J7178" s="31">
        <v>40</v>
      </c>
      <c r="K7178" s="33" t="s">
        <v>111</v>
      </c>
      <c r="L7178" s="31" t="s">
        <v>112</v>
      </c>
    </row>
    <row r="7179" spans="1:12">
      <c r="A7179" s="35"/>
      <c r="B7179" s="35"/>
      <c r="C7179" s="35"/>
      <c r="D7179" s="35"/>
      <c r="J7179" s="31">
        <v>41</v>
      </c>
      <c r="K7179" s="33" t="s">
        <v>113</v>
      </c>
      <c r="L7179" s="31" t="str">
        <f t="shared" ref="L7179:L7187" si="694">$L$43&amp;" "&amp;L7139</f>
        <v>Empat Puluh Satu</v>
      </c>
    </row>
    <row r="7180" spans="1:12">
      <c r="J7180" s="31">
        <v>42</v>
      </c>
      <c r="K7180" s="33" t="s">
        <v>114</v>
      </c>
      <c r="L7180" s="31" t="str">
        <f t="shared" si="694"/>
        <v>Empat Puluh Dua</v>
      </c>
    </row>
    <row r="7181" spans="1:12">
      <c r="A7181" s="38"/>
      <c r="J7181" s="31">
        <v>43</v>
      </c>
      <c r="K7181" s="33" t="s">
        <v>115</v>
      </c>
      <c r="L7181" s="31" t="str">
        <f t="shared" si="694"/>
        <v>Empat Puluh Tiga</v>
      </c>
    </row>
    <row r="7182" spans="1:12">
      <c r="J7182" s="31">
        <v>44</v>
      </c>
      <c r="K7182" s="33" t="s">
        <v>116</v>
      </c>
      <c r="L7182" s="31" t="str">
        <f t="shared" si="694"/>
        <v>Empat Puluh Empat</v>
      </c>
    </row>
    <row r="7183" spans="1:12">
      <c r="J7183" s="31">
        <v>45</v>
      </c>
      <c r="K7183" s="33" t="s">
        <v>117</v>
      </c>
      <c r="L7183" s="31" t="str">
        <f t="shared" si="694"/>
        <v>Empat Puluh Lima</v>
      </c>
    </row>
    <row r="7184" spans="1:12">
      <c r="J7184" s="31">
        <v>46</v>
      </c>
      <c r="K7184" s="33" t="s">
        <v>118</v>
      </c>
      <c r="L7184" s="31" t="str">
        <f t="shared" si="694"/>
        <v>Empat Puluh Enam</v>
      </c>
    </row>
    <row r="7185" spans="10:12">
      <c r="J7185" s="31">
        <v>47</v>
      </c>
      <c r="K7185" s="33" t="s">
        <v>119</v>
      </c>
      <c r="L7185" s="31" t="str">
        <f t="shared" si="694"/>
        <v>Empat Puluh Tujuh</v>
      </c>
    </row>
    <row r="7186" spans="10:12">
      <c r="J7186" s="31">
        <v>48</v>
      </c>
      <c r="K7186" s="33" t="s">
        <v>120</v>
      </c>
      <c r="L7186" s="31" t="str">
        <f t="shared" si="694"/>
        <v>Empat Puluh Delapan</v>
      </c>
    </row>
    <row r="7187" spans="10:12">
      <c r="J7187" s="31">
        <v>49</v>
      </c>
      <c r="K7187" s="33" t="s">
        <v>121</v>
      </c>
      <c r="L7187" s="31" t="str">
        <f t="shared" si="694"/>
        <v>Empat Puluh Sembilan</v>
      </c>
    </row>
    <row r="7188" spans="10:12">
      <c r="J7188" s="31">
        <v>50</v>
      </c>
      <c r="K7188" s="33" t="s">
        <v>122</v>
      </c>
      <c r="L7188" s="31" t="s">
        <v>123</v>
      </c>
    </row>
    <row r="7189" spans="10:12">
      <c r="J7189" s="31">
        <v>51</v>
      </c>
      <c r="K7189" s="33" t="s">
        <v>124</v>
      </c>
      <c r="L7189" s="31" t="str">
        <f t="shared" ref="L7189:L7197" si="695">$L$53&amp;" "&amp;L7139</f>
        <v>Lima Puluh Satu</v>
      </c>
    </row>
    <row r="7190" spans="10:12">
      <c r="J7190" s="31">
        <v>52</v>
      </c>
      <c r="K7190" s="33" t="s">
        <v>125</v>
      </c>
      <c r="L7190" s="31" t="str">
        <f t="shared" si="695"/>
        <v>Lima Puluh Dua</v>
      </c>
    </row>
    <row r="7191" spans="10:12">
      <c r="J7191" s="31">
        <v>53</v>
      </c>
      <c r="K7191" s="33" t="s">
        <v>126</v>
      </c>
      <c r="L7191" s="31" t="str">
        <f t="shared" si="695"/>
        <v>Lima Puluh Tiga</v>
      </c>
    </row>
    <row r="7192" spans="10:12">
      <c r="J7192" s="31">
        <v>54</v>
      </c>
      <c r="K7192" s="33" t="s">
        <v>127</v>
      </c>
      <c r="L7192" s="31" t="str">
        <f t="shared" si="695"/>
        <v>Lima Puluh Empat</v>
      </c>
    </row>
    <row r="7193" spans="10:12">
      <c r="J7193" s="31">
        <v>55</v>
      </c>
      <c r="K7193" s="33" t="s">
        <v>128</v>
      </c>
      <c r="L7193" s="31" t="str">
        <f t="shared" si="695"/>
        <v>Lima Puluh Lima</v>
      </c>
    </row>
    <row r="7194" spans="10:12">
      <c r="J7194" s="31">
        <v>56</v>
      </c>
      <c r="K7194" s="33" t="s">
        <v>129</v>
      </c>
      <c r="L7194" s="31" t="str">
        <f t="shared" si="695"/>
        <v>Lima Puluh Enam</v>
      </c>
    </row>
    <row r="7195" spans="10:12">
      <c r="J7195" s="31">
        <v>57</v>
      </c>
      <c r="K7195" s="33" t="s">
        <v>130</v>
      </c>
      <c r="L7195" s="31" t="str">
        <f t="shared" si="695"/>
        <v>Lima Puluh Tujuh</v>
      </c>
    </row>
    <row r="7196" spans="10:12">
      <c r="J7196" s="31">
        <v>58</v>
      </c>
      <c r="K7196" s="33" t="s">
        <v>131</v>
      </c>
      <c r="L7196" s="31" t="str">
        <f t="shared" si="695"/>
        <v>Lima Puluh Delapan</v>
      </c>
    </row>
    <row r="7197" spans="10:12">
      <c r="J7197" s="31">
        <v>59</v>
      </c>
      <c r="K7197" s="33" t="s">
        <v>132</v>
      </c>
      <c r="L7197" s="31" t="str">
        <f t="shared" si="695"/>
        <v>Lima Puluh Sembilan</v>
      </c>
    </row>
    <row r="7198" spans="10:12">
      <c r="J7198" s="31">
        <v>60</v>
      </c>
      <c r="K7198" s="33" t="s">
        <v>133</v>
      </c>
      <c r="L7198" s="31" t="s">
        <v>134</v>
      </c>
    </row>
    <row r="7199" spans="10:12">
      <c r="J7199" s="31">
        <v>61</v>
      </c>
      <c r="K7199" s="33" t="s">
        <v>135</v>
      </c>
      <c r="L7199" s="31" t="str">
        <f t="shared" ref="L7199:L7207" si="696">$L$63&amp;" "&amp;L7139</f>
        <v>Enam Puluh Satu</v>
      </c>
    </row>
    <row r="7200" spans="10:12">
      <c r="J7200" s="31">
        <v>62</v>
      </c>
      <c r="K7200" s="33" t="s">
        <v>136</v>
      </c>
      <c r="L7200" s="31" t="str">
        <f t="shared" si="696"/>
        <v>Enam Puluh Dua</v>
      </c>
    </row>
    <row r="7201" spans="10:12">
      <c r="J7201" s="31">
        <v>63</v>
      </c>
      <c r="K7201" s="33" t="s">
        <v>137</v>
      </c>
      <c r="L7201" s="31" t="str">
        <f t="shared" si="696"/>
        <v>Enam Puluh Tiga</v>
      </c>
    </row>
    <row r="7202" spans="10:12">
      <c r="J7202" s="31">
        <v>64</v>
      </c>
      <c r="K7202" s="33" t="s">
        <v>138</v>
      </c>
      <c r="L7202" s="31" t="str">
        <f t="shared" si="696"/>
        <v>Enam Puluh Empat</v>
      </c>
    </row>
    <row r="7203" spans="10:12">
      <c r="J7203" s="31">
        <v>65</v>
      </c>
      <c r="K7203" s="33" t="s">
        <v>139</v>
      </c>
      <c r="L7203" s="31" t="str">
        <f t="shared" si="696"/>
        <v>Enam Puluh Lima</v>
      </c>
    </row>
    <row r="7204" spans="10:12">
      <c r="J7204" s="31">
        <v>66</v>
      </c>
      <c r="K7204" s="33" t="s">
        <v>140</v>
      </c>
      <c r="L7204" s="31" t="str">
        <f t="shared" si="696"/>
        <v>Enam Puluh Enam</v>
      </c>
    </row>
    <row r="7205" spans="10:12">
      <c r="J7205" s="31">
        <v>67</v>
      </c>
      <c r="K7205" s="33" t="s">
        <v>141</v>
      </c>
      <c r="L7205" s="31" t="str">
        <f t="shared" si="696"/>
        <v>Enam Puluh Tujuh</v>
      </c>
    </row>
    <row r="7206" spans="10:12">
      <c r="J7206" s="31">
        <v>68</v>
      </c>
      <c r="K7206" s="33" t="s">
        <v>142</v>
      </c>
      <c r="L7206" s="31" t="str">
        <f t="shared" si="696"/>
        <v>Enam Puluh Delapan</v>
      </c>
    </row>
    <row r="7207" spans="10:12">
      <c r="J7207" s="31">
        <v>69</v>
      </c>
      <c r="K7207" s="33" t="s">
        <v>143</v>
      </c>
      <c r="L7207" s="31" t="str">
        <f t="shared" si="696"/>
        <v>Enam Puluh Sembilan</v>
      </c>
    </row>
    <row r="7208" spans="10:12">
      <c r="J7208" s="31">
        <v>70</v>
      </c>
      <c r="K7208" s="33" t="s">
        <v>144</v>
      </c>
      <c r="L7208" s="31" t="s">
        <v>145</v>
      </c>
    </row>
    <row r="7209" spans="10:12">
      <c r="J7209" s="31">
        <v>71</v>
      </c>
      <c r="K7209" s="33" t="s">
        <v>146</v>
      </c>
      <c r="L7209" s="31" t="str">
        <f t="shared" ref="L7209:L7217" si="697">$L$73&amp;" "&amp;L7139</f>
        <v>Tujuh Puluh Satu</v>
      </c>
    </row>
    <row r="7210" spans="10:12">
      <c r="J7210" s="31">
        <v>72</v>
      </c>
      <c r="K7210" s="33" t="s">
        <v>147</v>
      </c>
      <c r="L7210" s="31" t="str">
        <f t="shared" si="697"/>
        <v>Tujuh Puluh Dua</v>
      </c>
    </row>
    <row r="7211" spans="10:12">
      <c r="J7211" s="31">
        <v>73</v>
      </c>
      <c r="K7211" s="33" t="s">
        <v>148</v>
      </c>
      <c r="L7211" s="31" t="str">
        <f t="shared" si="697"/>
        <v>Tujuh Puluh Tiga</v>
      </c>
    </row>
    <row r="7212" spans="10:12">
      <c r="J7212" s="31">
        <v>74</v>
      </c>
      <c r="K7212" s="33" t="s">
        <v>149</v>
      </c>
      <c r="L7212" s="31" t="str">
        <f t="shared" si="697"/>
        <v>Tujuh Puluh Empat</v>
      </c>
    </row>
    <row r="7213" spans="10:12">
      <c r="J7213" s="31">
        <v>75</v>
      </c>
      <c r="K7213" s="33" t="s">
        <v>150</v>
      </c>
      <c r="L7213" s="31" t="str">
        <f t="shared" si="697"/>
        <v>Tujuh Puluh Lima</v>
      </c>
    </row>
    <row r="7214" spans="10:12">
      <c r="J7214" s="31">
        <v>76</v>
      </c>
      <c r="K7214" s="33" t="s">
        <v>151</v>
      </c>
      <c r="L7214" s="31" t="str">
        <f t="shared" si="697"/>
        <v>Tujuh Puluh Enam</v>
      </c>
    </row>
    <row r="7215" spans="10:12">
      <c r="J7215" s="31">
        <v>77</v>
      </c>
      <c r="K7215" s="33" t="s">
        <v>152</v>
      </c>
      <c r="L7215" s="31" t="str">
        <f t="shared" si="697"/>
        <v>Tujuh Puluh Tujuh</v>
      </c>
    </row>
    <row r="7216" spans="10:12">
      <c r="J7216" s="31">
        <v>78</v>
      </c>
      <c r="K7216" s="33" t="s">
        <v>153</v>
      </c>
      <c r="L7216" s="31" t="str">
        <f t="shared" si="697"/>
        <v>Tujuh Puluh Delapan</v>
      </c>
    </row>
    <row r="7217" spans="10:12">
      <c r="J7217" s="31">
        <v>79</v>
      </c>
      <c r="K7217" s="33" t="s">
        <v>154</v>
      </c>
      <c r="L7217" s="31" t="str">
        <f t="shared" si="697"/>
        <v>Tujuh Puluh Sembilan</v>
      </c>
    </row>
    <row r="7218" spans="10:12">
      <c r="J7218" s="31">
        <v>80</v>
      </c>
      <c r="K7218" s="33" t="s">
        <v>155</v>
      </c>
      <c r="L7218" s="31" t="s">
        <v>156</v>
      </c>
    </row>
    <row r="7219" spans="10:12">
      <c r="J7219" s="31">
        <v>81</v>
      </c>
      <c r="K7219" s="33" t="s">
        <v>157</v>
      </c>
      <c r="L7219" s="31" t="str">
        <f t="shared" ref="L7219:L7227" si="698">$L$83&amp;" "&amp;L7139</f>
        <v>Delapan Puluh Satu</v>
      </c>
    </row>
    <row r="7220" spans="10:12">
      <c r="J7220" s="31">
        <v>82</v>
      </c>
      <c r="K7220" s="33" t="s">
        <v>158</v>
      </c>
      <c r="L7220" s="31" t="str">
        <f t="shared" si="698"/>
        <v>Delapan Puluh Dua</v>
      </c>
    </row>
    <row r="7221" spans="10:12">
      <c r="J7221" s="31">
        <v>83</v>
      </c>
      <c r="K7221" s="33" t="s">
        <v>159</v>
      </c>
      <c r="L7221" s="31" t="str">
        <f t="shared" si="698"/>
        <v>Delapan Puluh Tiga</v>
      </c>
    </row>
    <row r="7222" spans="10:12">
      <c r="J7222" s="31">
        <v>84</v>
      </c>
      <c r="K7222" s="33" t="s">
        <v>160</v>
      </c>
      <c r="L7222" s="31" t="str">
        <f t="shared" si="698"/>
        <v>Delapan Puluh Empat</v>
      </c>
    </row>
    <row r="7223" spans="10:12">
      <c r="J7223" s="31">
        <v>85</v>
      </c>
      <c r="K7223" s="33" t="s">
        <v>161</v>
      </c>
      <c r="L7223" s="31" t="str">
        <f t="shared" si="698"/>
        <v>Delapan Puluh Lima</v>
      </c>
    </row>
    <row r="7224" spans="10:12">
      <c r="J7224" s="31">
        <v>86</v>
      </c>
      <c r="K7224" s="33" t="s">
        <v>162</v>
      </c>
      <c r="L7224" s="31" t="str">
        <f t="shared" si="698"/>
        <v>Delapan Puluh Enam</v>
      </c>
    </row>
    <row r="7225" spans="10:12">
      <c r="J7225" s="31">
        <v>87</v>
      </c>
      <c r="K7225" s="33" t="s">
        <v>163</v>
      </c>
      <c r="L7225" s="31" t="str">
        <f t="shared" si="698"/>
        <v>Delapan Puluh Tujuh</v>
      </c>
    </row>
    <row r="7226" spans="10:12">
      <c r="J7226" s="31">
        <v>88</v>
      </c>
      <c r="K7226" s="33" t="s">
        <v>164</v>
      </c>
      <c r="L7226" s="31" t="str">
        <f t="shared" si="698"/>
        <v>Delapan Puluh Delapan</v>
      </c>
    </row>
    <row r="7227" spans="10:12">
      <c r="J7227" s="31">
        <v>89</v>
      </c>
      <c r="K7227" s="33" t="s">
        <v>165</v>
      </c>
      <c r="L7227" s="31" t="str">
        <f t="shared" si="698"/>
        <v>Delapan Puluh Sembilan</v>
      </c>
    </row>
    <row r="7228" spans="10:12">
      <c r="J7228" s="31">
        <v>90</v>
      </c>
      <c r="K7228" s="33" t="s">
        <v>166</v>
      </c>
      <c r="L7228" s="31" t="s">
        <v>167</v>
      </c>
    </row>
    <row r="7229" spans="10:12">
      <c r="J7229" s="31">
        <v>91</v>
      </c>
      <c r="K7229" s="33" t="s">
        <v>168</v>
      </c>
      <c r="L7229" s="31" t="str">
        <f t="shared" ref="L7229:L7237" si="699">$L$93&amp;" "&amp;L7139</f>
        <v>Sembilan Puluh Satu</v>
      </c>
    </row>
    <row r="7230" spans="10:12">
      <c r="J7230" s="31">
        <v>92</v>
      </c>
      <c r="K7230" s="33" t="s">
        <v>169</v>
      </c>
      <c r="L7230" s="31" t="str">
        <f t="shared" si="699"/>
        <v>Sembilan Puluh Dua</v>
      </c>
    </row>
    <row r="7231" spans="10:12">
      <c r="J7231" s="31">
        <v>93</v>
      </c>
      <c r="K7231" s="33" t="s">
        <v>170</v>
      </c>
      <c r="L7231" s="31" t="str">
        <f t="shared" si="699"/>
        <v>Sembilan Puluh Tiga</v>
      </c>
    </row>
    <row r="7232" spans="10:12">
      <c r="J7232" s="31">
        <v>94</v>
      </c>
      <c r="K7232" s="33" t="s">
        <v>171</v>
      </c>
      <c r="L7232" s="31" t="str">
        <f t="shared" si="699"/>
        <v>Sembilan Puluh Empat</v>
      </c>
    </row>
    <row r="7233" spans="1:12">
      <c r="J7233" s="31">
        <v>95</v>
      </c>
      <c r="K7233" s="33" t="s">
        <v>172</v>
      </c>
      <c r="L7233" s="31" t="str">
        <f t="shared" si="699"/>
        <v>Sembilan Puluh Lima</v>
      </c>
    </row>
    <row r="7234" spans="1:12">
      <c r="J7234" s="31">
        <v>96</v>
      </c>
      <c r="K7234" s="33" t="s">
        <v>173</v>
      </c>
      <c r="L7234" s="31" t="str">
        <f t="shared" si="699"/>
        <v>Sembilan Puluh Enam</v>
      </c>
    </row>
    <row r="7235" spans="1:12">
      <c r="J7235" s="31">
        <v>97</v>
      </c>
      <c r="K7235" s="33" t="s">
        <v>174</v>
      </c>
      <c r="L7235" s="31" t="str">
        <f t="shared" si="699"/>
        <v>Sembilan Puluh Tujuh</v>
      </c>
    </row>
    <row r="7236" spans="1:12">
      <c r="J7236" s="31">
        <v>98</v>
      </c>
      <c r="K7236" s="33" t="s">
        <v>175</v>
      </c>
      <c r="L7236" s="31" t="str">
        <f t="shared" si="699"/>
        <v>Sembilan Puluh Delapan</v>
      </c>
    </row>
    <row r="7237" spans="1:12">
      <c r="J7237" s="31">
        <v>99</v>
      </c>
      <c r="K7237" s="33" t="s">
        <v>176</v>
      </c>
      <c r="L7237" s="31" t="str">
        <f t="shared" si="699"/>
        <v>Sembilan Puluh Sembilan</v>
      </c>
    </row>
    <row r="7239" spans="1:12">
      <c r="A7239" s="30" t="e">
        <f>#REF!</f>
        <v>#REF!</v>
      </c>
      <c r="C7239" s="31" t="s">
        <v>268</v>
      </c>
    </row>
    <row r="7240" spans="1:12">
      <c r="A7240" s="32"/>
    </row>
    <row r="7241" spans="1:12">
      <c r="J7241" s="31">
        <v>0</v>
      </c>
      <c r="K7241" s="33" t="s">
        <v>48</v>
      </c>
      <c r="L7241" s="31" t="s">
        <v>49</v>
      </c>
    </row>
    <row r="7242" spans="1:12">
      <c r="A7242" s="34"/>
      <c r="J7242" s="31">
        <v>1</v>
      </c>
      <c r="K7242" s="33" t="s">
        <v>50</v>
      </c>
      <c r="L7242" s="31" t="s">
        <v>51</v>
      </c>
    </row>
    <row r="7243" spans="1:12">
      <c r="A7243" s="255" t="e">
        <f>TRIM(D7251&amp;E7251&amp;D7252&amp;E7252&amp;D7253&amp;E7253&amp;D7254&amp;E7254&amp;D7255&amp;E7255&amp;D7256&amp;E7256&amp;E7257&amp;D7257&amp;" Only")</f>
        <v>#REF!</v>
      </c>
      <c r="B7243" s="255"/>
      <c r="C7243" s="255"/>
      <c r="D7243" s="255"/>
      <c r="E7243" s="35"/>
      <c r="F7243" s="36"/>
      <c r="J7243" s="31">
        <v>2</v>
      </c>
      <c r="K7243" s="33" t="s">
        <v>52</v>
      </c>
      <c r="L7243" s="31" t="s">
        <v>53</v>
      </c>
    </row>
    <row r="7244" spans="1:12">
      <c r="A7244" s="37"/>
      <c r="B7244" s="37"/>
      <c r="C7244" s="37"/>
      <c r="D7244" s="37"/>
      <c r="E7244" s="35"/>
      <c r="F7244" s="36"/>
      <c r="J7244" s="31">
        <v>3</v>
      </c>
      <c r="K7244" s="33" t="s">
        <v>54</v>
      </c>
      <c r="L7244" s="31" t="s">
        <v>55</v>
      </c>
    </row>
    <row r="7245" spans="1:12">
      <c r="A7245" s="37"/>
      <c r="B7245" s="37"/>
      <c r="C7245" s="37"/>
      <c r="D7245" s="37"/>
      <c r="J7245" s="31">
        <v>4</v>
      </c>
      <c r="K7245" s="33" t="s">
        <v>56</v>
      </c>
      <c r="L7245" s="31" t="s">
        <v>57</v>
      </c>
    </row>
    <row r="7246" spans="1:12">
      <c r="A7246" s="255" t="e">
        <f>TRIM(D7261&amp;E7261&amp;D7262&amp;E7262&amp;D7263&amp;E7263&amp;D7264&amp;E7264&amp;D7265&amp;E7265&amp;D7266&amp;E7266&amp;D7267&amp;E7267&amp;" Rupiah")</f>
        <v>#REF!</v>
      </c>
      <c r="B7246" s="255"/>
      <c r="C7246" s="255"/>
      <c r="D7246" s="255"/>
      <c r="E7246" s="35"/>
      <c r="F7246" s="36"/>
      <c r="J7246" s="31">
        <v>5</v>
      </c>
      <c r="K7246" s="33" t="s">
        <v>58</v>
      </c>
      <c r="L7246" s="31" t="s">
        <v>59</v>
      </c>
    </row>
    <row r="7247" spans="1:12">
      <c r="A7247" s="35"/>
      <c r="B7247" s="35"/>
      <c r="C7247" s="35"/>
      <c r="D7247" s="35"/>
      <c r="E7247" s="35"/>
      <c r="F7247" s="36"/>
      <c r="J7247" s="31">
        <v>6</v>
      </c>
      <c r="K7247" s="33" t="s">
        <v>60</v>
      </c>
      <c r="L7247" s="31" t="s">
        <v>61</v>
      </c>
    </row>
    <row r="7248" spans="1:12">
      <c r="J7248" s="31">
        <v>7</v>
      </c>
      <c r="K7248" s="33" t="s">
        <v>62</v>
      </c>
      <c r="L7248" s="31" t="s">
        <v>63</v>
      </c>
    </row>
    <row r="7249" spans="1:12">
      <c r="J7249" s="31">
        <v>8</v>
      </c>
      <c r="K7249" s="33" t="s">
        <v>64</v>
      </c>
      <c r="L7249" s="31" t="s">
        <v>65</v>
      </c>
    </row>
    <row r="7250" spans="1:12">
      <c r="A7250" s="38" t="s">
        <v>66</v>
      </c>
      <c r="J7250" s="31">
        <v>9</v>
      </c>
      <c r="K7250" s="33" t="s">
        <v>67</v>
      </c>
      <c r="L7250" s="31" t="s">
        <v>68</v>
      </c>
    </row>
    <row r="7251" spans="1:12">
      <c r="A7251" s="31" t="s">
        <v>69</v>
      </c>
      <c r="B7251" s="39" t="e">
        <f>TRUNC(A7239/100000000)</f>
        <v>#REF!</v>
      </c>
      <c r="C7251" s="31" t="e">
        <f>B7251*100000000</f>
        <v>#REF!</v>
      </c>
      <c r="D7251" s="31" t="e">
        <f t="shared" ref="D7251:D7257" si="700">IF(B7251&lt;1,"",VLOOKUP(B7251,$J$3:$K$102,2))</f>
        <v>#REF!</v>
      </c>
      <c r="E7251" s="31" t="e">
        <f>IF(B7251&lt;1,"",IF(B7251&gt;1," Hundreds "," Hundred "))</f>
        <v>#REF!</v>
      </c>
      <c r="J7251" s="31">
        <v>10</v>
      </c>
      <c r="K7251" s="33" t="s">
        <v>70</v>
      </c>
      <c r="L7251" s="31" t="s">
        <v>71</v>
      </c>
    </row>
    <row r="7252" spans="1:12">
      <c r="A7252" s="31" t="s">
        <v>72</v>
      </c>
      <c r="B7252" s="39" t="e">
        <f>TRUNC((A7239-C7251)/1000000)</f>
        <v>#REF!</v>
      </c>
      <c r="C7252" s="31" t="e">
        <f>B7252*1000000</f>
        <v>#REF!</v>
      </c>
      <c r="D7252" s="31" t="e">
        <f t="shared" si="700"/>
        <v>#REF!</v>
      </c>
      <c r="E7252" s="31" t="e">
        <f>IF(B7251+B7252=0,"",IF(B7252=1," Million "," Millions "))</f>
        <v>#REF!</v>
      </c>
      <c r="J7252" s="31">
        <v>11</v>
      </c>
      <c r="K7252" s="33" t="s">
        <v>73</v>
      </c>
      <c r="L7252" s="31" t="s">
        <v>74</v>
      </c>
    </row>
    <row r="7253" spans="1:12">
      <c r="A7253" s="31" t="s">
        <v>75</v>
      </c>
      <c r="B7253" s="39" t="e">
        <f>TRUNC((A7239-SUM(C7251:C7252))/100000)</f>
        <v>#REF!</v>
      </c>
      <c r="C7253" s="31" t="e">
        <f>B7253*100000</f>
        <v>#REF!</v>
      </c>
      <c r="D7253" s="31" t="e">
        <f t="shared" si="700"/>
        <v>#REF!</v>
      </c>
      <c r="E7253" s="31" t="e">
        <f>IF(B7253&lt;1,"",IF(B7253&gt;1," Hundreds "," Hundred "))</f>
        <v>#REF!</v>
      </c>
      <c r="J7253" s="31">
        <v>12</v>
      </c>
      <c r="K7253" s="33" t="s">
        <v>76</v>
      </c>
      <c r="L7253" s="31" t="str">
        <f t="shared" ref="L7253:L7260" si="701">L7243&amp;" Belas"</f>
        <v>Dua Belas</v>
      </c>
    </row>
    <row r="7254" spans="1:12">
      <c r="A7254" s="33" t="s">
        <v>77</v>
      </c>
      <c r="B7254" s="40" t="e">
        <f>TRUNC((A7239-SUM(C7251:C7253))/1000)</f>
        <v>#REF!</v>
      </c>
      <c r="C7254" s="31" t="e">
        <f>B7254*1000</f>
        <v>#REF!</v>
      </c>
      <c r="D7254" s="31" t="e">
        <f t="shared" si="700"/>
        <v>#REF!</v>
      </c>
      <c r="E7254" s="31" t="e">
        <f>IF(B7253+B7254=0,"",IF(B7254=1," Thousand "," Thousands "))</f>
        <v>#REF!</v>
      </c>
      <c r="J7254" s="31">
        <v>13</v>
      </c>
      <c r="K7254" s="33" t="s">
        <v>78</v>
      </c>
      <c r="L7254" s="31" t="str">
        <f t="shared" si="701"/>
        <v>Tiga Belas</v>
      </c>
    </row>
    <row r="7255" spans="1:12">
      <c r="A7255" s="33" t="s">
        <v>79</v>
      </c>
      <c r="B7255" s="40" t="e">
        <f>TRUNC((A7239-SUM(C7251:C7254))/100)</f>
        <v>#REF!</v>
      </c>
      <c r="C7255" s="31" t="e">
        <f>B7255*100</f>
        <v>#REF!</v>
      </c>
      <c r="D7255" s="31" t="e">
        <f t="shared" si="700"/>
        <v>#REF!</v>
      </c>
      <c r="E7255" s="31" t="e">
        <f>IF(B7255&lt;1,"",IF(B7255&gt;1," Hundreds "," Hundred "))</f>
        <v>#REF!</v>
      </c>
      <c r="J7255" s="31">
        <v>14</v>
      </c>
      <c r="K7255" s="33" t="s">
        <v>80</v>
      </c>
      <c r="L7255" s="31" t="str">
        <f t="shared" si="701"/>
        <v>Empat Belas</v>
      </c>
    </row>
    <row r="7256" spans="1:12">
      <c r="A7256" s="33" t="s">
        <v>81</v>
      </c>
      <c r="B7256" s="41" t="e">
        <f>TRUNC((A7239-SUM(C7251:C7255)))</f>
        <v>#REF!</v>
      </c>
      <c r="C7256" s="42" t="e">
        <f>B7256</f>
        <v>#REF!</v>
      </c>
      <c r="D7256" s="31" t="e">
        <f t="shared" si="700"/>
        <v>#REF!</v>
      </c>
      <c r="E7256" s="31" t="e">
        <f>IF(SUM(C7251:C7256)&lt;1,"",IF(B7257&lt;1,""," And "))</f>
        <v>#REF!</v>
      </c>
      <c r="J7256" s="31">
        <v>15</v>
      </c>
      <c r="K7256" s="33" t="s">
        <v>82</v>
      </c>
      <c r="L7256" s="31" t="str">
        <f t="shared" si="701"/>
        <v>Lima Belas</v>
      </c>
    </row>
    <row r="7257" spans="1:12">
      <c r="A7257" s="33" t="s">
        <v>83</v>
      </c>
      <c r="B7257" s="40" t="e">
        <f>ROUND(A7239-SUM(C7251:C7256),2)*100</f>
        <v>#REF!</v>
      </c>
      <c r="D7257" s="43" t="e">
        <f t="shared" si="700"/>
        <v>#REF!</v>
      </c>
      <c r="E7257" s="31" t="e">
        <f>IF(B7257&lt;1,"",IF(B7257=1," Cent "," Cents "))</f>
        <v>#REF!</v>
      </c>
      <c r="J7257" s="31">
        <v>16</v>
      </c>
      <c r="K7257" s="33" t="s">
        <v>84</v>
      </c>
      <c r="L7257" s="31" t="str">
        <f t="shared" si="701"/>
        <v>Enam Belas</v>
      </c>
    </row>
    <row r="7258" spans="1:12">
      <c r="J7258" s="31">
        <v>17</v>
      </c>
      <c r="K7258" s="33" t="s">
        <v>85</v>
      </c>
      <c r="L7258" s="31" t="str">
        <f t="shared" si="701"/>
        <v>Tujuh Belas</v>
      </c>
    </row>
    <row r="7259" spans="1:12">
      <c r="A7259" s="44"/>
      <c r="J7259" s="31">
        <v>18</v>
      </c>
      <c r="K7259" s="33" t="s">
        <v>86</v>
      </c>
      <c r="L7259" s="31" t="str">
        <f t="shared" si="701"/>
        <v>Delapan Belas</v>
      </c>
    </row>
    <row r="7260" spans="1:12">
      <c r="A7260" s="38" t="s">
        <v>87</v>
      </c>
      <c r="J7260" s="31">
        <v>19</v>
      </c>
      <c r="K7260" s="33" t="s">
        <v>88</v>
      </c>
      <c r="L7260" s="31" t="str">
        <f t="shared" si="701"/>
        <v>Sembilan Belas</v>
      </c>
    </row>
    <row r="7261" spans="1:12">
      <c r="A7261" s="31" t="s">
        <v>69</v>
      </c>
      <c r="B7261" s="39" t="e">
        <f>TRUNC(A7239/100000000)</f>
        <v>#REF!</v>
      </c>
      <c r="C7261" s="31" t="e">
        <f>B7261*100000000</f>
        <v>#REF!</v>
      </c>
      <c r="D7261" s="31" t="e">
        <f>IF(B7261&lt;1,"",IF(B7261=1,"",VLOOKUP(B7261,$J$3:$L$102,3)))</f>
        <v>#REF!</v>
      </c>
      <c r="E7261" s="31" t="e">
        <f>IF(B7261&lt;1,"",IF(B7261=1,"Seratus "," Ratus "))</f>
        <v>#REF!</v>
      </c>
      <c r="J7261" s="31">
        <v>20</v>
      </c>
      <c r="K7261" s="33" t="s">
        <v>89</v>
      </c>
      <c r="L7261" s="31" t="s">
        <v>90</v>
      </c>
    </row>
    <row r="7262" spans="1:12">
      <c r="A7262" s="31" t="s">
        <v>72</v>
      </c>
      <c r="B7262" s="39" t="e">
        <f>TRUNC((A7239-C7261)/1000000)</f>
        <v>#REF!</v>
      </c>
      <c r="C7262" s="31" t="e">
        <f>B7262*1000000</f>
        <v>#REF!</v>
      </c>
      <c r="D7262" s="31" t="e">
        <f>IF(B7262&lt;1,"",VLOOKUP(B7262,$J$3:$L$102,3))</f>
        <v>#REF!</v>
      </c>
      <c r="E7262" s="31" t="e">
        <f>IF(B7261+B7262=0,""," Juta ")</f>
        <v>#REF!</v>
      </c>
      <c r="J7262" s="31">
        <v>21</v>
      </c>
      <c r="K7262" s="33" t="s">
        <v>91</v>
      </c>
      <c r="L7262" s="31" t="str">
        <f t="shared" ref="L7262:L7270" si="702">$L$23&amp;" "&amp;L7242</f>
        <v>Dua Puluh Satu</v>
      </c>
    </row>
    <row r="7263" spans="1:12">
      <c r="A7263" s="31" t="s">
        <v>75</v>
      </c>
      <c r="B7263" s="39" t="e">
        <f>TRUNC((A7239-SUM(C7261:C7262))/100000)</f>
        <v>#REF!</v>
      </c>
      <c r="C7263" s="31" t="e">
        <f>B7263*100000</f>
        <v>#REF!</v>
      </c>
      <c r="D7263" s="31" t="e">
        <f>IF(B7263&lt;1,"",IF(B7263=1,"",VLOOKUP(B7263,$J$3:$L$102,3)))</f>
        <v>#REF!</v>
      </c>
      <c r="E7263" s="31" t="e">
        <f>IF(B7263&lt;1,"",IF(B7263=1," Seratus "," Ratus "))</f>
        <v>#REF!</v>
      </c>
      <c r="J7263" s="31">
        <v>22</v>
      </c>
      <c r="K7263" s="33" t="s">
        <v>92</v>
      </c>
      <c r="L7263" s="31" t="str">
        <f t="shared" si="702"/>
        <v>Dua Puluh Dua</v>
      </c>
    </row>
    <row r="7264" spans="1:12">
      <c r="A7264" s="33" t="s">
        <v>77</v>
      </c>
      <c r="B7264" s="40" t="e">
        <f>TRUNC((A7239-SUM(C7261:C7263))/1000)</f>
        <v>#REF!</v>
      </c>
      <c r="C7264" s="31" t="e">
        <f>B7264*1000</f>
        <v>#REF!</v>
      </c>
      <c r="D7264" s="31" t="e">
        <f>IF(B7264&lt;1,"",IF(B7264=1,"",VLOOKUP(B7264,$J$3:$L$102,3)))</f>
        <v>#REF!</v>
      </c>
      <c r="E7264" s="31" t="e">
        <f>IF(B7263+B7264&lt;1,"",IF(B7264=1," Seribu "," Ribu "))</f>
        <v>#REF!</v>
      </c>
      <c r="J7264" s="31">
        <v>23</v>
      </c>
      <c r="K7264" s="33" t="s">
        <v>93</v>
      </c>
      <c r="L7264" s="31" t="str">
        <f t="shared" si="702"/>
        <v>Dua Puluh Tiga</v>
      </c>
    </row>
    <row r="7265" spans="1:12">
      <c r="A7265" s="33" t="s">
        <v>79</v>
      </c>
      <c r="B7265" s="40" t="e">
        <f>TRUNC((A7239-SUM(C7261:C7264))/100)</f>
        <v>#REF!</v>
      </c>
      <c r="C7265" s="31" t="e">
        <f>B7265*100</f>
        <v>#REF!</v>
      </c>
      <c r="D7265" s="31" t="e">
        <f>IF(B7265&lt;1,"",IF(B7265=1,"",VLOOKUP(B7265,$J$3:$L$102,3)))</f>
        <v>#REF!</v>
      </c>
      <c r="E7265" s="31" t="e">
        <f>IF(B7265&lt;1,"",IF(B7265=1," Seratus "," Ratus "))</f>
        <v>#REF!</v>
      </c>
      <c r="J7265" s="31">
        <v>24</v>
      </c>
      <c r="K7265" s="33" t="s">
        <v>94</v>
      </c>
      <c r="L7265" s="31" t="str">
        <f t="shared" si="702"/>
        <v>Dua Puluh Empat</v>
      </c>
    </row>
    <row r="7266" spans="1:12">
      <c r="A7266" s="33" t="s">
        <v>81</v>
      </c>
      <c r="B7266" s="41" t="e">
        <f>TRUNC((A7239-SUM(C7261:C7265)))</f>
        <v>#REF!</v>
      </c>
      <c r="C7266" s="42" t="e">
        <f>B7266</f>
        <v>#REF!</v>
      </c>
      <c r="D7266" s="31" t="e">
        <f>IF(B7266&lt;1,"",VLOOKUP(B7266,$J$3:$L$102,3))</f>
        <v>#REF!</v>
      </c>
      <c r="E7266" s="31" t="e">
        <f>IF(SUM(C7261:C7266)&lt;1,"",IF(B7267&lt;1,""," Dan "))</f>
        <v>#REF!</v>
      </c>
      <c r="J7266" s="31">
        <v>25</v>
      </c>
      <c r="K7266" s="33" t="s">
        <v>95</v>
      </c>
      <c r="L7266" s="31" t="str">
        <f t="shared" si="702"/>
        <v>Dua Puluh Lima</v>
      </c>
    </row>
    <row r="7267" spans="1:12">
      <c r="A7267" s="33" t="s">
        <v>83</v>
      </c>
      <c r="B7267" s="40" t="e">
        <f>ROUND(A7239-SUM(C7261:C7266),2)*100</f>
        <v>#REF!</v>
      </c>
      <c r="D7267" s="31" t="e">
        <f>IF(B7267&lt;1,"",VLOOKUP(B7267,$J$3:$L$102,3))</f>
        <v>#REF!</v>
      </c>
      <c r="E7267" s="31" t="e">
        <f>IF(B7267&lt;1,""," Sen ")</f>
        <v>#REF!</v>
      </c>
      <c r="J7267" s="31">
        <v>26</v>
      </c>
      <c r="K7267" s="33" t="s">
        <v>96</v>
      </c>
      <c r="L7267" s="31" t="str">
        <f t="shared" si="702"/>
        <v>Dua Puluh Enam</v>
      </c>
    </row>
    <row r="7268" spans="1:12">
      <c r="J7268" s="31">
        <v>27</v>
      </c>
      <c r="K7268" s="33" t="s">
        <v>97</v>
      </c>
      <c r="L7268" s="31" t="str">
        <f t="shared" si="702"/>
        <v>Dua Puluh Tujuh</v>
      </c>
    </row>
    <row r="7269" spans="1:12">
      <c r="J7269" s="31">
        <v>28</v>
      </c>
      <c r="K7269" s="33" t="s">
        <v>98</v>
      </c>
      <c r="L7269" s="31" t="str">
        <f t="shared" si="702"/>
        <v>Dua Puluh Delapan</v>
      </c>
    </row>
    <row r="7270" spans="1:12">
      <c r="J7270" s="31">
        <v>29</v>
      </c>
      <c r="K7270" s="33" t="s">
        <v>99</v>
      </c>
      <c r="L7270" s="31" t="str">
        <f t="shared" si="702"/>
        <v>Dua Puluh Sembilan</v>
      </c>
    </row>
    <row r="7271" spans="1:12">
      <c r="J7271" s="31">
        <v>30</v>
      </c>
      <c r="K7271" s="33" t="s">
        <v>100</v>
      </c>
      <c r="L7271" s="31" t="s">
        <v>101</v>
      </c>
    </row>
    <row r="7272" spans="1:12">
      <c r="J7272" s="31">
        <v>31</v>
      </c>
      <c r="K7272" s="33" t="s">
        <v>102</v>
      </c>
      <c r="L7272" s="31" t="str">
        <f t="shared" ref="L7272:L7280" si="703">$L$33&amp;" "&amp;L7242</f>
        <v>Tiga Puluh Satu</v>
      </c>
    </row>
    <row r="7273" spans="1:12">
      <c r="J7273" s="31">
        <v>32</v>
      </c>
      <c r="K7273" s="33" t="s">
        <v>103</v>
      </c>
      <c r="L7273" s="31" t="str">
        <f t="shared" si="703"/>
        <v>Tiga Puluh Dua</v>
      </c>
    </row>
    <row r="7274" spans="1:12">
      <c r="J7274" s="31">
        <v>33</v>
      </c>
      <c r="K7274" s="33" t="s">
        <v>104</v>
      </c>
      <c r="L7274" s="31" t="str">
        <f t="shared" si="703"/>
        <v>Tiga Puluh Tiga</v>
      </c>
    </row>
    <row r="7275" spans="1:12">
      <c r="J7275" s="31">
        <v>34</v>
      </c>
      <c r="K7275" s="33" t="s">
        <v>105</v>
      </c>
      <c r="L7275" s="31" t="str">
        <f t="shared" si="703"/>
        <v>Tiga Puluh Empat</v>
      </c>
    </row>
    <row r="7276" spans="1:12">
      <c r="J7276" s="31">
        <v>35</v>
      </c>
      <c r="K7276" s="33" t="s">
        <v>106</v>
      </c>
      <c r="L7276" s="31" t="str">
        <f t="shared" si="703"/>
        <v>Tiga Puluh Lima</v>
      </c>
    </row>
    <row r="7277" spans="1:12">
      <c r="J7277" s="31">
        <v>36</v>
      </c>
      <c r="K7277" s="33" t="s">
        <v>107</v>
      </c>
      <c r="L7277" s="31" t="str">
        <f t="shared" si="703"/>
        <v>Tiga Puluh Enam</v>
      </c>
    </row>
    <row r="7278" spans="1:12">
      <c r="J7278" s="31">
        <v>37</v>
      </c>
      <c r="K7278" s="33" t="s">
        <v>108</v>
      </c>
      <c r="L7278" s="31" t="str">
        <f t="shared" si="703"/>
        <v>Tiga Puluh Tujuh</v>
      </c>
    </row>
    <row r="7279" spans="1:12">
      <c r="J7279" s="31">
        <v>38</v>
      </c>
      <c r="K7279" s="33" t="s">
        <v>109</v>
      </c>
      <c r="L7279" s="31" t="str">
        <f t="shared" si="703"/>
        <v>Tiga Puluh Delapan</v>
      </c>
    </row>
    <row r="7280" spans="1:12">
      <c r="J7280" s="31">
        <v>39</v>
      </c>
      <c r="K7280" s="33" t="s">
        <v>110</v>
      </c>
      <c r="L7280" s="31" t="str">
        <f t="shared" si="703"/>
        <v>Tiga Puluh Sembilan</v>
      </c>
    </row>
    <row r="7281" spans="1:12">
      <c r="B7281" s="35"/>
      <c r="C7281" s="35"/>
      <c r="D7281" s="35"/>
      <c r="J7281" s="31">
        <v>40</v>
      </c>
      <c r="K7281" s="33" t="s">
        <v>111</v>
      </c>
      <c r="L7281" s="31" t="s">
        <v>112</v>
      </c>
    </row>
    <row r="7282" spans="1:12">
      <c r="A7282" s="35"/>
      <c r="B7282" s="35"/>
      <c r="C7282" s="35"/>
      <c r="D7282" s="35"/>
      <c r="J7282" s="31">
        <v>41</v>
      </c>
      <c r="K7282" s="33" t="s">
        <v>113</v>
      </c>
      <c r="L7282" s="31" t="str">
        <f t="shared" ref="L7282:L7290" si="704">$L$43&amp;" "&amp;L7242</f>
        <v>Empat Puluh Satu</v>
      </c>
    </row>
    <row r="7283" spans="1:12">
      <c r="J7283" s="31">
        <v>42</v>
      </c>
      <c r="K7283" s="33" t="s">
        <v>114</v>
      </c>
      <c r="L7283" s="31" t="str">
        <f t="shared" si="704"/>
        <v>Empat Puluh Dua</v>
      </c>
    </row>
    <row r="7284" spans="1:12">
      <c r="A7284" s="38"/>
      <c r="J7284" s="31">
        <v>43</v>
      </c>
      <c r="K7284" s="33" t="s">
        <v>115</v>
      </c>
      <c r="L7284" s="31" t="str">
        <f t="shared" si="704"/>
        <v>Empat Puluh Tiga</v>
      </c>
    </row>
    <row r="7285" spans="1:12">
      <c r="J7285" s="31">
        <v>44</v>
      </c>
      <c r="K7285" s="33" t="s">
        <v>116</v>
      </c>
      <c r="L7285" s="31" t="str">
        <f t="shared" si="704"/>
        <v>Empat Puluh Empat</v>
      </c>
    </row>
    <row r="7286" spans="1:12">
      <c r="J7286" s="31">
        <v>45</v>
      </c>
      <c r="K7286" s="33" t="s">
        <v>117</v>
      </c>
      <c r="L7286" s="31" t="str">
        <f t="shared" si="704"/>
        <v>Empat Puluh Lima</v>
      </c>
    </row>
    <row r="7287" spans="1:12">
      <c r="J7287" s="31">
        <v>46</v>
      </c>
      <c r="K7287" s="33" t="s">
        <v>118</v>
      </c>
      <c r="L7287" s="31" t="str">
        <f t="shared" si="704"/>
        <v>Empat Puluh Enam</v>
      </c>
    </row>
    <row r="7288" spans="1:12">
      <c r="J7288" s="31">
        <v>47</v>
      </c>
      <c r="K7288" s="33" t="s">
        <v>119</v>
      </c>
      <c r="L7288" s="31" t="str">
        <f t="shared" si="704"/>
        <v>Empat Puluh Tujuh</v>
      </c>
    </row>
    <row r="7289" spans="1:12">
      <c r="J7289" s="31">
        <v>48</v>
      </c>
      <c r="K7289" s="33" t="s">
        <v>120</v>
      </c>
      <c r="L7289" s="31" t="str">
        <f t="shared" si="704"/>
        <v>Empat Puluh Delapan</v>
      </c>
    </row>
    <row r="7290" spans="1:12">
      <c r="J7290" s="31">
        <v>49</v>
      </c>
      <c r="K7290" s="33" t="s">
        <v>121</v>
      </c>
      <c r="L7290" s="31" t="str">
        <f t="shared" si="704"/>
        <v>Empat Puluh Sembilan</v>
      </c>
    </row>
    <row r="7291" spans="1:12">
      <c r="J7291" s="31">
        <v>50</v>
      </c>
      <c r="K7291" s="33" t="s">
        <v>122</v>
      </c>
      <c r="L7291" s="31" t="s">
        <v>123</v>
      </c>
    </row>
    <row r="7292" spans="1:12">
      <c r="J7292" s="31">
        <v>51</v>
      </c>
      <c r="K7292" s="33" t="s">
        <v>124</v>
      </c>
      <c r="L7292" s="31" t="str">
        <f t="shared" ref="L7292:L7300" si="705">$L$53&amp;" "&amp;L7242</f>
        <v>Lima Puluh Satu</v>
      </c>
    </row>
    <row r="7293" spans="1:12">
      <c r="J7293" s="31">
        <v>52</v>
      </c>
      <c r="K7293" s="33" t="s">
        <v>125</v>
      </c>
      <c r="L7293" s="31" t="str">
        <f t="shared" si="705"/>
        <v>Lima Puluh Dua</v>
      </c>
    </row>
    <row r="7294" spans="1:12">
      <c r="J7294" s="31">
        <v>53</v>
      </c>
      <c r="K7294" s="33" t="s">
        <v>126</v>
      </c>
      <c r="L7294" s="31" t="str">
        <f t="shared" si="705"/>
        <v>Lima Puluh Tiga</v>
      </c>
    </row>
    <row r="7295" spans="1:12">
      <c r="J7295" s="31">
        <v>54</v>
      </c>
      <c r="K7295" s="33" t="s">
        <v>127</v>
      </c>
      <c r="L7295" s="31" t="str">
        <f t="shared" si="705"/>
        <v>Lima Puluh Empat</v>
      </c>
    </row>
    <row r="7296" spans="1:12">
      <c r="J7296" s="31">
        <v>55</v>
      </c>
      <c r="K7296" s="33" t="s">
        <v>128</v>
      </c>
      <c r="L7296" s="31" t="str">
        <f t="shared" si="705"/>
        <v>Lima Puluh Lima</v>
      </c>
    </row>
    <row r="7297" spans="10:12">
      <c r="J7297" s="31">
        <v>56</v>
      </c>
      <c r="K7297" s="33" t="s">
        <v>129</v>
      </c>
      <c r="L7297" s="31" t="str">
        <f t="shared" si="705"/>
        <v>Lima Puluh Enam</v>
      </c>
    </row>
    <row r="7298" spans="10:12">
      <c r="J7298" s="31">
        <v>57</v>
      </c>
      <c r="K7298" s="33" t="s">
        <v>130</v>
      </c>
      <c r="L7298" s="31" t="str">
        <f t="shared" si="705"/>
        <v>Lima Puluh Tujuh</v>
      </c>
    </row>
    <row r="7299" spans="10:12">
      <c r="J7299" s="31">
        <v>58</v>
      </c>
      <c r="K7299" s="33" t="s">
        <v>131</v>
      </c>
      <c r="L7299" s="31" t="str">
        <f t="shared" si="705"/>
        <v>Lima Puluh Delapan</v>
      </c>
    </row>
    <row r="7300" spans="10:12">
      <c r="J7300" s="31">
        <v>59</v>
      </c>
      <c r="K7300" s="33" t="s">
        <v>132</v>
      </c>
      <c r="L7300" s="31" t="str">
        <f t="shared" si="705"/>
        <v>Lima Puluh Sembilan</v>
      </c>
    </row>
    <row r="7301" spans="10:12">
      <c r="J7301" s="31">
        <v>60</v>
      </c>
      <c r="K7301" s="33" t="s">
        <v>133</v>
      </c>
      <c r="L7301" s="31" t="s">
        <v>134</v>
      </c>
    </row>
    <row r="7302" spans="10:12">
      <c r="J7302" s="31">
        <v>61</v>
      </c>
      <c r="K7302" s="33" t="s">
        <v>135</v>
      </c>
      <c r="L7302" s="31" t="str">
        <f t="shared" ref="L7302:L7310" si="706">$L$63&amp;" "&amp;L7242</f>
        <v>Enam Puluh Satu</v>
      </c>
    </row>
    <row r="7303" spans="10:12">
      <c r="J7303" s="31">
        <v>62</v>
      </c>
      <c r="K7303" s="33" t="s">
        <v>136</v>
      </c>
      <c r="L7303" s="31" t="str">
        <f t="shared" si="706"/>
        <v>Enam Puluh Dua</v>
      </c>
    </row>
    <row r="7304" spans="10:12">
      <c r="J7304" s="31">
        <v>63</v>
      </c>
      <c r="K7304" s="33" t="s">
        <v>137</v>
      </c>
      <c r="L7304" s="31" t="str">
        <f t="shared" si="706"/>
        <v>Enam Puluh Tiga</v>
      </c>
    </row>
    <row r="7305" spans="10:12">
      <c r="J7305" s="31">
        <v>64</v>
      </c>
      <c r="K7305" s="33" t="s">
        <v>138</v>
      </c>
      <c r="L7305" s="31" t="str">
        <f t="shared" si="706"/>
        <v>Enam Puluh Empat</v>
      </c>
    </row>
    <row r="7306" spans="10:12">
      <c r="J7306" s="31">
        <v>65</v>
      </c>
      <c r="K7306" s="33" t="s">
        <v>139</v>
      </c>
      <c r="L7306" s="31" t="str">
        <f t="shared" si="706"/>
        <v>Enam Puluh Lima</v>
      </c>
    </row>
    <row r="7307" spans="10:12">
      <c r="J7307" s="31">
        <v>66</v>
      </c>
      <c r="K7307" s="33" t="s">
        <v>140</v>
      </c>
      <c r="L7307" s="31" t="str">
        <f t="shared" si="706"/>
        <v>Enam Puluh Enam</v>
      </c>
    </row>
    <row r="7308" spans="10:12">
      <c r="J7308" s="31">
        <v>67</v>
      </c>
      <c r="K7308" s="33" t="s">
        <v>141</v>
      </c>
      <c r="L7308" s="31" t="str">
        <f t="shared" si="706"/>
        <v>Enam Puluh Tujuh</v>
      </c>
    </row>
    <row r="7309" spans="10:12">
      <c r="J7309" s="31">
        <v>68</v>
      </c>
      <c r="K7309" s="33" t="s">
        <v>142</v>
      </c>
      <c r="L7309" s="31" t="str">
        <f t="shared" si="706"/>
        <v>Enam Puluh Delapan</v>
      </c>
    </row>
    <row r="7310" spans="10:12">
      <c r="J7310" s="31">
        <v>69</v>
      </c>
      <c r="K7310" s="33" t="s">
        <v>143</v>
      </c>
      <c r="L7310" s="31" t="str">
        <f t="shared" si="706"/>
        <v>Enam Puluh Sembilan</v>
      </c>
    </row>
    <row r="7311" spans="10:12">
      <c r="J7311" s="31">
        <v>70</v>
      </c>
      <c r="K7311" s="33" t="s">
        <v>144</v>
      </c>
      <c r="L7311" s="31" t="s">
        <v>145</v>
      </c>
    </row>
    <row r="7312" spans="10:12">
      <c r="J7312" s="31">
        <v>71</v>
      </c>
      <c r="K7312" s="33" t="s">
        <v>146</v>
      </c>
      <c r="L7312" s="31" t="str">
        <f t="shared" ref="L7312:L7320" si="707">$L$73&amp;" "&amp;L7242</f>
        <v>Tujuh Puluh Satu</v>
      </c>
    </row>
    <row r="7313" spans="10:12">
      <c r="J7313" s="31">
        <v>72</v>
      </c>
      <c r="K7313" s="33" t="s">
        <v>147</v>
      </c>
      <c r="L7313" s="31" t="str">
        <f t="shared" si="707"/>
        <v>Tujuh Puluh Dua</v>
      </c>
    </row>
    <row r="7314" spans="10:12">
      <c r="J7314" s="31">
        <v>73</v>
      </c>
      <c r="K7314" s="33" t="s">
        <v>148</v>
      </c>
      <c r="L7314" s="31" t="str">
        <f t="shared" si="707"/>
        <v>Tujuh Puluh Tiga</v>
      </c>
    </row>
    <row r="7315" spans="10:12">
      <c r="J7315" s="31">
        <v>74</v>
      </c>
      <c r="K7315" s="33" t="s">
        <v>149</v>
      </c>
      <c r="L7315" s="31" t="str">
        <f t="shared" si="707"/>
        <v>Tujuh Puluh Empat</v>
      </c>
    </row>
    <row r="7316" spans="10:12">
      <c r="J7316" s="31">
        <v>75</v>
      </c>
      <c r="K7316" s="33" t="s">
        <v>150</v>
      </c>
      <c r="L7316" s="31" t="str">
        <f t="shared" si="707"/>
        <v>Tujuh Puluh Lima</v>
      </c>
    </row>
    <row r="7317" spans="10:12">
      <c r="J7317" s="31">
        <v>76</v>
      </c>
      <c r="K7317" s="33" t="s">
        <v>151</v>
      </c>
      <c r="L7317" s="31" t="str">
        <f t="shared" si="707"/>
        <v>Tujuh Puluh Enam</v>
      </c>
    </row>
    <row r="7318" spans="10:12">
      <c r="J7318" s="31">
        <v>77</v>
      </c>
      <c r="K7318" s="33" t="s">
        <v>152</v>
      </c>
      <c r="L7318" s="31" t="str">
        <f t="shared" si="707"/>
        <v>Tujuh Puluh Tujuh</v>
      </c>
    </row>
    <row r="7319" spans="10:12">
      <c r="J7319" s="31">
        <v>78</v>
      </c>
      <c r="K7319" s="33" t="s">
        <v>153</v>
      </c>
      <c r="L7319" s="31" t="str">
        <f t="shared" si="707"/>
        <v>Tujuh Puluh Delapan</v>
      </c>
    </row>
    <row r="7320" spans="10:12">
      <c r="J7320" s="31">
        <v>79</v>
      </c>
      <c r="K7320" s="33" t="s">
        <v>154</v>
      </c>
      <c r="L7320" s="31" t="str">
        <f t="shared" si="707"/>
        <v>Tujuh Puluh Sembilan</v>
      </c>
    </row>
    <row r="7321" spans="10:12">
      <c r="J7321" s="31">
        <v>80</v>
      </c>
      <c r="K7321" s="33" t="s">
        <v>155</v>
      </c>
      <c r="L7321" s="31" t="s">
        <v>156</v>
      </c>
    </row>
    <row r="7322" spans="10:12">
      <c r="J7322" s="31">
        <v>81</v>
      </c>
      <c r="K7322" s="33" t="s">
        <v>157</v>
      </c>
      <c r="L7322" s="31" t="str">
        <f t="shared" ref="L7322:L7330" si="708">$L$83&amp;" "&amp;L7242</f>
        <v>Delapan Puluh Satu</v>
      </c>
    </row>
    <row r="7323" spans="10:12">
      <c r="J7323" s="31">
        <v>82</v>
      </c>
      <c r="K7323" s="33" t="s">
        <v>158</v>
      </c>
      <c r="L7323" s="31" t="str">
        <f t="shared" si="708"/>
        <v>Delapan Puluh Dua</v>
      </c>
    </row>
    <row r="7324" spans="10:12">
      <c r="J7324" s="31">
        <v>83</v>
      </c>
      <c r="K7324" s="33" t="s">
        <v>159</v>
      </c>
      <c r="L7324" s="31" t="str">
        <f t="shared" si="708"/>
        <v>Delapan Puluh Tiga</v>
      </c>
    </row>
    <row r="7325" spans="10:12">
      <c r="J7325" s="31">
        <v>84</v>
      </c>
      <c r="K7325" s="33" t="s">
        <v>160</v>
      </c>
      <c r="L7325" s="31" t="str">
        <f t="shared" si="708"/>
        <v>Delapan Puluh Empat</v>
      </c>
    </row>
    <row r="7326" spans="10:12">
      <c r="J7326" s="31">
        <v>85</v>
      </c>
      <c r="K7326" s="33" t="s">
        <v>161</v>
      </c>
      <c r="L7326" s="31" t="str">
        <f t="shared" si="708"/>
        <v>Delapan Puluh Lima</v>
      </c>
    </row>
    <row r="7327" spans="10:12">
      <c r="J7327" s="31">
        <v>86</v>
      </c>
      <c r="K7327" s="33" t="s">
        <v>162</v>
      </c>
      <c r="L7327" s="31" t="str">
        <f t="shared" si="708"/>
        <v>Delapan Puluh Enam</v>
      </c>
    </row>
    <row r="7328" spans="10:12">
      <c r="J7328" s="31">
        <v>87</v>
      </c>
      <c r="K7328" s="33" t="s">
        <v>163</v>
      </c>
      <c r="L7328" s="31" t="str">
        <f t="shared" si="708"/>
        <v>Delapan Puluh Tujuh</v>
      </c>
    </row>
    <row r="7329" spans="1:12">
      <c r="J7329" s="31">
        <v>88</v>
      </c>
      <c r="K7329" s="33" t="s">
        <v>164</v>
      </c>
      <c r="L7329" s="31" t="str">
        <f t="shared" si="708"/>
        <v>Delapan Puluh Delapan</v>
      </c>
    </row>
    <row r="7330" spans="1:12">
      <c r="J7330" s="31">
        <v>89</v>
      </c>
      <c r="K7330" s="33" t="s">
        <v>165</v>
      </c>
      <c r="L7330" s="31" t="str">
        <f t="shared" si="708"/>
        <v>Delapan Puluh Sembilan</v>
      </c>
    </row>
    <row r="7331" spans="1:12">
      <c r="J7331" s="31">
        <v>90</v>
      </c>
      <c r="K7331" s="33" t="s">
        <v>166</v>
      </c>
      <c r="L7331" s="31" t="s">
        <v>167</v>
      </c>
    </row>
    <row r="7332" spans="1:12">
      <c r="J7332" s="31">
        <v>91</v>
      </c>
      <c r="K7332" s="33" t="s">
        <v>168</v>
      </c>
      <c r="L7332" s="31" t="str">
        <f t="shared" ref="L7332:L7340" si="709">$L$93&amp;" "&amp;L7242</f>
        <v>Sembilan Puluh Satu</v>
      </c>
    </row>
    <row r="7333" spans="1:12">
      <c r="J7333" s="31">
        <v>92</v>
      </c>
      <c r="K7333" s="33" t="s">
        <v>169</v>
      </c>
      <c r="L7333" s="31" t="str">
        <f t="shared" si="709"/>
        <v>Sembilan Puluh Dua</v>
      </c>
    </row>
    <row r="7334" spans="1:12">
      <c r="J7334" s="31">
        <v>93</v>
      </c>
      <c r="K7334" s="33" t="s">
        <v>170</v>
      </c>
      <c r="L7334" s="31" t="str">
        <f t="shared" si="709"/>
        <v>Sembilan Puluh Tiga</v>
      </c>
    </row>
    <row r="7335" spans="1:12">
      <c r="J7335" s="31">
        <v>94</v>
      </c>
      <c r="K7335" s="33" t="s">
        <v>171</v>
      </c>
      <c r="L7335" s="31" t="str">
        <f t="shared" si="709"/>
        <v>Sembilan Puluh Empat</v>
      </c>
    </row>
    <row r="7336" spans="1:12">
      <c r="J7336" s="31">
        <v>95</v>
      </c>
      <c r="K7336" s="33" t="s">
        <v>172</v>
      </c>
      <c r="L7336" s="31" t="str">
        <f t="shared" si="709"/>
        <v>Sembilan Puluh Lima</v>
      </c>
    </row>
    <row r="7337" spans="1:12">
      <c r="J7337" s="31">
        <v>96</v>
      </c>
      <c r="K7337" s="33" t="s">
        <v>173</v>
      </c>
      <c r="L7337" s="31" t="str">
        <f t="shared" si="709"/>
        <v>Sembilan Puluh Enam</v>
      </c>
    </row>
    <row r="7338" spans="1:12">
      <c r="J7338" s="31">
        <v>97</v>
      </c>
      <c r="K7338" s="33" t="s">
        <v>174</v>
      </c>
      <c r="L7338" s="31" t="str">
        <f t="shared" si="709"/>
        <v>Sembilan Puluh Tujuh</v>
      </c>
    </row>
    <row r="7339" spans="1:12">
      <c r="J7339" s="31">
        <v>98</v>
      </c>
      <c r="K7339" s="33" t="s">
        <v>175</v>
      </c>
      <c r="L7339" s="31" t="str">
        <f t="shared" si="709"/>
        <v>Sembilan Puluh Delapan</v>
      </c>
    </row>
    <row r="7340" spans="1:12">
      <c r="J7340" s="31">
        <v>99</v>
      </c>
      <c r="K7340" s="33" t="s">
        <v>176</v>
      </c>
      <c r="L7340" s="31" t="str">
        <f t="shared" si="709"/>
        <v>Sembilan Puluh Sembilan</v>
      </c>
    </row>
    <row r="7343" spans="1:12">
      <c r="A7343" s="30" t="e">
        <f>#REF!</f>
        <v>#REF!</v>
      </c>
      <c r="C7343" s="31" t="s">
        <v>269</v>
      </c>
    </row>
    <row r="7344" spans="1:12">
      <c r="A7344" s="32"/>
    </row>
    <row r="7345" spans="1:12">
      <c r="J7345" s="31">
        <v>0</v>
      </c>
      <c r="K7345" s="33" t="s">
        <v>48</v>
      </c>
      <c r="L7345" s="31" t="s">
        <v>49</v>
      </c>
    </row>
    <row r="7346" spans="1:12">
      <c r="A7346" s="34"/>
      <c r="J7346" s="31">
        <v>1</v>
      </c>
      <c r="K7346" s="33" t="s">
        <v>50</v>
      </c>
      <c r="L7346" s="31" t="s">
        <v>51</v>
      </c>
    </row>
    <row r="7347" spans="1:12">
      <c r="A7347" s="255" t="e">
        <f>TRIM(D7355&amp;E7355&amp;D7356&amp;E7356&amp;D7357&amp;E7357&amp;D7358&amp;E7358&amp;D7359&amp;E7359&amp;D7360&amp;E7360&amp;E7361&amp;D7361&amp;" Only")</f>
        <v>#REF!</v>
      </c>
      <c r="B7347" s="255"/>
      <c r="C7347" s="255"/>
      <c r="D7347" s="255"/>
      <c r="E7347" s="35"/>
      <c r="F7347" s="36"/>
      <c r="J7347" s="31">
        <v>2</v>
      </c>
      <c r="K7347" s="33" t="s">
        <v>52</v>
      </c>
      <c r="L7347" s="31" t="s">
        <v>53</v>
      </c>
    </row>
    <row r="7348" spans="1:12">
      <c r="A7348" s="37"/>
      <c r="B7348" s="37"/>
      <c r="C7348" s="37"/>
      <c r="D7348" s="37"/>
      <c r="E7348" s="35"/>
      <c r="F7348" s="36"/>
      <c r="J7348" s="31">
        <v>3</v>
      </c>
      <c r="K7348" s="33" t="s">
        <v>54</v>
      </c>
      <c r="L7348" s="31" t="s">
        <v>55</v>
      </c>
    </row>
    <row r="7349" spans="1:12">
      <c r="A7349" s="37"/>
      <c r="B7349" s="37"/>
      <c r="C7349" s="37"/>
      <c r="D7349" s="37"/>
      <c r="J7349" s="31">
        <v>4</v>
      </c>
      <c r="K7349" s="33" t="s">
        <v>56</v>
      </c>
      <c r="L7349" s="31" t="s">
        <v>57</v>
      </c>
    </row>
    <row r="7350" spans="1:12">
      <c r="A7350" s="255" t="e">
        <f>TRIM(D7365&amp;E7365&amp;D7366&amp;E7366&amp;D7367&amp;E7367&amp;D7368&amp;E7368&amp;D7369&amp;E7369&amp;D7370&amp;E7370&amp;D7371&amp;E7371&amp;" Rupiah")</f>
        <v>#REF!</v>
      </c>
      <c r="B7350" s="255"/>
      <c r="C7350" s="255"/>
      <c r="D7350" s="255"/>
      <c r="E7350" s="35"/>
      <c r="F7350" s="36"/>
      <c r="J7350" s="31">
        <v>5</v>
      </c>
      <c r="K7350" s="33" t="s">
        <v>58</v>
      </c>
      <c r="L7350" s="31" t="s">
        <v>59</v>
      </c>
    </row>
    <row r="7351" spans="1:12">
      <c r="A7351" s="35"/>
      <c r="B7351" s="35"/>
      <c r="C7351" s="35"/>
      <c r="D7351" s="35"/>
      <c r="E7351" s="35"/>
      <c r="F7351" s="36"/>
      <c r="J7351" s="31">
        <v>6</v>
      </c>
      <c r="K7351" s="33" t="s">
        <v>60</v>
      </c>
      <c r="L7351" s="31" t="s">
        <v>61</v>
      </c>
    </row>
    <row r="7352" spans="1:12">
      <c r="J7352" s="31">
        <v>7</v>
      </c>
      <c r="K7352" s="33" t="s">
        <v>62</v>
      </c>
      <c r="L7352" s="31" t="s">
        <v>63</v>
      </c>
    </row>
    <row r="7353" spans="1:12">
      <c r="J7353" s="31">
        <v>8</v>
      </c>
      <c r="K7353" s="33" t="s">
        <v>64</v>
      </c>
      <c r="L7353" s="31" t="s">
        <v>65</v>
      </c>
    </row>
    <row r="7354" spans="1:12">
      <c r="A7354" s="38" t="s">
        <v>66</v>
      </c>
      <c r="J7354" s="31">
        <v>9</v>
      </c>
      <c r="K7354" s="33" t="s">
        <v>67</v>
      </c>
      <c r="L7354" s="31" t="s">
        <v>68</v>
      </c>
    </row>
    <row r="7355" spans="1:12">
      <c r="A7355" s="31" t="s">
        <v>69</v>
      </c>
      <c r="B7355" s="39" t="e">
        <f>TRUNC(A7343/100000000)</f>
        <v>#REF!</v>
      </c>
      <c r="C7355" s="31" t="e">
        <f>B7355*100000000</f>
        <v>#REF!</v>
      </c>
      <c r="D7355" s="31" t="e">
        <f t="shared" ref="D7355:D7361" si="710">IF(B7355&lt;1,"",VLOOKUP(B7355,$J$3:$K$102,2))</f>
        <v>#REF!</v>
      </c>
      <c r="E7355" s="31" t="e">
        <f>IF(B7355&lt;1,"",IF(B7355&gt;1," Hundreds "," Hundred "))</f>
        <v>#REF!</v>
      </c>
      <c r="J7355" s="31">
        <v>10</v>
      </c>
      <c r="K7355" s="33" t="s">
        <v>70</v>
      </c>
      <c r="L7355" s="31" t="s">
        <v>71</v>
      </c>
    </row>
    <row r="7356" spans="1:12">
      <c r="A7356" s="31" t="s">
        <v>72</v>
      </c>
      <c r="B7356" s="39" t="e">
        <f>TRUNC((A7343-C7355)/1000000)</f>
        <v>#REF!</v>
      </c>
      <c r="C7356" s="31" t="e">
        <f>B7356*1000000</f>
        <v>#REF!</v>
      </c>
      <c r="D7356" s="31" t="e">
        <f t="shared" si="710"/>
        <v>#REF!</v>
      </c>
      <c r="E7356" s="31" t="e">
        <f>IF(B7355+B7356=0,"",IF(B7356=1," Million "," Millions "))</f>
        <v>#REF!</v>
      </c>
      <c r="J7356" s="31">
        <v>11</v>
      </c>
      <c r="K7356" s="33" t="s">
        <v>73</v>
      </c>
      <c r="L7356" s="31" t="s">
        <v>74</v>
      </c>
    </row>
    <row r="7357" spans="1:12">
      <c r="A7357" s="31" t="s">
        <v>75</v>
      </c>
      <c r="B7357" s="39" t="e">
        <f>TRUNC((A7343-SUM(C7355:C7356))/100000)</f>
        <v>#REF!</v>
      </c>
      <c r="C7357" s="31" t="e">
        <f>B7357*100000</f>
        <v>#REF!</v>
      </c>
      <c r="D7357" s="31" t="e">
        <f t="shared" si="710"/>
        <v>#REF!</v>
      </c>
      <c r="E7357" s="31" t="e">
        <f>IF(B7357&lt;1,"",IF(B7357&gt;1," Hundreds "," Hundred "))</f>
        <v>#REF!</v>
      </c>
      <c r="J7357" s="31">
        <v>12</v>
      </c>
      <c r="K7357" s="33" t="s">
        <v>76</v>
      </c>
      <c r="L7357" s="31" t="str">
        <f t="shared" ref="L7357:L7364" si="711">L7347&amp;" Belas"</f>
        <v>Dua Belas</v>
      </c>
    </row>
    <row r="7358" spans="1:12">
      <c r="A7358" s="33" t="s">
        <v>77</v>
      </c>
      <c r="B7358" s="40" t="e">
        <f>TRUNC((A7343-SUM(C7355:C7357))/1000)</f>
        <v>#REF!</v>
      </c>
      <c r="C7358" s="31" t="e">
        <f>B7358*1000</f>
        <v>#REF!</v>
      </c>
      <c r="D7358" s="31" t="e">
        <f t="shared" si="710"/>
        <v>#REF!</v>
      </c>
      <c r="E7358" s="31" t="e">
        <f>IF(B7357+B7358=0,"",IF(B7358=1," Thousand "," Thousands "))</f>
        <v>#REF!</v>
      </c>
      <c r="J7358" s="31">
        <v>13</v>
      </c>
      <c r="K7358" s="33" t="s">
        <v>78</v>
      </c>
      <c r="L7358" s="31" t="str">
        <f t="shared" si="711"/>
        <v>Tiga Belas</v>
      </c>
    </row>
    <row r="7359" spans="1:12">
      <c r="A7359" s="33" t="s">
        <v>79</v>
      </c>
      <c r="B7359" s="40" t="e">
        <f>TRUNC((A7343-SUM(C7355:C7358))/100)</f>
        <v>#REF!</v>
      </c>
      <c r="C7359" s="31" t="e">
        <f>B7359*100</f>
        <v>#REF!</v>
      </c>
      <c r="D7359" s="31" t="e">
        <f t="shared" si="710"/>
        <v>#REF!</v>
      </c>
      <c r="E7359" s="31" t="e">
        <f>IF(B7359&lt;1,"",IF(B7359&gt;1," Hundreds "," Hundred "))</f>
        <v>#REF!</v>
      </c>
      <c r="J7359" s="31">
        <v>14</v>
      </c>
      <c r="K7359" s="33" t="s">
        <v>80</v>
      </c>
      <c r="L7359" s="31" t="str">
        <f t="shared" si="711"/>
        <v>Empat Belas</v>
      </c>
    </row>
    <row r="7360" spans="1:12">
      <c r="A7360" s="33" t="s">
        <v>81</v>
      </c>
      <c r="B7360" s="41" t="e">
        <f>TRUNC((A7343-SUM(C7355:C7359)))</f>
        <v>#REF!</v>
      </c>
      <c r="C7360" s="42" t="e">
        <f>B7360</f>
        <v>#REF!</v>
      </c>
      <c r="D7360" s="31" t="e">
        <f t="shared" si="710"/>
        <v>#REF!</v>
      </c>
      <c r="E7360" s="31" t="e">
        <f>IF(SUM(C7355:C7360)&lt;1,"",IF(B7361&lt;1,""," And "))</f>
        <v>#REF!</v>
      </c>
      <c r="J7360" s="31">
        <v>15</v>
      </c>
      <c r="K7360" s="33" t="s">
        <v>82</v>
      </c>
      <c r="L7360" s="31" t="str">
        <f t="shared" si="711"/>
        <v>Lima Belas</v>
      </c>
    </row>
    <row r="7361" spans="1:12">
      <c r="A7361" s="33" t="s">
        <v>83</v>
      </c>
      <c r="B7361" s="40" t="e">
        <f>ROUND(A7343-SUM(C7355:C7360),2)*100</f>
        <v>#REF!</v>
      </c>
      <c r="D7361" s="43" t="e">
        <f t="shared" si="710"/>
        <v>#REF!</v>
      </c>
      <c r="E7361" s="31" t="e">
        <f>IF(B7361&lt;1,"",IF(B7361=1," Cent "," Cents "))</f>
        <v>#REF!</v>
      </c>
      <c r="J7361" s="31">
        <v>16</v>
      </c>
      <c r="K7361" s="33" t="s">
        <v>84</v>
      </c>
      <c r="L7361" s="31" t="str">
        <f t="shared" si="711"/>
        <v>Enam Belas</v>
      </c>
    </row>
    <row r="7362" spans="1:12">
      <c r="J7362" s="31">
        <v>17</v>
      </c>
      <c r="K7362" s="33" t="s">
        <v>85</v>
      </c>
      <c r="L7362" s="31" t="str">
        <f t="shared" si="711"/>
        <v>Tujuh Belas</v>
      </c>
    </row>
    <row r="7363" spans="1:12">
      <c r="A7363" s="44"/>
      <c r="J7363" s="31">
        <v>18</v>
      </c>
      <c r="K7363" s="33" t="s">
        <v>86</v>
      </c>
      <c r="L7363" s="31" t="str">
        <f t="shared" si="711"/>
        <v>Delapan Belas</v>
      </c>
    </row>
    <row r="7364" spans="1:12">
      <c r="A7364" s="38" t="s">
        <v>87</v>
      </c>
      <c r="J7364" s="31">
        <v>19</v>
      </c>
      <c r="K7364" s="33" t="s">
        <v>88</v>
      </c>
      <c r="L7364" s="31" t="str">
        <f t="shared" si="711"/>
        <v>Sembilan Belas</v>
      </c>
    </row>
    <row r="7365" spans="1:12">
      <c r="A7365" s="31" t="s">
        <v>69</v>
      </c>
      <c r="B7365" s="39" t="e">
        <f>TRUNC(A7343/100000000)</f>
        <v>#REF!</v>
      </c>
      <c r="C7365" s="31" t="e">
        <f>B7365*100000000</f>
        <v>#REF!</v>
      </c>
      <c r="D7365" s="31" t="e">
        <f>IF(B7365&lt;1,"",IF(B7365=1,"",VLOOKUP(B7365,$J$3:$L$102,3)))</f>
        <v>#REF!</v>
      </c>
      <c r="E7365" s="31" t="e">
        <f>IF(B7365&lt;1,"",IF(B7365=1,"Seratus "," Ratus "))</f>
        <v>#REF!</v>
      </c>
      <c r="J7365" s="31">
        <v>20</v>
      </c>
      <c r="K7365" s="33" t="s">
        <v>89</v>
      </c>
      <c r="L7365" s="31" t="s">
        <v>90</v>
      </c>
    </row>
    <row r="7366" spans="1:12">
      <c r="A7366" s="31" t="s">
        <v>72</v>
      </c>
      <c r="B7366" s="39" t="e">
        <f>TRUNC((A7343-C7365)/1000000)</f>
        <v>#REF!</v>
      </c>
      <c r="C7366" s="31" t="e">
        <f>B7366*1000000</f>
        <v>#REF!</v>
      </c>
      <c r="D7366" s="31" t="e">
        <f>IF(B7366&lt;1,"",VLOOKUP(B7366,$J$3:$L$102,3))</f>
        <v>#REF!</v>
      </c>
      <c r="E7366" s="31" t="e">
        <f>IF(B7365+B7366=0,""," Juta ")</f>
        <v>#REF!</v>
      </c>
      <c r="J7366" s="31">
        <v>21</v>
      </c>
      <c r="K7366" s="33" t="s">
        <v>91</v>
      </c>
      <c r="L7366" s="31" t="str">
        <f t="shared" ref="L7366:L7374" si="712">$L$23&amp;" "&amp;L7346</f>
        <v>Dua Puluh Satu</v>
      </c>
    </row>
    <row r="7367" spans="1:12">
      <c r="A7367" s="31" t="s">
        <v>75</v>
      </c>
      <c r="B7367" s="39" t="e">
        <f>TRUNC((A7343-SUM(C7365:C7366))/100000)</f>
        <v>#REF!</v>
      </c>
      <c r="C7367" s="31" t="e">
        <f>B7367*100000</f>
        <v>#REF!</v>
      </c>
      <c r="D7367" s="31" t="e">
        <f>IF(B7367&lt;1,"",IF(B7367=1,"",VLOOKUP(B7367,$J$3:$L$102,3)))</f>
        <v>#REF!</v>
      </c>
      <c r="E7367" s="31" t="e">
        <f>IF(B7367&lt;1,"",IF(B7367=1," Seratus "," Ratus "))</f>
        <v>#REF!</v>
      </c>
      <c r="J7367" s="31">
        <v>22</v>
      </c>
      <c r="K7367" s="33" t="s">
        <v>92</v>
      </c>
      <c r="L7367" s="31" t="str">
        <f t="shared" si="712"/>
        <v>Dua Puluh Dua</v>
      </c>
    </row>
    <row r="7368" spans="1:12">
      <c r="A7368" s="33" t="s">
        <v>77</v>
      </c>
      <c r="B7368" s="40" t="e">
        <f>TRUNC((A7343-SUM(C7365:C7367))/1000)</f>
        <v>#REF!</v>
      </c>
      <c r="C7368" s="31" t="e">
        <f>B7368*1000</f>
        <v>#REF!</v>
      </c>
      <c r="D7368" s="31" t="e">
        <f>IF(B7368&lt;1,"",IF(B7368=1,"",VLOOKUP(B7368,$J$3:$L$102,3)))</f>
        <v>#REF!</v>
      </c>
      <c r="E7368" s="31" t="e">
        <f>IF(B7367+B7368&lt;1,"",IF(B7368=1," Seribu "," Ribu "))</f>
        <v>#REF!</v>
      </c>
      <c r="J7368" s="31">
        <v>23</v>
      </c>
      <c r="K7368" s="33" t="s">
        <v>93</v>
      </c>
      <c r="L7368" s="31" t="str">
        <f t="shared" si="712"/>
        <v>Dua Puluh Tiga</v>
      </c>
    </row>
    <row r="7369" spans="1:12">
      <c r="A7369" s="33" t="s">
        <v>79</v>
      </c>
      <c r="B7369" s="40" t="e">
        <f>TRUNC((A7343-SUM(C7365:C7368))/100)</f>
        <v>#REF!</v>
      </c>
      <c r="C7369" s="31" t="e">
        <f>B7369*100</f>
        <v>#REF!</v>
      </c>
      <c r="D7369" s="31" t="e">
        <f>IF(B7369&lt;1,"",IF(B7369=1,"",VLOOKUP(B7369,$J$3:$L$102,3)))</f>
        <v>#REF!</v>
      </c>
      <c r="E7369" s="31" t="e">
        <f>IF(B7369&lt;1,"",IF(B7369=1," Seratus "," Ratus "))</f>
        <v>#REF!</v>
      </c>
      <c r="J7369" s="31">
        <v>24</v>
      </c>
      <c r="K7369" s="33" t="s">
        <v>94</v>
      </c>
      <c r="L7369" s="31" t="str">
        <f t="shared" si="712"/>
        <v>Dua Puluh Empat</v>
      </c>
    </row>
    <row r="7370" spans="1:12">
      <c r="A7370" s="33" t="s">
        <v>81</v>
      </c>
      <c r="B7370" s="41" t="e">
        <f>TRUNC((A7343-SUM(C7365:C7369)))</f>
        <v>#REF!</v>
      </c>
      <c r="C7370" s="42" t="e">
        <f>B7370</f>
        <v>#REF!</v>
      </c>
      <c r="D7370" s="31" t="e">
        <f>IF(B7370&lt;1,"",VLOOKUP(B7370,$J$3:$L$102,3))</f>
        <v>#REF!</v>
      </c>
      <c r="E7370" s="31" t="e">
        <f>IF(SUM(C7365:C7370)&lt;1,"",IF(B7371&lt;1,""," Dan "))</f>
        <v>#REF!</v>
      </c>
      <c r="J7370" s="31">
        <v>25</v>
      </c>
      <c r="K7370" s="33" t="s">
        <v>95</v>
      </c>
      <c r="L7370" s="31" t="str">
        <f t="shared" si="712"/>
        <v>Dua Puluh Lima</v>
      </c>
    </row>
    <row r="7371" spans="1:12">
      <c r="A7371" s="33" t="s">
        <v>83</v>
      </c>
      <c r="B7371" s="40" t="e">
        <f>ROUND(A7343-SUM(C7365:C7370),2)*100</f>
        <v>#REF!</v>
      </c>
      <c r="D7371" s="31" t="e">
        <f>IF(B7371&lt;1,"",VLOOKUP(B7371,$J$3:$L$102,3))</f>
        <v>#REF!</v>
      </c>
      <c r="E7371" s="31" t="e">
        <f>IF(B7371&lt;1,""," Sen ")</f>
        <v>#REF!</v>
      </c>
      <c r="J7371" s="31">
        <v>26</v>
      </c>
      <c r="K7371" s="33" t="s">
        <v>96</v>
      </c>
      <c r="L7371" s="31" t="str">
        <f t="shared" si="712"/>
        <v>Dua Puluh Enam</v>
      </c>
    </row>
    <row r="7372" spans="1:12">
      <c r="J7372" s="31">
        <v>27</v>
      </c>
      <c r="K7372" s="33" t="s">
        <v>97</v>
      </c>
      <c r="L7372" s="31" t="str">
        <f t="shared" si="712"/>
        <v>Dua Puluh Tujuh</v>
      </c>
    </row>
    <row r="7373" spans="1:12">
      <c r="J7373" s="31">
        <v>28</v>
      </c>
      <c r="K7373" s="33" t="s">
        <v>98</v>
      </c>
      <c r="L7373" s="31" t="str">
        <f t="shared" si="712"/>
        <v>Dua Puluh Delapan</v>
      </c>
    </row>
    <row r="7374" spans="1:12">
      <c r="J7374" s="31">
        <v>29</v>
      </c>
      <c r="K7374" s="33" t="s">
        <v>99</v>
      </c>
      <c r="L7374" s="31" t="str">
        <f t="shared" si="712"/>
        <v>Dua Puluh Sembilan</v>
      </c>
    </row>
    <row r="7375" spans="1:12">
      <c r="J7375" s="31">
        <v>30</v>
      </c>
      <c r="K7375" s="33" t="s">
        <v>100</v>
      </c>
      <c r="L7375" s="31" t="s">
        <v>101</v>
      </c>
    </row>
    <row r="7376" spans="1:12">
      <c r="J7376" s="31">
        <v>31</v>
      </c>
      <c r="K7376" s="33" t="s">
        <v>102</v>
      </c>
      <c r="L7376" s="31" t="str">
        <f t="shared" ref="L7376:L7384" si="713">$L$33&amp;" "&amp;L7346</f>
        <v>Tiga Puluh Satu</v>
      </c>
    </row>
    <row r="7377" spans="1:12">
      <c r="J7377" s="31">
        <v>32</v>
      </c>
      <c r="K7377" s="33" t="s">
        <v>103</v>
      </c>
      <c r="L7377" s="31" t="str">
        <f t="shared" si="713"/>
        <v>Tiga Puluh Dua</v>
      </c>
    </row>
    <row r="7378" spans="1:12">
      <c r="J7378" s="31">
        <v>33</v>
      </c>
      <c r="K7378" s="33" t="s">
        <v>104</v>
      </c>
      <c r="L7378" s="31" t="str">
        <f t="shared" si="713"/>
        <v>Tiga Puluh Tiga</v>
      </c>
    </row>
    <row r="7379" spans="1:12">
      <c r="J7379" s="31">
        <v>34</v>
      </c>
      <c r="K7379" s="33" t="s">
        <v>105</v>
      </c>
      <c r="L7379" s="31" t="str">
        <f t="shared" si="713"/>
        <v>Tiga Puluh Empat</v>
      </c>
    </row>
    <row r="7380" spans="1:12">
      <c r="J7380" s="31">
        <v>35</v>
      </c>
      <c r="K7380" s="33" t="s">
        <v>106</v>
      </c>
      <c r="L7380" s="31" t="str">
        <f t="shared" si="713"/>
        <v>Tiga Puluh Lima</v>
      </c>
    </row>
    <row r="7381" spans="1:12">
      <c r="J7381" s="31">
        <v>36</v>
      </c>
      <c r="K7381" s="33" t="s">
        <v>107</v>
      </c>
      <c r="L7381" s="31" t="str">
        <f t="shared" si="713"/>
        <v>Tiga Puluh Enam</v>
      </c>
    </row>
    <row r="7382" spans="1:12">
      <c r="J7382" s="31">
        <v>37</v>
      </c>
      <c r="K7382" s="33" t="s">
        <v>108</v>
      </c>
      <c r="L7382" s="31" t="str">
        <f t="shared" si="713"/>
        <v>Tiga Puluh Tujuh</v>
      </c>
    </row>
    <row r="7383" spans="1:12">
      <c r="J7383" s="31">
        <v>38</v>
      </c>
      <c r="K7383" s="33" t="s">
        <v>109</v>
      </c>
      <c r="L7383" s="31" t="str">
        <f t="shared" si="713"/>
        <v>Tiga Puluh Delapan</v>
      </c>
    </row>
    <row r="7384" spans="1:12">
      <c r="J7384" s="31">
        <v>39</v>
      </c>
      <c r="K7384" s="33" t="s">
        <v>110</v>
      </c>
      <c r="L7384" s="31" t="str">
        <f t="shared" si="713"/>
        <v>Tiga Puluh Sembilan</v>
      </c>
    </row>
    <row r="7385" spans="1:12">
      <c r="B7385" s="35"/>
      <c r="C7385" s="35"/>
      <c r="D7385" s="35"/>
      <c r="J7385" s="31">
        <v>40</v>
      </c>
      <c r="K7385" s="33" t="s">
        <v>111</v>
      </c>
      <c r="L7385" s="31" t="s">
        <v>112</v>
      </c>
    </row>
    <row r="7386" spans="1:12">
      <c r="A7386" s="35"/>
      <c r="B7386" s="35"/>
      <c r="C7386" s="35"/>
      <c r="D7386" s="35"/>
      <c r="J7386" s="31">
        <v>41</v>
      </c>
      <c r="K7386" s="33" t="s">
        <v>113</v>
      </c>
      <c r="L7386" s="31" t="str">
        <f t="shared" ref="L7386:L7394" si="714">$L$43&amp;" "&amp;L7346</f>
        <v>Empat Puluh Satu</v>
      </c>
    </row>
    <row r="7387" spans="1:12">
      <c r="J7387" s="31">
        <v>42</v>
      </c>
      <c r="K7387" s="33" t="s">
        <v>114</v>
      </c>
      <c r="L7387" s="31" t="str">
        <f t="shared" si="714"/>
        <v>Empat Puluh Dua</v>
      </c>
    </row>
    <row r="7388" spans="1:12">
      <c r="A7388" s="38"/>
      <c r="J7388" s="31">
        <v>43</v>
      </c>
      <c r="K7388" s="33" t="s">
        <v>115</v>
      </c>
      <c r="L7388" s="31" t="str">
        <f t="shared" si="714"/>
        <v>Empat Puluh Tiga</v>
      </c>
    </row>
    <row r="7389" spans="1:12">
      <c r="J7389" s="31">
        <v>44</v>
      </c>
      <c r="K7389" s="33" t="s">
        <v>116</v>
      </c>
      <c r="L7389" s="31" t="str">
        <f t="shared" si="714"/>
        <v>Empat Puluh Empat</v>
      </c>
    </row>
    <row r="7390" spans="1:12">
      <c r="J7390" s="31">
        <v>45</v>
      </c>
      <c r="K7390" s="33" t="s">
        <v>117</v>
      </c>
      <c r="L7390" s="31" t="str">
        <f t="shared" si="714"/>
        <v>Empat Puluh Lima</v>
      </c>
    </row>
    <row r="7391" spans="1:12">
      <c r="J7391" s="31">
        <v>46</v>
      </c>
      <c r="K7391" s="33" t="s">
        <v>118</v>
      </c>
      <c r="L7391" s="31" t="str">
        <f t="shared" si="714"/>
        <v>Empat Puluh Enam</v>
      </c>
    </row>
    <row r="7392" spans="1:12">
      <c r="J7392" s="31">
        <v>47</v>
      </c>
      <c r="K7392" s="33" t="s">
        <v>119</v>
      </c>
      <c r="L7392" s="31" t="str">
        <f t="shared" si="714"/>
        <v>Empat Puluh Tujuh</v>
      </c>
    </row>
    <row r="7393" spans="10:12">
      <c r="J7393" s="31">
        <v>48</v>
      </c>
      <c r="K7393" s="33" t="s">
        <v>120</v>
      </c>
      <c r="L7393" s="31" t="str">
        <f t="shared" si="714"/>
        <v>Empat Puluh Delapan</v>
      </c>
    </row>
    <row r="7394" spans="10:12">
      <c r="J7394" s="31">
        <v>49</v>
      </c>
      <c r="K7394" s="33" t="s">
        <v>121</v>
      </c>
      <c r="L7394" s="31" t="str">
        <f t="shared" si="714"/>
        <v>Empat Puluh Sembilan</v>
      </c>
    </row>
    <row r="7395" spans="10:12">
      <c r="J7395" s="31">
        <v>50</v>
      </c>
      <c r="K7395" s="33" t="s">
        <v>122</v>
      </c>
      <c r="L7395" s="31" t="s">
        <v>123</v>
      </c>
    </row>
    <row r="7396" spans="10:12">
      <c r="J7396" s="31">
        <v>51</v>
      </c>
      <c r="K7396" s="33" t="s">
        <v>124</v>
      </c>
      <c r="L7396" s="31" t="str">
        <f t="shared" ref="L7396:L7404" si="715">$L$53&amp;" "&amp;L7346</f>
        <v>Lima Puluh Satu</v>
      </c>
    </row>
    <row r="7397" spans="10:12">
      <c r="J7397" s="31">
        <v>52</v>
      </c>
      <c r="K7397" s="33" t="s">
        <v>125</v>
      </c>
      <c r="L7397" s="31" t="str">
        <f t="shared" si="715"/>
        <v>Lima Puluh Dua</v>
      </c>
    </row>
    <row r="7398" spans="10:12">
      <c r="J7398" s="31">
        <v>53</v>
      </c>
      <c r="K7398" s="33" t="s">
        <v>126</v>
      </c>
      <c r="L7398" s="31" t="str">
        <f t="shared" si="715"/>
        <v>Lima Puluh Tiga</v>
      </c>
    </row>
    <row r="7399" spans="10:12">
      <c r="J7399" s="31">
        <v>54</v>
      </c>
      <c r="K7399" s="33" t="s">
        <v>127</v>
      </c>
      <c r="L7399" s="31" t="str">
        <f t="shared" si="715"/>
        <v>Lima Puluh Empat</v>
      </c>
    </row>
    <row r="7400" spans="10:12">
      <c r="J7400" s="31">
        <v>55</v>
      </c>
      <c r="K7400" s="33" t="s">
        <v>128</v>
      </c>
      <c r="L7400" s="31" t="str">
        <f t="shared" si="715"/>
        <v>Lima Puluh Lima</v>
      </c>
    </row>
    <row r="7401" spans="10:12">
      <c r="J7401" s="31">
        <v>56</v>
      </c>
      <c r="K7401" s="33" t="s">
        <v>129</v>
      </c>
      <c r="L7401" s="31" t="str">
        <f t="shared" si="715"/>
        <v>Lima Puluh Enam</v>
      </c>
    </row>
    <row r="7402" spans="10:12">
      <c r="J7402" s="31">
        <v>57</v>
      </c>
      <c r="K7402" s="33" t="s">
        <v>130</v>
      </c>
      <c r="L7402" s="31" t="str">
        <f t="shared" si="715"/>
        <v>Lima Puluh Tujuh</v>
      </c>
    </row>
    <row r="7403" spans="10:12">
      <c r="J7403" s="31">
        <v>58</v>
      </c>
      <c r="K7403" s="33" t="s">
        <v>131</v>
      </c>
      <c r="L7403" s="31" t="str">
        <f t="shared" si="715"/>
        <v>Lima Puluh Delapan</v>
      </c>
    </row>
    <row r="7404" spans="10:12">
      <c r="J7404" s="31">
        <v>59</v>
      </c>
      <c r="K7404" s="33" t="s">
        <v>132</v>
      </c>
      <c r="L7404" s="31" t="str">
        <f t="shared" si="715"/>
        <v>Lima Puluh Sembilan</v>
      </c>
    </row>
    <row r="7405" spans="10:12">
      <c r="J7405" s="31">
        <v>60</v>
      </c>
      <c r="K7405" s="33" t="s">
        <v>133</v>
      </c>
      <c r="L7405" s="31" t="s">
        <v>134</v>
      </c>
    </row>
    <row r="7406" spans="10:12">
      <c r="J7406" s="31">
        <v>61</v>
      </c>
      <c r="K7406" s="33" t="s">
        <v>135</v>
      </c>
      <c r="L7406" s="31" t="str">
        <f t="shared" ref="L7406:L7414" si="716">$L$63&amp;" "&amp;L7346</f>
        <v>Enam Puluh Satu</v>
      </c>
    </row>
    <row r="7407" spans="10:12">
      <c r="J7407" s="31">
        <v>62</v>
      </c>
      <c r="K7407" s="33" t="s">
        <v>136</v>
      </c>
      <c r="L7407" s="31" t="str">
        <f t="shared" si="716"/>
        <v>Enam Puluh Dua</v>
      </c>
    </row>
    <row r="7408" spans="10:12">
      <c r="J7408" s="31">
        <v>63</v>
      </c>
      <c r="K7408" s="33" t="s">
        <v>137</v>
      </c>
      <c r="L7408" s="31" t="str">
        <f t="shared" si="716"/>
        <v>Enam Puluh Tiga</v>
      </c>
    </row>
    <row r="7409" spans="10:12">
      <c r="J7409" s="31">
        <v>64</v>
      </c>
      <c r="K7409" s="33" t="s">
        <v>138</v>
      </c>
      <c r="L7409" s="31" t="str">
        <f t="shared" si="716"/>
        <v>Enam Puluh Empat</v>
      </c>
    </row>
    <row r="7410" spans="10:12">
      <c r="J7410" s="31">
        <v>65</v>
      </c>
      <c r="K7410" s="33" t="s">
        <v>139</v>
      </c>
      <c r="L7410" s="31" t="str">
        <f t="shared" si="716"/>
        <v>Enam Puluh Lima</v>
      </c>
    </row>
    <row r="7411" spans="10:12">
      <c r="J7411" s="31">
        <v>66</v>
      </c>
      <c r="K7411" s="33" t="s">
        <v>140</v>
      </c>
      <c r="L7411" s="31" t="str">
        <f t="shared" si="716"/>
        <v>Enam Puluh Enam</v>
      </c>
    </row>
    <row r="7412" spans="10:12">
      <c r="J7412" s="31">
        <v>67</v>
      </c>
      <c r="K7412" s="33" t="s">
        <v>141</v>
      </c>
      <c r="L7412" s="31" t="str">
        <f t="shared" si="716"/>
        <v>Enam Puluh Tujuh</v>
      </c>
    </row>
    <row r="7413" spans="10:12">
      <c r="J7413" s="31">
        <v>68</v>
      </c>
      <c r="K7413" s="33" t="s">
        <v>142</v>
      </c>
      <c r="L7413" s="31" t="str">
        <f t="shared" si="716"/>
        <v>Enam Puluh Delapan</v>
      </c>
    </row>
    <row r="7414" spans="10:12">
      <c r="J7414" s="31">
        <v>69</v>
      </c>
      <c r="K7414" s="33" t="s">
        <v>143</v>
      </c>
      <c r="L7414" s="31" t="str">
        <f t="shared" si="716"/>
        <v>Enam Puluh Sembilan</v>
      </c>
    </row>
    <row r="7415" spans="10:12">
      <c r="J7415" s="31">
        <v>70</v>
      </c>
      <c r="K7415" s="33" t="s">
        <v>144</v>
      </c>
      <c r="L7415" s="31" t="s">
        <v>145</v>
      </c>
    </row>
    <row r="7416" spans="10:12">
      <c r="J7416" s="31">
        <v>71</v>
      </c>
      <c r="K7416" s="33" t="s">
        <v>146</v>
      </c>
      <c r="L7416" s="31" t="str">
        <f t="shared" ref="L7416:L7424" si="717">$L$73&amp;" "&amp;L7346</f>
        <v>Tujuh Puluh Satu</v>
      </c>
    </row>
    <row r="7417" spans="10:12">
      <c r="J7417" s="31">
        <v>72</v>
      </c>
      <c r="K7417" s="33" t="s">
        <v>147</v>
      </c>
      <c r="L7417" s="31" t="str">
        <f t="shared" si="717"/>
        <v>Tujuh Puluh Dua</v>
      </c>
    </row>
    <row r="7418" spans="10:12">
      <c r="J7418" s="31">
        <v>73</v>
      </c>
      <c r="K7418" s="33" t="s">
        <v>148</v>
      </c>
      <c r="L7418" s="31" t="str">
        <f t="shared" si="717"/>
        <v>Tujuh Puluh Tiga</v>
      </c>
    </row>
    <row r="7419" spans="10:12">
      <c r="J7419" s="31">
        <v>74</v>
      </c>
      <c r="K7419" s="33" t="s">
        <v>149</v>
      </c>
      <c r="L7419" s="31" t="str">
        <f t="shared" si="717"/>
        <v>Tujuh Puluh Empat</v>
      </c>
    </row>
    <row r="7420" spans="10:12">
      <c r="J7420" s="31">
        <v>75</v>
      </c>
      <c r="K7420" s="33" t="s">
        <v>150</v>
      </c>
      <c r="L7420" s="31" t="str">
        <f t="shared" si="717"/>
        <v>Tujuh Puluh Lima</v>
      </c>
    </row>
    <row r="7421" spans="10:12">
      <c r="J7421" s="31">
        <v>76</v>
      </c>
      <c r="K7421" s="33" t="s">
        <v>151</v>
      </c>
      <c r="L7421" s="31" t="str">
        <f t="shared" si="717"/>
        <v>Tujuh Puluh Enam</v>
      </c>
    </row>
    <row r="7422" spans="10:12">
      <c r="J7422" s="31">
        <v>77</v>
      </c>
      <c r="K7422" s="33" t="s">
        <v>152</v>
      </c>
      <c r="L7422" s="31" t="str">
        <f t="shared" si="717"/>
        <v>Tujuh Puluh Tujuh</v>
      </c>
    </row>
    <row r="7423" spans="10:12">
      <c r="J7423" s="31">
        <v>78</v>
      </c>
      <c r="K7423" s="33" t="s">
        <v>153</v>
      </c>
      <c r="L7423" s="31" t="str">
        <f t="shared" si="717"/>
        <v>Tujuh Puluh Delapan</v>
      </c>
    </row>
    <row r="7424" spans="10:12">
      <c r="J7424" s="31">
        <v>79</v>
      </c>
      <c r="K7424" s="33" t="s">
        <v>154</v>
      </c>
      <c r="L7424" s="31" t="str">
        <f t="shared" si="717"/>
        <v>Tujuh Puluh Sembilan</v>
      </c>
    </row>
    <row r="7425" spans="10:12">
      <c r="J7425" s="31">
        <v>80</v>
      </c>
      <c r="K7425" s="33" t="s">
        <v>155</v>
      </c>
      <c r="L7425" s="31" t="s">
        <v>156</v>
      </c>
    </row>
    <row r="7426" spans="10:12">
      <c r="J7426" s="31">
        <v>81</v>
      </c>
      <c r="K7426" s="33" t="s">
        <v>157</v>
      </c>
      <c r="L7426" s="31" t="str">
        <f t="shared" ref="L7426:L7434" si="718">$L$83&amp;" "&amp;L7346</f>
        <v>Delapan Puluh Satu</v>
      </c>
    </row>
    <row r="7427" spans="10:12">
      <c r="J7427" s="31">
        <v>82</v>
      </c>
      <c r="K7427" s="33" t="s">
        <v>158</v>
      </c>
      <c r="L7427" s="31" t="str">
        <f t="shared" si="718"/>
        <v>Delapan Puluh Dua</v>
      </c>
    </row>
    <row r="7428" spans="10:12">
      <c r="J7428" s="31">
        <v>83</v>
      </c>
      <c r="K7428" s="33" t="s">
        <v>159</v>
      </c>
      <c r="L7428" s="31" t="str">
        <f t="shared" si="718"/>
        <v>Delapan Puluh Tiga</v>
      </c>
    </row>
    <row r="7429" spans="10:12">
      <c r="J7429" s="31">
        <v>84</v>
      </c>
      <c r="K7429" s="33" t="s">
        <v>160</v>
      </c>
      <c r="L7429" s="31" t="str">
        <f t="shared" si="718"/>
        <v>Delapan Puluh Empat</v>
      </c>
    </row>
    <row r="7430" spans="10:12">
      <c r="J7430" s="31">
        <v>85</v>
      </c>
      <c r="K7430" s="33" t="s">
        <v>161</v>
      </c>
      <c r="L7430" s="31" t="str">
        <f t="shared" si="718"/>
        <v>Delapan Puluh Lima</v>
      </c>
    </row>
    <row r="7431" spans="10:12">
      <c r="J7431" s="31">
        <v>86</v>
      </c>
      <c r="K7431" s="33" t="s">
        <v>162</v>
      </c>
      <c r="L7431" s="31" t="str">
        <f t="shared" si="718"/>
        <v>Delapan Puluh Enam</v>
      </c>
    </row>
    <row r="7432" spans="10:12">
      <c r="J7432" s="31">
        <v>87</v>
      </c>
      <c r="K7432" s="33" t="s">
        <v>163</v>
      </c>
      <c r="L7432" s="31" t="str">
        <f t="shared" si="718"/>
        <v>Delapan Puluh Tujuh</v>
      </c>
    </row>
    <row r="7433" spans="10:12">
      <c r="J7433" s="31">
        <v>88</v>
      </c>
      <c r="K7433" s="33" t="s">
        <v>164</v>
      </c>
      <c r="L7433" s="31" t="str">
        <f t="shared" si="718"/>
        <v>Delapan Puluh Delapan</v>
      </c>
    </row>
    <row r="7434" spans="10:12">
      <c r="J7434" s="31">
        <v>89</v>
      </c>
      <c r="K7434" s="33" t="s">
        <v>165</v>
      </c>
      <c r="L7434" s="31" t="str">
        <f t="shared" si="718"/>
        <v>Delapan Puluh Sembilan</v>
      </c>
    </row>
    <row r="7435" spans="10:12">
      <c r="J7435" s="31">
        <v>90</v>
      </c>
      <c r="K7435" s="33" t="s">
        <v>166</v>
      </c>
      <c r="L7435" s="31" t="s">
        <v>167</v>
      </c>
    </row>
    <row r="7436" spans="10:12">
      <c r="J7436" s="31">
        <v>91</v>
      </c>
      <c r="K7436" s="33" t="s">
        <v>168</v>
      </c>
      <c r="L7436" s="31" t="str">
        <f t="shared" ref="L7436:L7444" si="719">$L$93&amp;" "&amp;L7346</f>
        <v>Sembilan Puluh Satu</v>
      </c>
    </row>
    <row r="7437" spans="10:12">
      <c r="J7437" s="31">
        <v>92</v>
      </c>
      <c r="K7437" s="33" t="s">
        <v>169</v>
      </c>
      <c r="L7437" s="31" t="str">
        <f t="shared" si="719"/>
        <v>Sembilan Puluh Dua</v>
      </c>
    </row>
    <row r="7438" spans="10:12">
      <c r="J7438" s="31">
        <v>93</v>
      </c>
      <c r="K7438" s="33" t="s">
        <v>170</v>
      </c>
      <c r="L7438" s="31" t="str">
        <f t="shared" si="719"/>
        <v>Sembilan Puluh Tiga</v>
      </c>
    </row>
    <row r="7439" spans="10:12">
      <c r="J7439" s="31">
        <v>94</v>
      </c>
      <c r="K7439" s="33" t="s">
        <v>171</v>
      </c>
      <c r="L7439" s="31" t="str">
        <f t="shared" si="719"/>
        <v>Sembilan Puluh Empat</v>
      </c>
    </row>
    <row r="7440" spans="10:12">
      <c r="J7440" s="31">
        <v>95</v>
      </c>
      <c r="K7440" s="33" t="s">
        <v>172</v>
      </c>
      <c r="L7440" s="31" t="str">
        <f t="shared" si="719"/>
        <v>Sembilan Puluh Lima</v>
      </c>
    </row>
    <row r="7441" spans="1:12">
      <c r="J7441" s="31">
        <v>96</v>
      </c>
      <c r="K7441" s="33" t="s">
        <v>173</v>
      </c>
      <c r="L7441" s="31" t="str">
        <f t="shared" si="719"/>
        <v>Sembilan Puluh Enam</v>
      </c>
    </row>
    <row r="7442" spans="1:12">
      <c r="J7442" s="31">
        <v>97</v>
      </c>
      <c r="K7442" s="33" t="s">
        <v>174</v>
      </c>
      <c r="L7442" s="31" t="str">
        <f t="shared" si="719"/>
        <v>Sembilan Puluh Tujuh</v>
      </c>
    </row>
    <row r="7443" spans="1:12">
      <c r="J7443" s="31">
        <v>98</v>
      </c>
      <c r="K7443" s="33" t="s">
        <v>175</v>
      </c>
      <c r="L7443" s="31" t="str">
        <f t="shared" si="719"/>
        <v>Sembilan Puluh Delapan</v>
      </c>
    </row>
    <row r="7444" spans="1:12">
      <c r="J7444" s="31">
        <v>99</v>
      </c>
      <c r="K7444" s="33" t="s">
        <v>176</v>
      </c>
      <c r="L7444" s="31" t="str">
        <f t="shared" si="719"/>
        <v>Sembilan Puluh Sembilan</v>
      </c>
    </row>
    <row r="7447" spans="1:12">
      <c r="A7447" s="30" t="e">
        <f>#REF!</f>
        <v>#REF!</v>
      </c>
      <c r="C7447" s="31" t="s">
        <v>270</v>
      </c>
    </row>
    <row r="7448" spans="1:12">
      <c r="A7448" s="32"/>
    </row>
    <row r="7449" spans="1:12">
      <c r="J7449" s="31">
        <v>0</v>
      </c>
      <c r="K7449" s="33" t="s">
        <v>48</v>
      </c>
      <c r="L7449" s="31" t="s">
        <v>49</v>
      </c>
    </row>
    <row r="7450" spans="1:12">
      <c r="A7450" s="34"/>
      <c r="J7450" s="31">
        <v>1</v>
      </c>
      <c r="K7450" s="33" t="s">
        <v>50</v>
      </c>
      <c r="L7450" s="31" t="s">
        <v>51</v>
      </c>
    </row>
    <row r="7451" spans="1:12">
      <c r="A7451" s="255" t="e">
        <f>TRIM(D7459&amp;E7459&amp;D7460&amp;E7460&amp;D7461&amp;E7461&amp;D7462&amp;E7462&amp;D7463&amp;E7463&amp;D7464&amp;E7464&amp;E7465&amp;D7465&amp;" Only")</f>
        <v>#REF!</v>
      </c>
      <c r="B7451" s="255"/>
      <c r="C7451" s="255"/>
      <c r="D7451" s="255"/>
      <c r="E7451" s="35"/>
      <c r="F7451" s="36"/>
      <c r="J7451" s="31">
        <v>2</v>
      </c>
      <c r="K7451" s="33" t="s">
        <v>52</v>
      </c>
      <c r="L7451" s="31" t="s">
        <v>53</v>
      </c>
    </row>
    <row r="7452" spans="1:12">
      <c r="A7452" s="37"/>
      <c r="B7452" s="37"/>
      <c r="C7452" s="37"/>
      <c r="D7452" s="37"/>
      <c r="E7452" s="35"/>
      <c r="F7452" s="36"/>
      <c r="J7452" s="31">
        <v>3</v>
      </c>
      <c r="K7452" s="33" t="s">
        <v>54</v>
      </c>
      <c r="L7452" s="31" t="s">
        <v>55</v>
      </c>
    </row>
    <row r="7453" spans="1:12">
      <c r="A7453" s="37"/>
      <c r="B7453" s="37"/>
      <c r="C7453" s="37"/>
      <c r="D7453" s="37"/>
      <c r="J7453" s="31">
        <v>4</v>
      </c>
      <c r="K7453" s="33" t="s">
        <v>56</v>
      </c>
      <c r="L7453" s="31" t="s">
        <v>57</v>
      </c>
    </row>
    <row r="7454" spans="1:12">
      <c r="A7454" s="255" t="e">
        <f>TRIM(D7469&amp;E7469&amp;D7470&amp;E7470&amp;D7471&amp;E7471&amp;D7472&amp;E7472&amp;D7473&amp;E7473&amp;D7474&amp;E7474&amp;D7475&amp;E7475&amp;" Rupiah")</f>
        <v>#REF!</v>
      </c>
      <c r="B7454" s="255"/>
      <c r="C7454" s="255"/>
      <c r="D7454" s="255"/>
      <c r="E7454" s="35"/>
      <c r="F7454" s="36"/>
      <c r="J7454" s="31">
        <v>5</v>
      </c>
      <c r="K7454" s="33" t="s">
        <v>58</v>
      </c>
      <c r="L7454" s="31" t="s">
        <v>59</v>
      </c>
    </row>
    <row r="7455" spans="1:12">
      <c r="A7455" s="35"/>
      <c r="B7455" s="35"/>
      <c r="C7455" s="35"/>
      <c r="D7455" s="35"/>
      <c r="E7455" s="35"/>
      <c r="F7455" s="36"/>
      <c r="J7455" s="31">
        <v>6</v>
      </c>
      <c r="K7455" s="33" t="s">
        <v>60</v>
      </c>
      <c r="L7455" s="31" t="s">
        <v>61</v>
      </c>
    </row>
    <row r="7456" spans="1:12">
      <c r="J7456" s="31">
        <v>7</v>
      </c>
      <c r="K7456" s="33" t="s">
        <v>62</v>
      </c>
      <c r="L7456" s="31" t="s">
        <v>63</v>
      </c>
    </row>
    <row r="7457" spans="1:12">
      <c r="J7457" s="31">
        <v>8</v>
      </c>
      <c r="K7457" s="33" t="s">
        <v>64</v>
      </c>
      <c r="L7457" s="31" t="s">
        <v>65</v>
      </c>
    </row>
    <row r="7458" spans="1:12">
      <c r="A7458" s="38" t="s">
        <v>66</v>
      </c>
      <c r="J7458" s="31">
        <v>9</v>
      </c>
      <c r="K7458" s="33" t="s">
        <v>67</v>
      </c>
      <c r="L7458" s="31" t="s">
        <v>68</v>
      </c>
    </row>
    <row r="7459" spans="1:12">
      <c r="A7459" s="31" t="s">
        <v>69</v>
      </c>
      <c r="B7459" s="39" t="e">
        <f>TRUNC(A7447/100000000)</f>
        <v>#REF!</v>
      </c>
      <c r="C7459" s="31" t="e">
        <f>B7459*100000000</f>
        <v>#REF!</v>
      </c>
      <c r="D7459" s="31" t="e">
        <f t="shared" ref="D7459:D7465" si="720">IF(B7459&lt;1,"",VLOOKUP(B7459,$J$3:$K$102,2))</f>
        <v>#REF!</v>
      </c>
      <c r="E7459" s="31" t="e">
        <f>IF(B7459&lt;1,"",IF(B7459&gt;1," Hundreds "," Hundred "))</f>
        <v>#REF!</v>
      </c>
      <c r="J7459" s="31">
        <v>10</v>
      </c>
      <c r="K7459" s="33" t="s">
        <v>70</v>
      </c>
      <c r="L7459" s="31" t="s">
        <v>71</v>
      </c>
    </row>
    <row r="7460" spans="1:12">
      <c r="A7460" s="31" t="s">
        <v>72</v>
      </c>
      <c r="B7460" s="39" t="e">
        <f>TRUNC((A7447-C7459)/1000000)</f>
        <v>#REF!</v>
      </c>
      <c r="C7460" s="31" t="e">
        <f>B7460*1000000</f>
        <v>#REF!</v>
      </c>
      <c r="D7460" s="31" t="e">
        <f t="shared" si="720"/>
        <v>#REF!</v>
      </c>
      <c r="E7460" s="31" t="e">
        <f>IF(B7459+B7460=0,"",IF(B7460=1," Million "," Millions "))</f>
        <v>#REF!</v>
      </c>
      <c r="J7460" s="31">
        <v>11</v>
      </c>
      <c r="K7460" s="33" t="s">
        <v>73</v>
      </c>
      <c r="L7460" s="31" t="s">
        <v>74</v>
      </c>
    </row>
    <row r="7461" spans="1:12">
      <c r="A7461" s="31" t="s">
        <v>75</v>
      </c>
      <c r="B7461" s="39" t="e">
        <f>TRUNC((A7447-SUM(C7459:C7460))/100000)</f>
        <v>#REF!</v>
      </c>
      <c r="C7461" s="31" t="e">
        <f>B7461*100000</f>
        <v>#REF!</v>
      </c>
      <c r="D7461" s="31" t="e">
        <f t="shared" si="720"/>
        <v>#REF!</v>
      </c>
      <c r="E7461" s="31" t="e">
        <f>IF(B7461&lt;1,"",IF(B7461&gt;1," Hundreds "," Hundred "))</f>
        <v>#REF!</v>
      </c>
      <c r="J7461" s="31">
        <v>12</v>
      </c>
      <c r="K7461" s="33" t="s">
        <v>76</v>
      </c>
      <c r="L7461" s="31" t="str">
        <f t="shared" ref="L7461:L7468" si="721">L7451&amp;" Belas"</f>
        <v>Dua Belas</v>
      </c>
    </row>
    <row r="7462" spans="1:12">
      <c r="A7462" s="33" t="s">
        <v>77</v>
      </c>
      <c r="B7462" s="40" t="e">
        <f>TRUNC((A7447-SUM(C7459:C7461))/1000)</f>
        <v>#REF!</v>
      </c>
      <c r="C7462" s="31" t="e">
        <f>B7462*1000</f>
        <v>#REF!</v>
      </c>
      <c r="D7462" s="31" t="e">
        <f t="shared" si="720"/>
        <v>#REF!</v>
      </c>
      <c r="E7462" s="31" t="e">
        <f>IF(B7461+B7462=0,"",IF(B7462=1," Thousand "," Thousands "))</f>
        <v>#REF!</v>
      </c>
      <c r="J7462" s="31">
        <v>13</v>
      </c>
      <c r="K7462" s="33" t="s">
        <v>78</v>
      </c>
      <c r="L7462" s="31" t="str">
        <f t="shared" si="721"/>
        <v>Tiga Belas</v>
      </c>
    </row>
    <row r="7463" spans="1:12">
      <c r="A7463" s="33" t="s">
        <v>79</v>
      </c>
      <c r="B7463" s="40" t="e">
        <f>TRUNC((A7447-SUM(C7459:C7462))/100)</f>
        <v>#REF!</v>
      </c>
      <c r="C7463" s="31" t="e">
        <f>B7463*100</f>
        <v>#REF!</v>
      </c>
      <c r="D7463" s="31" t="e">
        <f t="shared" si="720"/>
        <v>#REF!</v>
      </c>
      <c r="E7463" s="31" t="e">
        <f>IF(B7463&lt;1,"",IF(B7463&gt;1," Hundreds "," Hundred "))</f>
        <v>#REF!</v>
      </c>
      <c r="J7463" s="31">
        <v>14</v>
      </c>
      <c r="K7463" s="33" t="s">
        <v>80</v>
      </c>
      <c r="L7463" s="31" t="str">
        <f t="shared" si="721"/>
        <v>Empat Belas</v>
      </c>
    </row>
    <row r="7464" spans="1:12">
      <c r="A7464" s="33" t="s">
        <v>81</v>
      </c>
      <c r="B7464" s="41" t="e">
        <f>TRUNC((A7447-SUM(C7459:C7463)))</f>
        <v>#REF!</v>
      </c>
      <c r="C7464" s="42" t="e">
        <f>B7464</f>
        <v>#REF!</v>
      </c>
      <c r="D7464" s="31" t="e">
        <f t="shared" si="720"/>
        <v>#REF!</v>
      </c>
      <c r="E7464" s="31" t="e">
        <f>IF(SUM(C7459:C7464)&lt;1,"",IF(B7465&lt;1,""," And "))</f>
        <v>#REF!</v>
      </c>
      <c r="J7464" s="31">
        <v>15</v>
      </c>
      <c r="K7464" s="33" t="s">
        <v>82</v>
      </c>
      <c r="L7464" s="31" t="str">
        <f t="shared" si="721"/>
        <v>Lima Belas</v>
      </c>
    </row>
    <row r="7465" spans="1:12">
      <c r="A7465" s="33" t="s">
        <v>83</v>
      </c>
      <c r="B7465" s="40" t="e">
        <f>ROUND(A7447-SUM(C7459:C7464),2)*100</f>
        <v>#REF!</v>
      </c>
      <c r="D7465" s="43" t="e">
        <f t="shared" si="720"/>
        <v>#REF!</v>
      </c>
      <c r="E7465" s="31" t="e">
        <f>IF(B7465&lt;1,"",IF(B7465=1," Cent "," Cents "))</f>
        <v>#REF!</v>
      </c>
      <c r="J7465" s="31">
        <v>16</v>
      </c>
      <c r="K7465" s="33" t="s">
        <v>84</v>
      </c>
      <c r="L7465" s="31" t="str">
        <f t="shared" si="721"/>
        <v>Enam Belas</v>
      </c>
    </row>
    <row r="7466" spans="1:12">
      <c r="J7466" s="31">
        <v>17</v>
      </c>
      <c r="K7466" s="33" t="s">
        <v>85</v>
      </c>
      <c r="L7466" s="31" t="str">
        <f t="shared" si="721"/>
        <v>Tujuh Belas</v>
      </c>
    </row>
    <row r="7467" spans="1:12">
      <c r="A7467" s="44"/>
      <c r="J7467" s="31">
        <v>18</v>
      </c>
      <c r="K7467" s="33" t="s">
        <v>86</v>
      </c>
      <c r="L7467" s="31" t="str">
        <f t="shared" si="721"/>
        <v>Delapan Belas</v>
      </c>
    </row>
    <row r="7468" spans="1:12">
      <c r="A7468" s="38" t="s">
        <v>87</v>
      </c>
      <c r="J7468" s="31">
        <v>19</v>
      </c>
      <c r="K7468" s="33" t="s">
        <v>88</v>
      </c>
      <c r="L7468" s="31" t="str">
        <f t="shared" si="721"/>
        <v>Sembilan Belas</v>
      </c>
    </row>
    <row r="7469" spans="1:12">
      <c r="A7469" s="31" t="s">
        <v>69</v>
      </c>
      <c r="B7469" s="39" t="e">
        <f>TRUNC(A7447/100000000)</f>
        <v>#REF!</v>
      </c>
      <c r="C7469" s="31" t="e">
        <f>B7469*100000000</f>
        <v>#REF!</v>
      </c>
      <c r="D7469" s="31" t="e">
        <f>IF(B7469&lt;1,"",IF(B7469=1,"",VLOOKUP(B7469,$J$3:$L$102,3)))</f>
        <v>#REF!</v>
      </c>
      <c r="E7469" s="31" t="e">
        <f>IF(B7469&lt;1,"",IF(B7469=1,"Seratus "," Ratus "))</f>
        <v>#REF!</v>
      </c>
      <c r="J7469" s="31">
        <v>20</v>
      </c>
      <c r="K7469" s="33" t="s">
        <v>89</v>
      </c>
      <c r="L7469" s="31" t="s">
        <v>90</v>
      </c>
    </row>
    <row r="7470" spans="1:12">
      <c r="A7470" s="31" t="s">
        <v>72</v>
      </c>
      <c r="B7470" s="39" t="e">
        <f>TRUNC((A7447-C7469)/1000000)</f>
        <v>#REF!</v>
      </c>
      <c r="C7470" s="31" t="e">
        <f>B7470*1000000</f>
        <v>#REF!</v>
      </c>
      <c r="D7470" s="31" t="e">
        <f>IF(B7470&lt;1,"",VLOOKUP(B7470,$J$3:$L$102,3))</f>
        <v>#REF!</v>
      </c>
      <c r="E7470" s="31" t="e">
        <f>IF(B7469+B7470=0,""," Juta ")</f>
        <v>#REF!</v>
      </c>
      <c r="J7470" s="31">
        <v>21</v>
      </c>
      <c r="K7470" s="33" t="s">
        <v>91</v>
      </c>
      <c r="L7470" s="31" t="str">
        <f t="shared" ref="L7470:L7478" si="722">$L$23&amp;" "&amp;L7450</f>
        <v>Dua Puluh Satu</v>
      </c>
    </row>
    <row r="7471" spans="1:12">
      <c r="A7471" s="31" t="s">
        <v>75</v>
      </c>
      <c r="B7471" s="39" t="e">
        <f>TRUNC((A7447-SUM(C7469:C7470))/100000)</f>
        <v>#REF!</v>
      </c>
      <c r="C7471" s="31" t="e">
        <f>B7471*100000</f>
        <v>#REF!</v>
      </c>
      <c r="D7471" s="31" t="e">
        <f>IF(B7471&lt;1,"",IF(B7471=1,"",VLOOKUP(B7471,$J$3:$L$102,3)))</f>
        <v>#REF!</v>
      </c>
      <c r="E7471" s="31" t="e">
        <f>IF(B7471&lt;1,"",IF(B7471=1," Seratus "," Ratus "))</f>
        <v>#REF!</v>
      </c>
      <c r="J7471" s="31">
        <v>22</v>
      </c>
      <c r="K7471" s="33" t="s">
        <v>92</v>
      </c>
      <c r="L7471" s="31" t="str">
        <f t="shared" si="722"/>
        <v>Dua Puluh Dua</v>
      </c>
    </row>
    <row r="7472" spans="1:12">
      <c r="A7472" s="33" t="s">
        <v>77</v>
      </c>
      <c r="B7472" s="40" t="e">
        <f>TRUNC((A7447-SUM(C7469:C7471))/1000)</f>
        <v>#REF!</v>
      </c>
      <c r="C7472" s="31" t="e">
        <f>B7472*1000</f>
        <v>#REF!</v>
      </c>
      <c r="D7472" s="31" t="e">
        <f>IF(B7472&lt;1,"",IF(B7472=1,"",VLOOKUP(B7472,$J$3:$L$102,3)))</f>
        <v>#REF!</v>
      </c>
      <c r="E7472" s="31" t="e">
        <f>IF(B7471+B7472&lt;1,"",IF(B7472=1," Seribu "," Ribu "))</f>
        <v>#REF!</v>
      </c>
      <c r="J7472" s="31">
        <v>23</v>
      </c>
      <c r="K7472" s="33" t="s">
        <v>93</v>
      </c>
      <c r="L7472" s="31" t="str">
        <f t="shared" si="722"/>
        <v>Dua Puluh Tiga</v>
      </c>
    </row>
    <row r="7473" spans="1:12">
      <c r="A7473" s="33" t="s">
        <v>79</v>
      </c>
      <c r="B7473" s="40" t="e">
        <f>TRUNC((A7447-SUM(C7469:C7472))/100)</f>
        <v>#REF!</v>
      </c>
      <c r="C7473" s="31" t="e">
        <f>B7473*100</f>
        <v>#REF!</v>
      </c>
      <c r="D7473" s="31" t="e">
        <f>IF(B7473&lt;1,"",IF(B7473=1,"",VLOOKUP(B7473,$J$3:$L$102,3)))</f>
        <v>#REF!</v>
      </c>
      <c r="E7473" s="31" t="e">
        <f>IF(B7473&lt;1,"",IF(B7473=1," Seratus "," Ratus "))</f>
        <v>#REF!</v>
      </c>
      <c r="J7473" s="31">
        <v>24</v>
      </c>
      <c r="K7473" s="33" t="s">
        <v>94</v>
      </c>
      <c r="L7473" s="31" t="str">
        <f t="shared" si="722"/>
        <v>Dua Puluh Empat</v>
      </c>
    </row>
    <row r="7474" spans="1:12">
      <c r="A7474" s="33" t="s">
        <v>81</v>
      </c>
      <c r="B7474" s="41" t="e">
        <f>TRUNC((A7447-SUM(C7469:C7473)))</f>
        <v>#REF!</v>
      </c>
      <c r="C7474" s="42" t="e">
        <f>B7474</f>
        <v>#REF!</v>
      </c>
      <c r="D7474" s="31" t="e">
        <f>IF(B7474&lt;1,"",VLOOKUP(B7474,$J$3:$L$102,3))</f>
        <v>#REF!</v>
      </c>
      <c r="E7474" s="31" t="e">
        <f>IF(SUM(C7469:C7474)&lt;1,"",IF(B7475&lt;1,""," Dan "))</f>
        <v>#REF!</v>
      </c>
      <c r="J7474" s="31">
        <v>25</v>
      </c>
      <c r="K7474" s="33" t="s">
        <v>95</v>
      </c>
      <c r="L7474" s="31" t="str">
        <f t="shared" si="722"/>
        <v>Dua Puluh Lima</v>
      </c>
    </row>
    <row r="7475" spans="1:12">
      <c r="A7475" s="33" t="s">
        <v>83</v>
      </c>
      <c r="B7475" s="40" t="e">
        <f>ROUND(A7447-SUM(C7469:C7474),2)*100</f>
        <v>#REF!</v>
      </c>
      <c r="D7475" s="31" t="e">
        <f>IF(B7475&lt;1,"",VLOOKUP(B7475,$J$3:$L$102,3))</f>
        <v>#REF!</v>
      </c>
      <c r="E7475" s="31" t="e">
        <f>IF(B7475&lt;1,""," Sen ")</f>
        <v>#REF!</v>
      </c>
      <c r="J7475" s="31">
        <v>26</v>
      </c>
      <c r="K7475" s="33" t="s">
        <v>96</v>
      </c>
      <c r="L7475" s="31" t="str">
        <f t="shared" si="722"/>
        <v>Dua Puluh Enam</v>
      </c>
    </row>
    <row r="7476" spans="1:12">
      <c r="J7476" s="31">
        <v>27</v>
      </c>
      <c r="K7476" s="33" t="s">
        <v>97</v>
      </c>
      <c r="L7476" s="31" t="str">
        <f t="shared" si="722"/>
        <v>Dua Puluh Tujuh</v>
      </c>
    </row>
    <row r="7477" spans="1:12">
      <c r="J7477" s="31">
        <v>28</v>
      </c>
      <c r="K7477" s="33" t="s">
        <v>98</v>
      </c>
      <c r="L7477" s="31" t="str">
        <f t="shared" si="722"/>
        <v>Dua Puluh Delapan</v>
      </c>
    </row>
    <row r="7478" spans="1:12">
      <c r="J7478" s="31">
        <v>29</v>
      </c>
      <c r="K7478" s="33" t="s">
        <v>99</v>
      </c>
      <c r="L7478" s="31" t="str">
        <f t="shared" si="722"/>
        <v>Dua Puluh Sembilan</v>
      </c>
    </row>
    <row r="7479" spans="1:12">
      <c r="J7479" s="31">
        <v>30</v>
      </c>
      <c r="K7479" s="33" t="s">
        <v>100</v>
      </c>
      <c r="L7479" s="31" t="s">
        <v>101</v>
      </c>
    </row>
    <row r="7480" spans="1:12">
      <c r="J7480" s="31">
        <v>31</v>
      </c>
      <c r="K7480" s="33" t="s">
        <v>102</v>
      </c>
      <c r="L7480" s="31" t="str">
        <f t="shared" ref="L7480:L7488" si="723">$L$33&amp;" "&amp;L7450</f>
        <v>Tiga Puluh Satu</v>
      </c>
    </row>
    <row r="7481" spans="1:12">
      <c r="J7481" s="31">
        <v>32</v>
      </c>
      <c r="K7481" s="33" t="s">
        <v>103</v>
      </c>
      <c r="L7481" s="31" t="str">
        <f t="shared" si="723"/>
        <v>Tiga Puluh Dua</v>
      </c>
    </row>
    <row r="7482" spans="1:12">
      <c r="J7482" s="31">
        <v>33</v>
      </c>
      <c r="K7482" s="33" t="s">
        <v>104</v>
      </c>
      <c r="L7482" s="31" t="str">
        <f t="shared" si="723"/>
        <v>Tiga Puluh Tiga</v>
      </c>
    </row>
    <row r="7483" spans="1:12">
      <c r="J7483" s="31">
        <v>34</v>
      </c>
      <c r="K7483" s="33" t="s">
        <v>105</v>
      </c>
      <c r="L7483" s="31" t="str">
        <f t="shared" si="723"/>
        <v>Tiga Puluh Empat</v>
      </c>
    </row>
    <row r="7484" spans="1:12">
      <c r="J7484" s="31">
        <v>35</v>
      </c>
      <c r="K7484" s="33" t="s">
        <v>106</v>
      </c>
      <c r="L7484" s="31" t="str">
        <f t="shared" si="723"/>
        <v>Tiga Puluh Lima</v>
      </c>
    </row>
    <row r="7485" spans="1:12">
      <c r="J7485" s="31">
        <v>36</v>
      </c>
      <c r="K7485" s="33" t="s">
        <v>107</v>
      </c>
      <c r="L7485" s="31" t="str">
        <f t="shared" si="723"/>
        <v>Tiga Puluh Enam</v>
      </c>
    </row>
    <row r="7486" spans="1:12">
      <c r="J7486" s="31">
        <v>37</v>
      </c>
      <c r="K7486" s="33" t="s">
        <v>108</v>
      </c>
      <c r="L7486" s="31" t="str">
        <f t="shared" si="723"/>
        <v>Tiga Puluh Tujuh</v>
      </c>
    </row>
    <row r="7487" spans="1:12">
      <c r="J7487" s="31">
        <v>38</v>
      </c>
      <c r="K7487" s="33" t="s">
        <v>109</v>
      </c>
      <c r="L7487" s="31" t="str">
        <f t="shared" si="723"/>
        <v>Tiga Puluh Delapan</v>
      </c>
    </row>
    <row r="7488" spans="1:12">
      <c r="J7488" s="31">
        <v>39</v>
      </c>
      <c r="K7488" s="33" t="s">
        <v>110</v>
      </c>
      <c r="L7488" s="31" t="str">
        <f t="shared" si="723"/>
        <v>Tiga Puluh Sembilan</v>
      </c>
    </row>
    <row r="7489" spans="1:12">
      <c r="B7489" s="35"/>
      <c r="C7489" s="35"/>
      <c r="D7489" s="35"/>
      <c r="J7489" s="31">
        <v>40</v>
      </c>
      <c r="K7489" s="33" t="s">
        <v>111</v>
      </c>
      <c r="L7489" s="31" t="s">
        <v>112</v>
      </c>
    </row>
    <row r="7490" spans="1:12">
      <c r="A7490" s="35"/>
      <c r="B7490" s="35"/>
      <c r="C7490" s="35"/>
      <c r="D7490" s="35"/>
      <c r="J7490" s="31">
        <v>41</v>
      </c>
      <c r="K7490" s="33" t="s">
        <v>113</v>
      </c>
      <c r="L7490" s="31" t="str">
        <f t="shared" ref="L7490:L7498" si="724">$L$43&amp;" "&amp;L7450</f>
        <v>Empat Puluh Satu</v>
      </c>
    </row>
    <row r="7491" spans="1:12">
      <c r="J7491" s="31">
        <v>42</v>
      </c>
      <c r="K7491" s="33" t="s">
        <v>114</v>
      </c>
      <c r="L7491" s="31" t="str">
        <f t="shared" si="724"/>
        <v>Empat Puluh Dua</v>
      </c>
    </row>
    <row r="7492" spans="1:12">
      <c r="A7492" s="38"/>
      <c r="J7492" s="31">
        <v>43</v>
      </c>
      <c r="K7492" s="33" t="s">
        <v>115</v>
      </c>
      <c r="L7492" s="31" t="str">
        <f t="shared" si="724"/>
        <v>Empat Puluh Tiga</v>
      </c>
    </row>
    <row r="7493" spans="1:12">
      <c r="J7493" s="31">
        <v>44</v>
      </c>
      <c r="K7493" s="33" t="s">
        <v>116</v>
      </c>
      <c r="L7493" s="31" t="str">
        <f t="shared" si="724"/>
        <v>Empat Puluh Empat</v>
      </c>
    </row>
    <row r="7494" spans="1:12">
      <c r="J7494" s="31">
        <v>45</v>
      </c>
      <c r="K7494" s="33" t="s">
        <v>117</v>
      </c>
      <c r="L7494" s="31" t="str">
        <f t="shared" si="724"/>
        <v>Empat Puluh Lima</v>
      </c>
    </row>
    <row r="7495" spans="1:12">
      <c r="J7495" s="31">
        <v>46</v>
      </c>
      <c r="K7495" s="33" t="s">
        <v>118</v>
      </c>
      <c r="L7495" s="31" t="str">
        <f t="shared" si="724"/>
        <v>Empat Puluh Enam</v>
      </c>
    </row>
    <row r="7496" spans="1:12">
      <c r="J7496" s="31">
        <v>47</v>
      </c>
      <c r="K7496" s="33" t="s">
        <v>119</v>
      </c>
      <c r="L7496" s="31" t="str">
        <f t="shared" si="724"/>
        <v>Empat Puluh Tujuh</v>
      </c>
    </row>
    <row r="7497" spans="1:12">
      <c r="J7497" s="31">
        <v>48</v>
      </c>
      <c r="K7497" s="33" t="s">
        <v>120</v>
      </c>
      <c r="L7497" s="31" t="str">
        <f t="shared" si="724"/>
        <v>Empat Puluh Delapan</v>
      </c>
    </row>
    <row r="7498" spans="1:12">
      <c r="J7498" s="31">
        <v>49</v>
      </c>
      <c r="K7498" s="33" t="s">
        <v>121</v>
      </c>
      <c r="L7498" s="31" t="str">
        <f t="shared" si="724"/>
        <v>Empat Puluh Sembilan</v>
      </c>
    </row>
    <row r="7499" spans="1:12">
      <c r="J7499" s="31">
        <v>50</v>
      </c>
      <c r="K7499" s="33" t="s">
        <v>122</v>
      </c>
      <c r="L7499" s="31" t="s">
        <v>123</v>
      </c>
    </row>
    <row r="7500" spans="1:12">
      <c r="J7500" s="31">
        <v>51</v>
      </c>
      <c r="K7500" s="33" t="s">
        <v>124</v>
      </c>
      <c r="L7500" s="31" t="str">
        <f t="shared" ref="L7500:L7508" si="725">$L$53&amp;" "&amp;L7450</f>
        <v>Lima Puluh Satu</v>
      </c>
    </row>
    <row r="7501" spans="1:12">
      <c r="J7501" s="31">
        <v>52</v>
      </c>
      <c r="K7501" s="33" t="s">
        <v>125</v>
      </c>
      <c r="L7501" s="31" t="str">
        <f t="shared" si="725"/>
        <v>Lima Puluh Dua</v>
      </c>
    </row>
    <row r="7502" spans="1:12">
      <c r="J7502" s="31">
        <v>53</v>
      </c>
      <c r="K7502" s="33" t="s">
        <v>126</v>
      </c>
      <c r="L7502" s="31" t="str">
        <f t="shared" si="725"/>
        <v>Lima Puluh Tiga</v>
      </c>
    </row>
    <row r="7503" spans="1:12">
      <c r="J7503" s="31">
        <v>54</v>
      </c>
      <c r="K7503" s="33" t="s">
        <v>127</v>
      </c>
      <c r="L7503" s="31" t="str">
        <f t="shared" si="725"/>
        <v>Lima Puluh Empat</v>
      </c>
    </row>
    <row r="7504" spans="1:12">
      <c r="J7504" s="31">
        <v>55</v>
      </c>
      <c r="K7504" s="33" t="s">
        <v>128</v>
      </c>
      <c r="L7504" s="31" t="str">
        <f t="shared" si="725"/>
        <v>Lima Puluh Lima</v>
      </c>
    </row>
    <row r="7505" spans="10:12">
      <c r="J7505" s="31">
        <v>56</v>
      </c>
      <c r="K7505" s="33" t="s">
        <v>129</v>
      </c>
      <c r="L7505" s="31" t="str">
        <f t="shared" si="725"/>
        <v>Lima Puluh Enam</v>
      </c>
    </row>
    <row r="7506" spans="10:12">
      <c r="J7506" s="31">
        <v>57</v>
      </c>
      <c r="K7506" s="33" t="s">
        <v>130</v>
      </c>
      <c r="L7506" s="31" t="str">
        <f t="shared" si="725"/>
        <v>Lima Puluh Tujuh</v>
      </c>
    </row>
    <row r="7507" spans="10:12">
      <c r="J7507" s="31">
        <v>58</v>
      </c>
      <c r="K7507" s="33" t="s">
        <v>131</v>
      </c>
      <c r="L7507" s="31" t="str">
        <f t="shared" si="725"/>
        <v>Lima Puluh Delapan</v>
      </c>
    </row>
    <row r="7508" spans="10:12">
      <c r="J7508" s="31">
        <v>59</v>
      </c>
      <c r="K7508" s="33" t="s">
        <v>132</v>
      </c>
      <c r="L7508" s="31" t="str">
        <f t="shared" si="725"/>
        <v>Lima Puluh Sembilan</v>
      </c>
    </row>
    <row r="7509" spans="10:12">
      <c r="J7509" s="31">
        <v>60</v>
      </c>
      <c r="K7509" s="33" t="s">
        <v>133</v>
      </c>
      <c r="L7509" s="31" t="s">
        <v>134</v>
      </c>
    </row>
    <row r="7510" spans="10:12">
      <c r="J7510" s="31">
        <v>61</v>
      </c>
      <c r="K7510" s="33" t="s">
        <v>135</v>
      </c>
      <c r="L7510" s="31" t="str">
        <f t="shared" ref="L7510:L7518" si="726">$L$63&amp;" "&amp;L7450</f>
        <v>Enam Puluh Satu</v>
      </c>
    </row>
    <row r="7511" spans="10:12">
      <c r="J7511" s="31">
        <v>62</v>
      </c>
      <c r="K7511" s="33" t="s">
        <v>136</v>
      </c>
      <c r="L7511" s="31" t="str">
        <f t="shared" si="726"/>
        <v>Enam Puluh Dua</v>
      </c>
    </row>
    <row r="7512" spans="10:12">
      <c r="J7512" s="31">
        <v>63</v>
      </c>
      <c r="K7512" s="33" t="s">
        <v>137</v>
      </c>
      <c r="L7512" s="31" t="str">
        <f t="shared" si="726"/>
        <v>Enam Puluh Tiga</v>
      </c>
    </row>
    <row r="7513" spans="10:12">
      <c r="J7513" s="31">
        <v>64</v>
      </c>
      <c r="K7513" s="33" t="s">
        <v>138</v>
      </c>
      <c r="L7513" s="31" t="str">
        <f t="shared" si="726"/>
        <v>Enam Puluh Empat</v>
      </c>
    </row>
    <row r="7514" spans="10:12">
      <c r="J7514" s="31">
        <v>65</v>
      </c>
      <c r="K7514" s="33" t="s">
        <v>139</v>
      </c>
      <c r="L7514" s="31" t="str">
        <f t="shared" si="726"/>
        <v>Enam Puluh Lima</v>
      </c>
    </row>
    <row r="7515" spans="10:12">
      <c r="J7515" s="31">
        <v>66</v>
      </c>
      <c r="K7515" s="33" t="s">
        <v>140</v>
      </c>
      <c r="L7515" s="31" t="str">
        <f t="shared" si="726"/>
        <v>Enam Puluh Enam</v>
      </c>
    </row>
    <row r="7516" spans="10:12">
      <c r="J7516" s="31">
        <v>67</v>
      </c>
      <c r="K7516" s="33" t="s">
        <v>141</v>
      </c>
      <c r="L7516" s="31" t="str">
        <f t="shared" si="726"/>
        <v>Enam Puluh Tujuh</v>
      </c>
    </row>
    <row r="7517" spans="10:12">
      <c r="J7517" s="31">
        <v>68</v>
      </c>
      <c r="K7517" s="33" t="s">
        <v>142</v>
      </c>
      <c r="L7517" s="31" t="str">
        <f t="shared" si="726"/>
        <v>Enam Puluh Delapan</v>
      </c>
    </row>
    <row r="7518" spans="10:12">
      <c r="J7518" s="31">
        <v>69</v>
      </c>
      <c r="K7518" s="33" t="s">
        <v>143</v>
      </c>
      <c r="L7518" s="31" t="str">
        <f t="shared" si="726"/>
        <v>Enam Puluh Sembilan</v>
      </c>
    </row>
    <row r="7519" spans="10:12">
      <c r="J7519" s="31">
        <v>70</v>
      </c>
      <c r="K7519" s="33" t="s">
        <v>144</v>
      </c>
      <c r="L7519" s="31" t="s">
        <v>145</v>
      </c>
    </row>
    <row r="7520" spans="10:12">
      <c r="J7520" s="31">
        <v>71</v>
      </c>
      <c r="K7520" s="33" t="s">
        <v>146</v>
      </c>
      <c r="L7520" s="31" t="str">
        <f t="shared" ref="L7520:L7528" si="727">$L$73&amp;" "&amp;L7450</f>
        <v>Tujuh Puluh Satu</v>
      </c>
    </row>
    <row r="7521" spans="10:12">
      <c r="J7521" s="31">
        <v>72</v>
      </c>
      <c r="K7521" s="33" t="s">
        <v>147</v>
      </c>
      <c r="L7521" s="31" t="str">
        <f t="shared" si="727"/>
        <v>Tujuh Puluh Dua</v>
      </c>
    </row>
    <row r="7522" spans="10:12">
      <c r="J7522" s="31">
        <v>73</v>
      </c>
      <c r="K7522" s="33" t="s">
        <v>148</v>
      </c>
      <c r="L7522" s="31" t="str">
        <f t="shared" si="727"/>
        <v>Tujuh Puluh Tiga</v>
      </c>
    </row>
    <row r="7523" spans="10:12">
      <c r="J7523" s="31">
        <v>74</v>
      </c>
      <c r="K7523" s="33" t="s">
        <v>149</v>
      </c>
      <c r="L7523" s="31" t="str">
        <f t="shared" si="727"/>
        <v>Tujuh Puluh Empat</v>
      </c>
    </row>
    <row r="7524" spans="10:12">
      <c r="J7524" s="31">
        <v>75</v>
      </c>
      <c r="K7524" s="33" t="s">
        <v>150</v>
      </c>
      <c r="L7524" s="31" t="str">
        <f t="shared" si="727"/>
        <v>Tujuh Puluh Lima</v>
      </c>
    </row>
    <row r="7525" spans="10:12">
      <c r="J7525" s="31">
        <v>76</v>
      </c>
      <c r="K7525" s="33" t="s">
        <v>151</v>
      </c>
      <c r="L7525" s="31" t="str">
        <f t="shared" si="727"/>
        <v>Tujuh Puluh Enam</v>
      </c>
    </row>
    <row r="7526" spans="10:12">
      <c r="J7526" s="31">
        <v>77</v>
      </c>
      <c r="K7526" s="33" t="s">
        <v>152</v>
      </c>
      <c r="L7526" s="31" t="str">
        <f t="shared" si="727"/>
        <v>Tujuh Puluh Tujuh</v>
      </c>
    </row>
    <row r="7527" spans="10:12">
      <c r="J7527" s="31">
        <v>78</v>
      </c>
      <c r="K7527" s="33" t="s">
        <v>153</v>
      </c>
      <c r="L7527" s="31" t="str">
        <f t="shared" si="727"/>
        <v>Tujuh Puluh Delapan</v>
      </c>
    </row>
    <row r="7528" spans="10:12">
      <c r="J7528" s="31">
        <v>79</v>
      </c>
      <c r="K7528" s="33" t="s">
        <v>154</v>
      </c>
      <c r="L7528" s="31" t="str">
        <f t="shared" si="727"/>
        <v>Tujuh Puluh Sembilan</v>
      </c>
    </row>
    <row r="7529" spans="10:12">
      <c r="J7529" s="31">
        <v>80</v>
      </c>
      <c r="K7529" s="33" t="s">
        <v>155</v>
      </c>
      <c r="L7529" s="31" t="s">
        <v>156</v>
      </c>
    </row>
    <row r="7530" spans="10:12">
      <c r="J7530" s="31">
        <v>81</v>
      </c>
      <c r="K7530" s="33" t="s">
        <v>157</v>
      </c>
      <c r="L7530" s="31" t="str">
        <f t="shared" ref="L7530:L7538" si="728">$L$83&amp;" "&amp;L7450</f>
        <v>Delapan Puluh Satu</v>
      </c>
    </row>
    <row r="7531" spans="10:12">
      <c r="J7531" s="31">
        <v>82</v>
      </c>
      <c r="K7531" s="33" t="s">
        <v>158</v>
      </c>
      <c r="L7531" s="31" t="str">
        <f t="shared" si="728"/>
        <v>Delapan Puluh Dua</v>
      </c>
    </row>
    <row r="7532" spans="10:12">
      <c r="J7532" s="31">
        <v>83</v>
      </c>
      <c r="K7532" s="33" t="s">
        <v>159</v>
      </c>
      <c r="L7532" s="31" t="str">
        <f t="shared" si="728"/>
        <v>Delapan Puluh Tiga</v>
      </c>
    </row>
    <row r="7533" spans="10:12">
      <c r="J7533" s="31">
        <v>84</v>
      </c>
      <c r="K7533" s="33" t="s">
        <v>160</v>
      </c>
      <c r="L7533" s="31" t="str">
        <f t="shared" si="728"/>
        <v>Delapan Puluh Empat</v>
      </c>
    </row>
    <row r="7534" spans="10:12">
      <c r="J7534" s="31">
        <v>85</v>
      </c>
      <c r="K7534" s="33" t="s">
        <v>161</v>
      </c>
      <c r="L7534" s="31" t="str">
        <f t="shared" si="728"/>
        <v>Delapan Puluh Lima</v>
      </c>
    </row>
    <row r="7535" spans="10:12">
      <c r="J7535" s="31">
        <v>86</v>
      </c>
      <c r="K7535" s="33" t="s">
        <v>162</v>
      </c>
      <c r="L7535" s="31" t="str">
        <f t="shared" si="728"/>
        <v>Delapan Puluh Enam</v>
      </c>
    </row>
    <row r="7536" spans="10:12">
      <c r="J7536" s="31">
        <v>87</v>
      </c>
      <c r="K7536" s="33" t="s">
        <v>163</v>
      </c>
      <c r="L7536" s="31" t="str">
        <f t="shared" si="728"/>
        <v>Delapan Puluh Tujuh</v>
      </c>
    </row>
    <row r="7537" spans="1:12">
      <c r="J7537" s="31">
        <v>88</v>
      </c>
      <c r="K7537" s="33" t="s">
        <v>164</v>
      </c>
      <c r="L7537" s="31" t="str">
        <f t="shared" si="728"/>
        <v>Delapan Puluh Delapan</v>
      </c>
    </row>
    <row r="7538" spans="1:12">
      <c r="J7538" s="31">
        <v>89</v>
      </c>
      <c r="K7538" s="33" t="s">
        <v>165</v>
      </c>
      <c r="L7538" s="31" t="str">
        <f t="shared" si="728"/>
        <v>Delapan Puluh Sembilan</v>
      </c>
    </row>
    <row r="7539" spans="1:12">
      <c r="J7539" s="31">
        <v>90</v>
      </c>
      <c r="K7539" s="33" t="s">
        <v>166</v>
      </c>
      <c r="L7539" s="31" t="s">
        <v>167</v>
      </c>
    </row>
    <row r="7540" spans="1:12">
      <c r="J7540" s="31">
        <v>91</v>
      </c>
      <c r="K7540" s="33" t="s">
        <v>168</v>
      </c>
      <c r="L7540" s="31" t="str">
        <f t="shared" ref="L7540:L7548" si="729">$L$93&amp;" "&amp;L7450</f>
        <v>Sembilan Puluh Satu</v>
      </c>
    </row>
    <row r="7541" spans="1:12">
      <c r="J7541" s="31">
        <v>92</v>
      </c>
      <c r="K7541" s="33" t="s">
        <v>169</v>
      </c>
      <c r="L7541" s="31" t="str">
        <f t="shared" si="729"/>
        <v>Sembilan Puluh Dua</v>
      </c>
    </row>
    <row r="7542" spans="1:12">
      <c r="J7542" s="31">
        <v>93</v>
      </c>
      <c r="K7542" s="33" t="s">
        <v>170</v>
      </c>
      <c r="L7542" s="31" t="str">
        <f t="shared" si="729"/>
        <v>Sembilan Puluh Tiga</v>
      </c>
    </row>
    <row r="7543" spans="1:12">
      <c r="J7543" s="31">
        <v>94</v>
      </c>
      <c r="K7543" s="33" t="s">
        <v>171</v>
      </c>
      <c r="L7543" s="31" t="str">
        <f t="shared" si="729"/>
        <v>Sembilan Puluh Empat</v>
      </c>
    </row>
    <row r="7544" spans="1:12">
      <c r="J7544" s="31">
        <v>95</v>
      </c>
      <c r="K7544" s="33" t="s">
        <v>172</v>
      </c>
      <c r="L7544" s="31" t="str">
        <f t="shared" si="729"/>
        <v>Sembilan Puluh Lima</v>
      </c>
    </row>
    <row r="7545" spans="1:12">
      <c r="J7545" s="31">
        <v>96</v>
      </c>
      <c r="K7545" s="33" t="s">
        <v>173</v>
      </c>
      <c r="L7545" s="31" t="str">
        <f t="shared" si="729"/>
        <v>Sembilan Puluh Enam</v>
      </c>
    </row>
    <row r="7546" spans="1:12">
      <c r="J7546" s="31">
        <v>97</v>
      </c>
      <c r="K7546" s="33" t="s">
        <v>174</v>
      </c>
      <c r="L7546" s="31" t="str">
        <f t="shared" si="729"/>
        <v>Sembilan Puluh Tujuh</v>
      </c>
    </row>
    <row r="7547" spans="1:12">
      <c r="J7547" s="31">
        <v>98</v>
      </c>
      <c r="K7547" s="33" t="s">
        <v>175</v>
      </c>
      <c r="L7547" s="31" t="str">
        <f t="shared" si="729"/>
        <v>Sembilan Puluh Delapan</v>
      </c>
    </row>
    <row r="7548" spans="1:12">
      <c r="J7548" s="31">
        <v>99</v>
      </c>
      <c r="K7548" s="33" t="s">
        <v>176</v>
      </c>
      <c r="L7548" s="31" t="str">
        <f t="shared" si="729"/>
        <v>Sembilan Puluh Sembilan</v>
      </c>
    </row>
    <row r="7551" spans="1:12">
      <c r="A7551" s="30" t="e">
        <f>#REF!</f>
        <v>#REF!</v>
      </c>
      <c r="C7551" s="31" t="s">
        <v>272</v>
      </c>
    </row>
    <row r="7552" spans="1:12">
      <c r="A7552" s="32"/>
    </row>
    <row r="7553" spans="1:12">
      <c r="J7553" s="31">
        <v>0</v>
      </c>
      <c r="K7553" s="33" t="s">
        <v>48</v>
      </c>
      <c r="L7553" s="31" t="s">
        <v>49</v>
      </c>
    </row>
    <row r="7554" spans="1:12">
      <c r="A7554" s="34"/>
      <c r="J7554" s="31">
        <v>1</v>
      </c>
      <c r="K7554" s="33" t="s">
        <v>50</v>
      </c>
      <c r="L7554" s="31" t="s">
        <v>51</v>
      </c>
    </row>
    <row r="7555" spans="1:12">
      <c r="A7555" s="255" t="e">
        <f>TRIM(D7563&amp;E7563&amp;D7564&amp;E7564&amp;D7565&amp;E7565&amp;D7566&amp;E7566&amp;D7567&amp;E7567&amp;D7568&amp;E7568&amp;E7569&amp;D7569&amp;" Only")</f>
        <v>#REF!</v>
      </c>
      <c r="B7555" s="255"/>
      <c r="C7555" s="255"/>
      <c r="D7555" s="255"/>
      <c r="E7555" s="35"/>
      <c r="F7555" s="36"/>
      <c r="J7555" s="31">
        <v>2</v>
      </c>
      <c r="K7555" s="33" t="s">
        <v>52</v>
      </c>
      <c r="L7555" s="31" t="s">
        <v>53</v>
      </c>
    </row>
    <row r="7556" spans="1:12">
      <c r="A7556" s="37"/>
      <c r="B7556" s="37"/>
      <c r="C7556" s="37"/>
      <c r="D7556" s="37"/>
      <c r="E7556" s="35"/>
      <c r="F7556" s="36"/>
      <c r="J7556" s="31">
        <v>3</v>
      </c>
      <c r="K7556" s="33" t="s">
        <v>54</v>
      </c>
      <c r="L7556" s="31" t="s">
        <v>55</v>
      </c>
    </row>
    <row r="7557" spans="1:12">
      <c r="A7557" s="37"/>
      <c r="B7557" s="37"/>
      <c r="C7557" s="37"/>
      <c r="D7557" s="37"/>
      <c r="J7557" s="31">
        <v>4</v>
      </c>
      <c r="K7557" s="33" t="s">
        <v>56</v>
      </c>
      <c r="L7557" s="31" t="s">
        <v>57</v>
      </c>
    </row>
    <row r="7558" spans="1:12">
      <c r="A7558" s="255" t="e">
        <f>TRIM(D7573&amp;E7573&amp;D7574&amp;E7574&amp;D7575&amp;E7575&amp;D7576&amp;E7576&amp;D7577&amp;E7577&amp;D7578&amp;E7578&amp;D7579&amp;E7579&amp;" Rupiah")</f>
        <v>#REF!</v>
      </c>
      <c r="B7558" s="255"/>
      <c r="C7558" s="255"/>
      <c r="D7558" s="255"/>
      <c r="E7558" s="35"/>
      <c r="F7558" s="36"/>
      <c r="J7558" s="31">
        <v>5</v>
      </c>
      <c r="K7558" s="33" t="s">
        <v>58</v>
      </c>
      <c r="L7558" s="31" t="s">
        <v>59</v>
      </c>
    </row>
    <row r="7559" spans="1:12">
      <c r="A7559" s="35"/>
      <c r="B7559" s="35"/>
      <c r="C7559" s="35"/>
      <c r="D7559" s="35"/>
      <c r="E7559" s="35"/>
      <c r="F7559" s="36"/>
      <c r="J7559" s="31">
        <v>6</v>
      </c>
      <c r="K7559" s="33" t="s">
        <v>60</v>
      </c>
      <c r="L7559" s="31" t="s">
        <v>61</v>
      </c>
    </row>
    <row r="7560" spans="1:12">
      <c r="J7560" s="31">
        <v>7</v>
      </c>
      <c r="K7560" s="33" t="s">
        <v>62</v>
      </c>
      <c r="L7560" s="31" t="s">
        <v>63</v>
      </c>
    </row>
    <row r="7561" spans="1:12">
      <c r="J7561" s="31">
        <v>8</v>
      </c>
      <c r="K7561" s="33" t="s">
        <v>64</v>
      </c>
      <c r="L7561" s="31" t="s">
        <v>65</v>
      </c>
    </row>
    <row r="7562" spans="1:12">
      <c r="A7562" s="38" t="s">
        <v>66</v>
      </c>
      <c r="J7562" s="31">
        <v>9</v>
      </c>
      <c r="K7562" s="33" t="s">
        <v>67</v>
      </c>
      <c r="L7562" s="31" t="s">
        <v>68</v>
      </c>
    </row>
    <row r="7563" spans="1:12">
      <c r="A7563" s="31" t="s">
        <v>69</v>
      </c>
      <c r="B7563" s="39" t="e">
        <f>TRUNC(A7551/100000000)</f>
        <v>#REF!</v>
      </c>
      <c r="C7563" s="31" t="e">
        <f>B7563*100000000</f>
        <v>#REF!</v>
      </c>
      <c r="D7563" s="31" t="e">
        <f t="shared" ref="D7563:D7569" si="730">IF(B7563&lt;1,"",VLOOKUP(B7563,$J$3:$K$102,2))</f>
        <v>#REF!</v>
      </c>
      <c r="E7563" s="31" t="e">
        <f>IF(B7563&lt;1,"",IF(B7563&gt;1," Hundreds "," Hundred "))</f>
        <v>#REF!</v>
      </c>
      <c r="J7563" s="31">
        <v>10</v>
      </c>
      <c r="K7563" s="33" t="s">
        <v>70</v>
      </c>
      <c r="L7563" s="31" t="s">
        <v>71</v>
      </c>
    </row>
    <row r="7564" spans="1:12">
      <c r="A7564" s="31" t="s">
        <v>72</v>
      </c>
      <c r="B7564" s="39" t="e">
        <f>TRUNC((A7551-C7563)/1000000)</f>
        <v>#REF!</v>
      </c>
      <c r="C7564" s="31" t="e">
        <f>B7564*1000000</f>
        <v>#REF!</v>
      </c>
      <c r="D7564" s="31" t="e">
        <f t="shared" si="730"/>
        <v>#REF!</v>
      </c>
      <c r="E7564" s="31" t="e">
        <f>IF(B7563+B7564=0,"",IF(B7564=1," Million "," Millions "))</f>
        <v>#REF!</v>
      </c>
      <c r="J7564" s="31">
        <v>11</v>
      </c>
      <c r="K7564" s="33" t="s">
        <v>73</v>
      </c>
      <c r="L7564" s="31" t="s">
        <v>74</v>
      </c>
    </row>
    <row r="7565" spans="1:12">
      <c r="A7565" s="31" t="s">
        <v>75</v>
      </c>
      <c r="B7565" s="39" t="e">
        <f>TRUNC((A7551-SUM(C7563:C7564))/100000)</f>
        <v>#REF!</v>
      </c>
      <c r="C7565" s="31" t="e">
        <f>B7565*100000</f>
        <v>#REF!</v>
      </c>
      <c r="D7565" s="31" t="e">
        <f t="shared" si="730"/>
        <v>#REF!</v>
      </c>
      <c r="E7565" s="31" t="e">
        <f>IF(B7565&lt;1,"",IF(B7565&gt;1," Hundreds "," Hundred "))</f>
        <v>#REF!</v>
      </c>
      <c r="J7565" s="31">
        <v>12</v>
      </c>
      <c r="K7565" s="33" t="s">
        <v>76</v>
      </c>
      <c r="L7565" s="31" t="str">
        <f t="shared" ref="L7565:L7572" si="731">L7555&amp;" Belas"</f>
        <v>Dua Belas</v>
      </c>
    </row>
    <row r="7566" spans="1:12">
      <c r="A7566" s="33" t="s">
        <v>77</v>
      </c>
      <c r="B7566" s="40" t="e">
        <f>TRUNC((A7551-SUM(C7563:C7565))/1000)</f>
        <v>#REF!</v>
      </c>
      <c r="C7566" s="31" t="e">
        <f>B7566*1000</f>
        <v>#REF!</v>
      </c>
      <c r="D7566" s="31" t="e">
        <f t="shared" si="730"/>
        <v>#REF!</v>
      </c>
      <c r="E7566" s="31" t="e">
        <f>IF(B7565+B7566=0,"",IF(B7566=1," Thousand "," Thousands "))</f>
        <v>#REF!</v>
      </c>
      <c r="J7566" s="31">
        <v>13</v>
      </c>
      <c r="K7566" s="33" t="s">
        <v>78</v>
      </c>
      <c r="L7566" s="31" t="str">
        <f t="shared" si="731"/>
        <v>Tiga Belas</v>
      </c>
    </row>
    <row r="7567" spans="1:12">
      <c r="A7567" s="33" t="s">
        <v>79</v>
      </c>
      <c r="B7567" s="40" t="e">
        <f>TRUNC((A7551-SUM(C7563:C7566))/100)</f>
        <v>#REF!</v>
      </c>
      <c r="C7567" s="31" t="e">
        <f>B7567*100</f>
        <v>#REF!</v>
      </c>
      <c r="D7567" s="31" t="e">
        <f t="shared" si="730"/>
        <v>#REF!</v>
      </c>
      <c r="E7567" s="31" t="e">
        <f>IF(B7567&lt;1,"",IF(B7567&gt;1," Hundreds "," Hundred "))</f>
        <v>#REF!</v>
      </c>
      <c r="J7567" s="31">
        <v>14</v>
      </c>
      <c r="K7567" s="33" t="s">
        <v>80</v>
      </c>
      <c r="L7567" s="31" t="str">
        <f t="shared" si="731"/>
        <v>Empat Belas</v>
      </c>
    </row>
    <row r="7568" spans="1:12">
      <c r="A7568" s="33" t="s">
        <v>81</v>
      </c>
      <c r="B7568" s="41" t="e">
        <f>TRUNC((A7551-SUM(C7563:C7567)))</f>
        <v>#REF!</v>
      </c>
      <c r="C7568" s="42" t="e">
        <f>B7568</f>
        <v>#REF!</v>
      </c>
      <c r="D7568" s="31" t="e">
        <f t="shared" si="730"/>
        <v>#REF!</v>
      </c>
      <c r="E7568" s="31" t="e">
        <f>IF(SUM(C7563:C7568)&lt;1,"",IF(B7569&lt;1,""," And "))</f>
        <v>#REF!</v>
      </c>
      <c r="J7568" s="31">
        <v>15</v>
      </c>
      <c r="K7568" s="33" t="s">
        <v>82</v>
      </c>
      <c r="L7568" s="31" t="str">
        <f t="shared" si="731"/>
        <v>Lima Belas</v>
      </c>
    </row>
    <row r="7569" spans="1:12">
      <c r="A7569" s="33" t="s">
        <v>83</v>
      </c>
      <c r="B7569" s="40" t="e">
        <f>ROUND(A7551-SUM(C7563:C7568),2)*100</f>
        <v>#REF!</v>
      </c>
      <c r="D7569" s="43" t="e">
        <f t="shared" si="730"/>
        <v>#REF!</v>
      </c>
      <c r="E7569" s="31" t="e">
        <f>IF(B7569&lt;1,"",IF(B7569=1," Cent "," Cents "))</f>
        <v>#REF!</v>
      </c>
      <c r="J7569" s="31">
        <v>16</v>
      </c>
      <c r="K7569" s="33" t="s">
        <v>84</v>
      </c>
      <c r="L7569" s="31" t="str">
        <f t="shared" si="731"/>
        <v>Enam Belas</v>
      </c>
    </row>
    <row r="7570" spans="1:12">
      <c r="J7570" s="31">
        <v>17</v>
      </c>
      <c r="K7570" s="33" t="s">
        <v>85</v>
      </c>
      <c r="L7570" s="31" t="str">
        <f t="shared" si="731"/>
        <v>Tujuh Belas</v>
      </c>
    </row>
    <row r="7571" spans="1:12">
      <c r="A7571" s="44"/>
      <c r="J7571" s="31">
        <v>18</v>
      </c>
      <c r="K7571" s="33" t="s">
        <v>86</v>
      </c>
      <c r="L7571" s="31" t="str">
        <f t="shared" si="731"/>
        <v>Delapan Belas</v>
      </c>
    </row>
    <row r="7572" spans="1:12">
      <c r="A7572" s="38" t="s">
        <v>87</v>
      </c>
      <c r="J7572" s="31">
        <v>19</v>
      </c>
      <c r="K7572" s="33" t="s">
        <v>88</v>
      </c>
      <c r="L7572" s="31" t="str">
        <f t="shared" si="731"/>
        <v>Sembilan Belas</v>
      </c>
    </row>
    <row r="7573" spans="1:12">
      <c r="A7573" s="31" t="s">
        <v>69</v>
      </c>
      <c r="B7573" s="39" t="e">
        <f>TRUNC(A7551/100000000)</f>
        <v>#REF!</v>
      </c>
      <c r="C7573" s="31" t="e">
        <f>B7573*100000000</f>
        <v>#REF!</v>
      </c>
      <c r="D7573" s="31" t="e">
        <f>IF(B7573&lt;1,"",IF(B7573=1,"",VLOOKUP(B7573,$J$3:$L$102,3)))</f>
        <v>#REF!</v>
      </c>
      <c r="E7573" s="31" t="e">
        <f>IF(B7573&lt;1,"",IF(B7573=1,"Seratus "," Ratus "))</f>
        <v>#REF!</v>
      </c>
      <c r="J7573" s="31">
        <v>20</v>
      </c>
      <c r="K7573" s="33" t="s">
        <v>89</v>
      </c>
      <c r="L7573" s="31" t="s">
        <v>90</v>
      </c>
    </row>
    <row r="7574" spans="1:12">
      <c r="A7574" s="31" t="s">
        <v>72</v>
      </c>
      <c r="B7574" s="39" t="e">
        <f>TRUNC((A7551-C7573)/1000000)</f>
        <v>#REF!</v>
      </c>
      <c r="C7574" s="31" t="e">
        <f>B7574*1000000</f>
        <v>#REF!</v>
      </c>
      <c r="D7574" s="31" t="e">
        <f>IF(B7574&lt;1,"",VLOOKUP(B7574,$J$3:$L$102,3))</f>
        <v>#REF!</v>
      </c>
      <c r="E7574" s="31" t="e">
        <f>IF(B7573+B7574=0,""," Juta ")</f>
        <v>#REF!</v>
      </c>
      <c r="J7574" s="31">
        <v>21</v>
      </c>
      <c r="K7574" s="33" t="s">
        <v>91</v>
      </c>
      <c r="L7574" s="31" t="str">
        <f t="shared" ref="L7574:L7582" si="732">$L$23&amp;" "&amp;L7554</f>
        <v>Dua Puluh Satu</v>
      </c>
    </row>
    <row r="7575" spans="1:12">
      <c r="A7575" s="31" t="s">
        <v>75</v>
      </c>
      <c r="B7575" s="39" t="e">
        <f>TRUNC((A7551-SUM(C7573:C7574))/100000)</f>
        <v>#REF!</v>
      </c>
      <c r="C7575" s="31" t="e">
        <f>B7575*100000</f>
        <v>#REF!</v>
      </c>
      <c r="D7575" s="31" t="e">
        <f>IF(B7575&lt;1,"",IF(B7575=1,"",VLOOKUP(B7575,$J$3:$L$102,3)))</f>
        <v>#REF!</v>
      </c>
      <c r="E7575" s="31" t="e">
        <f>IF(B7575&lt;1,"",IF(B7575=1," Seratus "," Ratus "))</f>
        <v>#REF!</v>
      </c>
      <c r="J7575" s="31">
        <v>22</v>
      </c>
      <c r="K7575" s="33" t="s">
        <v>92</v>
      </c>
      <c r="L7575" s="31" t="str">
        <f t="shared" si="732"/>
        <v>Dua Puluh Dua</v>
      </c>
    </row>
    <row r="7576" spans="1:12">
      <c r="A7576" s="33" t="s">
        <v>77</v>
      </c>
      <c r="B7576" s="40" t="e">
        <f>TRUNC((A7551-SUM(C7573:C7575))/1000)</f>
        <v>#REF!</v>
      </c>
      <c r="C7576" s="31" t="e">
        <f>B7576*1000</f>
        <v>#REF!</v>
      </c>
      <c r="D7576" s="31" t="e">
        <f>IF(B7576&lt;1,"",IF(B7576=1,"",VLOOKUP(B7576,$J$3:$L$102,3)))</f>
        <v>#REF!</v>
      </c>
      <c r="E7576" s="31" t="e">
        <f>IF(B7575+B7576&lt;1,"",IF(B7576=1," Seribu "," Ribu "))</f>
        <v>#REF!</v>
      </c>
      <c r="J7576" s="31">
        <v>23</v>
      </c>
      <c r="K7576" s="33" t="s">
        <v>93</v>
      </c>
      <c r="L7576" s="31" t="str">
        <f t="shared" si="732"/>
        <v>Dua Puluh Tiga</v>
      </c>
    </row>
    <row r="7577" spans="1:12">
      <c r="A7577" s="33" t="s">
        <v>79</v>
      </c>
      <c r="B7577" s="40" t="e">
        <f>TRUNC((A7551-SUM(C7573:C7576))/100)</f>
        <v>#REF!</v>
      </c>
      <c r="C7577" s="31" t="e">
        <f>B7577*100</f>
        <v>#REF!</v>
      </c>
      <c r="D7577" s="31" t="e">
        <f>IF(B7577&lt;1,"",IF(B7577=1,"",VLOOKUP(B7577,$J$3:$L$102,3)))</f>
        <v>#REF!</v>
      </c>
      <c r="E7577" s="31" t="e">
        <f>IF(B7577&lt;1,"",IF(B7577=1," Seratus "," Ratus "))</f>
        <v>#REF!</v>
      </c>
      <c r="J7577" s="31">
        <v>24</v>
      </c>
      <c r="K7577" s="33" t="s">
        <v>94</v>
      </c>
      <c r="L7577" s="31" t="str">
        <f t="shared" si="732"/>
        <v>Dua Puluh Empat</v>
      </c>
    </row>
    <row r="7578" spans="1:12">
      <c r="A7578" s="33" t="s">
        <v>81</v>
      </c>
      <c r="B7578" s="41" t="e">
        <f>TRUNC((A7551-SUM(C7573:C7577)))</f>
        <v>#REF!</v>
      </c>
      <c r="C7578" s="42" t="e">
        <f>B7578</f>
        <v>#REF!</v>
      </c>
      <c r="D7578" s="31" t="e">
        <f>IF(B7578&lt;1,"",VLOOKUP(B7578,$J$3:$L$102,3))</f>
        <v>#REF!</v>
      </c>
      <c r="E7578" s="31" t="e">
        <f>IF(SUM(C7573:C7578)&lt;1,"",IF(B7579&lt;1,""," Dan "))</f>
        <v>#REF!</v>
      </c>
      <c r="J7578" s="31">
        <v>25</v>
      </c>
      <c r="K7578" s="33" t="s">
        <v>95</v>
      </c>
      <c r="L7578" s="31" t="str">
        <f t="shared" si="732"/>
        <v>Dua Puluh Lima</v>
      </c>
    </row>
    <row r="7579" spans="1:12">
      <c r="A7579" s="33" t="s">
        <v>83</v>
      </c>
      <c r="B7579" s="40" t="e">
        <f>ROUND(A7551-SUM(C7573:C7578),2)*100</f>
        <v>#REF!</v>
      </c>
      <c r="D7579" s="31" t="e">
        <f>IF(B7579&lt;1,"",VLOOKUP(B7579,$J$3:$L$102,3))</f>
        <v>#REF!</v>
      </c>
      <c r="E7579" s="31" t="e">
        <f>IF(B7579&lt;1,""," Sen ")</f>
        <v>#REF!</v>
      </c>
      <c r="J7579" s="31">
        <v>26</v>
      </c>
      <c r="K7579" s="33" t="s">
        <v>96</v>
      </c>
      <c r="L7579" s="31" t="str">
        <f t="shared" si="732"/>
        <v>Dua Puluh Enam</v>
      </c>
    </row>
    <row r="7580" spans="1:12">
      <c r="J7580" s="31">
        <v>27</v>
      </c>
      <c r="K7580" s="33" t="s">
        <v>97</v>
      </c>
      <c r="L7580" s="31" t="str">
        <f t="shared" si="732"/>
        <v>Dua Puluh Tujuh</v>
      </c>
    </row>
    <row r="7581" spans="1:12">
      <c r="J7581" s="31">
        <v>28</v>
      </c>
      <c r="K7581" s="33" t="s">
        <v>98</v>
      </c>
      <c r="L7581" s="31" t="str">
        <f t="shared" si="732"/>
        <v>Dua Puluh Delapan</v>
      </c>
    </row>
    <row r="7582" spans="1:12">
      <c r="J7582" s="31">
        <v>29</v>
      </c>
      <c r="K7582" s="33" t="s">
        <v>99</v>
      </c>
      <c r="L7582" s="31" t="str">
        <f t="shared" si="732"/>
        <v>Dua Puluh Sembilan</v>
      </c>
    </row>
    <row r="7583" spans="1:12">
      <c r="J7583" s="31">
        <v>30</v>
      </c>
      <c r="K7583" s="33" t="s">
        <v>100</v>
      </c>
      <c r="L7583" s="31" t="s">
        <v>101</v>
      </c>
    </row>
    <row r="7584" spans="1:12">
      <c r="J7584" s="31">
        <v>31</v>
      </c>
      <c r="K7584" s="33" t="s">
        <v>102</v>
      </c>
      <c r="L7584" s="31" t="str">
        <f t="shared" ref="L7584:L7592" si="733">$L$33&amp;" "&amp;L7554</f>
        <v>Tiga Puluh Satu</v>
      </c>
    </row>
    <row r="7585" spans="1:12">
      <c r="J7585" s="31">
        <v>32</v>
      </c>
      <c r="K7585" s="33" t="s">
        <v>103</v>
      </c>
      <c r="L7585" s="31" t="str">
        <f t="shared" si="733"/>
        <v>Tiga Puluh Dua</v>
      </c>
    </row>
    <row r="7586" spans="1:12">
      <c r="J7586" s="31">
        <v>33</v>
      </c>
      <c r="K7586" s="33" t="s">
        <v>104</v>
      </c>
      <c r="L7586" s="31" t="str">
        <f t="shared" si="733"/>
        <v>Tiga Puluh Tiga</v>
      </c>
    </row>
    <row r="7587" spans="1:12">
      <c r="J7587" s="31">
        <v>34</v>
      </c>
      <c r="K7587" s="33" t="s">
        <v>105</v>
      </c>
      <c r="L7587" s="31" t="str">
        <f t="shared" si="733"/>
        <v>Tiga Puluh Empat</v>
      </c>
    </row>
    <row r="7588" spans="1:12">
      <c r="J7588" s="31">
        <v>35</v>
      </c>
      <c r="K7588" s="33" t="s">
        <v>106</v>
      </c>
      <c r="L7588" s="31" t="str">
        <f t="shared" si="733"/>
        <v>Tiga Puluh Lima</v>
      </c>
    </row>
    <row r="7589" spans="1:12">
      <c r="J7589" s="31">
        <v>36</v>
      </c>
      <c r="K7589" s="33" t="s">
        <v>107</v>
      </c>
      <c r="L7589" s="31" t="str">
        <f t="shared" si="733"/>
        <v>Tiga Puluh Enam</v>
      </c>
    </row>
    <row r="7590" spans="1:12">
      <c r="J7590" s="31">
        <v>37</v>
      </c>
      <c r="K7590" s="33" t="s">
        <v>108</v>
      </c>
      <c r="L7590" s="31" t="str">
        <f t="shared" si="733"/>
        <v>Tiga Puluh Tujuh</v>
      </c>
    </row>
    <row r="7591" spans="1:12">
      <c r="J7591" s="31">
        <v>38</v>
      </c>
      <c r="K7591" s="33" t="s">
        <v>109</v>
      </c>
      <c r="L7591" s="31" t="str">
        <f t="shared" si="733"/>
        <v>Tiga Puluh Delapan</v>
      </c>
    </row>
    <row r="7592" spans="1:12">
      <c r="J7592" s="31">
        <v>39</v>
      </c>
      <c r="K7592" s="33" t="s">
        <v>110</v>
      </c>
      <c r="L7592" s="31" t="str">
        <f t="shared" si="733"/>
        <v>Tiga Puluh Sembilan</v>
      </c>
    </row>
    <row r="7593" spans="1:12">
      <c r="B7593" s="35"/>
      <c r="C7593" s="35"/>
      <c r="D7593" s="35"/>
      <c r="J7593" s="31">
        <v>40</v>
      </c>
      <c r="K7593" s="33" t="s">
        <v>111</v>
      </c>
      <c r="L7593" s="31" t="s">
        <v>112</v>
      </c>
    </row>
    <row r="7594" spans="1:12">
      <c r="A7594" s="35"/>
      <c r="B7594" s="35"/>
      <c r="C7594" s="35"/>
      <c r="D7594" s="35"/>
      <c r="J7594" s="31">
        <v>41</v>
      </c>
      <c r="K7594" s="33" t="s">
        <v>113</v>
      </c>
      <c r="L7594" s="31" t="str">
        <f t="shared" ref="L7594:L7602" si="734">$L$43&amp;" "&amp;L7554</f>
        <v>Empat Puluh Satu</v>
      </c>
    </row>
    <row r="7595" spans="1:12">
      <c r="J7595" s="31">
        <v>42</v>
      </c>
      <c r="K7595" s="33" t="s">
        <v>114</v>
      </c>
      <c r="L7595" s="31" t="str">
        <f t="shared" si="734"/>
        <v>Empat Puluh Dua</v>
      </c>
    </row>
    <row r="7596" spans="1:12">
      <c r="A7596" s="38"/>
      <c r="J7596" s="31">
        <v>43</v>
      </c>
      <c r="K7596" s="33" t="s">
        <v>115</v>
      </c>
      <c r="L7596" s="31" t="str">
        <f t="shared" si="734"/>
        <v>Empat Puluh Tiga</v>
      </c>
    </row>
    <row r="7597" spans="1:12">
      <c r="J7597" s="31">
        <v>44</v>
      </c>
      <c r="K7597" s="33" t="s">
        <v>116</v>
      </c>
      <c r="L7597" s="31" t="str">
        <f t="shared" si="734"/>
        <v>Empat Puluh Empat</v>
      </c>
    </row>
    <row r="7598" spans="1:12">
      <c r="J7598" s="31">
        <v>45</v>
      </c>
      <c r="K7598" s="33" t="s">
        <v>117</v>
      </c>
      <c r="L7598" s="31" t="str">
        <f t="shared" si="734"/>
        <v>Empat Puluh Lima</v>
      </c>
    </row>
    <row r="7599" spans="1:12">
      <c r="J7599" s="31">
        <v>46</v>
      </c>
      <c r="K7599" s="33" t="s">
        <v>118</v>
      </c>
      <c r="L7599" s="31" t="str">
        <f t="shared" si="734"/>
        <v>Empat Puluh Enam</v>
      </c>
    </row>
    <row r="7600" spans="1:12">
      <c r="J7600" s="31">
        <v>47</v>
      </c>
      <c r="K7600" s="33" t="s">
        <v>119</v>
      </c>
      <c r="L7600" s="31" t="str">
        <f t="shared" si="734"/>
        <v>Empat Puluh Tujuh</v>
      </c>
    </row>
    <row r="7601" spans="10:12">
      <c r="J7601" s="31">
        <v>48</v>
      </c>
      <c r="K7601" s="33" t="s">
        <v>120</v>
      </c>
      <c r="L7601" s="31" t="str">
        <f t="shared" si="734"/>
        <v>Empat Puluh Delapan</v>
      </c>
    </row>
    <row r="7602" spans="10:12">
      <c r="J7602" s="31">
        <v>49</v>
      </c>
      <c r="K7602" s="33" t="s">
        <v>121</v>
      </c>
      <c r="L7602" s="31" t="str">
        <f t="shared" si="734"/>
        <v>Empat Puluh Sembilan</v>
      </c>
    </row>
    <row r="7603" spans="10:12">
      <c r="J7603" s="31">
        <v>50</v>
      </c>
      <c r="K7603" s="33" t="s">
        <v>122</v>
      </c>
      <c r="L7603" s="31" t="s">
        <v>123</v>
      </c>
    </row>
    <row r="7604" spans="10:12">
      <c r="J7604" s="31">
        <v>51</v>
      </c>
      <c r="K7604" s="33" t="s">
        <v>124</v>
      </c>
      <c r="L7604" s="31" t="str">
        <f t="shared" ref="L7604:L7612" si="735">$L$53&amp;" "&amp;L7554</f>
        <v>Lima Puluh Satu</v>
      </c>
    </row>
    <row r="7605" spans="10:12">
      <c r="J7605" s="31">
        <v>52</v>
      </c>
      <c r="K7605" s="33" t="s">
        <v>125</v>
      </c>
      <c r="L7605" s="31" t="str">
        <f t="shared" si="735"/>
        <v>Lima Puluh Dua</v>
      </c>
    </row>
    <row r="7606" spans="10:12">
      <c r="J7606" s="31">
        <v>53</v>
      </c>
      <c r="K7606" s="33" t="s">
        <v>126</v>
      </c>
      <c r="L7606" s="31" t="str">
        <f t="shared" si="735"/>
        <v>Lima Puluh Tiga</v>
      </c>
    </row>
    <row r="7607" spans="10:12">
      <c r="J7607" s="31">
        <v>54</v>
      </c>
      <c r="K7607" s="33" t="s">
        <v>127</v>
      </c>
      <c r="L7607" s="31" t="str">
        <f t="shared" si="735"/>
        <v>Lima Puluh Empat</v>
      </c>
    </row>
    <row r="7608" spans="10:12">
      <c r="J7608" s="31">
        <v>55</v>
      </c>
      <c r="K7608" s="33" t="s">
        <v>128</v>
      </c>
      <c r="L7608" s="31" t="str">
        <f t="shared" si="735"/>
        <v>Lima Puluh Lima</v>
      </c>
    </row>
    <row r="7609" spans="10:12">
      <c r="J7609" s="31">
        <v>56</v>
      </c>
      <c r="K7609" s="33" t="s">
        <v>129</v>
      </c>
      <c r="L7609" s="31" t="str">
        <f t="shared" si="735"/>
        <v>Lima Puluh Enam</v>
      </c>
    </row>
    <row r="7610" spans="10:12">
      <c r="J7610" s="31">
        <v>57</v>
      </c>
      <c r="K7610" s="33" t="s">
        <v>130</v>
      </c>
      <c r="L7610" s="31" t="str">
        <f t="shared" si="735"/>
        <v>Lima Puluh Tujuh</v>
      </c>
    </row>
    <row r="7611" spans="10:12">
      <c r="J7611" s="31">
        <v>58</v>
      </c>
      <c r="K7611" s="33" t="s">
        <v>131</v>
      </c>
      <c r="L7611" s="31" t="str">
        <f t="shared" si="735"/>
        <v>Lima Puluh Delapan</v>
      </c>
    </row>
    <row r="7612" spans="10:12">
      <c r="J7612" s="31">
        <v>59</v>
      </c>
      <c r="K7612" s="33" t="s">
        <v>132</v>
      </c>
      <c r="L7612" s="31" t="str">
        <f t="shared" si="735"/>
        <v>Lima Puluh Sembilan</v>
      </c>
    </row>
    <row r="7613" spans="10:12">
      <c r="J7613" s="31">
        <v>60</v>
      </c>
      <c r="K7613" s="33" t="s">
        <v>133</v>
      </c>
      <c r="L7613" s="31" t="s">
        <v>134</v>
      </c>
    </row>
    <row r="7614" spans="10:12">
      <c r="J7614" s="31">
        <v>61</v>
      </c>
      <c r="K7614" s="33" t="s">
        <v>135</v>
      </c>
      <c r="L7614" s="31" t="str">
        <f t="shared" ref="L7614:L7622" si="736">$L$63&amp;" "&amp;L7554</f>
        <v>Enam Puluh Satu</v>
      </c>
    </row>
    <row r="7615" spans="10:12">
      <c r="J7615" s="31">
        <v>62</v>
      </c>
      <c r="K7615" s="33" t="s">
        <v>136</v>
      </c>
      <c r="L7615" s="31" t="str">
        <f t="shared" si="736"/>
        <v>Enam Puluh Dua</v>
      </c>
    </row>
    <row r="7616" spans="10:12">
      <c r="J7616" s="31">
        <v>63</v>
      </c>
      <c r="K7616" s="33" t="s">
        <v>137</v>
      </c>
      <c r="L7616" s="31" t="str">
        <f t="shared" si="736"/>
        <v>Enam Puluh Tiga</v>
      </c>
    </row>
    <row r="7617" spans="10:12">
      <c r="J7617" s="31">
        <v>64</v>
      </c>
      <c r="K7617" s="33" t="s">
        <v>138</v>
      </c>
      <c r="L7617" s="31" t="str">
        <f t="shared" si="736"/>
        <v>Enam Puluh Empat</v>
      </c>
    </row>
    <row r="7618" spans="10:12">
      <c r="J7618" s="31">
        <v>65</v>
      </c>
      <c r="K7618" s="33" t="s">
        <v>139</v>
      </c>
      <c r="L7618" s="31" t="str">
        <f t="shared" si="736"/>
        <v>Enam Puluh Lima</v>
      </c>
    </row>
    <row r="7619" spans="10:12">
      <c r="J7619" s="31">
        <v>66</v>
      </c>
      <c r="K7619" s="33" t="s">
        <v>140</v>
      </c>
      <c r="L7619" s="31" t="str">
        <f t="shared" si="736"/>
        <v>Enam Puluh Enam</v>
      </c>
    </row>
    <row r="7620" spans="10:12">
      <c r="J7620" s="31">
        <v>67</v>
      </c>
      <c r="K7620" s="33" t="s">
        <v>141</v>
      </c>
      <c r="L7620" s="31" t="str">
        <f t="shared" si="736"/>
        <v>Enam Puluh Tujuh</v>
      </c>
    </row>
    <row r="7621" spans="10:12">
      <c r="J7621" s="31">
        <v>68</v>
      </c>
      <c r="K7621" s="33" t="s">
        <v>142</v>
      </c>
      <c r="L7621" s="31" t="str">
        <f t="shared" si="736"/>
        <v>Enam Puluh Delapan</v>
      </c>
    </row>
    <row r="7622" spans="10:12">
      <c r="J7622" s="31">
        <v>69</v>
      </c>
      <c r="K7622" s="33" t="s">
        <v>143</v>
      </c>
      <c r="L7622" s="31" t="str">
        <f t="shared" si="736"/>
        <v>Enam Puluh Sembilan</v>
      </c>
    </row>
    <row r="7623" spans="10:12">
      <c r="J7623" s="31">
        <v>70</v>
      </c>
      <c r="K7623" s="33" t="s">
        <v>144</v>
      </c>
      <c r="L7623" s="31" t="s">
        <v>145</v>
      </c>
    </row>
    <row r="7624" spans="10:12">
      <c r="J7624" s="31">
        <v>71</v>
      </c>
      <c r="K7624" s="33" t="s">
        <v>146</v>
      </c>
      <c r="L7624" s="31" t="str">
        <f t="shared" ref="L7624:L7632" si="737">$L$73&amp;" "&amp;L7554</f>
        <v>Tujuh Puluh Satu</v>
      </c>
    </row>
    <row r="7625" spans="10:12">
      <c r="J7625" s="31">
        <v>72</v>
      </c>
      <c r="K7625" s="33" t="s">
        <v>147</v>
      </c>
      <c r="L7625" s="31" t="str">
        <f t="shared" si="737"/>
        <v>Tujuh Puluh Dua</v>
      </c>
    </row>
    <row r="7626" spans="10:12">
      <c r="J7626" s="31">
        <v>73</v>
      </c>
      <c r="K7626" s="33" t="s">
        <v>148</v>
      </c>
      <c r="L7626" s="31" t="str">
        <f t="shared" si="737"/>
        <v>Tujuh Puluh Tiga</v>
      </c>
    </row>
    <row r="7627" spans="10:12">
      <c r="J7627" s="31">
        <v>74</v>
      </c>
      <c r="K7627" s="33" t="s">
        <v>149</v>
      </c>
      <c r="L7627" s="31" t="str">
        <f t="shared" si="737"/>
        <v>Tujuh Puluh Empat</v>
      </c>
    </row>
    <row r="7628" spans="10:12">
      <c r="J7628" s="31">
        <v>75</v>
      </c>
      <c r="K7628" s="33" t="s">
        <v>150</v>
      </c>
      <c r="L7628" s="31" t="str">
        <f t="shared" si="737"/>
        <v>Tujuh Puluh Lima</v>
      </c>
    </row>
    <row r="7629" spans="10:12">
      <c r="J7629" s="31">
        <v>76</v>
      </c>
      <c r="K7629" s="33" t="s">
        <v>151</v>
      </c>
      <c r="L7629" s="31" t="str">
        <f t="shared" si="737"/>
        <v>Tujuh Puluh Enam</v>
      </c>
    </row>
    <row r="7630" spans="10:12">
      <c r="J7630" s="31">
        <v>77</v>
      </c>
      <c r="K7630" s="33" t="s">
        <v>152</v>
      </c>
      <c r="L7630" s="31" t="str">
        <f t="shared" si="737"/>
        <v>Tujuh Puluh Tujuh</v>
      </c>
    </row>
    <row r="7631" spans="10:12">
      <c r="J7631" s="31">
        <v>78</v>
      </c>
      <c r="K7631" s="33" t="s">
        <v>153</v>
      </c>
      <c r="L7631" s="31" t="str">
        <f t="shared" si="737"/>
        <v>Tujuh Puluh Delapan</v>
      </c>
    </row>
    <row r="7632" spans="10:12">
      <c r="J7632" s="31">
        <v>79</v>
      </c>
      <c r="K7632" s="33" t="s">
        <v>154</v>
      </c>
      <c r="L7632" s="31" t="str">
        <f t="shared" si="737"/>
        <v>Tujuh Puluh Sembilan</v>
      </c>
    </row>
    <row r="7633" spans="10:12">
      <c r="J7633" s="31">
        <v>80</v>
      </c>
      <c r="K7633" s="33" t="s">
        <v>155</v>
      </c>
      <c r="L7633" s="31" t="s">
        <v>156</v>
      </c>
    </row>
    <row r="7634" spans="10:12">
      <c r="J7634" s="31">
        <v>81</v>
      </c>
      <c r="K7634" s="33" t="s">
        <v>157</v>
      </c>
      <c r="L7634" s="31" t="str">
        <f t="shared" ref="L7634:L7642" si="738">$L$83&amp;" "&amp;L7554</f>
        <v>Delapan Puluh Satu</v>
      </c>
    </row>
    <row r="7635" spans="10:12">
      <c r="J7635" s="31">
        <v>82</v>
      </c>
      <c r="K7635" s="33" t="s">
        <v>158</v>
      </c>
      <c r="L7635" s="31" t="str">
        <f t="shared" si="738"/>
        <v>Delapan Puluh Dua</v>
      </c>
    </row>
    <row r="7636" spans="10:12">
      <c r="J7636" s="31">
        <v>83</v>
      </c>
      <c r="K7636" s="33" t="s">
        <v>159</v>
      </c>
      <c r="L7636" s="31" t="str">
        <f t="shared" si="738"/>
        <v>Delapan Puluh Tiga</v>
      </c>
    </row>
    <row r="7637" spans="10:12">
      <c r="J7637" s="31">
        <v>84</v>
      </c>
      <c r="K7637" s="33" t="s">
        <v>160</v>
      </c>
      <c r="L7637" s="31" t="str">
        <f t="shared" si="738"/>
        <v>Delapan Puluh Empat</v>
      </c>
    </row>
    <row r="7638" spans="10:12">
      <c r="J7638" s="31">
        <v>85</v>
      </c>
      <c r="K7638" s="33" t="s">
        <v>161</v>
      </c>
      <c r="L7638" s="31" t="str">
        <f t="shared" si="738"/>
        <v>Delapan Puluh Lima</v>
      </c>
    </row>
    <row r="7639" spans="10:12">
      <c r="J7639" s="31">
        <v>86</v>
      </c>
      <c r="K7639" s="33" t="s">
        <v>162</v>
      </c>
      <c r="L7639" s="31" t="str">
        <f t="shared" si="738"/>
        <v>Delapan Puluh Enam</v>
      </c>
    </row>
    <row r="7640" spans="10:12">
      <c r="J7640" s="31">
        <v>87</v>
      </c>
      <c r="K7640" s="33" t="s">
        <v>163</v>
      </c>
      <c r="L7640" s="31" t="str">
        <f t="shared" si="738"/>
        <v>Delapan Puluh Tujuh</v>
      </c>
    </row>
    <row r="7641" spans="10:12">
      <c r="J7641" s="31">
        <v>88</v>
      </c>
      <c r="K7641" s="33" t="s">
        <v>164</v>
      </c>
      <c r="L7641" s="31" t="str">
        <f t="shared" si="738"/>
        <v>Delapan Puluh Delapan</v>
      </c>
    </row>
    <row r="7642" spans="10:12">
      <c r="J7642" s="31">
        <v>89</v>
      </c>
      <c r="K7642" s="33" t="s">
        <v>165</v>
      </c>
      <c r="L7642" s="31" t="str">
        <f t="shared" si="738"/>
        <v>Delapan Puluh Sembilan</v>
      </c>
    </row>
    <row r="7643" spans="10:12">
      <c r="J7643" s="31">
        <v>90</v>
      </c>
      <c r="K7643" s="33" t="s">
        <v>166</v>
      </c>
      <c r="L7643" s="31" t="s">
        <v>167</v>
      </c>
    </row>
    <row r="7644" spans="10:12">
      <c r="J7644" s="31">
        <v>91</v>
      </c>
      <c r="K7644" s="33" t="s">
        <v>168</v>
      </c>
      <c r="L7644" s="31" t="str">
        <f t="shared" ref="L7644:L7652" si="739">$L$93&amp;" "&amp;L7554</f>
        <v>Sembilan Puluh Satu</v>
      </c>
    </row>
    <row r="7645" spans="10:12">
      <c r="J7645" s="31">
        <v>92</v>
      </c>
      <c r="K7645" s="33" t="s">
        <v>169</v>
      </c>
      <c r="L7645" s="31" t="str">
        <f t="shared" si="739"/>
        <v>Sembilan Puluh Dua</v>
      </c>
    </row>
    <row r="7646" spans="10:12">
      <c r="J7646" s="31">
        <v>93</v>
      </c>
      <c r="K7646" s="33" t="s">
        <v>170</v>
      </c>
      <c r="L7646" s="31" t="str">
        <f t="shared" si="739"/>
        <v>Sembilan Puluh Tiga</v>
      </c>
    </row>
    <row r="7647" spans="10:12">
      <c r="J7647" s="31">
        <v>94</v>
      </c>
      <c r="K7647" s="33" t="s">
        <v>171</v>
      </c>
      <c r="L7647" s="31" t="str">
        <f t="shared" si="739"/>
        <v>Sembilan Puluh Empat</v>
      </c>
    </row>
    <row r="7648" spans="10:12">
      <c r="J7648" s="31">
        <v>95</v>
      </c>
      <c r="K7648" s="33" t="s">
        <v>172</v>
      </c>
      <c r="L7648" s="31" t="str">
        <f t="shared" si="739"/>
        <v>Sembilan Puluh Lima</v>
      </c>
    </row>
    <row r="7649" spans="1:12">
      <c r="J7649" s="31">
        <v>96</v>
      </c>
      <c r="K7649" s="33" t="s">
        <v>173</v>
      </c>
      <c r="L7649" s="31" t="str">
        <f t="shared" si="739"/>
        <v>Sembilan Puluh Enam</v>
      </c>
    </row>
    <row r="7650" spans="1:12">
      <c r="J7650" s="31">
        <v>97</v>
      </c>
      <c r="K7650" s="33" t="s">
        <v>174</v>
      </c>
      <c r="L7650" s="31" t="str">
        <f t="shared" si="739"/>
        <v>Sembilan Puluh Tujuh</v>
      </c>
    </row>
    <row r="7651" spans="1:12">
      <c r="J7651" s="31">
        <v>98</v>
      </c>
      <c r="K7651" s="33" t="s">
        <v>175</v>
      </c>
      <c r="L7651" s="31" t="str">
        <f t="shared" si="739"/>
        <v>Sembilan Puluh Delapan</v>
      </c>
    </row>
    <row r="7652" spans="1:12">
      <c r="J7652" s="31">
        <v>99</v>
      </c>
      <c r="K7652" s="33" t="s">
        <v>176</v>
      </c>
      <c r="L7652" s="31" t="str">
        <f t="shared" si="739"/>
        <v>Sembilan Puluh Sembilan</v>
      </c>
    </row>
    <row r="7655" spans="1:12">
      <c r="A7655" s="30" t="e">
        <f>#REF!</f>
        <v>#REF!</v>
      </c>
      <c r="C7655" s="31" t="s">
        <v>271</v>
      </c>
    </row>
    <row r="7656" spans="1:12">
      <c r="A7656" s="32"/>
    </row>
    <row r="7657" spans="1:12">
      <c r="J7657" s="31">
        <v>0</v>
      </c>
      <c r="K7657" s="33" t="s">
        <v>48</v>
      </c>
      <c r="L7657" s="31" t="s">
        <v>49</v>
      </c>
    </row>
    <row r="7658" spans="1:12">
      <c r="A7658" s="34"/>
      <c r="J7658" s="31">
        <v>1</v>
      </c>
      <c r="K7658" s="33" t="s">
        <v>50</v>
      </c>
      <c r="L7658" s="31" t="s">
        <v>51</v>
      </c>
    </row>
    <row r="7659" spans="1:12">
      <c r="A7659" s="255" t="e">
        <f>TRIM(D7667&amp;E7667&amp;D7668&amp;E7668&amp;D7669&amp;E7669&amp;D7670&amp;E7670&amp;D7671&amp;E7671&amp;D7672&amp;E7672&amp;E7673&amp;D7673&amp;" Only")</f>
        <v>#REF!</v>
      </c>
      <c r="B7659" s="255"/>
      <c r="C7659" s="255"/>
      <c r="D7659" s="255"/>
      <c r="E7659" s="35"/>
      <c r="F7659" s="36"/>
      <c r="J7659" s="31">
        <v>2</v>
      </c>
      <c r="K7659" s="33" t="s">
        <v>52</v>
      </c>
      <c r="L7659" s="31" t="s">
        <v>53</v>
      </c>
    </row>
    <row r="7660" spans="1:12">
      <c r="A7660" s="37"/>
      <c r="B7660" s="37"/>
      <c r="C7660" s="37"/>
      <c r="D7660" s="37"/>
      <c r="E7660" s="35"/>
      <c r="F7660" s="36"/>
      <c r="J7660" s="31">
        <v>3</v>
      </c>
      <c r="K7660" s="33" t="s">
        <v>54</v>
      </c>
      <c r="L7660" s="31" t="s">
        <v>55</v>
      </c>
    </row>
    <row r="7661" spans="1:12">
      <c r="A7661" s="37"/>
      <c r="B7661" s="37"/>
      <c r="C7661" s="37"/>
      <c r="D7661" s="37"/>
      <c r="J7661" s="31">
        <v>4</v>
      </c>
      <c r="K7661" s="33" t="s">
        <v>56</v>
      </c>
      <c r="L7661" s="31" t="s">
        <v>57</v>
      </c>
    </row>
    <row r="7662" spans="1:12">
      <c r="A7662" s="255" t="e">
        <f>TRIM(D7677&amp;E7677&amp;D7678&amp;E7678&amp;D7679&amp;E7679&amp;D7680&amp;E7680&amp;D7681&amp;E7681&amp;D7682&amp;E7682&amp;D7683&amp;E7683&amp;" Rupiah")</f>
        <v>#REF!</v>
      </c>
      <c r="B7662" s="255"/>
      <c r="C7662" s="255"/>
      <c r="D7662" s="255"/>
      <c r="E7662" s="35"/>
      <c r="F7662" s="36"/>
      <c r="J7662" s="31">
        <v>5</v>
      </c>
      <c r="K7662" s="33" t="s">
        <v>58</v>
      </c>
      <c r="L7662" s="31" t="s">
        <v>59</v>
      </c>
    </row>
    <row r="7663" spans="1:12">
      <c r="A7663" s="35"/>
      <c r="B7663" s="35"/>
      <c r="C7663" s="35"/>
      <c r="D7663" s="35"/>
      <c r="E7663" s="35"/>
      <c r="F7663" s="36"/>
      <c r="J7663" s="31">
        <v>6</v>
      </c>
      <c r="K7663" s="33" t="s">
        <v>60</v>
      </c>
      <c r="L7663" s="31" t="s">
        <v>61</v>
      </c>
    </row>
    <row r="7664" spans="1:12">
      <c r="J7664" s="31">
        <v>7</v>
      </c>
      <c r="K7664" s="33" t="s">
        <v>62</v>
      </c>
      <c r="L7664" s="31" t="s">
        <v>63</v>
      </c>
    </row>
    <row r="7665" spans="1:12">
      <c r="J7665" s="31">
        <v>8</v>
      </c>
      <c r="K7665" s="33" t="s">
        <v>64</v>
      </c>
      <c r="L7665" s="31" t="s">
        <v>65</v>
      </c>
    </row>
    <row r="7666" spans="1:12">
      <c r="A7666" s="38" t="s">
        <v>66</v>
      </c>
      <c r="J7666" s="31">
        <v>9</v>
      </c>
      <c r="K7666" s="33" t="s">
        <v>67</v>
      </c>
      <c r="L7666" s="31" t="s">
        <v>68</v>
      </c>
    </row>
    <row r="7667" spans="1:12">
      <c r="A7667" s="31" t="s">
        <v>69</v>
      </c>
      <c r="B7667" s="39" t="e">
        <f>TRUNC(A7655/100000000)</f>
        <v>#REF!</v>
      </c>
      <c r="C7667" s="31" t="e">
        <f>B7667*100000000</f>
        <v>#REF!</v>
      </c>
      <c r="D7667" s="31" t="e">
        <f t="shared" ref="D7667:D7673" si="740">IF(B7667&lt;1,"",VLOOKUP(B7667,$J$3:$K$102,2))</f>
        <v>#REF!</v>
      </c>
      <c r="E7667" s="31" t="e">
        <f>IF(B7667&lt;1,"",IF(B7667&gt;1," Hundreds "," Hundred "))</f>
        <v>#REF!</v>
      </c>
      <c r="J7667" s="31">
        <v>10</v>
      </c>
      <c r="K7667" s="33" t="s">
        <v>70</v>
      </c>
      <c r="L7667" s="31" t="s">
        <v>71</v>
      </c>
    </row>
    <row r="7668" spans="1:12">
      <c r="A7668" s="31" t="s">
        <v>72</v>
      </c>
      <c r="B7668" s="39" t="e">
        <f>TRUNC((A7655-C7667)/1000000)</f>
        <v>#REF!</v>
      </c>
      <c r="C7668" s="31" t="e">
        <f>B7668*1000000</f>
        <v>#REF!</v>
      </c>
      <c r="D7668" s="31" t="e">
        <f t="shared" si="740"/>
        <v>#REF!</v>
      </c>
      <c r="E7668" s="31" t="e">
        <f>IF(B7667+B7668=0,"",IF(B7668=1," Million "," Millions "))</f>
        <v>#REF!</v>
      </c>
      <c r="J7668" s="31">
        <v>11</v>
      </c>
      <c r="K7668" s="33" t="s">
        <v>73</v>
      </c>
      <c r="L7668" s="31" t="s">
        <v>74</v>
      </c>
    </row>
    <row r="7669" spans="1:12">
      <c r="A7669" s="31" t="s">
        <v>75</v>
      </c>
      <c r="B7669" s="39" t="e">
        <f>TRUNC((A7655-SUM(C7667:C7668))/100000)</f>
        <v>#REF!</v>
      </c>
      <c r="C7669" s="31" t="e">
        <f>B7669*100000</f>
        <v>#REF!</v>
      </c>
      <c r="D7669" s="31" t="e">
        <f t="shared" si="740"/>
        <v>#REF!</v>
      </c>
      <c r="E7669" s="31" t="e">
        <f>IF(B7669&lt;1,"",IF(B7669&gt;1," Hundreds "," Hundred "))</f>
        <v>#REF!</v>
      </c>
      <c r="J7669" s="31">
        <v>12</v>
      </c>
      <c r="K7669" s="33" t="s">
        <v>76</v>
      </c>
      <c r="L7669" s="31" t="str">
        <f t="shared" ref="L7669:L7676" si="741">L7659&amp;" Belas"</f>
        <v>Dua Belas</v>
      </c>
    </row>
    <row r="7670" spans="1:12">
      <c r="A7670" s="33" t="s">
        <v>77</v>
      </c>
      <c r="B7670" s="40" t="e">
        <f>TRUNC((A7655-SUM(C7667:C7669))/1000)</f>
        <v>#REF!</v>
      </c>
      <c r="C7670" s="31" t="e">
        <f>B7670*1000</f>
        <v>#REF!</v>
      </c>
      <c r="D7670" s="31" t="e">
        <f t="shared" si="740"/>
        <v>#REF!</v>
      </c>
      <c r="E7670" s="31" t="e">
        <f>IF(B7669+B7670=0,"",IF(B7670=1," Thousand "," Thousands "))</f>
        <v>#REF!</v>
      </c>
      <c r="J7670" s="31">
        <v>13</v>
      </c>
      <c r="K7670" s="33" t="s">
        <v>78</v>
      </c>
      <c r="L7670" s="31" t="str">
        <f t="shared" si="741"/>
        <v>Tiga Belas</v>
      </c>
    </row>
    <row r="7671" spans="1:12">
      <c r="A7671" s="33" t="s">
        <v>79</v>
      </c>
      <c r="B7671" s="40" t="e">
        <f>TRUNC((A7655-SUM(C7667:C7670))/100)</f>
        <v>#REF!</v>
      </c>
      <c r="C7671" s="31" t="e">
        <f>B7671*100</f>
        <v>#REF!</v>
      </c>
      <c r="D7671" s="31" t="e">
        <f t="shared" si="740"/>
        <v>#REF!</v>
      </c>
      <c r="E7671" s="31" t="e">
        <f>IF(B7671&lt;1,"",IF(B7671&gt;1," Hundreds "," Hundred "))</f>
        <v>#REF!</v>
      </c>
      <c r="J7671" s="31">
        <v>14</v>
      </c>
      <c r="K7671" s="33" t="s">
        <v>80</v>
      </c>
      <c r="L7671" s="31" t="str">
        <f t="shared" si="741"/>
        <v>Empat Belas</v>
      </c>
    </row>
    <row r="7672" spans="1:12">
      <c r="A7672" s="33" t="s">
        <v>81</v>
      </c>
      <c r="B7672" s="41" t="e">
        <f>TRUNC((A7655-SUM(C7667:C7671)))</f>
        <v>#REF!</v>
      </c>
      <c r="C7672" s="42" t="e">
        <f>B7672</f>
        <v>#REF!</v>
      </c>
      <c r="D7672" s="31" t="e">
        <f t="shared" si="740"/>
        <v>#REF!</v>
      </c>
      <c r="E7672" s="31" t="e">
        <f>IF(SUM(C7667:C7672)&lt;1,"",IF(B7673&lt;1,""," And "))</f>
        <v>#REF!</v>
      </c>
      <c r="J7672" s="31">
        <v>15</v>
      </c>
      <c r="K7672" s="33" t="s">
        <v>82</v>
      </c>
      <c r="L7672" s="31" t="str">
        <f t="shared" si="741"/>
        <v>Lima Belas</v>
      </c>
    </row>
    <row r="7673" spans="1:12">
      <c r="A7673" s="33" t="s">
        <v>83</v>
      </c>
      <c r="B7673" s="40" t="e">
        <f>ROUND(A7655-SUM(C7667:C7672),2)*100</f>
        <v>#REF!</v>
      </c>
      <c r="D7673" s="43" t="e">
        <f t="shared" si="740"/>
        <v>#REF!</v>
      </c>
      <c r="E7673" s="31" t="e">
        <f>IF(B7673&lt;1,"",IF(B7673=1," Cent "," Cents "))</f>
        <v>#REF!</v>
      </c>
      <c r="J7673" s="31">
        <v>16</v>
      </c>
      <c r="K7673" s="33" t="s">
        <v>84</v>
      </c>
      <c r="L7673" s="31" t="str">
        <f t="shared" si="741"/>
        <v>Enam Belas</v>
      </c>
    </row>
    <row r="7674" spans="1:12">
      <c r="J7674" s="31">
        <v>17</v>
      </c>
      <c r="K7674" s="33" t="s">
        <v>85</v>
      </c>
      <c r="L7674" s="31" t="str">
        <f t="shared" si="741"/>
        <v>Tujuh Belas</v>
      </c>
    </row>
    <row r="7675" spans="1:12">
      <c r="A7675" s="44"/>
      <c r="J7675" s="31">
        <v>18</v>
      </c>
      <c r="K7675" s="33" t="s">
        <v>86</v>
      </c>
      <c r="L7675" s="31" t="str">
        <f t="shared" si="741"/>
        <v>Delapan Belas</v>
      </c>
    </row>
    <row r="7676" spans="1:12">
      <c r="A7676" s="38" t="s">
        <v>87</v>
      </c>
      <c r="J7676" s="31">
        <v>19</v>
      </c>
      <c r="K7676" s="33" t="s">
        <v>88</v>
      </c>
      <c r="L7676" s="31" t="str">
        <f t="shared" si="741"/>
        <v>Sembilan Belas</v>
      </c>
    </row>
    <row r="7677" spans="1:12">
      <c r="A7677" s="31" t="s">
        <v>69</v>
      </c>
      <c r="B7677" s="39" t="e">
        <f>TRUNC(A7655/100000000)</f>
        <v>#REF!</v>
      </c>
      <c r="C7677" s="31" t="e">
        <f>B7677*100000000</f>
        <v>#REF!</v>
      </c>
      <c r="D7677" s="31" t="e">
        <f>IF(B7677&lt;1,"",IF(B7677=1,"",VLOOKUP(B7677,$J$3:$L$102,3)))</f>
        <v>#REF!</v>
      </c>
      <c r="E7677" s="31" t="e">
        <f>IF(B7677&lt;1,"",IF(B7677=1,"Seratus "," Ratus "))</f>
        <v>#REF!</v>
      </c>
      <c r="J7677" s="31">
        <v>20</v>
      </c>
      <c r="K7677" s="33" t="s">
        <v>89</v>
      </c>
      <c r="L7677" s="31" t="s">
        <v>90</v>
      </c>
    </row>
    <row r="7678" spans="1:12">
      <c r="A7678" s="31" t="s">
        <v>72</v>
      </c>
      <c r="B7678" s="39" t="e">
        <f>TRUNC((A7655-C7677)/1000000)</f>
        <v>#REF!</v>
      </c>
      <c r="C7678" s="31" t="e">
        <f>B7678*1000000</f>
        <v>#REF!</v>
      </c>
      <c r="D7678" s="31" t="e">
        <f>IF(B7678&lt;1,"",VLOOKUP(B7678,$J$3:$L$102,3))</f>
        <v>#REF!</v>
      </c>
      <c r="E7678" s="31" t="e">
        <f>IF(B7677+B7678=0,""," Juta ")</f>
        <v>#REF!</v>
      </c>
      <c r="J7678" s="31">
        <v>21</v>
      </c>
      <c r="K7678" s="33" t="s">
        <v>91</v>
      </c>
      <c r="L7678" s="31" t="str">
        <f t="shared" ref="L7678:L7686" si="742">$L$23&amp;" "&amp;L7658</f>
        <v>Dua Puluh Satu</v>
      </c>
    </row>
    <row r="7679" spans="1:12">
      <c r="A7679" s="31" t="s">
        <v>75</v>
      </c>
      <c r="B7679" s="39" t="e">
        <f>TRUNC((A7655-SUM(C7677:C7678))/100000)</f>
        <v>#REF!</v>
      </c>
      <c r="C7679" s="31" t="e">
        <f>B7679*100000</f>
        <v>#REF!</v>
      </c>
      <c r="D7679" s="31" t="e">
        <f>IF(B7679&lt;1,"",IF(B7679=1,"",VLOOKUP(B7679,$J$3:$L$102,3)))</f>
        <v>#REF!</v>
      </c>
      <c r="E7679" s="31" t="e">
        <f>IF(B7679&lt;1,"",IF(B7679=1," Seratus "," Ratus "))</f>
        <v>#REF!</v>
      </c>
      <c r="J7679" s="31">
        <v>22</v>
      </c>
      <c r="K7679" s="33" t="s">
        <v>92</v>
      </c>
      <c r="L7679" s="31" t="str">
        <f t="shared" si="742"/>
        <v>Dua Puluh Dua</v>
      </c>
    </row>
    <row r="7680" spans="1:12">
      <c r="A7680" s="33" t="s">
        <v>77</v>
      </c>
      <c r="B7680" s="40" t="e">
        <f>TRUNC((A7655-SUM(C7677:C7679))/1000)</f>
        <v>#REF!</v>
      </c>
      <c r="C7680" s="31" t="e">
        <f>B7680*1000</f>
        <v>#REF!</v>
      </c>
      <c r="D7680" s="31" t="e">
        <f>IF(B7680&lt;1,"",IF(B7680=1,"",VLOOKUP(B7680,$J$3:$L$102,3)))</f>
        <v>#REF!</v>
      </c>
      <c r="E7680" s="31" t="e">
        <f>IF(B7679+B7680&lt;1,"",IF(B7680=1," Seribu "," Ribu "))</f>
        <v>#REF!</v>
      </c>
      <c r="J7680" s="31">
        <v>23</v>
      </c>
      <c r="K7680" s="33" t="s">
        <v>93</v>
      </c>
      <c r="L7680" s="31" t="str">
        <f t="shared" si="742"/>
        <v>Dua Puluh Tiga</v>
      </c>
    </row>
    <row r="7681" spans="1:12">
      <c r="A7681" s="33" t="s">
        <v>79</v>
      </c>
      <c r="B7681" s="40" t="e">
        <f>TRUNC((A7655-SUM(C7677:C7680))/100)</f>
        <v>#REF!</v>
      </c>
      <c r="C7681" s="31" t="e">
        <f>B7681*100</f>
        <v>#REF!</v>
      </c>
      <c r="D7681" s="31" t="e">
        <f>IF(B7681&lt;1,"",IF(B7681=1,"",VLOOKUP(B7681,$J$3:$L$102,3)))</f>
        <v>#REF!</v>
      </c>
      <c r="E7681" s="31" t="e">
        <f>IF(B7681&lt;1,"",IF(B7681=1," Seratus "," Ratus "))</f>
        <v>#REF!</v>
      </c>
      <c r="J7681" s="31">
        <v>24</v>
      </c>
      <c r="K7681" s="33" t="s">
        <v>94</v>
      </c>
      <c r="L7681" s="31" t="str">
        <f t="shared" si="742"/>
        <v>Dua Puluh Empat</v>
      </c>
    </row>
    <row r="7682" spans="1:12">
      <c r="A7682" s="33" t="s">
        <v>81</v>
      </c>
      <c r="B7682" s="41" t="e">
        <f>TRUNC((A7655-SUM(C7677:C7681)))</f>
        <v>#REF!</v>
      </c>
      <c r="C7682" s="42" t="e">
        <f>B7682</f>
        <v>#REF!</v>
      </c>
      <c r="D7682" s="31" t="e">
        <f>IF(B7682&lt;1,"",VLOOKUP(B7682,$J$3:$L$102,3))</f>
        <v>#REF!</v>
      </c>
      <c r="E7682" s="31" t="e">
        <f>IF(SUM(C7677:C7682)&lt;1,"",IF(B7683&lt;1,""," Dan "))</f>
        <v>#REF!</v>
      </c>
      <c r="J7682" s="31">
        <v>25</v>
      </c>
      <c r="K7682" s="33" t="s">
        <v>95</v>
      </c>
      <c r="L7682" s="31" t="str">
        <f t="shared" si="742"/>
        <v>Dua Puluh Lima</v>
      </c>
    </row>
    <row r="7683" spans="1:12">
      <c r="A7683" s="33" t="s">
        <v>83</v>
      </c>
      <c r="B7683" s="40" t="e">
        <f>ROUND(A7655-SUM(C7677:C7682),2)*100</f>
        <v>#REF!</v>
      </c>
      <c r="D7683" s="31" t="e">
        <f>IF(B7683&lt;1,"",VLOOKUP(B7683,$J$3:$L$102,3))</f>
        <v>#REF!</v>
      </c>
      <c r="E7683" s="31" t="e">
        <f>IF(B7683&lt;1,""," Sen ")</f>
        <v>#REF!</v>
      </c>
      <c r="J7683" s="31">
        <v>26</v>
      </c>
      <c r="K7683" s="33" t="s">
        <v>96</v>
      </c>
      <c r="L7683" s="31" t="str">
        <f t="shared" si="742"/>
        <v>Dua Puluh Enam</v>
      </c>
    </row>
    <row r="7684" spans="1:12">
      <c r="J7684" s="31">
        <v>27</v>
      </c>
      <c r="K7684" s="33" t="s">
        <v>97</v>
      </c>
      <c r="L7684" s="31" t="str">
        <f t="shared" si="742"/>
        <v>Dua Puluh Tujuh</v>
      </c>
    </row>
    <row r="7685" spans="1:12">
      <c r="J7685" s="31">
        <v>28</v>
      </c>
      <c r="K7685" s="33" t="s">
        <v>98</v>
      </c>
      <c r="L7685" s="31" t="str">
        <f t="shared" si="742"/>
        <v>Dua Puluh Delapan</v>
      </c>
    </row>
    <row r="7686" spans="1:12">
      <c r="J7686" s="31">
        <v>29</v>
      </c>
      <c r="K7686" s="33" t="s">
        <v>99</v>
      </c>
      <c r="L7686" s="31" t="str">
        <f t="shared" si="742"/>
        <v>Dua Puluh Sembilan</v>
      </c>
    </row>
    <row r="7687" spans="1:12">
      <c r="J7687" s="31">
        <v>30</v>
      </c>
      <c r="K7687" s="33" t="s">
        <v>100</v>
      </c>
      <c r="L7687" s="31" t="s">
        <v>101</v>
      </c>
    </row>
    <row r="7688" spans="1:12">
      <c r="J7688" s="31">
        <v>31</v>
      </c>
      <c r="K7688" s="33" t="s">
        <v>102</v>
      </c>
      <c r="L7688" s="31" t="str">
        <f t="shared" ref="L7688:L7696" si="743">$L$33&amp;" "&amp;L7658</f>
        <v>Tiga Puluh Satu</v>
      </c>
    </row>
    <row r="7689" spans="1:12">
      <c r="J7689" s="31">
        <v>32</v>
      </c>
      <c r="K7689" s="33" t="s">
        <v>103</v>
      </c>
      <c r="L7689" s="31" t="str">
        <f t="shared" si="743"/>
        <v>Tiga Puluh Dua</v>
      </c>
    </row>
    <row r="7690" spans="1:12">
      <c r="J7690" s="31">
        <v>33</v>
      </c>
      <c r="K7690" s="33" t="s">
        <v>104</v>
      </c>
      <c r="L7690" s="31" t="str">
        <f t="shared" si="743"/>
        <v>Tiga Puluh Tiga</v>
      </c>
    </row>
    <row r="7691" spans="1:12">
      <c r="J7691" s="31">
        <v>34</v>
      </c>
      <c r="K7691" s="33" t="s">
        <v>105</v>
      </c>
      <c r="L7691" s="31" t="str">
        <f t="shared" si="743"/>
        <v>Tiga Puluh Empat</v>
      </c>
    </row>
    <row r="7692" spans="1:12">
      <c r="J7692" s="31">
        <v>35</v>
      </c>
      <c r="K7692" s="33" t="s">
        <v>106</v>
      </c>
      <c r="L7692" s="31" t="str">
        <f t="shared" si="743"/>
        <v>Tiga Puluh Lima</v>
      </c>
    </row>
    <row r="7693" spans="1:12">
      <c r="J7693" s="31">
        <v>36</v>
      </c>
      <c r="K7693" s="33" t="s">
        <v>107</v>
      </c>
      <c r="L7693" s="31" t="str">
        <f t="shared" si="743"/>
        <v>Tiga Puluh Enam</v>
      </c>
    </row>
    <row r="7694" spans="1:12">
      <c r="J7694" s="31">
        <v>37</v>
      </c>
      <c r="K7694" s="33" t="s">
        <v>108</v>
      </c>
      <c r="L7694" s="31" t="str">
        <f t="shared" si="743"/>
        <v>Tiga Puluh Tujuh</v>
      </c>
    </row>
    <row r="7695" spans="1:12">
      <c r="J7695" s="31">
        <v>38</v>
      </c>
      <c r="K7695" s="33" t="s">
        <v>109</v>
      </c>
      <c r="L7695" s="31" t="str">
        <f t="shared" si="743"/>
        <v>Tiga Puluh Delapan</v>
      </c>
    </row>
    <row r="7696" spans="1:12">
      <c r="J7696" s="31">
        <v>39</v>
      </c>
      <c r="K7696" s="33" t="s">
        <v>110</v>
      </c>
      <c r="L7696" s="31" t="str">
        <f t="shared" si="743"/>
        <v>Tiga Puluh Sembilan</v>
      </c>
    </row>
    <row r="7697" spans="1:12">
      <c r="B7697" s="35"/>
      <c r="C7697" s="35"/>
      <c r="D7697" s="35"/>
      <c r="J7697" s="31">
        <v>40</v>
      </c>
      <c r="K7697" s="33" t="s">
        <v>111</v>
      </c>
      <c r="L7697" s="31" t="s">
        <v>112</v>
      </c>
    </row>
    <row r="7698" spans="1:12">
      <c r="A7698" s="35"/>
      <c r="B7698" s="35"/>
      <c r="C7698" s="35"/>
      <c r="D7698" s="35"/>
      <c r="J7698" s="31">
        <v>41</v>
      </c>
      <c r="K7698" s="33" t="s">
        <v>113</v>
      </c>
      <c r="L7698" s="31" t="str">
        <f t="shared" ref="L7698:L7706" si="744">$L$43&amp;" "&amp;L7658</f>
        <v>Empat Puluh Satu</v>
      </c>
    </row>
    <row r="7699" spans="1:12">
      <c r="J7699" s="31">
        <v>42</v>
      </c>
      <c r="K7699" s="33" t="s">
        <v>114</v>
      </c>
      <c r="L7699" s="31" t="str">
        <f t="shared" si="744"/>
        <v>Empat Puluh Dua</v>
      </c>
    </row>
    <row r="7700" spans="1:12">
      <c r="A7700" s="38"/>
      <c r="J7700" s="31">
        <v>43</v>
      </c>
      <c r="K7700" s="33" t="s">
        <v>115</v>
      </c>
      <c r="L7700" s="31" t="str">
        <f t="shared" si="744"/>
        <v>Empat Puluh Tiga</v>
      </c>
    </row>
    <row r="7701" spans="1:12">
      <c r="J7701" s="31">
        <v>44</v>
      </c>
      <c r="K7701" s="33" t="s">
        <v>116</v>
      </c>
      <c r="L7701" s="31" t="str">
        <f t="shared" si="744"/>
        <v>Empat Puluh Empat</v>
      </c>
    </row>
    <row r="7702" spans="1:12">
      <c r="J7702" s="31">
        <v>45</v>
      </c>
      <c r="K7702" s="33" t="s">
        <v>117</v>
      </c>
      <c r="L7702" s="31" t="str">
        <f t="shared" si="744"/>
        <v>Empat Puluh Lima</v>
      </c>
    </row>
    <row r="7703" spans="1:12">
      <c r="J7703" s="31">
        <v>46</v>
      </c>
      <c r="K7703" s="33" t="s">
        <v>118</v>
      </c>
      <c r="L7703" s="31" t="str">
        <f t="shared" si="744"/>
        <v>Empat Puluh Enam</v>
      </c>
    </row>
    <row r="7704" spans="1:12">
      <c r="J7704" s="31">
        <v>47</v>
      </c>
      <c r="K7704" s="33" t="s">
        <v>119</v>
      </c>
      <c r="L7704" s="31" t="str">
        <f t="shared" si="744"/>
        <v>Empat Puluh Tujuh</v>
      </c>
    </row>
    <row r="7705" spans="1:12">
      <c r="J7705" s="31">
        <v>48</v>
      </c>
      <c r="K7705" s="33" t="s">
        <v>120</v>
      </c>
      <c r="L7705" s="31" t="str">
        <f t="shared" si="744"/>
        <v>Empat Puluh Delapan</v>
      </c>
    </row>
    <row r="7706" spans="1:12">
      <c r="J7706" s="31">
        <v>49</v>
      </c>
      <c r="K7706" s="33" t="s">
        <v>121</v>
      </c>
      <c r="L7706" s="31" t="str">
        <f t="shared" si="744"/>
        <v>Empat Puluh Sembilan</v>
      </c>
    </row>
    <row r="7707" spans="1:12">
      <c r="J7707" s="31">
        <v>50</v>
      </c>
      <c r="K7707" s="33" t="s">
        <v>122</v>
      </c>
      <c r="L7707" s="31" t="s">
        <v>123</v>
      </c>
    </row>
    <row r="7708" spans="1:12">
      <c r="J7708" s="31">
        <v>51</v>
      </c>
      <c r="K7708" s="33" t="s">
        <v>124</v>
      </c>
      <c r="L7708" s="31" t="str">
        <f t="shared" ref="L7708:L7716" si="745">$L$53&amp;" "&amp;L7658</f>
        <v>Lima Puluh Satu</v>
      </c>
    </row>
    <row r="7709" spans="1:12">
      <c r="J7709" s="31">
        <v>52</v>
      </c>
      <c r="K7709" s="33" t="s">
        <v>125</v>
      </c>
      <c r="L7709" s="31" t="str">
        <f t="shared" si="745"/>
        <v>Lima Puluh Dua</v>
      </c>
    </row>
    <row r="7710" spans="1:12">
      <c r="J7710" s="31">
        <v>53</v>
      </c>
      <c r="K7710" s="33" t="s">
        <v>126</v>
      </c>
      <c r="L7710" s="31" t="str">
        <f t="shared" si="745"/>
        <v>Lima Puluh Tiga</v>
      </c>
    </row>
    <row r="7711" spans="1:12">
      <c r="J7711" s="31">
        <v>54</v>
      </c>
      <c r="K7711" s="33" t="s">
        <v>127</v>
      </c>
      <c r="L7711" s="31" t="str">
        <f t="shared" si="745"/>
        <v>Lima Puluh Empat</v>
      </c>
    </row>
    <row r="7712" spans="1:12">
      <c r="J7712" s="31">
        <v>55</v>
      </c>
      <c r="K7712" s="33" t="s">
        <v>128</v>
      </c>
      <c r="L7712" s="31" t="str">
        <f t="shared" si="745"/>
        <v>Lima Puluh Lima</v>
      </c>
    </row>
    <row r="7713" spans="10:12">
      <c r="J7713" s="31">
        <v>56</v>
      </c>
      <c r="K7713" s="33" t="s">
        <v>129</v>
      </c>
      <c r="L7713" s="31" t="str">
        <f t="shared" si="745"/>
        <v>Lima Puluh Enam</v>
      </c>
    </row>
    <row r="7714" spans="10:12">
      <c r="J7714" s="31">
        <v>57</v>
      </c>
      <c r="K7714" s="33" t="s">
        <v>130</v>
      </c>
      <c r="L7714" s="31" t="str">
        <f t="shared" si="745"/>
        <v>Lima Puluh Tujuh</v>
      </c>
    </row>
    <row r="7715" spans="10:12">
      <c r="J7715" s="31">
        <v>58</v>
      </c>
      <c r="K7715" s="33" t="s">
        <v>131</v>
      </c>
      <c r="L7715" s="31" t="str">
        <f t="shared" si="745"/>
        <v>Lima Puluh Delapan</v>
      </c>
    </row>
    <row r="7716" spans="10:12">
      <c r="J7716" s="31">
        <v>59</v>
      </c>
      <c r="K7716" s="33" t="s">
        <v>132</v>
      </c>
      <c r="L7716" s="31" t="str">
        <f t="shared" si="745"/>
        <v>Lima Puluh Sembilan</v>
      </c>
    </row>
    <row r="7717" spans="10:12">
      <c r="J7717" s="31">
        <v>60</v>
      </c>
      <c r="K7717" s="33" t="s">
        <v>133</v>
      </c>
      <c r="L7717" s="31" t="s">
        <v>134</v>
      </c>
    </row>
    <row r="7718" spans="10:12">
      <c r="J7718" s="31">
        <v>61</v>
      </c>
      <c r="K7718" s="33" t="s">
        <v>135</v>
      </c>
      <c r="L7718" s="31" t="str">
        <f t="shared" ref="L7718:L7726" si="746">$L$63&amp;" "&amp;L7658</f>
        <v>Enam Puluh Satu</v>
      </c>
    </row>
    <row r="7719" spans="10:12">
      <c r="J7719" s="31">
        <v>62</v>
      </c>
      <c r="K7719" s="33" t="s">
        <v>136</v>
      </c>
      <c r="L7719" s="31" t="str">
        <f t="shared" si="746"/>
        <v>Enam Puluh Dua</v>
      </c>
    </row>
    <row r="7720" spans="10:12">
      <c r="J7720" s="31">
        <v>63</v>
      </c>
      <c r="K7720" s="33" t="s">
        <v>137</v>
      </c>
      <c r="L7720" s="31" t="str">
        <f t="shared" si="746"/>
        <v>Enam Puluh Tiga</v>
      </c>
    </row>
    <row r="7721" spans="10:12">
      <c r="J7721" s="31">
        <v>64</v>
      </c>
      <c r="K7721" s="33" t="s">
        <v>138</v>
      </c>
      <c r="L7721" s="31" t="str">
        <f t="shared" si="746"/>
        <v>Enam Puluh Empat</v>
      </c>
    </row>
    <row r="7722" spans="10:12">
      <c r="J7722" s="31">
        <v>65</v>
      </c>
      <c r="K7722" s="33" t="s">
        <v>139</v>
      </c>
      <c r="L7722" s="31" t="str">
        <f t="shared" si="746"/>
        <v>Enam Puluh Lima</v>
      </c>
    </row>
    <row r="7723" spans="10:12">
      <c r="J7723" s="31">
        <v>66</v>
      </c>
      <c r="K7723" s="33" t="s">
        <v>140</v>
      </c>
      <c r="L7723" s="31" t="str">
        <f t="shared" si="746"/>
        <v>Enam Puluh Enam</v>
      </c>
    </row>
    <row r="7724" spans="10:12">
      <c r="J7724" s="31">
        <v>67</v>
      </c>
      <c r="K7724" s="33" t="s">
        <v>141</v>
      </c>
      <c r="L7724" s="31" t="str">
        <f t="shared" si="746"/>
        <v>Enam Puluh Tujuh</v>
      </c>
    </row>
    <row r="7725" spans="10:12">
      <c r="J7725" s="31">
        <v>68</v>
      </c>
      <c r="K7725" s="33" t="s">
        <v>142</v>
      </c>
      <c r="L7725" s="31" t="str">
        <f t="shared" si="746"/>
        <v>Enam Puluh Delapan</v>
      </c>
    </row>
    <row r="7726" spans="10:12">
      <c r="J7726" s="31">
        <v>69</v>
      </c>
      <c r="K7726" s="33" t="s">
        <v>143</v>
      </c>
      <c r="L7726" s="31" t="str">
        <f t="shared" si="746"/>
        <v>Enam Puluh Sembilan</v>
      </c>
    </row>
    <row r="7727" spans="10:12">
      <c r="J7727" s="31">
        <v>70</v>
      </c>
      <c r="K7727" s="33" t="s">
        <v>144</v>
      </c>
      <c r="L7727" s="31" t="s">
        <v>145</v>
      </c>
    </row>
    <row r="7728" spans="10:12">
      <c r="J7728" s="31">
        <v>71</v>
      </c>
      <c r="K7728" s="33" t="s">
        <v>146</v>
      </c>
      <c r="L7728" s="31" t="str">
        <f t="shared" ref="L7728:L7736" si="747">$L$73&amp;" "&amp;L7658</f>
        <v>Tujuh Puluh Satu</v>
      </c>
    </row>
    <row r="7729" spans="10:12">
      <c r="J7729" s="31">
        <v>72</v>
      </c>
      <c r="K7729" s="33" t="s">
        <v>147</v>
      </c>
      <c r="L7729" s="31" t="str">
        <f t="shared" si="747"/>
        <v>Tujuh Puluh Dua</v>
      </c>
    </row>
    <row r="7730" spans="10:12">
      <c r="J7730" s="31">
        <v>73</v>
      </c>
      <c r="K7730" s="33" t="s">
        <v>148</v>
      </c>
      <c r="L7730" s="31" t="str">
        <f t="shared" si="747"/>
        <v>Tujuh Puluh Tiga</v>
      </c>
    </row>
    <row r="7731" spans="10:12">
      <c r="J7731" s="31">
        <v>74</v>
      </c>
      <c r="K7731" s="33" t="s">
        <v>149</v>
      </c>
      <c r="L7731" s="31" t="str">
        <f t="shared" si="747"/>
        <v>Tujuh Puluh Empat</v>
      </c>
    </row>
    <row r="7732" spans="10:12">
      <c r="J7732" s="31">
        <v>75</v>
      </c>
      <c r="K7732" s="33" t="s">
        <v>150</v>
      </c>
      <c r="L7732" s="31" t="str">
        <f t="shared" si="747"/>
        <v>Tujuh Puluh Lima</v>
      </c>
    </row>
    <row r="7733" spans="10:12">
      <c r="J7733" s="31">
        <v>76</v>
      </c>
      <c r="K7733" s="33" t="s">
        <v>151</v>
      </c>
      <c r="L7733" s="31" t="str">
        <f t="shared" si="747"/>
        <v>Tujuh Puluh Enam</v>
      </c>
    </row>
    <row r="7734" spans="10:12">
      <c r="J7734" s="31">
        <v>77</v>
      </c>
      <c r="K7734" s="33" t="s">
        <v>152</v>
      </c>
      <c r="L7734" s="31" t="str">
        <f t="shared" si="747"/>
        <v>Tujuh Puluh Tujuh</v>
      </c>
    </row>
    <row r="7735" spans="10:12">
      <c r="J7735" s="31">
        <v>78</v>
      </c>
      <c r="K7735" s="33" t="s">
        <v>153</v>
      </c>
      <c r="L7735" s="31" t="str">
        <f t="shared" si="747"/>
        <v>Tujuh Puluh Delapan</v>
      </c>
    </row>
    <row r="7736" spans="10:12">
      <c r="J7736" s="31">
        <v>79</v>
      </c>
      <c r="K7736" s="33" t="s">
        <v>154</v>
      </c>
      <c r="L7736" s="31" t="str">
        <f t="shared" si="747"/>
        <v>Tujuh Puluh Sembilan</v>
      </c>
    </row>
    <row r="7737" spans="10:12">
      <c r="J7737" s="31">
        <v>80</v>
      </c>
      <c r="K7737" s="33" t="s">
        <v>155</v>
      </c>
      <c r="L7737" s="31" t="s">
        <v>156</v>
      </c>
    </row>
    <row r="7738" spans="10:12">
      <c r="J7738" s="31">
        <v>81</v>
      </c>
      <c r="K7738" s="33" t="s">
        <v>157</v>
      </c>
      <c r="L7738" s="31" t="str">
        <f t="shared" ref="L7738:L7746" si="748">$L$83&amp;" "&amp;L7658</f>
        <v>Delapan Puluh Satu</v>
      </c>
    </row>
    <row r="7739" spans="10:12">
      <c r="J7739" s="31">
        <v>82</v>
      </c>
      <c r="K7739" s="33" t="s">
        <v>158</v>
      </c>
      <c r="L7739" s="31" t="str">
        <f t="shared" si="748"/>
        <v>Delapan Puluh Dua</v>
      </c>
    </row>
    <row r="7740" spans="10:12">
      <c r="J7740" s="31">
        <v>83</v>
      </c>
      <c r="K7740" s="33" t="s">
        <v>159</v>
      </c>
      <c r="L7740" s="31" t="str">
        <f t="shared" si="748"/>
        <v>Delapan Puluh Tiga</v>
      </c>
    </row>
    <row r="7741" spans="10:12">
      <c r="J7741" s="31">
        <v>84</v>
      </c>
      <c r="K7741" s="33" t="s">
        <v>160</v>
      </c>
      <c r="L7741" s="31" t="str">
        <f t="shared" si="748"/>
        <v>Delapan Puluh Empat</v>
      </c>
    </row>
    <row r="7742" spans="10:12">
      <c r="J7742" s="31">
        <v>85</v>
      </c>
      <c r="K7742" s="33" t="s">
        <v>161</v>
      </c>
      <c r="L7742" s="31" t="str">
        <f t="shared" si="748"/>
        <v>Delapan Puluh Lima</v>
      </c>
    </row>
    <row r="7743" spans="10:12">
      <c r="J7743" s="31">
        <v>86</v>
      </c>
      <c r="K7743" s="33" t="s">
        <v>162</v>
      </c>
      <c r="L7743" s="31" t="str">
        <f t="shared" si="748"/>
        <v>Delapan Puluh Enam</v>
      </c>
    </row>
    <row r="7744" spans="10:12">
      <c r="J7744" s="31">
        <v>87</v>
      </c>
      <c r="K7744" s="33" t="s">
        <v>163</v>
      </c>
      <c r="L7744" s="31" t="str">
        <f t="shared" si="748"/>
        <v>Delapan Puluh Tujuh</v>
      </c>
    </row>
    <row r="7745" spans="1:12">
      <c r="J7745" s="31">
        <v>88</v>
      </c>
      <c r="K7745" s="33" t="s">
        <v>164</v>
      </c>
      <c r="L7745" s="31" t="str">
        <f t="shared" si="748"/>
        <v>Delapan Puluh Delapan</v>
      </c>
    </row>
    <row r="7746" spans="1:12">
      <c r="J7746" s="31">
        <v>89</v>
      </c>
      <c r="K7746" s="33" t="s">
        <v>165</v>
      </c>
      <c r="L7746" s="31" t="str">
        <f t="shared" si="748"/>
        <v>Delapan Puluh Sembilan</v>
      </c>
    </row>
    <row r="7747" spans="1:12">
      <c r="J7747" s="31">
        <v>90</v>
      </c>
      <c r="K7747" s="33" t="s">
        <v>166</v>
      </c>
      <c r="L7747" s="31" t="s">
        <v>167</v>
      </c>
    </row>
    <row r="7748" spans="1:12">
      <c r="J7748" s="31">
        <v>91</v>
      </c>
      <c r="K7748" s="33" t="s">
        <v>168</v>
      </c>
      <c r="L7748" s="31" t="str">
        <f t="shared" ref="L7748:L7756" si="749">$L$93&amp;" "&amp;L7658</f>
        <v>Sembilan Puluh Satu</v>
      </c>
    </row>
    <row r="7749" spans="1:12">
      <c r="J7749" s="31">
        <v>92</v>
      </c>
      <c r="K7749" s="33" t="s">
        <v>169</v>
      </c>
      <c r="L7749" s="31" t="str">
        <f t="shared" si="749"/>
        <v>Sembilan Puluh Dua</v>
      </c>
    </row>
    <row r="7750" spans="1:12">
      <c r="J7750" s="31">
        <v>93</v>
      </c>
      <c r="K7750" s="33" t="s">
        <v>170</v>
      </c>
      <c r="L7750" s="31" t="str">
        <f t="shared" si="749"/>
        <v>Sembilan Puluh Tiga</v>
      </c>
    </row>
    <row r="7751" spans="1:12">
      <c r="J7751" s="31">
        <v>94</v>
      </c>
      <c r="K7751" s="33" t="s">
        <v>171</v>
      </c>
      <c r="L7751" s="31" t="str">
        <f t="shared" si="749"/>
        <v>Sembilan Puluh Empat</v>
      </c>
    </row>
    <row r="7752" spans="1:12">
      <c r="J7752" s="31">
        <v>95</v>
      </c>
      <c r="K7752" s="33" t="s">
        <v>172</v>
      </c>
      <c r="L7752" s="31" t="str">
        <f t="shared" si="749"/>
        <v>Sembilan Puluh Lima</v>
      </c>
    </row>
    <row r="7753" spans="1:12">
      <c r="J7753" s="31">
        <v>96</v>
      </c>
      <c r="K7753" s="33" t="s">
        <v>173</v>
      </c>
      <c r="L7753" s="31" t="str">
        <f t="shared" si="749"/>
        <v>Sembilan Puluh Enam</v>
      </c>
    </row>
    <row r="7754" spans="1:12">
      <c r="J7754" s="31">
        <v>97</v>
      </c>
      <c r="K7754" s="33" t="s">
        <v>174</v>
      </c>
      <c r="L7754" s="31" t="str">
        <f t="shared" si="749"/>
        <v>Sembilan Puluh Tujuh</v>
      </c>
    </row>
    <row r="7755" spans="1:12">
      <c r="J7755" s="31">
        <v>98</v>
      </c>
      <c r="K7755" s="33" t="s">
        <v>175</v>
      </c>
      <c r="L7755" s="31" t="str">
        <f t="shared" si="749"/>
        <v>Sembilan Puluh Delapan</v>
      </c>
    </row>
    <row r="7756" spans="1:12">
      <c r="J7756" s="31">
        <v>99</v>
      </c>
      <c r="K7756" s="33" t="s">
        <v>176</v>
      </c>
      <c r="L7756" s="31" t="str">
        <f t="shared" si="749"/>
        <v>Sembilan Puluh Sembilan</v>
      </c>
    </row>
    <row r="7759" spans="1:12">
      <c r="A7759" s="30" t="e">
        <f>#REF!</f>
        <v>#REF!</v>
      </c>
      <c r="C7759" s="31" t="s">
        <v>273</v>
      </c>
    </row>
    <row r="7760" spans="1:12">
      <c r="A7760" s="32"/>
    </row>
    <row r="7761" spans="1:12">
      <c r="J7761" s="31">
        <v>0</v>
      </c>
      <c r="K7761" s="33" t="s">
        <v>48</v>
      </c>
      <c r="L7761" s="31" t="s">
        <v>49</v>
      </c>
    </row>
    <row r="7762" spans="1:12">
      <c r="A7762" s="34"/>
      <c r="J7762" s="31">
        <v>1</v>
      </c>
      <c r="K7762" s="33" t="s">
        <v>50</v>
      </c>
      <c r="L7762" s="31" t="s">
        <v>51</v>
      </c>
    </row>
    <row r="7763" spans="1:12">
      <c r="A7763" s="255" t="e">
        <f>TRIM(D7771&amp;E7771&amp;D7772&amp;E7772&amp;D7773&amp;E7773&amp;D7774&amp;E7774&amp;D7775&amp;E7775&amp;D7776&amp;E7776&amp;E7777&amp;D7777&amp;" Only")</f>
        <v>#REF!</v>
      </c>
      <c r="B7763" s="255"/>
      <c r="C7763" s="255"/>
      <c r="D7763" s="255"/>
      <c r="E7763" s="35"/>
      <c r="F7763" s="36"/>
      <c r="J7763" s="31">
        <v>2</v>
      </c>
      <c r="K7763" s="33" t="s">
        <v>52</v>
      </c>
      <c r="L7763" s="31" t="s">
        <v>53</v>
      </c>
    </row>
    <row r="7764" spans="1:12">
      <c r="A7764" s="37"/>
      <c r="B7764" s="37"/>
      <c r="C7764" s="37"/>
      <c r="D7764" s="37"/>
      <c r="E7764" s="35"/>
      <c r="F7764" s="36"/>
      <c r="J7764" s="31">
        <v>3</v>
      </c>
      <c r="K7764" s="33" t="s">
        <v>54</v>
      </c>
      <c r="L7764" s="31" t="s">
        <v>55</v>
      </c>
    </row>
    <row r="7765" spans="1:12">
      <c r="A7765" s="37"/>
      <c r="B7765" s="37"/>
      <c r="C7765" s="37"/>
      <c r="D7765" s="37"/>
      <c r="J7765" s="31">
        <v>4</v>
      </c>
      <c r="K7765" s="33" t="s">
        <v>56</v>
      </c>
      <c r="L7765" s="31" t="s">
        <v>57</v>
      </c>
    </row>
    <row r="7766" spans="1:12">
      <c r="A7766" s="255" t="e">
        <f>TRIM(D7781&amp;E7781&amp;D7782&amp;E7782&amp;D7783&amp;E7783&amp;D7784&amp;E7784&amp;D7785&amp;E7785&amp;D7786&amp;E7786&amp;D7787&amp;E7787&amp;" Rupiah")</f>
        <v>#REF!</v>
      </c>
      <c r="B7766" s="255"/>
      <c r="C7766" s="255"/>
      <c r="D7766" s="255"/>
      <c r="E7766" s="35"/>
      <c r="F7766" s="36"/>
      <c r="J7766" s="31">
        <v>5</v>
      </c>
      <c r="K7766" s="33" t="s">
        <v>58</v>
      </c>
      <c r="L7766" s="31" t="s">
        <v>59</v>
      </c>
    </row>
    <row r="7767" spans="1:12">
      <c r="A7767" s="35"/>
      <c r="B7767" s="35"/>
      <c r="C7767" s="35"/>
      <c r="D7767" s="35"/>
      <c r="E7767" s="35"/>
      <c r="F7767" s="36"/>
      <c r="J7767" s="31">
        <v>6</v>
      </c>
      <c r="K7767" s="33" t="s">
        <v>60</v>
      </c>
      <c r="L7767" s="31" t="s">
        <v>61</v>
      </c>
    </row>
    <row r="7768" spans="1:12">
      <c r="J7768" s="31">
        <v>7</v>
      </c>
      <c r="K7768" s="33" t="s">
        <v>62</v>
      </c>
      <c r="L7768" s="31" t="s">
        <v>63</v>
      </c>
    </row>
    <row r="7769" spans="1:12">
      <c r="J7769" s="31">
        <v>8</v>
      </c>
      <c r="K7769" s="33" t="s">
        <v>64</v>
      </c>
      <c r="L7769" s="31" t="s">
        <v>65</v>
      </c>
    </row>
    <row r="7770" spans="1:12">
      <c r="A7770" s="38" t="s">
        <v>66</v>
      </c>
      <c r="J7770" s="31">
        <v>9</v>
      </c>
      <c r="K7770" s="33" t="s">
        <v>67</v>
      </c>
      <c r="L7770" s="31" t="s">
        <v>68</v>
      </c>
    </row>
    <row r="7771" spans="1:12">
      <c r="A7771" s="31" t="s">
        <v>69</v>
      </c>
      <c r="B7771" s="39" t="e">
        <f>TRUNC(A7759/100000000)</f>
        <v>#REF!</v>
      </c>
      <c r="C7771" s="31" t="e">
        <f>B7771*100000000</f>
        <v>#REF!</v>
      </c>
      <c r="D7771" s="31" t="e">
        <f t="shared" ref="D7771:D7777" si="750">IF(B7771&lt;1,"",VLOOKUP(B7771,$J$3:$K$102,2))</f>
        <v>#REF!</v>
      </c>
      <c r="E7771" s="31" t="e">
        <f>IF(B7771&lt;1,"",IF(B7771&gt;1," Hundreds "," Hundred "))</f>
        <v>#REF!</v>
      </c>
      <c r="J7771" s="31">
        <v>10</v>
      </c>
      <c r="K7771" s="33" t="s">
        <v>70</v>
      </c>
      <c r="L7771" s="31" t="s">
        <v>71</v>
      </c>
    </row>
    <row r="7772" spans="1:12">
      <c r="A7772" s="31" t="s">
        <v>72</v>
      </c>
      <c r="B7772" s="39" t="e">
        <f>TRUNC((A7759-C7771)/1000000)</f>
        <v>#REF!</v>
      </c>
      <c r="C7772" s="31" t="e">
        <f>B7772*1000000</f>
        <v>#REF!</v>
      </c>
      <c r="D7772" s="31" t="e">
        <f t="shared" si="750"/>
        <v>#REF!</v>
      </c>
      <c r="E7772" s="31" t="e">
        <f>IF(B7771+B7772=0,"",IF(B7772=1," Million "," Millions "))</f>
        <v>#REF!</v>
      </c>
      <c r="J7772" s="31">
        <v>11</v>
      </c>
      <c r="K7772" s="33" t="s">
        <v>73</v>
      </c>
      <c r="L7772" s="31" t="s">
        <v>74</v>
      </c>
    </row>
    <row r="7773" spans="1:12">
      <c r="A7773" s="31" t="s">
        <v>75</v>
      </c>
      <c r="B7773" s="39" t="e">
        <f>TRUNC((A7759-SUM(C7771:C7772))/100000)</f>
        <v>#REF!</v>
      </c>
      <c r="C7773" s="31" t="e">
        <f>B7773*100000</f>
        <v>#REF!</v>
      </c>
      <c r="D7773" s="31" t="e">
        <f t="shared" si="750"/>
        <v>#REF!</v>
      </c>
      <c r="E7773" s="31" t="e">
        <f>IF(B7773&lt;1,"",IF(B7773&gt;1," Hundreds "," Hundred "))</f>
        <v>#REF!</v>
      </c>
      <c r="J7773" s="31">
        <v>12</v>
      </c>
      <c r="K7773" s="33" t="s">
        <v>76</v>
      </c>
      <c r="L7773" s="31" t="str">
        <f t="shared" ref="L7773:L7780" si="751">L7763&amp;" Belas"</f>
        <v>Dua Belas</v>
      </c>
    </row>
    <row r="7774" spans="1:12">
      <c r="A7774" s="33" t="s">
        <v>77</v>
      </c>
      <c r="B7774" s="40" t="e">
        <f>TRUNC((A7759-SUM(C7771:C7773))/1000)</f>
        <v>#REF!</v>
      </c>
      <c r="C7774" s="31" t="e">
        <f>B7774*1000</f>
        <v>#REF!</v>
      </c>
      <c r="D7774" s="31" t="e">
        <f t="shared" si="750"/>
        <v>#REF!</v>
      </c>
      <c r="E7774" s="31" t="e">
        <f>IF(B7773+B7774=0,"",IF(B7774=1," Thousand "," Thousands "))</f>
        <v>#REF!</v>
      </c>
      <c r="J7774" s="31">
        <v>13</v>
      </c>
      <c r="K7774" s="33" t="s">
        <v>78</v>
      </c>
      <c r="L7774" s="31" t="str">
        <f t="shared" si="751"/>
        <v>Tiga Belas</v>
      </c>
    </row>
    <row r="7775" spans="1:12">
      <c r="A7775" s="33" t="s">
        <v>79</v>
      </c>
      <c r="B7775" s="40" t="e">
        <f>TRUNC((A7759-SUM(C7771:C7774))/100)</f>
        <v>#REF!</v>
      </c>
      <c r="C7775" s="31" t="e">
        <f>B7775*100</f>
        <v>#REF!</v>
      </c>
      <c r="D7775" s="31" t="e">
        <f t="shared" si="750"/>
        <v>#REF!</v>
      </c>
      <c r="E7775" s="31" t="e">
        <f>IF(B7775&lt;1,"",IF(B7775&gt;1," Hundreds "," Hundred "))</f>
        <v>#REF!</v>
      </c>
      <c r="J7775" s="31">
        <v>14</v>
      </c>
      <c r="K7775" s="33" t="s">
        <v>80</v>
      </c>
      <c r="L7775" s="31" t="str">
        <f t="shared" si="751"/>
        <v>Empat Belas</v>
      </c>
    </row>
    <row r="7776" spans="1:12">
      <c r="A7776" s="33" t="s">
        <v>81</v>
      </c>
      <c r="B7776" s="41" t="e">
        <f>TRUNC((A7759-SUM(C7771:C7775)))</f>
        <v>#REF!</v>
      </c>
      <c r="C7776" s="42" t="e">
        <f>B7776</f>
        <v>#REF!</v>
      </c>
      <c r="D7776" s="31" t="e">
        <f t="shared" si="750"/>
        <v>#REF!</v>
      </c>
      <c r="E7776" s="31" t="e">
        <f>IF(SUM(C7771:C7776)&lt;1,"",IF(B7777&lt;1,""," And "))</f>
        <v>#REF!</v>
      </c>
      <c r="J7776" s="31">
        <v>15</v>
      </c>
      <c r="K7776" s="33" t="s">
        <v>82</v>
      </c>
      <c r="L7776" s="31" t="str">
        <f t="shared" si="751"/>
        <v>Lima Belas</v>
      </c>
    </row>
    <row r="7777" spans="1:12">
      <c r="A7777" s="33" t="s">
        <v>83</v>
      </c>
      <c r="B7777" s="40" t="e">
        <f>ROUND(A7759-SUM(C7771:C7776),2)*100</f>
        <v>#REF!</v>
      </c>
      <c r="D7777" s="43" t="e">
        <f t="shared" si="750"/>
        <v>#REF!</v>
      </c>
      <c r="E7777" s="31" t="e">
        <f>IF(B7777&lt;1,"",IF(B7777=1," Cent "," Cents "))</f>
        <v>#REF!</v>
      </c>
      <c r="J7777" s="31">
        <v>16</v>
      </c>
      <c r="K7777" s="33" t="s">
        <v>84</v>
      </c>
      <c r="L7777" s="31" t="str">
        <f t="shared" si="751"/>
        <v>Enam Belas</v>
      </c>
    </row>
    <row r="7778" spans="1:12">
      <c r="J7778" s="31">
        <v>17</v>
      </c>
      <c r="K7778" s="33" t="s">
        <v>85</v>
      </c>
      <c r="L7778" s="31" t="str">
        <f t="shared" si="751"/>
        <v>Tujuh Belas</v>
      </c>
    </row>
    <row r="7779" spans="1:12">
      <c r="A7779" s="44"/>
      <c r="J7779" s="31">
        <v>18</v>
      </c>
      <c r="K7779" s="33" t="s">
        <v>86</v>
      </c>
      <c r="L7779" s="31" t="str">
        <f t="shared" si="751"/>
        <v>Delapan Belas</v>
      </c>
    </row>
    <row r="7780" spans="1:12">
      <c r="A7780" s="38" t="s">
        <v>87</v>
      </c>
      <c r="J7780" s="31">
        <v>19</v>
      </c>
      <c r="K7780" s="33" t="s">
        <v>88</v>
      </c>
      <c r="L7780" s="31" t="str">
        <f t="shared" si="751"/>
        <v>Sembilan Belas</v>
      </c>
    </row>
    <row r="7781" spans="1:12">
      <c r="A7781" s="31" t="s">
        <v>69</v>
      </c>
      <c r="B7781" s="39" t="e">
        <f>TRUNC(A7759/100000000)</f>
        <v>#REF!</v>
      </c>
      <c r="C7781" s="31" t="e">
        <f>B7781*100000000</f>
        <v>#REF!</v>
      </c>
      <c r="D7781" s="31" t="e">
        <f>IF(B7781&lt;1,"",IF(B7781=1,"",VLOOKUP(B7781,$J$3:$L$102,3)))</f>
        <v>#REF!</v>
      </c>
      <c r="E7781" s="31" t="e">
        <f>IF(B7781&lt;1,"",IF(B7781=1,"Seratus "," Ratus "))</f>
        <v>#REF!</v>
      </c>
      <c r="J7781" s="31">
        <v>20</v>
      </c>
      <c r="K7781" s="33" t="s">
        <v>89</v>
      </c>
      <c r="L7781" s="31" t="s">
        <v>90</v>
      </c>
    </row>
    <row r="7782" spans="1:12">
      <c r="A7782" s="31" t="s">
        <v>72</v>
      </c>
      <c r="B7782" s="39" t="e">
        <f>TRUNC((A7759-C7781)/1000000)</f>
        <v>#REF!</v>
      </c>
      <c r="C7782" s="31" t="e">
        <f>B7782*1000000</f>
        <v>#REF!</v>
      </c>
      <c r="D7782" s="31" t="e">
        <f>IF(B7782&lt;1,"",VLOOKUP(B7782,$J$3:$L$102,3))</f>
        <v>#REF!</v>
      </c>
      <c r="E7782" s="31" t="e">
        <f>IF(B7781+B7782=0,""," Juta ")</f>
        <v>#REF!</v>
      </c>
      <c r="J7782" s="31">
        <v>21</v>
      </c>
      <c r="K7782" s="33" t="s">
        <v>91</v>
      </c>
      <c r="L7782" s="31" t="str">
        <f t="shared" ref="L7782:L7790" si="752">$L$23&amp;" "&amp;L7762</f>
        <v>Dua Puluh Satu</v>
      </c>
    </row>
    <row r="7783" spans="1:12">
      <c r="A7783" s="31" t="s">
        <v>75</v>
      </c>
      <c r="B7783" s="39" t="e">
        <f>TRUNC((A7759-SUM(C7781:C7782))/100000)</f>
        <v>#REF!</v>
      </c>
      <c r="C7783" s="31" t="e">
        <f>B7783*100000</f>
        <v>#REF!</v>
      </c>
      <c r="D7783" s="31" t="e">
        <f>IF(B7783&lt;1,"",IF(B7783=1,"",VLOOKUP(B7783,$J$3:$L$102,3)))</f>
        <v>#REF!</v>
      </c>
      <c r="E7783" s="31" t="e">
        <f>IF(B7783&lt;1,"",IF(B7783=1," Seratus "," Ratus "))</f>
        <v>#REF!</v>
      </c>
      <c r="J7783" s="31">
        <v>22</v>
      </c>
      <c r="K7783" s="33" t="s">
        <v>92</v>
      </c>
      <c r="L7783" s="31" t="str">
        <f t="shared" si="752"/>
        <v>Dua Puluh Dua</v>
      </c>
    </row>
    <row r="7784" spans="1:12">
      <c r="A7784" s="33" t="s">
        <v>77</v>
      </c>
      <c r="B7784" s="40" t="e">
        <f>TRUNC((A7759-SUM(C7781:C7783))/1000)</f>
        <v>#REF!</v>
      </c>
      <c r="C7784" s="31" t="e">
        <f>B7784*1000</f>
        <v>#REF!</v>
      </c>
      <c r="D7784" s="31" t="e">
        <f>IF(B7784&lt;1,"",IF(B7784=1,"",VLOOKUP(B7784,$J$3:$L$102,3)))</f>
        <v>#REF!</v>
      </c>
      <c r="E7784" s="31" t="e">
        <f>IF(B7783+B7784&lt;1,"",IF(B7784=1," Seribu "," Ribu "))</f>
        <v>#REF!</v>
      </c>
      <c r="J7784" s="31">
        <v>23</v>
      </c>
      <c r="K7784" s="33" t="s">
        <v>93</v>
      </c>
      <c r="L7784" s="31" t="str">
        <f t="shared" si="752"/>
        <v>Dua Puluh Tiga</v>
      </c>
    </row>
    <row r="7785" spans="1:12">
      <c r="A7785" s="33" t="s">
        <v>79</v>
      </c>
      <c r="B7785" s="40" t="e">
        <f>TRUNC((A7759-SUM(C7781:C7784))/100)</f>
        <v>#REF!</v>
      </c>
      <c r="C7785" s="31" t="e">
        <f>B7785*100</f>
        <v>#REF!</v>
      </c>
      <c r="D7785" s="31" t="e">
        <f>IF(B7785&lt;1,"",IF(B7785=1,"",VLOOKUP(B7785,$J$3:$L$102,3)))</f>
        <v>#REF!</v>
      </c>
      <c r="E7785" s="31" t="e">
        <f>IF(B7785&lt;1,"",IF(B7785=1," Seratus "," Ratus "))</f>
        <v>#REF!</v>
      </c>
      <c r="J7785" s="31">
        <v>24</v>
      </c>
      <c r="K7785" s="33" t="s">
        <v>94</v>
      </c>
      <c r="L7785" s="31" t="str">
        <f t="shared" si="752"/>
        <v>Dua Puluh Empat</v>
      </c>
    </row>
    <row r="7786" spans="1:12">
      <c r="A7786" s="33" t="s">
        <v>81</v>
      </c>
      <c r="B7786" s="41" t="e">
        <f>TRUNC((A7759-SUM(C7781:C7785)))</f>
        <v>#REF!</v>
      </c>
      <c r="C7786" s="42" t="e">
        <f>B7786</f>
        <v>#REF!</v>
      </c>
      <c r="D7786" s="31" t="e">
        <f>IF(B7786&lt;1,"",VLOOKUP(B7786,$J$3:$L$102,3))</f>
        <v>#REF!</v>
      </c>
      <c r="E7786" s="31" t="e">
        <f>IF(SUM(C7781:C7786)&lt;1,"",IF(B7787&lt;1,""," Dan "))</f>
        <v>#REF!</v>
      </c>
      <c r="J7786" s="31">
        <v>25</v>
      </c>
      <c r="K7786" s="33" t="s">
        <v>95</v>
      </c>
      <c r="L7786" s="31" t="str">
        <f t="shared" si="752"/>
        <v>Dua Puluh Lima</v>
      </c>
    </row>
    <row r="7787" spans="1:12">
      <c r="A7787" s="33" t="s">
        <v>83</v>
      </c>
      <c r="B7787" s="40" t="e">
        <f>ROUND(A7759-SUM(C7781:C7786),2)*100</f>
        <v>#REF!</v>
      </c>
      <c r="D7787" s="31" t="e">
        <f>IF(B7787&lt;1,"",VLOOKUP(B7787,$J$3:$L$102,3))</f>
        <v>#REF!</v>
      </c>
      <c r="E7787" s="31" t="e">
        <f>IF(B7787&lt;1,""," Sen ")</f>
        <v>#REF!</v>
      </c>
      <c r="J7787" s="31">
        <v>26</v>
      </c>
      <c r="K7787" s="33" t="s">
        <v>96</v>
      </c>
      <c r="L7787" s="31" t="str">
        <f t="shared" si="752"/>
        <v>Dua Puluh Enam</v>
      </c>
    </row>
    <row r="7788" spans="1:12">
      <c r="J7788" s="31">
        <v>27</v>
      </c>
      <c r="K7788" s="33" t="s">
        <v>97</v>
      </c>
      <c r="L7788" s="31" t="str">
        <f t="shared" si="752"/>
        <v>Dua Puluh Tujuh</v>
      </c>
    </row>
    <row r="7789" spans="1:12">
      <c r="J7789" s="31">
        <v>28</v>
      </c>
      <c r="K7789" s="33" t="s">
        <v>98</v>
      </c>
      <c r="L7789" s="31" t="str">
        <f t="shared" si="752"/>
        <v>Dua Puluh Delapan</v>
      </c>
    </row>
    <row r="7790" spans="1:12">
      <c r="J7790" s="31">
        <v>29</v>
      </c>
      <c r="K7790" s="33" t="s">
        <v>99</v>
      </c>
      <c r="L7790" s="31" t="str">
        <f t="shared" si="752"/>
        <v>Dua Puluh Sembilan</v>
      </c>
    </row>
    <row r="7791" spans="1:12">
      <c r="J7791" s="31">
        <v>30</v>
      </c>
      <c r="K7791" s="33" t="s">
        <v>100</v>
      </c>
      <c r="L7791" s="31" t="s">
        <v>101</v>
      </c>
    </row>
    <row r="7792" spans="1:12">
      <c r="J7792" s="31">
        <v>31</v>
      </c>
      <c r="K7792" s="33" t="s">
        <v>102</v>
      </c>
      <c r="L7792" s="31" t="str">
        <f t="shared" ref="L7792:L7800" si="753">$L$33&amp;" "&amp;L7762</f>
        <v>Tiga Puluh Satu</v>
      </c>
    </row>
    <row r="7793" spans="1:12">
      <c r="J7793" s="31">
        <v>32</v>
      </c>
      <c r="K7793" s="33" t="s">
        <v>103</v>
      </c>
      <c r="L7793" s="31" t="str">
        <f t="shared" si="753"/>
        <v>Tiga Puluh Dua</v>
      </c>
    </row>
    <row r="7794" spans="1:12">
      <c r="J7794" s="31">
        <v>33</v>
      </c>
      <c r="K7794" s="33" t="s">
        <v>104</v>
      </c>
      <c r="L7794" s="31" t="str">
        <f t="shared" si="753"/>
        <v>Tiga Puluh Tiga</v>
      </c>
    </row>
    <row r="7795" spans="1:12">
      <c r="J7795" s="31">
        <v>34</v>
      </c>
      <c r="K7795" s="33" t="s">
        <v>105</v>
      </c>
      <c r="L7795" s="31" t="str">
        <f t="shared" si="753"/>
        <v>Tiga Puluh Empat</v>
      </c>
    </row>
    <row r="7796" spans="1:12">
      <c r="J7796" s="31">
        <v>35</v>
      </c>
      <c r="K7796" s="33" t="s">
        <v>106</v>
      </c>
      <c r="L7796" s="31" t="str">
        <f t="shared" si="753"/>
        <v>Tiga Puluh Lima</v>
      </c>
    </row>
    <row r="7797" spans="1:12">
      <c r="J7797" s="31">
        <v>36</v>
      </c>
      <c r="K7797" s="33" t="s">
        <v>107</v>
      </c>
      <c r="L7797" s="31" t="str">
        <f t="shared" si="753"/>
        <v>Tiga Puluh Enam</v>
      </c>
    </row>
    <row r="7798" spans="1:12">
      <c r="J7798" s="31">
        <v>37</v>
      </c>
      <c r="K7798" s="33" t="s">
        <v>108</v>
      </c>
      <c r="L7798" s="31" t="str">
        <f t="shared" si="753"/>
        <v>Tiga Puluh Tujuh</v>
      </c>
    </row>
    <row r="7799" spans="1:12">
      <c r="J7799" s="31">
        <v>38</v>
      </c>
      <c r="K7799" s="33" t="s">
        <v>109</v>
      </c>
      <c r="L7799" s="31" t="str">
        <f t="shared" si="753"/>
        <v>Tiga Puluh Delapan</v>
      </c>
    </row>
    <row r="7800" spans="1:12">
      <c r="J7800" s="31">
        <v>39</v>
      </c>
      <c r="K7800" s="33" t="s">
        <v>110</v>
      </c>
      <c r="L7800" s="31" t="str">
        <f t="shared" si="753"/>
        <v>Tiga Puluh Sembilan</v>
      </c>
    </row>
    <row r="7801" spans="1:12">
      <c r="B7801" s="35"/>
      <c r="C7801" s="35"/>
      <c r="D7801" s="35"/>
      <c r="J7801" s="31">
        <v>40</v>
      </c>
      <c r="K7801" s="33" t="s">
        <v>111</v>
      </c>
      <c r="L7801" s="31" t="s">
        <v>112</v>
      </c>
    </row>
    <row r="7802" spans="1:12">
      <c r="A7802" s="35"/>
      <c r="B7802" s="35"/>
      <c r="C7802" s="35"/>
      <c r="D7802" s="35"/>
      <c r="J7802" s="31">
        <v>41</v>
      </c>
      <c r="K7802" s="33" t="s">
        <v>113</v>
      </c>
      <c r="L7802" s="31" t="str">
        <f t="shared" ref="L7802:L7810" si="754">$L$43&amp;" "&amp;L7762</f>
        <v>Empat Puluh Satu</v>
      </c>
    </row>
    <row r="7803" spans="1:12">
      <c r="J7803" s="31">
        <v>42</v>
      </c>
      <c r="K7803" s="33" t="s">
        <v>114</v>
      </c>
      <c r="L7803" s="31" t="str">
        <f t="shared" si="754"/>
        <v>Empat Puluh Dua</v>
      </c>
    </row>
    <row r="7804" spans="1:12">
      <c r="A7804" s="38"/>
      <c r="J7804" s="31">
        <v>43</v>
      </c>
      <c r="K7804" s="33" t="s">
        <v>115</v>
      </c>
      <c r="L7804" s="31" t="str">
        <f t="shared" si="754"/>
        <v>Empat Puluh Tiga</v>
      </c>
    </row>
    <row r="7805" spans="1:12">
      <c r="J7805" s="31">
        <v>44</v>
      </c>
      <c r="K7805" s="33" t="s">
        <v>116</v>
      </c>
      <c r="L7805" s="31" t="str">
        <f t="shared" si="754"/>
        <v>Empat Puluh Empat</v>
      </c>
    </row>
    <row r="7806" spans="1:12">
      <c r="J7806" s="31">
        <v>45</v>
      </c>
      <c r="K7806" s="33" t="s">
        <v>117</v>
      </c>
      <c r="L7806" s="31" t="str">
        <f t="shared" si="754"/>
        <v>Empat Puluh Lima</v>
      </c>
    </row>
    <row r="7807" spans="1:12">
      <c r="J7807" s="31">
        <v>46</v>
      </c>
      <c r="K7807" s="33" t="s">
        <v>118</v>
      </c>
      <c r="L7807" s="31" t="str">
        <f t="shared" si="754"/>
        <v>Empat Puluh Enam</v>
      </c>
    </row>
    <row r="7808" spans="1:12">
      <c r="J7808" s="31">
        <v>47</v>
      </c>
      <c r="K7808" s="33" t="s">
        <v>119</v>
      </c>
      <c r="L7808" s="31" t="str">
        <f t="shared" si="754"/>
        <v>Empat Puluh Tujuh</v>
      </c>
    </row>
    <row r="7809" spans="10:12">
      <c r="J7809" s="31">
        <v>48</v>
      </c>
      <c r="K7809" s="33" t="s">
        <v>120</v>
      </c>
      <c r="L7809" s="31" t="str">
        <f t="shared" si="754"/>
        <v>Empat Puluh Delapan</v>
      </c>
    </row>
    <row r="7810" spans="10:12">
      <c r="J7810" s="31">
        <v>49</v>
      </c>
      <c r="K7810" s="33" t="s">
        <v>121</v>
      </c>
      <c r="L7810" s="31" t="str">
        <f t="shared" si="754"/>
        <v>Empat Puluh Sembilan</v>
      </c>
    </row>
    <row r="7811" spans="10:12">
      <c r="J7811" s="31">
        <v>50</v>
      </c>
      <c r="K7811" s="33" t="s">
        <v>122</v>
      </c>
      <c r="L7811" s="31" t="s">
        <v>123</v>
      </c>
    </row>
    <row r="7812" spans="10:12">
      <c r="J7812" s="31">
        <v>51</v>
      </c>
      <c r="K7812" s="33" t="s">
        <v>124</v>
      </c>
      <c r="L7812" s="31" t="str">
        <f t="shared" ref="L7812:L7820" si="755">$L$53&amp;" "&amp;L7762</f>
        <v>Lima Puluh Satu</v>
      </c>
    </row>
    <row r="7813" spans="10:12">
      <c r="J7813" s="31">
        <v>52</v>
      </c>
      <c r="K7813" s="33" t="s">
        <v>125</v>
      </c>
      <c r="L7813" s="31" t="str">
        <f t="shared" si="755"/>
        <v>Lima Puluh Dua</v>
      </c>
    </row>
    <row r="7814" spans="10:12">
      <c r="J7814" s="31">
        <v>53</v>
      </c>
      <c r="K7814" s="33" t="s">
        <v>126</v>
      </c>
      <c r="L7814" s="31" t="str">
        <f t="shared" si="755"/>
        <v>Lima Puluh Tiga</v>
      </c>
    </row>
    <row r="7815" spans="10:12">
      <c r="J7815" s="31">
        <v>54</v>
      </c>
      <c r="K7815" s="33" t="s">
        <v>127</v>
      </c>
      <c r="L7815" s="31" t="str">
        <f t="shared" si="755"/>
        <v>Lima Puluh Empat</v>
      </c>
    </row>
    <row r="7816" spans="10:12">
      <c r="J7816" s="31">
        <v>55</v>
      </c>
      <c r="K7816" s="33" t="s">
        <v>128</v>
      </c>
      <c r="L7816" s="31" t="str">
        <f t="shared" si="755"/>
        <v>Lima Puluh Lima</v>
      </c>
    </row>
    <row r="7817" spans="10:12">
      <c r="J7817" s="31">
        <v>56</v>
      </c>
      <c r="K7817" s="33" t="s">
        <v>129</v>
      </c>
      <c r="L7817" s="31" t="str">
        <f t="shared" si="755"/>
        <v>Lima Puluh Enam</v>
      </c>
    </row>
    <row r="7818" spans="10:12">
      <c r="J7818" s="31">
        <v>57</v>
      </c>
      <c r="K7818" s="33" t="s">
        <v>130</v>
      </c>
      <c r="L7818" s="31" t="str">
        <f t="shared" si="755"/>
        <v>Lima Puluh Tujuh</v>
      </c>
    </row>
    <row r="7819" spans="10:12">
      <c r="J7819" s="31">
        <v>58</v>
      </c>
      <c r="K7819" s="33" t="s">
        <v>131</v>
      </c>
      <c r="L7819" s="31" t="str">
        <f t="shared" si="755"/>
        <v>Lima Puluh Delapan</v>
      </c>
    </row>
    <row r="7820" spans="10:12">
      <c r="J7820" s="31">
        <v>59</v>
      </c>
      <c r="K7820" s="33" t="s">
        <v>132</v>
      </c>
      <c r="L7820" s="31" t="str">
        <f t="shared" si="755"/>
        <v>Lima Puluh Sembilan</v>
      </c>
    </row>
    <row r="7821" spans="10:12">
      <c r="J7821" s="31">
        <v>60</v>
      </c>
      <c r="K7821" s="33" t="s">
        <v>133</v>
      </c>
      <c r="L7821" s="31" t="s">
        <v>134</v>
      </c>
    </row>
    <row r="7822" spans="10:12">
      <c r="J7822" s="31">
        <v>61</v>
      </c>
      <c r="K7822" s="33" t="s">
        <v>135</v>
      </c>
      <c r="L7822" s="31" t="str">
        <f t="shared" ref="L7822:L7830" si="756">$L$63&amp;" "&amp;L7762</f>
        <v>Enam Puluh Satu</v>
      </c>
    </row>
    <row r="7823" spans="10:12">
      <c r="J7823" s="31">
        <v>62</v>
      </c>
      <c r="K7823" s="33" t="s">
        <v>136</v>
      </c>
      <c r="L7823" s="31" t="str">
        <f t="shared" si="756"/>
        <v>Enam Puluh Dua</v>
      </c>
    </row>
    <row r="7824" spans="10:12">
      <c r="J7824" s="31">
        <v>63</v>
      </c>
      <c r="K7824" s="33" t="s">
        <v>137</v>
      </c>
      <c r="L7824" s="31" t="str">
        <f t="shared" si="756"/>
        <v>Enam Puluh Tiga</v>
      </c>
    </row>
    <row r="7825" spans="10:12">
      <c r="J7825" s="31">
        <v>64</v>
      </c>
      <c r="K7825" s="33" t="s">
        <v>138</v>
      </c>
      <c r="L7825" s="31" t="str">
        <f t="shared" si="756"/>
        <v>Enam Puluh Empat</v>
      </c>
    </row>
    <row r="7826" spans="10:12">
      <c r="J7826" s="31">
        <v>65</v>
      </c>
      <c r="K7826" s="33" t="s">
        <v>139</v>
      </c>
      <c r="L7826" s="31" t="str">
        <f t="shared" si="756"/>
        <v>Enam Puluh Lima</v>
      </c>
    </row>
    <row r="7827" spans="10:12">
      <c r="J7827" s="31">
        <v>66</v>
      </c>
      <c r="K7827" s="33" t="s">
        <v>140</v>
      </c>
      <c r="L7827" s="31" t="str">
        <f t="shared" si="756"/>
        <v>Enam Puluh Enam</v>
      </c>
    </row>
    <row r="7828" spans="10:12">
      <c r="J7828" s="31">
        <v>67</v>
      </c>
      <c r="K7828" s="33" t="s">
        <v>141</v>
      </c>
      <c r="L7828" s="31" t="str">
        <f t="shared" si="756"/>
        <v>Enam Puluh Tujuh</v>
      </c>
    </row>
    <row r="7829" spans="10:12">
      <c r="J7829" s="31">
        <v>68</v>
      </c>
      <c r="K7829" s="33" t="s">
        <v>142</v>
      </c>
      <c r="L7829" s="31" t="str">
        <f t="shared" si="756"/>
        <v>Enam Puluh Delapan</v>
      </c>
    </row>
    <row r="7830" spans="10:12">
      <c r="J7830" s="31">
        <v>69</v>
      </c>
      <c r="K7830" s="33" t="s">
        <v>143</v>
      </c>
      <c r="L7830" s="31" t="str">
        <f t="shared" si="756"/>
        <v>Enam Puluh Sembilan</v>
      </c>
    </row>
    <row r="7831" spans="10:12">
      <c r="J7831" s="31">
        <v>70</v>
      </c>
      <c r="K7831" s="33" t="s">
        <v>144</v>
      </c>
      <c r="L7831" s="31" t="s">
        <v>145</v>
      </c>
    </row>
    <row r="7832" spans="10:12">
      <c r="J7832" s="31">
        <v>71</v>
      </c>
      <c r="K7832" s="33" t="s">
        <v>146</v>
      </c>
      <c r="L7832" s="31" t="str">
        <f t="shared" ref="L7832:L7840" si="757">$L$73&amp;" "&amp;L7762</f>
        <v>Tujuh Puluh Satu</v>
      </c>
    </row>
    <row r="7833" spans="10:12">
      <c r="J7833" s="31">
        <v>72</v>
      </c>
      <c r="K7833" s="33" t="s">
        <v>147</v>
      </c>
      <c r="L7833" s="31" t="str">
        <f t="shared" si="757"/>
        <v>Tujuh Puluh Dua</v>
      </c>
    </row>
    <row r="7834" spans="10:12">
      <c r="J7834" s="31">
        <v>73</v>
      </c>
      <c r="K7834" s="33" t="s">
        <v>148</v>
      </c>
      <c r="L7834" s="31" t="str">
        <f t="shared" si="757"/>
        <v>Tujuh Puluh Tiga</v>
      </c>
    </row>
    <row r="7835" spans="10:12">
      <c r="J7835" s="31">
        <v>74</v>
      </c>
      <c r="K7835" s="33" t="s">
        <v>149</v>
      </c>
      <c r="L7835" s="31" t="str">
        <f t="shared" si="757"/>
        <v>Tujuh Puluh Empat</v>
      </c>
    </row>
    <row r="7836" spans="10:12">
      <c r="J7836" s="31">
        <v>75</v>
      </c>
      <c r="K7836" s="33" t="s">
        <v>150</v>
      </c>
      <c r="L7836" s="31" t="str">
        <f t="shared" si="757"/>
        <v>Tujuh Puluh Lima</v>
      </c>
    </row>
    <row r="7837" spans="10:12">
      <c r="J7837" s="31">
        <v>76</v>
      </c>
      <c r="K7837" s="33" t="s">
        <v>151</v>
      </c>
      <c r="L7837" s="31" t="str">
        <f t="shared" si="757"/>
        <v>Tujuh Puluh Enam</v>
      </c>
    </row>
    <row r="7838" spans="10:12">
      <c r="J7838" s="31">
        <v>77</v>
      </c>
      <c r="K7838" s="33" t="s">
        <v>152</v>
      </c>
      <c r="L7838" s="31" t="str">
        <f t="shared" si="757"/>
        <v>Tujuh Puluh Tujuh</v>
      </c>
    </row>
    <row r="7839" spans="10:12">
      <c r="J7839" s="31">
        <v>78</v>
      </c>
      <c r="K7839" s="33" t="s">
        <v>153</v>
      </c>
      <c r="L7839" s="31" t="str">
        <f t="shared" si="757"/>
        <v>Tujuh Puluh Delapan</v>
      </c>
    </row>
    <row r="7840" spans="10:12">
      <c r="J7840" s="31">
        <v>79</v>
      </c>
      <c r="K7840" s="33" t="s">
        <v>154</v>
      </c>
      <c r="L7840" s="31" t="str">
        <f t="shared" si="757"/>
        <v>Tujuh Puluh Sembilan</v>
      </c>
    </row>
    <row r="7841" spans="10:12">
      <c r="J7841" s="31">
        <v>80</v>
      </c>
      <c r="K7841" s="33" t="s">
        <v>155</v>
      </c>
      <c r="L7841" s="31" t="s">
        <v>156</v>
      </c>
    </row>
    <row r="7842" spans="10:12">
      <c r="J7842" s="31">
        <v>81</v>
      </c>
      <c r="K7842" s="33" t="s">
        <v>157</v>
      </c>
      <c r="L7842" s="31" t="str">
        <f t="shared" ref="L7842:L7850" si="758">$L$83&amp;" "&amp;L7762</f>
        <v>Delapan Puluh Satu</v>
      </c>
    </row>
    <row r="7843" spans="10:12">
      <c r="J7843" s="31">
        <v>82</v>
      </c>
      <c r="K7843" s="33" t="s">
        <v>158</v>
      </c>
      <c r="L7843" s="31" t="str">
        <f t="shared" si="758"/>
        <v>Delapan Puluh Dua</v>
      </c>
    </row>
    <row r="7844" spans="10:12">
      <c r="J7844" s="31">
        <v>83</v>
      </c>
      <c r="K7844" s="33" t="s">
        <v>159</v>
      </c>
      <c r="L7844" s="31" t="str">
        <f t="shared" si="758"/>
        <v>Delapan Puluh Tiga</v>
      </c>
    </row>
    <row r="7845" spans="10:12">
      <c r="J7845" s="31">
        <v>84</v>
      </c>
      <c r="K7845" s="33" t="s">
        <v>160</v>
      </c>
      <c r="L7845" s="31" t="str">
        <f t="shared" si="758"/>
        <v>Delapan Puluh Empat</v>
      </c>
    </row>
    <row r="7846" spans="10:12">
      <c r="J7846" s="31">
        <v>85</v>
      </c>
      <c r="K7846" s="33" t="s">
        <v>161</v>
      </c>
      <c r="L7846" s="31" t="str">
        <f t="shared" si="758"/>
        <v>Delapan Puluh Lima</v>
      </c>
    </row>
    <row r="7847" spans="10:12">
      <c r="J7847" s="31">
        <v>86</v>
      </c>
      <c r="K7847" s="33" t="s">
        <v>162</v>
      </c>
      <c r="L7847" s="31" t="str">
        <f t="shared" si="758"/>
        <v>Delapan Puluh Enam</v>
      </c>
    </row>
    <row r="7848" spans="10:12">
      <c r="J7848" s="31">
        <v>87</v>
      </c>
      <c r="K7848" s="33" t="s">
        <v>163</v>
      </c>
      <c r="L7848" s="31" t="str">
        <f t="shared" si="758"/>
        <v>Delapan Puluh Tujuh</v>
      </c>
    </row>
    <row r="7849" spans="10:12">
      <c r="J7849" s="31">
        <v>88</v>
      </c>
      <c r="K7849" s="33" t="s">
        <v>164</v>
      </c>
      <c r="L7849" s="31" t="str">
        <f t="shared" si="758"/>
        <v>Delapan Puluh Delapan</v>
      </c>
    </row>
    <row r="7850" spans="10:12">
      <c r="J7850" s="31">
        <v>89</v>
      </c>
      <c r="K7850" s="33" t="s">
        <v>165</v>
      </c>
      <c r="L7850" s="31" t="str">
        <f t="shared" si="758"/>
        <v>Delapan Puluh Sembilan</v>
      </c>
    </row>
    <row r="7851" spans="10:12">
      <c r="J7851" s="31">
        <v>90</v>
      </c>
      <c r="K7851" s="33" t="s">
        <v>166</v>
      </c>
      <c r="L7851" s="31" t="s">
        <v>167</v>
      </c>
    </row>
    <row r="7852" spans="10:12">
      <c r="J7852" s="31">
        <v>91</v>
      </c>
      <c r="K7852" s="33" t="s">
        <v>168</v>
      </c>
      <c r="L7852" s="31" t="str">
        <f t="shared" ref="L7852:L7860" si="759">$L$93&amp;" "&amp;L7762</f>
        <v>Sembilan Puluh Satu</v>
      </c>
    </row>
    <row r="7853" spans="10:12">
      <c r="J7853" s="31">
        <v>92</v>
      </c>
      <c r="K7853" s="33" t="s">
        <v>169</v>
      </c>
      <c r="L7853" s="31" t="str">
        <f t="shared" si="759"/>
        <v>Sembilan Puluh Dua</v>
      </c>
    </row>
    <row r="7854" spans="10:12">
      <c r="J7854" s="31">
        <v>93</v>
      </c>
      <c r="K7854" s="33" t="s">
        <v>170</v>
      </c>
      <c r="L7854" s="31" t="str">
        <f t="shared" si="759"/>
        <v>Sembilan Puluh Tiga</v>
      </c>
    </row>
    <row r="7855" spans="10:12">
      <c r="J7855" s="31">
        <v>94</v>
      </c>
      <c r="K7855" s="33" t="s">
        <v>171</v>
      </c>
      <c r="L7855" s="31" t="str">
        <f t="shared" si="759"/>
        <v>Sembilan Puluh Empat</v>
      </c>
    </row>
    <row r="7856" spans="10:12">
      <c r="J7856" s="31">
        <v>95</v>
      </c>
      <c r="K7856" s="33" t="s">
        <v>172</v>
      </c>
      <c r="L7856" s="31" t="str">
        <f t="shared" si="759"/>
        <v>Sembilan Puluh Lima</v>
      </c>
    </row>
    <row r="7857" spans="1:12">
      <c r="J7857" s="31">
        <v>96</v>
      </c>
      <c r="K7857" s="33" t="s">
        <v>173</v>
      </c>
      <c r="L7857" s="31" t="str">
        <f t="shared" si="759"/>
        <v>Sembilan Puluh Enam</v>
      </c>
    </row>
    <row r="7858" spans="1:12">
      <c r="J7858" s="31">
        <v>97</v>
      </c>
      <c r="K7858" s="33" t="s">
        <v>174</v>
      </c>
      <c r="L7858" s="31" t="str">
        <f t="shared" si="759"/>
        <v>Sembilan Puluh Tujuh</v>
      </c>
    </row>
    <row r="7859" spans="1:12">
      <c r="J7859" s="31">
        <v>98</v>
      </c>
      <c r="K7859" s="33" t="s">
        <v>175</v>
      </c>
      <c r="L7859" s="31" t="str">
        <f t="shared" si="759"/>
        <v>Sembilan Puluh Delapan</v>
      </c>
    </row>
    <row r="7860" spans="1:12">
      <c r="J7860" s="31">
        <v>99</v>
      </c>
      <c r="K7860" s="33" t="s">
        <v>176</v>
      </c>
      <c r="L7860" s="31" t="str">
        <f t="shared" si="759"/>
        <v>Sembilan Puluh Sembilan</v>
      </c>
    </row>
    <row r="7863" spans="1:12">
      <c r="A7863" s="30" t="e">
        <f>#REF!</f>
        <v>#REF!</v>
      </c>
      <c r="C7863" s="31" t="s">
        <v>274</v>
      </c>
    </row>
    <row r="7864" spans="1:12">
      <c r="A7864" s="32"/>
    </row>
    <row r="7865" spans="1:12">
      <c r="J7865" s="31">
        <v>0</v>
      </c>
      <c r="K7865" s="33" t="s">
        <v>48</v>
      </c>
      <c r="L7865" s="31" t="s">
        <v>49</v>
      </c>
    </row>
    <row r="7866" spans="1:12">
      <c r="A7866" s="34"/>
      <c r="J7866" s="31">
        <v>1</v>
      </c>
      <c r="K7866" s="33" t="s">
        <v>50</v>
      </c>
      <c r="L7866" s="31" t="s">
        <v>51</v>
      </c>
    </row>
    <row r="7867" spans="1:12">
      <c r="A7867" s="255" t="e">
        <f>TRIM(D7875&amp;E7875&amp;D7876&amp;E7876&amp;D7877&amp;E7877&amp;D7878&amp;E7878&amp;D7879&amp;E7879&amp;D7880&amp;E7880&amp;E7881&amp;D7881&amp;" Only")</f>
        <v>#REF!</v>
      </c>
      <c r="B7867" s="255"/>
      <c r="C7867" s="255"/>
      <c r="D7867" s="255"/>
      <c r="E7867" s="35"/>
      <c r="F7867" s="36"/>
      <c r="J7867" s="31">
        <v>2</v>
      </c>
      <c r="K7867" s="33" t="s">
        <v>52</v>
      </c>
      <c r="L7867" s="31" t="s">
        <v>53</v>
      </c>
    </row>
    <row r="7868" spans="1:12">
      <c r="A7868" s="37"/>
      <c r="B7868" s="37"/>
      <c r="C7868" s="37"/>
      <c r="D7868" s="37"/>
      <c r="E7868" s="35"/>
      <c r="F7868" s="36"/>
      <c r="J7868" s="31">
        <v>3</v>
      </c>
      <c r="K7868" s="33" t="s">
        <v>54</v>
      </c>
      <c r="L7868" s="31" t="s">
        <v>55</v>
      </c>
    </row>
    <row r="7869" spans="1:12">
      <c r="A7869" s="37"/>
      <c r="B7869" s="37"/>
      <c r="C7869" s="37"/>
      <c r="D7869" s="37"/>
      <c r="J7869" s="31">
        <v>4</v>
      </c>
      <c r="K7869" s="33" t="s">
        <v>56</v>
      </c>
      <c r="L7869" s="31" t="s">
        <v>57</v>
      </c>
    </row>
    <row r="7870" spans="1:12">
      <c r="A7870" s="255" t="e">
        <f>TRIM(D7885&amp;E7885&amp;D7886&amp;E7886&amp;D7887&amp;E7887&amp;D7888&amp;E7888&amp;D7889&amp;E7889&amp;D7890&amp;E7890&amp;D7891&amp;E7891&amp;" Rupiah")</f>
        <v>#REF!</v>
      </c>
      <c r="B7870" s="255"/>
      <c r="C7870" s="255"/>
      <c r="D7870" s="255"/>
      <c r="E7870" s="35"/>
      <c r="F7870" s="36"/>
      <c r="J7870" s="31">
        <v>5</v>
      </c>
      <c r="K7870" s="33" t="s">
        <v>58</v>
      </c>
      <c r="L7870" s="31" t="s">
        <v>59</v>
      </c>
    </row>
    <row r="7871" spans="1:12">
      <c r="A7871" s="35"/>
      <c r="B7871" s="35"/>
      <c r="C7871" s="35"/>
      <c r="D7871" s="35"/>
      <c r="E7871" s="35"/>
      <c r="F7871" s="36"/>
      <c r="J7871" s="31">
        <v>6</v>
      </c>
      <c r="K7871" s="33" t="s">
        <v>60</v>
      </c>
      <c r="L7871" s="31" t="s">
        <v>61</v>
      </c>
    </row>
    <row r="7872" spans="1:12">
      <c r="J7872" s="31">
        <v>7</v>
      </c>
      <c r="K7872" s="33" t="s">
        <v>62</v>
      </c>
      <c r="L7872" s="31" t="s">
        <v>63</v>
      </c>
    </row>
    <row r="7873" spans="1:12">
      <c r="J7873" s="31">
        <v>8</v>
      </c>
      <c r="K7873" s="33" t="s">
        <v>64</v>
      </c>
      <c r="L7873" s="31" t="s">
        <v>65</v>
      </c>
    </row>
    <row r="7874" spans="1:12">
      <c r="A7874" s="38" t="s">
        <v>66</v>
      </c>
      <c r="J7874" s="31">
        <v>9</v>
      </c>
      <c r="K7874" s="33" t="s">
        <v>67</v>
      </c>
      <c r="L7874" s="31" t="s">
        <v>68</v>
      </c>
    </row>
    <row r="7875" spans="1:12">
      <c r="A7875" s="31" t="s">
        <v>69</v>
      </c>
      <c r="B7875" s="39" t="e">
        <f>TRUNC(A7863/100000000)</f>
        <v>#REF!</v>
      </c>
      <c r="C7875" s="31" t="e">
        <f>B7875*100000000</f>
        <v>#REF!</v>
      </c>
      <c r="D7875" s="31" t="e">
        <f t="shared" ref="D7875:D7881" si="760">IF(B7875&lt;1,"",VLOOKUP(B7875,$J$3:$K$102,2))</f>
        <v>#REF!</v>
      </c>
      <c r="E7875" s="31" t="e">
        <f>IF(B7875&lt;1,"",IF(B7875&gt;1," Hundreds "," Hundred "))</f>
        <v>#REF!</v>
      </c>
      <c r="J7875" s="31">
        <v>10</v>
      </c>
      <c r="K7875" s="33" t="s">
        <v>70</v>
      </c>
      <c r="L7875" s="31" t="s">
        <v>71</v>
      </c>
    </row>
    <row r="7876" spans="1:12">
      <c r="A7876" s="31" t="s">
        <v>72</v>
      </c>
      <c r="B7876" s="39" t="e">
        <f>TRUNC((A7863-C7875)/1000000)</f>
        <v>#REF!</v>
      </c>
      <c r="C7876" s="31" t="e">
        <f>B7876*1000000</f>
        <v>#REF!</v>
      </c>
      <c r="D7876" s="31" t="e">
        <f t="shared" si="760"/>
        <v>#REF!</v>
      </c>
      <c r="E7876" s="31" t="e">
        <f>IF(B7875+B7876=0,"",IF(B7876=1," Million "," Millions "))</f>
        <v>#REF!</v>
      </c>
      <c r="J7876" s="31">
        <v>11</v>
      </c>
      <c r="K7876" s="33" t="s">
        <v>73</v>
      </c>
      <c r="L7876" s="31" t="s">
        <v>74</v>
      </c>
    </row>
    <row r="7877" spans="1:12">
      <c r="A7877" s="31" t="s">
        <v>75</v>
      </c>
      <c r="B7877" s="39" t="e">
        <f>TRUNC((A7863-SUM(C7875:C7876))/100000)</f>
        <v>#REF!</v>
      </c>
      <c r="C7877" s="31" t="e">
        <f>B7877*100000</f>
        <v>#REF!</v>
      </c>
      <c r="D7877" s="31" t="e">
        <f t="shared" si="760"/>
        <v>#REF!</v>
      </c>
      <c r="E7877" s="31" t="e">
        <f>IF(B7877&lt;1,"",IF(B7877&gt;1," Hundreds "," Hundred "))</f>
        <v>#REF!</v>
      </c>
      <c r="J7877" s="31">
        <v>12</v>
      </c>
      <c r="K7877" s="33" t="s">
        <v>76</v>
      </c>
      <c r="L7877" s="31" t="str">
        <f t="shared" ref="L7877:L7884" si="761">L7867&amp;" Belas"</f>
        <v>Dua Belas</v>
      </c>
    </row>
    <row r="7878" spans="1:12">
      <c r="A7878" s="33" t="s">
        <v>77</v>
      </c>
      <c r="B7878" s="40" t="e">
        <f>TRUNC((A7863-SUM(C7875:C7877))/1000)</f>
        <v>#REF!</v>
      </c>
      <c r="C7878" s="31" t="e">
        <f>B7878*1000</f>
        <v>#REF!</v>
      </c>
      <c r="D7878" s="31" t="e">
        <f t="shared" si="760"/>
        <v>#REF!</v>
      </c>
      <c r="E7878" s="31" t="e">
        <f>IF(B7877+B7878=0,"",IF(B7878=1," Thousand "," Thousands "))</f>
        <v>#REF!</v>
      </c>
      <c r="J7878" s="31">
        <v>13</v>
      </c>
      <c r="K7878" s="33" t="s">
        <v>78</v>
      </c>
      <c r="L7878" s="31" t="str">
        <f t="shared" si="761"/>
        <v>Tiga Belas</v>
      </c>
    </row>
    <row r="7879" spans="1:12">
      <c r="A7879" s="33" t="s">
        <v>79</v>
      </c>
      <c r="B7879" s="40" t="e">
        <f>TRUNC((A7863-SUM(C7875:C7878))/100)</f>
        <v>#REF!</v>
      </c>
      <c r="C7879" s="31" t="e">
        <f>B7879*100</f>
        <v>#REF!</v>
      </c>
      <c r="D7879" s="31" t="e">
        <f t="shared" si="760"/>
        <v>#REF!</v>
      </c>
      <c r="E7879" s="31" t="e">
        <f>IF(B7879&lt;1,"",IF(B7879&gt;1," Hundreds "," Hundred "))</f>
        <v>#REF!</v>
      </c>
      <c r="J7879" s="31">
        <v>14</v>
      </c>
      <c r="K7879" s="33" t="s">
        <v>80</v>
      </c>
      <c r="L7879" s="31" t="str">
        <f t="shared" si="761"/>
        <v>Empat Belas</v>
      </c>
    </row>
    <row r="7880" spans="1:12">
      <c r="A7880" s="33" t="s">
        <v>81</v>
      </c>
      <c r="B7880" s="41" t="e">
        <f>TRUNC((A7863-SUM(C7875:C7879)))</f>
        <v>#REF!</v>
      </c>
      <c r="C7880" s="42" t="e">
        <f>B7880</f>
        <v>#REF!</v>
      </c>
      <c r="D7880" s="31" t="e">
        <f t="shared" si="760"/>
        <v>#REF!</v>
      </c>
      <c r="E7880" s="31" t="e">
        <f>IF(SUM(C7875:C7880)&lt;1,"",IF(B7881&lt;1,""," And "))</f>
        <v>#REF!</v>
      </c>
      <c r="J7880" s="31">
        <v>15</v>
      </c>
      <c r="K7880" s="33" t="s">
        <v>82</v>
      </c>
      <c r="L7880" s="31" t="str">
        <f t="shared" si="761"/>
        <v>Lima Belas</v>
      </c>
    </row>
    <row r="7881" spans="1:12">
      <c r="A7881" s="33" t="s">
        <v>83</v>
      </c>
      <c r="B7881" s="40" t="e">
        <f>ROUND(A7863-SUM(C7875:C7880),2)*100</f>
        <v>#REF!</v>
      </c>
      <c r="D7881" s="43" t="e">
        <f t="shared" si="760"/>
        <v>#REF!</v>
      </c>
      <c r="E7881" s="31" t="e">
        <f>IF(B7881&lt;1,"",IF(B7881=1," Cent "," Cents "))</f>
        <v>#REF!</v>
      </c>
      <c r="J7881" s="31">
        <v>16</v>
      </c>
      <c r="K7881" s="33" t="s">
        <v>84</v>
      </c>
      <c r="L7881" s="31" t="str">
        <f t="shared" si="761"/>
        <v>Enam Belas</v>
      </c>
    </row>
    <row r="7882" spans="1:12">
      <c r="J7882" s="31">
        <v>17</v>
      </c>
      <c r="K7882" s="33" t="s">
        <v>85</v>
      </c>
      <c r="L7882" s="31" t="str">
        <f t="shared" si="761"/>
        <v>Tujuh Belas</v>
      </c>
    </row>
    <row r="7883" spans="1:12">
      <c r="A7883" s="44"/>
      <c r="J7883" s="31">
        <v>18</v>
      </c>
      <c r="K7883" s="33" t="s">
        <v>86</v>
      </c>
      <c r="L7883" s="31" t="str">
        <f t="shared" si="761"/>
        <v>Delapan Belas</v>
      </c>
    </row>
    <row r="7884" spans="1:12">
      <c r="A7884" s="38" t="s">
        <v>87</v>
      </c>
      <c r="J7884" s="31">
        <v>19</v>
      </c>
      <c r="K7884" s="33" t="s">
        <v>88</v>
      </c>
      <c r="L7884" s="31" t="str">
        <f t="shared" si="761"/>
        <v>Sembilan Belas</v>
      </c>
    </row>
    <row r="7885" spans="1:12">
      <c r="A7885" s="31" t="s">
        <v>69</v>
      </c>
      <c r="B7885" s="39" t="e">
        <f>TRUNC(A7863/100000000)</f>
        <v>#REF!</v>
      </c>
      <c r="C7885" s="31" t="e">
        <f>B7885*100000000</f>
        <v>#REF!</v>
      </c>
      <c r="D7885" s="31" t="e">
        <f>IF(B7885&lt;1,"",IF(B7885=1,"",VLOOKUP(B7885,$J$3:$L$102,3)))</f>
        <v>#REF!</v>
      </c>
      <c r="E7885" s="31" t="e">
        <f>IF(B7885&lt;1,"",IF(B7885=1,"Seratus "," Ratus "))</f>
        <v>#REF!</v>
      </c>
      <c r="J7885" s="31">
        <v>20</v>
      </c>
      <c r="K7885" s="33" t="s">
        <v>89</v>
      </c>
      <c r="L7885" s="31" t="s">
        <v>90</v>
      </c>
    </row>
    <row r="7886" spans="1:12">
      <c r="A7886" s="31" t="s">
        <v>72</v>
      </c>
      <c r="B7886" s="39" t="e">
        <f>TRUNC((A7863-C7885)/1000000)</f>
        <v>#REF!</v>
      </c>
      <c r="C7886" s="31" t="e">
        <f>B7886*1000000</f>
        <v>#REF!</v>
      </c>
      <c r="D7886" s="31" t="e">
        <f>IF(B7886&lt;1,"",VLOOKUP(B7886,$J$3:$L$102,3))</f>
        <v>#REF!</v>
      </c>
      <c r="E7886" s="31" t="e">
        <f>IF(B7885+B7886=0,""," Juta ")</f>
        <v>#REF!</v>
      </c>
      <c r="J7886" s="31">
        <v>21</v>
      </c>
      <c r="K7886" s="33" t="s">
        <v>91</v>
      </c>
      <c r="L7886" s="31" t="str">
        <f t="shared" ref="L7886:L7894" si="762">$L$23&amp;" "&amp;L7866</f>
        <v>Dua Puluh Satu</v>
      </c>
    </row>
    <row r="7887" spans="1:12">
      <c r="A7887" s="31" t="s">
        <v>75</v>
      </c>
      <c r="B7887" s="39" t="e">
        <f>TRUNC((A7863-SUM(C7885:C7886))/100000)</f>
        <v>#REF!</v>
      </c>
      <c r="C7887" s="31" t="e">
        <f>B7887*100000</f>
        <v>#REF!</v>
      </c>
      <c r="D7887" s="31" t="e">
        <f>IF(B7887&lt;1,"",IF(B7887=1,"",VLOOKUP(B7887,$J$3:$L$102,3)))</f>
        <v>#REF!</v>
      </c>
      <c r="E7887" s="31" t="e">
        <f>IF(B7887&lt;1,"",IF(B7887=1," Seratus "," Ratus "))</f>
        <v>#REF!</v>
      </c>
      <c r="J7887" s="31">
        <v>22</v>
      </c>
      <c r="K7887" s="33" t="s">
        <v>92</v>
      </c>
      <c r="L7887" s="31" t="str">
        <f t="shared" si="762"/>
        <v>Dua Puluh Dua</v>
      </c>
    </row>
    <row r="7888" spans="1:12">
      <c r="A7888" s="33" t="s">
        <v>77</v>
      </c>
      <c r="B7888" s="40" t="e">
        <f>TRUNC((A7863-SUM(C7885:C7887))/1000)</f>
        <v>#REF!</v>
      </c>
      <c r="C7888" s="31" t="e">
        <f>B7888*1000</f>
        <v>#REF!</v>
      </c>
      <c r="D7888" s="31" t="e">
        <f>IF(B7888&lt;1,"",IF(B7888=1,"",VLOOKUP(B7888,$J$3:$L$102,3)))</f>
        <v>#REF!</v>
      </c>
      <c r="E7888" s="31" t="e">
        <f>IF(B7887+B7888&lt;1,"",IF(B7888=1," Seribu "," Ribu "))</f>
        <v>#REF!</v>
      </c>
      <c r="J7888" s="31">
        <v>23</v>
      </c>
      <c r="K7888" s="33" t="s">
        <v>93</v>
      </c>
      <c r="L7888" s="31" t="str">
        <f t="shared" si="762"/>
        <v>Dua Puluh Tiga</v>
      </c>
    </row>
    <row r="7889" spans="1:12">
      <c r="A7889" s="33" t="s">
        <v>79</v>
      </c>
      <c r="B7889" s="40" t="e">
        <f>TRUNC((A7863-SUM(C7885:C7888))/100)</f>
        <v>#REF!</v>
      </c>
      <c r="C7889" s="31" t="e">
        <f>B7889*100</f>
        <v>#REF!</v>
      </c>
      <c r="D7889" s="31" t="e">
        <f>IF(B7889&lt;1,"",IF(B7889=1,"",VLOOKUP(B7889,$J$3:$L$102,3)))</f>
        <v>#REF!</v>
      </c>
      <c r="E7889" s="31" t="e">
        <f>IF(B7889&lt;1,"",IF(B7889=1," Seratus "," Ratus "))</f>
        <v>#REF!</v>
      </c>
      <c r="J7889" s="31">
        <v>24</v>
      </c>
      <c r="K7889" s="33" t="s">
        <v>94</v>
      </c>
      <c r="L7889" s="31" t="str">
        <f t="shared" si="762"/>
        <v>Dua Puluh Empat</v>
      </c>
    </row>
    <row r="7890" spans="1:12">
      <c r="A7890" s="33" t="s">
        <v>81</v>
      </c>
      <c r="B7890" s="41" t="e">
        <f>TRUNC((A7863-SUM(C7885:C7889)))</f>
        <v>#REF!</v>
      </c>
      <c r="C7890" s="42" t="e">
        <f>B7890</f>
        <v>#REF!</v>
      </c>
      <c r="D7890" s="31" t="e">
        <f>IF(B7890&lt;1,"",VLOOKUP(B7890,$J$3:$L$102,3))</f>
        <v>#REF!</v>
      </c>
      <c r="E7890" s="31" t="e">
        <f>IF(SUM(C7885:C7890)&lt;1,"",IF(B7891&lt;1,""," Dan "))</f>
        <v>#REF!</v>
      </c>
      <c r="J7890" s="31">
        <v>25</v>
      </c>
      <c r="K7890" s="33" t="s">
        <v>95</v>
      </c>
      <c r="L7890" s="31" t="str">
        <f t="shared" si="762"/>
        <v>Dua Puluh Lima</v>
      </c>
    </row>
    <row r="7891" spans="1:12">
      <c r="A7891" s="33" t="s">
        <v>83</v>
      </c>
      <c r="B7891" s="40" t="e">
        <f>ROUND(A7863-SUM(C7885:C7890),2)*100</f>
        <v>#REF!</v>
      </c>
      <c r="D7891" s="31" t="e">
        <f>IF(B7891&lt;1,"",VLOOKUP(B7891,$J$3:$L$102,3))</f>
        <v>#REF!</v>
      </c>
      <c r="E7891" s="31" t="e">
        <f>IF(B7891&lt;1,""," Sen ")</f>
        <v>#REF!</v>
      </c>
      <c r="J7891" s="31">
        <v>26</v>
      </c>
      <c r="K7891" s="33" t="s">
        <v>96</v>
      </c>
      <c r="L7891" s="31" t="str">
        <f t="shared" si="762"/>
        <v>Dua Puluh Enam</v>
      </c>
    </row>
    <row r="7892" spans="1:12">
      <c r="J7892" s="31">
        <v>27</v>
      </c>
      <c r="K7892" s="33" t="s">
        <v>97</v>
      </c>
      <c r="L7892" s="31" t="str">
        <f t="shared" si="762"/>
        <v>Dua Puluh Tujuh</v>
      </c>
    </row>
    <row r="7893" spans="1:12">
      <c r="J7893" s="31">
        <v>28</v>
      </c>
      <c r="K7893" s="33" t="s">
        <v>98</v>
      </c>
      <c r="L7893" s="31" t="str">
        <f t="shared" si="762"/>
        <v>Dua Puluh Delapan</v>
      </c>
    </row>
    <row r="7894" spans="1:12">
      <c r="J7894" s="31">
        <v>29</v>
      </c>
      <c r="K7894" s="33" t="s">
        <v>99</v>
      </c>
      <c r="L7894" s="31" t="str">
        <f t="shared" si="762"/>
        <v>Dua Puluh Sembilan</v>
      </c>
    </row>
    <row r="7895" spans="1:12">
      <c r="J7895" s="31">
        <v>30</v>
      </c>
      <c r="K7895" s="33" t="s">
        <v>100</v>
      </c>
      <c r="L7895" s="31" t="s">
        <v>101</v>
      </c>
    </row>
    <row r="7896" spans="1:12">
      <c r="J7896" s="31">
        <v>31</v>
      </c>
      <c r="K7896" s="33" t="s">
        <v>102</v>
      </c>
      <c r="L7896" s="31" t="str">
        <f t="shared" ref="L7896:L7904" si="763">$L$33&amp;" "&amp;L7866</f>
        <v>Tiga Puluh Satu</v>
      </c>
    </row>
    <row r="7897" spans="1:12">
      <c r="J7897" s="31">
        <v>32</v>
      </c>
      <c r="K7897" s="33" t="s">
        <v>103</v>
      </c>
      <c r="L7897" s="31" t="str">
        <f t="shared" si="763"/>
        <v>Tiga Puluh Dua</v>
      </c>
    </row>
    <row r="7898" spans="1:12">
      <c r="J7898" s="31">
        <v>33</v>
      </c>
      <c r="K7898" s="33" t="s">
        <v>104</v>
      </c>
      <c r="L7898" s="31" t="str">
        <f t="shared" si="763"/>
        <v>Tiga Puluh Tiga</v>
      </c>
    </row>
    <row r="7899" spans="1:12">
      <c r="J7899" s="31">
        <v>34</v>
      </c>
      <c r="K7899" s="33" t="s">
        <v>105</v>
      </c>
      <c r="L7899" s="31" t="str">
        <f t="shared" si="763"/>
        <v>Tiga Puluh Empat</v>
      </c>
    </row>
    <row r="7900" spans="1:12">
      <c r="J7900" s="31">
        <v>35</v>
      </c>
      <c r="K7900" s="33" t="s">
        <v>106</v>
      </c>
      <c r="L7900" s="31" t="str">
        <f t="shared" si="763"/>
        <v>Tiga Puluh Lima</v>
      </c>
    </row>
    <row r="7901" spans="1:12">
      <c r="J7901" s="31">
        <v>36</v>
      </c>
      <c r="K7901" s="33" t="s">
        <v>107</v>
      </c>
      <c r="L7901" s="31" t="str">
        <f t="shared" si="763"/>
        <v>Tiga Puluh Enam</v>
      </c>
    </row>
    <row r="7902" spans="1:12">
      <c r="J7902" s="31">
        <v>37</v>
      </c>
      <c r="K7902" s="33" t="s">
        <v>108</v>
      </c>
      <c r="L7902" s="31" t="str">
        <f t="shared" si="763"/>
        <v>Tiga Puluh Tujuh</v>
      </c>
    </row>
    <row r="7903" spans="1:12">
      <c r="J7903" s="31">
        <v>38</v>
      </c>
      <c r="K7903" s="33" t="s">
        <v>109</v>
      </c>
      <c r="L7903" s="31" t="str">
        <f t="shared" si="763"/>
        <v>Tiga Puluh Delapan</v>
      </c>
    </row>
    <row r="7904" spans="1:12">
      <c r="J7904" s="31">
        <v>39</v>
      </c>
      <c r="K7904" s="33" t="s">
        <v>110</v>
      </c>
      <c r="L7904" s="31" t="str">
        <f t="shared" si="763"/>
        <v>Tiga Puluh Sembilan</v>
      </c>
    </row>
    <row r="7905" spans="1:12">
      <c r="B7905" s="35"/>
      <c r="C7905" s="35"/>
      <c r="D7905" s="35"/>
      <c r="J7905" s="31">
        <v>40</v>
      </c>
      <c r="K7905" s="33" t="s">
        <v>111</v>
      </c>
      <c r="L7905" s="31" t="s">
        <v>112</v>
      </c>
    </row>
    <row r="7906" spans="1:12">
      <c r="A7906" s="35"/>
      <c r="B7906" s="35"/>
      <c r="C7906" s="35"/>
      <c r="D7906" s="35"/>
      <c r="J7906" s="31">
        <v>41</v>
      </c>
      <c r="K7906" s="33" t="s">
        <v>113</v>
      </c>
      <c r="L7906" s="31" t="str">
        <f t="shared" ref="L7906:L7914" si="764">$L$43&amp;" "&amp;L7866</f>
        <v>Empat Puluh Satu</v>
      </c>
    </row>
    <row r="7907" spans="1:12">
      <c r="J7907" s="31">
        <v>42</v>
      </c>
      <c r="K7907" s="33" t="s">
        <v>114</v>
      </c>
      <c r="L7907" s="31" t="str">
        <f t="shared" si="764"/>
        <v>Empat Puluh Dua</v>
      </c>
    </row>
    <row r="7908" spans="1:12">
      <c r="A7908" s="38"/>
      <c r="J7908" s="31">
        <v>43</v>
      </c>
      <c r="K7908" s="33" t="s">
        <v>115</v>
      </c>
      <c r="L7908" s="31" t="str">
        <f t="shared" si="764"/>
        <v>Empat Puluh Tiga</v>
      </c>
    </row>
    <row r="7909" spans="1:12">
      <c r="J7909" s="31">
        <v>44</v>
      </c>
      <c r="K7909" s="33" t="s">
        <v>116</v>
      </c>
      <c r="L7909" s="31" t="str">
        <f t="shared" si="764"/>
        <v>Empat Puluh Empat</v>
      </c>
    </row>
    <row r="7910" spans="1:12">
      <c r="J7910" s="31">
        <v>45</v>
      </c>
      <c r="K7910" s="33" t="s">
        <v>117</v>
      </c>
      <c r="L7910" s="31" t="str">
        <f t="shared" si="764"/>
        <v>Empat Puluh Lima</v>
      </c>
    </row>
    <row r="7911" spans="1:12">
      <c r="J7911" s="31">
        <v>46</v>
      </c>
      <c r="K7911" s="33" t="s">
        <v>118</v>
      </c>
      <c r="L7911" s="31" t="str">
        <f t="shared" si="764"/>
        <v>Empat Puluh Enam</v>
      </c>
    </row>
    <row r="7912" spans="1:12">
      <c r="J7912" s="31">
        <v>47</v>
      </c>
      <c r="K7912" s="33" t="s">
        <v>119</v>
      </c>
      <c r="L7912" s="31" t="str">
        <f t="shared" si="764"/>
        <v>Empat Puluh Tujuh</v>
      </c>
    </row>
    <row r="7913" spans="1:12">
      <c r="J7913" s="31">
        <v>48</v>
      </c>
      <c r="K7913" s="33" t="s">
        <v>120</v>
      </c>
      <c r="L7913" s="31" t="str">
        <f t="shared" si="764"/>
        <v>Empat Puluh Delapan</v>
      </c>
    </row>
    <row r="7914" spans="1:12">
      <c r="J7914" s="31">
        <v>49</v>
      </c>
      <c r="K7914" s="33" t="s">
        <v>121</v>
      </c>
      <c r="L7914" s="31" t="str">
        <f t="shared" si="764"/>
        <v>Empat Puluh Sembilan</v>
      </c>
    </row>
    <row r="7915" spans="1:12">
      <c r="J7915" s="31">
        <v>50</v>
      </c>
      <c r="K7915" s="33" t="s">
        <v>122</v>
      </c>
      <c r="L7915" s="31" t="s">
        <v>123</v>
      </c>
    </row>
    <row r="7916" spans="1:12">
      <c r="J7916" s="31">
        <v>51</v>
      </c>
      <c r="K7916" s="33" t="s">
        <v>124</v>
      </c>
      <c r="L7916" s="31" t="str">
        <f t="shared" ref="L7916:L7924" si="765">$L$53&amp;" "&amp;L7866</f>
        <v>Lima Puluh Satu</v>
      </c>
    </row>
    <row r="7917" spans="1:12">
      <c r="J7917" s="31">
        <v>52</v>
      </c>
      <c r="K7917" s="33" t="s">
        <v>125</v>
      </c>
      <c r="L7917" s="31" t="str">
        <f t="shared" si="765"/>
        <v>Lima Puluh Dua</v>
      </c>
    </row>
    <row r="7918" spans="1:12">
      <c r="J7918" s="31">
        <v>53</v>
      </c>
      <c r="K7918" s="33" t="s">
        <v>126</v>
      </c>
      <c r="L7918" s="31" t="str">
        <f t="shared" si="765"/>
        <v>Lima Puluh Tiga</v>
      </c>
    </row>
    <row r="7919" spans="1:12">
      <c r="J7919" s="31">
        <v>54</v>
      </c>
      <c r="K7919" s="33" t="s">
        <v>127</v>
      </c>
      <c r="L7919" s="31" t="str">
        <f t="shared" si="765"/>
        <v>Lima Puluh Empat</v>
      </c>
    </row>
    <row r="7920" spans="1:12">
      <c r="J7920" s="31">
        <v>55</v>
      </c>
      <c r="K7920" s="33" t="s">
        <v>128</v>
      </c>
      <c r="L7920" s="31" t="str">
        <f t="shared" si="765"/>
        <v>Lima Puluh Lima</v>
      </c>
    </row>
    <row r="7921" spans="10:12">
      <c r="J7921" s="31">
        <v>56</v>
      </c>
      <c r="K7921" s="33" t="s">
        <v>129</v>
      </c>
      <c r="L7921" s="31" t="str">
        <f t="shared" si="765"/>
        <v>Lima Puluh Enam</v>
      </c>
    </row>
    <row r="7922" spans="10:12">
      <c r="J7922" s="31">
        <v>57</v>
      </c>
      <c r="K7922" s="33" t="s">
        <v>130</v>
      </c>
      <c r="L7922" s="31" t="str">
        <f t="shared" si="765"/>
        <v>Lima Puluh Tujuh</v>
      </c>
    </row>
    <row r="7923" spans="10:12">
      <c r="J7923" s="31">
        <v>58</v>
      </c>
      <c r="K7923" s="33" t="s">
        <v>131</v>
      </c>
      <c r="L7923" s="31" t="str">
        <f t="shared" si="765"/>
        <v>Lima Puluh Delapan</v>
      </c>
    </row>
    <row r="7924" spans="10:12">
      <c r="J7924" s="31">
        <v>59</v>
      </c>
      <c r="K7924" s="33" t="s">
        <v>132</v>
      </c>
      <c r="L7924" s="31" t="str">
        <f t="shared" si="765"/>
        <v>Lima Puluh Sembilan</v>
      </c>
    </row>
    <row r="7925" spans="10:12">
      <c r="J7925" s="31">
        <v>60</v>
      </c>
      <c r="K7925" s="33" t="s">
        <v>133</v>
      </c>
      <c r="L7925" s="31" t="s">
        <v>134</v>
      </c>
    </row>
    <row r="7926" spans="10:12">
      <c r="J7926" s="31">
        <v>61</v>
      </c>
      <c r="K7926" s="33" t="s">
        <v>135</v>
      </c>
      <c r="L7926" s="31" t="str">
        <f t="shared" ref="L7926:L7934" si="766">$L$63&amp;" "&amp;L7866</f>
        <v>Enam Puluh Satu</v>
      </c>
    </row>
    <row r="7927" spans="10:12">
      <c r="J7927" s="31">
        <v>62</v>
      </c>
      <c r="K7927" s="33" t="s">
        <v>136</v>
      </c>
      <c r="L7927" s="31" t="str">
        <f t="shared" si="766"/>
        <v>Enam Puluh Dua</v>
      </c>
    </row>
    <row r="7928" spans="10:12">
      <c r="J7928" s="31">
        <v>63</v>
      </c>
      <c r="K7928" s="33" t="s">
        <v>137</v>
      </c>
      <c r="L7928" s="31" t="str">
        <f t="shared" si="766"/>
        <v>Enam Puluh Tiga</v>
      </c>
    </row>
    <row r="7929" spans="10:12">
      <c r="J7929" s="31">
        <v>64</v>
      </c>
      <c r="K7929" s="33" t="s">
        <v>138</v>
      </c>
      <c r="L7929" s="31" t="str">
        <f t="shared" si="766"/>
        <v>Enam Puluh Empat</v>
      </c>
    </row>
    <row r="7930" spans="10:12">
      <c r="J7930" s="31">
        <v>65</v>
      </c>
      <c r="K7930" s="33" t="s">
        <v>139</v>
      </c>
      <c r="L7930" s="31" t="str">
        <f t="shared" si="766"/>
        <v>Enam Puluh Lima</v>
      </c>
    </row>
    <row r="7931" spans="10:12">
      <c r="J7931" s="31">
        <v>66</v>
      </c>
      <c r="K7931" s="33" t="s">
        <v>140</v>
      </c>
      <c r="L7931" s="31" t="str">
        <f t="shared" si="766"/>
        <v>Enam Puluh Enam</v>
      </c>
    </row>
    <row r="7932" spans="10:12">
      <c r="J7932" s="31">
        <v>67</v>
      </c>
      <c r="K7932" s="33" t="s">
        <v>141</v>
      </c>
      <c r="L7932" s="31" t="str">
        <f t="shared" si="766"/>
        <v>Enam Puluh Tujuh</v>
      </c>
    </row>
    <row r="7933" spans="10:12">
      <c r="J7933" s="31">
        <v>68</v>
      </c>
      <c r="K7933" s="33" t="s">
        <v>142</v>
      </c>
      <c r="L7933" s="31" t="str">
        <f t="shared" si="766"/>
        <v>Enam Puluh Delapan</v>
      </c>
    </row>
    <row r="7934" spans="10:12">
      <c r="J7934" s="31">
        <v>69</v>
      </c>
      <c r="K7934" s="33" t="s">
        <v>143</v>
      </c>
      <c r="L7934" s="31" t="str">
        <f t="shared" si="766"/>
        <v>Enam Puluh Sembilan</v>
      </c>
    </row>
    <row r="7935" spans="10:12">
      <c r="J7935" s="31">
        <v>70</v>
      </c>
      <c r="K7935" s="33" t="s">
        <v>144</v>
      </c>
      <c r="L7935" s="31" t="s">
        <v>145</v>
      </c>
    </row>
    <row r="7936" spans="10:12">
      <c r="J7936" s="31">
        <v>71</v>
      </c>
      <c r="K7936" s="33" t="s">
        <v>146</v>
      </c>
      <c r="L7936" s="31" t="str">
        <f t="shared" ref="L7936:L7944" si="767">$L$73&amp;" "&amp;L7866</f>
        <v>Tujuh Puluh Satu</v>
      </c>
    </row>
    <row r="7937" spans="10:12">
      <c r="J7937" s="31">
        <v>72</v>
      </c>
      <c r="K7937" s="33" t="s">
        <v>147</v>
      </c>
      <c r="L7937" s="31" t="str">
        <f t="shared" si="767"/>
        <v>Tujuh Puluh Dua</v>
      </c>
    </row>
    <row r="7938" spans="10:12">
      <c r="J7938" s="31">
        <v>73</v>
      </c>
      <c r="K7938" s="33" t="s">
        <v>148</v>
      </c>
      <c r="L7938" s="31" t="str">
        <f t="shared" si="767"/>
        <v>Tujuh Puluh Tiga</v>
      </c>
    </row>
    <row r="7939" spans="10:12">
      <c r="J7939" s="31">
        <v>74</v>
      </c>
      <c r="K7939" s="33" t="s">
        <v>149</v>
      </c>
      <c r="L7939" s="31" t="str">
        <f t="shared" si="767"/>
        <v>Tujuh Puluh Empat</v>
      </c>
    </row>
    <row r="7940" spans="10:12">
      <c r="J7940" s="31">
        <v>75</v>
      </c>
      <c r="K7940" s="33" t="s">
        <v>150</v>
      </c>
      <c r="L7940" s="31" t="str">
        <f t="shared" si="767"/>
        <v>Tujuh Puluh Lima</v>
      </c>
    </row>
    <row r="7941" spans="10:12">
      <c r="J7941" s="31">
        <v>76</v>
      </c>
      <c r="K7941" s="33" t="s">
        <v>151</v>
      </c>
      <c r="L7941" s="31" t="str">
        <f t="shared" si="767"/>
        <v>Tujuh Puluh Enam</v>
      </c>
    </row>
    <row r="7942" spans="10:12">
      <c r="J7942" s="31">
        <v>77</v>
      </c>
      <c r="K7942" s="33" t="s">
        <v>152</v>
      </c>
      <c r="L7942" s="31" t="str">
        <f t="shared" si="767"/>
        <v>Tujuh Puluh Tujuh</v>
      </c>
    </row>
    <row r="7943" spans="10:12">
      <c r="J7943" s="31">
        <v>78</v>
      </c>
      <c r="K7943" s="33" t="s">
        <v>153</v>
      </c>
      <c r="L7943" s="31" t="str">
        <f t="shared" si="767"/>
        <v>Tujuh Puluh Delapan</v>
      </c>
    </row>
    <row r="7944" spans="10:12">
      <c r="J7944" s="31">
        <v>79</v>
      </c>
      <c r="K7944" s="33" t="s">
        <v>154</v>
      </c>
      <c r="L7944" s="31" t="str">
        <f t="shared" si="767"/>
        <v>Tujuh Puluh Sembilan</v>
      </c>
    </row>
    <row r="7945" spans="10:12">
      <c r="J7945" s="31">
        <v>80</v>
      </c>
      <c r="K7945" s="33" t="s">
        <v>155</v>
      </c>
      <c r="L7945" s="31" t="s">
        <v>156</v>
      </c>
    </row>
    <row r="7946" spans="10:12">
      <c r="J7946" s="31">
        <v>81</v>
      </c>
      <c r="K7946" s="33" t="s">
        <v>157</v>
      </c>
      <c r="L7946" s="31" t="str">
        <f t="shared" ref="L7946:L7954" si="768">$L$83&amp;" "&amp;L7866</f>
        <v>Delapan Puluh Satu</v>
      </c>
    </row>
    <row r="7947" spans="10:12">
      <c r="J7947" s="31">
        <v>82</v>
      </c>
      <c r="K7947" s="33" t="s">
        <v>158</v>
      </c>
      <c r="L7947" s="31" t="str">
        <f t="shared" si="768"/>
        <v>Delapan Puluh Dua</v>
      </c>
    </row>
    <row r="7948" spans="10:12">
      <c r="J7948" s="31">
        <v>83</v>
      </c>
      <c r="K7948" s="33" t="s">
        <v>159</v>
      </c>
      <c r="L7948" s="31" t="str">
        <f t="shared" si="768"/>
        <v>Delapan Puluh Tiga</v>
      </c>
    </row>
    <row r="7949" spans="10:12">
      <c r="J7949" s="31">
        <v>84</v>
      </c>
      <c r="K7949" s="33" t="s">
        <v>160</v>
      </c>
      <c r="L7949" s="31" t="str">
        <f t="shared" si="768"/>
        <v>Delapan Puluh Empat</v>
      </c>
    </row>
    <row r="7950" spans="10:12">
      <c r="J7950" s="31">
        <v>85</v>
      </c>
      <c r="K7950" s="33" t="s">
        <v>161</v>
      </c>
      <c r="L7950" s="31" t="str">
        <f t="shared" si="768"/>
        <v>Delapan Puluh Lima</v>
      </c>
    </row>
    <row r="7951" spans="10:12">
      <c r="J7951" s="31">
        <v>86</v>
      </c>
      <c r="K7951" s="33" t="s">
        <v>162</v>
      </c>
      <c r="L7951" s="31" t="str">
        <f t="shared" si="768"/>
        <v>Delapan Puluh Enam</v>
      </c>
    </row>
    <row r="7952" spans="10:12">
      <c r="J7952" s="31">
        <v>87</v>
      </c>
      <c r="K7952" s="33" t="s">
        <v>163</v>
      </c>
      <c r="L7952" s="31" t="str">
        <f t="shared" si="768"/>
        <v>Delapan Puluh Tujuh</v>
      </c>
    </row>
    <row r="7953" spans="1:12">
      <c r="J7953" s="31">
        <v>88</v>
      </c>
      <c r="K7953" s="33" t="s">
        <v>164</v>
      </c>
      <c r="L7953" s="31" t="str">
        <f t="shared" si="768"/>
        <v>Delapan Puluh Delapan</v>
      </c>
    </row>
    <row r="7954" spans="1:12">
      <c r="J7954" s="31">
        <v>89</v>
      </c>
      <c r="K7954" s="33" t="s">
        <v>165</v>
      </c>
      <c r="L7954" s="31" t="str">
        <f t="shared" si="768"/>
        <v>Delapan Puluh Sembilan</v>
      </c>
    </row>
    <row r="7955" spans="1:12">
      <c r="J7955" s="31">
        <v>90</v>
      </c>
      <c r="K7955" s="33" t="s">
        <v>166</v>
      </c>
      <c r="L7955" s="31" t="s">
        <v>167</v>
      </c>
    </row>
    <row r="7956" spans="1:12">
      <c r="J7956" s="31">
        <v>91</v>
      </c>
      <c r="K7956" s="33" t="s">
        <v>168</v>
      </c>
      <c r="L7956" s="31" t="str">
        <f t="shared" ref="L7956:L7964" si="769">$L$93&amp;" "&amp;L7866</f>
        <v>Sembilan Puluh Satu</v>
      </c>
    </row>
    <row r="7957" spans="1:12">
      <c r="J7957" s="31">
        <v>92</v>
      </c>
      <c r="K7957" s="33" t="s">
        <v>169</v>
      </c>
      <c r="L7957" s="31" t="str">
        <f t="shared" si="769"/>
        <v>Sembilan Puluh Dua</v>
      </c>
    </row>
    <row r="7958" spans="1:12">
      <c r="J7958" s="31">
        <v>93</v>
      </c>
      <c r="K7958" s="33" t="s">
        <v>170</v>
      </c>
      <c r="L7958" s="31" t="str">
        <f t="shared" si="769"/>
        <v>Sembilan Puluh Tiga</v>
      </c>
    </row>
    <row r="7959" spans="1:12">
      <c r="J7959" s="31">
        <v>94</v>
      </c>
      <c r="K7959" s="33" t="s">
        <v>171</v>
      </c>
      <c r="L7959" s="31" t="str">
        <f t="shared" si="769"/>
        <v>Sembilan Puluh Empat</v>
      </c>
    </row>
    <row r="7960" spans="1:12">
      <c r="J7960" s="31">
        <v>95</v>
      </c>
      <c r="K7960" s="33" t="s">
        <v>172</v>
      </c>
      <c r="L7960" s="31" t="str">
        <f t="shared" si="769"/>
        <v>Sembilan Puluh Lima</v>
      </c>
    </row>
    <row r="7961" spans="1:12">
      <c r="J7961" s="31">
        <v>96</v>
      </c>
      <c r="K7961" s="33" t="s">
        <v>173</v>
      </c>
      <c r="L7961" s="31" t="str">
        <f t="shared" si="769"/>
        <v>Sembilan Puluh Enam</v>
      </c>
    </row>
    <row r="7962" spans="1:12">
      <c r="J7962" s="31">
        <v>97</v>
      </c>
      <c r="K7962" s="33" t="s">
        <v>174</v>
      </c>
      <c r="L7962" s="31" t="str">
        <f t="shared" si="769"/>
        <v>Sembilan Puluh Tujuh</v>
      </c>
    </row>
    <row r="7963" spans="1:12">
      <c r="J7963" s="31">
        <v>98</v>
      </c>
      <c r="K7963" s="33" t="s">
        <v>175</v>
      </c>
      <c r="L7963" s="31" t="str">
        <f t="shared" si="769"/>
        <v>Sembilan Puluh Delapan</v>
      </c>
    </row>
    <row r="7964" spans="1:12">
      <c r="J7964" s="31">
        <v>99</v>
      </c>
      <c r="K7964" s="33" t="s">
        <v>176</v>
      </c>
      <c r="L7964" s="31" t="str">
        <f t="shared" si="769"/>
        <v>Sembilan Puluh Sembilan</v>
      </c>
    </row>
    <row r="7966" spans="1:12">
      <c r="A7966" s="30" t="e">
        <f>#REF!</f>
        <v>#REF!</v>
      </c>
      <c r="C7966" s="31" t="s">
        <v>275</v>
      </c>
    </row>
    <row r="7967" spans="1:12">
      <c r="A7967" s="32"/>
    </row>
    <row r="7968" spans="1:12">
      <c r="J7968" s="31">
        <v>0</v>
      </c>
      <c r="K7968" s="33" t="s">
        <v>48</v>
      </c>
      <c r="L7968" s="31" t="s">
        <v>49</v>
      </c>
    </row>
    <row r="7969" spans="1:12">
      <c r="A7969" s="34"/>
      <c r="J7969" s="31">
        <v>1</v>
      </c>
      <c r="K7969" s="33" t="s">
        <v>50</v>
      </c>
      <c r="L7969" s="31" t="s">
        <v>51</v>
      </c>
    </row>
    <row r="7970" spans="1:12">
      <c r="A7970" s="255" t="e">
        <f>TRIM(D7978&amp;E7978&amp;D7979&amp;E7979&amp;D7980&amp;E7980&amp;D7981&amp;E7981&amp;D7982&amp;E7982&amp;D7983&amp;E7983&amp;E7984&amp;D7984&amp;" Only")</f>
        <v>#REF!</v>
      </c>
      <c r="B7970" s="255"/>
      <c r="C7970" s="255"/>
      <c r="D7970" s="255"/>
      <c r="E7970" s="35"/>
      <c r="F7970" s="36"/>
      <c r="J7970" s="31">
        <v>2</v>
      </c>
      <c r="K7970" s="33" t="s">
        <v>52</v>
      </c>
      <c r="L7970" s="31" t="s">
        <v>53</v>
      </c>
    </row>
    <row r="7971" spans="1:12">
      <c r="A7971" s="37"/>
      <c r="B7971" s="37"/>
      <c r="C7971" s="37"/>
      <c r="D7971" s="37"/>
      <c r="E7971" s="35"/>
      <c r="F7971" s="36"/>
      <c r="J7971" s="31">
        <v>3</v>
      </c>
      <c r="K7971" s="33" t="s">
        <v>54</v>
      </c>
      <c r="L7971" s="31" t="s">
        <v>55</v>
      </c>
    </row>
    <row r="7972" spans="1:12">
      <c r="A7972" s="37"/>
      <c r="B7972" s="37"/>
      <c r="C7972" s="37"/>
      <c r="D7972" s="37"/>
      <c r="J7972" s="31">
        <v>4</v>
      </c>
      <c r="K7972" s="33" t="s">
        <v>56</v>
      </c>
      <c r="L7972" s="31" t="s">
        <v>57</v>
      </c>
    </row>
    <row r="7973" spans="1:12">
      <c r="A7973" s="255" t="e">
        <f>TRIM(D7988&amp;E7988&amp;D7989&amp;E7989&amp;D7990&amp;E7990&amp;D7991&amp;E7991&amp;D7992&amp;E7992&amp;D7993&amp;E7993&amp;D7994&amp;E7994&amp;" Rupiah")</f>
        <v>#REF!</v>
      </c>
      <c r="B7973" s="255"/>
      <c r="C7973" s="255"/>
      <c r="D7973" s="255"/>
      <c r="E7973" s="35"/>
      <c r="F7973" s="36"/>
      <c r="J7973" s="31">
        <v>5</v>
      </c>
      <c r="K7973" s="33" t="s">
        <v>58</v>
      </c>
      <c r="L7973" s="31" t="s">
        <v>59</v>
      </c>
    </row>
    <row r="7974" spans="1:12">
      <c r="A7974" s="35"/>
      <c r="B7974" s="35"/>
      <c r="C7974" s="35"/>
      <c r="D7974" s="35"/>
      <c r="E7974" s="35"/>
      <c r="F7974" s="36"/>
      <c r="J7974" s="31">
        <v>6</v>
      </c>
      <c r="K7974" s="33" t="s">
        <v>60</v>
      </c>
      <c r="L7974" s="31" t="s">
        <v>61</v>
      </c>
    </row>
    <row r="7975" spans="1:12">
      <c r="J7975" s="31">
        <v>7</v>
      </c>
      <c r="K7975" s="33" t="s">
        <v>62</v>
      </c>
      <c r="L7975" s="31" t="s">
        <v>63</v>
      </c>
    </row>
    <row r="7976" spans="1:12">
      <c r="J7976" s="31">
        <v>8</v>
      </c>
      <c r="K7976" s="33" t="s">
        <v>64</v>
      </c>
      <c r="L7976" s="31" t="s">
        <v>65</v>
      </c>
    </row>
    <row r="7977" spans="1:12">
      <c r="A7977" s="38" t="s">
        <v>66</v>
      </c>
      <c r="J7977" s="31">
        <v>9</v>
      </c>
      <c r="K7977" s="33" t="s">
        <v>67</v>
      </c>
      <c r="L7977" s="31" t="s">
        <v>68</v>
      </c>
    </row>
    <row r="7978" spans="1:12">
      <c r="A7978" s="31" t="s">
        <v>69</v>
      </c>
      <c r="B7978" s="39" t="e">
        <f>TRUNC(A7966/100000000)</f>
        <v>#REF!</v>
      </c>
      <c r="C7978" s="31" t="e">
        <f>B7978*100000000</f>
        <v>#REF!</v>
      </c>
      <c r="D7978" s="31" t="e">
        <f t="shared" ref="D7978:D7984" si="770">IF(B7978&lt;1,"",VLOOKUP(B7978,$J$3:$K$102,2))</f>
        <v>#REF!</v>
      </c>
      <c r="E7978" s="31" t="e">
        <f>IF(B7978&lt;1,"",IF(B7978&gt;1," Hundreds "," Hundred "))</f>
        <v>#REF!</v>
      </c>
      <c r="J7978" s="31">
        <v>10</v>
      </c>
      <c r="K7978" s="33" t="s">
        <v>70</v>
      </c>
      <c r="L7978" s="31" t="s">
        <v>71</v>
      </c>
    </row>
    <row r="7979" spans="1:12">
      <c r="A7979" s="31" t="s">
        <v>72</v>
      </c>
      <c r="B7979" s="39" t="e">
        <f>TRUNC((A7966-C7978)/1000000)</f>
        <v>#REF!</v>
      </c>
      <c r="C7979" s="31" t="e">
        <f>B7979*1000000</f>
        <v>#REF!</v>
      </c>
      <c r="D7979" s="31" t="e">
        <f t="shared" si="770"/>
        <v>#REF!</v>
      </c>
      <c r="E7979" s="31" t="e">
        <f>IF(B7978+B7979=0,"",IF(B7979=1," Million "," Millions "))</f>
        <v>#REF!</v>
      </c>
      <c r="J7979" s="31">
        <v>11</v>
      </c>
      <c r="K7979" s="33" t="s">
        <v>73</v>
      </c>
      <c r="L7979" s="31" t="s">
        <v>74</v>
      </c>
    </row>
    <row r="7980" spans="1:12">
      <c r="A7980" s="31" t="s">
        <v>75</v>
      </c>
      <c r="B7980" s="39" t="e">
        <f>TRUNC((A7966-SUM(C7978:C7979))/100000)</f>
        <v>#REF!</v>
      </c>
      <c r="C7980" s="31" t="e">
        <f>B7980*100000</f>
        <v>#REF!</v>
      </c>
      <c r="D7980" s="31" t="e">
        <f t="shared" si="770"/>
        <v>#REF!</v>
      </c>
      <c r="E7980" s="31" t="e">
        <f>IF(B7980&lt;1,"",IF(B7980&gt;1," Hundreds "," Hundred "))</f>
        <v>#REF!</v>
      </c>
      <c r="J7980" s="31">
        <v>12</v>
      </c>
      <c r="K7980" s="33" t="s">
        <v>76</v>
      </c>
      <c r="L7980" s="31" t="str">
        <f t="shared" ref="L7980:L7987" si="771">L7970&amp;" Belas"</f>
        <v>Dua Belas</v>
      </c>
    </row>
    <row r="7981" spans="1:12">
      <c r="A7981" s="33" t="s">
        <v>77</v>
      </c>
      <c r="B7981" s="40" t="e">
        <f>TRUNC((A7966-SUM(C7978:C7980))/1000)</f>
        <v>#REF!</v>
      </c>
      <c r="C7981" s="31" t="e">
        <f>B7981*1000</f>
        <v>#REF!</v>
      </c>
      <c r="D7981" s="31" t="e">
        <f t="shared" si="770"/>
        <v>#REF!</v>
      </c>
      <c r="E7981" s="31" t="e">
        <f>IF(B7980+B7981=0,"",IF(B7981=1," Thousand "," Thousands "))</f>
        <v>#REF!</v>
      </c>
      <c r="J7981" s="31">
        <v>13</v>
      </c>
      <c r="K7981" s="33" t="s">
        <v>78</v>
      </c>
      <c r="L7981" s="31" t="str">
        <f t="shared" si="771"/>
        <v>Tiga Belas</v>
      </c>
    </row>
    <row r="7982" spans="1:12">
      <c r="A7982" s="33" t="s">
        <v>79</v>
      </c>
      <c r="B7982" s="40" t="e">
        <f>TRUNC((A7966-SUM(C7978:C7981))/100)</f>
        <v>#REF!</v>
      </c>
      <c r="C7982" s="31" t="e">
        <f>B7982*100</f>
        <v>#REF!</v>
      </c>
      <c r="D7982" s="31" t="e">
        <f t="shared" si="770"/>
        <v>#REF!</v>
      </c>
      <c r="E7982" s="31" t="e">
        <f>IF(B7982&lt;1,"",IF(B7982&gt;1," Hundreds "," Hundred "))</f>
        <v>#REF!</v>
      </c>
      <c r="J7982" s="31">
        <v>14</v>
      </c>
      <c r="K7982" s="33" t="s">
        <v>80</v>
      </c>
      <c r="L7982" s="31" t="str">
        <f t="shared" si="771"/>
        <v>Empat Belas</v>
      </c>
    </row>
    <row r="7983" spans="1:12">
      <c r="A7983" s="33" t="s">
        <v>81</v>
      </c>
      <c r="B7983" s="41" t="e">
        <f>TRUNC((A7966-SUM(C7978:C7982)))</f>
        <v>#REF!</v>
      </c>
      <c r="C7983" s="42" t="e">
        <f>B7983</f>
        <v>#REF!</v>
      </c>
      <c r="D7983" s="31" t="e">
        <f t="shared" si="770"/>
        <v>#REF!</v>
      </c>
      <c r="E7983" s="31" t="e">
        <f>IF(SUM(C7978:C7983)&lt;1,"",IF(B7984&lt;1,""," And "))</f>
        <v>#REF!</v>
      </c>
      <c r="J7983" s="31">
        <v>15</v>
      </c>
      <c r="K7983" s="33" t="s">
        <v>82</v>
      </c>
      <c r="L7983" s="31" t="str">
        <f t="shared" si="771"/>
        <v>Lima Belas</v>
      </c>
    </row>
    <row r="7984" spans="1:12">
      <c r="A7984" s="33" t="s">
        <v>83</v>
      </c>
      <c r="B7984" s="40" t="e">
        <f>ROUND(A7966-SUM(C7978:C7983),2)*100</f>
        <v>#REF!</v>
      </c>
      <c r="D7984" s="43" t="e">
        <f t="shared" si="770"/>
        <v>#REF!</v>
      </c>
      <c r="E7984" s="31" t="e">
        <f>IF(B7984&lt;1,"",IF(B7984=1," Cent "," Cents "))</f>
        <v>#REF!</v>
      </c>
      <c r="J7984" s="31">
        <v>16</v>
      </c>
      <c r="K7984" s="33" t="s">
        <v>84</v>
      </c>
      <c r="L7984" s="31" t="str">
        <f t="shared" si="771"/>
        <v>Enam Belas</v>
      </c>
    </row>
    <row r="7985" spans="1:12">
      <c r="J7985" s="31">
        <v>17</v>
      </c>
      <c r="K7985" s="33" t="s">
        <v>85</v>
      </c>
      <c r="L7985" s="31" t="str">
        <f t="shared" si="771"/>
        <v>Tujuh Belas</v>
      </c>
    </row>
    <row r="7986" spans="1:12">
      <c r="A7986" s="44"/>
      <c r="J7986" s="31">
        <v>18</v>
      </c>
      <c r="K7986" s="33" t="s">
        <v>86</v>
      </c>
      <c r="L7986" s="31" t="str">
        <f t="shared" si="771"/>
        <v>Delapan Belas</v>
      </c>
    </row>
    <row r="7987" spans="1:12">
      <c r="A7987" s="38" t="s">
        <v>87</v>
      </c>
      <c r="J7987" s="31">
        <v>19</v>
      </c>
      <c r="K7987" s="33" t="s">
        <v>88</v>
      </c>
      <c r="L7987" s="31" t="str">
        <f t="shared" si="771"/>
        <v>Sembilan Belas</v>
      </c>
    </row>
    <row r="7988" spans="1:12">
      <c r="A7988" s="31" t="s">
        <v>69</v>
      </c>
      <c r="B7988" s="39" t="e">
        <f>TRUNC(A7966/100000000)</f>
        <v>#REF!</v>
      </c>
      <c r="C7988" s="31" t="e">
        <f>B7988*100000000</f>
        <v>#REF!</v>
      </c>
      <c r="D7988" s="31" t="e">
        <f>IF(B7988&lt;1,"",IF(B7988=1,"",VLOOKUP(B7988,$J$3:$L$102,3)))</f>
        <v>#REF!</v>
      </c>
      <c r="E7988" s="31" t="e">
        <f>IF(B7988&lt;1,"",IF(B7988=1,"Seratus "," Ratus "))</f>
        <v>#REF!</v>
      </c>
      <c r="J7988" s="31">
        <v>20</v>
      </c>
      <c r="K7988" s="33" t="s">
        <v>89</v>
      </c>
      <c r="L7988" s="31" t="s">
        <v>90</v>
      </c>
    </row>
    <row r="7989" spans="1:12">
      <c r="A7989" s="31" t="s">
        <v>72</v>
      </c>
      <c r="B7989" s="39" t="e">
        <f>TRUNC((A7966-C7988)/1000000)</f>
        <v>#REF!</v>
      </c>
      <c r="C7989" s="31" t="e">
        <f>B7989*1000000</f>
        <v>#REF!</v>
      </c>
      <c r="D7989" s="31" t="e">
        <f>IF(B7989&lt;1,"",VLOOKUP(B7989,$J$3:$L$102,3))</f>
        <v>#REF!</v>
      </c>
      <c r="E7989" s="31" t="e">
        <f>IF(B7988+B7989=0,""," Juta ")</f>
        <v>#REF!</v>
      </c>
      <c r="J7989" s="31">
        <v>21</v>
      </c>
      <c r="K7989" s="33" t="s">
        <v>91</v>
      </c>
      <c r="L7989" s="31" t="str">
        <f t="shared" ref="L7989:L7997" si="772">$L$23&amp;" "&amp;L7969</f>
        <v>Dua Puluh Satu</v>
      </c>
    </row>
    <row r="7990" spans="1:12">
      <c r="A7990" s="31" t="s">
        <v>75</v>
      </c>
      <c r="B7990" s="39" t="e">
        <f>TRUNC((A7966-SUM(C7988:C7989))/100000)</f>
        <v>#REF!</v>
      </c>
      <c r="C7990" s="31" t="e">
        <f>B7990*100000</f>
        <v>#REF!</v>
      </c>
      <c r="D7990" s="31" t="e">
        <f>IF(B7990&lt;1,"",IF(B7990=1,"",VLOOKUP(B7990,$J$3:$L$102,3)))</f>
        <v>#REF!</v>
      </c>
      <c r="E7990" s="31" t="e">
        <f>IF(B7990&lt;1,"",IF(B7990=1," Seratus "," Ratus "))</f>
        <v>#REF!</v>
      </c>
      <c r="J7990" s="31">
        <v>22</v>
      </c>
      <c r="K7990" s="33" t="s">
        <v>92</v>
      </c>
      <c r="L7990" s="31" t="str">
        <f t="shared" si="772"/>
        <v>Dua Puluh Dua</v>
      </c>
    </row>
    <row r="7991" spans="1:12">
      <c r="A7991" s="33" t="s">
        <v>77</v>
      </c>
      <c r="B7991" s="40" t="e">
        <f>TRUNC((A7966-SUM(C7988:C7990))/1000)</f>
        <v>#REF!</v>
      </c>
      <c r="C7991" s="31" t="e">
        <f>B7991*1000</f>
        <v>#REF!</v>
      </c>
      <c r="D7991" s="31" t="e">
        <f>IF(B7991&lt;1,"",IF(B7991=1,"",VLOOKUP(B7991,$J$3:$L$102,3)))</f>
        <v>#REF!</v>
      </c>
      <c r="E7991" s="31" t="e">
        <f>IF(B7990+B7991&lt;1,"",IF(B7991=1," Seribu "," Ribu "))</f>
        <v>#REF!</v>
      </c>
      <c r="J7991" s="31">
        <v>23</v>
      </c>
      <c r="K7991" s="33" t="s">
        <v>93</v>
      </c>
      <c r="L7991" s="31" t="str">
        <f t="shared" si="772"/>
        <v>Dua Puluh Tiga</v>
      </c>
    </row>
    <row r="7992" spans="1:12">
      <c r="A7992" s="33" t="s">
        <v>79</v>
      </c>
      <c r="B7992" s="40" t="e">
        <f>TRUNC((A7966-SUM(C7988:C7991))/100)</f>
        <v>#REF!</v>
      </c>
      <c r="C7992" s="31" t="e">
        <f>B7992*100</f>
        <v>#REF!</v>
      </c>
      <c r="D7992" s="31" t="e">
        <f>IF(B7992&lt;1,"",IF(B7992=1,"",VLOOKUP(B7992,$J$3:$L$102,3)))</f>
        <v>#REF!</v>
      </c>
      <c r="E7992" s="31" t="e">
        <f>IF(B7992&lt;1,"",IF(B7992=1," Seratus "," Ratus "))</f>
        <v>#REF!</v>
      </c>
      <c r="J7992" s="31">
        <v>24</v>
      </c>
      <c r="K7992" s="33" t="s">
        <v>94</v>
      </c>
      <c r="L7992" s="31" t="str">
        <f t="shared" si="772"/>
        <v>Dua Puluh Empat</v>
      </c>
    </row>
    <row r="7993" spans="1:12">
      <c r="A7993" s="33" t="s">
        <v>81</v>
      </c>
      <c r="B7993" s="41" t="e">
        <f>TRUNC((A7966-SUM(C7988:C7992)))</f>
        <v>#REF!</v>
      </c>
      <c r="C7993" s="42" t="e">
        <f>B7993</f>
        <v>#REF!</v>
      </c>
      <c r="D7993" s="31" t="e">
        <f>IF(B7993&lt;1,"",VLOOKUP(B7993,$J$3:$L$102,3))</f>
        <v>#REF!</v>
      </c>
      <c r="E7993" s="31" t="e">
        <f>IF(SUM(C7988:C7993)&lt;1,"",IF(B7994&lt;1,""," Dan "))</f>
        <v>#REF!</v>
      </c>
      <c r="J7993" s="31">
        <v>25</v>
      </c>
      <c r="K7993" s="33" t="s">
        <v>95</v>
      </c>
      <c r="L7993" s="31" t="str">
        <f t="shared" si="772"/>
        <v>Dua Puluh Lima</v>
      </c>
    </row>
    <row r="7994" spans="1:12">
      <c r="A7994" s="33" t="s">
        <v>83</v>
      </c>
      <c r="B7994" s="40" t="e">
        <f>ROUND(A7966-SUM(C7988:C7993),2)*100</f>
        <v>#REF!</v>
      </c>
      <c r="D7994" s="31" t="e">
        <f>IF(B7994&lt;1,"",VLOOKUP(B7994,$J$3:$L$102,3))</f>
        <v>#REF!</v>
      </c>
      <c r="E7994" s="31" t="e">
        <f>IF(B7994&lt;1,""," Sen ")</f>
        <v>#REF!</v>
      </c>
      <c r="J7994" s="31">
        <v>26</v>
      </c>
      <c r="K7994" s="33" t="s">
        <v>96</v>
      </c>
      <c r="L7994" s="31" t="str">
        <f t="shared" si="772"/>
        <v>Dua Puluh Enam</v>
      </c>
    </row>
    <row r="7995" spans="1:12">
      <c r="J7995" s="31">
        <v>27</v>
      </c>
      <c r="K7995" s="33" t="s">
        <v>97</v>
      </c>
      <c r="L7995" s="31" t="str">
        <f t="shared" si="772"/>
        <v>Dua Puluh Tujuh</v>
      </c>
    </row>
    <row r="7996" spans="1:12">
      <c r="J7996" s="31">
        <v>28</v>
      </c>
      <c r="K7996" s="33" t="s">
        <v>98</v>
      </c>
      <c r="L7996" s="31" t="str">
        <f t="shared" si="772"/>
        <v>Dua Puluh Delapan</v>
      </c>
    </row>
    <row r="7997" spans="1:12">
      <c r="J7997" s="31">
        <v>29</v>
      </c>
      <c r="K7997" s="33" t="s">
        <v>99</v>
      </c>
      <c r="L7997" s="31" t="str">
        <f t="shared" si="772"/>
        <v>Dua Puluh Sembilan</v>
      </c>
    </row>
    <row r="7998" spans="1:12">
      <c r="J7998" s="31">
        <v>30</v>
      </c>
      <c r="K7998" s="33" t="s">
        <v>100</v>
      </c>
      <c r="L7998" s="31" t="s">
        <v>101</v>
      </c>
    </row>
    <row r="7999" spans="1:12">
      <c r="J7999" s="31">
        <v>31</v>
      </c>
      <c r="K7999" s="33" t="s">
        <v>102</v>
      </c>
      <c r="L7999" s="31" t="str">
        <f t="shared" ref="L7999:L8007" si="773">$L$33&amp;" "&amp;L7969</f>
        <v>Tiga Puluh Satu</v>
      </c>
    </row>
    <row r="8000" spans="1:12">
      <c r="J8000" s="31">
        <v>32</v>
      </c>
      <c r="K8000" s="33" t="s">
        <v>103</v>
      </c>
      <c r="L8000" s="31" t="str">
        <f t="shared" si="773"/>
        <v>Tiga Puluh Dua</v>
      </c>
    </row>
    <row r="8001" spans="1:12">
      <c r="J8001" s="31">
        <v>33</v>
      </c>
      <c r="K8001" s="33" t="s">
        <v>104</v>
      </c>
      <c r="L8001" s="31" t="str">
        <f t="shared" si="773"/>
        <v>Tiga Puluh Tiga</v>
      </c>
    </row>
    <row r="8002" spans="1:12">
      <c r="J8002" s="31">
        <v>34</v>
      </c>
      <c r="K8002" s="33" t="s">
        <v>105</v>
      </c>
      <c r="L8002" s="31" t="str">
        <f t="shared" si="773"/>
        <v>Tiga Puluh Empat</v>
      </c>
    </row>
    <row r="8003" spans="1:12">
      <c r="J8003" s="31">
        <v>35</v>
      </c>
      <c r="K8003" s="33" t="s">
        <v>106</v>
      </c>
      <c r="L8003" s="31" t="str">
        <f t="shared" si="773"/>
        <v>Tiga Puluh Lima</v>
      </c>
    </row>
    <row r="8004" spans="1:12">
      <c r="J8004" s="31">
        <v>36</v>
      </c>
      <c r="K8004" s="33" t="s">
        <v>107</v>
      </c>
      <c r="L8004" s="31" t="str">
        <f t="shared" si="773"/>
        <v>Tiga Puluh Enam</v>
      </c>
    </row>
    <row r="8005" spans="1:12">
      <c r="J8005" s="31">
        <v>37</v>
      </c>
      <c r="K8005" s="33" t="s">
        <v>108</v>
      </c>
      <c r="L8005" s="31" t="str">
        <f t="shared" si="773"/>
        <v>Tiga Puluh Tujuh</v>
      </c>
    </row>
    <row r="8006" spans="1:12">
      <c r="J8006" s="31">
        <v>38</v>
      </c>
      <c r="K8006" s="33" t="s">
        <v>109</v>
      </c>
      <c r="L8006" s="31" t="str">
        <f t="shared" si="773"/>
        <v>Tiga Puluh Delapan</v>
      </c>
    </row>
    <row r="8007" spans="1:12">
      <c r="J8007" s="31">
        <v>39</v>
      </c>
      <c r="K8007" s="33" t="s">
        <v>110</v>
      </c>
      <c r="L8007" s="31" t="str">
        <f t="shared" si="773"/>
        <v>Tiga Puluh Sembilan</v>
      </c>
    </row>
    <row r="8008" spans="1:12">
      <c r="B8008" s="35"/>
      <c r="C8008" s="35"/>
      <c r="D8008" s="35"/>
      <c r="J8008" s="31">
        <v>40</v>
      </c>
      <c r="K8008" s="33" t="s">
        <v>111</v>
      </c>
      <c r="L8008" s="31" t="s">
        <v>112</v>
      </c>
    </row>
    <row r="8009" spans="1:12">
      <c r="A8009" s="35"/>
      <c r="B8009" s="35"/>
      <c r="C8009" s="35"/>
      <c r="D8009" s="35"/>
      <c r="J8009" s="31">
        <v>41</v>
      </c>
      <c r="K8009" s="33" t="s">
        <v>113</v>
      </c>
      <c r="L8009" s="31" t="str">
        <f t="shared" ref="L8009:L8017" si="774">$L$43&amp;" "&amp;L7969</f>
        <v>Empat Puluh Satu</v>
      </c>
    </row>
    <row r="8010" spans="1:12">
      <c r="J8010" s="31">
        <v>42</v>
      </c>
      <c r="K8010" s="33" t="s">
        <v>114</v>
      </c>
      <c r="L8010" s="31" t="str">
        <f t="shared" si="774"/>
        <v>Empat Puluh Dua</v>
      </c>
    </row>
    <row r="8011" spans="1:12">
      <c r="A8011" s="38"/>
      <c r="J8011" s="31">
        <v>43</v>
      </c>
      <c r="K8011" s="33" t="s">
        <v>115</v>
      </c>
      <c r="L8011" s="31" t="str">
        <f t="shared" si="774"/>
        <v>Empat Puluh Tiga</v>
      </c>
    </row>
    <row r="8012" spans="1:12">
      <c r="J8012" s="31">
        <v>44</v>
      </c>
      <c r="K8012" s="33" t="s">
        <v>116</v>
      </c>
      <c r="L8012" s="31" t="str">
        <f t="shared" si="774"/>
        <v>Empat Puluh Empat</v>
      </c>
    </row>
    <row r="8013" spans="1:12">
      <c r="J8013" s="31">
        <v>45</v>
      </c>
      <c r="K8013" s="33" t="s">
        <v>117</v>
      </c>
      <c r="L8013" s="31" t="str">
        <f t="shared" si="774"/>
        <v>Empat Puluh Lima</v>
      </c>
    </row>
    <row r="8014" spans="1:12">
      <c r="J8014" s="31">
        <v>46</v>
      </c>
      <c r="K8014" s="33" t="s">
        <v>118</v>
      </c>
      <c r="L8014" s="31" t="str">
        <f t="shared" si="774"/>
        <v>Empat Puluh Enam</v>
      </c>
    </row>
    <row r="8015" spans="1:12">
      <c r="J8015" s="31">
        <v>47</v>
      </c>
      <c r="K8015" s="33" t="s">
        <v>119</v>
      </c>
      <c r="L8015" s="31" t="str">
        <f t="shared" si="774"/>
        <v>Empat Puluh Tujuh</v>
      </c>
    </row>
    <row r="8016" spans="1:12">
      <c r="J8016" s="31">
        <v>48</v>
      </c>
      <c r="K8016" s="33" t="s">
        <v>120</v>
      </c>
      <c r="L8016" s="31" t="str">
        <f t="shared" si="774"/>
        <v>Empat Puluh Delapan</v>
      </c>
    </row>
    <row r="8017" spans="10:12">
      <c r="J8017" s="31">
        <v>49</v>
      </c>
      <c r="K8017" s="33" t="s">
        <v>121</v>
      </c>
      <c r="L8017" s="31" t="str">
        <f t="shared" si="774"/>
        <v>Empat Puluh Sembilan</v>
      </c>
    </row>
    <row r="8018" spans="10:12">
      <c r="J8018" s="31">
        <v>50</v>
      </c>
      <c r="K8018" s="33" t="s">
        <v>122</v>
      </c>
      <c r="L8018" s="31" t="s">
        <v>123</v>
      </c>
    </row>
    <row r="8019" spans="10:12">
      <c r="J8019" s="31">
        <v>51</v>
      </c>
      <c r="K8019" s="33" t="s">
        <v>124</v>
      </c>
      <c r="L8019" s="31" t="str">
        <f t="shared" ref="L8019:L8027" si="775">$L$53&amp;" "&amp;L7969</f>
        <v>Lima Puluh Satu</v>
      </c>
    </row>
    <row r="8020" spans="10:12">
      <c r="J8020" s="31">
        <v>52</v>
      </c>
      <c r="K8020" s="33" t="s">
        <v>125</v>
      </c>
      <c r="L8020" s="31" t="str">
        <f t="shared" si="775"/>
        <v>Lima Puluh Dua</v>
      </c>
    </row>
    <row r="8021" spans="10:12">
      <c r="J8021" s="31">
        <v>53</v>
      </c>
      <c r="K8021" s="33" t="s">
        <v>126</v>
      </c>
      <c r="L8021" s="31" t="str">
        <f t="shared" si="775"/>
        <v>Lima Puluh Tiga</v>
      </c>
    </row>
    <row r="8022" spans="10:12">
      <c r="J8022" s="31">
        <v>54</v>
      </c>
      <c r="K8022" s="33" t="s">
        <v>127</v>
      </c>
      <c r="L8022" s="31" t="str">
        <f t="shared" si="775"/>
        <v>Lima Puluh Empat</v>
      </c>
    </row>
    <row r="8023" spans="10:12">
      <c r="J8023" s="31">
        <v>55</v>
      </c>
      <c r="K8023" s="33" t="s">
        <v>128</v>
      </c>
      <c r="L8023" s="31" t="str">
        <f t="shared" si="775"/>
        <v>Lima Puluh Lima</v>
      </c>
    </row>
    <row r="8024" spans="10:12">
      <c r="J8024" s="31">
        <v>56</v>
      </c>
      <c r="K8024" s="33" t="s">
        <v>129</v>
      </c>
      <c r="L8024" s="31" t="str">
        <f t="shared" si="775"/>
        <v>Lima Puluh Enam</v>
      </c>
    </row>
    <row r="8025" spans="10:12">
      <c r="J8025" s="31">
        <v>57</v>
      </c>
      <c r="K8025" s="33" t="s">
        <v>130</v>
      </c>
      <c r="L8025" s="31" t="str">
        <f t="shared" si="775"/>
        <v>Lima Puluh Tujuh</v>
      </c>
    </row>
    <row r="8026" spans="10:12">
      <c r="J8026" s="31">
        <v>58</v>
      </c>
      <c r="K8026" s="33" t="s">
        <v>131</v>
      </c>
      <c r="L8026" s="31" t="str">
        <f t="shared" si="775"/>
        <v>Lima Puluh Delapan</v>
      </c>
    </row>
    <row r="8027" spans="10:12">
      <c r="J8027" s="31">
        <v>59</v>
      </c>
      <c r="K8027" s="33" t="s">
        <v>132</v>
      </c>
      <c r="L8027" s="31" t="str">
        <f t="shared" si="775"/>
        <v>Lima Puluh Sembilan</v>
      </c>
    </row>
    <row r="8028" spans="10:12">
      <c r="J8028" s="31">
        <v>60</v>
      </c>
      <c r="K8028" s="33" t="s">
        <v>133</v>
      </c>
      <c r="L8028" s="31" t="s">
        <v>134</v>
      </c>
    </row>
    <row r="8029" spans="10:12">
      <c r="J8029" s="31">
        <v>61</v>
      </c>
      <c r="K8029" s="33" t="s">
        <v>135</v>
      </c>
      <c r="L8029" s="31" t="str">
        <f t="shared" ref="L8029:L8037" si="776">$L$63&amp;" "&amp;L7969</f>
        <v>Enam Puluh Satu</v>
      </c>
    </row>
    <row r="8030" spans="10:12">
      <c r="J8030" s="31">
        <v>62</v>
      </c>
      <c r="K8030" s="33" t="s">
        <v>136</v>
      </c>
      <c r="L8030" s="31" t="str">
        <f t="shared" si="776"/>
        <v>Enam Puluh Dua</v>
      </c>
    </row>
    <row r="8031" spans="10:12">
      <c r="J8031" s="31">
        <v>63</v>
      </c>
      <c r="K8031" s="33" t="s">
        <v>137</v>
      </c>
      <c r="L8031" s="31" t="str">
        <f t="shared" si="776"/>
        <v>Enam Puluh Tiga</v>
      </c>
    </row>
    <row r="8032" spans="10:12">
      <c r="J8032" s="31">
        <v>64</v>
      </c>
      <c r="K8032" s="33" t="s">
        <v>138</v>
      </c>
      <c r="L8032" s="31" t="str">
        <f t="shared" si="776"/>
        <v>Enam Puluh Empat</v>
      </c>
    </row>
    <row r="8033" spans="10:12">
      <c r="J8033" s="31">
        <v>65</v>
      </c>
      <c r="K8033" s="33" t="s">
        <v>139</v>
      </c>
      <c r="L8033" s="31" t="str">
        <f t="shared" si="776"/>
        <v>Enam Puluh Lima</v>
      </c>
    </row>
    <row r="8034" spans="10:12">
      <c r="J8034" s="31">
        <v>66</v>
      </c>
      <c r="K8034" s="33" t="s">
        <v>140</v>
      </c>
      <c r="L8034" s="31" t="str">
        <f t="shared" si="776"/>
        <v>Enam Puluh Enam</v>
      </c>
    </row>
    <row r="8035" spans="10:12">
      <c r="J8035" s="31">
        <v>67</v>
      </c>
      <c r="K8035" s="33" t="s">
        <v>141</v>
      </c>
      <c r="L8035" s="31" t="str">
        <f t="shared" si="776"/>
        <v>Enam Puluh Tujuh</v>
      </c>
    </row>
    <row r="8036" spans="10:12">
      <c r="J8036" s="31">
        <v>68</v>
      </c>
      <c r="K8036" s="33" t="s">
        <v>142</v>
      </c>
      <c r="L8036" s="31" t="str">
        <f t="shared" si="776"/>
        <v>Enam Puluh Delapan</v>
      </c>
    </row>
    <row r="8037" spans="10:12">
      <c r="J8037" s="31">
        <v>69</v>
      </c>
      <c r="K8037" s="33" t="s">
        <v>143</v>
      </c>
      <c r="L8037" s="31" t="str">
        <f t="shared" si="776"/>
        <v>Enam Puluh Sembilan</v>
      </c>
    </row>
    <row r="8038" spans="10:12">
      <c r="J8038" s="31">
        <v>70</v>
      </c>
      <c r="K8038" s="33" t="s">
        <v>144</v>
      </c>
      <c r="L8038" s="31" t="s">
        <v>145</v>
      </c>
    </row>
    <row r="8039" spans="10:12">
      <c r="J8039" s="31">
        <v>71</v>
      </c>
      <c r="K8039" s="33" t="s">
        <v>146</v>
      </c>
      <c r="L8039" s="31" t="str">
        <f t="shared" ref="L8039:L8047" si="777">$L$73&amp;" "&amp;L7969</f>
        <v>Tujuh Puluh Satu</v>
      </c>
    </row>
    <row r="8040" spans="10:12">
      <c r="J8040" s="31">
        <v>72</v>
      </c>
      <c r="K8040" s="33" t="s">
        <v>147</v>
      </c>
      <c r="L8040" s="31" t="str">
        <f t="shared" si="777"/>
        <v>Tujuh Puluh Dua</v>
      </c>
    </row>
    <row r="8041" spans="10:12">
      <c r="J8041" s="31">
        <v>73</v>
      </c>
      <c r="K8041" s="33" t="s">
        <v>148</v>
      </c>
      <c r="L8041" s="31" t="str">
        <f t="shared" si="777"/>
        <v>Tujuh Puluh Tiga</v>
      </c>
    </row>
    <row r="8042" spans="10:12">
      <c r="J8042" s="31">
        <v>74</v>
      </c>
      <c r="K8042" s="33" t="s">
        <v>149</v>
      </c>
      <c r="L8042" s="31" t="str">
        <f t="shared" si="777"/>
        <v>Tujuh Puluh Empat</v>
      </c>
    </row>
    <row r="8043" spans="10:12">
      <c r="J8043" s="31">
        <v>75</v>
      </c>
      <c r="K8043" s="33" t="s">
        <v>150</v>
      </c>
      <c r="L8043" s="31" t="str">
        <f t="shared" si="777"/>
        <v>Tujuh Puluh Lima</v>
      </c>
    </row>
    <row r="8044" spans="10:12">
      <c r="J8044" s="31">
        <v>76</v>
      </c>
      <c r="K8044" s="33" t="s">
        <v>151</v>
      </c>
      <c r="L8044" s="31" t="str">
        <f t="shared" si="777"/>
        <v>Tujuh Puluh Enam</v>
      </c>
    </row>
    <row r="8045" spans="10:12">
      <c r="J8045" s="31">
        <v>77</v>
      </c>
      <c r="K8045" s="33" t="s">
        <v>152</v>
      </c>
      <c r="L8045" s="31" t="str">
        <f t="shared" si="777"/>
        <v>Tujuh Puluh Tujuh</v>
      </c>
    </row>
    <row r="8046" spans="10:12">
      <c r="J8046" s="31">
        <v>78</v>
      </c>
      <c r="K8046" s="33" t="s">
        <v>153</v>
      </c>
      <c r="L8046" s="31" t="str">
        <f t="shared" si="777"/>
        <v>Tujuh Puluh Delapan</v>
      </c>
    </row>
    <row r="8047" spans="10:12">
      <c r="J8047" s="31">
        <v>79</v>
      </c>
      <c r="K8047" s="33" t="s">
        <v>154</v>
      </c>
      <c r="L8047" s="31" t="str">
        <f t="shared" si="777"/>
        <v>Tujuh Puluh Sembilan</v>
      </c>
    </row>
    <row r="8048" spans="10:12">
      <c r="J8048" s="31">
        <v>80</v>
      </c>
      <c r="K8048" s="33" t="s">
        <v>155</v>
      </c>
      <c r="L8048" s="31" t="s">
        <v>156</v>
      </c>
    </row>
    <row r="8049" spans="10:12">
      <c r="J8049" s="31">
        <v>81</v>
      </c>
      <c r="K8049" s="33" t="s">
        <v>157</v>
      </c>
      <c r="L8049" s="31" t="str">
        <f t="shared" ref="L8049:L8057" si="778">$L$83&amp;" "&amp;L7969</f>
        <v>Delapan Puluh Satu</v>
      </c>
    </row>
    <row r="8050" spans="10:12">
      <c r="J8050" s="31">
        <v>82</v>
      </c>
      <c r="K8050" s="33" t="s">
        <v>158</v>
      </c>
      <c r="L8050" s="31" t="str">
        <f t="shared" si="778"/>
        <v>Delapan Puluh Dua</v>
      </c>
    </row>
    <row r="8051" spans="10:12">
      <c r="J8051" s="31">
        <v>83</v>
      </c>
      <c r="K8051" s="33" t="s">
        <v>159</v>
      </c>
      <c r="L8051" s="31" t="str">
        <f t="shared" si="778"/>
        <v>Delapan Puluh Tiga</v>
      </c>
    </row>
    <row r="8052" spans="10:12">
      <c r="J8052" s="31">
        <v>84</v>
      </c>
      <c r="K8052" s="33" t="s">
        <v>160</v>
      </c>
      <c r="L8052" s="31" t="str">
        <f t="shared" si="778"/>
        <v>Delapan Puluh Empat</v>
      </c>
    </row>
    <row r="8053" spans="10:12">
      <c r="J8053" s="31">
        <v>85</v>
      </c>
      <c r="K8053" s="33" t="s">
        <v>161</v>
      </c>
      <c r="L8053" s="31" t="str">
        <f t="shared" si="778"/>
        <v>Delapan Puluh Lima</v>
      </c>
    </row>
    <row r="8054" spans="10:12">
      <c r="J8054" s="31">
        <v>86</v>
      </c>
      <c r="K8054" s="33" t="s">
        <v>162</v>
      </c>
      <c r="L8054" s="31" t="str">
        <f t="shared" si="778"/>
        <v>Delapan Puluh Enam</v>
      </c>
    </row>
    <row r="8055" spans="10:12">
      <c r="J8055" s="31">
        <v>87</v>
      </c>
      <c r="K8055" s="33" t="s">
        <v>163</v>
      </c>
      <c r="L8055" s="31" t="str">
        <f t="shared" si="778"/>
        <v>Delapan Puluh Tujuh</v>
      </c>
    </row>
    <row r="8056" spans="10:12">
      <c r="J8056" s="31">
        <v>88</v>
      </c>
      <c r="K8056" s="33" t="s">
        <v>164</v>
      </c>
      <c r="L8056" s="31" t="str">
        <f t="shared" si="778"/>
        <v>Delapan Puluh Delapan</v>
      </c>
    </row>
    <row r="8057" spans="10:12">
      <c r="J8057" s="31">
        <v>89</v>
      </c>
      <c r="K8057" s="33" t="s">
        <v>165</v>
      </c>
      <c r="L8057" s="31" t="str">
        <f t="shared" si="778"/>
        <v>Delapan Puluh Sembilan</v>
      </c>
    </row>
    <row r="8058" spans="10:12">
      <c r="J8058" s="31">
        <v>90</v>
      </c>
      <c r="K8058" s="33" t="s">
        <v>166</v>
      </c>
      <c r="L8058" s="31" t="s">
        <v>167</v>
      </c>
    </row>
    <row r="8059" spans="10:12">
      <c r="J8059" s="31">
        <v>91</v>
      </c>
      <c r="K8059" s="33" t="s">
        <v>168</v>
      </c>
      <c r="L8059" s="31" t="str">
        <f t="shared" ref="L8059:L8067" si="779">$L$93&amp;" "&amp;L7969</f>
        <v>Sembilan Puluh Satu</v>
      </c>
    </row>
    <row r="8060" spans="10:12">
      <c r="J8060" s="31">
        <v>92</v>
      </c>
      <c r="K8060" s="33" t="s">
        <v>169</v>
      </c>
      <c r="L8060" s="31" t="str">
        <f t="shared" si="779"/>
        <v>Sembilan Puluh Dua</v>
      </c>
    </row>
    <row r="8061" spans="10:12">
      <c r="J8061" s="31">
        <v>93</v>
      </c>
      <c r="K8061" s="33" t="s">
        <v>170</v>
      </c>
      <c r="L8061" s="31" t="str">
        <f t="shared" si="779"/>
        <v>Sembilan Puluh Tiga</v>
      </c>
    </row>
    <row r="8062" spans="10:12">
      <c r="J8062" s="31">
        <v>94</v>
      </c>
      <c r="K8062" s="33" t="s">
        <v>171</v>
      </c>
      <c r="L8062" s="31" t="str">
        <f t="shared" si="779"/>
        <v>Sembilan Puluh Empat</v>
      </c>
    </row>
    <row r="8063" spans="10:12">
      <c r="J8063" s="31">
        <v>95</v>
      </c>
      <c r="K8063" s="33" t="s">
        <v>172</v>
      </c>
      <c r="L8063" s="31" t="str">
        <f t="shared" si="779"/>
        <v>Sembilan Puluh Lima</v>
      </c>
    </row>
    <row r="8064" spans="10:12">
      <c r="J8064" s="31">
        <v>96</v>
      </c>
      <c r="K8064" s="33" t="s">
        <v>173</v>
      </c>
      <c r="L8064" s="31" t="str">
        <f t="shared" si="779"/>
        <v>Sembilan Puluh Enam</v>
      </c>
    </row>
    <row r="8065" spans="1:12">
      <c r="J8065" s="31">
        <v>97</v>
      </c>
      <c r="K8065" s="33" t="s">
        <v>174</v>
      </c>
      <c r="L8065" s="31" t="str">
        <f t="shared" si="779"/>
        <v>Sembilan Puluh Tujuh</v>
      </c>
    </row>
    <row r="8066" spans="1:12">
      <c r="J8066" s="31">
        <v>98</v>
      </c>
      <c r="K8066" s="33" t="s">
        <v>175</v>
      </c>
      <c r="L8066" s="31" t="str">
        <f t="shared" si="779"/>
        <v>Sembilan Puluh Delapan</v>
      </c>
    </row>
    <row r="8067" spans="1:12">
      <c r="J8067" s="31">
        <v>99</v>
      </c>
      <c r="K8067" s="33" t="s">
        <v>176</v>
      </c>
      <c r="L8067" s="31" t="str">
        <f t="shared" si="779"/>
        <v>Sembilan Puluh Sembilan</v>
      </c>
    </row>
    <row r="8070" spans="1:12">
      <c r="A8070" s="30" t="e">
        <f>#REF!</f>
        <v>#REF!</v>
      </c>
      <c r="C8070" s="31" t="s">
        <v>276</v>
      </c>
    </row>
    <row r="8071" spans="1:12">
      <c r="A8071" s="32"/>
    </row>
    <row r="8072" spans="1:12">
      <c r="J8072" s="31">
        <v>0</v>
      </c>
      <c r="K8072" s="33" t="s">
        <v>48</v>
      </c>
      <c r="L8072" s="31" t="s">
        <v>49</v>
      </c>
    </row>
    <row r="8073" spans="1:12">
      <c r="A8073" s="34"/>
      <c r="J8073" s="31">
        <v>1</v>
      </c>
      <c r="K8073" s="33" t="s">
        <v>50</v>
      </c>
      <c r="L8073" s="31" t="s">
        <v>51</v>
      </c>
    </row>
    <row r="8074" spans="1:12">
      <c r="A8074" s="255" t="e">
        <f>TRIM(D8082&amp;E8082&amp;D8083&amp;E8083&amp;D8084&amp;E8084&amp;D8085&amp;E8085&amp;D8086&amp;E8086&amp;D8087&amp;E8087&amp;E8088&amp;D8088&amp;" Only")</f>
        <v>#REF!</v>
      </c>
      <c r="B8074" s="255"/>
      <c r="C8074" s="255"/>
      <c r="D8074" s="255"/>
      <c r="E8074" s="35"/>
      <c r="F8074" s="36"/>
      <c r="J8074" s="31">
        <v>2</v>
      </c>
      <c r="K8074" s="33" t="s">
        <v>52</v>
      </c>
      <c r="L8074" s="31" t="s">
        <v>53</v>
      </c>
    </row>
    <row r="8075" spans="1:12">
      <c r="A8075" s="37"/>
      <c r="B8075" s="37"/>
      <c r="C8075" s="37"/>
      <c r="D8075" s="37"/>
      <c r="E8075" s="35"/>
      <c r="F8075" s="36"/>
      <c r="J8075" s="31">
        <v>3</v>
      </c>
      <c r="K8075" s="33" t="s">
        <v>54</v>
      </c>
      <c r="L8075" s="31" t="s">
        <v>55</v>
      </c>
    </row>
    <row r="8076" spans="1:12">
      <c r="A8076" s="37"/>
      <c r="B8076" s="37"/>
      <c r="C8076" s="37"/>
      <c r="D8076" s="37"/>
      <c r="J8076" s="31">
        <v>4</v>
      </c>
      <c r="K8076" s="33" t="s">
        <v>56</v>
      </c>
      <c r="L8076" s="31" t="s">
        <v>57</v>
      </c>
    </row>
    <row r="8077" spans="1:12">
      <c r="A8077" s="255" t="e">
        <f>TRIM(D8092&amp;E8092&amp;D8093&amp;E8093&amp;D8094&amp;E8094&amp;D8095&amp;E8095&amp;D8096&amp;E8096&amp;D8097&amp;E8097&amp;D8098&amp;E8098&amp;" Rupiah")</f>
        <v>#REF!</v>
      </c>
      <c r="B8077" s="255"/>
      <c r="C8077" s="255"/>
      <c r="D8077" s="255"/>
      <c r="E8077" s="35"/>
      <c r="F8077" s="36"/>
      <c r="J8077" s="31">
        <v>5</v>
      </c>
      <c r="K8077" s="33" t="s">
        <v>58</v>
      </c>
      <c r="L8077" s="31" t="s">
        <v>59</v>
      </c>
    </row>
    <row r="8078" spans="1:12">
      <c r="A8078" s="35"/>
      <c r="B8078" s="35"/>
      <c r="C8078" s="35"/>
      <c r="D8078" s="35"/>
      <c r="E8078" s="35"/>
      <c r="F8078" s="36"/>
      <c r="J8078" s="31">
        <v>6</v>
      </c>
      <c r="K8078" s="33" t="s">
        <v>60</v>
      </c>
      <c r="L8078" s="31" t="s">
        <v>61</v>
      </c>
    </row>
    <row r="8079" spans="1:12">
      <c r="J8079" s="31">
        <v>7</v>
      </c>
      <c r="K8079" s="33" t="s">
        <v>62</v>
      </c>
      <c r="L8079" s="31" t="s">
        <v>63</v>
      </c>
    </row>
    <row r="8080" spans="1:12">
      <c r="J8080" s="31">
        <v>8</v>
      </c>
      <c r="K8080" s="33" t="s">
        <v>64</v>
      </c>
      <c r="L8080" s="31" t="s">
        <v>65</v>
      </c>
    </row>
    <row r="8081" spans="1:12">
      <c r="A8081" s="38" t="s">
        <v>66</v>
      </c>
      <c r="J8081" s="31">
        <v>9</v>
      </c>
      <c r="K8081" s="33" t="s">
        <v>67</v>
      </c>
      <c r="L8081" s="31" t="s">
        <v>68</v>
      </c>
    </row>
    <row r="8082" spans="1:12">
      <c r="A8082" s="31" t="s">
        <v>69</v>
      </c>
      <c r="B8082" s="39" t="e">
        <f>TRUNC(A8070/100000000)</f>
        <v>#REF!</v>
      </c>
      <c r="C8082" s="31" t="e">
        <f>B8082*100000000</f>
        <v>#REF!</v>
      </c>
      <c r="D8082" s="31" t="e">
        <f t="shared" ref="D8082:D8088" si="780">IF(B8082&lt;1,"",VLOOKUP(B8082,$J$3:$K$102,2))</f>
        <v>#REF!</v>
      </c>
      <c r="E8082" s="31" t="e">
        <f>IF(B8082&lt;1,"",IF(B8082&gt;1," Hundreds "," Hundred "))</f>
        <v>#REF!</v>
      </c>
      <c r="J8082" s="31">
        <v>10</v>
      </c>
      <c r="K8082" s="33" t="s">
        <v>70</v>
      </c>
      <c r="L8082" s="31" t="s">
        <v>71</v>
      </c>
    </row>
    <row r="8083" spans="1:12">
      <c r="A8083" s="31" t="s">
        <v>72</v>
      </c>
      <c r="B8083" s="39" t="e">
        <f>TRUNC((A8070-C8082)/1000000)</f>
        <v>#REF!</v>
      </c>
      <c r="C8083" s="31" t="e">
        <f>B8083*1000000</f>
        <v>#REF!</v>
      </c>
      <c r="D8083" s="31" t="e">
        <f t="shared" si="780"/>
        <v>#REF!</v>
      </c>
      <c r="E8083" s="31" t="e">
        <f>IF(B8082+B8083=0,"",IF(B8083=1," Million "," Millions "))</f>
        <v>#REF!</v>
      </c>
      <c r="J8083" s="31">
        <v>11</v>
      </c>
      <c r="K8083" s="33" t="s">
        <v>73</v>
      </c>
      <c r="L8083" s="31" t="s">
        <v>74</v>
      </c>
    </row>
    <row r="8084" spans="1:12">
      <c r="A8084" s="31" t="s">
        <v>75</v>
      </c>
      <c r="B8084" s="39" t="e">
        <f>TRUNC((A8070-SUM(C8082:C8083))/100000)</f>
        <v>#REF!</v>
      </c>
      <c r="C8084" s="31" t="e">
        <f>B8084*100000</f>
        <v>#REF!</v>
      </c>
      <c r="D8084" s="31" t="e">
        <f t="shared" si="780"/>
        <v>#REF!</v>
      </c>
      <c r="E8084" s="31" t="e">
        <f>IF(B8084&lt;1,"",IF(B8084&gt;1," Hundreds "," Hundred "))</f>
        <v>#REF!</v>
      </c>
      <c r="J8084" s="31">
        <v>12</v>
      </c>
      <c r="K8084" s="33" t="s">
        <v>76</v>
      </c>
      <c r="L8084" s="31" t="str">
        <f t="shared" ref="L8084:L8091" si="781">L8074&amp;" Belas"</f>
        <v>Dua Belas</v>
      </c>
    </row>
    <row r="8085" spans="1:12">
      <c r="A8085" s="33" t="s">
        <v>77</v>
      </c>
      <c r="B8085" s="40" t="e">
        <f>TRUNC((A8070-SUM(C8082:C8084))/1000)</f>
        <v>#REF!</v>
      </c>
      <c r="C8085" s="31" t="e">
        <f>B8085*1000</f>
        <v>#REF!</v>
      </c>
      <c r="D8085" s="31" t="e">
        <f t="shared" si="780"/>
        <v>#REF!</v>
      </c>
      <c r="E8085" s="31" t="e">
        <f>IF(B8084+B8085=0,"",IF(B8085=1," Thousand "," Thousands "))</f>
        <v>#REF!</v>
      </c>
      <c r="J8085" s="31">
        <v>13</v>
      </c>
      <c r="K8085" s="33" t="s">
        <v>78</v>
      </c>
      <c r="L8085" s="31" t="str">
        <f t="shared" si="781"/>
        <v>Tiga Belas</v>
      </c>
    </row>
    <row r="8086" spans="1:12">
      <c r="A8086" s="33" t="s">
        <v>79</v>
      </c>
      <c r="B8086" s="40" t="e">
        <f>TRUNC((A8070-SUM(C8082:C8085))/100)</f>
        <v>#REF!</v>
      </c>
      <c r="C8086" s="31" t="e">
        <f>B8086*100</f>
        <v>#REF!</v>
      </c>
      <c r="D8086" s="31" t="e">
        <f t="shared" si="780"/>
        <v>#REF!</v>
      </c>
      <c r="E8086" s="31" t="e">
        <f>IF(B8086&lt;1,"",IF(B8086&gt;1," Hundreds "," Hundred "))</f>
        <v>#REF!</v>
      </c>
      <c r="J8086" s="31">
        <v>14</v>
      </c>
      <c r="K8086" s="33" t="s">
        <v>80</v>
      </c>
      <c r="L8086" s="31" t="str">
        <f t="shared" si="781"/>
        <v>Empat Belas</v>
      </c>
    </row>
    <row r="8087" spans="1:12">
      <c r="A8087" s="33" t="s">
        <v>81</v>
      </c>
      <c r="B8087" s="41" t="e">
        <f>TRUNC((A8070-SUM(C8082:C8086)))</f>
        <v>#REF!</v>
      </c>
      <c r="C8087" s="42" t="e">
        <f>B8087</f>
        <v>#REF!</v>
      </c>
      <c r="D8087" s="31" t="e">
        <f t="shared" si="780"/>
        <v>#REF!</v>
      </c>
      <c r="E8087" s="31" t="e">
        <f>IF(SUM(C8082:C8087)&lt;1,"",IF(B8088&lt;1,""," And "))</f>
        <v>#REF!</v>
      </c>
      <c r="J8087" s="31">
        <v>15</v>
      </c>
      <c r="K8087" s="33" t="s">
        <v>82</v>
      </c>
      <c r="L8087" s="31" t="str">
        <f t="shared" si="781"/>
        <v>Lima Belas</v>
      </c>
    </row>
    <row r="8088" spans="1:12">
      <c r="A8088" s="33" t="s">
        <v>83</v>
      </c>
      <c r="B8088" s="40" t="e">
        <f>ROUND(A8070-SUM(C8082:C8087),2)*100</f>
        <v>#REF!</v>
      </c>
      <c r="D8088" s="43" t="e">
        <f t="shared" si="780"/>
        <v>#REF!</v>
      </c>
      <c r="E8088" s="31" t="e">
        <f>IF(B8088&lt;1,"",IF(B8088=1," Cent "," Cents "))</f>
        <v>#REF!</v>
      </c>
      <c r="J8088" s="31">
        <v>16</v>
      </c>
      <c r="K8088" s="33" t="s">
        <v>84</v>
      </c>
      <c r="L8088" s="31" t="str">
        <f t="shared" si="781"/>
        <v>Enam Belas</v>
      </c>
    </row>
    <row r="8089" spans="1:12">
      <c r="J8089" s="31">
        <v>17</v>
      </c>
      <c r="K8089" s="33" t="s">
        <v>85</v>
      </c>
      <c r="L8089" s="31" t="str">
        <f t="shared" si="781"/>
        <v>Tujuh Belas</v>
      </c>
    </row>
    <row r="8090" spans="1:12">
      <c r="A8090" s="44"/>
      <c r="J8090" s="31">
        <v>18</v>
      </c>
      <c r="K8090" s="33" t="s">
        <v>86</v>
      </c>
      <c r="L8090" s="31" t="str">
        <f t="shared" si="781"/>
        <v>Delapan Belas</v>
      </c>
    </row>
    <row r="8091" spans="1:12">
      <c r="A8091" s="38" t="s">
        <v>87</v>
      </c>
      <c r="J8091" s="31">
        <v>19</v>
      </c>
      <c r="K8091" s="33" t="s">
        <v>88</v>
      </c>
      <c r="L8091" s="31" t="str">
        <f t="shared" si="781"/>
        <v>Sembilan Belas</v>
      </c>
    </row>
    <row r="8092" spans="1:12">
      <c r="A8092" s="31" t="s">
        <v>69</v>
      </c>
      <c r="B8092" s="39" t="e">
        <f>TRUNC(A8070/100000000)</f>
        <v>#REF!</v>
      </c>
      <c r="C8092" s="31" t="e">
        <f>B8092*100000000</f>
        <v>#REF!</v>
      </c>
      <c r="D8092" s="31" t="e">
        <f>IF(B8092&lt;1,"",IF(B8092=1,"",VLOOKUP(B8092,$J$3:$L$102,3)))</f>
        <v>#REF!</v>
      </c>
      <c r="E8092" s="31" t="e">
        <f>IF(B8092&lt;1,"",IF(B8092=1,"Seratus "," Ratus "))</f>
        <v>#REF!</v>
      </c>
      <c r="J8092" s="31">
        <v>20</v>
      </c>
      <c r="K8092" s="33" t="s">
        <v>89</v>
      </c>
      <c r="L8092" s="31" t="s">
        <v>90</v>
      </c>
    </row>
    <row r="8093" spans="1:12">
      <c r="A8093" s="31" t="s">
        <v>72</v>
      </c>
      <c r="B8093" s="39" t="e">
        <f>TRUNC((A8070-C8092)/1000000)</f>
        <v>#REF!</v>
      </c>
      <c r="C8093" s="31" t="e">
        <f>B8093*1000000</f>
        <v>#REF!</v>
      </c>
      <c r="D8093" s="31" t="e">
        <f>IF(B8093&lt;1,"",VLOOKUP(B8093,$J$3:$L$102,3))</f>
        <v>#REF!</v>
      </c>
      <c r="E8093" s="31" t="e">
        <f>IF(B8092+B8093=0,""," Juta ")</f>
        <v>#REF!</v>
      </c>
      <c r="J8093" s="31">
        <v>21</v>
      </c>
      <c r="K8093" s="33" t="s">
        <v>91</v>
      </c>
      <c r="L8093" s="31" t="str">
        <f t="shared" ref="L8093:L8101" si="782">$L$23&amp;" "&amp;L8073</f>
        <v>Dua Puluh Satu</v>
      </c>
    </row>
    <row r="8094" spans="1:12">
      <c r="A8094" s="31" t="s">
        <v>75</v>
      </c>
      <c r="B8094" s="39" t="e">
        <f>TRUNC((A8070-SUM(C8092:C8093))/100000)</f>
        <v>#REF!</v>
      </c>
      <c r="C8094" s="31" t="e">
        <f>B8094*100000</f>
        <v>#REF!</v>
      </c>
      <c r="D8094" s="31" t="e">
        <f>IF(B8094&lt;1,"",IF(B8094=1,"",VLOOKUP(B8094,$J$3:$L$102,3)))</f>
        <v>#REF!</v>
      </c>
      <c r="E8094" s="31" t="e">
        <f>IF(B8094&lt;1,"",IF(B8094=1," Seratus "," Ratus "))</f>
        <v>#REF!</v>
      </c>
      <c r="J8094" s="31">
        <v>22</v>
      </c>
      <c r="K8094" s="33" t="s">
        <v>92</v>
      </c>
      <c r="L8094" s="31" t="str">
        <f t="shared" si="782"/>
        <v>Dua Puluh Dua</v>
      </c>
    </row>
    <row r="8095" spans="1:12">
      <c r="A8095" s="33" t="s">
        <v>77</v>
      </c>
      <c r="B8095" s="40" t="e">
        <f>TRUNC((A8070-SUM(C8092:C8094))/1000)</f>
        <v>#REF!</v>
      </c>
      <c r="C8095" s="31" t="e">
        <f>B8095*1000</f>
        <v>#REF!</v>
      </c>
      <c r="D8095" s="31" t="e">
        <f>IF(B8095&lt;1,"",IF(B8095=1,"",VLOOKUP(B8095,$J$3:$L$102,3)))</f>
        <v>#REF!</v>
      </c>
      <c r="E8095" s="31" t="e">
        <f>IF(B8094+B8095&lt;1,"",IF(B8095=1," Seribu "," Ribu "))</f>
        <v>#REF!</v>
      </c>
      <c r="J8095" s="31">
        <v>23</v>
      </c>
      <c r="K8095" s="33" t="s">
        <v>93</v>
      </c>
      <c r="L8095" s="31" t="str">
        <f t="shared" si="782"/>
        <v>Dua Puluh Tiga</v>
      </c>
    </row>
    <row r="8096" spans="1:12">
      <c r="A8096" s="33" t="s">
        <v>79</v>
      </c>
      <c r="B8096" s="40" t="e">
        <f>TRUNC((A8070-SUM(C8092:C8095))/100)</f>
        <v>#REF!</v>
      </c>
      <c r="C8096" s="31" t="e">
        <f>B8096*100</f>
        <v>#REF!</v>
      </c>
      <c r="D8096" s="31" t="e">
        <f>IF(B8096&lt;1,"",IF(B8096=1,"",VLOOKUP(B8096,$J$3:$L$102,3)))</f>
        <v>#REF!</v>
      </c>
      <c r="E8096" s="31" t="e">
        <f>IF(B8096&lt;1,"",IF(B8096=1," Seratus "," Ratus "))</f>
        <v>#REF!</v>
      </c>
      <c r="J8096" s="31">
        <v>24</v>
      </c>
      <c r="K8096" s="33" t="s">
        <v>94</v>
      </c>
      <c r="L8096" s="31" t="str">
        <f t="shared" si="782"/>
        <v>Dua Puluh Empat</v>
      </c>
    </row>
    <row r="8097" spans="1:12">
      <c r="A8097" s="33" t="s">
        <v>81</v>
      </c>
      <c r="B8097" s="41" t="e">
        <f>TRUNC((A8070-SUM(C8092:C8096)))</f>
        <v>#REF!</v>
      </c>
      <c r="C8097" s="42" t="e">
        <f>B8097</f>
        <v>#REF!</v>
      </c>
      <c r="D8097" s="31" t="e">
        <f>IF(B8097&lt;1,"",VLOOKUP(B8097,$J$3:$L$102,3))</f>
        <v>#REF!</v>
      </c>
      <c r="E8097" s="31" t="e">
        <f>IF(SUM(C8092:C8097)&lt;1,"",IF(B8098&lt;1,""," Dan "))</f>
        <v>#REF!</v>
      </c>
      <c r="J8097" s="31">
        <v>25</v>
      </c>
      <c r="K8097" s="33" t="s">
        <v>95</v>
      </c>
      <c r="L8097" s="31" t="str">
        <f t="shared" si="782"/>
        <v>Dua Puluh Lima</v>
      </c>
    </row>
    <row r="8098" spans="1:12">
      <c r="A8098" s="33" t="s">
        <v>83</v>
      </c>
      <c r="B8098" s="40" t="e">
        <f>ROUND(A8070-SUM(C8092:C8097),2)*100</f>
        <v>#REF!</v>
      </c>
      <c r="D8098" s="31" t="e">
        <f>IF(B8098&lt;1,"",VLOOKUP(B8098,$J$3:$L$102,3))</f>
        <v>#REF!</v>
      </c>
      <c r="E8098" s="31" t="e">
        <f>IF(B8098&lt;1,""," Sen ")</f>
        <v>#REF!</v>
      </c>
      <c r="J8098" s="31">
        <v>26</v>
      </c>
      <c r="K8098" s="33" t="s">
        <v>96</v>
      </c>
      <c r="L8098" s="31" t="str">
        <f t="shared" si="782"/>
        <v>Dua Puluh Enam</v>
      </c>
    </row>
    <row r="8099" spans="1:12">
      <c r="J8099" s="31">
        <v>27</v>
      </c>
      <c r="K8099" s="33" t="s">
        <v>97</v>
      </c>
      <c r="L8099" s="31" t="str">
        <f t="shared" si="782"/>
        <v>Dua Puluh Tujuh</v>
      </c>
    </row>
    <row r="8100" spans="1:12">
      <c r="J8100" s="31">
        <v>28</v>
      </c>
      <c r="K8100" s="33" t="s">
        <v>98</v>
      </c>
      <c r="L8100" s="31" t="str">
        <f t="shared" si="782"/>
        <v>Dua Puluh Delapan</v>
      </c>
    </row>
    <row r="8101" spans="1:12">
      <c r="J8101" s="31">
        <v>29</v>
      </c>
      <c r="K8101" s="33" t="s">
        <v>99</v>
      </c>
      <c r="L8101" s="31" t="str">
        <f t="shared" si="782"/>
        <v>Dua Puluh Sembilan</v>
      </c>
    </row>
    <row r="8102" spans="1:12">
      <c r="J8102" s="31">
        <v>30</v>
      </c>
      <c r="K8102" s="33" t="s">
        <v>100</v>
      </c>
      <c r="L8102" s="31" t="s">
        <v>101</v>
      </c>
    </row>
    <row r="8103" spans="1:12">
      <c r="J8103" s="31">
        <v>31</v>
      </c>
      <c r="K8103" s="33" t="s">
        <v>102</v>
      </c>
      <c r="L8103" s="31" t="str">
        <f t="shared" ref="L8103:L8111" si="783">$L$33&amp;" "&amp;L8073</f>
        <v>Tiga Puluh Satu</v>
      </c>
    </row>
    <row r="8104" spans="1:12">
      <c r="J8104" s="31">
        <v>32</v>
      </c>
      <c r="K8104" s="33" t="s">
        <v>103</v>
      </c>
      <c r="L8104" s="31" t="str">
        <f t="shared" si="783"/>
        <v>Tiga Puluh Dua</v>
      </c>
    </row>
    <row r="8105" spans="1:12">
      <c r="J8105" s="31">
        <v>33</v>
      </c>
      <c r="K8105" s="33" t="s">
        <v>104</v>
      </c>
      <c r="L8105" s="31" t="str">
        <f t="shared" si="783"/>
        <v>Tiga Puluh Tiga</v>
      </c>
    </row>
    <row r="8106" spans="1:12">
      <c r="J8106" s="31">
        <v>34</v>
      </c>
      <c r="K8106" s="33" t="s">
        <v>105</v>
      </c>
      <c r="L8106" s="31" t="str">
        <f t="shared" si="783"/>
        <v>Tiga Puluh Empat</v>
      </c>
    </row>
    <row r="8107" spans="1:12">
      <c r="J8107" s="31">
        <v>35</v>
      </c>
      <c r="K8107" s="33" t="s">
        <v>106</v>
      </c>
      <c r="L8107" s="31" t="str">
        <f t="shared" si="783"/>
        <v>Tiga Puluh Lima</v>
      </c>
    </row>
    <row r="8108" spans="1:12">
      <c r="J8108" s="31">
        <v>36</v>
      </c>
      <c r="K8108" s="33" t="s">
        <v>107</v>
      </c>
      <c r="L8108" s="31" t="str">
        <f t="shared" si="783"/>
        <v>Tiga Puluh Enam</v>
      </c>
    </row>
    <row r="8109" spans="1:12">
      <c r="J8109" s="31">
        <v>37</v>
      </c>
      <c r="K8109" s="33" t="s">
        <v>108</v>
      </c>
      <c r="L8109" s="31" t="str">
        <f t="shared" si="783"/>
        <v>Tiga Puluh Tujuh</v>
      </c>
    </row>
    <row r="8110" spans="1:12">
      <c r="J8110" s="31">
        <v>38</v>
      </c>
      <c r="K8110" s="33" t="s">
        <v>109</v>
      </c>
      <c r="L8110" s="31" t="str">
        <f t="shared" si="783"/>
        <v>Tiga Puluh Delapan</v>
      </c>
    </row>
    <row r="8111" spans="1:12">
      <c r="J8111" s="31">
        <v>39</v>
      </c>
      <c r="K8111" s="33" t="s">
        <v>110</v>
      </c>
      <c r="L8111" s="31" t="str">
        <f t="shared" si="783"/>
        <v>Tiga Puluh Sembilan</v>
      </c>
    </row>
    <row r="8112" spans="1:12">
      <c r="B8112" s="35"/>
      <c r="C8112" s="35"/>
      <c r="D8112" s="35"/>
      <c r="J8112" s="31">
        <v>40</v>
      </c>
      <c r="K8112" s="33" t="s">
        <v>111</v>
      </c>
      <c r="L8112" s="31" t="s">
        <v>112</v>
      </c>
    </row>
    <row r="8113" spans="1:12">
      <c r="A8113" s="35"/>
      <c r="B8113" s="35"/>
      <c r="C8113" s="35"/>
      <c r="D8113" s="35"/>
      <c r="J8113" s="31">
        <v>41</v>
      </c>
      <c r="K8113" s="33" t="s">
        <v>113</v>
      </c>
      <c r="L8113" s="31" t="str">
        <f t="shared" ref="L8113:L8121" si="784">$L$43&amp;" "&amp;L8073</f>
        <v>Empat Puluh Satu</v>
      </c>
    </row>
    <row r="8114" spans="1:12">
      <c r="J8114" s="31">
        <v>42</v>
      </c>
      <c r="K8114" s="33" t="s">
        <v>114</v>
      </c>
      <c r="L8114" s="31" t="str">
        <f t="shared" si="784"/>
        <v>Empat Puluh Dua</v>
      </c>
    </row>
    <row r="8115" spans="1:12">
      <c r="A8115" s="38"/>
      <c r="J8115" s="31">
        <v>43</v>
      </c>
      <c r="K8115" s="33" t="s">
        <v>115</v>
      </c>
      <c r="L8115" s="31" t="str">
        <f t="shared" si="784"/>
        <v>Empat Puluh Tiga</v>
      </c>
    </row>
    <row r="8116" spans="1:12">
      <c r="J8116" s="31">
        <v>44</v>
      </c>
      <c r="K8116" s="33" t="s">
        <v>116</v>
      </c>
      <c r="L8116" s="31" t="str">
        <f t="shared" si="784"/>
        <v>Empat Puluh Empat</v>
      </c>
    </row>
    <row r="8117" spans="1:12">
      <c r="J8117" s="31">
        <v>45</v>
      </c>
      <c r="K8117" s="33" t="s">
        <v>117</v>
      </c>
      <c r="L8117" s="31" t="str">
        <f t="shared" si="784"/>
        <v>Empat Puluh Lima</v>
      </c>
    </row>
    <row r="8118" spans="1:12">
      <c r="J8118" s="31">
        <v>46</v>
      </c>
      <c r="K8118" s="33" t="s">
        <v>118</v>
      </c>
      <c r="L8118" s="31" t="str">
        <f t="shared" si="784"/>
        <v>Empat Puluh Enam</v>
      </c>
    </row>
    <row r="8119" spans="1:12">
      <c r="J8119" s="31">
        <v>47</v>
      </c>
      <c r="K8119" s="33" t="s">
        <v>119</v>
      </c>
      <c r="L8119" s="31" t="str">
        <f t="shared" si="784"/>
        <v>Empat Puluh Tujuh</v>
      </c>
    </row>
    <row r="8120" spans="1:12">
      <c r="J8120" s="31">
        <v>48</v>
      </c>
      <c r="K8120" s="33" t="s">
        <v>120</v>
      </c>
      <c r="L8120" s="31" t="str">
        <f t="shared" si="784"/>
        <v>Empat Puluh Delapan</v>
      </c>
    </row>
    <row r="8121" spans="1:12">
      <c r="J8121" s="31">
        <v>49</v>
      </c>
      <c r="K8121" s="33" t="s">
        <v>121</v>
      </c>
      <c r="L8121" s="31" t="str">
        <f t="shared" si="784"/>
        <v>Empat Puluh Sembilan</v>
      </c>
    </row>
    <row r="8122" spans="1:12">
      <c r="J8122" s="31">
        <v>50</v>
      </c>
      <c r="K8122" s="33" t="s">
        <v>122</v>
      </c>
      <c r="L8122" s="31" t="s">
        <v>123</v>
      </c>
    </row>
    <row r="8123" spans="1:12">
      <c r="J8123" s="31">
        <v>51</v>
      </c>
      <c r="K8123" s="33" t="s">
        <v>124</v>
      </c>
      <c r="L8123" s="31" t="str">
        <f t="shared" ref="L8123:L8131" si="785">$L$53&amp;" "&amp;L8073</f>
        <v>Lima Puluh Satu</v>
      </c>
    </row>
    <row r="8124" spans="1:12">
      <c r="J8124" s="31">
        <v>52</v>
      </c>
      <c r="K8124" s="33" t="s">
        <v>125</v>
      </c>
      <c r="L8124" s="31" t="str">
        <f t="shared" si="785"/>
        <v>Lima Puluh Dua</v>
      </c>
    </row>
    <row r="8125" spans="1:12">
      <c r="J8125" s="31">
        <v>53</v>
      </c>
      <c r="K8125" s="33" t="s">
        <v>126</v>
      </c>
      <c r="L8125" s="31" t="str">
        <f t="shared" si="785"/>
        <v>Lima Puluh Tiga</v>
      </c>
    </row>
    <row r="8126" spans="1:12">
      <c r="J8126" s="31">
        <v>54</v>
      </c>
      <c r="K8126" s="33" t="s">
        <v>127</v>
      </c>
      <c r="L8126" s="31" t="str">
        <f t="shared" si="785"/>
        <v>Lima Puluh Empat</v>
      </c>
    </row>
    <row r="8127" spans="1:12">
      <c r="J8127" s="31">
        <v>55</v>
      </c>
      <c r="K8127" s="33" t="s">
        <v>128</v>
      </c>
      <c r="L8127" s="31" t="str">
        <f t="shared" si="785"/>
        <v>Lima Puluh Lima</v>
      </c>
    </row>
    <row r="8128" spans="1:12">
      <c r="J8128" s="31">
        <v>56</v>
      </c>
      <c r="K8128" s="33" t="s">
        <v>129</v>
      </c>
      <c r="L8128" s="31" t="str">
        <f t="shared" si="785"/>
        <v>Lima Puluh Enam</v>
      </c>
    </row>
    <row r="8129" spans="10:12">
      <c r="J8129" s="31">
        <v>57</v>
      </c>
      <c r="K8129" s="33" t="s">
        <v>130</v>
      </c>
      <c r="L8129" s="31" t="str">
        <f t="shared" si="785"/>
        <v>Lima Puluh Tujuh</v>
      </c>
    </row>
    <row r="8130" spans="10:12">
      <c r="J8130" s="31">
        <v>58</v>
      </c>
      <c r="K8130" s="33" t="s">
        <v>131</v>
      </c>
      <c r="L8130" s="31" t="str">
        <f t="shared" si="785"/>
        <v>Lima Puluh Delapan</v>
      </c>
    </row>
    <row r="8131" spans="10:12">
      <c r="J8131" s="31">
        <v>59</v>
      </c>
      <c r="K8131" s="33" t="s">
        <v>132</v>
      </c>
      <c r="L8131" s="31" t="str">
        <f t="shared" si="785"/>
        <v>Lima Puluh Sembilan</v>
      </c>
    </row>
    <row r="8132" spans="10:12">
      <c r="J8132" s="31">
        <v>60</v>
      </c>
      <c r="K8132" s="33" t="s">
        <v>133</v>
      </c>
      <c r="L8132" s="31" t="s">
        <v>134</v>
      </c>
    </row>
    <row r="8133" spans="10:12">
      <c r="J8133" s="31">
        <v>61</v>
      </c>
      <c r="K8133" s="33" t="s">
        <v>135</v>
      </c>
      <c r="L8133" s="31" t="str">
        <f t="shared" ref="L8133:L8141" si="786">$L$63&amp;" "&amp;L8073</f>
        <v>Enam Puluh Satu</v>
      </c>
    </row>
    <row r="8134" spans="10:12">
      <c r="J8134" s="31">
        <v>62</v>
      </c>
      <c r="K8134" s="33" t="s">
        <v>136</v>
      </c>
      <c r="L8134" s="31" t="str">
        <f t="shared" si="786"/>
        <v>Enam Puluh Dua</v>
      </c>
    </row>
    <row r="8135" spans="10:12">
      <c r="J8135" s="31">
        <v>63</v>
      </c>
      <c r="K8135" s="33" t="s">
        <v>137</v>
      </c>
      <c r="L8135" s="31" t="str">
        <f t="shared" si="786"/>
        <v>Enam Puluh Tiga</v>
      </c>
    </row>
    <row r="8136" spans="10:12">
      <c r="J8136" s="31">
        <v>64</v>
      </c>
      <c r="K8136" s="33" t="s">
        <v>138</v>
      </c>
      <c r="L8136" s="31" t="str">
        <f t="shared" si="786"/>
        <v>Enam Puluh Empat</v>
      </c>
    </row>
    <row r="8137" spans="10:12">
      <c r="J8137" s="31">
        <v>65</v>
      </c>
      <c r="K8137" s="33" t="s">
        <v>139</v>
      </c>
      <c r="L8137" s="31" t="str">
        <f t="shared" si="786"/>
        <v>Enam Puluh Lima</v>
      </c>
    </row>
    <row r="8138" spans="10:12">
      <c r="J8138" s="31">
        <v>66</v>
      </c>
      <c r="K8138" s="33" t="s">
        <v>140</v>
      </c>
      <c r="L8138" s="31" t="str">
        <f t="shared" si="786"/>
        <v>Enam Puluh Enam</v>
      </c>
    </row>
    <row r="8139" spans="10:12">
      <c r="J8139" s="31">
        <v>67</v>
      </c>
      <c r="K8139" s="33" t="s">
        <v>141</v>
      </c>
      <c r="L8139" s="31" t="str">
        <f t="shared" si="786"/>
        <v>Enam Puluh Tujuh</v>
      </c>
    </row>
    <row r="8140" spans="10:12">
      <c r="J8140" s="31">
        <v>68</v>
      </c>
      <c r="K8140" s="33" t="s">
        <v>142</v>
      </c>
      <c r="L8140" s="31" t="str">
        <f t="shared" si="786"/>
        <v>Enam Puluh Delapan</v>
      </c>
    </row>
    <row r="8141" spans="10:12">
      <c r="J8141" s="31">
        <v>69</v>
      </c>
      <c r="K8141" s="33" t="s">
        <v>143</v>
      </c>
      <c r="L8141" s="31" t="str">
        <f t="shared" si="786"/>
        <v>Enam Puluh Sembilan</v>
      </c>
    </row>
    <row r="8142" spans="10:12">
      <c r="J8142" s="31">
        <v>70</v>
      </c>
      <c r="K8142" s="33" t="s">
        <v>144</v>
      </c>
      <c r="L8142" s="31" t="s">
        <v>145</v>
      </c>
    </row>
    <row r="8143" spans="10:12">
      <c r="J8143" s="31">
        <v>71</v>
      </c>
      <c r="K8143" s="33" t="s">
        <v>146</v>
      </c>
      <c r="L8143" s="31" t="str">
        <f t="shared" ref="L8143:L8151" si="787">$L$73&amp;" "&amp;L8073</f>
        <v>Tujuh Puluh Satu</v>
      </c>
    </row>
    <row r="8144" spans="10:12">
      <c r="J8144" s="31">
        <v>72</v>
      </c>
      <c r="K8144" s="33" t="s">
        <v>147</v>
      </c>
      <c r="L8144" s="31" t="str">
        <f t="shared" si="787"/>
        <v>Tujuh Puluh Dua</v>
      </c>
    </row>
    <row r="8145" spans="10:12">
      <c r="J8145" s="31">
        <v>73</v>
      </c>
      <c r="K8145" s="33" t="s">
        <v>148</v>
      </c>
      <c r="L8145" s="31" t="str">
        <f t="shared" si="787"/>
        <v>Tujuh Puluh Tiga</v>
      </c>
    </row>
    <row r="8146" spans="10:12">
      <c r="J8146" s="31">
        <v>74</v>
      </c>
      <c r="K8146" s="33" t="s">
        <v>149</v>
      </c>
      <c r="L8146" s="31" t="str">
        <f t="shared" si="787"/>
        <v>Tujuh Puluh Empat</v>
      </c>
    </row>
    <row r="8147" spans="10:12">
      <c r="J8147" s="31">
        <v>75</v>
      </c>
      <c r="K8147" s="33" t="s">
        <v>150</v>
      </c>
      <c r="L8147" s="31" t="str">
        <f t="shared" si="787"/>
        <v>Tujuh Puluh Lima</v>
      </c>
    </row>
    <row r="8148" spans="10:12">
      <c r="J8148" s="31">
        <v>76</v>
      </c>
      <c r="K8148" s="33" t="s">
        <v>151</v>
      </c>
      <c r="L8148" s="31" t="str">
        <f t="shared" si="787"/>
        <v>Tujuh Puluh Enam</v>
      </c>
    </row>
    <row r="8149" spans="10:12">
      <c r="J8149" s="31">
        <v>77</v>
      </c>
      <c r="K8149" s="33" t="s">
        <v>152</v>
      </c>
      <c r="L8149" s="31" t="str">
        <f t="shared" si="787"/>
        <v>Tujuh Puluh Tujuh</v>
      </c>
    </row>
    <row r="8150" spans="10:12">
      <c r="J8150" s="31">
        <v>78</v>
      </c>
      <c r="K8150" s="33" t="s">
        <v>153</v>
      </c>
      <c r="L8150" s="31" t="str">
        <f t="shared" si="787"/>
        <v>Tujuh Puluh Delapan</v>
      </c>
    </row>
    <row r="8151" spans="10:12">
      <c r="J8151" s="31">
        <v>79</v>
      </c>
      <c r="K8151" s="33" t="s">
        <v>154</v>
      </c>
      <c r="L8151" s="31" t="str">
        <f t="shared" si="787"/>
        <v>Tujuh Puluh Sembilan</v>
      </c>
    </row>
    <row r="8152" spans="10:12">
      <c r="J8152" s="31">
        <v>80</v>
      </c>
      <c r="K8152" s="33" t="s">
        <v>155</v>
      </c>
      <c r="L8152" s="31" t="s">
        <v>156</v>
      </c>
    </row>
    <row r="8153" spans="10:12">
      <c r="J8153" s="31">
        <v>81</v>
      </c>
      <c r="K8153" s="33" t="s">
        <v>157</v>
      </c>
      <c r="L8153" s="31" t="str">
        <f t="shared" ref="L8153:L8161" si="788">$L$83&amp;" "&amp;L8073</f>
        <v>Delapan Puluh Satu</v>
      </c>
    </row>
    <row r="8154" spans="10:12">
      <c r="J8154" s="31">
        <v>82</v>
      </c>
      <c r="K8154" s="33" t="s">
        <v>158</v>
      </c>
      <c r="L8154" s="31" t="str">
        <f t="shared" si="788"/>
        <v>Delapan Puluh Dua</v>
      </c>
    </row>
    <row r="8155" spans="10:12">
      <c r="J8155" s="31">
        <v>83</v>
      </c>
      <c r="K8155" s="33" t="s">
        <v>159</v>
      </c>
      <c r="L8155" s="31" t="str">
        <f t="shared" si="788"/>
        <v>Delapan Puluh Tiga</v>
      </c>
    </row>
    <row r="8156" spans="10:12">
      <c r="J8156" s="31">
        <v>84</v>
      </c>
      <c r="K8156" s="33" t="s">
        <v>160</v>
      </c>
      <c r="L8156" s="31" t="str">
        <f t="shared" si="788"/>
        <v>Delapan Puluh Empat</v>
      </c>
    </row>
    <row r="8157" spans="10:12">
      <c r="J8157" s="31">
        <v>85</v>
      </c>
      <c r="K8157" s="33" t="s">
        <v>161</v>
      </c>
      <c r="L8157" s="31" t="str">
        <f t="shared" si="788"/>
        <v>Delapan Puluh Lima</v>
      </c>
    </row>
    <row r="8158" spans="10:12">
      <c r="J8158" s="31">
        <v>86</v>
      </c>
      <c r="K8158" s="33" t="s">
        <v>162</v>
      </c>
      <c r="L8158" s="31" t="str">
        <f t="shared" si="788"/>
        <v>Delapan Puluh Enam</v>
      </c>
    </row>
    <row r="8159" spans="10:12">
      <c r="J8159" s="31">
        <v>87</v>
      </c>
      <c r="K8159" s="33" t="s">
        <v>163</v>
      </c>
      <c r="L8159" s="31" t="str">
        <f t="shared" si="788"/>
        <v>Delapan Puluh Tujuh</v>
      </c>
    </row>
    <row r="8160" spans="10:12">
      <c r="J8160" s="31">
        <v>88</v>
      </c>
      <c r="K8160" s="33" t="s">
        <v>164</v>
      </c>
      <c r="L8160" s="31" t="str">
        <f t="shared" si="788"/>
        <v>Delapan Puluh Delapan</v>
      </c>
    </row>
    <row r="8161" spans="1:12">
      <c r="J8161" s="31">
        <v>89</v>
      </c>
      <c r="K8161" s="33" t="s">
        <v>165</v>
      </c>
      <c r="L8161" s="31" t="str">
        <f t="shared" si="788"/>
        <v>Delapan Puluh Sembilan</v>
      </c>
    </row>
    <row r="8162" spans="1:12">
      <c r="J8162" s="31">
        <v>90</v>
      </c>
      <c r="K8162" s="33" t="s">
        <v>166</v>
      </c>
      <c r="L8162" s="31" t="s">
        <v>167</v>
      </c>
    </row>
    <row r="8163" spans="1:12">
      <c r="J8163" s="31">
        <v>91</v>
      </c>
      <c r="K8163" s="33" t="s">
        <v>168</v>
      </c>
      <c r="L8163" s="31" t="str">
        <f t="shared" ref="L8163:L8171" si="789">$L$93&amp;" "&amp;L8073</f>
        <v>Sembilan Puluh Satu</v>
      </c>
    </row>
    <row r="8164" spans="1:12">
      <c r="J8164" s="31">
        <v>92</v>
      </c>
      <c r="K8164" s="33" t="s">
        <v>169</v>
      </c>
      <c r="L8164" s="31" t="str">
        <f t="shared" si="789"/>
        <v>Sembilan Puluh Dua</v>
      </c>
    </row>
    <row r="8165" spans="1:12">
      <c r="J8165" s="31">
        <v>93</v>
      </c>
      <c r="K8165" s="33" t="s">
        <v>170</v>
      </c>
      <c r="L8165" s="31" t="str">
        <f t="shared" si="789"/>
        <v>Sembilan Puluh Tiga</v>
      </c>
    </row>
    <row r="8166" spans="1:12">
      <c r="J8166" s="31">
        <v>94</v>
      </c>
      <c r="K8166" s="33" t="s">
        <v>171</v>
      </c>
      <c r="L8166" s="31" t="str">
        <f t="shared" si="789"/>
        <v>Sembilan Puluh Empat</v>
      </c>
    </row>
    <row r="8167" spans="1:12">
      <c r="J8167" s="31">
        <v>95</v>
      </c>
      <c r="K8167" s="33" t="s">
        <v>172</v>
      </c>
      <c r="L8167" s="31" t="str">
        <f t="shared" si="789"/>
        <v>Sembilan Puluh Lima</v>
      </c>
    </row>
    <row r="8168" spans="1:12">
      <c r="J8168" s="31">
        <v>96</v>
      </c>
      <c r="K8168" s="33" t="s">
        <v>173</v>
      </c>
      <c r="L8168" s="31" t="str">
        <f t="shared" si="789"/>
        <v>Sembilan Puluh Enam</v>
      </c>
    </row>
    <row r="8169" spans="1:12">
      <c r="J8169" s="31">
        <v>97</v>
      </c>
      <c r="K8169" s="33" t="s">
        <v>174</v>
      </c>
      <c r="L8169" s="31" t="str">
        <f t="shared" si="789"/>
        <v>Sembilan Puluh Tujuh</v>
      </c>
    </row>
    <row r="8170" spans="1:12">
      <c r="J8170" s="31">
        <v>98</v>
      </c>
      <c r="K8170" s="33" t="s">
        <v>175</v>
      </c>
      <c r="L8170" s="31" t="str">
        <f t="shared" si="789"/>
        <v>Sembilan Puluh Delapan</v>
      </c>
    </row>
    <row r="8171" spans="1:12">
      <c r="J8171" s="31">
        <v>99</v>
      </c>
      <c r="K8171" s="33" t="s">
        <v>176</v>
      </c>
      <c r="L8171" s="31" t="str">
        <f t="shared" si="789"/>
        <v>Sembilan Puluh Sembilan</v>
      </c>
    </row>
    <row r="8174" spans="1:12">
      <c r="A8174" s="30" t="e">
        <f>#REF!</f>
        <v>#REF!</v>
      </c>
      <c r="C8174" s="31" t="s">
        <v>198</v>
      </c>
    </row>
    <row r="8175" spans="1:12">
      <c r="A8175" s="32"/>
    </row>
    <row r="8176" spans="1:12">
      <c r="J8176" s="31">
        <v>0</v>
      </c>
      <c r="K8176" s="33" t="s">
        <v>48</v>
      </c>
      <c r="L8176" s="31" t="s">
        <v>49</v>
      </c>
    </row>
    <row r="8177" spans="1:12">
      <c r="A8177" s="34"/>
      <c r="J8177" s="31">
        <v>1</v>
      </c>
      <c r="K8177" s="33" t="s">
        <v>50</v>
      </c>
      <c r="L8177" s="31" t="s">
        <v>51</v>
      </c>
    </row>
    <row r="8178" spans="1:12">
      <c r="A8178" s="255" t="e">
        <f>TRIM(D8186&amp;E8186&amp;D8187&amp;E8187&amp;D8188&amp;E8188&amp;D8189&amp;E8189&amp;D8190&amp;E8190&amp;D8191&amp;E8191&amp;E8192&amp;D8192&amp;" Only")</f>
        <v>#REF!</v>
      </c>
      <c r="B8178" s="255"/>
      <c r="C8178" s="255"/>
      <c r="D8178" s="255"/>
      <c r="E8178" s="35"/>
      <c r="F8178" s="36"/>
      <c r="J8178" s="31">
        <v>2</v>
      </c>
      <c r="K8178" s="33" t="s">
        <v>52</v>
      </c>
      <c r="L8178" s="31" t="s">
        <v>53</v>
      </c>
    </row>
    <row r="8179" spans="1:12">
      <c r="A8179" s="37"/>
      <c r="B8179" s="37"/>
      <c r="C8179" s="37"/>
      <c r="D8179" s="37"/>
      <c r="E8179" s="35"/>
      <c r="F8179" s="36"/>
      <c r="J8179" s="31">
        <v>3</v>
      </c>
      <c r="K8179" s="33" t="s">
        <v>54</v>
      </c>
      <c r="L8179" s="31" t="s">
        <v>55</v>
      </c>
    </row>
    <row r="8180" spans="1:12">
      <c r="A8180" s="37"/>
      <c r="B8180" s="37"/>
      <c r="C8180" s="37"/>
      <c r="D8180" s="37"/>
      <c r="J8180" s="31">
        <v>4</v>
      </c>
      <c r="K8180" s="33" t="s">
        <v>56</v>
      </c>
      <c r="L8180" s="31" t="s">
        <v>57</v>
      </c>
    </row>
    <row r="8181" spans="1:12">
      <c r="A8181" s="255" t="e">
        <f>TRIM(D8196&amp;E8196&amp;D8197&amp;E8197&amp;D8198&amp;E8198&amp;D8199&amp;E8199&amp;D8200&amp;E8200&amp;D8201&amp;E8201&amp;D8202&amp;E8202&amp;" Rupiah")</f>
        <v>#REF!</v>
      </c>
      <c r="B8181" s="255"/>
      <c r="C8181" s="255"/>
      <c r="D8181" s="255"/>
      <c r="E8181" s="35"/>
      <c r="F8181" s="36"/>
      <c r="J8181" s="31">
        <v>5</v>
      </c>
      <c r="K8181" s="33" t="s">
        <v>58</v>
      </c>
      <c r="L8181" s="31" t="s">
        <v>59</v>
      </c>
    </row>
    <row r="8182" spans="1:12">
      <c r="A8182" s="35"/>
      <c r="B8182" s="35"/>
      <c r="C8182" s="35"/>
      <c r="D8182" s="35"/>
      <c r="E8182" s="35"/>
      <c r="F8182" s="36"/>
      <c r="J8182" s="31">
        <v>6</v>
      </c>
      <c r="K8182" s="33" t="s">
        <v>60</v>
      </c>
      <c r="L8182" s="31" t="s">
        <v>61</v>
      </c>
    </row>
    <row r="8183" spans="1:12">
      <c r="J8183" s="31">
        <v>7</v>
      </c>
      <c r="K8183" s="33" t="s">
        <v>62</v>
      </c>
      <c r="L8183" s="31" t="s">
        <v>63</v>
      </c>
    </row>
    <row r="8184" spans="1:12">
      <c r="J8184" s="31">
        <v>8</v>
      </c>
      <c r="K8184" s="33" t="s">
        <v>64</v>
      </c>
      <c r="L8184" s="31" t="s">
        <v>65</v>
      </c>
    </row>
    <row r="8185" spans="1:12">
      <c r="A8185" s="38" t="s">
        <v>66</v>
      </c>
      <c r="J8185" s="31">
        <v>9</v>
      </c>
      <c r="K8185" s="33" t="s">
        <v>67</v>
      </c>
      <c r="L8185" s="31" t="s">
        <v>68</v>
      </c>
    </row>
    <row r="8186" spans="1:12">
      <c r="A8186" s="31" t="s">
        <v>69</v>
      </c>
      <c r="B8186" s="39" t="e">
        <f>TRUNC(A8174/100000000)</f>
        <v>#REF!</v>
      </c>
      <c r="C8186" s="31" t="e">
        <f>B8186*100000000</f>
        <v>#REF!</v>
      </c>
      <c r="D8186" s="31" t="e">
        <f t="shared" ref="D8186:D8192" si="790">IF(B8186&lt;1,"",VLOOKUP(B8186,$J$3:$K$102,2))</f>
        <v>#REF!</v>
      </c>
      <c r="E8186" s="31" t="e">
        <f>IF(B8186&lt;1,"",IF(B8186&gt;1," Hundreds "," Hundred "))</f>
        <v>#REF!</v>
      </c>
      <c r="J8186" s="31">
        <v>10</v>
      </c>
      <c r="K8186" s="33" t="s">
        <v>70</v>
      </c>
      <c r="L8186" s="31" t="s">
        <v>71</v>
      </c>
    </row>
    <row r="8187" spans="1:12">
      <c r="A8187" s="31" t="s">
        <v>72</v>
      </c>
      <c r="B8187" s="39" t="e">
        <f>TRUNC((A8174-C8186)/1000000)</f>
        <v>#REF!</v>
      </c>
      <c r="C8187" s="31" t="e">
        <f>B8187*1000000</f>
        <v>#REF!</v>
      </c>
      <c r="D8187" s="31" t="e">
        <f t="shared" si="790"/>
        <v>#REF!</v>
      </c>
      <c r="E8187" s="31" t="e">
        <f>IF(B8186+B8187=0,"",IF(B8187=1," Million "," Millions "))</f>
        <v>#REF!</v>
      </c>
      <c r="J8187" s="31">
        <v>11</v>
      </c>
      <c r="K8187" s="33" t="s">
        <v>73</v>
      </c>
      <c r="L8187" s="31" t="s">
        <v>74</v>
      </c>
    </row>
    <row r="8188" spans="1:12">
      <c r="A8188" s="31" t="s">
        <v>75</v>
      </c>
      <c r="B8188" s="39" t="e">
        <f>TRUNC((A8174-SUM(C8186:C8187))/100000)</f>
        <v>#REF!</v>
      </c>
      <c r="C8188" s="31" t="e">
        <f>B8188*100000</f>
        <v>#REF!</v>
      </c>
      <c r="D8188" s="31" t="e">
        <f t="shared" si="790"/>
        <v>#REF!</v>
      </c>
      <c r="E8188" s="31" t="e">
        <f>IF(B8188&lt;1,"",IF(B8188&gt;1," Hundreds "," Hundred "))</f>
        <v>#REF!</v>
      </c>
      <c r="J8188" s="31">
        <v>12</v>
      </c>
      <c r="K8188" s="33" t="s">
        <v>76</v>
      </c>
      <c r="L8188" s="31" t="str">
        <f t="shared" ref="L8188:L8195" si="791">L8178&amp;" Belas"</f>
        <v>Dua Belas</v>
      </c>
    </row>
    <row r="8189" spans="1:12">
      <c r="A8189" s="33" t="s">
        <v>77</v>
      </c>
      <c r="B8189" s="40" t="e">
        <f>TRUNC((A8174-SUM(C8186:C8188))/1000)</f>
        <v>#REF!</v>
      </c>
      <c r="C8189" s="31" t="e">
        <f>B8189*1000</f>
        <v>#REF!</v>
      </c>
      <c r="D8189" s="31" t="e">
        <f t="shared" si="790"/>
        <v>#REF!</v>
      </c>
      <c r="E8189" s="31" t="e">
        <f>IF(B8188+B8189=0,"",IF(B8189=1," Thousand "," Thousands "))</f>
        <v>#REF!</v>
      </c>
      <c r="J8189" s="31">
        <v>13</v>
      </c>
      <c r="K8189" s="33" t="s">
        <v>78</v>
      </c>
      <c r="L8189" s="31" t="str">
        <f t="shared" si="791"/>
        <v>Tiga Belas</v>
      </c>
    </row>
    <row r="8190" spans="1:12">
      <c r="A8190" s="33" t="s">
        <v>79</v>
      </c>
      <c r="B8190" s="40" t="e">
        <f>TRUNC((A8174-SUM(C8186:C8189))/100)</f>
        <v>#REF!</v>
      </c>
      <c r="C8190" s="31" t="e">
        <f>B8190*100</f>
        <v>#REF!</v>
      </c>
      <c r="D8190" s="31" t="e">
        <f t="shared" si="790"/>
        <v>#REF!</v>
      </c>
      <c r="E8190" s="31" t="e">
        <f>IF(B8190&lt;1,"",IF(B8190&gt;1," Hundreds "," Hundred "))</f>
        <v>#REF!</v>
      </c>
      <c r="J8190" s="31">
        <v>14</v>
      </c>
      <c r="K8190" s="33" t="s">
        <v>80</v>
      </c>
      <c r="L8190" s="31" t="str">
        <f t="shared" si="791"/>
        <v>Empat Belas</v>
      </c>
    </row>
    <row r="8191" spans="1:12">
      <c r="A8191" s="33" t="s">
        <v>81</v>
      </c>
      <c r="B8191" s="41" t="e">
        <f>TRUNC((A8174-SUM(C8186:C8190)))</f>
        <v>#REF!</v>
      </c>
      <c r="C8191" s="42" t="e">
        <f>B8191</f>
        <v>#REF!</v>
      </c>
      <c r="D8191" s="31" t="e">
        <f t="shared" si="790"/>
        <v>#REF!</v>
      </c>
      <c r="E8191" s="31" t="e">
        <f>IF(SUM(C8186:C8191)&lt;1,"",IF(B8192&lt;1,""," And "))</f>
        <v>#REF!</v>
      </c>
      <c r="J8191" s="31">
        <v>15</v>
      </c>
      <c r="K8191" s="33" t="s">
        <v>82</v>
      </c>
      <c r="L8191" s="31" t="str">
        <f t="shared" si="791"/>
        <v>Lima Belas</v>
      </c>
    </row>
    <row r="8192" spans="1:12">
      <c r="A8192" s="33" t="s">
        <v>83</v>
      </c>
      <c r="B8192" s="40" t="e">
        <f>ROUND(A8174-SUM(C8186:C8191),2)*100</f>
        <v>#REF!</v>
      </c>
      <c r="D8192" s="43" t="e">
        <f t="shared" si="790"/>
        <v>#REF!</v>
      </c>
      <c r="E8192" s="31" t="e">
        <f>IF(B8192&lt;1,"",IF(B8192=1," Cent "," Cents "))</f>
        <v>#REF!</v>
      </c>
      <c r="J8192" s="31">
        <v>16</v>
      </c>
      <c r="K8192" s="33" t="s">
        <v>84</v>
      </c>
      <c r="L8192" s="31" t="str">
        <f t="shared" si="791"/>
        <v>Enam Belas</v>
      </c>
    </row>
    <row r="8193" spans="1:12">
      <c r="J8193" s="31">
        <v>17</v>
      </c>
      <c r="K8193" s="33" t="s">
        <v>85</v>
      </c>
      <c r="L8193" s="31" t="str">
        <f t="shared" si="791"/>
        <v>Tujuh Belas</v>
      </c>
    </row>
    <row r="8194" spans="1:12">
      <c r="A8194" s="44"/>
      <c r="J8194" s="31">
        <v>18</v>
      </c>
      <c r="K8194" s="33" t="s">
        <v>86</v>
      </c>
      <c r="L8194" s="31" t="str">
        <f t="shared" si="791"/>
        <v>Delapan Belas</v>
      </c>
    </row>
    <row r="8195" spans="1:12">
      <c r="A8195" s="38" t="s">
        <v>87</v>
      </c>
      <c r="J8195" s="31">
        <v>19</v>
      </c>
      <c r="K8195" s="33" t="s">
        <v>88</v>
      </c>
      <c r="L8195" s="31" t="str">
        <f t="shared" si="791"/>
        <v>Sembilan Belas</v>
      </c>
    </row>
    <row r="8196" spans="1:12">
      <c r="A8196" s="31" t="s">
        <v>69</v>
      </c>
      <c r="B8196" s="39" t="e">
        <f>TRUNC(A8174/100000000)</f>
        <v>#REF!</v>
      </c>
      <c r="C8196" s="31" t="e">
        <f>B8196*100000000</f>
        <v>#REF!</v>
      </c>
      <c r="D8196" s="31" t="e">
        <f>IF(B8196&lt;1,"",IF(B8196=1,"",VLOOKUP(B8196,$J$3:$L$102,3)))</f>
        <v>#REF!</v>
      </c>
      <c r="E8196" s="31" t="e">
        <f>IF(B8196&lt;1,"",IF(B8196=1,"Seratus "," Ratus "))</f>
        <v>#REF!</v>
      </c>
      <c r="J8196" s="31">
        <v>20</v>
      </c>
      <c r="K8196" s="33" t="s">
        <v>89</v>
      </c>
      <c r="L8196" s="31" t="s">
        <v>90</v>
      </c>
    </row>
    <row r="8197" spans="1:12">
      <c r="A8197" s="31" t="s">
        <v>72</v>
      </c>
      <c r="B8197" s="39" t="e">
        <f>TRUNC((A8174-C8196)/1000000)</f>
        <v>#REF!</v>
      </c>
      <c r="C8197" s="31" t="e">
        <f>B8197*1000000</f>
        <v>#REF!</v>
      </c>
      <c r="D8197" s="31" t="e">
        <f>IF(B8197&lt;1,"",VLOOKUP(B8197,$J$3:$L$102,3))</f>
        <v>#REF!</v>
      </c>
      <c r="E8197" s="31" t="e">
        <f>IF(B8196+B8197=0,""," Juta ")</f>
        <v>#REF!</v>
      </c>
      <c r="J8197" s="31">
        <v>21</v>
      </c>
      <c r="K8197" s="33" t="s">
        <v>91</v>
      </c>
      <c r="L8197" s="31" t="str">
        <f t="shared" ref="L8197:L8205" si="792">$L$23&amp;" "&amp;L8177</f>
        <v>Dua Puluh Satu</v>
      </c>
    </row>
    <row r="8198" spans="1:12">
      <c r="A8198" s="31" t="s">
        <v>75</v>
      </c>
      <c r="B8198" s="39" t="e">
        <f>TRUNC((A8174-SUM(C8196:C8197))/100000)</f>
        <v>#REF!</v>
      </c>
      <c r="C8198" s="31" t="e">
        <f>B8198*100000</f>
        <v>#REF!</v>
      </c>
      <c r="D8198" s="31" t="e">
        <f>IF(B8198&lt;1,"",IF(B8198=1,"",VLOOKUP(B8198,$J$3:$L$102,3)))</f>
        <v>#REF!</v>
      </c>
      <c r="E8198" s="31" t="e">
        <f>IF(B8198&lt;1,"",IF(B8198=1," Seratus "," Ratus "))</f>
        <v>#REF!</v>
      </c>
      <c r="J8198" s="31">
        <v>22</v>
      </c>
      <c r="K8198" s="33" t="s">
        <v>92</v>
      </c>
      <c r="L8198" s="31" t="str">
        <f t="shared" si="792"/>
        <v>Dua Puluh Dua</v>
      </c>
    </row>
    <row r="8199" spans="1:12">
      <c r="A8199" s="33" t="s">
        <v>77</v>
      </c>
      <c r="B8199" s="40" t="e">
        <f>TRUNC((A8174-SUM(C8196:C8198))/1000)</f>
        <v>#REF!</v>
      </c>
      <c r="C8199" s="31" t="e">
        <f>B8199*1000</f>
        <v>#REF!</v>
      </c>
      <c r="D8199" s="31" t="e">
        <f>IF(B8199&lt;1,"",IF(B8199=1,"",VLOOKUP(B8199,$J$3:$L$102,3)))</f>
        <v>#REF!</v>
      </c>
      <c r="E8199" s="31" t="e">
        <f>IF(B8198+B8199&lt;1,"",IF(B8199=1," Seribu "," Ribu "))</f>
        <v>#REF!</v>
      </c>
      <c r="J8199" s="31">
        <v>23</v>
      </c>
      <c r="K8199" s="33" t="s">
        <v>93</v>
      </c>
      <c r="L8199" s="31" t="str">
        <f t="shared" si="792"/>
        <v>Dua Puluh Tiga</v>
      </c>
    </row>
    <row r="8200" spans="1:12">
      <c r="A8200" s="33" t="s">
        <v>79</v>
      </c>
      <c r="B8200" s="40" t="e">
        <f>TRUNC((A8174-SUM(C8196:C8199))/100)</f>
        <v>#REF!</v>
      </c>
      <c r="C8200" s="31" t="e">
        <f>B8200*100</f>
        <v>#REF!</v>
      </c>
      <c r="D8200" s="31" t="e">
        <f>IF(B8200&lt;1,"",IF(B8200=1,"",VLOOKUP(B8200,$J$3:$L$102,3)))</f>
        <v>#REF!</v>
      </c>
      <c r="E8200" s="31" t="e">
        <f>IF(B8200&lt;1,"",IF(B8200=1," Seratus "," Ratus "))</f>
        <v>#REF!</v>
      </c>
      <c r="J8200" s="31">
        <v>24</v>
      </c>
      <c r="K8200" s="33" t="s">
        <v>94</v>
      </c>
      <c r="L8200" s="31" t="str">
        <f t="shared" si="792"/>
        <v>Dua Puluh Empat</v>
      </c>
    </row>
    <row r="8201" spans="1:12">
      <c r="A8201" s="33" t="s">
        <v>81</v>
      </c>
      <c r="B8201" s="41" t="e">
        <f>TRUNC((A8174-SUM(C8196:C8200)))</f>
        <v>#REF!</v>
      </c>
      <c r="C8201" s="42" t="e">
        <f>B8201</f>
        <v>#REF!</v>
      </c>
      <c r="D8201" s="31" t="e">
        <f>IF(B8201&lt;1,"",VLOOKUP(B8201,$J$3:$L$102,3))</f>
        <v>#REF!</v>
      </c>
      <c r="E8201" s="31" t="e">
        <f>IF(SUM(C8196:C8201)&lt;1,"",IF(B8202&lt;1,""," Dan "))</f>
        <v>#REF!</v>
      </c>
      <c r="J8201" s="31">
        <v>25</v>
      </c>
      <c r="K8201" s="33" t="s">
        <v>95</v>
      </c>
      <c r="L8201" s="31" t="str">
        <f t="shared" si="792"/>
        <v>Dua Puluh Lima</v>
      </c>
    </row>
    <row r="8202" spans="1:12">
      <c r="A8202" s="33" t="s">
        <v>83</v>
      </c>
      <c r="B8202" s="40" t="e">
        <f>ROUND(A8174-SUM(C8196:C8201),2)*100</f>
        <v>#REF!</v>
      </c>
      <c r="D8202" s="31" t="e">
        <f>IF(B8202&lt;1,"",VLOOKUP(B8202,$J$3:$L$102,3))</f>
        <v>#REF!</v>
      </c>
      <c r="E8202" s="31" t="e">
        <f>IF(B8202&lt;1,""," Sen ")</f>
        <v>#REF!</v>
      </c>
      <c r="J8202" s="31">
        <v>26</v>
      </c>
      <c r="K8202" s="33" t="s">
        <v>96</v>
      </c>
      <c r="L8202" s="31" t="str">
        <f t="shared" si="792"/>
        <v>Dua Puluh Enam</v>
      </c>
    </row>
    <row r="8203" spans="1:12">
      <c r="J8203" s="31">
        <v>27</v>
      </c>
      <c r="K8203" s="33" t="s">
        <v>97</v>
      </c>
      <c r="L8203" s="31" t="str">
        <f t="shared" si="792"/>
        <v>Dua Puluh Tujuh</v>
      </c>
    </row>
    <row r="8204" spans="1:12">
      <c r="J8204" s="31">
        <v>28</v>
      </c>
      <c r="K8204" s="33" t="s">
        <v>98</v>
      </c>
      <c r="L8204" s="31" t="str">
        <f t="shared" si="792"/>
        <v>Dua Puluh Delapan</v>
      </c>
    </row>
    <row r="8205" spans="1:12">
      <c r="J8205" s="31">
        <v>29</v>
      </c>
      <c r="K8205" s="33" t="s">
        <v>99</v>
      </c>
      <c r="L8205" s="31" t="str">
        <f t="shared" si="792"/>
        <v>Dua Puluh Sembilan</v>
      </c>
    </row>
    <row r="8206" spans="1:12">
      <c r="J8206" s="31">
        <v>30</v>
      </c>
      <c r="K8206" s="33" t="s">
        <v>100</v>
      </c>
      <c r="L8206" s="31" t="s">
        <v>101</v>
      </c>
    </row>
    <row r="8207" spans="1:12">
      <c r="J8207" s="31">
        <v>31</v>
      </c>
      <c r="K8207" s="33" t="s">
        <v>102</v>
      </c>
      <c r="L8207" s="31" t="str">
        <f t="shared" ref="L8207:L8215" si="793">$L$33&amp;" "&amp;L8177</f>
        <v>Tiga Puluh Satu</v>
      </c>
    </row>
    <row r="8208" spans="1:12">
      <c r="J8208" s="31">
        <v>32</v>
      </c>
      <c r="K8208" s="33" t="s">
        <v>103</v>
      </c>
      <c r="L8208" s="31" t="str">
        <f t="shared" si="793"/>
        <v>Tiga Puluh Dua</v>
      </c>
    </row>
    <row r="8209" spans="1:12">
      <c r="J8209" s="31">
        <v>33</v>
      </c>
      <c r="K8209" s="33" t="s">
        <v>104</v>
      </c>
      <c r="L8209" s="31" t="str">
        <f t="shared" si="793"/>
        <v>Tiga Puluh Tiga</v>
      </c>
    </row>
    <row r="8210" spans="1:12">
      <c r="J8210" s="31">
        <v>34</v>
      </c>
      <c r="K8210" s="33" t="s">
        <v>105</v>
      </c>
      <c r="L8210" s="31" t="str">
        <f t="shared" si="793"/>
        <v>Tiga Puluh Empat</v>
      </c>
    </row>
    <row r="8211" spans="1:12">
      <c r="J8211" s="31">
        <v>35</v>
      </c>
      <c r="K8211" s="33" t="s">
        <v>106</v>
      </c>
      <c r="L8211" s="31" t="str">
        <f t="shared" si="793"/>
        <v>Tiga Puluh Lima</v>
      </c>
    </row>
    <row r="8212" spans="1:12">
      <c r="J8212" s="31">
        <v>36</v>
      </c>
      <c r="K8212" s="33" t="s">
        <v>107</v>
      </c>
      <c r="L8212" s="31" t="str">
        <f t="shared" si="793"/>
        <v>Tiga Puluh Enam</v>
      </c>
    </row>
    <row r="8213" spans="1:12">
      <c r="J8213" s="31">
        <v>37</v>
      </c>
      <c r="K8213" s="33" t="s">
        <v>108</v>
      </c>
      <c r="L8213" s="31" t="str">
        <f t="shared" si="793"/>
        <v>Tiga Puluh Tujuh</v>
      </c>
    </row>
    <row r="8214" spans="1:12">
      <c r="J8214" s="31">
        <v>38</v>
      </c>
      <c r="K8214" s="33" t="s">
        <v>109</v>
      </c>
      <c r="L8214" s="31" t="str">
        <f t="shared" si="793"/>
        <v>Tiga Puluh Delapan</v>
      </c>
    </row>
    <row r="8215" spans="1:12">
      <c r="J8215" s="31">
        <v>39</v>
      </c>
      <c r="K8215" s="33" t="s">
        <v>110</v>
      </c>
      <c r="L8215" s="31" t="str">
        <f t="shared" si="793"/>
        <v>Tiga Puluh Sembilan</v>
      </c>
    </row>
    <row r="8216" spans="1:12">
      <c r="B8216" s="35"/>
      <c r="C8216" s="35"/>
      <c r="D8216" s="35"/>
      <c r="J8216" s="31">
        <v>40</v>
      </c>
      <c r="K8216" s="33" t="s">
        <v>111</v>
      </c>
      <c r="L8216" s="31" t="s">
        <v>112</v>
      </c>
    </row>
    <row r="8217" spans="1:12">
      <c r="A8217" s="35"/>
      <c r="B8217" s="35"/>
      <c r="C8217" s="35"/>
      <c r="D8217" s="35"/>
      <c r="J8217" s="31">
        <v>41</v>
      </c>
      <c r="K8217" s="33" t="s">
        <v>113</v>
      </c>
      <c r="L8217" s="31" t="str">
        <f t="shared" ref="L8217:L8225" si="794">$L$43&amp;" "&amp;L8177</f>
        <v>Empat Puluh Satu</v>
      </c>
    </row>
    <row r="8218" spans="1:12">
      <c r="J8218" s="31">
        <v>42</v>
      </c>
      <c r="K8218" s="33" t="s">
        <v>114</v>
      </c>
      <c r="L8218" s="31" t="str">
        <f t="shared" si="794"/>
        <v>Empat Puluh Dua</v>
      </c>
    </row>
    <row r="8219" spans="1:12">
      <c r="A8219" s="38"/>
      <c r="J8219" s="31">
        <v>43</v>
      </c>
      <c r="K8219" s="33" t="s">
        <v>115</v>
      </c>
      <c r="L8219" s="31" t="str">
        <f t="shared" si="794"/>
        <v>Empat Puluh Tiga</v>
      </c>
    </row>
    <row r="8220" spans="1:12">
      <c r="J8220" s="31">
        <v>44</v>
      </c>
      <c r="K8220" s="33" t="s">
        <v>116</v>
      </c>
      <c r="L8220" s="31" t="str">
        <f t="shared" si="794"/>
        <v>Empat Puluh Empat</v>
      </c>
    </row>
    <row r="8221" spans="1:12">
      <c r="J8221" s="31">
        <v>45</v>
      </c>
      <c r="K8221" s="33" t="s">
        <v>117</v>
      </c>
      <c r="L8221" s="31" t="str">
        <f t="shared" si="794"/>
        <v>Empat Puluh Lima</v>
      </c>
    </row>
    <row r="8222" spans="1:12">
      <c r="J8222" s="31">
        <v>46</v>
      </c>
      <c r="K8222" s="33" t="s">
        <v>118</v>
      </c>
      <c r="L8222" s="31" t="str">
        <f t="shared" si="794"/>
        <v>Empat Puluh Enam</v>
      </c>
    </row>
    <row r="8223" spans="1:12">
      <c r="J8223" s="31">
        <v>47</v>
      </c>
      <c r="K8223" s="33" t="s">
        <v>119</v>
      </c>
      <c r="L8223" s="31" t="str">
        <f t="shared" si="794"/>
        <v>Empat Puluh Tujuh</v>
      </c>
    </row>
    <row r="8224" spans="1:12">
      <c r="J8224" s="31">
        <v>48</v>
      </c>
      <c r="K8224" s="33" t="s">
        <v>120</v>
      </c>
      <c r="L8224" s="31" t="str">
        <f t="shared" si="794"/>
        <v>Empat Puluh Delapan</v>
      </c>
    </row>
    <row r="8225" spans="10:12">
      <c r="J8225" s="31">
        <v>49</v>
      </c>
      <c r="K8225" s="33" t="s">
        <v>121</v>
      </c>
      <c r="L8225" s="31" t="str">
        <f t="shared" si="794"/>
        <v>Empat Puluh Sembilan</v>
      </c>
    </row>
    <row r="8226" spans="10:12">
      <c r="J8226" s="31">
        <v>50</v>
      </c>
      <c r="K8226" s="33" t="s">
        <v>122</v>
      </c>
      <c r="L8226" s="31" t="s">
        <v>123</v>
      </c>
    </row>
    <row r="8227" spans="10:12">
      <c r="J8227" s="31">
        <v>51</v>
      </c>
      <c r="K8227" s="33" t="s">
        <v>124</v>
      </c>
      <c r="L8227" s="31" t="str">
        <f t="shared" ref="L8227:L8235" si="795">$L$53&amp;" "&amp;L8177</f>
        <v>Lima Puluh Satu</v>
      </c>
    </row>
    <row r="8228" spans="10:12">
      <c r="J8228" s="31">
        <v>52</v>
      </c>
      <c r="K8228" s="33" t="s">
        <v>125</v>
      </c>
      <c r="L8228" s="31" t="str">
        <f t="shared" si="795"/>
        <v>Lima Puluh Dua</v>
      </c>
    </row>
    <row r="8229" spans="10:12">
      <c r="J8229" s="31">
        <v>53</v>
      </c>
      <c r="K8229" s="33" t="s">
        <v>126</v>
      </c>
      <c r="L8229" s="31" t="str">
        <f t="shared" si="795"/>
        <v>Lima Puluh Tiga</v>
      </c>
    </row>
    <row r="8230" spans="10:12">
      <c r="J8230" s="31">
        <v>54</v>
      </c>
      <c r="K8230" s="33" t="s">
        <v>127</v>
      </c>
      <c r="L8230" s="31" t="str">
        <f t="shared" si="795"/>
        <v>Lima Puluh Empat</v>
      </c>
    </row>
    <row r="8231" spans="10:12">
      <c r="J8231" s="31">
        <v>55</v>
      </c>
      <c r="K8231" s="33" t="s">
        <v>128</v>
      </c>
      <c r="L8231" s="31" t="str">
        <f t="shared" si="795"/>
        <v>Lima Puluh Lima</v>
      </c>
    </row>
    <row r="8232" spans="10:12">
      <c r="J8232" s="31">
        <v>56</v>
      </c>
      <c r="K8232" s="33" t="s">
        <v>129</v>
      </c>
      <c r="L8232" s="31" t="str">
        <f t="shared" si="795"/>
        <v>Lima Puluh Enam</v>
      </c>
    </row>
    <row r="8233" spans="10:12">
      <c r="J8233" s="31">
        <v>57</v>
      </c>
      <c r="K8233" s="33" t="s">
        <v>130</v>
      </c>
      <c r="L8233" s="31" t="str">
        <f t="shared" si="795"/>
        <v>Lima Puluh Tujuh</v>
      </c>
    </row>
    <row r="8234" spans="10:12">
      <c r="J8234" s="31">
        <v>58</v>
      </c>
      <c r="K8234" s="33" t="s">
        <v>131</v>
      </c>
      <c r="L8234" s="31" t="str">
        <f t="shared" si="795"/>
        <v>Lima Puluh Delapan</v>
      </c>
    </row>
    <row r="8235" spans="10:12">
      <c r="J8235" s="31">
        <v>59</v>
      </c>
      <c r="K8235" s="33" t="s">
        <v>132</v>
      </c>
      <c r="L8235" s="31" t="str">
        <f t="shared" si="795"/>
        <v>Lima Puluh Sembilan</v>
      </c>
    </row>
    <row r="8236" spans="10:12">
      <c r="J8236" s="31">
        <v>60</v>
      </c>
      <c r="K8236" s="33" t="s">
        <v>133</v>
      </c>
      <c r="L8236" s="31" t="s">
        <v>134</v>
      </c>
    </row>
    <row r="8237" spans="10:12">
      <c r="J8237" s="31">
        <v>61</v>
      </c>
      <c r="K8237" s="33" t="s">
        <v>135</v>
      </c>
      <c r="L8237" s="31" t="str">
        <f t="shared" ref="L8237:L8245" si="796">$L$63&amp;" "&amp;L8177</f>
        <v>Enam Puluh Satu</v>
      </c>
    </row>
    <row r="8238" spans="10:12">
      <c r="J8238" s="31">
        <v>62</v>
      </c>
      <c r="K8238" s="33" t="s">
        <v>136</v>
      </c>
      <c r="L8238" s="31" t="str">
        <f t="shared" si="796"/>
        <v>Enam Puluh Dua</v>
      </c>
    </row>
    <row r="8239" spans="10:12">
      <c r="J8239" s="31">
        <v>63</v>
      </c>
      <c r="K8239" s="33" t="s">
        <v>137</v>
      </c>
      <c r="L8239" s="31" t="str">
        <f t="shared" si="796"/>
        <v>Enam Puluh Tiga</v>
      </c>
    </row>
    <row r="8240" spans="10:12">
      <c r="J8240" s="31">
        <v>64</v>
      </c>
      <c r="K8240" s="33" t="s">
        <v>138</v>
      </c>
      <c r="L8240" s="31" t="str">
        <f t="shared" si="796"/>
        <v>Enam Puluh Empat</v>
      </c>
    </row>
    <row r="8241" spans="10:12">
      <c r="J8241" s="31">
        <v>65</v>
      </c>
      <c r="K8241" s="33" t="s">
        <v>139</v>
      </c>
      <c r="L8241" s="31" t="str">
        <f t="shared" si="796"/>
        <v>Enam Puluh Lima</v>
      </c>
    </row>
    <row r="8242" spans="10:12">
      <c r="J8242" s="31">
        <v>66</v>
      </c>
      <c r="K8242" s="33" t="s">
        <v>140</v>
      </c>
      <c r="L8242" s="31" t="str">
        <f t="shared" si="796"/>
        <v>Enam Puluh Enam</v>
      </c>
    </row>
    <row r="8243" spans="10:12">
      <c r="J8243" s="31">
        <v>67</v>
      </c>
      <c r="K8243" s="33" t="s">
        <v>141</v>
      </c>
      <c r="L8243" s="31" t="str">
        <f t="shared" si="796"/>
        <v>Enam Puluh Tujuh</v>
      </c>
    </row>
    <row r="8244" spans="10:12">
      <c r="J8244" s="31">
        <v>68</v>
      </c>
      <c r="K8244" s="33" t="s">
        <v>142</v>
      </c>
      <c r="L8244" s="31" t="str">
        <f t="shared" si="796"/>
        <v>Enam Puluh Delapan</v>
      </c>
    </row>
    <row r="8245" spans="10:12">
      <c r="J8245" s="31">
        <v>69</v>
      </c>
      <c r="K8245" s="33" t="s">
        <v>143</v>
      </c>
      <c r="L8245" s="31" t="str">
        <f t="shared" si="796"/>
        <v>Enam Puluh Sembilan</v>
      </c>
    </row>
    <row r="8246" spans="10:12">
      <c r="J8246" s="31">
        <v>70</v>
      </c>
      <c r="K8246" s="33" t="s">
        <v>144</v>
      </c>
      <c r="L8246" s="31" t="s">
        <v>145</v>
      </c>
    </row>
    <row r="8247" spans="10:12">
      <c r="J8247" s="31">
        <v>71</v>
      </c>
      <c r="K8247" s="33" t="s">
        <v>146</v>
      </c>
      <c r="L8247" s="31" t="str">
        <f t="shared" ref="L8247:L8255" si="797">$L$73&amp;" "&amp;L8177</f>
        <v>Tujuh Puluh Satu</v>
      </c>
    </row>
    <row r="8248" spans="10:12">
      <c r="J8248" s="31">
        <v>72</v>
      </c>
      <c r="K8248" s="33" t="s">
        <v>147</v>
      </c>
      <c r="L8248" s="31" t="str">
        <f t="shared" si="797"/>
        <v>Tujuh Puluh Dua</v>
      </c>
    </row>
    <row r="8249" spans="10:12">
      <c r="J8249" s="31">
        <v>73</v>
      </c>
      <c r="K8249" s="33" t="s">
        <v>148</v>
      </c>
      <c r="L8249" s="31" t="str">
        <f t="shared" si="797"/>
        <v>Tujuh Puluh Tiga</v>
      </c>
    </row>
    <row r="8250" spans="10:12">
      <c r="J8250" s="31">
        <v>74</v>
      </c>
      <c r="K8250" s="33" t="s">
        <v>149</v>
      </c>
      <c r="L8250" s="31" t="str">
        <f t="shared" si="797"/>
        <v>Tujuh Puluh Empat</v>
      </c>
    </row>
    <row r="8251" spans="10:12">
      <c r="J8251" s="31">
        <v>75</v>
      </c>
      <c r="K8251" s="33" t="s">
        <v>150</v>
      </c>
      <c r="L8251" s="31" t="str">
        <f t="shared" si="797"/>
        <v>Tujuh Puluh Lima</v>
      </c>
    </row>
    <row r="8252" spans="10:12">
      <c r="J8252" s="31">
        <v>76</v>
      </c>
      <c r="K8252" s="33" t="s">
        <v>151</v>
      </c>
      <c r="L8252" s="31" t="str">
        <f t="shared" si="797"/>
        <v>Tujuh Puluh Enam</v>
      </c>
    </row>
    <row r="8253" spans="10:12">
      <c r="J8253" s="31">
        <v>77</v>
      </c>
      <c r="K8253" s="33" t="s">
        <v>152</v>
      </c>
      <c r="L8253" s="31" t="str">
        <f t="shared" si="797"/>
        <v>Tujuh Puluh Tujuh</v>
      </c>
    </row>
    <row r="8254" spans="10:12">
      <c r="J8254" s="31">
        <v>78</v>
      </c>
      <c r="K8254" s="33" t="s">
        <v>153</v>
      </c>
      <c r="L8254" s="31" t="str">
        <f t="shared" si="797"/>
        <v>Tujuh Puluh Delapan</v>
      </c>
    </row>
    <row r="8255" spans="10:12">
      <c r="J8255" s="31">
        <v>79</v>
      </c>
      <c r="K8255" s="33" t="s">
        <v>154</v>
      </c>
      <c r="L8255" s="31" t="str">
        <f t="shared" si="797"/>
        <v>Tujuh Puluh Sembilan</v>
      </c>
    </row>
    <row r="8256" spans="10:12">
      <c r="J8256" s="31">
        <v>80</v>
      </c>
      <c r="K8256" s="33" t="s">
        <v>155</v>
      </c>
      <c r="L8256" s="31" t="s">
        <v>156</v>
      </c>
    </row>
    <row r="8257" spans="10:12">
      <c r="J8257" s="31">
        <v>81</v>
      </c>
      <c r="K8257" s="33" t="s">
        <v>157</v>
      </c>
      <c r="L8257" s="31" t="str">
        <f t="shared" ref="L8257:L8265" si="798">$L$83&amp;" "&amp;L8177</f>
        <v>Delapan Puluh Satu</v>
      </c>
    </row>
    <row r="8258" spans="10:12">
      <c r="J8258" s="31">
        <v>82</v>
      </c>
      <c r="K8258" s="33" t="s">
        <v>158</v>
      </c>
      <c r="L8258" s="31" t="str">
        <f t="shared" si="798"/>
        <v>Delapan Puluh Dua</v>
      </c>
    </row>
    <row r="8259" spans="10:12">
      <c r="J8259" s="31">
        <v>83</v>
      </c>
      <c r="K8259" s="33" t="s">
        <v>159</v>
      </c>
      <c r="L8259" s="31" t="str">
        <f t="shared" si="798"/>
        <v>Delapan Puluh Tiga</v>
      </c>
    </row>
    <row r="8260" spans="10:12">
      <c r="J8260" s="31">
        <v>84</v>
      </c>
      <c r="K8260" s="33" t="s">
        <v>160</v>
      </c>
      <c r="L8260" s="31" t="str">
        <f t="shared" si="798"/>
        <v>Delapan Puluh Empat</v>
      </c>
    </row>
    <row r="8261" spans="10:12">
      <c r="J8261" s="31">
        <v>85</v>
      </c>
      <c r="K8261" s="33" t="s">
        <v>161</v>
      </c>
      <c r="L8261" s="31" t="str">
        <f t="shared" si="798"/>
        <v>Delapan Puluh Lima</v>
      </c>
    </row>
    <row r="8262" spans="10:12">
      <c r="J8262" s="31">
        <v>86</v>
      </c>
      <c r="K8262" s="33" t="s">
        <v>162</v>
      </c>
      <c r="L8262" s="31" t="str">
        <f t="shared" si="798"/>
        <v>Delapan Puluh Enam</v>
      </c>
    </row>
    <row r="8263" spans="10:12">
      <c r="J8263" s="31">
        <v>87</v>
      </c>
      <c r="K8263" s="33" t="s">
        <v>163</v>
      </c>
      <c r="L8263" s="31" t="str">
        <f t="shared" si="798"/>
        <v>Delapan Puluh Tujuh</v>
      </c>
    </row>
    <row r="8264" spans="10:12">
      <c r="J8264" s="31">
        <v>88</v>
      </c>
      <c r="K8264" s="33" t="s">
        <v>164</v>
      </c>
      <c r="L8264" s="31" t="str">
        <f t="shared" si="798"/>
        <v>Delapan Puluh Delapan</v>
      </c>
    </row>
    <row r="8265" spans="10:12">
      <c r="J8265" s="31">
        <v>89</v>
      </c>
      <c r="K8265" s="33" t="s">
        <v>165</v>
      </c>
      <c r="L8265" s="31" t="str">
        <f t="shared" si="798"/>
        <v>Delapan Puluh Sembilan</v>
      </c>
    </row>
    <row r="8266" spans="10:12">
      <c r="J8266" s="31">
        <v>90</v>
      </c>
      <c r="K8266" s="33" t="s">
        <v>166</v>
      </c>
      <c r="L8266" s="31" t="s">
        <v>167</v>
      </c>
    </row>
    <row r="8267" spans="10:12">
      <c r="J8267" s="31">
        <v>91</v>
      </c>
      <c r="K8267" s="33" t="s">
        <v>168</v>
      </c>
      <c r="L8267" s="31" t="str">
        <f t="shared" ref="L8267:L8275" si="799">$L$93&amp;" "&amp;L8177</f>
        <v>Sembilan Puluh Satu</v>
      </c>
    </row>
    <row r="8268" spans="10:12">
      <c r="J8268" s="31">
        <v>92</v>
      </c>
      <c r="K8268" s="33" t="s">
        <v>169</v>
      </c>
      <c r="L8268" s="31" t="str">
        <f t="shared" si="799"/>
        <v>Sembilan Puluh Dua</v>
      </c>
    </row>
    <row r="8269" spans="10:12">
      <c r="J8269" s="31">
        <v>93</v>
      </c>
      <c r="K8269" s="33" t="s">
        <v>170</v>
      </c>
      <c r="L8269" s="31" t="str">
        <f t="shared" si="799"/>
        <v>Sembilan Puluh Tiga</v>
      </c>
    </row>
    <row r="8270" spans="10:12">
      <c r="J8270" s="31">
        <v>94</v>
      </c>
      <c r="K8270" s="33" t="s">
        <v>171</v>
      </c>
      <c r="L8270" s="31" t="str">
        <f t="shared" si="799"/>
        <v>Sembilan Puluh Empat</v>
      </c>
    </row>
    <row r="8271" spans="10:12">
      <c r="J8271" s="31">
        <v>95</v>
      </c>
      <c r="K8271" s="33" t="s">
        <v>172</v>
      </c>
      <c r="L8271" s="31" t="str">
        <f t="shared" si="799"/>
        <v>Sembilan Puluh Lima</v>
      </c>
    </row>
    <row r="8272" spans="10:12">
      <c r="J8272" s="31">
        <v>96</v>
      </c>
      <c r="K8272" s="33" t="s">
        <v>173</v>
      </c>
      <c r="L8272" s="31" t="str">
        <f t="shared" si="799"/>
        <v>Sembilan Puluh Enam</v>
      </c>
    </row>
    <row r="8273" spans="1:12">
      <c r="J8273" s="31">
        <v>97</v>
      </c>
      <c r="K8273" s="33" t="s">
        <v>174</v>
      </c>
      <c r="L8273" s="31" t="str">
        <f t="shared" si="799"/>
        <v>Sembilan Puluh Tujuh</v>
      </c>
    </row>
    <row r="8274" spans="1:12">
      <c r="J8274" s="31">
        <v>98</v>
      </c>
      <c r="K8274" s="33" t="s">
        <v>175</v>
      </c>
      <c r="L8274" s="31" t="str">
        <f t="shared" si="799"/>
        <v>Sembilan Puluh Delapan</v>
      </c>
    </row>
    <row r="8275" spans="1:12">
      <c r="J8275" s="31">
        <v>99</v>
      </c>
      <c r="K8275" s="33" t="s">
        <v>176</v>
      </c>
      <c r="L8275" s="31" t="str">
        <f t="shared" si="799"/>
        <v>Sembilan Puluh Sembilan</v>
      </c>
    </row>
    <row r="8279" spans="1:12">
      <c r="A8279" s="30" t="e">
        <f>#REF!</f>
        <v>#REF!</v>
      </c>
      <c r="C8279" s="31" t="s">
        <v>279</v>
      </c>
    </row>
    <row r="8280" spans="1:12">
      <c r="A8280" s="32"/>
    </row>
    <row r="8281" spans="1:12">
      <c r="J8281" s="31">
        <v>0</v>
      </c>
      <c r="K8281" s="33" t="s">
        <v>48</v>
      </c>
      <c r="L8281" s="31" t="s">
        <v>49</v>
      </c>
    </row>
    <row r="8282" spans="1:12">
      <c r="A8282" s="34"/>
      <c r="J8282" s="31">
        <v>1</v>
      </c>
      <c r="K8282" s="33" t="s">
        <v>50</v>
      </c>
      <c r="L8282" s="31" t="s">
        <v>51</v>
      </c>
    </row>
    <row r="8283" spans="1:12">
      <c r="A8283" s="255" t="e">
        <f>TRIM(D8291&amp;E8291&amp;D8292&amp;E8292&amp;D8293&amp;E8293&amp;D8294&amp;E8294&amp;D8295&amp;E8295&amp;D8296&amp;E8296&amp;E8297&amp;D8297&amp;" Only")</f>
        <v>#REF!</v>
      </c>
      <c r="B8283" s="255"/>
      <c r="C8283" s="255"/>
      <c r="D8283" s="255"/>
      <c r="E8283" s="35"/>
      <c r="F8283" s="36"/>
      <c r="J8283" s="31">
        <v>2</v>
      </c>
      <c r="K8283" s="33" t="s">
        <v>52</v>
      </c>
      <c r="L8283" s="31" t="s">
        <v>53</v>
      </c>
    </row>
    <row r="8284" spans="1:12">
      <c r="A8284" s="37"/>
      <c r="B8284" s="37"/>
      <c r="C8284" s="37"/>
      <c r="D8284" s="37"/>
      <c r="E8284" s="35"/>
      <c r="F8284" s="36"/>
      <c r="J8284" s="31">
        <v>3</v>
      </c>
      <c r="K8284" s="33" t="s">
        <v>54</v>
      </c>
      <c r="L8284" s="31" t="s">
        <v>55</v>
      </c>
    </row>
    <row r="8285" spans="1:12">
      <c r="A8285" s="37"/>
      <c r="B8285" s="37"/>
      <c r="C8285" s="37"/>
      <c r="D8285" s="37"/>
      <c r="J8285" s="31">
        <v>4</v>
      </c>
      <c r="K8285" s="33" t="s">
        <v>56</v>
      </c>
      <c r="L8285" s="31" t="s">
        <v>57</v>
      </c>
    </row>
    <row r="8286" spans="1:12">
      <c r="A8286" s="255" t="e">
        <f>TRIM(D8301&amp;E8301&amp;D8302&amp;E8302&amp;D8303&amp;E8303&amp;D8304&amp;E8304&amp;D8305&amp;E8305&amp;D8306&amp;E8306&amp;D8307&amp;E8307&amp;" Rupiah")</f>
        <v>#REF!</v>
      </c>
      <c r="B8286" s="255"/>
      <c r="C8286" s="255"/>
      <c r="D8286" s="255"/>
      <c r="E8286" s="35"/>
      <c r="F8286" s="36"/>
      <c r="J8286" s="31">
        <v>5</v>
      </c>
      <c r="K8286" s="33" t="s">
        <v>58</v>
      </c>
      <c r="L8286" s="31" t="s">
        <v>59</v>
      </c>
    </row>
    <row r="8287" spans="1:12">
      <c r="A8287" s="35"/>
      <c r="B8287" s="35"/>
      <c r="C8287" s="35"/>
      <c r="D8287" s="35"/>
      <c r="E8287" s="35"/>
      <c r="F8287" s="36"/>
      <c r="J8287" s="31">
        <v>6</v>
      </c>
      <c r="K8287" s="33" t="s">
        <v>60</v>
      </c>
      <c r="L8287" s="31" t="s">
        <v>61</v>
      </c>
    </row>
    <row r="8288" spans="1:12">
      <c r="J8288" s="31">
        <v>7</v>
      </c>
      <c r="K8288" s="33" t="s">
        <v>62</v>
      </c>
      <c r="L8288" s="31" t="s">
        <v>63</v>
      </c>
    </row>
    <row r="8289" spans="1:12">
      <c r="J8289" s="31">
        <v>8</v>
      </c>
      <c r="K8289" s="33" t="s">
        <v>64</v>
      </c>
      <c r="L8289" s="31" t="s">
        <v>65</v>
      </c>
    </row>
    <row r="8290" spans="1:12">
      <c r="A8290" s="38" t="s">
        <v>66</v>
      </c>
      <c r="J8290" s="31">
        <v>9</v>
      </c>
      <c r="K8290" s="33" t="s">
        <v>67</v>
      </c>
      <c r="L8290" s="31" t="s">
        <v>68</v>
      </c>
    </row>
    <row r="8291" spans="1:12">
      <c r="A8291" s="31" t="s">
        <v>69</v>
      </c>
      <c r="B8291" s="39" t="e">
        <f>TRUNC(A8279/100000000)</f>
        <v>#REF!</v>
      </c>
      <c r="C8291" s="31" t="e">
        <f>B8291*100000000</f>
        <v>#REF!</v>
      </c>
      <c r="D8291" s="31" t="e">
        <f t="shared" ref="D8291:D8297" si="800">IF(B8291&lt;1,"",VLOOKUP(B8291,$J$3:$K$102,2))</f>
        <v>#REF!</v>
      </c>
      <c r="E8291" s="31" t="e">
        <f>IF(B8291&lt;1,"",IF(B8291&gt;1," Hundreds "," Hundred "))</f>
        <v>#REF!</v>
      </c>
      <c r="J8291" s="31">
        <v>10</v>
      </c>
      <c r="K8291" s="33" t="s">
        <v>70</v>
      </c>
      <c r="L8291" s="31" t="s">
        <v>71</v>
      </c>
    </row>
    <row r="8292" spans="1:12">
      <c r="A8292" s="31" t="s">
        <v>72</v>
      </c>
      <c r="B8292" s="39" t="e">
        <f>TRUNC((A8279-C8291)/1000000)</f>
        <v>#REF!</v>
      </c>
      <c r="C8292" s="31" t="e">
        <f>B8292*1000000</f>
        <v>#REF!</v>
      </c>
      <c r="D8292" s="31" t="e">
        <f t="shared" si="800"/>
        <v>#REF!</v>
      </c>
      <c r="E8292" s="31" t="e">
        <f>IF(B8291+B8292=0,"",IF(B8292=1," Million "," Millions "))</f>
        <v>#REF!</v>
      </c>
      <c r="J8292" s="31">
        <v>11</v>
      </c>
      <c r="K8292" s="33" t="s">
        <v>73</v>
      </c>
      <c r="L8292" s="31" t="s">
        <v>74</v>
      </c>
    </row>
    <row r="8293" spans="1:12">
      <c r="A8293" s="31" t="s">
        <v>75</v>
      </c>
      <c r="B8293" s="39" t="e">
        <f>TRUNC((A8279-SUM(C8291:C8292))/100000)</f>
        <v>#REF!</v>
      </c>
      <c r="C8293" s="31" t="e">
        <f>B8293*100000</f>
        <v>#REF!</v>
      </c>
      <c r="D8293" s="31" t="e">
        <f t="shared" si="800"/>
        <v>#REF!</v>
      </c>
      <c r="E8293" s="31" t="e">
        <f>IF(B8293&lt;1,"",IF(B8293&gt;1," Hundreds "," Hundred "))</f>
        <v>#REF!</v>
      </c>
      <c r="J8293" s="31">
        <v>12</v>
      </c>
      <c r="K8293" s="33" t="s">
        <v>76</v>
      </c>
      <c r="L8293" s="31" t="str">
        <f t="shared" ref="L8293:L8300" si="801">L8283&amp;" Belas"</f>
        <v>Dua Belas</v>
      </c>
    </row>
    <row r="8294" spans="1:12">
      <c r="A8294" s="33" t="s">
        <v>77</v>
      </c>
      <c r="B8294" s="40" t="e">
        <f>TRUNC((A8279-SUM(C8291:C8293))/1000)</f>
        <v>#REF!</v>
      </c>
      <c r="C8294" s="31" t="e">
        <f>B8294*1000</f>
        <v>#REF!</v>
      </c>
      <c r="D8294" s="31" t="e">
        <f t="shared" si="800"/>
        <v>#REF!</v>
      </c>
      <c r="E8294" s="31" t="e">
        <f>IF(B8293+B8294=0,"",IF(B8294=1," Thousand "," Thousands "))</f>
        <v>#REF!</v>
      </c>
      <c r="J8294" s="31">
        <v>13</v>
      </c>
      <c r="K8294" s="33" t="s">
        <v>78</v>
      </c>
      <c r="L8294" s="31" t="str">
        <f t="shared" si="801"/>
        <v>Tiga Belas</v>
      </c>
    </row>
    <row r="8295" spans="1:12">
      <c r="A8295" s="33" t="s">
        <v>79</v>
      </c>
      <c r="B8295" s="40" t="e">
        <f>TRUNC((A8279-SUM(C8291:C8294))/100)</f>
        <v>#REF!</v>
      </c>
      <c r="C8295" s="31" t="e">
        <f>B8295*100</f>
        <v>#REF!</v>
      </c>
      <c r="D8295" s="31" t="e">
        <f t="shared" si="800"/>
        <v>#REF!</v>
      </c>
      <c r="E8295" s="31" t="e">
        <f>IF(B8295&lt;1,"",IF(B8295&gt;1," Hundreds "," Hundred "))</f>
        <v>#REF!</v>
      </c>
      <c r="J8295" s="31">
        <v>14</v>
      </c>
      <c r="K8295" s="33" t="s">
        <v>80</v>
      </c>
      <c r="L8295" s="31" t="str">
        <f t="shared" si="801"/>
        <v>Empat Belas</v>
      </c>
    </row>
    <row r="8296" spans="1:12">
      <c r="A8296" s="33" t="s">
        <v>81</v>
      </c>
      <c r="B8296" s="41" t="e">
        <f>TRUNC((A8279-SUM(C8291:C8295)))</f>
        <v>#REF!</v>
      </c>
      <c r="C8296" s="42" t="e">
        <f>B8296</f>
        <v>#REF!</v>
      </c>
      <c r="D8296" s="31" t="e">
        <f t="shared" si="800"/>
        <v>#REF!</v>
      </c>
      <c r="E8296" s="31" t="e">
        <f>IF(SUM(C8291:C8296)&lt;1,"",IF(B8297&lt;1,""," And "))</f>
        <v>#REF!</v>
      </c>
      <c r="J8296" s="31">
        <v>15</v>
      </c>
      <c r="K8296" s="33" t="s">
        <v>82</v>
      </c>
      <c r="L8296" s="31" t="str">
        <f t="shared" si="801"/>
        <v>Lima Belas</v>
      </c>
    </row>
    <row r="8297" spans="1:12">
      <c r="A8297" s="33" t="s">
        <v>83</v>
      </c>
      <c r="B8297" s="40" t="e">
        <f>ROUND(A8279-SUM(C8291:C8296),2)*100</f>
        <v>#REF!</v>
      </c>
      <c r="D8297" s="43" t="e">
        <f t="shared" si="800"/>
        <v>#REF!</v>
      </c>
      <c r="E8297" s="31" t="e">
        <f>IF(B8297&lt;1,"",IF(B8297=1," Cent "," Cents "))</f>
        <v>#REF!</v>
      </c>
      <c r="J8297" s="31">
        <v>16</v>
      </c>
      <c r="K8297" s="33" t="s">
        <v>84</v>
      </c>
      <c r="L8297" s="31" t="str">
        <f t="shared" si="801"/>
        <v>Enam Belas</v>
      </c>
    </row>
    <row r="8298" spans="1:12">
      <c r="J8298" s="31">
        <v>17</v>
      </c>
      <c r="K8298" s="33" t="s">
        <v>85</v>
      </c>
      <c r="L8298" s="31" t="str">
        <f t="shared" si="801"/>
        <v>Tujuh Belas</v>
      </c>
    </row>
    <row r="8299" spans="1:12">
      <c r="A8299" s="44"/>
      <c r="J8299" s="31">
        <v>18</v>
      </c>
      <c r="K8299" s="33" t="s">
        <v>86</v>
      </c>
      <c r="L8299" s="31" t="str">
        <f t="shared" si="801"/>
        <v>Delapan Belas</v>
      </c>
    </row>
    <row r="8300" spans="1:12">
      <c r="A8300" s="38" t="s">
        <v>87</v>
      </c>
      <c r="J8300" s="31">
        <v>19</v>
      </c>
      <c r="K8300" s="33" t="s">
        <v>88</v>
      </c>
      <c r="L8300" s="31" t="str">
        <f t="shared" si="801"/>
        <v>Sembilan Belas</v>
      </c>
    </row>
    <row r="8301" spans="1:12">
      <c r="A8301" s="31" t="s">
        <v>69</v>
      </c>
      <c r="B8301" s="39" t="e">
        <f>TRUNC(A8279/100000000)</f>
        <v>#REF!</v>
      </c>
      <c r="C8301" s="31" t="e">
        <f>B8301*100000000</f>
        <v>#REF!</v>
      </c>
      <c r="D8301" s="31" t="e">
        <f>IF(B8301&lt;1,"",IF(B8301=1,"",VLOOKUP(B8301,$J$3:$L$102,3)))</f>
        <v>#REF!</v>
      </c>
      <c r="E8301" s="31" t="e">
        <f>IF(B8301&lt;1,"",IF(B8301=1,"Seratus "," Ratus "))</f>
        <v>#REF!</v>
      </c>
      <c r="J8301" s="31">
        <v>20</v>
      </c>
      <c r="K8301" s="33" t="s">
        <v>89</v>
      </c>
      <c r="L8301" s="31" t="s">
        <v>90</v>
      </c>
    </row>
    <row r="8302" spans="1:12">
      <c r="A8302" s="31" t="s">
        <v>72</v>
      </c>
      <c r="B8302" s="39" t="e">
        <f>TRUNC((A8279-C8301)/1000000)</f>
        <v>#REF!</v>
      </c>
      <c r="C8302" s="31" t="e">
        <f>B8302*1000000</f>
        <v>#REF!</v>
      </c>
      <c r="D8302" s="31" t="e">
        <f>IF(B8302&lt;1,"",VLOOKUP(B8302,$J$3:$L$102,3))</f>
        <v>#REF!</v>
      </c>
      <c r="E8302" s="31" t="e">
        <f>IF(B8301+B8302=0,""," Juta ")</f>
        <v>#REF!</v>
      </c>
      <c r="J8302" s="31">
        <v>21</v>
      </c>
      <c r="K8302" s="33" t="s">
        <v>91</v>
      </c>
      <c r="L8302" s="31" t="str">
        <f t="shared" ref="L8302:L8310" si="802">$L$23&amp;" "&amp;L8282</f>
        <v>Dua Puluh Satu</v>
      </c>
    </row>
    <row r="8303" spans="1:12">
      <c r="A8303" s="31" t="s">
        <v>75</v>
      </c>
      <c r="B8303" s="39" t="e">
        <f>TRUNC((A8279-SUM(C8301:C8302))/100000)</f>
        <v>#REF!</v>
      </c>
      <c r="C8303" s="31" t="e">
        <f>B8303*100000</f>
        <v>#REF!</v>
      </c>
      <c r="D8303" s="31" t="e">
        <f>IF(B8303&lt;1,"",IF(B8303=1,"",VLOOKUP(B8303,$J$3:$L$102,3)))</f>
        <v>#REF!</v>
      </c>
      <c r="E8303" s="31" t="e">
        <f>IF(B8303&lt;1,"",IF(B8303=1," Seratus "," Ratus "))</f>
        <v>#REF!</v>
      </c>
      <c r="J8303" s="31">
        <v>22</v>
      </c>
      <c r="K8303" s="33" t="s">
        <v>92</v>
      </c>
      <c r="L8303" s="31" t="str">
        <f t="shared" si="802"/>
        <v>Dua Puluh Dua</v>
      </c>
    </row>
    <row r="8304" spans="1:12">
      <c r="A8304" s="33" t="s">
        <v>77</v>
      </c>
      <c r="B8304" s="40" t="e">
        <f>TRUNC((A8279-SUM(C8301:C8303))/1000)</f>
        <v>#REF!</v>
      </c>
      <c r="C8304" s="31" t="e">
        <f>B8304*1000</f>
        <v>#REF!</v>
      </c>
      <c r="D8304" s="31" t="e">
        <f>IF(B8304&lt;1,"",IF(B8304=1,"",VLOOKUP(B8304,$J$3:$L$102,3)))</f>
        <v>#REF!</v>
      </c>
      <c r="E8304" s="31" t="e">
        <f>IF(B8303+B8304&lt;1,"",IF(B8304=1," Seribu "," Ribu "))</f>
        <v>#REF!</v>
      </c>
      <c r="J8304" s="31">
        <v>23</v>
      </c>
      <c r="K8304" s="33" t="s">
        <v>93</v>
      </c>
      <c r="L8304" s="31" t="str">
        <f t="shared" si="802"/>
        <v>Dua Puluh Tiga</v>
      </c>
    </row>
    <row r="8305" spans="1:12">
      <c r="A8305" s="33" t="s">
        <v>79</v>
      </c>
      <c r="B8305" s="40" t="e">
        <f>TRUNC((A8279-SUM(C8301:C8304))/100)</f>
        <v>#REF!</v>
      </c>
      <c r="C8305" s="31" t="e">
        <f>B8305*100</f>
        <v>#REF!</v>
      </c>
      <c r="D8305" s="31" t="e">
        <f>IF(B8305&lt;1,"",IF(B8305=1,"",VLOOKUP(B8305,$J$3:$L$102,3)))</f>
        <v>#REF!</v>
      </c>
      <c r="E8305" s="31" t="e">
        <f>IF(B8305&lt;1,"",IF(B8305=1," Seratus "," Ratus "))</f>
        <v>#REF!</v>
      </c>
      <c r="J8305" s="31">
        <v>24</v>
      </c>
      <c r="K8305" s="33" t="s">
        <v>94</v>
      </c>
      <c r="L8305" s="31" t="str">
        <f t="shared" si="802"/>
        <v>Dua Puluh Empat</v>
      </c>
    </row>
    <row r="8306" spans="1:12">
      <c r="A8306" s="33" t="s">
        <v>81</v>
      </c>
      <c r="B8306" s="41" t="e">
        <f>TRUNC((A8279-SUM(C8301:C8305)))</f>
        <v>#REF!</v>
      </c>
      <c r="C8306" s="42" t="e">
        <f>B8306</f>
        <v>#REF!</v>
      </c>
      <c r="D8306" s="31" t="e">
        <f>IF(B8306&lt;1,"",VLOOKUP(B8306,$J$3:$L$102,3))</f>
        <v>#REF!</v>
      </c>
      <c r="E8306" s="31" t="e">
        <f>IF(SUM(C8301:C8306)&lt;1,"",IF(B8307&lt;1,""," Dan "))</f>
        <v>#REF!</v>
      </c>
      <c r="J8306" s="31">
        <v>25</v>
      </c>
      <c r="K8306" s="33" t="s">
        <v>95</v>
      </c>
      <c r="L8306" s="31" t="str">
        <f t="shared" si="802"/>
        <v>Dua Puluh Lima</v>
      </c>
    </row>
    <row r="8307" spans="1:12">
      <c r="A8307" s="33" t="s">
        <v>83</v>
      </c>
      <c r="B8307" s="40" t="e">
        <f>ROUND(A8279-SUM(C8301:C8306),2)*100</f>
        <v>#REF!</v>
      </c>
      <c r="D8307" s="31" t="e">
        <f>IF(B8307&lt;1,"",VLOOKUP(B8307,$J$3:$L$102,3))</f>
        <v>#REF!</v>
      </c>
      <c r="E8307" s="31" t="e">
        <f>IF(B8307&lt;1,""," Sen ")</f>
        <v>#REF!</v>
      </c>
      <c r="J8307" s="31">
        <v>26</v>
      </c>
      <c r="K8307" s="33" t="s">
        <v>96</v>
      </c>
      <c r="L8307" s="31" t="str">
        <f t="shared" si="802"/>
        <v>Dua Puluh Enam</v>
      </c>
    </row>
    <row r="8308" spans="1:12">
      <c r="J8308" s="31">
        <v>27</v>
      </c>
      <c r="K8308" s="33" t="s">
        <v>97</v>
      </c>
      <c r="L8308" s="31" t="str">
        <f t="shared" si="802"/>
        <v>Dua Puluh Tujuh</v>
      </c>
    </row>
    <row r="8309" spans="1:12">
      <c r="J8309" s="31">
        <v>28</v>
      </c>
      <c r="K8309" s="33" t="s">
        <v>98</v>
      </c>
      <c r="L8309" s="31" t="str">
        <f t="shared" si="802"/>
        <v>Dua Puluh Delapan</v>
      </c>
    </row>
    <row r="8310" spans="1:12">
      <c r="J8310" s="31">
        <v>29</v>
      </c>
      <c r="K8310" s="33" t="s">
        <v>99</v>
      </c>
      <c r="L8310" s="31" t="str">
        <f t="shared" si="802"/>
        <v>Dua Puluh Sembilan</v>
      </c>
    </row>
    <row r="8311" spans="1:12">
      <c r="J8311" s="31">
        <v>30</v>
      </c>
      <c r="K8311" s="33" t="s">
        <v>100</v>
      </c>
      <c r="L8311" s="31" t="s">
        <v>101</v>
      </c>
    </row>
    <row r="8312" spans="1:12">
      <c r="J8312" s="31">
        <v>31</v>
      </c>
      <c r="K8312" s="33" t="s">
        <v>102</v>
      </c>
      <c r="L8312" s="31" t="str">
        <f t="shared" ref="L8312:L8320" si="803">$L$33&amp;" "&amp;L8282</f>
        <v>Tiga Puluh Satu</v>
      </c>
    </row>
    <row r="8313" spans="1:12">
      <c r="J8313" s="31">
        <v>32</v>
      </c>
      <c r="K8313" s="33" t="s">
        <v>103</v>
      </c>
      <c r="L8313" s="31" t="str">
        <f t="shared" si="803"/>
        <v>Tiga Puluh Dua</v>
      </c>
    </row>
    <row r="8314" spans="1:12">
      <c r="J8314" s="31">
        <v>33</v>
      </c>
      <c r="K8314" s="33" t="s">
        <v>104</v>
      </c>
      <c r="L8314" s="31" t="str">
        <f t="shared" si="803"/>
        <v>Tiga Puluh Tiga</v>
      </c>
    </row>
    <row r="8315" spans="1:12">
      <c r="J8315" s="31">
        <v>34</v>
      </c>
      <c r="K8315" s="33" t="s">
        <v>105</v>
      </c>
      <c r="L8315" s="31" t="str">
        <f t="shared" si="803"/>
        <v>Tiga Puluh Empat</v>
      </c>
    </row>
    <row r="8316" spans="1:12">
      <c r="J8316" s="31">
        <v>35</v>
      </c>
      <c r="K8316" s="33" t="s">
        <v>106</v>
      </c>
      <c r="L8316" s="31" t="str">
        <f t="shared" si="803"/>
        <v>Tiga Puluh Lima</v>
      </c>
    </row>
    <row r="8317" spans="1:12">
      <c r="J8317" s="31">
        <v>36</v>
      </c>
      <c r="K8317" s="33" t="s">
        <v>107</v>
      </c>
      <c r="L8317" s="31" t="str">
        <f t="shared" si="803"/>
        <v>Tiga Puluh Enam</v>
      </c>
    </row>
    <row r="8318" spans="1:12">
      <c r="J8318" s="31">
        <v>37</v>
      </c>
      <c r="K8318" s="33" t="s">
        <v>108</v>
      </c>
      <c r="L8318" s="31" t="str">
        <f t="shared" si="803"/>
        <v>Tiga Puluh Tujuh</v>
      </c>
    </row>
    <row r="8319" spans="1:12">
      <c r="J8319" s="31">
        <v>38</v>
      </c>
      <c r="K8319" s="33" t="s">
        <v>109</v>
      </c>
      <c r="L8319" s="31" t="str">
        <f t="shared" si="803"/>
        <v>Tiga Puluh Delapan</v>
      </c>
    </row>
    <row r="8320" spans="1:12">
      <c r="J8320" s="31">
        <v>39</v>
      </c>
      <c r="K8320" s="33" t="s">
        <v>110</v>
      </c>
      <c r="L8320" s="31" t="str">
        <f t="shared" si="803"/>
        <v>Tiga Puluh Sembilan</v>
      </c>
    </row>
    <row r="8321" spans="1:12">
      <c r="B8321" s="35"/>
      <c r="C8321" s="35"/>
      <c r="D8321" s="35"/>
      <c r="J8321" s="31">
        <v>40</v>
      </c>
      <c r="K8321" s="33" t="s">
        <v>111</v>
      </c>
      <c r="L8321" s="31" t="s">
        <v>112</v>
      </c>
    </row>
    <row r="8322" spans="1:12">
      <c r="A8322" s="35"/>
      <c r="B8322" s="35"/>
      <c r="C8322" s="35"/>
      <c r="D8322" s="35"/>
      <c r="J8322" s="31">
        <v>41</v>
      </c>
      <c r="K8322" s="33" t="s">
        <v>113</v>
      </c>
      <c r="L8322" s="31" t="str">
        <f t="shared" ref="L8322:L8330" si="804">$L$43&amp;" "&amp;L8282</f>
        <v>Empat Puluh Satu</v>
      </c>
    </row>
    <row r="8323" spans="1:12">
      <c r="J8323" s="31">
        <v>42</v>
      </c>
      <c r="K8323" s="33" t="s">
        <v>114</v>
      </c>
      <c r="L8323" s="31" t="str">
        <f t="shared" si="804"/>
        <v>Empat Puluh Dua</v>
      </c>
    </row>
    <row r="8324" spans="1:12">
      <c r="A8324" s="38"/>
      <c r="J8324" s="31">
        <v>43</v>
      </c>
      <c r="K8324" s="33" t="s">
        <v>115</v>
      </c>
      <c r="L8324" s="31" t="str">
        <f t="shared" si="804"/>
        <v>Empat Puluh Tiga</v>
      </c>
    </row>
    <row r="8325" spans="1:12">
      <c r="J8325" s="31">
        <v>44</v>
      </c>
      <c r="K8325" s="33" t="s">
        <v>116</v>
      </c>
      <c r="L8325" s="31" t="str">
        <f t="shared" si="804"/>
        <v>Empat Puluh Empat</v>
      </c>
    </row>
    <row r="8326" spans="1:12">
      <c r="J8326" s="31">
        <v>45</v>
      </c>
      <c r="K8326" s="33" t="s">
        <v>117</v>
      </c>
      <c r="L8326" s="31" t="str">
        <f t="shared" si="804"/>
        <v>Empat Puluh Lima</v>
      </c>
    </row>
    <row r="8327" spans="1:12">
      <c r="J8327" s="31">
        <v>46</v>
      </c>
      <c r="K8327" s="33" t="s">
        <v>118</v>
      </c>
      <c r="L8327" s="31" t="str">
        <f t="shared" si="804"/>
        <v>Empat Puluh Enam</v>
      </c>
    </row>
    <row r="8328" spans="1:12">
      <c r="J8328" s="31">
        <v>47</v>
      </c>
      <c r="K8328" s="33" t="s">
        <v>119</v>
      </c>
      <c r="L8328" s="31" t="str">
        <f t="shared" si="804"/>
        <v>Empat Puluh Tujuh</v>
      </c>
    </row>
    <row r="8329" spans="1:12">
      <c r="J8329" s="31">
        <v>48</v>
      </c>
      <c r="K8329" s="33" t="s">
        <v>120</v>
      </c>
      <c r="L8329" s="31" t="str">
        <f t="shared" si="804"/>
        <v>Empat Puluh Delapan</v>
      </c>
    </row>
    <row r="8330" spans="1:12">
      <c r="J8330" s="31">
        <v>49</v>
      </c>
      <c r="K8330" s="33" t="s">
        <v>121</v>
      </c>
      <c r="L8330" s="31" t="str">
        <f t="shared" si="804"/>
        <v>Empat Puluh Sembilan</v>
      </c>
    </row>
    <row r="8331" spans="1:12">
      <c r="J8331" s="31">
        <v>50</v>
      </c>
      <c r="K8331" s="33" t="s">
        <v>122</v>
      </c>
      <c r="L8331" s="31" t="s">
        <v>123</v>
      </c>
    </row>
    <row r="8332" spans="1:12">
      <c r="J8332" s="31">
        <v>51</v>
      </c>
      <c r="K8332" s="33" t="s">
        <v>124</v>
      </c>
      <c r="L8332" s="31" t="str">
        <f t="shared" ref="L8332:L8340" si="805">$L$53&amp;" "&amp;L8282</f>
        <v>Lima Puluh Satu</v>
      </c>
    </row>
    <row r="8333" spans="1:12">
      <c r="J8333" s="31">
        <v>52</v>
      </c>
      <c r="K8333" s="33" t="s">
        <v>125</v>
      </c>
      <c r="L8333" s="31" t="str">
        <f t="shared" si="805"/>
        <v>Lima Puluh Dua</v>
      </c>
    </row>
    <row r="8334" spans="1:12">
      <c r="J8334" s="31">
        <v>53</v>
      </c>
      <c r="K8334" s="33" t="s">
        <v>126</v>
      </c>
      <c r="L8334" s="31" t="str">
        <f t="shared" si="805"/>
        <v>Lima Puluh Tiga</v>
      </c>
    </row>
    <row r="8335" spans="1:12">
      <c r="J8335" s="31">
        <v>54</v>
      </c>
      <c r="K8335" s="33" t="s">
        <v>127</v>
      </c>
      <c r="L8335" s="31" t="str">
        <f t="shared" si="805"/>
        <v>Lima Puluh Empat</v>
      </c>
    </row>
    <row r="8336" spans="1:12">
      <c r="J8336" s="31">
        <v>55</v>
      </c>
      <c r="K8336" s="33" t="s">
        <v>128</v>
      </c>
      <c r="L8336" s="31" t="str">
        <f t="shared" si="805"/>
        <v>Lima Puluh Lima</v>
      </c>
    </row>
    <row r="8337" spans="10:12">
      <c r="J8337" s="31">
        <v>56</v>
      </c>
      <c r="K8337" s="33" t="s">
        <v>129</v>
      </c>
      <c r="L8337" s="31" t="str">
        <f t="shared" si="805"/>
        <v>Lima Puluh Enam</v>
      </c>
    </row>
    <row r="8338" spans="10:12">
      <c r="J8338" s="31">
        <v>57</v>
      </c>
      <c r="K8338" s="33" t="s">
        <v>130</v>
      </c>
      <c r="L8338" s="31" t="str">
        <f t="shared" si="805"/>
        <v>Lima Puluh Tujuh</v>
      </c>
    </row>
    <row r="8339" spans="10:12">
      <c r="J8339" s="31">
        <v>58</v>
      </c>
      <c r="K8339" s="33" t="s">
        <v>131</v>
      </c>
      <c r="L8339" s="31" t="str">
        <f t="shared" si="805"/>
        <v>Lima Puluh Delapan</v>
      </c>
    </row>
    <row r="8340" spans="10:12">
      <c r="J8340" s="31">
        <v>59</v>
      </c>
      <c r="K8340" s="33" t="s">
        <v>132</v>
      </c>
      <c r="L8340" s="31" t="str">
        <f t="shared" si="805"/>
        <v>Lima Puluh Sembilan</v>
      </c>
    </row>
    <row r="8341" spans="10:12">
      <c r="J8341" s="31">
        <v>60</v>
      </c>
      <c r="K8341" s="33" t="s">
        <v>133</v>
      </c>
      <c r="L8341" s="31" t="s">
        <v>134</v>
      </c>
    </row>
    <row r="8342" spans="10:12">
      <c r="J8342" s="31">
        <v>61</v>
      </c>
      <c r="K8342" s="33" t="s">
        <v>135</v>
      </c>
      <c r="L8342" s="31" t="str">
        <f t="shared" ref="L8342:L8350" si="806">$L$63&amp;" "&amp;L8282</f>
        <v>Enam Puluh Satu</v>
      </c>
    </row>
    <row r="8343" spans="10:12">
      <c r="J8343" s="31">
        <v>62</v>
      </c>
      <c r="K8343" s="33" t="s">
        <v>136</v>
      </c>
      <c r="L8343" s="31" t="str">
        <f t="shared" si="806"/>
        <v>Enam Puluh Dua</v>
      </c>
    </row>
    <row r="8344" spans="10:12">
      <c r="J8344" s="31">
        <v>63</v>
      </c>
      <c r="K8344" s="33" t="s">
        <v>137</v>
      </c>
      <c r="L8344" s="31" t="str">
        <f t="shared" si="806"/>
        <v>Enam Puluh Tiga</v>
      </c>
    </row>
    <row r="8345" spans="10:12">
      <c r="J8345" s="31">
        <v>64</v>
      </c>
      <c r="K8345" s="33" t="s">
        <v>138</v>
      </c>
      <c r="L8345" s="31" t="str">
        <f t="shared" si="806"/>
        <v>Enam Puluh Empat</v>
      </c>
    </row>
    <row r="8346" spans="10:12">
      <c r="J8346" s="31">
        <v>65</v>
      </c>
      <c r="K8346" s="33" t="s">
        <v>139</v>
      </c>
      <c r="L8346" s="31" t="str">
        <f t="shared" si="806"/>
        <v>Enam Puluh Lima</v>
      </c>
    </row>
    <row r="8347" spans="10:12">
      <c r="J8347" s="31">
        <v>66</v>
      </c>
      <c r="K8347" s="33" t="s">
        <v>140</v>
      </c>
      <c r="L8347" s="31" t="str">
        <f t="shared" si="806"/>
        <v>Enam Puluh Enam</v>
      </c>
    </row>
    <row r="8348" spans="10:12">
      <c r="J8348" s="31">
        <v>67</v>
      </c>
      <c r="K8348" s="33" t="s">
        <v>141</v>
      </c>
      <c r="L8348" s="31" t="str">
        <f t="shared" si="806"/>
        <v>Enam Puluh Tujuh</v>
      </c>
    </row>
    <row r="8349" spans="10:12">
      <c r="J8349" s="31">
        <v>68</v>
      </c>
      <c r="K8349" s="33" t="s">
        <v>142</v>
      </c>
      <c r="L8349" s="31" t="str">
        <f t="shared" si="806"/>
        <v>Enam Puluh Delapan</v>
      </c>
    </row>
    <row r="8350" spans="10:12">
      <c r="J8350" s="31">
        <v>69</v>
      </c>
      <c r="K8350" s="33" t="s">
        <v>143</v>
      </c>
      <c r="L8350" s="31" t="str">
        <f t="shared" si="806"/>
        <v>Enam Puluh Sembilan</v>
      </c>
    </row>
    <row r="8351" spans="10:12">
      <c r="J8351" s="31">
        <v>70</v>
      </c>
      <c r="K8351" s="33" t="s">
        <v>144</v>
      </c>
      <c r="L8351" s="31" t="s">
        <v>145</v>
      </c>
    </row>
    <row r="8352" spans="10:12">
      <c r="J8352" s="31">
        <v>71</v>
      </c>
      <c r="K8352" s="33" t="s">
        <v>146</v>
      </c>
      <c r="L8352" s="31" t="str">
        <f t="shared" ref="L8352:L8360" si="807">$L$73&amp;" "&amp;L8282</f>
        <v>Tujuh Puluh Satu</v>
      </c>
    </row>
    <row r="8353" spans="10:12">
      <c r="J8353" s="31">
        <v>72</v>
      </c>
      <c r="K8353" s="33" t="s">
        <v>147</v>
      </c>
      <c r="L8353" s="31" t="str">
        <f t="shared" si="807"/>
        <v>Tujuh Puluh Dua</v>
      </c>
    </row>
    <row r="8354" spans="10:12">
      <c r="J8354" s="31">
        <v>73</v>
      </c>
      <c r="K8354" s="33" t="s">
        <v>148</v>
      </c>
      <c r="L8354" s="31" t="str">
        <f t="shared" si="807"/>
        <v>Tujuh Puluh Tiga</v>
      </c>
    </row>
    <row r="8355" spans="10:12">
      <c r="J8355" s="31">
        <v>74</v>
      </c>
      <c r="K8355" s="33" t="s">
        <v>149</v>
      </c>
      <c r="L8355" s="31" t="str">
        <f t="shared" si="807"/>
        <v>Tujuh Puluh Empat</v>
      </c>
    </row>
    <row r="8356" spans="10:12">
      <c r="J8356" s="31">
        <v>75</v>
      </c>
      <c r="K8356" s="33" t="s">
        <v>150</v>
      </c>
      <c r="L8356" s="31" t="str">
        <f t="shared" si="807"/>
        <v>Tujuh Puluh Lima</v>
      </c>
    </row>
    <row r="8357" spans="10:12">
      <c r="J8357" s="31">
        <v>76</v>
      </c>
      <c r="K8357" s="33" t="s">
        <v>151</v>
      </c>
      <c r="L8357" s="31" t="str">
        <f t="shared" si="807"/>
        <v>Tujuh Puluh Enam</v>
      </c>
    </row>
    <row r="8358" spans="10:12">
      <c r="J8358" s="31">
        <v>77</v>
      </c>
      <c r="K8358" s="33" t="s">
        <v>152</v>
      </c>
      <c r="L8358" s="31" t="str">
        <f t="shared" si="807"/>
        <v>Tujuh Puluh Tujuh</v>
      </c>
    </row>
    <row r="8359" spans="10:12">
      <c r="J8359" s="31">
        <v>78</v>
      </c>
      <c r="K8359" s="33" t="s">
        <v>153</v>
      </c>
      <c r="L8359" s="31" t="str">
        <f t="shared" si="807"/>
        <v>Tujuh Puluh Delapan</v>
      </c>
    </row>
    <row r="8360" spans="10:12">
      <c r="J8360" s="31">
        <v>79</v>
      </c>
      <c r="K8360" s="33" t="s">
        <v>154</v>
      </c>
      <c r="L8360" s="31" t="str">
        <f t="shared" si="807"/>
        <v>Tujuh Puluh Sembilan</v>
      </c>
    </row>
    <row r="8361" spans="10:12">
      <c r="J8361" s="31">
        <v>80</v>
      </c>
      <c r="K8361" s="33" t="s">
        <v>155</v>
      </c>
      <c r="L8361" s="31" t="s">
        <v>156</v>
      </c>
    </row>
    <row r="8362" spans="10:12">
      <c r="J8362" s="31">
        <v>81</v>
      </c>
      <c r="K8362" s="33" t="s">
        <v>157</v>
      </c>
      <c r="L8362" s="31" t="str">
        <f t="shared" ref="L8362:L8370" si="808">$L$83&amp;" "&amp;L8282</f>
        <v>Delapan Puluh Satu</v>
      </c>
    </row>
    <row r="8363" spans="10:12">
      <c r="J8363" s="31">
        <v>82</v>
      </c>
      <c r="K8363" s="33" t="s">
        <v>158</v>
      </c>
      <c r="L8363" s="31" t="str">
        <f t="shared" si="808"/>
        <v>Delapan Puluh Dua</v>
      </c>
    </row>
    <row r="8364" spans="10:12">
      <c r="J8364" s="31">
        <v>83</v>
      </c>
      <c r="K8364" s="33" t="s">
        <v>159</v>
      </c>
      <c r="L8364" s="31" t="str">
        <f t="shared" si="808"/>
        <v>Delapan Puluh Tiga</v>
      </c>
    </row>
    <row r="8365" spans="10:12">
      <c r="J8365" s="31">
        <v>84</v>
      </c>
      <c r="K8365" s="33" t="s">
        <v>160</v>
      </c>
      <c r="L8365" s="31" t="str">
        <f t="shared" si="808"/>
        <v>Delapan Puluh Empat</v>
      </c>
    </row>
    <row r="8366" spans="10:12">
      <c r="J8366" s="31">
        <v>85</v>
      </c>
      <c r="K8366" s="33" t="s">
        <v>161</v>
      </c>
      <c r="L8366" s="31" t="str">
        <f t="shared" si="808"/>
        <v>Delapan Puluh Lima</v>
      </c>
    </row>
    <row r="8367" spans="10:12">
      <c r="J8367" s="31">
        <v>86</v>
      </c>
      <c r="K8367" s="33" t="s">
        <v>162</v>
      </c>
      <c r="L8367" s="31" t="str">
        <f t="shared" si="808"/>
        <v>Delapan Puluh Enam</v>
      </c>
    </row>
    <row r="8368" spans="10:12">
      <c r="J8368" s="31">
        <v>87</v>
      </c>
      <c r="K8368" s="33" t="s">
        <v>163</v>
      </c>
      <c r="L8368" s="31" t="str">
        <f t="shared" si="808"/>
        <v>Delapan Puluh Tujuh</v>
      </c>
    </row>
    <row r="8369" spans="1:12">
      <c r="J8369" s="31">
        <v>88</v>
      </c>
      <c r="K8369" s="33" t="s">
        <v>164</v>
      </c>
      <c r="L8369" s="31" t="str">
        <f t="shared" si="808"/>
        <v>Delapan Puluh Delapan</v>
      </c>
    </row>
    <row r="8370" spans="1:12">
      <c r="J8370" s="31">
        <v>89</v>
      </c>
      <c r="K8370" s="33" t="s">
        <v>165</v>
      </c>
      <c r="L8370" s="31" t="str">
        <f t="shared" si="808"/>
        <v>Delapan Puluh Sembilan</v>
      </c>
    </row>
    <row r="8371" spans="1:12">
      <c r="J8371" s="31">
        <v>90</v>
      </c>
      <c r="K8371" s="33" t="s">
        <v>166</v>
      </c>
      <c r="L8371" s="31" t="s">
        <v>167</v>
      </c>
    </row>
    <row r="8372" spans="1:12">
      <c r="J8372" s="31">
        <v>91</v>
      </c>
      <c r="K8372" s="33" t="s">
        <v>168</v>
      </c>
      <c r="L8372" s="31" t="str">
        <f t="shared" ref="L8372:L8380" si="809">$L$93&amp;" "&amp;L8282</f>
        <v>Sembilan Puluh Satu</v>
      </c>
    </row>
    <row r="8373" spans="1:12">
      <c r="J8373" s="31">
        <v>92</v>
      </c>
      <c r="K8373" s="33" t="s">
        <v>169</v>
      </c>
      <c r="L8373" s="31" t="str">
        <f t="shared" si="809"/>
        <v>Sembilan Puluh Dua</v>
      </c>
    </row>
    <row r="8374" spans="1:12">
      <c r="J8374" s="31">
        <v>93</v>
      </c>
      <c r="K8374" s="33" t="s">
        <v>170</v>
      </c>
      <c r="L8374" s="31" t="str">
        <f t="shared" si="809"/>
        <v>Sembilan Puluh Tiga</v>
      </c>
    </row>
    <row r="8375" spans="1:12">
      <c r="J8375" s="31">
        <v>94</v>
      </c>
      <c r="K8375" s="33" t="s">
        <v>171</v>
      </c>
      <c r="L8375" s="31" t="str">
        <f t="shared" si="809"/>
        <v>Sembilan Puluh Empat</v>
      </c>
    </row>
    <row r="8376" spans="1:12">
      <c r="J8376" s="31">
        <v>95</v>
      </c>
      <c r="K8376" s="33" t="s">
        <v>172</v>
      </c>
      <c r="L8376" s="31" t="str">
        <f t="shared" si="809"/>
        <v>Sembilan Puluh Lima</v>
      </c>
    </row>
    <row r="8377" spans="1:12">
      <c r="J8377" s="31">
        <v>96</v>
      </c>
      <c r="K8377" s="33" t="s">
        <v>173</v>
      </c>
      <c r="L8377" s="31" t="str">
        <f t="shared" si="809"/>
        <v>Sembilan Puluh Enam</v>
      </c>
    </row>
    <row r="8378" spans="1:12">
      <c r="J8378" s="31">
        <v>97</v>
      </c>
      <c r="K8378" s="33" t="s">
        <v>174</v>
      </c>
      <c r="L8378" s="31" t="str">
        <f t="shared" si="809"/>
        <v>Sembilan Puluh Tujuh</v>
      </c>
    </row>
    <row r="8379" spans="1:12">
      <c r="J8379" s="31">
        <v>98</v>
      </c>
      <c r="K8379" s="33" t="s">
        <v>175</v>
      </c>
      <c r="L8379" s="31" t="str">
        <f t="shared" si="809"/>
        <v>Sembilan Puluh Delapan</v>
      </c>
    </row>
    <row r="8380" spans="1:12">
      <c r="J8380" s="31">
        <v>99</v>
      </c>
      <c r="K8380" s="33" t="s">
        <v>176</v>
      </c>
      <c r="L8380" s="31" t="str">
        <f t="shared" si="809"/>
        <v>Sembilan Puluh Sembilan</v>
      </c>
    </row>
    <row r="8383" spans="1:12">
      <c r="A8383" s="30" t="e">
        <f>#REF!</f>
        <v>#REF!</v>
      </c>
      <c r="C8383" s="31" t="s">
        <v>280</v>
      </c>
    </row>
    <row r="8384" spans="1:12">
      <c r="A8384" s="32"/>
    </row>
    <row r="8385" spans="1:12">
      <c r="J8385" s="31">
        <v>0</v>
      </c>
      <c r="K8385" s="33" t="s">
        <v>48</v>
      </c>
      <c r="L8385" s="31" t="s">
        <v>49</v>
      </c>
    </row>
    <row r="8386" spans="1:12">
      <c r="A8386" s="34"/>
      <c r="J8386" s="31">
        <v>1</v>
      </c>
      <c r="K8386" s="33" t="s">
        <v>50</v>
      </c>
      <c r="L8386" s="31" t="s">
        <v>51</v>
      </c>
    </row>
    <row r="8387" spans="1:12">
      <c r="A8387" s="255" t="e">
        <f>TRIM(D8395&amp;E8395&amp;D8396&amp;E8396&amp;D8397&amp;E8397&amp;D8398&amp;E8398&amp;D8399&amp;E8399&amp;D8400&amp;E8400&amp;E8401&amp;D8401&amp;" Only")</f>
        <v>#REF!</v>
      </c>
      <c r="B8387" s="255"/>
      <c r="C8387" s="255"/>
      <c r="D8387" s="255"/>
      <c r="E8387" s="35"/>
      <c r="F8387" s="36"/>
      <c r="J8387" s="31">
        <v>2</v>
      </c>
      <c r="K8387" s="33" t="s">
        <v>52</v>
      </c>
      <c r="L8387" s="31" t="s">
        <v>53</v>
      </c>
    </row>
    <row r="8388" spans="1:12">
      <c r="A8388" s="37"/>
      <c r="B8388" s="37"/>
      <c r="C8388" s="37"/>
      <c r="D8388" s="37"/>
      <c r="E8388" s="35"/>
      <c r="F8388" s="36"/>
      <c r="J8388" s="31">
        <v>3</v>
      </c>
      <c r="K8388" s="33" t="s">
        <v>54</v>
      </c>
      <c r="L8388" s="31" t="s">
        <v>55</v>
      </c>
    </row>
    <row r="8389" spans="1:12">
      <c r="A8389" s="37"/>
      <c r="B8389" s="37"/>
      <c r="C8389" s="37"/>
      <c r="D8389" s="37"/>
      <c r="J8389" s="31">
        <v>4</v>
      </c>
      <c r="K8389" s="33" t="s">
        <v>56</v>
      </c>
      <c r="L8389" s="31" t="s">
        <v>57</v>
      </c>
    </row>
    <row r="8390" spans="1:12">
      <c r="A8390" s="255" t="e">
        <f>TRIM(D8405&amp;E8405&amp;D8406&amp;E8406&amp;D8407&amp;E8407&amp;D8408&amp;E8408&amp;D8409&amp;E8409&amp;D8410&amp;E8410&amp;D8411&amp;E8411&amp;" Rupiah")</f>
        <v>#REF!</v>
      </c>
      <c r="B8390" s="255"/>
      <c r="C8390" s="255"/>
      <c r="D8390" s="255"/>
      <c r="E8390" s="35"/>
      <c r="F8390" s="36"/>
      <c r="J8390" s="31">
        <v>5</v>
      </c>
      <c r="K8390" s="33" t="s">
        <v>58</v>
      </c>
      <c r="L8390" s="31" t="s">
        <v>59</v>
      </c>
    </row>
    <row r="8391" spans="1:12">
      <c r="A8391" s="35"/>
      <c r="B8391" s="35"/>
      <c r="C8391" s="35"/>
      <c r="D8391" s="35"/>
      <c r="E8391" s="35"/>
      <c r="F8391" s="36"/>
      <c r="J8391" s="31">
        <v>6</v>
      </c>
      <c r="K8391" s="33" t="s">
        <v>60</v>
      </c>
      <c r="L8391" s="31" t="s">
        <v>61</v>
      </c>
    </row>
    <row r="8392" spans="1:12">
      <c r="J8392" s="31">
        <v>7</v>
      </c>
      <c r="K8392" s="33" t="s">
        <v>62</v>
      </c>
      <c r="L8392" s="31" t="s">
        <v>63</v>
      </c>
    </row>
    <row r="8393" spans="1:12">
      <c r="J8393" s="31">
        <v>8</v>
      </c>
      <c r="K8393" s="33" t="s">
        <v>64</v>
      </c>
      <c r="L8393" s="31" t="s">
        <v>65</v>
      </c>
    </row>
    <row r="8394" spans="1:12">
      <c r="A8394" s="38" t="s">
        <v>66</v>
      </c>
      <c r="J8394" s="31">
        <v>9</v>
      </c>
      <c r="K8394" s="33" t="s">
        <v>67</v>
      </c>
      <c r="L8394" s="31" t="s">
        <v>68</v>
      </c>
    </row>
    <row r="8395" spans="1:12">
      <c r="A8395" s="31" t="s">
        <v>69</v>
      </c>
      <c r="B8395" s="39" t="e">
        <f>TRUNC(A8383/100000000)</f>
        <v>#REF!</v>
      </c>
      <c r="C8395" s="31" t="e">
        <f>B8395*100000000</f>
        <v>#REF!</v>
      </c>
      <c r="D8395" s="31" t="e">
        <f t="shared" ref="D8395:D8401" si="810">IF(B8395&lt;1,"",VLOOKUP(B8395,$J$3:$K$102,2))</f>
        <v>#REF!</v>
      </c>
      <c r="E8395" s="31" t="e">
        <f>IF(B8395&lt;1,"",IF(B8395&gt;1," Hundreds "," Hundred "))</f>
        <v>#REF!</v>
      </c>
      <c r="J8395" s="31">
        <v>10</v>
      </c>
      <c r="K8395" s="33" t="s">
        <v>70</v>
      </c>
      <c r="L8395" s="31" t="s">
        <v>71</v>
      </c>
    </row>
    <row r="8396" spans="1:12">
      <c r="A8396" s="31" t="s">
        <v>72</v>
      </c>
      <c r="B8396" s="39" t="e">
        <f>TRUNC((A8383-C8395)/1000000)</f>
        <v>#REF!</v>
      </c>
      <c r="C8396" s="31" t="e">
        <f>B8396*1000000</f>
        <v>#REF!</v>
      </c>
      <c r="D8396" s="31" t="e">
        <f t="shared" si="810"/>
        <v>#REF!</v>
      </c>
      <c r="E8396" s="31" t="e">
        <f>IF(B8395+B8396=0,"",IF(B8396=1," Million "," Millions "))</f>
        <v>#REF!</v>
      </c>
      <c r="J8396" s="31">
        <v>11</v>
      </c>
      <c r="K8396" s="33" t="s">
        <v>73</v>
      </c>
      <c r="L8396" s="31" t="s">
        <v>74</v>
      </c>
    </row>
    <row r="8397" spans="1:12">
      <c r="A8397" s="31" t="s">
        <v>75</v>
      </c>
      <c r="B8397" s="39" t="e">
        <f>TRUNC((A8383-SUM(C8395:C8396))/100000)</f>
        <v>#REF!</v>
      </c>
      <c r="C8397" s="31" t="e">
        <f>B8397*100000</f>
        <v>#REF!</v>
      </c>
      <c r="D8397" s="31" t="e">
        <f t="shared" si="810"/>
        <v>#REF!</v>
      </c>
      <c r="E8397" s="31" t="e">
        <f>IF(B8397&lt;1,"",IF(B8397&gt;1," Hundreds "," Hundred "))</f>
        <v>#REF!</v>
      </c>
      <c r="J8397" s="31">
        <v>12</v>
      </c>
      <c r="K8397" s="33" t="s">
        <v>76</v>
      </c>
      <c r="L8397" s="31" t="str">
        <f t="shared" ref="L8397:L8404" si="811">L8387&amp;" Belas"</f>
        <v>Dua Belas</v>
      </c>
    </row>
    <row r="8398" spans="1:12">
      <c r="A8398" s="33" t="s">
        <v>77</v>
      </c>
      <c r="B8398" s="40" t="e">
        <f>TRUNC((A8383-SUM(C8395:C8397))/1000)</f>
        <v>#REF!</v>
      </c>
      <c r="C8398" s="31" t="e">
        <f>B8398*1000</f>
        <v>#REF!</v>
      </c>
      <c r="D8398" s="31" t="e">
        <f t="shared" si="810"/>
        <v>#REF!</v>
      </c>
      <c r="E8398" s="31" t="e">
        <f>IF(B8397+B8398=0,"",IF(B8398=1," Thousand "," Thousands "))</f>
        <v>#REF!</v>
      </c>
      <c r="J8398" s="31">
        <v>13</v>
      </c>
      <c r="K8398" s="33" t="s">
        <v>78</v>
      </c>
      <c r="L8398" s="31" t="str">
        <f t="shared" si="811"/>
        <v>Tiga Belas</v>
      </c>
    </row>
    <row r="8399" spans="1:12">
      <c r="A8399" s="33" t="s">
        <v>79</v>
      </c>
      <c r="B8399" s="40" t="e">
        <f>TRUNC((A8383-SUM(C8395:C8398))/100)</f>
        <v>#REF!</v>
      </c>
      <c r="C8399" s="31" t="e">
        <f>B8399*100</f>
        <v>#REF!</v>
      </c>
      <c r="D8399" s="31" t="e">
        <f t="shared" si="810"/>
        <v>#REF!</v>
      </c>
      <c r="E8399" s="31" t="e">
        <f>IF(B8399&lt;1,"",IF(B8399&gt;1," Hundreds "," Hundred "))</f>
        <v>#REF!</v>
      </c>
      <c r="J8399" s="31">
        <v>14</v>
      </c>
      <c r="K8399" s="33" t="s">
        <v>80</v>
      </c>
      <c r="L8399" s="31" t="str">
        <f t="shared" si="811"/>
        <v>Empat Belas</v>
      </c>
    </row>
    <row r="8400" spans="1:12">
      <c r="A8400" s="33" t="s">
        <v>81</v>
      </c>
      <c r="B8400" s="41" t="e">
        <f>TRUNC((A8383-SUM(C8395:C8399)))</f>
        <v>#REF!</v>
      </c>
      <c r="C8400" s="42" t="e">
        <f>B8400</f>
        <v>#REF!</v>
      </c>
      <c r="D8400" s="31" t="e">
        <f t="shared" si="810"/>
        <v>#REF!</v>
      </c>
      <c r="E8400" s="31" t="e">
        <f>IF(SUM(C8395:C8400)&lt;1,"",IF(B8401&lt;1,""," And "))</f>
        <v>#REF!</v>
      </c>
      <c r="J8400" s="31">
        <v>15</v>
      </c>
      <c r="K8400" s="33" t="s">
        <v>82</v>
      </c>
      <c r="L8400" s="31" t="str">
        <f t="shared" si="811"/>
        <v>Lima Belas</v>
      </c>
    </row>
    <row r="8401" spans="1:12">
      <c r="A8401" s="33" t="s">
        <v>83</v>
      </c>
      <c r="B8401" s="40" t="e">
        <f>ROUND(A8383-SUM(C8395:C8400),2)*100</f>
        <v>#REF!</v>
      </c>
      <c r="D8401" s="43" t="e">
        <f t="shared" si="810"/>
        <v>#REF!</v>
      </c>
      <c r="E8401" s="31" t="e">
        <f>IF(B8401&lt;1,"",IF(B8401=1," Cent "," Cents "))</f>
        <v>#REF!</v>
      </c>
      <c r="J8401" s="31">
        <v>16</v>
      </c>
      <c r="K8401" s="33" t="s">
        <v>84</v>
      </c>
      <c r="L8401" s="31" t="str">
        <f t="shared" si="811"/>
        <v>Enam Belas</v>
      </c>
    </row>
    <row r="8402" spans="1:12">
      <c r="J8402" s="31">
        <v>17</v>
      </c>
      <c r="K8402" s="33" t="s">
        <v>85</v>
      </c>
      <c r="L8402" s="31" t="str">
        <f t="shared" si="811"/>
        <v>Tujuh Belas</v>
      </c>
    </row>
    <row r="8403" spans="1:12">
      <c r="A8403" s="44"/>
      <c r="J8403" s="31">
        <v>18</v>
      </c>
      <c r="K8403" s="33" t="s">
        <v>86</v>
      </c>
      <c r="L8403" s="31" t="str">
        <f t="shared" si="811"/>
        <v>Delapan Belas</v>
      </c>
    </row>
    <row r="8404" spans="1:12">
      <c r="A8404" s="38" t="s">
        <v>87</v>
      </c>
      <c r="J8404" s="31">
        <v>19</v>
      </c>
      <c r="K8404" s="33" t="s">
        <v>88</v>
      </c>
      <c r="L8404" s="31" t="str">
        <f t="shared" si="811"/>
        <v>Sembilan Belas</v>
      </c>
    </row>
    <row r="8405" spans="1:12">
      <c r="A8405" s="31" t="s">
        <v>69</v>
      </c>
      <c r="B8405" s="39" t="e">
        <f>TRUNC(A8383/100000000)</f>
        <v>#REF!</v>
      </c>
      <c r="C8405" s="31" t="e">
        <f>B8405*100000000</f>
        <v>#REF!</v>
      </c>
      <c r="D8405" s="31" t="e">
        <f>IF(B8405&lt;1,"",IF(B8405=1,"",VLOOKUP(B8405,$J$3:$L$102,3)))</f>
        <v>#REF!</v>
      </c>
      <c r="E8405" s="31" t="e">
        <f>IF(B8405&lt;1,"",IF(B8405=1,"Seratus "," Ratus "))</f>
        <v>#REF!</v>
      </c>
      <c r="J8405" s="31">
        <v>20</v>
      </c>
      <c r="K8405" s="33" t="s">
        <v>89</v>
      </c>
      <c r="L8405" s="31" t="s">
        <v>90</v>
      </c>
    </row>
    <row r="8406" spans="1:12">
      <c r="A8406" s="31" t="s">
        <v>72</v>
      </c>
      <c r="B8406" s="39" t="e">
        <f>TRUNC((A8383-C8405)/1000000)</f>
        <v>#REF!</v>
      </c>
      <c r="C8406" s="31" t="e">
        <f>B8406*1000000</f>
        <v>#REF!</v>
      </c>
      <c r="D8406" s="31" t="e">
        <f>IF(B8406&lt;1,"",VLOOKUP(B8406,$J$3:$L$102,3))</f>
        <v>#REF!</v>
      </c>
      <c r="E8406" s="31" t="e">
        <f>IF(B8405+B8406=0,""," Juta ")</f>
        <v>#REF!</v>
      </c>
      <c r="J8406" s="31">
        <v>21</v>
      </c>
      <c r="K8406" s="33" t="s">
        <v>91</v>
      </c>
      <c r="L8406" s="31" t="str">
        <f t="shared" ref="L8406:L8414" si="812">$L$23&amp;" "&amp;L8386</f>
        <v>Dua Puluh Satu</v>
      </c>
    </row>
    <row r="8407" spans="1:12">
      <c r="A8407" s="31" t="s">
        <v>75</v>
      </c>
      <c r="B8407" s="39" t="e">
        <f>TRUNC((A8383-SUM(C8405:C8406))/100000)</f>
        <v>#REF!</v>
      </c>
      <c r="C8407" s="31" t="e">
        <f>B8407*100000</f>
        <v>#REF!</v>
      </c>
      <c r="D8407" s="31" t="e">
        <f>IF(B8407&lt;1,"",IF(B8407=1,"",VLOOKUP(B8407,$J$3:$L$102,3)))</f>
        <v>#REF!</v>
      </c>
      <c r="E8407" s="31" t="e">
        <f>IF(B8407&lt;1,"",IF(B8407=1," Seratus "," Ratus "))</f>
        <v>#REF!</v>
      </c>
      <c r="J8407" s="31">
        <v>22</v>
      </c>
      <c r="K8407" s="33" t="s">
        <v>92</v>
      </c>
      <c r="L8407" s="31" t="str">
        <f t="shared" si="812"/>
        <v>Dua Puluh Dua</v>
      </c>
    </row>
    <row r="8408" spans="1:12">
      <c r="A8408" s="33" t="s">
        <v>77</v>
      </c>
      <c r="B8408" s="40" t="e">
        <f>TRUNC((A8383-SUM(C8405:C8407))/1000)</f>
        <v>#REF!</v>
      </c>
      <c r="C8408" s="31" t="e">
        <f>B8408*1000</f>
        <v>#REF!</v>
      </c>
      <c r="D8408" s="31" t="e">
        <f>IF(B8408&lt;1,"",IF(B8408=1,"",VLOOKUP(B8408,$J$3:$L$102,3)))</f>
        <v>#REF!</v>
      </c>
      <c r="E8408" s="31" t="e">
        <f>IF(B8407+B8408&lt;1,"",IF(B8408=1," Seribu "," Ribu "))</f>
        <v>#REF!</v>
      </c>
      <c r="J8408" s="31">
        <v>23</v>
      </c>
      <c r="K8408" s="33" t="s">
        <v>93</v>
      </c>
      <c r="L8408" s="31" t="str">
        <f t="shared" si="812"/>
        <v>Dua Puluh Tiga</v>
      </c>
    </row>
    <row r="8409" spans="1:12">
      <c r="A8409" s="33" t="s">
        <v>79</v>
      </c>
      <c r="B8409" s="40" t="e">
        <f>TRUNC((A8383-SUM(C8405:C8408))/100)</f>
        <v>#REF!</v>
      </c>
      <c r="C8409" s="31" t="e">
        <f>B8409*100</f>
        <v>#REF!</v>
      </c>
      <c r="D8409" s="31" t="e">
        <f>IF(B8409&lt;1,"",IF(B8409=1,"",VLOOKUP(B8409,$J$3:$L$102,3)))</f>
        <v>#REF!</v>
      </c>
      <c r="E8409" s="31" t="e">
        <f>IF(B8409&lt;1,"",IF(B8409=1," Seratus "," Ratus "))</f>
        <v>#REF!</v>
      </c>
      <c r="J8409" s="31">
        <v>24</v>
      </c>
      <c r="K8409" s="33" t="s">
        <v>94</v>
      </c>
      <c r="L8409" s="31" t="str">
        <f t="shared" si="812"/>
        <v>Dua Puluh Empat</v>
      </c>
    </row>
    <row r="8410" spans="1:12">
      <c r="A8410" s="33" t="s">
        <v>81</v>
      </c>
      <c r="B8410" s="41" t="e">
        <f>TRUNC((A8383-SUM(C8405:C8409)))</f>
        <v>#REF!</v>
      </c>
      <c r="C8410" s="42" t="e">
        <f>B8410</f>
        <v>#REF!</v>
      </c>
      <c r="D8410" s="31" t="e">
        <f>IF(B8410&lt;1,"",VLOOKUP(B8410,$J$3:$L$102,3))</f>
        <v>#REF!</v>
      </c>
      <c r="E8410" s="31" t="e">
        <f>IF(SUM(C8405:C8410)&lt;1,"",IF(B8411&lt;1,""," Dan "))</f>
        <v>#REF!</v>
      </c>
      <c r="J8410" s="31">
        <v>25</v>
      </c>
      <c r="K8410" s="33" t="s">
        <v>95</v>
      </c>
      <c r="L8410" s="31" t="str">
        <f t="shared" si="812"/>
        <v>Dua Puluh Lima</v>
      </c>
    </row>
    <row r="8411" spans="1:12">
      <c r="A8411" s="33" t="s">
        <v>83</v>
      </c>
      <c r="B8411" s="40" t="e">
        <f>ROUND(A8383-SUM(C8405:C8410),2)*100</f>
        <v>#REF!</v>
      </c>
      <c r="D8411" s="31" t="e">
        <f>IF(B8411&lt;1,"",VLOOKUP(B8411,$J$3:$L$102,3))</f>
        <v>#REF!</v>
      </c>
      <c r="E8411" s="31" t="e">
        <f>IF(B8411&lt;1,""," Sen ")</f>
        <v>#REF!</v>
      </c>
      <c r="J8411" s="31">
        <v>26</v>
      </c>
      <c r="K8411" s="33" t="s">
        <v>96</v>
      </c>
      <c r="L8411" s="31" t="str">
        <f t="shared" si="812"/>
        <v>Dua Puluh Enam</v>
      </c>
    </row>
    <row r="8412" spans="1:12">
      <c r="J8412" s="31">
        <v>27</v>
      </c>
      <c r="K8412" s="33" t="s">
        <v>97</v>
      </c>
      <c r="L8412" s="31" t="str">
        <f t="shared" si="812"/>
        <v>Dua Puluh Tujuh</v>
      </c>
    </row>
    <row r="8413" spans="1:12">
      <c r="J8413" s="31">
        <v>28</v>
      </c>
      <c r="K8413" s="33" t="s">
        <v>98</v>
      </c>
      <c r="L8413" s="31" t="str">
        <f t="shared" si="812"/>
        <v>Dua Puluh Delapan</v>
      </c>
    </row>
    <row r="8414" spans="1:12">
      <c r="J8414" s="31">
        <v>29</v>
      </c>
      <c r="K8414" s="33" t="s">
        <v>99</v>
      </c>
      <c r="L8414" s="31" t="str">
        <f t="shared" si="812"/>
        <v>Dua Puluh Sembilan</v>
      </c>
    </row>
    <row r="8415" spans="1:12">
      <c r="J8415" s="31">
        <v>30</v>
      </c>
      <c r="K8415" s="33" t="s">
        <v>100</v>
      </c>
      <c r="L8415" s="31" t="s">
        <v>101</v>
      </c>
    </row>
    <row r="8416" spans="1:12">
      <c r="J8416" s="31">
        <v>31</v>
      </c>
      <c r="K8416" s="33" t="s">
        <v>102</v>
      </c>
      <c r="L8416" s="31" t="str">
        <f t="shared" ref="L8416:L8424" si="813">$L$33&amp;" "&amp;L8386</f>
        <v>Tiga Puluh Satu</v>
      </c>
    </row>
    <row r="8417" spans="1:12">
      <c r="J8417" s="31">
        <v>32</v>
      </c>
      <c r="K8417" s="33" t="s">
        <v>103</v>
      </c>
      <c r="L8417" s="31" t="str">
        <f t="shared" si="813"/>
        <v>Tiga Puluh Dua</v>
      </c>
    </row>
    <row r="8418" spans="1:12">
      <c r="J8418" s="31">
        <v>33</v>
      </c>
      <c r="K8418" s="33" t="s">
        <v>104</v>
      </c>
      <c r="L8418" s="31" t="str">
        <f t="shared" si="813"/>
        <v>Tiga Puluh Tiga</v>
      </c>
    </row>
    <row r="8419" spans="1:12">
      <c r="J8419" s="31">
        <v>34</v>
      </c>
      <c r="K8419" s="33" t="s">
        <v>105</v>
      </c>
      <c r="L8419" s="31" t="str">
        <f t="shared" si="813"/>
        <v>Tiga Puluh Empat</v>
      </c>
    </row>
    <row r="8420" spans="1:12">
      <c r="J8420" s="31">
        <v>35</v>
      </c>
      <c r="K8420" s="33" t="s">
        <v>106</v>
      </c>
      <c r="L8420" s="31" t="str">
        <f t="shared" si="813"/>
        <v>Tiga Puluh Lima</v>
      </c>
    </row>
    <row r="8421" spans="1:12">
      <c r="J8421" s="31">
        <v>36</v>
      </c>
      <c r="K8421" s="33" t="s">
        <v>107</v>
      </c>
      <c r="L8421" s="31" t="str">
        <f t="shared" si="813"/>
        <v>Tiga Puluh Enam</v>
      </c>
    </row>
    <row r="8422" spans="1:12">
      <c r="J8422" s="31">
        <v>37</v>
      </c>
      <c r="K8422" s="33" t="s">
        <v>108</v>
      </c>
      <c r="L8422" s="31" t="str">
        <f t="shared" si="813"/>
        <v>Tiga Puluh Tujuh</v>
      </c>
    </row>
    <row r="8423" spans="1:12">
      <c r="J8423" s="31">
        <v>38</v>
      </c>
      <c r="K8423" s="33" t="s">
        <v>109</v>
      </c>
      <c r="L8423" s="31" t="str">
        <f t="shared" si="813"/>
        <v>Tiga Puluh Delapan</v>
      </c>
    </row>
    <row r="8424" spans="1:12">
      <c r="J8424" s="31">
        <v>39</v>
      </c>
      <c r="K8424" s="33" t="s">
        <v>110</v>
      </c>
      <c r="L8424" s="31" t="str">
        <f t="shared" si="813"/>
        <v>Tiga Puluh Sembilan</v>
      </c>
    </row>
    <row r="8425" spans="1:12">
      <c r="B8425" s="35"/>
      <c r="C8425" s="35"/>
      <c r="D8425" s="35"/>
      <c r="J8425" s="31">
        <v>40</v>
      </c>
      <c r="K8425" s="33" t="s">
        <v>111</v>
      </c>
      <c r="L8425" s="31" t="s">
        <v>112</v>
      </c>
    </row>
    <row r="8426" spans="1:12">
      <c r="A8426" s="35"/>
      <c r="B8426" s="35"/>
      <c r="C8426" s="35"/>
      <c r="D8426" s="35"/>
      <c r="J8426" s="31">
        <v>41</v>
      </c>
      <c r="K8426" s="33" t="s">
        <v>113</v>
      </c>
      <c r="L8426" s="31" t="str">
        <f t="shared" ref="L8426:L8434" si="814">$L$43&amp;" "&amp;L8386</f>
        <v>Empat Puluh Satu</v>
      </c>
    </row>
    <row r="8427" spans="1:12">
      <c r="J8427" s="31">
        <v>42</v>
      </c>
      <c r="K8427" s="33" t="s">
        <v>114</v>
      </c>
      <c r="L8427" s="31" t="str">
        <f t="shared" si="814"/>
        <v>Empat Puluh Dua</v>
      </c>
    </row>
    <row r="8428" spans="1:12">
      <c r="A8428" s="38"/>
      <c r="J8428" s="31">
        <v>43</v>
      </c>
      <c r="K8428" s="33" t="s">
        <v>115</v>
      </c>
      <c r="L8428" s="31" t="str">
        <f t="shared" si="814"/>
        <v>Empat Puluh Tiga</v>
      </c>
    </row>
    <row r="8429" spans="1:12">
      <c r="J8429" s="31">
        <v>44</v>
      </c>
      <c r="K8429" s="33" t="s">
        <v>116</v>
      </c>
      <c r="L8429" s="31" t="str">
        <f t="shared" si="814"/>
        <v>Empat Puluh Empat</v>
      </c>
    </row>
    <row r="8430" spans="1:12">
      <c r="J8430" s="31">
        <v>45</v>
      </c>
      <c r="K8430" s="33" t="s">
        <v>117</v>
      </c>
      <c r="L8430" s="31" t="str">
        <f t="shared" si="814"/>
        <v>Empat Puluh Lima</v>
      </c>
    </row>
    <row r="8431" spans="1:12">
      <c r="J8431" s="31">
        <v>46</v>
      </c>
      <c r="K8431" s="33" t="s">
        <v>118</v>
      </c>
      <c r="L8431" s="31" t="str">
        <f t="shared" si="814"/>
        <v>Empat Puluh Enam</v>
      </c>
    </row>
    <row r="8432" spans="1:12">
      <c r="J8432" s="31">
        <v>47</v>
      </c>
      <c r="K8432" s="33" t="s">
        <v>119</v>
      </c>
      <c r="L8432" s="31" t="str">
        <f t="shared" si="814"/>
        <v>Empat Puluh Tujuh</v>
      </c>
    </row>
    <row r="8433" spans="10:12">
      <c r="J8433" s="31">
        <v>48</v>
      </c>
      <c r="K8433" s="33" t="s">
        <v>120</v>
      </c>
      <c r="L8433" s="31" t="str">
        <f t="shared" si="814"/>
        <v>Empat Puluh Delapan</v>
      </c>
    </row>
    <row r="8434" spans="10:12">
      <c r="J8434" s="31">
        <v>49</v>
      </c>
      <c r="K8434" s="33" t="s">
        <v>121</v>
      </c>
      <c r="L8434" s="31" t="str">
        <f t="shared" si="814"/>
        <v>Empat Puluh Sembilan</v>
      </c>
    </row>
    <row r="8435" spans="10:12">
      <c r="J8435" s="31">
        <v>50</v>
      </c>
      <c r="K8435" s="33" t="s">
        <v>122</v>
      </c>
      <c r="L8435" s="31" t="s">
        <v>123</v>
      </c>
    </row>
    <row r="8436" spans="10:12">
      <c r="J8436" s="31">
        <v>51</v>
      </c>
      <c r="K8436" s="33" t="s">
        <v>124</v>
      </c>
      <c r="L8436" s="31" t="str">
        <f t="shared" ref="L8436:L8444" si="815">$L$53&amp;" "&amp;L8386</f>
        <v>Lima Puluh Satu</v>
      </c>
    </row>
    <row r="8437" spans="10:12">
      <c r="J8437" s="31">
        <v>52</v>
      </c>
      <c r="K8437" s="33" t="s">
        <v>125</v>
      </c>
      <c r="L8437" s="31" t="str">
        <f t="shared" si="815"/>
        <v>Lima Puluh Dua</v>
      </c>
    </row>
    <row r="8438" spans="10:12">
      <c r="J8438" s="31">
        <v>53</v>
      </c>
      <c r="K8438" s="33" t="s">
        <v>126</v>
      </c>
      <c r="L8438" s="31" t="str">
        <f t="shared" si="815"/>
        <v>Lima Puluh Tiga</v>
      </c>
    </row>
    <row r="8439" spans="10:12">
      <c r="J8439" s="31">
        <v>54</v>
      </c>
      <c r="K8439" s="33" t="s">
        <v>127</v>
      </c>
      <c r="L8439" s="31" t="str">
        <f t="shared" si="815"/>
        <v>Lima Puluh Empat</v>
      </c>
    </row>
    <row r="8440" spans="10:12">
      <c r="J8440" s="31">
        <v>55</v>
      </c>
      <c r="K8440" s="33" t="s">
        <v>128</v>
      </c>
      <c r="L8440" s="31" t="str">
        <f t="shared" si="815"/>
        <v>Lima Puluh Lima</v>
      </c>
    </row>
    <row r="8441" spans="10:12">
      <c r="J8441" s="31">
        <v>56</v>
      </c>
      <c r="K8441" s="33" t="s">
        <v>129</v>
      </c>
      <c r="L8441" s="31" t="str">
        <f t="shared" si="815"/>
        <v>Lima Puluh Enam</v>
      </c>
    </row>
    <row r="8442" spans="10:12">
      <c r="J8442" s="31">
        <v>57</v>
      </c>
      <c r="K8442" s="33" t="s">
        <v>130</v>
      </c>
      <c r="L8442" s="31" t="str">
        <f t="shared" si="815"/>
        <v>Lima Puluh Tujuh</v>
      </c>
    </row>
    <row r="8443" spans="10:12">
      <c r="J8443" s="31">
        <v>58</v>
      </c>
      <c r="K8443" s="33" t="s">
        <v>131</v>
      </c>
      <c r="L8443" s="31" t="str">
        <f t="shared" si="815"/>
        <v>Lima Puluh Delapan</v>
      </c>
    </row>
    <row r="8444" spans="10:12">
      <c r="J8444" s="31">
        <v>59</v>
      </c>
      <c r="K8444" s="33" t="s">
        <v>132</v>
      </c>
      <c r="L8444" s="31" t="str">
        <f t="shared" si="815"/>
        <v>Lima Puluh Sembilan</v>
      </c>
    </row>
    <row r="8445" spans="10:12">
      <c r="J8445" s="31">
        <v>60</v>
      </c>
      <c r="K8445" s="33" t="s">
        <v>133</v>
      </c>
      <c r="L8445" s="31" t="s">
        <v>134</v>
      </c>
    </row>
    <row r="8446" spans="10:12">
      <c r="J8446" s="31">
        <v>61</v>
      </c>
      <c r="K8446" s="33" t="s">
        <v>135</v>
      </c>
      <c r="L8446" s="31" t="str">
        <f t="shared" ref="L8446:L8454" si="816">$L$63&amp;" "&amp;L8386</f>
        <v>Enam Puluh Satu</v>
      </c>
    </row>
    <row r="8447" spans="10:12">
      <c r="J8447" s="31">
        <v>62</v>
      </c>
      <c r="K8447" s="33" t="s">
        <v>136</v>
      </c>
      <c r="L8447" s="31" t="str">
        <f t="shared" si="816"/>
        <v>Enam Puluh Dua</v>
      </c>
    </row>
    <row r="8448" spans="10:12">
      <c r="J8448" s="31">
        <v>63</v>
      </c>
      <c r="K8448" s="33" t="s">
        <v>137</v>
      </c>
      <c r="L8448" s="31" t="str">
        <f t="shared" si="816"/>
        <v>Enam Puluh Tiga</v>
      </c>
    </row>
    <row r="8449" spans="10:12">
      <c r="J8449" s="31">
        <v>64</v>
      </c>
      <c r="K8449" s="33" t="s">
        <v>138</v>
      </c>
      <c r="L8449" s="31" t="str">
        <f t="shared" si="816"/>
        <v>Enam Puluh Empat</v>
      </c>
    </row>
    <row r="8450" spans="10:12">
      <c r="J8450" s="31">
        <v>65</v>
      </c>
      <c r="K8450" s="33" t="s">
        <v>139</v>
      </c>
      <c r="L8450" s="31" t="str">
        <f t="shared" si="816"/>
        <v>Enam Puluh Lima</v>
      </c>
    </row>
    <row r="8451" spans="10:12">
      <c r="J8451" s="31">
        <v>66</v>
      </c>
      <c r="K8451" s="33" t="s">
        <v>140</v>
      </c>
      <c r="L8451" s="31" t="str">
        <f t="shared" si="816"/>
        <v>Enam Puluh Enam</v>
      </c>
    </row>
    <row r="8452" spans="10:12">
      <c r="J8452" s="31">
        <v>67</v>
      </c>
      <c r="K8452" s="33" t="s">
        <v>141</v>
      </c>
      <c r="L8452" s="31" t="str">
        <f t="shared" si="816"/>
        <v>Enam Puluh Tujuh</v>
      </c>
    </row>
    <row r="8453" spans="10:12">
      <c r="J8453" s="31">
        <v>68</v>
      </c>
      <c r="K8453" s="33" t="s">
        <v>142</v>
      </c>
      <c r="L8453" s="31" t="str">
        <f t="shared" si="816"/>
        <v>Enam Puluh Delapan</v>
      </c>
    </row>
    <row r="8454" spans="10:12">
      <c r="J8454" s="31">
        <v>69</v>
      </c>
      <c r="K8454" s="33" t="s">
        <v>143</v>
      </c>
      <c r="L8454" s="31" t="str">
        <f t="shared" si="816"/>
        <v>Enam Puluh Sembilan</v>
      </c>
    </row>
    <row r="8455" spans="10:12">
      <c r="J8455" s="31">
        <v>70</v>
      </c>
      <c r="K8455" s="33" t="s">
        <v>144</v>
      </c>
      <c r="L8455" s="31" t="s">
        <v>145</v>
      </c>
    </row>
    <row r="8456" spans="10:12">
      <c r="J8456" s="31">
        <v>71</v>
      </c>
      <c r="K8456" s="33" t="s">
        <v>146</v>
      </c>
      <c r="L8456" s="31" t="str">
        <f t="shared" ref="L8456:L8464" si="817">$L$73&amp;" "&amp;L8386</f>
        <v>Tujuh Puluh Satu</v>
      </c>
    </row>
    <row r="8457" spans="10:12">
      <c r="J8457" s="31">
        <v>72</v>
      </c>
      <c r="K8457" s="33" t="s">
        <v>147</v>
      </c>
      <c r="L8457" s="31" t="str">
        <f t="shared" si="817"/>
        <v>Tujuh Puluh Dua</v>
      </c>
    </row>
    <row r="8458" spans="10:12">
      <c r="J8458" s="31">
        <v>73</v>
      </c>
      <c r="K8458" s="33" t="s">
        <v>148</v>
      </c>
      <c r="L8458" s="31" t="str">
        <f t="shared" si="817"/>
        <v>Tujuh Puluh Tiga</v>
      </c>
    </row>
    <row r="8459" spans="10:12">
      <c r="J8459" s="31">
        <v>74</v>
      </c>
      <c r="K8459" s="33" t="s">
        <v>149</v>
      </c>
      <c r="L8459" s="31" t="str">
        <f t="shared" si="817"/>
        <v>Tujuh Puluh Empat</v>
      </c>
    </row>
    <row r="8460" spans="10:12">
      <c r="J8460" s="31">
        <v>75</v>
      </c>
      <c r="K8460" s="33" t="s">
        <v>150</v>
      </c>
      <c r="L8460" s="31" t="str">
        <f t="shared" si="817"/>
        <v>Tujuh Puluh Lima</v>
      </c>
    </row>
    <row r="8461" spans="10:12">
      <c r="J8461" s="31">
        <v>76</v>
      </c>
      <c r="K8461" s="33" t="s">
        <v>151</v>
      </c>
      <c r="L8461" s="31" t="str">
        <f t="shared" si="817"/>
        <v>Tujuh Puluh Enam</v>
      </c>
    </row>
    <row r="8462" spans="10:12">
      <c r="J8462" s="31">
        <v>77</v>
      </c>
      <c r="K8462" s="33" t="s">
        <v>152</v>
      </c>
      <c r="L8462" s="31" t="str">
        <f t="shared" si="817"/>
        <v>Tujuh Puluh Tujuh</v>
      </c>
    </row>
    <row r="8463" spans="10:12">
      <c r="J8463" s="31">
        <v>78</v>
      </c>
      <c r="K8463" s="33" t="s">
        <v>153</v>
      </c>
      <c r="L8463" s="31" t="str">
        <f t="shared" si="817"/>
        <v>Tujuh Puluh Delapan</v>
      </c>
    </row>
    <row r="8464" spans="10:12">
      <c r="J8464" s="31">
        <v>79</v>
      </c>
      <c r="K8464" s="33" t="s">
        <v>154</v>
      </c>
      <c r="L8464" s="31" t="str">
        <f t="shared" si="817"/>
        <v>Tujuh Puluh Sembilan</v>
      </c>
    </row>
    <row r="8465" spans="10:12">
      <c r="J8465" s="31">
        <v>80</v>
      </c>
      <c r="K8465" s="33" t="s">
        <v>155</v>
      </c>
      <c r="L8465" s="31" t="s">
        <v>156</v>
      </c>
    </row>
    <row r="8466" spans="10:12">
      <c r="J8466" s="31">
        <v>81</v>
      </c>
      <c r="K8466" s="33" t="s">
        <v>157</v>
      </c>
      <c r="L8466" s="31" t="str">
        <f t="shared" ref="L8466:L8474" si="818">$L$83&amp;" "&amp;L8386</f>
        <v>Delapan Puluh Satu</v>
      </c>
    </row>
    <row r="8467" spans="10:12">
      <c r="J8467" s="31">
        <v>82</v>
      </c>
      <c r="K8467" s="33" t="s">
        <v>158</v>
      </c>
      <c r="L8467" s="31" t="str">
        <f t="shared" si="818"/>
        <v>Delapan Puluh Dua</v>
      </c>
    </row>
    <row r="8468" spans="10:12">
      <c r="J8468" s="31">
        <v>83</v>
      </c>
      <c r="K8468" s="33" t="s">
        <v>159</v>
      </c>
      <c r="L8468" s="31" t="str">
        <f t="shared" si="818"/>
        <v>Delapan Puluh Tiga</v>
      </c>
    </row>
    <row r="8469" spans="10:12">
      <c r="J8469" s="31">
        <v>84</v>
      </c>
      <c r="K8469" s="33" t="s">
        <v>160</v>
      </c>
      <c r="L8469" s="31" t="str">
        <f t="shared" si="818"/>
        <v>Delapan Puluh Empat</v>
      </c>
    </row>
    <row r="8470" spans="10:12">
      <c r="J8470" s="31">
        <v>85</v>
      </c>
      <c r="K8470" s="33" t="s">
        <v>161</v>
      </c>
      <c r="L8470" s="31" t="str">
        <f t="shared" si="818"/>
        <v>Delapan Puluh Lima</v>
      </c>
    </row>
    <row r="8471" spans="10:12">
      <c r="J8471" s="31">
        <v>86</v>
      </c>
      <c r="K8471" s="33" t="s">
        <v>162</v>
      </c>
      <c r="L8471" s="31" t="str">
        <f t="shared" si="818"/>
        <v>Delapan Puluh Enam</v>
      </c>
    </row>
    <row r="8472" spans="10:12">
      <c r="J8472" s="31">
        <v>87</v>
      </c>
      <c r="K8472" s="33" t="s">
        <v>163</v>
      </c>
      <c r="L8472" s="31" t="str">
        <f t="shared" si="818"/>
        <v>Delapan Puluh Tujuh</v>
      </c>
    </row>
    <row r="8473" spans="10:12">
      <c r="J8473" s="31">
        <v>88</v>
      </c>
      <c r="K8473" s="33" t="s">
        <v>164</v>
      </c>
      <c r="L8473" s="31" t="str">
        <f t="shared" si="818"/>
        <v>Delapan Puluh Delapan</v>
      </c>
    </row>
    <row r="8474" spans="10:12">
      <c r="J8474" s="31">
        <v>89</v>
      </c>
      <c r="K8474" s="33" t="s">
        <v>165</v>
      </c>
      <c r="L8474" s="31" t="str">
        <f t="shared" si="818"/>
        <v>Delapan Puluh Sembilan</v>
      </c>
    </row>
    <row r="8475" spans="10:12">
      <c r="J8475" s="31">
        <v>90</v>
      </c>
      <c r="K8475" s="33" t="s">
        <v>166</v>
      </c>
      <c r="L8475" s="31" t="s">
        <v>167</v>
      </c>
    </row>
    <row r="8476" spans="10:12">
      <c r="J8476" s="31">
        <v>91</v>
      </c>
      <c r="K8476" s="33" t="s">
        <v>168</v>
      </c>
      <c r="L8476" s="31" t="str">
        <f t="shared" ref="L8476:L8484" si="819">$L$93&amp;" "&amp;L8386</f>
        <v>Sembilan Puluh Satu</v>
      </c>
    </row>
    <row r="8477" spans="10:12">
      <c r="J8477" s="31">
        <v>92</v>
      </c>
      <c r="K8477" s="33" t="s">
        <v>169</v>
      </c>
      <c r="L8477" s="31" t="str">
        <f t="shared" si="819"/>
        <v>Sembilan Puluh Dua</v>
      </c>
    </row>
    <row r="8478" spans="10:12">
      <c r="J8478" s="31">
        <v>93</v>
      </c>
      <c r="K8478" s="33" t="s">
        <v>170</v>
      </c>
      <c r="L8478" s="31" t="str">
        <f t="shared" si="819"/>
        <v>Sembilan Puluh Tiga</v>
      </c>
    </row>
    <row r="8479" spans="10:12">
      <c r="J8479" s="31">
        <v>94</v>
      </c>
      <c r="K8479" s="33" t="s">
        <v>171</v>
      </c>
      <c r="L8479" s="31" t="str">
        <f t="shared" si="819"/>
        <v>Sembilan Puluh Empat</v>
      </c>
    </row>
    <row r="8480" spans="10:12">
      <c r="J8480" s="31">
        <v>95</v>
      </c>
      <c r="K8480" s="33" t="s">
        <v>172</v>
      </c>
      <c r="L8480" s="31" t="str">
        <f t="shared" si="819"/>
        <v>Sembilan Puluh Lima</v>
      </c>
    </row>
    <row r="8481" spans="1:12">
      <c r="J8481" s="31">
        <v>96</v>
      </c>
      <c r="K8481" s="33" t="s">
        <v>173</v>
      </c>
      <c r="L8481" s="31" t="str">
        <f t="shared" si="819"/>
        <v>Sembilan Puluh Enam</v>
      </c>
    </row>
    <row r="8482" spans="1:12">
      <c r="J8482" s="31">
        <v>97</v>
      </c>
      <c r="K8482" s="33" t="s">
        <v>174</v>
      </c>
      <c r="L8482" s="31" t="str">
        <f t="shared" si="819"/>
        <v>Sembilan Puluh Tujuh</v>
      </c>
    </row>
    <row r="8483" spans="1:12">
      <c r="J8483" s="31">
        <v>98</v>
      </c>
      <c r="K8483" s="33" t="s">
        <v>175</v>
      </c>
      <c r="L8483" s="31" t="str">
        <f t="shared" si="819"/>
        <v>Sembilan Puluh Delapan</v>
      </c>
    </row>
    <row r="8484" spans="1:12">
      <c r="J8484" s="31">
        <v>99</v>
      </c>
      <c r="K8484" s="33" t="s">
        <v>176</v>
      </c>
      <c r="L8484" s="31" t="str">
        <f t="shared" si="819"/>
        <v>Sembilan Puluh Sembilan</v>
      </c>
    </row>
    <row r="8487" spans="1:12">
      <c r="A8487" s="30" t="e">
        <f>#REF!</f>
        <v>#REF!</v>
      </c>
      <c r="C8487" s="31" t="s">
        <v>281</v>
      </c>
    </row>
    <row r="8488" spans="1:12">
      <c r="A8488" s="32"/>
    </row>
    <row r="8489" spans="1:12">
      <c r="J8489" s="31">
        <v>0</v>
      </c>
      <c r="K8489" s="33" t="s">
        <v>48</v>
      </c>
      <c r="L8489" s="31" t="s">
        <v>49</v>
      </c>
    </row>
    <row r="8490" spans="1:12">
      <c r="A8490" s="34"/>
      <c r="J8490" s="31">
        <v>1</v>
      </c>
      <c r="K8490" s="33" t="s">
        <v>50</v>
      </c>
      <c r="L8490" s="31" t="s">
        <v>51</v>
      </c>
    </row>
    <row r="8491" spans="1:12">
      <c r="A8491" s="255" t="e">
        <f>TRIM(D8499&amp;E8499&amp;D8500&amp;E8500&amp;D8501&amp;E8501&amp;D8502&amp;E8502&amp;D8503&amp;E8503&amp;D8504&amp;E8504&amp;E8505&amp;D8505&amp;" Only")</f>
        <v>#REF!</v>
      </c>
      <c r="B8491" s="255"/>
      <c r="C8491" s="255"/>
      <c r="D8491" s="255"/>
      <c r="E8491" s="35"/>
      <c r="F8491" s="36"/>
      <c r="J8491" s="31">
        <v>2</v>
      </c>
      <c r="K8491" s="33" t="s">
        <v>52</v>
      </c>
      <c r="L8491" s="31" t="s">
        <v>53</v>
      </c>
    </row>
    <row r="8492" spans="1:12">
      <c r="A8492" s="37"/>
      <c r="B8492" s="37"/>
      <c r="C8492" s="37"/>
      <c r="D8492" s="37"/>
      <c r="E8492" s="35"/>
      <c r="F8492" s="36"/>
      <c r="J8492" s="31">
        <v>3</v>
      </c>
      <c r="K8492" s="33" t="s">
        <v>54</v>
      </c>
      <c r="L8492" s="31" t="s">
        <v>55</v>
      </c>
    </row>
    <row r="8493" spans="1:12">
      <c r="A8493" s="37"/>
      <c r="B8493" s="37"/>
      <c r="C8493" s="37"/>
      <c r="D8493" s="37"/>
      <c r="J8493" s="31">
        <v>4</v>
      </c>
      <c r="K8493" s="33" t="s">
        <v>56</v>
      </c>
      <c r="L8493" s="31" t="s">
        <v>57</v>
      </c>
    </row>
    <row r="8494" spans="1:12">
      <c r="A8494" s="255" t="e">
        <f>TRIM(D8509&amp;E8509&amp;D8510&amp;E8510&amp;D8511&amp;E8511&amp;D8512&amp;E8512&amp;D8513&amp;E8513&amp;D8514&amp;E8514&amp;D8515&amp;E8515&amp;" Rupiah")</f>
        <v>#REF!</v>
      </c>
      <c r="B8494" s="255"/>
      <c r="C8494" s="255"/>
      <c r="D8494" s="255"/>
      <c r="E8494" s="35"/>
      <c r="F8494" s="36"/>
      <c r="J8494" s="31">
        <v>5</v>
      </c>
      <c r="K8494" s="33" t="s">
        <v>58</v>
      </c>
      <c r="L8494" s="31" t="s">
        <v>59</v>
      </c>
    </row>
    <row r="8495" spans="1:12">
      <c r="A8495" s="35"/>
      <c r="B8495" s="35"/>
      <c r="C8495" s="35"/>
      <c r="D8495" s="35"/>
      <c r="E8495" s="35"/>
      <c r="F8495" s="36"/>
      <c r="J8495" s="31">
        <v>6</v>
      </c>
      <c r="K8495" s="33" t="s">
        <v>60</v>
      </c>
      <c r="L8495" s="31" t="s">
        <v>61</v>
      </c>
    </row>
    <row r="8496" spans="1:12">
      <c r="J8496" s="31">
        <v>7</v>
      </c>
      <c r="K8496" s="33" t="s">
        <v>62</v>
      </c>
      <c r="L8496" s="31" t="s">
        <v>63</v>
      </c>
    </row>
    <row r="8497" spans="1:12">
      <c r="J8497" s="31">
        <v>8</v>
      </c>
      <c r="K8497" s="33" t="s">
        <v>64</v>
      </c>
      <c r="L8497" s="31" t="s">
        <v>65</v>
      </c>
    </row>
    <row r="8498" spans="1:12">
      <c r="A8498" s="38" t="s">
        <v>66</v>
      </c>
      <c r="J8498" s="31">
        <v>9</v>
      </c>
      <c r="K8498" s="33" t="s">
        <v>67</v>
      </c>
      <c r="L8498" s="31" t="s">
        <v>68</v>
      </c>
    </row>
    <row r="8499" spans="1:12">
      <c r="A8499" s="31" t="s">
        <v>69</v>
      </c>
      <c r="B8499" s="39" t="e">
        <f>TRUNC(A8487/100000000)</f>
        <v>#REF!</v>
      </c>
      <c r="C8499" s="31" t="e">
        <f>B8499*100000000</f>
        <v>#REF!</v>
      </c>
      <c r="D8499" s="31" t="e">
        <f t="shared" ref="D8499:D8505" si="820">IF(B8499&lt;1,"",VLOOKUP(B8499,$J$3:$K$102,2))</f>
        <v>#REF!</v>
      </c>
      <c r="E8499" s="31" t="e">
        <f>IF(B8499&lt;1,"",IF(B8499&gt;1," Hundreds "," Hundred "))</f>
        <v>#REF!</v>
      </c>
      <c r="J8499" s="31">
        <v>10</v>
      </c>
      <c r="K8499" s="33" t="s">
        <v>70</v>
      </c>
      <c r="L8499" s="31" t="s">
        <v>71</v>
      </c>
    </row>
    <row r="8500" spans="1:12">
      <c r="A8500" s="31" t="s">
        <v>72</v>
      </c>
      <c r="B8500" s="39" t="e">
        <f>TRUNC((A8487-C8499)/1000000)</f>
        <v>#REF!</v>
      </c>
      <c r="C8500" s="31" t="e">
        <f>B8500*1000000</f>
        <v>#REF!</v>
      </c>
      <c r="D8500" s="31" t="e">
        <f t="shared" si="820"/>
        <v>#REF!</v>
      </c>
      <c r="E8500" s="31" t="e">
        <f>IF(B8499+B8500=0,"",IF(B8500=1," Million "," Millions "))</f>
        <v>#REF!</v>
      </c>
      <c r="J8500" s="31">
        <v>11</v>
      </c>
      <c r="K8500" s="33" t="s">
        <v>73</v>
      </c>
      <c r="L8500" s="31" t="s">
        <v>74</v>
      </c>
    </row>
    <row r="8501" spans="1:12">
      <c r="A8501" s="31" t="s">
        <v>75</v>
      </c>
      <c r="B8501" s="39" t="e">
        <f>TRUNC((A8487-SUM(C8499:C8500))/100000)</f>
        <v>#REF!</v>
      </c>
      <c r="C8501" s="31" t="e">
        <f>B8501*100000</f>
        <v>#REF!</v>
      </c>
      <c r="D8501" s="31" t="e">
        <f t="shared" si="820"/>
        <v>#REF!</v>
      </c>
      <c r="E8501" s="31" t="e">
        <f>IF(B8501&lt;1,"",IF(B8501&gt;1," Hundreds "," Hundred "))</f>
        <v>#REF!</v>
      </c>
      <c r="J8501" s="31">
        <v>12</v>
      </c>
      <c r="K8501" s="33" t="s">
        <v>76</v>
      </c>
      <c r="L8501" s="31" t="str">
        <f t="shared" ref="L8501:L8508" si="821">L8491&amp;" Belas"</f>
        <v>Dua Belas</v>
      </c>
    </row>
    <row r="8502" spans="1:12">
      <c r="A8502" s="33" t="s">
        <v>77</v>
      </c>
      <c r="B8502" s="40" t="e">
        <f>TRUNC((A8487-SUM(C8499:C8501))/1000)</f>
        <v>#REF!</v>
      </c>
      <c r="C8502" s="31" t="e">
        <f>B8502*1000</f>
        <v>#REF!</v>
      </c>
      <c r="D8502" s="31" t="e">
        <f t="shared" si="820"/>
        <v>#REF!</v>
      </c>
      <c r="E8502" s="31" t="e">
        <f>IF(B8501+B8502=0,"",IF(B8502=1," Thousand "," Thousands "))</f>
        <v>#REF!</v>
      </c>
      <c r="J8502" s="31">
        <v>13</v>
      </c>
      <c r="K8502" s="33" t="s">
        <v>78</v>
      </c>
      <c r="L8502" s="31" t="str">
        <f t="shared" si="821"/>
        <v>Tiga Belas</v>
      </c>
    </row>
    <row r="8503" spans="1:12">
      <c r="A8503" s="33" t="s">
        <v>79</v>
      </c>
      <c r="B8503" s="40" t="e">
        <f>TRUNC((A8487-SUM(C8499:C8502))/100)</f>
        <v>#REF!</v>
      </c>
      <c r="C8503" s="31" t="e">
        <f>B8503*100</f>
        <v>#REF!</v>
      </c>
      <c r="D8503" s="31" t="e">
        <f t="shared" si="820"/>
        <v>#REF!</v>
      </c>
      <c r="E8503" s="31" t="e">
        <f>IF(B8503&lt;1,"",IF(B8503&gt;1," Hundreds "," Hundred "))</f>
        <v>#REF!</v>
      </c>
      <c r="J8503" s="31">
        <v>14</v>
      </c>
      <c r="K8503" s="33" t="s">
        <v>80</v>
      </c>
      <c r="L8503" s="31" t="str">
        <f t="shared" si="821"/>
        <v>Empat Belas</v>
      </c>
    </row>
    <row r="8504" spans="1:12">
      <c r="A8504" s="33" t="s">
        <v>81</v>
      </c>
      <c r="B8504" s="41" t="e">
        <f>TRUNC((A8487-SUM(C8499:C8503)))</f>
        <v>#REF!</v>
      </c>
      <c r="C8504" s="42" t="e">
        <f>B8504</f>
        <v>#REF!</v>
      </c>
      <c r="D8504" s="31" t="e">
        <f t="shared" si="820"/>
        <v>#REF!</v>
      </c>
      <c r="E8504" s="31" t="e">
        <f>IF(SUM(C8499:C8504)&lt;1,"",IF(B8505&lt;1,""," And "))</f>
        <v>#REF!</v>
      </c>
      <c r="J8504" s="31">
        <v>15</v>
      </c>
      <c r="K8504" s="33" t="s">
        <v>82</v>
      </c>
      <c r="L8504" s="31" t="str">
        <f t="shared" si="821"/>
        <v>Lima Belas</v>
      </c>
    </row>
    <row r="8505" spans="1:12">
      <c r="A8505" s="33" t="s">
        <v>83</v>
      </c>
      <c r="B8505" s="40" t="e">
        <f>ROUND(A8487-SUM(C8499:C8504),2)*100</f>
        <v>#REF!</v>
      </c>
      <c r="D8505" s="43" t="e">
        <f t="shared" si="820"/>
        <v>#REF!</v>
      </c>
      <c r="E8505" s="31" t="e">
        <f>IF(B8505&lt;1,"",IF(B8505=1," Cent "," Cents "))</f>
        <v>#REF!</v>
      </c>
      <c r="J8505" s="31">
        <v>16</v>
      </c>
      <c r="K8505" s="33" t="s">
        <v>84</v>
      </c>
      <c r="L8505" s="31" t="str">
        <f t="shared" si="821"/>
        <v>Enam Belas</v>
      </c>
    </row>
    <row r="8506" spans="1:12">
      <c r="J8506" s="31">
        <v>17</v>
      </c>
      <c r="K8506" s="33" t="s">
        <v>85</v>
      </c>
      <c r="L8506" s="31" t="str">
        <f t="shared" si="821"/>
        <v>Tujuh Belas</v>
      </c>
    </row>
    <row r="8507" spans="1:12">
      <c r="A8507" s="44"/>
      <c r="J8507" s="31">
        <v>18</v>
      </c>
      <c r="K8507" s="33" t="s">
        <v>86</v>
      </c>
      <c r="L8507" s="31" t="str">
        <f t="shared" si="821"/>
        <v>Delapan Belas</v>
      </c>
    </row>
    <row r="8508" spans="1:12">
      <c r="A8508" s="38" t="s">
        <v>87</v>
      </c>
      <c r="J8508" s="31">
        <v>19</v>
      </c>
      <c r="K8508" s="33" t="s">
        <v>88</v>
      </c>
      <c r="L8508" s="31" t="str">
        <f t="shared" si="821"/>
        <v>Sembilan Belas</v>
      </c>
    </row>
    <row r="8509" spans="1:12">
      <c r="A8509" s="31" t="s">
        <v>69</v>
      </c>
      <c r="B8509" s="39" t="e">
        <f>TRUNC(A8487/100000000)</f>
        <v>#REF!</v>
      </c>
      <c r="C8509" s="31" t="e">
        <f>B8509*100000000</f>
        <v>#REF!</v>
      </c>
      <c r="D8509" s="31" t="e">
        <f>IF(B8509&lt;1,"",IF(B8509=1,"",VLOOKUP(B8509,$J$3:$L$102,3)))</f>
        <v>#REF!</v>
      </c>
      <c r="E8509" s="31" t="e">
        <f>IF(B8509&lt;1,"",IF(B8509=1,"Seratus "," Ratus "))</f>
        <v>#REF!</v>
      </c>
      <c r="J8509" s="31">
        <v>20</v>
      </c>
      <c r="K8509" s="33" t="s">
        <v>89</v>
      </c>
      <c r="L8509" s="31" t="s">
        <v>90</v>
      </c>
    </row>
    <row r="8510" spans="1:12">
      <c r="A8510" s="31" t="s">
        <v>72</v>
      </c>
      <c r="B8510" s="39" t="e">
        <f>TRUNC((A8487-C8509)/1000000)</f>
        <v>#REF!</v>
      </c>
      <c r="C8510" s="31" t="e">
        <f>B8510*1000000</f>
        <v>#REF!</v>
      </c>
      <c r="D8510" s="31" t="e">
        <f>IF(B8510&lt;1,"",VLOOKUP(B8510,$J$3:$L$102,3))</f>
        <v>#REF!</v>
      </c>
      <c r="E8510" s="31" t="e">
        <f>IF(B8509+B8510=0,""," Juta ")</f>
        <v>#REF!</v>
      </c>
      <c r="J8510" s="31">
        <v>21</v>
      </c>
      <c r="K8510" s="33" t="s">
        <v>91</v>
      </c>
      <c r="L8510" s="31" t="str">
        <f t="shared" ref="L8510:L8518" si="822">$L$23&amp;" "&amp;L8490</f>
        <v>Dua Puluh Satu</v>
      </c>
    </row>
    <row r="8511" spans="1:12">
      <c r="A8511" s="31" t="s">
        <v>75</v>
      </c>
      <c r="B8511" s="39" t="e">
        <f>TRUNC((A8487-SUM(C8509:C8510))/100000)</f>
        <v>#REF!</v>
      </c>
      <c r="C8511" s="31" t="e">
        <f>B8511*100000</f>
        <v>#REF!</v>
      </c>
      <c r="D8511" s="31" t="e">
        <f>IF(B8511&lt;1,"",IF(B8511=1,"",VLOOKUP(B8511,$J$3:$L$102,3)))</f>
        <v>#REF!</v>
      </c>
      <c r="E8511" s="31" t="e">
        <f>IF(B8511&lt;1,"",IF(B8511=1," Seratus "," Ratus "))</f>
        <v>#REF!</v>
      </c>
      <c r="J8511" s="31">
        <v>22</v>
      </c>
      <c r="K8511" s="33" t="s">
        <v>92</v>
      </c>
      <c r="L8511" s="31" t="str">
        <f t="shared" si="822"/>
        <v>Dua Puluh Dua</v>
      </c>
    </row>
    <row r="8512" spans="1:12">
      <c r="A8512" s="33" t="s">
        <v>77</v>
      </c>
      <c r="B8512" s="40" t="e">
        <f>TRUNC((A8487-SUM(C8509:C8511))/1000)</f>
        <v>#REF!</v>
      </c>
      <c r="C8512" s="31" t="e">
        <f>B8512*1000</f>
        <v>#REF!</v>
      </c>
      <c r="D8512" s="31" t="e">
        <f>IF(B8512&lt;1,"",IF(B8512=1,"",VLOOKUP(B8512,$J$3:$L$102,3)))</f>
        <v>#REF!</v>
      </c>
      <c r="E8512" s="31" t="e">
        <f>IF(B8511+B8512&lt;1,"",IF(B8512=1," Seribu "," Ribu "))</f>
        <v>#REF!</v>
      </c>
      <c r="J8512" s="31">
        <v>23</v>
      </c>
      <c r="K8512" s="33" t="s">
        <v>93</v>
      </c>
      <c r="L8512" s="31" t="str">
        <f t="shared" si="822"/>
        <v>Dua Puluh Tiga</v>
      </c>
    </row>
    <row r="8513" spans="1:12">
      <c r="A8513" s="33" t="s">
        <v>79</v>
      </c>
      <c r="B8513" s="40" t="e">
        <f>TRUNC((A8487-SUM(C8509:C8512))/100)</f>
        <v>#REF!</v>
      </c>
      <c r="C8513" s="31" t="e">
        <f>B8513*100</f>
        <v>#REF!</v>
      </c>
      <c r="D8513" s="31" t="e">
        <f>IF(B8513&lt;1,"",IF(B8513=1,"",VLOOKUP(B8513,$J$3:$L$102,3)))</f>
        <v>#REF!</v>
      </c>
      <c r="E8513" s="31" t="e">
        <f>IF(B8513&lt;1,"",IF(B8513=1," Seratus "," Ratus "))</f>
        <v>#REF!</v>
      </c>
      <c r="J8513" s="31">
        <v>24</v>
      </c>
      <c r="K8513" s="33" t="s">
        <v>94</v>
      </c>
      <c r="L8513" s="31" t="str">
        <f t="shared" si="822"/>
        <v>Dua Puluh Empat</v>
      </c>
    </row>
    <row r="8514" spans="1:12">
      <c r="A8514" s="33" t="s">
        <v>81</v>
      </c>
      <c r="B8514" s="41" t="e">
        <f>TRUNC((A8487-SUM(C8509:C8513)))</f>
        <v>#REF!</v>
      </c>
      <c r="C8514" s="42" t="e">
        <f>B8514</f>
        <v>#REF!</v>
      </c>
      <c r="D8514" s="31" t="e">
        <f>IF(B8514&lt;1,"",VLOOKUP(B8514,$J$3:$L$102,3))</f>
        <v>#REF!</v>
      </c>
      <c r="E8514" s="31" t="e">
        <f>IF(SUM(C8509:C8514)&lt;1,"",IF(B8515&lt;1,""," Dan "))</f>
        <v>#REF!</v>
      </c>
      <c r="J8514" s="31">
        <v>25</v>
      </c>
      <c r="K8514" s="33" t="s">
        <v>95</v>
      </c>
      <c r="L8514" s="31" t="str">
        <f t="shared" si="822"/>
        <v>Dua Puluh Lima</v>
      </c>
    </row>
    <row r="8515" spans="1:12">
      <c r="A8515" s="33" t="s">
        <v>83</v>
      </c>
      <c r="B8515" s="40" t="e">
        <f>ROUND(A8487-SUM(C8509:C8514),2)*100</f>
        <v>#REF!</v>
      </c>
      <c r="D8515" s="31" t="e">
        <f>IF(B8515&lt;1,"",VLOOKUP(B8515,$J$3:$L$102,3))</f>
        <v>#REF!</v>
      </c>
      <c r="E8515" s="31" t="e">
        <f>IF(B8515&lt;1,""," Sen ")</f>
        <v>#REF!</v>
      </c>
      <c r="J8515" s="31">
        <v>26</v>
      </c>
      <c r="K8515" s="33" t="s">
        <v>96</v>
      </c>
      <c r="L8515" s="31" t="str">
        <f t="shared" si="822"/>
        <v>Dua Puluh Enam</v>
      </c>
    </row>
    <row r="8516" spans="1:12">
      <c r="J8516" s="31">
        <v>27</v>
      </c>
      <c r="K8516" s="33" t="s">
        <v>97</v>
      </c>
      <c r="L8516" s="31" t="str">
        <f t="shared" si="822"/>
        <v>Dua Puluh Tujuh</v>
      </c>
    </row>
    <row r="8517" spans="1:12">
      <c r="J8517" s="31">
        <v>28</v>
      </c>
      <c r="K8517" s="33" t="s">
        <v>98</v>
      </c>
      <c r="L8517" s="31" t="str">
        <f t="shared" si="822"/>
        <v>Dua Puluh Delapan</v>
      </c>
    </row>
    <row r="8518" spans="1:12">
      <c r="J8518" s="31">
        <v>29</v>
      </c>
      <c r="K8518" s="33" t="s">
        <v>99</v>
      </c>
      <c r="L8518" s="31" t="str">
        <f t="shared" si="822"/>
        <v>Dua Puluh Sembilan</v>
      </c>
    </row>
    <row r="8519" spans="1:12">
      <c r="J8519" s="31">
        <v>30</v>
      </c>
      <c r="K8519" s="33" t="s">
        <v>100</v>
      </c>
      <c r="L8519" s="31" t="s">
        <v>101</v>
      </c>
    </row>
    <row r="8520" spans="1:12">
      <c r="J8520" s="31">
        <v>31</v>
      </c>
      <c r="K8520" s="33" t="s">
        <v>102</v>
      </c>
      <c r="L8520" s="31" t="str">
        <f t="shared" ref="L8520:L8528" si="823">$L$33&amp;" "&amp;L8490</f>
        <v>Tiga Puluh Satu</v>
      </c>
    </row>
    <row r="8521" spans="1:12">
      <c r="J8521" s="31">
        <v>32</v>
      </c>
      <c r="K8521" s="33" t="s">
        <v>103</v>
      </c>
      <c r="L8521" s="31" t="str">
        <f t="shared" si="823"/>
        <v>Tiga Puluh Dua</v>
      </c>
    </row>
    <row r="8522" spans="1:12">
      <c r="J8522" s="31">
        <v>33</v>
      </c>
      <c r="K8522" s="33" t="s">
        <v>104</v>
      </c>
      <c r="L8522" s="31" t="str">
        <f t="shared" si="823"/>
        <v>Tiga Puluh Tiga</v>
      </c>
    </row>
    <row r="8523" spans="1:12">
      <c r="J8523" s="31">
        <v>34</v>
      </c>
      <c r="K8523" s="33" t="s">
        <v>105</v>
      </c>
      <c r="L8523" s="31" t="str">
        <f t="shared" si="823"/>
        <v>Tiga Puluh Empat</v>
      </c>
    </row>
    <row r="8524" spans="1:12">
      <c r="J8524" s="31">
        <v>35</v>
      </c>
      <c r="K8524" s="33" t="s">
        <v>106</v>
      </c>
      <c r="L8524" s="31" t="str">
        <f t="shared" si="823"/>
        <v>Tiga Puluh Lima</v>
      </c>
    </row>
    <row r="8525" spans="1:12">
      <c r="J8525" s="31">
        <v>36</v>
      </c>
      <c r="K8525" s="33" t="s">
        <v>107</v>
      </c>
      <c r="L8525" s="31" t="str">
        <f t="shared" si="823"/>
        <v>Tiga Puluh Enam</v>
      </c>
    </row>
    <row r="8526" spans="1:12">
      <c r="J8526" s="31">
        <v>37</v>
      </c>
      <c r="K8526" s="33" t="s">
        <v>108</v>
      </c>
      <c r="L8526" s="31" t="str">
        <f t="shared" si="823"/>
        <v>Tiga Puluh Tujuh</v>
      </c>
    </row>
    <row r="8527" spans="1:12">
      <c r="J8527" s="31">
        <v>38</v>
      </c>
      <c r="K8527" s="33" t="s">
        <v>109</v>
      </c>
      <c r="L8527" s="31" t="str">
        <f t="shared" si="823"/>
        <v>Tiga Puluh Delapan</v>
      </c>
    </row>
    <row r="8528" spans="1:12">
      <c r="J8528" s="31">
        <v>39</v>
      </c>
      <c r="K8528" s="33" t="s">
        <v>110</v>
      </c>
      <c r="L8528" s="31" t="str">
        <f t="shared" si="823"/>
        <v>Tiga Puluh Sembilan</v>
      </c>
    </row>
    <row r="8529" spans="1:12">
      <c r="B8529" s="35"/>
      <c r="C8529" s="35"/>
      <c r="D8529" s="35"/>
      <c r="J8529" s="31">
        <v>40</v>
      </c>
      <c r="K8529" s="33" t="s">
        <v>111</v>
      </c>
      <c r="L8529" s="31" t="s">
        <v>112</v>
      </c>
    </row>
    <row r="8530" spans="1:12">
      <c r="A8530" s="35"/>
      <c r="B8530" s="35"/>
      <c r="C8530" s="35"/>
      <c r="D8530" s="35"/>
      <c r="J8530" s="31">
        <v>41</v>
      </c>
      <c r="K8530" s="33" t="s">
        <v>113</v>
      </c>
      <c r="L8530" s="31" t="str">
        <f t="shared" ref="L8530:L8538" si="824">$L$43&amp;" "&amp;L8490</f>
        <v>Empat Puluh Satu</v>
      </c>
    </row>
    <row r="8531" spans="1:12">
      <c r="J8531" s="31">
        <v>42</v>
      </c>
      <c r="K8531" s="33" t="s">
        <v>114</v>
      </c>
      <c r="L8531" s="31" t="str">
        <f t="shared" si="824"/>
        <v>Empat Puluh Dua</v>
      </c>
    </row>
    <row r="8532" spans="1:12">
      <c r="A8532" s="38"/>
      <c r="J8532" s="31">
        <v>43</v>
      </c>
      <c r="K8532" s="33" t="s">
        <v>115</v>
      </c>
      <c r="L8532" s="31" t="str">
        <f t="shared" si="824"/>
        <v>Empat Puluh Tiga</v>
      </c>
    </row>
    <row r="8533" spans="1:12">
      <c r="J8533" s="31">
        <v>44</v>
      </c>
      <c r="K8533" s="33" t="s">
        <v>116</v>
      </c>
      <c r="L8533" s="31" t="str">
        <f t="shared" si="824"/>
        <v>Empat Puluh Empat</v>
      </c>
    </row>
    <row r="8534" spans="1:12">
      <c r="J8534" s="31">
        <v>45</v>
      </c>
      <c r="K8534" s="33" t="s">
        <v>117</v>
      </c>
      <c r="L8534" s="31" t="str">
        <f t="shared" si="824"/>
        <v>Empat Puluh Lima</v>
      </c>
    </row>
    <row r="8535" spans="1:12">
      <c r="J8535" s="31">
        <v>46</v>
      </c>
      <c r="K8535" s="33" t="s">
        <v>118</v>
      </c>
      <c r="L8535" s="31" t="str">
        <f t="shared" si="824"/>
        <v>Empat Puluh Enam</v>
      </c>
    </row>
    <row r="8536" spans="1:12">
      <c r="J8536" s="31">
        <v>47</v>
      </c>
      <c r="K8536" s="33" t="s">
        <v>119</v>
      </c>
      <c r="L8536" s="31" t="str">
        <f t="shared" si="824"/>
        <v>Empat Puluh Tujuh</v>
      </c>
    </row>
    <row r="8537" spans="1:12">
      <c r="J8537" s="31">
        <v>48</v>
      </c>
      <c r="K8537" s="33" t="s">
        <v>120</v>
      </c>
      <c r="L8537" s="31" t="str">
        <f t="shared" si="824"/>
        <v>Empat Puluh Delapan</v>
      </c>
    </row>
    <row r="8538" spans="1:12">
      <c r="J8538" s="31">
        <v>49</v>
      </c>
      <c r="K8538" s="33" t="s">
        <v>121</v>
      </c>
      <c r="L8538" s="31" t="str">
        <f t="shared" si="824"/>
        <v>Empat Puluh Sembilan</v>
      </c>
    </row>
    <row r="8539" spans="1:12">
      <c r="J8539" s="31">
        <v>50</v>
      </c>
      <c r="K8539" s="33" t="s">
        <v>122</v>
      </c>
      <c r="L8539" s="31" t="s">
        <v>123</v>
      </c>
    </row>
    <row r="8540" spans="1:12">
      <c r="J8540" s="31">
        <v>51</v>
      </c>
      <c r="K8540" s="33" t="s">
        <v>124</v>
      </c>
      <c r="L8540" s="31" t="str">
        <f t="shared" ref="L8540:L8548" si="825">$L$53&amp;" "&amp;L8490</f>
        <v>Lima Puluh Satu</v>
      </c>
    </row>
    <row r="8541" spans="1:12">
      <c r="J8541" s="31">
        <v>52</v>
      </c>
      <c r="K8541" s="33" t="s">
        <v>125</v>
      </c>
      <c r="L8541" s="31" t="str">
        <f t="shared" si="825"/>
        <v>Lima Puluh Dua</v>
      </c>
    </row>
    <row r="8542" spans="1:12">
      <c r="J8542" s="31">
        <v>53</v>
      </c>
      <c r="K8542" s="33" t="s">
        <v>126</v>
      </c>
      <c r="L8542" s="31" t="str">
        <f t="shared" si="825"/>
        <v>Lima Puluh Tiga</v>
      </c>
    </row>
    <row r="8543" spans="1:12">
      <c r="J8543" s="31">
        <v>54</v>
      </c>
      <c r="K8543" s="33" t="s">
        <v>127</v>
      </c>
      <c r="L8543" s="31" t="str">
        <f t="shared" si="825"/>
        <v>Lima Puluh Empat</v>
      </c>
    </row>
    <row r="8544" spans="1:12">
      <c r="J8544" s="31">
        <v>55</v>
      </c>
      <c r="K8544" s="33" t="s">
        <v>128</v>
      </c>
      <c r="L8544" s="31" t="str">
        <f t="shared" si="825"/>
        <v>Lima Puluh Lima</v>
      </c>
    </row>
    <row r="8545" spans="10:12">
      <c r="J8545" s="31">
        <v>56</v>
      </c>
      <c r="K8545" s="33" t="s">
        <v>129</v>
      </c>
      <c r="L8545" s="31" t="str">
        <f t="shared" si="825"/>
        <v>Lima Puluh Enam</v>
      </c>
    </row>
    <row r="8546" spans="10:12">
      <c r="J8546" s="31">
        <v>57</v>
      </c>
      <c r="K8546" s="33" t="s">
        <v>130</v>
      </c>
      <c r="L8546" s="31" t="str">
        <f t="shared" si="825"/>
        <v>Lima Puluh Tujuh</v>
      </c>
    </row>
    <row r="8547" spans="10:12">
      <c r="J8547" s="31">
        <v>58</v>
      </c>
      <c r="K8547" s="33" t="s">
        <v>131</v>
      </c>
      <c r="L8547" s="31" t="str">
        <f t="shared" si="825"/>
        <v>Lima Puluh Delapan</v>
      </c>
    </row>
    <row r="8548" spans="10:12">
      <c r="J8548" s="31">
        <v>59</v>
      </c>
      <c r="K8548" s="33" t="s">
        <v>132</v>
      </c>
      <c r="L8548" s="31" t="str">
        <f t="shared" si="825"/>
        <v>Lima Puluh Sembilan</v>
      </c>
    </row>
    <row r="8549" spans="10:12">
      <c r="J8549" s="31">
        <v>60</v>
      </c>
      <c r="K8549" s="33" t="s">
        <v>133</v>
      </c>
      <c r="L8549" s="31" t="s">
        <v>134</v>
      </c>
    </row>
    <row r="8550" spans="10:12">
      <c r="J8550" s="31">
        <v>61</v>
      </c>
      <c r="K8550" s="33" t="s">
        <v>135</v>
      </c>
      <c r="L8550" s="31" t="str">
        <f t="shared" ref="L8550:L8558" si="826">$L$63&amp;" "&amp;L8490</f>
        <v>Enam Puluh Satu</v>
      </c>
    </row>
    <row r="8551" spans="10:12">
      <c r="J8551" s="31">
        <v>62</v>
      </c>
      <c r="K8551" s="33" t="s">
        <v>136</v>
      </c>
      <c r="L8551" s="31" t="str">
        <f t="shared" si="826"/>
        <v>Enam Puluh Dua</v>
      </c>
    </row>
    <row r="8552" spans="10:12">
      <c r="J8552" s="31">
        <v>63</v>
      </c>
      <c r="K8552" s="33" t="s">
        <v>137</v>
      </c>
      <c r="L8552" s="31" t="str">
        <f t="shared" si="826"/>
        <v>Enam Puluh Tiga</v>
      </c>
    </row>
    <row r="8553" spans="10:12">
      <c r="J8553" s="31">
        <v>64</v>
      </c>
      <c r="K8553" s="33" t="s">
        <v>138</v>
      </c>
      <c r="L8553" s="31" t="str">
        <f t="shared" si="826"/>
        <v>Enam Puluh Empat</v>
      </c>
    </row>
    <row r="8554" spans="10:12">
      <c r="J8554" s="31">
        <v>65</v>
      </c>
      <c r="K8554" s="33" t="s">
        <v>139</v>
      </c>
      <c r="L8554" s="31" t="str">
        <f t="shared" si="826"/>
        <v>Enam Puluh Lima</v>
      </c>
    </row>
    <row r="8555" spans="10:12">
      <c r="J8555" s="31">
        <v>66</v>
      </c>
      <c r="K8555" s="33" t="s">
        <v>140</v>
      </c>
      <c r="L8555" s="31" t="str">
        <f t="shared" si="826"/>
        <v>Enam Puluh Enam</v>
      </c>
    </row>
    <row r="8556" spans="10:12">
      <c r="J8556" s="31">
        <v>67</v>
      </c>
      <c r="K8556" s="33" t="s">
        <v>141</v>
      </c>
      <c r="L8556" s="31" t="str">
        <f t="shared" si="826"/>
        <v>Enam Puluh Tujuh</v>
      </c>
    </row>
    <row r="8557" spans="10:12">
      <c r="J8557" s="31">
        <v>68</v>
      </c>
      <c r="K8557" s="33" t="s">
        <v>142</v>
      </c>
      <c r="L8557" s="31" t="str">
        <f t="shared" si="826"/>
        <v>Enam Puluh Delapan</v>
      </c>
    </row>
    <row r="8558" spans="10:12">
      <c r="J8558" s="31">
        <v>69</v>
      </c>
      <c r="K8558" s="33" t="s">
        <v>143</v>
      </c>
      <c r="L8558" s="31" t="str">
        <f t="shared" si="826"/>
        <v>Enam Puluh Sembilan</v>
      </c>
    </row>
    <row r="8559" spans="10:12">
      <c r="J8559" s="31">
        <v>70</v>
      </c>
      <c r="K8559" s="33" t="s">
        <v>144</v>
      </c>
      <c r="L8559" s="31" t="s">
        <v>145</v>
      </c>
    </row>
    <row r="8560" spans="10:12">
      <c r="J8560" s="31">
        <v>71</v>
      </c>
      <c r="K8560" s="33" t="s">
        <v>146</v>
      </c>
      <c r="L8560" s="31" t="str">
        <f t="shared" ref="L8560:L8568" si="827">$L$73&amp;" "&amp;L8490</f>
        <v>Tujuh Puluh Satu</v>
      </c>
    </row>
    <row r="8561" spans="10:12">
      <c r="J8561" s="31">
        <v>72</v>
      </c>
      <c r="K8561" s="33" t="s">
        <v>147</v>
      </c>
      <c r="L8561" s="31" t="str">
        <f t="shared" si="827"/>
        <v>Tujuh Puluh Dua</v>
      </c>
    </row>
    <row r="8562" spans="10:12">
      <c r="J8562" s="31">
        <v>73</v>
      </c>
      <c r="K8562" s="33" t="s">
        <v>148</v>
      </c>
      <c r="L8562" s="31" t="str">
        <f t="shared" si="827"/>
        <v>Tujuh Puluh Tiga</v>
      </c>
    </row>
    <row r="8563" spans="10:12">
      <c r="J8563" s="31">
        <v>74</v>
      </c>
      <c r="K8563" s="33" t="s">
        <v>149</v>
      </c>
      <c r="L8563" s="31" t="str">
        <f t="shared" si="827"/>
        <v>Tujuh Puluh Empat</v>
      </c>
    </row>
    <row r="8564" spans="10:12">
      <c r="J8564" s="31">
        <v>75</v>
      </c>
      <c r="K8564" s="33" t="s">
        <v>150</v>
      </c>
      <c r="L8564" s="31" t="str">
        <f t="shared" si="827"/>
        <v>Tujuh Puluh Lima</v>
      </c>
    </row>
    <row r="8565" spans="10:12">
      <c r="J8565" s="31">
        <v>76</v>
      </c>
      <c r="K8565" s="33" t="s">
        <v>151</v>
      </c>
      <c r="L8565" s="31" t="str">
        <f t="shared" si="827"/>
        <v>Tujuh Puluh Enam</v>
      </c>
    </row>
    <row r="8566" spans="10:12">
      <c r="J8566" s="31">
        <v>77</v>
      </c>
      <c r="K8566" s="33" t="s">
        <v>152</v>
      </c>
      <c r="L8566" s="31" t="str">
        <f t="shared" si="827"/>
        <v>Tujuh Puluh Tujuh</v>
      </c>
    </row>
    <row r="8567" spans="10:12">
      <c r="J8567" s="31">
        <v>78</v>
      </c>
      <c r="K8567" s="33" t="s">
        <v>153</v>
      </c>
      <c r="L8567" s="31" t="str">
        <f t="shared" si="827"/>
        <v>Tujuh Puluh Delapan</v>
      </c>
    </row>
    <row r="8568" spans="10:12">
      <c r="J8568" s="31">
        <v>79</v>
      </c>
      <c r="K8568" s="33" t="s">
        <v>154</v>
      </c>
      <c r="L8568" s="31" t="str">
        <f t="shared" si="827"/>
        <v>Tujuh Puluh Sembilan</v>
      </c>
    </row>
    <row r="8569" spans="10:12">
      <c r="J8569" s="31">
        <v>80</v>
      </c>
      <c r="K8569" s="33" t="s">
        <v>155</v>
      </c>
      <c r="L8569" s="31" t="s">
        <v>156</v>
      </c>
    </row>
    <row r="8570" spans="10:12">
      <c r="J8570" s="31">
        <v>81</v>
      </c>
      <c r="K8570" s="33" t="s">
        <v>157</v>
      </c>
      <c r="L8570" s="31" t="str">
        <f t="shared" ref="L8570:L8578" si="828">$L$83&amp;" "&amp;L8490</f>
        <v>Delapan Puluh Satu</v>
      </c>
    </row>
    <row r="8571" spans="10:12">
      <c r="J8571" s="31">
        <v>82</v>
      </c>
      <c r="K8571" s="33" t="s">
        <v>158</v>
      </c>
      <c r="L8571" s="31" t="str">
        <f t="shared" si="828"/>
        <v>Delapan Puluh Dua</v>
      </c>
    </row>
    <row r="8572" spans="10:12">
      <c r="J8572" s="31">
        <v>83</v>
      </c>
      <c r="K8572" s="33" t="s">
        <v>159</v>
      </c>
      <c r="L8572" s="31" t="str">
        <f t="shared" si="828"/>
        <v>Delapan Puluh Tiga</v>
      </c>
    </row>
    <row r="8573" spans="10:12">
      <c r="J8573" s="31">
        <v>84</v>
      </c>
      <c r="K8573" s="33" t="s">
        <v>160</v>
      </c>
      <c r="L8573" s="31" t="str">
        <f t="shared" si="828"/>
        <v>Delapan Puluh Empat</v>
      </c>
    </row>
    <row r="8574" spans="10:12">
      <c r="J8574" s="31">
        <v>85</v>
      </c>
      <c r="K8574" s="33" t="s">
        <v>161</v>
      </c>
      <c r="L8574" s="31" t="str">
        <f t="shared" si="828"/>
        <v>Delapan Puluh Lima</v>
      </c>
    </row>
    <row r="8575" spans="10:12">
      <c r="J8575" s="31">
        <v>86</v>
      </c>
      <c r="K8575" s="33" t="s">
        <v>162</v>
      </c>
      <c r="L8575" s="31" t="str">
        <f t="shared" si="828"/>
        <v>Delapan Puluh Enam</v>
      </c>
    </row>
    <row r="8576" spans="10:12">
      <c r="J8576" s="31">
        <v>87</v>
      </c>
      <c r="K8576" s="33" t="s">
        <v>163</v>
      </c>
      <c r="L8576" s="31" t="str">
        <f t="shared" si="828"/>
        <v>Delapan Puluh Tujuh</v>
      </c>
    </row>
    <row r="8577" spans="1:12">
      <c r="J8577" s="31">
        <v>88</v>
      </c>
      <c r="K8577" s="33" t="s">
        <v>164</v>
      </c>
      <c r="L8577" s="31" t="str">
        <f t="shared" si="828"/>
        <v>Delapan Puluh Delapan</v>
      </c>
    </row>
    <row r="8578" spans="1:12">
      <c r="J8578" s="31">
        <v>89</v>
      </c>
      <c r="K8578" s="33" t="s">
        <v>165</v>
      </c>
      <c r="L8578" s="31" t="str">
        <f t="shared" si="828"/>
        <v>Delapan Puluh Sembilan</v>
      </c>
    </row>
    <row r="8579" spans="1:12">
      <c r="J8579" s="31">
        <v>90</v>
      </c>
      <c r="K8579" s="33" t="s">
        <v>166</v>
      </c>
      <c r="L8579" s="31" t="s">
        <v>167</v>
      </c>
    </row>
    <row r="8580" spans="1:12">
      <c r="J8580" s="31">
        <v>91</v>
      </c>
      <c r="K8580" s="33" t="s">
        <v>168</v>
      </c>
      <c r="L8580" s="31" t="str">
        <f t="shared" ref="L8580:L8588" si="829">$L$93&amp;" "&amp;L8490</f>
        <v>Sembilan Puluh Satu</v>
      </c>
    </row>
    <row r="8581" spans="1:12">
      <c r="J8581" s="31">
        <v>92</v>
      </c>
      <c r="K8581" s="33" t="s">
        <v>169</v>
      </c>
      <c r="L8581" s="31" t="str">
        <f t="shared" si="829"/>
        <v>Sembilan Puluh Dua</v>
      </c>
    </row>
    <row r="8582" spans="1:12">
      <c r="J8582" s="31">
        <v>93</v>
      </c>
      <c r="K8582" s="33" t="s">
        <v>170</v>
      </c>
      <c r="L8582" s="31" t="str">
        <f t="shared" si="829"/>
        <v>Sembilan Puluh Tiga</v>
      </c>
    </row>
    <row r="8583" spans="1:12">
      <c r="J8583" s="31">
        <v>94</v>
      </c>
      <c r="K8583" s="33" t="s">
        <v>171</v>
      </c>
      <c r="L8583" s="31" t="str">
        <f t="shared" si="829"/>
        <v>Sembilan Puluh Empat</v>
      </c>
    </row>
    <row r="8584" spans="1:12">
      <c r="J8584" s="31">
        <v>95</v>
      </c>
      <c r="K8584" s="33" t="s">
        <v>172</v>
      </c>
      <c r="L8584" s="31" t="str">
        <f t="shared" si="829"/>
        <v>Sembilan Puluh Lima</v>
      </c>
    </row>
    <row r="8585" spans="1:12">
      <c r="J8585" s="31">
        <v>96</v>
      </c>
      <c r="K8585" s="33" t="s">
        <v>173</v>
      </c>
      <c r="L8585" s="31" t="str">
        <f t="shared" si="829"/>
        <v>Sembilan Puluh Enam</v>
      </c>
    </row>
    <row r="8586" spans="1:12">
      <c r="J8586" s="31">
        <v>97</v>
      </c>
      <c r="K8586" s="33" t="s">
        <v>174</v>
      </c>
      <c r="L8586" s="31" t="str">
        <f t="shared" si="829"/>
        <v>Sembilan Puluh Tujuh</v>
      </c>
    </row>
    <row r="8587" spans="1:12">
      <c r="J8587" s="31">
        <v>98</v>
      </c>
      <c r="K8587" s="33" t="s">
        <v>175</v>
      </c>
      <c r="L8587" s="31" t="str">
        <f t="shared" si="829"/>
        <v>Sembilan Puluh Delapan</v>
      </c>
    </row>
    <row r="8588" spans="1:12">
      <c r="J8588" s="31">
        <v>99</v>
      </c>
      <c r="K8588" s="33" t="s">
        <v>176</v>
      </c>
      <c r="L8588" s="31" t="str">
        <f t="shared" si="829"/>
        <v>Sembilan Puluh Sembilan</v>
      </c>
    </row>
    <row r="8591" spans="1:12">
      <c r="A8591" s="30" t="e">
        <f>#REF!</f>
        <v>#REF!</v>
      </c>
      <c r="C8591" s="31" t="s">
        <v>282</v>
      </c>
    </row>
    <row r="8592" spans="1:12">
      <c r="A8592" s="32"/>
    </row>
    <row r="8593" spans="1:12">
      <c r="J8593" s="31">
        <v>0</v>
      </c>
      <c r="K8593" s="33" t="s">
        <v>48</v>
      </c>
      <c r="L8593" s="31" t="s">
        <v>49</v>
      </c>
    </row>
    <row r="8594" spans="1:12">
      <c r="A8594" s="34"/>
      <c r="J8594" s="31">
        <v>1</v>
      </c>
      <c r="K8594" s="33" t="s">
        <v>50</v>
      </c>
      <c r="L8594" s="31" t="s">
        <v>51</v>
      </c>
    </row>
    <row r="8595" spans="1:12">
      <c r="A8595" s="255" t="e">
        <f>TRIM(D8603&amp;E8603&amp;D8604&amp;E8604&amp;D8605&amp;E8605&amp;D8606&amp;E8606&amp;D8607&amp;E8607&amp;D8608&amp;E8608&amp;E8609&amp;D8609&amp;" Only")</f>
        <v>#REF!</v>
      </c>
      <c r="B8595" s="255"/>
      <c r="C8595" s="255"/>
      <c r="D8595" s="255"/>
      <c r="E8595" s="35"/>
      <c r="F8595" s="36"/>
      <c r="J8595" s="31">
        <v>2</v>
      </c>
      <c r="K8595" s="33" t="s">
        <v>52</v>
      </c>
      <c r="L8595" s="31" t="s">
        <v>53</v>
      </c>
    </row>
    <row r="8596" spans="1:12">
      <c r="A8596" s="37"/>
      <c r="B8596" s="37"/>
      <c r="C8596" s="37"/>
      <c r="D8596" s="37"/>
      <c r="E8596" s="35"/>
      <c r="F8596" s="36"/>
      <c r="J8596" s="31">
        <v>3</v>
      </c>
      <c r="K8596" s="33" t="s">
        <v>54</v>
      </c>
      <c r="L8596" s="31" t="s">
        <v>55</v>
      </c>
    </row>
    <row r="8597" spans="1:12">
      <c r="A8597" s="37"/>
      <c r="B8597" s="37"/>
      <c r="C8597" s="37"/>
      <c r="D8597" s="37"/>
      <c r="J8597" s="31">
        <v>4</v>
      </c>
      <c r="K8597" s="33" t="s">
        <v>56</v>
      </c>
      <c r="L8597" s="31" t="s">
        <v>57</v>
      </c>
    </row>
    <row r="8598" spans="1:12">
      <c r="A8598" s="255" t="e">
        <f>TRIM(D8613&amp;E8613&amp;D8614&amp;E8614&amp;D8615&amp;E8615&amp;D8616&amp;E8616&amp;D8617&amp;E8617&amp;D8618&amp;E8618&amp;D8619&amp;E8619&amp;" Rupiah")</f>
        <v>#REF!</v>
      </c>
      <c r="B8598" s="255"/>
      <c r="C8598" s="255"/>
      <c r="D8598" s="255"/>
      <c r="E8598" s="35"/>
      <c r="F8598" s="36"/>
      <c r="J8598" s="31">
        <v>5</v>
      </c>
      <c r="K8598" s="33" t="s">
        <v>58</v>
      </c>
      <c r="L8598" s="31" t="s">
        <v>59</v>
      </c>
    </row>
    <row r="8599" spans="1:12">
      <c r="A8599" s="35"/>
      <c r="B8599" s="35"/>
      <c r="C8599" s="35"/>
      <c r="D8599" s="35"/>
      <c r="E8599" s="35"/>
      <c r="F8599" s="36"/>
      <c r="J8599" s="31">
        <v>6</v>
      </c>
      <c r="K8599" s="33" t="s">
        <v>60</v>
      </c>
      <c r="L8599" s="31" t="s">
        <v>61</v>
      </c>
    </row>
    <row r="8600" spans="1:12">
      <c r="J8600" s="31">
        <v>7</v>
      </c>
      <c r="K8600" s="33" t="s">
        <v>62</v>
      </c>
      <c r="L8600" s="31" t="s">
        <v>63</v>
      </c>
    </row>
    <row r="8601" spans="1:12">
      <c r="J8601" s="31">
        <v>8</v>
      </c>
      <c r="K8601" s="33" t="s">
        <v>64</v>
      </c>
      <c r="L8601" s="31" t="s">
        <v>65</v>
      </c>
    </row>
    <row r="8602" spans="1:12">
      <c r="A8602" s="38" t="s">
        <v>66</v>
      </c>
      <c r="J8602" s="31">
        <v>9</v>
      </c>
      <c r="K8602" s="33" t="s">
        <v>67</v>
      </c>
      <c r="L8602" s="31" t="s">
        <v>68</v>
      </c>
    </row>
    <row r="8603" spans="1:12">
      <c r="A8603" s="31" t="s">
        <v>69</v>
      </c>
      <c r="B8603" s="39" t="e">
        <f>TRUNC(A8591/100000000)</f>
        <v>#REF!</v>
      </c>
      <c r="C8603" s="31" t="e">
        <f>B8603*100000000</f>
        <v>#REF!</v>
      </c>
      <c r="D8603" s="31" t="e">
        <f t="shared" ref="D8603:D8609" si="830">IF(B8603&lt;1,"",VLOOKUP(B8603,$J$3:$K$102,2))</f>
        <v>#REF!</v>
      </c>
      <c r="E8603" s="31" t="e">
        <f>IF(B8603&lt;1,"",IF(B8603&gt;1," Hundreds "," Hundred "))</f>
        <v>#REF!</v>
      </c>
      <c r="J8603" s="31">
        <v>10</v>
      </c>
      <c r="K8603" s="33" t="s">
        <v>70</v>
      </c>
      <c r="L8603" s="31" t="s">
        <v>71</v>
      </c>
    </row>
    <row r="8604" spans="1:12">
      <c r="A8604" s="31" t="s">
        <v>72</v>
      </c>
      <c r="B8604" s="39" t="e">
        <f>TRUNC((A8591-C8603)/1000000)</f>
        <v>#REF!</v>
      </c>
      <c r="C8604" s="31" t="e">
        <f>B8604*1000000</f>
        <v>#REF!</v>
      </c>
      <c r="D8604" s="31" t="e">
        <f t="shared" si="830"/>
        <v>#REF!</v>
      </c>
      <c r="E8604" s="31" t="e">
        <f>IF(B8603+B8604=0,"",IF(B8604=1," Million "," Millions "))</f>
        <v>#REF!</v>
      </c>
      <c r="J8604" s="31">
        <v>11</v>
      </c>
      <c r="K8604" s="33" t="s">
        <v>73</v>
      </c>
      <c r="L8604" s="31" t="s">
        <v>74</v>
      </c>
    </row>
    <row r="8605" spans="1:12">
      <c r="A8605" s="31" t="s">
        <v>75</v>
      </c>
      <c r="B8605" s="39" t="e">
        <f>TRUNC((A8591-SUM(C8603:C8604))/100000)</f>
        <v>#REF!</v>
      </c>
      <c r="C8605" s="31" t="e">
        <f>B8605*100000</f>
        <v>#REF!</v>
      </c>
      <c r="D8605" s="31" t="e">
        <f t="shared" si="830"/>
        <v>#REF!</v>
      </c>
      <c r="E8605" s="31" t="e">
        <f>IF(B8605&lt;1,"",IF(B8605&gt;1," Hundreds "," Hundred "))</f>
        <v>#REF!</v>
      </c>
      <c r="J8605" s="31">
        <v>12</v>
      </c>
      <c r="K8605" s="33" t="s">
        <v>76</v>
      </c>
      <c r="L8605" s="31" t="str">
        <f t="shared" ref="L8605:L8612" si="831">L8595&amp;" Belas"</f>
        <v>Dua Belas</v>
      </c>
    </row>
    <row r="8606" spans="1:12">
      <c r="A8606" s="33" t="s">
        <v>77</v>
      </c>
      <c r="B8606" s="40" t="e">
        <f>TRUNC((A8591-SUM(C8603:C8605))/1000)</f>
        <v>#REF!</v>
      </c>
      <c r="C8606" s="31" t="e">
        <f>B8606*1000</f>
        <v>#REF!</v>
      </c>
      <c r="D8606" s="31" t="e">
        <f t="shared" si="830"/>
        <v>#REF!</v>
      </c>
      <c r="E8606" s="31" t="e">
        <f>IF(B8605+B8606=0,"",IF(B8606=1," Thousand "," Thousands "))</f>
        <v>#REF!</v>
      </c>
      <c r="J8606" s="31">
        <v>13</v>
      </c>
      <c r="K8606" s="33" t="s">
        <v>78</v>
      </c>
      <c r="L8606" s="31" t="str">
        <f t="shared" si="831"/>
        <v>Tiga Belas</v>
      </c>
    </row>
    <row r="8607" spans="1:12">
      <c r="A8607" s="33" t="s">
        <v>79</v>
      </c>
      <c r="B8607" s="40" t="e">
        <f>TRUNC((A8591-SUM(C8603:C8606))/100)</f>
        <v>#REF!</v>
      </c>
      <c r="C8607" s="31" t="e">
        <f>B8607*100</f>
        <v>#REF!</v>
      </c>
      <c r="D8607" s="31" t="e">
        <f t="shared" si="830"/>
        <v>#REF!</v>
      </c>
      <c r="E8607" s="31" t="e">
        <f>IF(B8607&lt;1,"",IF(B8607&gt;1," Hundreds "," Hundred "))</f>
        <v>#REF!</v>
      </c>
      <c r="J8607" s="31">
        <v>14</v>
      </c>
      <c r="K8607" s="33" t="s">
        <v>80</v>
      </c>
      <c r="L8607" s="31" t="str">
        <f t="shared" si="831"/>
        <v>Empat Belas</v>
      </c>
    </row>
    <row r="8608" spans="1:12">
      <c r="A8608" s="33" t="s">
        <v>81</v>
      </c>
      <c r="B8608" s="41" t="e">
        <f>TRUNC((A8591-SUM(C8603:C8607)))</f>
        <v>#REF!</v>
      </c>
      <c r="C8608" s="42" t="e">
        <f>B8608</f>
        <v>#REF!</v>
      </c>
      <c r="D8608" s="31" t="e">
        <f t="shared" si="830"/>
        <v>#REF!</v>
      </c>
      <c r="E8608" s="31" t="e">
        <f>IF(SUM(C8603:C8608)&lt;1,"",IF(B8609&lt;1,""," And "))</f>
        <v>#REF!</v>
      </c>
      <c r="J8608" s="31">
        <v>15</v>
      </c>
      <c r="K8608" s="33" t="s">
        <v>82</v>
      </c>
      <c r="L8608" s="31" t="str">
        <f t="shared" si="831"/>
        <v>Lima Belas</v>
      </c>
    </row>
    <row r="8609" spans="1:12">
      <c r="A8609" s="33" t="s">
        <v>83</v>
      </c>
      <c r="B8609" s="40" t="e">
        <f>ROUND(A8591-SUM(C8603:C8608),2)*100</f>
        <v>#REF!</v>
      </c>
      <c r="D8609" s="43" t="e">
        <f t="shared" si="830"/>
        <v>#REF!</v>
      </c>
      <c r="E8609" s="31" t="e">
        <f>IF(B8609&lt;1,"",IF(B8609=1," Cent "," Cents "))</f>
        <v>#REF!</v>
      </c>
      <c r="J8609" s="31">
        <v>16</v>
      </c>
      <c r="K8609" s="33" t="s">
        <v>84</v>
      </c>
      <c r="L8609" s="31" t="str">
        <f t="shared" si="831"/>
        <v>Enam Belas</v>
      </c>
    </row>
    <row r="8610" spans="1:12">
      <c r="J8610" s="31">
        <v>17</v>
      </c>
      <c r="K8610" s="33" t="s">
        <v>85</v>
      </c>
      <c r="L8610" s="31" t="str">
        <f t="shared" si="831"/>
        <v>Tujuh Belas</v>
      </c>
    </row>
    <row r="8611" spans="1:12">
      <c r="A8611" s="44"/>
      <c r="J8611" s="31">
        <v>18</v>
      </c>
      <c r="K8611" s="33" t="s">
        <v>86</v>
      </c>
      <c r="L8611" s="31" t="str">
        <f t="shared" si="831"/>
        <v>Delapan Belas</v>
      </c>
    </row>
    <row r="8612" spans="1:12">
      <c r="A8612" s="38" t="s">
        <v>87</v>
      </c>
      <c r="J8612" s="31">
        <v>19</v>
      </c>
      <c r="K8612" s="33" t="s">
        <v>88</v>
      </c>
      <c r="L8612" s="31" t="str">
        <f t="shared" si="831"/>
        <v>Sembilan Belas</v>
      </c>
    </row>
    <row r="8613" spans="1:12">
      <c r="A8613" s="31" t="s">
        <v>69</v>
      </c>
      <c r="B8613" s="39" t="e">
        <f>TRUNC(A8591/100000000)</f>
        <v>#REF!</v>
      </c>
      <c r="C8613" s="31" t="e">
        <f>B8613*100000000</f>
        <v>#REF!</v>
      </c>
      <c r="D8613" s="31" t="e">
        <f>IF(B8613&lt;1,"",IF(B8613=1,"",VLOOKUP(B8613,$J$3:$L$102,3)))</f>
        <v>#REF!</v>
      </c>
      <c r="E8613" s="31" t="e">
        <f>IF(B8613&lt;1,"",IF(B8613=1,"Seratus "," Ratus "))</f>
        <v>#REF!</v>
      </c>
      <c r="J8613" s="31">
        <v>20</v>
      </c>
      <c r="K8613" s="33" t="s">
        <v>89</v>
      </c>
      <c r="L8613" s="31" t="s">
        <v>90</v>
      </c>
    </row>
    <row r="8614" spans="1:12">
      <c r="A8614" s="31" t="s">
        <v>72</v>
      </c>
      <c r="B8614" s="39" t="e">
        <f>TRUNC((A8591-C8613)/1000000)</f>
        <v>#REF!</v>
      </c>
      <c r="C8614" s="31" t="e">
        <f>B8614*1000000</f>
        <v>#REF!</v>
      </c>
      <c r="D8614" s="31" t="e">
        <f>IF(B8614&lt;1,"",VLOOKUP(B8614,$J$3:$L$102,3))</f>
        <v>#REF!</v>
      </c>
      <c r="E8614" s="31" t="e">
        <f>IF(B8613+B8614=0,""," Juta ")</f>
        <v>#REF!</v>
      </c>
      <c r="J8614" s="31">
        <v>21</v>
      </c>
      <c r="K8614" s="33" t="s">
        <v>91</v>
      </c>
      <c r="L8614" s="31" t="str">
        <f t="shared" ref="L8614:L8622" si="832">$L$23&amp;" "&amp;L8594</f>
        <v>Dua Puluh Satu</v>
      </c>
    </row>
    <row r="8615" spans="1:12">
      <c r="A8615" s="31" t="s">
        <v>75</v>
      </c>
      <c r="B8615" s="39" t="e">
        <f>TRUNC((A8591-SUM(C8613:C8614))/100000)</f>
        <v>#REF!</v>
      </c>
      <c r="C8615" s="31" t="e">
        <f>B8615*100000</f>
        <v>#REF!</v>
      </c>
      <c r="D8615" s="31" t="e">
        <f>IF(B8615&lt;1,"",IF(B8615=1,"",VLOOKUP(B8615,$J$3:$L$102,3)))</f>
        <v>#REF!</v>
      </c>
      <c r="E8615" s="31" t="e">
        <f>IF(B8615&lt;1,"",IF(B8615=1," Seratus "," Ratus "))</f>
        <v>#REF!</v>
      </c>
      <c r="J8615" s="31">
        <v>22</v>
      </c>
      <c r="K8615" s="33" t="s">
        <v>92</v>
      </c>
      <c r="L8615" s="31" t="str">
        <f t="shared" si="832"/>
        <v>Dua Puluh Dua</v>
      </c>
    </row>
    <row r="8616" spans="1:12">
      <c r="A8616" s="33" t="s">
        <v>77</v>
      </c>
      <c r="B8616" s="40" t="e">
        <f>TRUNC((A8591-SUM(C8613:C8615))/1000)</f>
        <v>#REF!</v>
      </c>
      <c r="C8616" s="31" t="e">
        <f>B8616*1000</f>
        <v>#REF!</v>
      </c>
      <c r="D8616" s="31" t="e">
        <f>IF(B8616&lt;1,"",IF(B8616=1,"",VLOOKUP(B8616,$J$3:$L$102,3)))</f>
        <v>#REF!</v>
      </c>
      <c r="E8616" s="31" t="e">
        <f>IF(B8615+B8616&lt;1,"",IF(B8616=1," Seribu "," Ribu "))</f>
        <v>#REF!</v>
      </c>
      <c r="J8616" s="31">
        <v>23</v>
      </c>
      <c r="K8616" s="33" t="s">
        <v>93</v>
      </c>
      <c r="L8616" s="31" t="str">
        <f t="shared" si="832"/>
        <v>Dua Puluh Tiga</v>
      </c>
    </row>
    <row r="8617" spans="1:12">
      <c r="A8617" s="33" t="s">
        <v>79</v>
      </c>
      <c r="B8617" s="40" t="e">
        <f>TRUNC((A8591-SUM(C8613:C8616))/100)</f>
        <v>#REF!</v>
      </c>
      <c r="C8617" s="31" t="e">
        <f>B8617*100</f>
        <v>#REF!</v>
      </c>
      <c r="D8617" s="31" t="e">
        <f>IF(B8617&lt;1,"",IF(B8617=1,"",VLOOKUP(B8617,$J$3:$L$102,3)))</f>
        <v>#REF!</v>
      </c>
      <c r="E8617" s="31" t="e">
        <f>IF(B8617&lt;1,"",IF(B8617=1," Seratus "," Ratus "))</f>
        <v>#REF!</v>
      </c>
      <c r="J8617" s="31">
        <v>24</v>
      </c>
      <c r="K8617" s="33" t="s">
        <v>94</v>
      </c>
      <c r="L8617" s="31" t="str">
        <f t="shared" si="832"/>
        <v>Dua Puluh Empat</v>
      </c>
    </row>
    <row r="8618" spans="1:12">
      <c r="A8618" s="33" t="s">
        <v>81</v>
      </c>
      <c r="B8618" s="41" t="e">
        <f>TRUNC((A8591-SUM(C8613:C8617)))</f>
        <v>#REF!</v>
      </c>
      <c r="C8618" s="42" t="e">
        <f>B8618</f>
        <v>#REF!</v>
      </c>
      <c r="D8618" s="31" t="e">
        <f>IF(B8618&lt;1,"",VLOOKUP(B8618,$J$3:$L$102,3))</f>
        <v>#REF!</v>
      </c>
      <c r="E8618" s="31" t="e">
        <f>IF(SUM(C8613:C8618)&lt;1,"",IF(B8619&lt;1,""," Dan "))</f>
        <v>#REF!</v>
      </c>
      <c r="J8618" s="31">
        <v>25</v>
      </c>
      <c r="K8618" s="33" t="s">
        <v>95</v>
      </c>
      <c r="L8618" s="31" t="str">
        <f t="shared" si="832"/>
        <v>Dua Puluh Lima</v>
      </c>
    </row>
    <row r="8619" spans="1:12">
      <c r="A8619" s="33" t="s">
        <v>83</v>
      </c>
      <c r="B8619" s="40" t="e">
        <f>ROUND(A8591-SUM(C8613:C8618),2)*100</f>
        <v>#REF!</v>
      </c>
      <c r="D8619" s="31" t="e">
        <f>IF(B8619&lt;1,"",VLOOKUP(B8619,$J$3:$L$102,3))</f>
        <v>#REF!</v>
      </c>
      <c r="E8619" s="31" t="e">
        <f>IF(B8619&lt;1,""," Sen ")</f>
        <v>#REF!</v>
      </c>
      <c r="J8619" s="31">
        <v>26</v>
      </c>
      <c r="K8619" s="33" t="s">
        <v>96</v>
      </c>
      <c r="L8619" s="31" t="str">
        <f t="shared" si="832"/>
        <v>Dua Puluh Enam</v>
      </c>
    </row>
    <row r="8620" spans="1:12">
      <c r="J8620" s="31">
        <v>27</v>
      </c>
      <c r="K8620" s="33" t="s">
        <v>97</v>
      </c>
      <c r="L8620" s="31" t="str">
        <f t="shared" si="832"/>
        <v>Dua Puluh Tujuh</v>
      </c>
    </row>
    <row r="8621" spans="1:12">
      <c r="J8621" s="31">
        <v>28</v>
      </c>
      <c r="K8621" s="33" t="s">
        <v>98</v>
      </c>
      <c r="L8621" s="31" t="str">
        <f t="shared" si="832"/>
        <v>Dua Puluh Delapan</v>
      </c>
    </row>
    <row r="8622" spans="1:12">
      <c r="J8622" s="31">
        <v>29</v>
      </c>
      <c r="K8622" s="33" t="s">
        <v>99</v>
      </c>
      <c r="L8622" s="31" t="str">
        <f t="shared" si="832"/>
        <v>Dua Puluh Sembilan</v>
      </c>
    </row>
    <row r="8623" spans="1:12">
      <c r="J8623" s="31">
        <v>30</v>
      </c>
      <c r="K8623" s="33" t="s">
        <v>100</v>
      </c>
      <c r="L8623" s="31" t="s">
        <v>101</v>
      </c>
    </row>
    <row r="8624" spans="1:12">
      <c r="J8624" s="31">
        <v>31</v>
      </c>
      <c r="K8624" s="33" t="s">
        <v>102</v>
      </c>
      <c r="L8624" s="31" t="str">
        <f t="shared" ref="L8624:L8632" si="833">$L$33&amp;" "&amp;L8594</f>
        <v>Tiga Puluh Satu</v>
      </c>
    </row>
    <row r="8625" spans="1:12">
      <c r="J8625" s="31">
        <v>32</v>
      </c>
      <c r="K8625" s="33" t="s">
        <v>103</v>
      </c>
      <c r="L8625" s="31" t="str">
        <f t="shared" si="833"/>
        <v>Tiga Puluh Dua</v>
      </c>
    </row>
    <row r="8626" spans="1:12">
      <c r="J8626" s="31">
        <v>33</v>
      </c>
      <c r="K8626" s="33" t="s">
        <v>104</v>
      </c>
      <c r="L8626" s="31" t="str">
        <f t="shared" si="833"/>
        <v>Tiga Puluh Tiga</v>
      </c>
    </row>
    <row r="8627" spans="1:12">
      <c r="J8627" s="31">
        <v>34</v>
      </c>
      <c r="K8627" s="33" t="s">
        <v>105</v>
      </c>
      <c r="L8627" s="31" t="str">
        <f t="shared" si="833"/>
        <v>Tiga Puluh Empat</v>
      </c>
    </row>
    <row r="8628" spans="1:12">
      <c r="J8628" s="31">
        <v>35</v>
      </c>
      <c r="K8628" s="33" t="s">
        <v>106</v>
      </c>
      <c r="L8628" s="31" t="str">
        <f t="shared" si="833"/>
        <v>Tiga Puluh Lima</v>
      </c>
    </row>
    <row r="8629" spans="1:12">
      <c r="J8629" s="31">
        <v>36</v>
      </c>
      <c r="K8629" s="33" t="s">
        <v>107</v>
      </c>
      <c r="L8629" s="31" t="str">
        <f t="shared" si="833"/>
        <v>Tiga Puluh Enam</v>
      </c>
    </row>
    <row r="8630" spans="1:12">
      <c r="J8630" s="31">
        <v>37</v>
      </c>
      <c r="K8630" s="33" t="s">
        <v>108</v>
      </c>
      <c r="L8630" s="31" t="str">
        <f t="shared" si="833"/>
        <v>Tiga Puluh Tujuh</v>
      </c>
    </row>
    <row r="8631" spans="1:12">
      <c r="J8631" s="31">
        <v>38</v>
      </c>
      <c r="K8631" s="33" t="s">
        <v>109</v>
      </c>
      <c r="L8631" s="31" t="str">
        <f t="shared" si="833"/>
        <v>Tiga Puluh Delapan</v>
      </c>
    </row>
    <row r="8632" spans="1:12">
      <c r="J8632" s="31">
        <v>39</v>
      </c>
      <c r="K8632" s="33" t="s">
        <v>110</v>
      </c>
      <c r="L8632" s="31" t="str">
        <f t="shared" si="833"/>
        <v>Tiga Puluh Sembilan</v>
      </c>
    </row>
    <row r="8633" spans="1:12">
      <c r="B8633" s="35"/>
      <c r="C8633" s="35"/>
      <c r="D8633" s="35"/>
      <c r="J8633" s="31">
        <v>40</v>
      </c>
      <c r="K8633" s="33" t="s">
        <v>111</v>
      </c>
      <c r="L8633" s="31" t="s">
        <v>112</v>
      </c>
    </row>
    <row r="8634" spans="1:12">
      <c r="A8634" s="35"/>
      <c r="B8634" s="35"/>
      <c r="C8634" s="35"/>
      <c r="D8634" s="35"/>
      <c r="J8634" s="31">
        <v>41</v>
      </c>
      <c r="K8634" s="33" t="s">
        <v>113</v>
      </c>
      <c r="L8634" s="31" t="str">
        <f t="shared" ref="L8634:L8642" si="834">$L$43&amp;" "&amp;L8594</f>
        <v>Empat Puluh Satu</v>
      </c>
    </row>
    <row r="8635" spans="1:12">
      <c r="J8635" s="31">
        <v>42</v>
      </c>
      <c r="K8635" s="33" t="s">
        <v>114</v>
      </c>
      <c r="L8635" s="31" t="str">
        <f t="shared" si="834"/>
        <v>Empat Puluh Dua</v>
      </c>
    </row>
    <row r="8636" spans="1:12">
      <c r="A8636" s="38"/>
      <c r="J8636" s="31">
        <v>43</v>
      </c>
      <c r="K8636" s="33" t="s">
        <v>115</v>
      </c>
      <c r="L8636" s="31" t="str">
        <f t="shared" si="834"/>
        <v>Empat Puluh Tiga</v>
      </c>
    </row>
    <row r="8637" spans="1:12">
      <c r="J8637" s="31">
        <v>44</v>
      </c>
      <c r="K8637" s="33" t="s">
        <v>116</v>
      </c>
      <c r="L8637" s="31" t="str">
        <f t="shared" si="834"/>
        <v>Empat Puluh Empat</v>
      </c>
    </row>
    <row r="8638" spans="1:12">
      <c r="J8638" s="31">
        <v>45</v>
      </c>
      <c r="K8638" s="33" t="s">
        <v>117</v>
      </c>
      <c r="L8638" s="31" t="str">
        <f t="shared" si="834"/>
        <v>Empat Puluh Lima</v>
      </c>
    </row>
    <row r="8639" spans="1:12">
      <c r="J8639" s="31">
        <v>46</v>
      </c>
      <c r="K8639" s="33" t="s">
        <v>118</v>
      </c>
      <c r="L8639" s="31" t="str">
        <f t="shared" si="834"/>
        <v>Empat Puluh Enam</v>
      </c>
    </row>
    <row r="8640" spans="1:12">
      <c r="J8640" s="31">
        <v>47</v>
      </c>
      <c r="K8640" s="33" t="s">
        <v>119</v>
      </c>
      <c r="L8640" s="31" t="str">
        <f t="shared" si="834"/>
        <v>Empat Puluh Tujuh</v>
      </c>
    </row>
    <row r="8641" spans="10:12">
      <c r="J8641" s="31">
        <v>48</v>
      </c>
      <c r="K8641" s="33" t="s">
        <v>120</v>
      </c>
      <c r="L8641" s="31" t="str">
        <f t="shared" si="834"/>
        <v>Empat Puluh Delapan</v>
      </c>
    </row>
    <row r="8642" spans="10:12">
      <c r="J8642" s="31">
        <v>49</v>
      </c>
      <c r="K8642" s="33" t="s">
        <v>121</v>
      </c>
      <c r="L8642" s="31" t="str">
        <f t="shared" si="834"/>
        <v>Empat Puluh Sembilan</v>
      </c>
    </row>
    <row r="8643" spans="10:12">
      <c r="J8643" s="31">
        <v>50</v>
      </c>
      <c r="K8643" s="33" t="s">
        <v>122</v>
      </c>
      <c r="L8643" s="31" t="s">
        <v>123</v>
      </c>
    </row>
    <row r="8644" spans="10:12">
      <c r="J8644" s="31">
        <v>51</v>
      </c>
      <c r="K8644" s="33" t="s">
        <v>124</v>
      </c>
      <c r="L8644" s="31" t="str">
        <f t="shared" ref="L8644:L8652" si="835">$L$53&amp;" "&amp;L8594</f>
        <v>Lima Puluh Satu</v>
      </c>
    </row>
    <row r="8645" spans="10:12">
      <c r="J8645" s="31">
        <v>52</v>
      </c>
      <c r="K8645" s="33" t="s">
        <v>125</v>
      </c>
      <c r="L8645" s="31" t="str">
        <f t="shared" si="835"/>
        <v>Lima Puluh Dua</v>
      </c>
    </row>
    <row r="8646" spans="10:12">
      <c r="J8646" s="31">
        <v>53</v>
      </c>
      <c r="K8646" s="33" t="s">
        <v>126</v>
      </c>
      <c r="L8646" s="31" t="str">
        <f t="shared" si="835"/>
        <v>Lima Puluh Tiga</v>
      </c>
    </row>
    <row r="8647" spans="10:12">
      <c r="J8647" s="31">
        <v>54</v>
      </c>
      <c r="K8647" s="33" t="s">
        <v>127</v>
      </c>
      <c r="L8647" s="31" t="str">
        <f t="shared" si="835"/>
        <v>Lima Puluh Empat</v>
      </c>
    </row>
    <row r="8648" spans="10:12">
      <c r="J8648" s="31">
        <v>55</v>
      </c>
      <c r="K8648" s="33" t="s">
        <v>128</v>
      </c>
      <c r="L8648" s="31" t="str">
        <f t="shared" si="835"/>
        <v>Lima Puluh Lima</v>
      </c>
    </row>
    <row r="8649" spans="10:12">
      <c r="J8649" s="31">
        <v>56</v>
      </c>
      <c r="K8649" s="33" t="s">
        <v>129</v>
      </c>
      <c r="L8649" s="31" t="str">
        <f t="shared" si="835"/>
        <v>Lima Puluh Enam</v>
      </c>
    </row>
    <row r="8650" spans="10:12">
      <c r="J8650" s="31">
        <v>57</v>
      </c>
      <c r="K8650" s="33" t="s">
        <v>130</v>
      </c>
      <c r="L8650" s="31" t="str">
        <f t="shared" si="835"/>
        <v>Lima Puluh Tujuh</v>
      </c>
    </row>
    <row r="8651" spans="10:12">
      <c r="J8651" s="31">
        <v>58</v>
      </c>
      <c r="K8651" s="33" t="s">
        <v>131</v>
      </c>
      <c r="L8651" s="31" t="str">
        <f t="shared" si="835"/>
        <v>Lima Puluh Delapan</v>
      </c>
    </row>
    <row r="8652" spans="10:12">
      <c r="J8652" s="31">
        <v>59</v>
      </c>
      <c r="K8652" s="33" t="s">
        <v>132</v>
      </c>
      <c r="L8652" s="31" t="str">
        <f t="shared" si="835"/>
        <v>Lima Puluh Sembilan</v>
      </c>
    </row>
    <row r="8653" spans="10:12">
      <c r="J8653" s="31">
        <v>60</v>
      </c>
      <c r="K8653" s="33" t="s">
        <v>133</v>
      </c>
      <c r="L8653" s="31" t="s">
        <v>134</v>
      </c>
    </row>
    <row r="8654" spans="10:12">
      <c r="J8654" s="31">
        <v>61</v>
      </c>
      <c r="K8654" s="33" t="s">
        <v>135</v>
      </c>
      <c r="L8654" s="31" t="str">
        <f t="shared" ref="L8654:L8662" si="836">$L$63&amp;" "&amp;L8594</f>
        <v>Enam Puluh Satu</v>
      </c>
    </row>
    <row r="8655" spans="10:12">
      <c r="J8655" s="31">
        <v>62</v>
      </c>
      <c r="K8655" s="33" t="s">
        <v>136</v>
      </c>
      <c r="L8655" s="31" t="str">
        <f t="shared" si="836"/>
        <v>Enam Puluh Dua</v>
      </c>
    </row>
    <row r="8656" spans="10:12">
      <c r="J8656" s="31">
        <v>63</v>
      </c>
      <c r="K8656" s="33" t="s">
        <v>137</v>
      </c>
      <c r="L8656" s="31" t="str">
        <f t="shared" si="836"/>
        <v>Enam Puluh Tiga</v>
      </c>
    </row>
    <row r="8657" spans="10:12">
      <c r="J8657" s="31">
        <v>64</v>
      </c>
      <c r="K8657" s="33" t="s">
        <v>138</v>
      </c>
      <c r="L8657" s="31" t="str">
        <f t="shared" si="836"/>
        <v>Enam Puluh Empat</v>
      </c>
    </row>
    <row r="8658" spans="10:12">
      <c r="J8658" s="31">
        <v>65</v>
      </c>
      <c r="K8658" s="33" t="s">
        <v>139</v>
      </c>
      <c r="L8658" s="31" t="str">
        <f t="shared" si="836"/>
        <v>Enam Puluh Lima</v>
      </c>
    </row>
    <row r="8659" spans="10:12">
      <c r="J8659" s="31">
        <v>66</v>
      </c>
      <c r="K8659" s="33" t="s">
        <v>140</v>
      </c>
      <c r="L8659" s="31" t="str">
        <f t="shared" si="836"/>
        <v>Enam Puluh Enam</v>
      </c>
    </row>
    <row r="8660" spans="10:12">
      <c r="J8660" s="31">
        <v>67</v>
      </c>
      <c r="K8660" s="33" t="s">
        <v>141</v>
      </c>
      <c r="L8660" s="31" t="str">
        <f t="shared" si="836"/>
        <v>Enam Puluh Tujuh</v>
      </c>
    </row>
    <row r="8661" spans="10:12">
      <c r="J8661" s="31">
        <v>68</v>
      </c>
      <c r="K8661" s="33" t="s">
        <v>142</v>
      </c>
      <c r="L8661" s="31" t="str">
        <f t="shared" si="836"/>
        <v>Enam Puluh Delapan</v>
      </c>
    </row>
    <row r="8662" spans="10:12">
      <c r="J8662" s="31">
        <v>69</v>
      </c>
      <c r="K8662" s="33" t="s">
        <v>143</v>
      </c>
      <c r="L8662" s="31" t="str">
        <f t="shared" si="836"/>
        <v>Enam Puluh Sembilan</v>
      </c>
    </row>
    <row r="8663" spans="10:12">
      <c r="J8663" s="31">
        <v>70</v>
      </c>
      <c r="K8663" s="33" t="s">
        <v>144</v>
      </c>
      <c r="L8663" s="31" t="s">
        <v>145</v>
      </c>
    </row>
    <row r="8664" spans="10:12">
      <c r="J8664" s="31">
        <v>71</v>
      </c>
      <c r="K8664" s="33" t="s">
        <v>146</v>
      </c>
      <c r="L8664" s="31" t="str">
        <f t="shared" ref="L8664:L8672" si="837">$L$73&amp;" "&amp;L8594</f>
        <v>Tujuh Puluh Satu</v>
      </c>
    </row>
    <row r="8665" spans="10:12">
      <c r="J8665" s="31">
        <v>72</v>
      </c>
      <c r="K8665" s="33" t="s">
        <v>147</v>
      </c>
      <c r="L8665" s="31" t="str">
        <f t="shared" si="837"/>
        <v>Tujuh Puluh Dua</v>
      </c>
    </row>
    <row r="8666" spans="10:12">
      <c r="J8666" s="31">
        <v>73</v>
      </c>
      <c r="K8666" s="33" t="s">
        <v>148</v>
      </c>
      <c r="L8666" s="31" t="str">
        <f t="shared" si="837"/>
        <v>Tujuh Puluh Tiga</v>
      </c>
    </row>
    <row r="8667" spans="10:12">
      <c r="J8667" s="31">
        <v>74</v>
      </c>
      <c r="K8667" s="33" t="s">
        <v>149</v>
      </c>
      <c r="L8667" s="31" t="str">
        <f t="shared" si="837"/>
        <v>Tujuh Puluh Empat</v>
      </c>
    </row>
    <row r="8668" spans="10:12">
      <c r="J8668" s="31">
        <v>75</v>
      </c>
      <c r="K8668" s="33" t="s">
        <v>150</v>
      </c>
      <c r="L8668" s="31" t="str">
        <f t="shared" si="837"/>
        <v>Tujuh Puluh Lima</v>
      </c>
    </row>
    <row r="8669" spans="10:12">
      <c r="J8669" s="31">
        <v>76</v>
      </c>
      <c r="K8669" s="33" t="s">
        <v>151</v>
      </c>
      <c r="L8669" s="31" t="str">
        <f t="shared" si="837"/>
        <v>Tujuh Puluh Enam</v>
      </c>
    </row>
    <row r="8670" spans="10:12">
      <c r="J8670" s="31">
        <v>77</v>
      </c>
      <c r="K8670" s="33" t="s">
        <v>152</v>
      </c>
      <c r="L8670" s="31" t="str">
        <f t="shared" si="837"/>
        <v>Tujuh Puluh Tujuh</v>
      </c>
    </row>
    <row r="8671" spans="10:12">
      <c r="J8671" s="31">
        <v>78</v>
      </c>
      <c r="K8671" s="33" t="s">
        <v>153</v>
      </c>
      <c r="L8671" s="31" t="str">
        <f t="shared" si="837"/>
        <v>Tujuh Puluh Delapan</v>
      </c>
    </row>
    <row r="8672" spans="10:12">
      <c r="J8672" s="31">
        <v>79</v>
      </c>
      <c r="K8672" s="33" t="s">
        <v>154</v>
      </c>
      <c r="L8672" s="31" t="str">
        <f t="shared" si="837"/>
        <v>Tujuh Puluh Sembilan</v>
      </c>
    </row>
    <row r="8673" spans="10:12">
      <c r="J8673" s="31">
        <v>80</v>
      </c>
      <c r="K8673" s="33" t="s">
        <v>155</v>
      </c>
      <c r="L8673" s="31" t="s">
        <v>156</v>
      </c>
    </row>
    <row r="8674" spans="10:12">
      <c r="J8674" s="31">
        <v>81</v>
      </c>
      <c r="K8674" s="33" t="s">
        <v>157</v>
      </c>
      <c r="L8674" s="31" t="str">
        <f t="shared" ref="L8674:L8682" si="838">$L$83&amp;" "&amp;L8594</f>
        <v>Delapan Puluh Satu</v>
      </c>
    </row>
    <row r="8675" spans="10:12">
      <c r="J8675" s="31">
        <v>82</v>
      </c>
      <c r="K8675" s="33" t="s">
        <v>158</v>
      </c>
      <c r="L8675" s="31" t="str">
        <f t="shared" si="838"/>
        <v>Delapan Puluh Dua</v>
      </c>
    </row>
    <row r="8676" spans="10:12">
      <c r="J8676" s="31">
        <v>83</v>
      </c>
      <c r="K8676" s="33" t="s">
        <v>159</v>
      </c>
      <c r="L8676" s="31" t="str">
        <f t="shared" si="838"/>
        <v>Delapan Puluh Tiga</v>
      </c>
    </row>
    <row r="8677" spans="10:12">
      <c r="J8677" s="31">
        <v>84</v>
      </c>
      <c r="K8677" s="33" t="s">
        <v>160</v>
      </c>
      <c r="L8677" s="31" t="str">
        <f t="shared" si="838"/>
        <v>Delapan Puluh Empat</v>
      </c>
    </row>
    <row r="8678" spans="10:12">
      <c r="J8678" s="31">
        <v>85</v>
      </c>
      <c r="K8678" s="33" t="s">
        <v>161</v>
      </c>
      <c r="L8678" s="31" t="str">
        <f t="shared" si="838"/>
        <v>Delapan Puluh Lima</v>
      </c>
    </row>
    <row r="8679" spans="10:12">
      <c r="J8679" s="31">
        <v>86</v>
      </c>
      <c r="K8679" s="33" t="s">
        <v>162</v>
      </c>
      <c r="L8679" s="31" t="str">
        <f t="shared" si="838"/>
        <v>Delapan Puluh Enam</v>
      </c>
    </row>
    <row r="8680" spans="10:12">
      <c r="J8680" s="31">
        <v>87</v>
      </c>
      <c r="K8680" s="33" t="s">
        <v>163</v>
      </c>
      <c r="L8680" s="31" t="str">
        <f t="shared" si="838"/>
        <v>Delapan Puluh Tujuh</v>
      </c>
    </row>
    <row r="8681" spans="10:12">
      <c r="J8681" s="31">
        <v>88</v>
      </c>
      <c r="K8681" s="33" t="s">
        <v>164</v>
      </c>
      <c r="L8681" s="31" t="str">
        <f t="shared" si="838"/>
        <v>Delapan Puluh Delapan</v>
      </c>
    </row>
    <row r="8682" spans="10:12">
      <c r="J8682" s="31">
        <v>89</v>
      </c>
      <c r="K8682" s="33" t="s">
        <v>165</v>
      </c>
      <c r="L8682" s="31" t="str">
        <f t="shared" si="838"/>
        <v>Delapan Puluh Sembilan</v>
      </c>
    </row>
    <row r="8683" spans="10:12">
      <c r="J8683" s="31">
        <v>90</v>
      </c>
      <c r="K8683" s="33" t="s">
        <v>166</v>
      </c>
      <c r="L8683" s="31" t="s">
        <v>167</v>
      </c>
    </row>
    <row r="8684" spans="10:12">
      <c r="J8684" s="31">
        <v>91</v>
      </c>
      <c r="K8684" s="33" t="s">
        <v>168</v>
      </c>
      <c r="L8684" s="31" t="str">
        <f t="shared" ref="L8684:L8692" si="839">$L$93&amp;" "&amp;L8594</f>
        <v>Sembilan Puluh Satu</v>
      </c>
    </row>
    <row r="8685" spans="10:12">
      <c r="J8685" s="31">
        <v>92</v>
      </c>
      <c r="K8685" s="33" t="s">
        <v>169</v>
      </c>
      <c r="L8685" s="31" t="str">
        <f t="shared" si="839"/>
        <v>Sembilan Puluh Dua</v>
      </c>
    </row>
    <row r="8686" spans="10:12">
      <c r="J8686" s="31">
        <v>93</v>
      </c>
      <c r="K8686" s="33" t="s">
        <v>170</v>
      </c>
      <c r="L8686" s="31" t="str">
        <f t="shared" si="839"/>
        <v>Sembilan Puluh Tiga</v>
      </c>
    </row>
    <row r="8687" spans="10:12">
      <c r="J8687" s="31">
        <v>94</v>
      </c>
      <c r="K8687" s="33" t="s">
        <v>171</v>
      </c>
      <c r="L8687" s="31" t="str">
        <f t="shared" si="839"/>
        <v>Sembilan Puluh Empat</v>
      </c>
    </row>
    <row r="8688" spans="10:12">
      <c r="J8688" s="31">
        <v>95</v>
      </c>
      <c r="K8688" s="33" t="s">
        <v>172</v>
      </c>
      <c r="L8688" s="31" t="str">
        <f t="shared" si="839"/>
        <v>Sembilan Puluh Lima</v>
      </c>
    </row>
    <row r="8689" spans="1:12">
      <c r="J8689" s="31">
        <v>96</v>
      </c>
      <c r="K8689" s="33" t="s">
        <v>173</v>
      </c>
      <c r="L8689" s="31" t="str">
        <f t="shared" si="839"/>
        <v>Sembilan Puluh Enam</v>
      </c>
    </row>
    <row r="8690" spans="1:12">
      <c r="J8690" s="31">
        <v>97</v>
      </c>
      <c r="K8690" s="33" t="s">
        <v>174</v>
      </c>
      <c r="L8690" s="31" t="str">
        <f t="shared" si="839"/>
        <v>Sembilan Puluh Tujuh</v>
      </c>
    </row>
    <row r="8691" spans="1:12">
      <c r="J8691" s="31">
        <v>98</v>
      </c>
      <c r="K8691" s="33" t="s">
        <v>175</v>
      </c>
      <c r="L8691" s="31" t="str">
        <f t="shared" si="839"/>
        <v>Sembilan Puluh Delapan</v>
      </c>
    </row>
    <row r="8692" spans="1:12">
      <c r="J8692" s="31">
        <v>99</v>
      </c>
      <c r="K8692" s="33" t="s">
        <v>176</v>
      </c>
      <c r="L8692" s="31" t="str">
        <f t="shared" si="839"/>
        <v>Sembilan Puluh Sembilan</v>
      </c>
    </row>
    <row r="8695" spans="1:12">
      <c r="A8695" s="30" t="e">
        <f>#REF!</f>
        <v>#REF!</v>
      </c>
      <c r="C8695" s="31" t="s">
        <v>283</v>
      </c>
    </row>
    <row r="8696" spans="1:12">
      <c r="A8696" s="32"/>
    </row>
    <row r="8697" spans="1:12">
      <c r="J8697" s="31">
        <v>0</v>
      </c>
      <c r="K8697" s="33" t="s">
        <v>48</v>
      </c>
      <c r="L8697" s="31" t="s">
        <v>49</v>
      </c>
    </row>
    <row r="8698" spans="1:12">
      <c r="A8698" s="34"/>
      <c r="J8698" s="31">
        <v>1</v>
      </c>
      <c r="K8698" s="33" t="s">
        <v>50</v>
      </c>
      <c r="L8698" s="31" t="s">
        <v>51</v>
      </c>
    </row>
    <row r="8699" spans="1:12">
      <c r="A8699" s="255" t="e">
        <f>TRIM(D8707&amp;E8707&amp;D8708&amp;E8708&amp;D8709&amp;E8709&amp;D8710&amp;E8710&amp;D8711&amp;E8711&amp;D8712&amp;E8712&amp;E8713&amp;D8713&amp;" Only")</f>
        <v>#REF!</v>
      </c>
      <c r="B8699" s="255"/>
      <c r="C8699" s="255"/>
      <c r="D8699" s="255"/>
      <c r="E8699" s="35"/>
      <c r="F8699" s="36"/>
      <c r="J8699" s="31">
        <v>2</v>
      </c>
      <c r="K8699" s="33" t="s">
        <v>52</v>
      </c>
      <c r="L8699" s="31" t="s">
        <v>53</v>
      </c>
    </row>
    <row r="8700" spans="1:12">
      <c r="A8700" s="37"/>
      <c r="B8700" s="37"/>
      <c r="C8700" s="37"/>
      <c r="D8700" s="37"/>
      <c r="E8700" s="35"/>
      <c r="F8700" s="36"/>
      <c r="J8700" s="31">
        <v>3</v>
      </c>
      <c r="K8700" s="33" t="s">
        <v>54</v>
      </c>
      <c r="L8700" s="31" t="s">
        <v>55</v>
      </c>
    </row>
    <row r="8701" spans="1:12">
      <c r="A8701" s="37"/>
      <c r="B8701" s="37"/>
      <c r="C8701" s="37"/>
      <c r="D8701" s="37"/>
      <c r="J8701" s="31">
        <v>4</v>
      </c>
      <c r="K8701" s="33" t="s">
        <v>56</v>
      </c>
      <c r="L8701" s="31" t="s">
        <v>57</v>
      </c>
    </row>
    <row r="8702" spans="1:12">
      <c r="A8702" s="255" t="e">
        <f>TRIM(D8717&amp;E8717&amp;D8718&amp;E8718&amp;D8719&amp;E8719&amp;D8720&amp;E8720&amp;D8721&amp;E8721&amp;D8722&amp;E8722&amp;D8723&amp;E8723&amp;" Rupiah")</f>
        <v>#REF!</v>
      </c>
      <c r="B8702" s="255"/>
      <c r="C8702" s="255"/>
      <c r="D8702" s="255"/>
      <c r="E8702" s="35"/>
      <c r="F8702" s="36"/>
      <c r="J8702" s="31">
        <v>5</v>
      </c>
      <c r="K8702" s="33" t="s">
        <v>58</v>
      </c>
      <c r="L8702" s="31" t="s">
        <v>59</v>
      </c>
    </row>
    <row r="8703" spans="1:12">
      <c r="A8703" s="35"/>
      <c r="B8703" s="35"/>
      <c r="C8703" s="35"/>
      <c r="D8703" s="35"/>
      <c r="E8703" s="35"/>
      <c r="F8703" s="36"/>
      <c r="J8703" s="31">
        <v>6</v>
      </c>
      <c r="K8703" s="33" t="s">
        <v>60</v>
      </c>
      <c r="L8703" s="31" t="s">
        <v>61</v>
      </c>
    </row>
    <row r="8704" spans="1:12">
      <c r="J8704" s="31">
        <v>7</v>
      </c>
      <c r="K8704" s="33" t="s">
        <v>62</v>
      </c>
      <c r="L8704" s="31" t="s">
        <v>63</v>
      </c>
    </row>
    <row r="8705" spans="1:12">
      <c r="J8705" s="31">
        <v>8</v>
      </c>
      <c r="K8705" s="33" t="s">
        <v>64</v>
      </c>
      <c r="L8705" s="31" t="s">
        <v>65</v>
      </c>
    </row>
    <row r="8706" spans="1:12">
      <c r="A8706" s="38" t="s">
        <v>66</v>
      </c>
      <c r="J8706" s="31">
        <v>9</v>
      </c>
      <c r="K8706" s="33" t="s">
        <v>67</v>
      </c>
      <c r="L8706" s="31" t="s">
        <v>68</v>
      </c>
    </row>
    <row r="8707" spans="1:12">
      <c r="A8707" s="31" t="s">
        <v>69</v>
      </c>
      <c r="B8707" s="39" t="e">
        <f>TRUNC(A8695/100000000)</f>
        <v>#REF!</v>
      </c>
      <c r="C8707" s="31" t="e">
        <f>B8707*100000000</f>
        <v>#REF!</v>
      </c>
      <c r="D8707" s="31" t="e">
        <f t="shared" ref="D8707:D8713" si="840">IF(B8707&lt;1,"",VLOOKUP(B8707,$J$3:$K$102,2))</f>
        <v>#REF!</v>
      </c>
      <c r="E8707" s="31" t="e">
        <f>IF(B8707&lt;1,"",IF(B8707&gt;1," Hundreds "," Hundred "))</f>
        <v>#REF!</v>
      </c>
      <c r="J8707" s="31">
        <v>10</v>
      </c>
      <c r="K8707" s="33" t="s">
        <v>70</v>
      </c>
      <c r="L8707" s="31" t="s">
        <v>71</v>
      </c>
    </row>
    <row r="8708" spans="1:12">
      <c r="A8708" s="31" t="s">
        <v>72</v>
      </c>
      <c r="B8708" s="39" t="e">
        <f>TRUNC((A8695-C8707)/1000000)</f>
        <v>#REF!</v>
      </c>
      <c r="C8708" s="31" t="e">
        <f>B8708*1000000</f>
        <v>#REF!</v>
      </c>
      <c r="D8708" s="31" t="e">
        <f t="shared" si="840"/>
        <v>#REF!</v>
      </c>
      <c r="E8708" s="31" t="e">
        <f>IF(B8707+B8708=0,"",IF(B8708=1," Million "," Millions "))</f>
        <v>#REF!</v>
      </c>
      <c r="J8708" s="31">
        <v>11</v>
      </c>
      <c r="K8708" s="33" t="s">
        <v>73</v>
      </c>
      <c r="L8708" s="31" t="s">
        <v>74</v>
      </c>
    </row>
    <row r="8709" spans="1:12">
      <c r="A8709" s="31" t="s">
        <v>75</v>
      </c>
      <c r="B8709" s="39" t="e">
        <f>TRUNC((A8695-SUM(C8707:C8708))/100000)</f>
        <v>#REF!</v>
      </c>
      <c r="C8709" s="31" t="e">
        <f>B8709*100000</f>
        <v>#REF!</v>
      </c>
      <c r="D8709" s="31" t="e">
        <f t="shared" si="840"/>
        <v>#REF!</v>
      </c>
      <c r="E8709" s="31" t="e">
        <f>IF(B8709&lt;1,"",IF(B8709&gt;1," Hundreds "," Hundred "))</f>
        <v>#REF!</v>
      </c>
      <c r="J8709" s="31">
        <v>12</v>
      </c>
      <c r="K8709" s="33" t="s">
        <v>76</v>
      </c>
      <c r="L8709" s="31" t="str">
        <f t="shared" ref="L8709:L8716" si="841">L8699&amp;" Belas"</f>
        <v>Dua Belas</v>
      </c>
    </row>
    <row r="8710" spans="1:12">
      <c r="A8710" s="33" t="s">
        <v>77</v>
      </c>
      <c r="B8710" s="40" t="e">
        <f>TRUNC((A8695-SUM(C8707:C8709))/1000)</f>
        <v>#REF!</v>
      </c>
      <c r="C8710" s="31" t="e">
        <f>B8710*1000</f>
        <v>#REF!</v>
      </c>
      <c r="D8710" s="31" t="e">
        <f t="shared" si="840"/>
        <v>#REF!</v>
      </c>
      <c r="E8710" s="31" t="e">
        <f>IF(B8709+B8710=0,"",IF(B8710=1," Thousand "," Thousands "))</f>
        <v>#REF!</v>
      </c>
      <c r="J8710" s="31">
        <v>13</v>
      </c>
      <c r="K8710" s="33" t="s">
        <v>78</v>
      </c>
      <c r="L8710" s="31" t="str">
        <f t="shared" si="841"/>
        <v>Tiga Belas</v>
      </c>
    </row>
    <row r="8711" spans="1:12">
      <c r="A8711" s="33" t="s">
        <v>79</v>
      </c>
      <c r="B8711" s="40" t="e">
        <f>TRUNC((A8695-SUM(C8707:C8710))/100)</f>
        <v>#REF!</v>
      </c>
      <c r="C8711" s="31" t="e">
        <f>B8711*100</f>
        <v>#REF!</v>
      </c>
      <c r="D8711" s="31" t="e">
        <f t="shared" si="840"/>
        <v>#REF!</v>
      </c>
      <c r="E8711" s="31" t="e">
        <f>IF(B8711&lt;1,"",IF(B8711&gt;1," Hundreds "," Hundred "))</f>
        <v>#REF!</v>
      </c>
      <c r="J8711" s="31">
        <v>14</v>
      </c>
      <c r="K8711" s="33" t="s">
        <v>80</v>
      </c>
      <c r="L8711" s="31" t="str">
        <f t="shared" si="841"/>
        <v>Empat Belas</v>
      </c>
    </row>
    <row r="8712" spans="1:12">
      <c r="A8712" s="33" t="s">
        <v>81</v>
      </c>
      <c r="B8712" s="41" t="e">
        <f>TRUNC((A8695-SUM(C8707:C8711)))</f>
        <v>#REF!</v>
      </c>
      <c r="C8712" s="42" t="e">
        <f>B8712</f>
        <v>#REF!</v>
      </c>
      <c r="D8712" s="31" t="e">
        <f t="shared" si="840"/>
        <v>#REF!</v>
      </c>
      <c r="E8712" s="31" t="e">
        <f>IF(SUM(C8707:C8712)&lt;1,"",IF(B8713&lt;1,""," And "))</f>
        <v>#REF!</v>
      </c>
      <c r="J8712" s="31">
        <v>15</v>
      </c>
      <c r="K8712" s="33" t="s">
        <v>82</v>
      </c>
      <c r="L8712" s="31" t="str">
        <f t="shared" si="841"/>
        <v>Lima Belas</v>
      </c>
    </row>
    <row r="8713" spans="1:12">
      <c r="A8713" s="33" t="s">
        <v>83</v>
      </c>
      <c r="B8713" s="40" t="e">
        <f>ROUND(A8695-SUM(C8707:C8712),2)*100</f>
        <v>#REF!</v>
      </c>
      <c r="D8713" s="43" t="e">
        <f t="shared" si="840"/>
        <v>#REF!</v>
      </c>
      <c r="E8713" s="31" t="e">
        <f>IF(B8713&lt;1,"",IF(B8713=1," Cent "," Cents "))</f>
        <v>#REF!</v>
      </c>
      <c r="J8713" s="31">
        <v>16</v>
      </c>
      <c r="K8713" s="33" t="s">
        <v>84</v>
      </c>
      <c r="L8713" s="31" t="str">
        <f t="shared" si="841"/>
        <v>Enam Belas</v>
      </c>
    </row>
    <row r="8714" spans="1:12">
      <c r="J8714" s="31">
        <v>17</v>
      </c>
      <c r="K8714" s="33" t="s">
        <v>85</v>
      </c>
      <c r="L8714" s="31" t="str">
        <f t="shared" si="841"/>
        <v>Tujuh Belas</v>
      </c>
    </row>
    <row r="8715" spans="1:12">
      <c r="A8715" s="44"/>
      <c r="J8715" s="31">
        <v>18</v>
      </c>
      <c r="K8715" s="33" t="s">
        <v>86</v>
      </c>
      <c r="L8715" s="31" t="str">
        <f t="shared" si="841"/>
        <v>Delapan Belas</v>
      </c>
    </row>
    <row r="8716" spans="1:12">
      <c r="A8716" s="38" t="s">
        <v>87</v>
      </c>
      <c r="J8716" s="31">
        <v>19</v>
      </c>
      <c r="K8716" s="33" t="s">
        <v>88</v>
      </c>
      <c r="L8716" s="31" t="str">
        <f t="shared" si="841"/>
        <v>Sembilan Belas</v>
      </c>
    </row>
    <row r="8717" spans="1:12">
      <c r="A8717" s="31" t="s">
        <v>69</v>
      </c>
      <c r="B8717" s="39" t="e">
        <f>TRUNC(A8695/100000000)</f>
        <v>#REF!</v>
      </c>
      <c r="C8717" s="31" t="e">
        <f>B8717*100000000</f>
        <v>#REF!</v>
      </c>
      <c r="D8717" s="31" t="e">
        <f>IF(B8717&lt;1,"",IF(B8717=1,"",VLOOKUP(B8717,$J$3:$L$102,3)))</f>
        <v>#REF!</v>
      </c>
      <c r="E8717" s="31" t="e">
        <f>IF(B8717&lt;1,"",IF(B8717=1,"Seratus "," Ratus "))</f>
        <v>#REF!</v>
      </c>
      <c r="J8717" s="31">
        <v>20</v>
      </c>
      <c r="K8717" s="33" t="s">
        <v>89</v>
      </c>
      <c r="L8717" s="31" t="s">
        <v>90</v>
      </c>
    </row>
    <row r="8718" spans="1:12">
      <c r="A8718" s="31" t="s">
        <v>72</v>
      </c>
      <c r="B8718" s="39" t="e">
        <f>TRUNC((A8695-C8717)/1000000)</f>
        <v>#REF!</v>
      </c>
      <c r="C8718" s="31" t="e">
        <f>B8718*1000000</f>
        <v>#REF!</v>
      </c>
      <c r="D8718" s="31" t="e">
        <f>IF(B8718&lt;1,"",VLOOKUP(B8718,$J$3:$L$102,3))</f>
        <v>#REF!</v>
      </c>
      <c r="E8718" s="31" t="e">
        <f>IF(B8717+B8718=0,""," Juta ")</f>
        <v>#REF!</v>
      </c>
      <c r="J8718" s="31">
        <v>21</v>
      </c>
      <c r="K8718" s="33" t="s">
        <v>91</v>
      </c>
      <c r="L8718" s="31" t="str">
        <f t="shared" ref="L8718:L8726" si="842">$L$23&amp;" "&amp;L8698</f>
        <v>Dua Puluh Satu</v>
      </c>
    </row>
    <row r="8719" spans="1:12">
      <c r="A8719" s="31" t="s">
        <v>75</v>
      </c>
      <c r="B8719" s="39" t="e">
        <f>TRUNC((A8695-SUM(C8717:C8718))/100000)</f>
        <v>#REF!</v>
      </c>
      <c r="C8719" s="31" t="e">
        <f>B8719*100000</f>
        <v>#REF!</v>
      </c>
      <c r="D8719" s="31" t="e">
        <f>IF(B8719&lt;1,"",IF(B8719=1,"",VLOOKUP(B8719,$J$3:$L$102,3)))</f>
        <v>#REF!</v>
      </c>
      <c r="E8719" s="31" t="e">
        <f>IF(B8719&lt;1,"",IF(B8719=1," Seratus "," Ratus "))</f>
        <v>#REF!</v>
      </c>
      <c r="J8719" s="31">
        <v>22</v>
      </c>
      <c r="K8719" s="33" t="s">
        <v>92</v>
      </c>
      <c r="L8719" s="31" t="str">
        <f t="shared" si="842"/>
        <v>Dua Puluh Dua</v>
      </c>
    </row>
    <row r="8720" spans="1:12">
      <c r="A8720" s="33" t="s">
        <v>77</v>
      </c>
      <c r="B8720" s="40" t="e">
        <f>TRUNC((A8695-SUM(C8717:C8719))/1000)</f>
        <v>#REF!</v>
      </c>
      <c r="C8720" s="31" t="e">
        <f>B8720*1000</f>
        <v>#REF!</v>
      </c>
      <c r="D8720" s="31" t="e">
        <f>IF(B8720&lt;1,"",IF(B8720=1,"",VLOOKUP(B8720,$J$3:$L$102,3)))</f>
        <v>#REF!</v>
      </c>
      <c r="E8720" s="31" t="e">
        <f>IF(B8719+B8720&lt;1,"",IF(B8720=1," Seribu "," Ribu "))</f>
        <v>#REF!</v>
      </c>
      <c r="J8720" s="31">
        <v>23</v>
      </c>
      <c r="K8720" s="33" t="s">
        <v>93</v>
      </c>
      <c r="L8720" s="31" t="str">
        <f t="shared" si="842"/>
        <v>Dua Puluh Tiga</v>
      </c>
    </row>
    <row r="8721" spans="1:12">
      <c r="A8721" s="33" t="s">
        <v>79</v>
      </c>
      <c r="B8721" s="40" t="e">
        <f>TRUNC((A8695-SUM(C8717:C8720))/100)</f>
        <v>#REF!</v>
      </c>
      <c r="C8721" s="31" t="e">
        <f>B8721*100</f>
        <v>#REF!</v>
      </c>
      <c r="D8721" s="31" t="e">
        <f>IF(B8721&lt;1,"",IF(B8721=1,"",VLOOKUP(B8721,$J$3:$L$102,3)))</f>
        <v>#REF!</v>
      </c>
      <c r="E8721" s="31" t="e">
        <f>IF(B8721&lt;1,"",IF(B8721=1," Seratus "," Ratus "))</f>
        <v>#REF!</v>
      </c>
      <c r="J8721" s="31">
        <v>24</v>
      </c>
      <c r="K8721" s="33" t="s">
        <v>94</v>
      </c>
      <c r="L8721" s="31" t="str">
        <f t="shared" si="842"/>
        <v>Dua Puluh Empat</v>
      </c>
    </row>
    <row r="8722" spans="1:12">
      <c r="A8722" s="33" t="s">
        <v>81</v>
      </c>
      <c r="B8722" s="41" t="e">
        <f>TRUNC((A8695-SUM(C8717:C8721)))</f>
        <v>#REF!</v>
      </c>
      <c r="C8722" s="42" t="e">
        <f>B8722</f>
        <v>#REF!</v>
      </c>
      <c r="D8722" s="31" t="e">
        <f>IF(B8722&lt;1,"",VLOOKUP(B8722,$J$3:$L$102,3))</f>
        <v>#REF!</v>
      </c>
      <c r="E8722" s="31" t="e">
        <f>IF(SUM(C8717:C8722)&lt;1,"",IF(B8723&lt;1,""," Dan "))</f>
        <v>#REF!</v>
      </c>
      <c r="J8722" s="31">
        <v>25</v>
      </c>
      <c r="K8722" s="33" t="s">
        <v>95</v>
      </c>
      <c r="L8722" s="31" t="str">
        <f t="shared" si="842"/>
        <v>Dua Puluh Lima</v>
      </c>
    </row>
    <row r="8723" spans="1:12">
      <c r="A8723" s="33" t="s">
        <v>83</v>
      </c>
      <c r="B8723" s="40" t="e">
        <f>ROUND(A8695-SUM(C8717:C8722),2)*100</f>
        <v>#REF!</v>
      </c>
      <c r="D8723" s="31" t="e">
        <f>IF(B8723&lt;1,"",VLOOKUP(B8723,$J$3:$L$102,3))</f>
        <v>#REF!</v>
      </c>
      <c r="E8723" s="31" t="e">
        <f>IF(B8723&lt;1,""," Sen ")</f>
        <v>#REF!</v>
      </c>
      <c r="J8723" s="31">
        <v>26</v>
      </c>
      <c r="K8723" s="33" t="s">
        <v>96</v>
      </c>
      <c r="L8723" s="31" t="str">
        <f t="shared" si="842"/>
        <v>Dua Puluh Enam</v>
      </c>
    </row>
    <row r="8724" spans="1:12">
      <c r="J8724" s="31">
        <v>27</v>
      </c>
      <c r="K8724" s="33" t="s">
        <v>97</v>
      </c>
      <c r="L8724" s="31" t="str">
        <f t="shared" si="842"/>
        <v>Dua Puluh Tujuh</v>
      </c>
    </row>
    <row r="8725" spans="1:12">
      <c r="J8725" s="31">
        <v>28</v>
      </c>
      <c r="K8725" s="33" t="s">
        <v>98</v>
      </c>
      <c r="L8725" s="31" t="str">
        <f t="shared" si="842"/>
        <v>Dua Puluh Delapan</v>
      </c>
    </row>
    <row r="8726" spans="1:12">
      <c r="J8726" s="31">
        <v>29</v>
      </c>
      <c r="K8726" s="33" t="s">
        <v>99</v>
      </c>
      <c r="L8726" s="31" t="str">
        <f t="shared" si="842"/>
        <v>Dua Puluh Sembilan</v>
      </c>
    </row>
    <row r="8727" spans="1:12">
      <c r="J8727" s="31">
        <v>30</v>
      </c>
      <c r="K8727" s="33" t="s">
        <v>100</v>
      </c>
      <c r="L8727" s="31" t="s">
        <v>101</v>
      </c>
    </row>
    <row r="8728" spans="1:12">
      <c r="J8728" s="31">
        <v>31</v>
      </c>
      <c r="K8728" s="33" t="s">
        <v>102</v>
      </c>
      <c r="L8728" s="31" t="str">
        <f t="shared" ref="L8728:L8736" si="843">$L$33&amp;" "&amp;L8698</f>
        <v>Tiga Puluh Satu</v>
      </c>
    </row>
    <row r="8729" spans="1:12">
      <c r="J8729" s="31">
        <v>32</v>
      </c>
      <c r="K8729" s="33" t="s">
        <v>103</v>
      </c>
      <c r="L8729" s="31" t="str">
        <f t="shared" si="843"/>
        <v>Tiga Puluh Dua</v>
      </c>
    </row>
    <row r="8730" spans="1:12">
      <c r="J8730" s="31">
        <v>33</v>
      </c>
      <c r="K8730" s="33" t="s">
        <v>104</v>
      </c>
      <c r="L8730" s="31" t="str">
        <f t="shared" si="843"/>
        <v>Tiga Puluh Tiga</v>
      </c>
    </row>
    <row r="8731" spans="1:12">
      <c r="J8731" s="31">
        <v>34</v>
      </c>
      <c r="K8731" s="33" t="s">
        <v>105</v>
      </c>
      <c r="L8731" s="31" t="str">
        <f t="shared" si="843"/>
        <v>Tiga Puluh Empat</v>
      </c>
    </row>
    <row r="8732" spans="1:12">
      <c r="J8732" s="31">
        <v>35</v>
      </c>
      <c r="K8732" s="33" t="s">
        <v>106</v>
      </c>
      <c r="L8732" s="31" t="str">
        <f t="shared" si="843"/>
        <v>Tiga Puluh Lima</v>
      </c>
    </row>
    <row r="8733" spans="1:12">
      <c r="J8733" s="31">
        <v>36</v>
      </c>
      <c r="K8733" s="33" t="s">
        <v>107</v>
      </c>
      <c r="L8733" s="31" t="str">
        <f t="shared" si="843"/>
        <v>Tiga Puluh Enam</v>
      </c>
    </row>
    <row r="8734" spans="1:12">
      <c r="J8734" s="31">
        <v>37</v>
      </c>
      <c r="K8734" s="33" t="s">
        <v>108</v>
      </c>
      <c r="L8734" s="31" t="str">
        <f t="shared" si="843"/>
        <v>Tiga Puluh Tujuh</v>
      </c>
    </row>
    <row r="8735" spans="1:12">
      <c r="J8735" s="31">
        <v>38</v>
      </c>
      <c r="K8735" s="33" t="s">
        <v>109</v>
      </c>
      <c r="L8735" s="31" t="str">
        <f t="shared" si="843"/>
        <v>Tiga Puluh Delapan</v>
      </c>
    </row>
    <row r="8736" spans="1:12">
      <c r="J8736" s="31">
        <v>39</v>
      </c>
      <c r="K8736" s="33" t="s">
        <v>110</v>
      </c>
      <c r="L8736" s="31" t="str">
        <f t="shared" si="843"/>
        <v>Tiga Puluh Sembilan</v>
      </c>
    </row>
    <row r="8737" spans="1:12">
      <c r="B8737" s="35"/>
      <c r="C8737" s="35"/>
      <c r="D8737" s="35"/>
      <c r="J8737" s="31">
        <v>40</v>
      </c>
      <c r="K8737" s="33" t="s">
        <v>111</v>
      </c>
      <c r="L8737" s="31" t="s">
        <v>112</v>
      </c>
    </row>
    <row r="8738" spans="1:12">
      <c r="A8738" s="35"/>
      <c r="B8738" s="35"/>
      <c r="C8738" s="35"/>
      <c r="D8738" s="35"/>
      <c r="J8738" s="31">
        <v>41</v>
      </c>
      <c r="K8738" s="33" t="s">
        <v>113</v>
      </c>
      <c r="L8738" s="31" t="str">
        <f t="shared" ref="L8738:L8746" si="844">$L$43&amp;" "&amp;L8698</f>
        <v>Empat Puluh Satu</v>
      </c>
    </row>
    <row r="8739" spans="1:12">
      <c r="J8739" s="31">
        <v>42</v>
      </c>
      <c r="K8739" s="33" t="s">
        <v>114</v>
      </c>
      <c r="L8739" s="31" t="str">
        <f t="shared" si="844"/>
        <v>Empat Puluh Dua</v>
      </c>
    </row>
    <row r="8740" spans="1:12">
      <c r="A8740" s="38"/>
      <c r="J8740" s="31">
        <v>43</v>
      </c>
      <c r="K8740" s="33" t="s">
        <v>115</v>
      </c>
      <c r="L8740" s="31" t="str">
        <f t="shared" si="844"/>
        <v>Empat Puluh Tiga</v>
      </c>
    </row>
    <row r="8741" spans="1:12">
      <c r="J8741" s="31">
        <v>44</v>
      </c>
      <c r="K8741" s="33" t="s">
        <v>116</v>
      </c>
      <c r="L8741" s="31" t="str">
        <f t="shared" si="844"/>
        <v>Empat Puluh Empat</v>
      </c>
    </row>
    <row r="8742" spans="1:12">
      <c r="J8742" s="31">
        <v>45</v>
      </c>
      <c r="K8742" s="33" t="s">
        <v>117</v>
      </c>
      <c r="L8742" s="31" t="str">
        <f t="shared" si="844"/>
        <v>Empat Puluh Lima</v>
      </c>
    </row>
    <row r="8743" spans="1:12">
      <c r="J8743" s="31">
        <v>46</v>
      </c>
      <c r="K8743" s="33" t="s">
        <v>118</v>
      </c>
      <c r="L8743" s="31" t="str">
        <f t="shared" si="844"/>
        <v>Empat Puluh Enam</v>
      </c>
    </row>
    <row r="8744" spans="1:12">
      <c r="J8744" s="31">
        <v>47</v>
      </c>
      <c r="K8744" s="33" t="s">
        <v>119</v>
      </c>
      <c r="L8744" s="31" t="str">
        <f t="shared" si="844"/>
        <v>Empat Puluh Tujuh</v>
      </c>
    </row>
    <row r="8745" spans="1:12">
      <c r="J8745" s="31">
        <v>48</v>
      </c>
      <c r="K8745" s="33" t="s">
        <v>120</v>
      </c>
      <c r="L8745" s="31" t="str">
        <f t="shared" si="844"/>
        <v>Empat Puluh Delapan</v>
      </c>
    </row>
    <row r="8746" spans="1:12">
      <c r="J8746" s="31">
        <v>49</v>
      </c>
      <c r="K8746" s="33" t="s">
        <v>121</v>
      </c>
      <c r="L8746" s="31" t="str">
        <f t="shared" si="844"/>
        <v>Empat Puluh Sembilan</v>
      </c>
    </row>
    <row r="8747" spans="1:12">
      <c r="J8747" s="31">
        <v>50</v>
      </c>
      <c r="K8747" s="33" t="s">
        <v>122</v>
      </c>
      <c r="L8747" s="31" t="s">
        <v>123</v>
      </c>
    </row>
    <row r="8748" spans="1:12">
      <c r="J8748" s="31">
        <v>51</v>
      </c>
      <c r="K8748" s="33" t="s">
        <v>124</v>
      </c>
      <c r="L8748" s="31" t="str">
        <f t="shared" ref="L8748:L8756" si="845">$L$53&amp;" "&amp;L8698</f>
        <v>Lima Puluh Satu</v>
      </c>
    </row>
    <row r="8749" spans="1:12">
      <c r="J8749" s="31">
        <v>52</v>
      </c>
      <c r="K8749" s="33" t="s">
        <v>125</v>
      </c>
      <c r="L8749" s="31" t="str">
        <f t="shared" si="845"/>
        <v>Lima Puluh Dua</v>
      </c>
    </row>
    <row r="8750" spans="1:12">
      <c r="J8750" s="31">
        <v>53</v>
      </c>
      <c r="K8750" s="33" t="s">
        <v>126</v>
      </c>
      <c r="L8750" s="31" t="str">
        <f t="shared" si="845"/>
        <v>Lima Puluh Tiga</v>
      </c>
    </row>
    <row r="8751" spans="1:12">
      <c r="J8751" s="31">
        <v>54</v>
      </c>
      <c r="K8751" s="33" t="s">
        <v>127</v>
      </c>
      <c r="L8751" s="31" t="str">
        <f t="shared" si="845"/>
        <v>Lima Puluh Empat</v>
      </c>
    </row>
    <row r="8752" spans="1:12">
      <c r="J8752" s="31">
        <v>55</v>
      </c>
      <c r="K8752" s="33" t="s">
        <v>128</v>
      </c>
      <c r="L8752" s="31" t="str">
        <f t="shared" si="845"/>
        <v>Lima Puluh Lima</v>
      </c>
    </row>
    <row r="8753" spans="10:12">
      <c r="J8753" s="31">
        <v>56</v>
      </c>
      <c r="K8753" s="33" t="s">
        <v>129</v>
      </c>
      <c r="L8753" s="31" t="str">
        <f t="shared" si="845"/>
        <v>Lima Puluh Enam</v>
      </c>
    </row>
    <row r="8754" spans="10:12">
      <c r="J8754" s="31">
        <v>57</v>
      </c>
      <c r="K8754" s="33" t="s">
        <v>130</v>
      </c>
      <c r="L8754" s="31" t="str">
        <f t="shared" si="845"/>
        <v>Lima Puluh Tujuh</v>
      </c>
    </row>
    <row r="8755" spans="10:12">
      <c r="J8755" s="31">
        <v>58</v>
      </c>
      <c r="K8755" s="33" t="s">
        <v>131</v>
      </c>
      <c r="L8755" s="31" t="str">
        <f t="shared" si="845"/>
        <v>Lima Puluh Delapan</v>
      </c>
    </row>
    <row r="8756" spans="10:12">
      <c r="J8756" s="31">
        <v>59</v>
      </c>
      <c r="K8756" s="33" t="s">
        <v>132</v>
      </c>
      <c r="L8756" s="31" t="str">
        <f t="shared" si="845"/>
        <v>Lima Puluh Sembilan</v>
      </c>
    </row>
    <row r="8757" spans="10:12">
      <c r="J8757" s="31">
        <v>60</v>
      </c>
      <c r="K8757" s="33" t="s">
        <v>133</v>
      </c>
      <c r="L8757" s="31" t="s">
        <v>134</v>
      </c>
    </row>
    <row r="8758" spans="10:12">
      <c r="J8758" s="31">
        <v>61</v>
      </c>
      <c r="K8758" s="33" t="s">
        <v>135</v>
      </c>
      <c r="L8758" s="31" t="str">
        <f t="shared" ref="L8758:L8766" si="846">$L$63&amp;" "&amp;L8698</f>
        <v>Enam Puluh Satu</v>
      </c>
    </row>
    <row r="8759" spans="10:12">
      <c r="J8759" s="31">
        <v>62</v>
      </c>
      <c r="K8759" s="33" t="s">
        <v>136</v>
      </c>
      <c r="L8759" s="31" t="str">
        <f t="shared" si="846"/>
        <v>Enam Puluh Dua</v>
      </c>
    </row>
    <row r="8760" spans="10:12">
      <c r="J8760" s="31">
        <v>63</v>
      </c>
      <c r="K8760" s="33" t="s">
        <v>137</v>
      </c>
      <c r="L8760" s="31" t="str">
        <f t="shared" si="846"/>
        <v>Enam Puluh Tiga</v>
      </c>
    </row>
    <row r="8761" spans="10:12">
      <c r="J8761" s="31">
        <v>64</v>
      </c>
      <c r="K8761" s="33" t="s">
        <v>138</v>
      </c>
      <c r="L8761" s="31" t="str">
        <f t="shared" si="846"/>
        <v>Enam Puluh Empat</v>
      </c>
    </row>
    <row r="8762" spans="10:12">
      <c r="J8762" s="31">
        <v>65</v>
      </c>
      <c r="K8762" s="33" t="s">
        <v>139</v>
      </c>
      <c r="L8762" s="31" t="str">
        <f t="shared" si="846"/>
        <v>Enam Puluh Lima</v>
      </c>
    </row>
    <row r="8763" spans="10:12">
      <c r="J8763" s="31">
        <v>66</v>
      </c>
      <c r="K8763" s="33" t="s">
        <v>140</v>
      </c>
      <c r="L8763" s="31" t="str">
        <f t="shared" si="846"/>
        <v>Enam Puluh Enam</v>
      </c>
    </row>
    <row r="8764" spans="10:12">
      <c r="J8764" s="31">
        <v>67</v>
      </c>
      <c r="K8764" s="33" t="s">
        <v>141</v>
      </c>
      <c r="L8764" s="31" t="str">
        <f t="shared" si="846"/>
        <v>Enam Puluh Tujuh</v>
      </c>
    </row>
    <row r="8765" spans="10:12">
      <c r="J8765" s="31">
        <v>68</v>
      </c>
      <c r="K8765" s="33" t="s">
        <v>142</v>
      </c>
      <c r="L8765" s="31" t="str">
        <f t="shared" si="846"/>
        <v>Enam Puluh Delapan</v>
      </c>
    </row>
    <row r="8766" spans="10:12">
      <c r="J8766" s="31">
        <v>69</v>
      </c>
      <c r="K8766" s="33" t="s">
        <v>143</v>
      </c>
      <c r="L8766" s="31" t="str">
        <f t="shared" si="846"/>
        <v>Enam Puluh Sembilan</v>
      </c>
    </row>
    <row r="8767" spans="10:12">
      <c r="J8767" s="31">
        <v>70</v>
      </c>
      <c r="K8767" s="33" t="s">
        <v>144</v>
      </c>
      <c r="L8767" s="31" t="s">
        <v>145</v>
      </c>
    </row>
    <row r="8768" spans="10:12">
      <c r="J8768" s="31">
        <v>71</v>
      </c>
      <c r="K8768" s="33" t="s">
        <v>146</v>
      </c>
      <c r="L8768" s="31" t="str">
        <f t="shared" ref="L8768:L8776" si="847">$L$73&amp;" "&amp;L8698</f>
        <v>Tujuh Puluh Satu</v>
      </c>
    </row>
    <row r="8769" spans="10:12">
      <c r="J8769" s="31">
        <v>72</v>
      </c>
      <c r="K8769" s="33" t="s">
        <v>147</v>
      </c>
      <c r="L8769" s="31" t="str">
        <f t="shared" si="847"/>
        <v>Tujuh Puluh Dua</v>
      </c>
    </row>
    <row r="8770" spans="10:12">
      <c r="J8770" s="31">
        <v>73</v>
      </c>
      <c r="K8770" s="33" t="s">
        <v>148</v>
      </c>
      <c r="L8770" s="31" t="str">
        <f t="shared" si="847"/>
        <v>Tujuh Puluh Tiga</v>
      </c>
    </row>
    <row r="8771" spans="10:12">
      <c r="J8771" s="31">
        <v>74</v>
      </c>
      <c r="K8771" s="33" t="s">
        <v>149</v>
      </c>
      <c r="L8771" s="31" t="str">
        <f t="shared" si="847"/>
        <v>Tujuh Puluh Empat</v>
      </c>
    </row>
    <row r="8772" spans="10:12">
      <c r="J8772" s="31">
        <v>75</v>
      </c>
      <c r="K8772" s="33" t="s">
        <v>150</v>
      </c>
      <c r="L8772" s="31" t="str">
        <f t="shared" si="847"/>
        <v>Tujuh Puluh Lima</v>
      </c>
    </row>
    <row r="8773" spans="10:12">
      <c r="J8773" s="31">
        <v>76</v>
      </c>
      <c r="K8773" s="33" t="s">
        <v>151</v>
      </c>
      <c r="L8773" s="31" t="str">
        <f t="shared" si="847"/>
        <v>Tujuh Puluh Enam</v>
      </c>
    </row>
    <row r="8774" spans="10:12">
      <c r="J8774" s="31">
        <v>77</v>
      </c>
      <c r="K8774" s="33" t="s">
        <v>152</v>
      </c>
      <c r="L8774" s="31" t="str">
        <f t="shared" si="847"/>
        <v>Tujuh Puluh Tujuh</v>
      </c>
    </row>
    <row r="8775" spans="10:12">
      <c r="J8775" s="31">
        <v>78</v>
      </c>
      <c r="K8775" s="33" t="s">
        <v>153</v>
      </c>
      <c r="L8775" s="31" t="str">
        <f t="shared" si="847"/>
        <v>Tujuh Puluh Delapan</v>
      </c>
    </row>
    <row r="8776" spans="10:12">
      <c r="J8776" s="31">
        <v>79</v>
      </c>
      <c r="K8776" s="33" t="s">
        <v>154</v>
      </c>
      <c r="L8776" s="31" t="str">
        <f t="shared" si="847"/>
        <v>Tujuh Puluh Sembilan</v>
      </c>
    </row>
    <row r="8777" spans="10:12">
      <c r="J8777" s="31">
        <v>80</v>
      </c>
      <c r="K8777" s="33" t="s">
        <v>155</v>
      </c>
      <c r="L8777" s="31" t="s">
        <v>156</v>
      </c>
    </row>
    <row r="8778" spans="10:12">
      <c r="J8778" s="31">
        <v>81</v>
      </c>
      <c r="K8778" s="33" t="s">
        <v>157</v>
      </c>
      <c r="L8778" s="31" t="str">
        <f t="shared" ref="L8778:L8786" si="848">$L$83&amp;" "&amp;L8698</f>
        <v>Delapan Puluh Satu</v>
      </c>
    </row>
    <row r="8779" spans="10:12">
      <c r="J8779" s="31">
        <v>82</v>
      </c>
      <c r="K8779" s="33" t="s">
        <v>158</v>
      </c>
      <c r="L8779" s="31" t="str">
        <f t="shared" si="848"/>
        <v>Delapan Puluh Dua</v>
      </c>
    </row>
    <row r="8780" spans="10:12">
      <c r="J8780" s="31">
        <v>83</v>
      </c>
      <c r="K8780" s="33" t="s">
        <v>159</v>
      </c>
      <c r="L8780" s="31" t="str">
        <f t="shared" si="848"/>
        <v>Delapan Puluh Tiga</v>
      </c>
    </row>
    <row r="8781" spans="10:12">
      <c r="J8781" s="31">
        <v>84</v>
      </c>
      <c r="K8781" s="33" t="s">
        <v>160</v>
      </c>
      <c r="L8781" s="31" t="str">
        <f t="shared" si="848"/>
        <v>Delapan Puluh Empat</v>
      </c>
    </row>
    <row r="8782" spans="10:12">
      <c r="J8782" s="31">
        <v>85</v>
      </c>
      <c r="K8782" s="33" t="s">
        <v>161</v>
      </c>
      <c r="L8782" s="31" t="str">
        <f t="shared" si="848"/>
        <v>Delapan Puluh Lima</v>
      </c>
    </row>
    <row r="8783" spans="10:12">
      <c r="J8783" s="31">
        <v>86</v>
      </c>
      <c r="K8783" s="33" t="s">
        <v>162</v>
      </c>
      <c r="L8783" s="31" t="str">
        <f t="shared" si="848"/>
        <v>Delapan Puluh Enam</v>
      </c>
    </row>
    <row r="8784" spans="10:12">
      <c r="J8784" s="31">
        <v>87</v>
      </c>
      <c r="K8784" s="33" t="s">
        <v>163</v>
      </c>
      <c r="L8784" s="31" t="str">
        <f t="shared" si="848"/>
        <v>Delapan Puluh Tujuh</v>
      </c>
    </row>
    <row r="8785" spans="1:12">
      <c r="J8785" s="31">
        <v>88</v>
      </c>
      <c r="K8785" s="33" t="s">
        <v>164</v>
      </c>
      <c r="L8785" s="31" t="str">
        <f t="shared" si="848"/>
        <v>Delapan Puluh Delapan</v>
      </c>
    </row>
    <row r="8786" spans="1:12">
      <c r="J8786" s="31">
        <v>89</v>
      </c>
      <c r="K8786" s="33" t="s">
        <v>165</v>
      </c>
      <c r="L8786" s="31" t="str">
        <f t="shared" si="848"/>
        <v>Delapan Puluh Sembilan</v>
      </c>
    </row>
    <row r="8787" spans="1:12">
      <c r="J8787" s="31">
        <v>90</v>
      </c>
      <c r="K8787" s="33" t="s">
        <v>166</v>
      </c>
      <c r="L8787" s="31" t="s">
        <v>167</v>
      </c>
    </row>
    <row r="8788" spans="1:12">
      <c r="J8788" s="31">
        <v>91</v>
      </c>
      <c r="K8788" s="33" t="s">
        <v>168</v>
      </c>
      <c r="L8788" s="31" t="str">
        <f t="shared" ref="L8788:L8796" si="849">$L$93&amp;" "&amp;L8698</f>
        <v>Sembilan Puluh Satu</v>
      </c>
    </row>
    <row r="8789" spans="1:12">
      <c r="J8789" s="31">
        <v>92</v>
      </c>
      <c r="K8789" s="33" t="s">
        <v>169</v>
      </c>
      <c r="L8789" s="31" t="str">
        <f t="shared" si="849"/>
        <v>Sembilan Puluh Dua</v>
      </c>
    </row>
    <row r="8790" spans="1:12">
      <c r="J8790" s="31">
        <v>93</v>
      </c>
      <c r="K8790" s="33" t="s">
        <v>170</v>
      </c>
      <c r="L8790" s="31" t="str">
        <f t="shared" si="849"/>
        <v>Sembilan Puluh Tiga</v>
      </c>
    </row>
    <row r="8791" spans="1:12">
      <c r="J8791" s="31">
        <v>94</v>
      </c>
      <c r="K8791" s="33" t="s">
        <v>171</v>
      </c>
      <c r="L8791" s="31" t="str">
        <f t="shared" si="849"/>
        <v>Sembilan Puluh Empat</v>
      </c>
    </row>
    <row r="8792" spans="1:12">
      <c r="J8792" s="31">
        <v>95</v>
      </c>
      <c r="K8792" s="33" t="s">
        <v>172</v>
      </c>
      <c r="L8792" s="31" t="str">
        <f t="shared" si="849"/>
        <v>Sembilan Puluh Lima</v>
      </c>
    </row>
    <row r="8793" spans="1:12">
      <c r="J8793" s="31">
        <v>96</v>
      </c>
      <c r="K8793" s="33" t="s">
        <v>173</v>
      </c>
      <c r="L8793" s="31" t="str">
        <f t="shared" si="849"/>
        <v>Sembilan Puluh Enam</v>
      </c>
    </row>
    <row r="8794" spans="1:12">
      <c r="J8794" s="31">
        <v>97</v>
      </c>
      <c r="K8794" s="33" t="s">
        <v>174</v>
      </c>
      <c r="L8794" s="31" t="str">
        <f t="shared" si="849"/>
        <v>Sembilan Puluh Tujuh</v>
      </c>
    </row>
    <row r="8795" spans="1:12">
      <c r="J8795" s="31">
        <v>98</v>
      </c>
      <c r="K8795" s="33" t="s">
        <v>175</v>
      </c>
      <c r="L8795" s="31" t="str">
        <f t="shared" si="849"/>
        <v>Sembilan Puluh Delapan</v>
      </c>
    </row>
    <row r="8796" spans="1:12">
      <c r="J8796" s="31">
        <v>99</v>
      </c>
      <c r="K8796" s="33" t="s">
        <v>176</v>
      </c>
      <c r="L8796" s="31" t="str">
        <f t="shared" si="849"/>
        <v>Sembilan Puluh Sembilan</v>
      </c>
    </row>
    <row r="8799" spans="1:12">
      <c r="A8799" s="30" t="e">
        <f>#REF!</f>
        <v>#REF!</v>
      </c>
      <c r="C8799" s="31" t="s">
        <v>199</v>
      </c>
    </row>
    <row r="8800" spans="1:12">
      <c r="A8800" s="32"/>
    </row>
    <row r="8801" spans="1:12">
      <c r="J8801" s="31">
        <v>0</v>
      </c>
      <c r="K8801" s="33" t="s">
        <v>48</v>
      </c>
      <c r="L8801" s="31" t="s">
        <v>49</v>
      </c>
    </row>
    <row r="8802" spans="1:12">
      <c r="A8802" s="34"/>
      <c r="J8802" s="31">
        <v>1</v>
      </c>
      <c r="K8802" s="33" t="s">
        <v>50</v>
      </c>
      <c r="L8802" s="31" t="s">
        <v>51</v>
      </c>
    </row>
    <row r="8803" spans="1:12">
      <c r="A8803" s="255" t="e">
        <f>TRIM(D8811&amp;E8811&amp;D8812&amp;E8812&amp;D8813&amp;E8813&amp;D8814&amp;E8814&amp;D8815&amp;E8815&amp;D8816&amp;E8816&amp;E8817&amp;D8817&amp;" Only")</f>
        <v>#REF!</v>
      </c>
      <c r="B8803" s="255"/>
      <c r="C8803" s="255"/>
      <c r="D8803" s="255"/>
      <c r="E8803" s="35"/>
      <c r="F8803" s="36"/>
      <c r="J8803" s="31">
        <v>2</v>
      </c>
      <c r="K8803" s="33" t="s">
        <v>52</v>
      </c>
      <c r="L8803" s="31" t="s">
        <v>53</v>
      </c>
    </row>
    <row r="8804" spans="1:12">
      <c r="A8804" s="37"/>
      <c r="B8804" s="37"/>
      <c r="C8804" s="37"/>
      <c r="D8804" s="37"/>
      <c r="E8804" s="35"/>
      <c r="F8804" s="36"/>
      <c r="J8804" s="31">
        <v>3</v>
      </c>
      <c r="K8804" s="33" t="s">
        <v>54</v>
      </c>
      <c r="L8804" s="31" t="s">
        <v>55</v>
      </c>
    </row>
    <row r="8805" spans="1:12">
      <c r="A8805" s="37"/>
      <c r="B8805" s="37"/>
      <c r="C8805" s="37"/>
      <c r="D8805" s="37"/>
      <c r="J8805" s="31">
        <v>4</v>
      </c>
      <c r="K8805" s="33" t="s">
        <v>56</v>
      </c>
      <c r="L8805" s="31" t="s">
        <v>57</v>
      </c>
    </row>
    <row r="8806" spans="1:12">
      <c r="A8806" s="255" t="e">
        <f>TRIM(D8821&amp;E8821&amp;D8822&amp;E8822&amp;D8823&amp;E8823&amp;D8824&amp;E8824&amp;D8825&amp;E8825&amp;D8826&amp;E8826&amp;D8827&amp;E8827&amp;" Rupiah")</f>
        <v>#REF!</v>
      </c>
      <c r="B8806" s="255"/>
      <c r="C8806" s="255"/>
      <c r="D8806" s="255"/>
      <c r="E8806" s="35"/>
      <c r="F8806" s="36"/>
      <c r="J8806" s="31">
        <v>5</v>
      </c>
      <c r="K8806" s="33" t="s">
        <v>58</v>
      </c>
      <c r="L8806" s="31" t="s">
        <v>59</v>
      </c>
    </row>
    <row r="8807" spans="1:12">
      <c r="A8807" s="35"/>
      <c r="B8807" s="35"/>
      <c r="C8807" s="35"/>
      <c r="D8807" s="35"/>
      <c r="E8807" s="35"/>
      <c r="F8807" s="36"/>
      <c r="J8807" s="31">
        <v>6</v>
      </c>
      <c r="K8807" s="33" t="s">
        <v>60</v>
      </c>
      <c r="L8807" s="31" t="s">
        <v>61</v>
      </c>
    </row>
    <row r="8808" spans="1:12">
      <c r="J8808" s="31">
        <v>7</v>
      </c>
      <c r="K8808" s="33" t="s">
        <v>62</v>
      </c>
      <c r="L8808" s="31" t="s">
        <v>63</v>
      </c>
    </row>
    <row r="8809" spans="1:12">
      <c r="J8809" s="31">
        <v>8</v>
      </c>
      <c r="K8809" s="33" t="s">
        <v>64</v>
      </c>
      <c r="L8809" s="31" t="s">
        <v>65</v>
      </c>
    </row>
    <row r="8810" spans="1:12">
      <c r="A8810" s="38" t="s">
        <v>66</v>
      </c>
      <c r="J8810" s="31">
        <v>9</v>
      </c>
      <c r="K8810" s="33" t="s">
        <v>67</v>
      </c>
      <c r="L8810" s="31" t="s">
        <v>68</v>
      </c>
    </row>
    <row r="8811" spans="1:12">
      <c r="A8811" s="31" t="s">
        <v>69</v>
      </c>
      <c r="B8811" s="39" t="e">
        <f>TRUNC(A8799/100000000)</f>
        <v>#REF!</v>
      </c>
      <c r="C8811" s="31" t="e">
        <f>B8811*100000000</f>
        <v>#REF!</v>
      </c>
      <c r="D8811" s="31" t="e">
        <f t="shared" ref="D8811:D8817" si="850">IF(B8811&lt;1,"",VLOOKUP(B8811,$J$3:$K$102,2))</f>
        <v>#REF!</v>
      </c>
      <c r="E8811" s="31" t="e">
        <f>IF(B8811&lt;1,"",IF(B8811&gt;1," Hundreds "," Hundred "))</f>
        <v>#REF!</v>
      </c>
      <c r="J8811" s="31">
        <v>10</v>
      </c>
      <c r="K8811" s="33" t="s">
        <v>70</v>
      </c>
      <c r="L8811" s="31" t="s">
        <v>71</v>
      </c>
    </row>
    <row r="8812" spans="1:12">
      <c r="A8812" s="31" t="s">
        <v>72</v>
      </c>
      <c r="B8812" s="39" t="e">
        <f>TRUNC((A8799-C8811)/1000000)</f>
        <v>#REF!</v>
      </c>
      <c r="C8812" s="31" t="e">
        <f>B8812*1000000</f>
        <v>#REF!</v>
      </c>
      <c r="D8812" s="31" t="e">
        <f t="shared" si="850"/>
        <v>#REF!</v>
      </c>
      <c r="E8812" s="31" t="e">
        <f>IF(B8811+B8812=0,"",IF(B8812=1," Million "," Millions "))</f>
        <v>#REF!</v>
      </c>
      <c r="J8812" s="31">
        <v>11</v>
      </c>
      <c r="K8812" s="33" t="s">
        <v>73</v>
      </c>
      <c r="L8812" s="31" t="s">
        <v>74</v>
      </c>
    </row>
    <row r="8813" spans="1:12">
      <c r="A8813" s="31" t="s">
        <v>75</v>
      </c>
      <c r="B8813" s="39" t="e">
        <f>TRUNC((A8799-SUM(C8811:C8812))/100000)</f>
        <v>#REF!</v>
      </c>
      <c r="C8813" s="31" t="e">
        <f>B8813*100000</f>
        <v>#REF!</v>
      </c>
      <c r="D8813" s="31" t="e">
        <f t="shared" si="850"/>
        <v>#REF!</v>
      </c>
      <c r="E8813" s="31" t="e">
        <f>IF(B8813&lt;1,"",IF(B8813&gt;1," Hundreds "," Hundred "))</f>
        <v>#REF!</v>
      </c>
      <c r="J8813" s="31">
        <v>12</v>
      </c>
      <c r="K8813" s="33" t="s">
        <v>76</v>
      </c>
      <c r="L8813" s="31" t="str">
        <f t="shared" ref="L8813:L8820" si="851">L8803&amp;" Belas"</f>
        <v>Dua Belas</v>
      </c>
    </row>
    <row r="8814" spans="1:12">
      <c r="A8814" s="33" t="s">
        <v>77</v>
      </c>
      <c r="B8814" s="40" t="e">
        <f>TRUNC((A8799-SUM(C8811:C8813))/1000)</f>
        <v>#REF!</v>
      </c>
      <c r="C8814" s="31" t="e">
        <f>B8814*1000</f>
        <v>#REF!</v>
      </c>
      <c r="D8814" s="31" t="e">
        <f t="shared" si="850"/>
        <v>#REF!</v>
      </c>
      <c r="E8814" s="31" t="e">
        <f>IF(B8813+B8814=0,"",IF(B8814=1," Thousand "," Thousands "))</f>
        <v>#REF!</v>
      </c>
      <c r="J8814" s="31">
        <v>13</v>
      </c>
      <c r="K8814" s="33" t="s">
        <v>78</v>
      </c>
      <c r="L8814" s="31" t="str">
        <f t="shared" si="851"/>
        <v>Tiga Belas</v>
      </c>
    </row>
    <row r="8815" spans="1:12">
      <c r="A8815" s="33" t="s">
        <v>79</v>
      </c>
      <c r="B8815" s="40" t="e">
        <f>TRUNC((A8799-SUM(C8811:C8814))/100)</f>
        <v>#REF!</v>
      </c>
      <c r="C8815" s="31" t="e">
        <f>B8815*100</f>
        <v>#REF!</v>
      </c>
      <c r="D8815" s="31" t="e">
        <f t="shared" si="850"/>
        <v>#REF!</v>
      </c>
      <c r="E8815" s="31" t="e">
        <f>IF(B8815&lt;1,"",IF(B8815&gt;1," Hundreds "," Hundred "))</f>
        <v>#REF!</v>
      </c>
      <c r="J8815" s="31">
        <v>14</v>
      </c>
      <c r="K8815" s="33" t="s">
        <v>80</v>
      </c>
      <c r="L8815" s="31" t="str">
        <f t="shared" si="851"/>
        <v>Empat Belas</v>
      </c>
    </row>
    <row r="8816" spans="1:12">
      <c r="A8816" s="33" t="s">
        <v>81</v>
      </c>
      <c r="B8816" s="41" t="e">
        <f>TRUNC((A8799-SUM(C8811:C8815)))</f>
        <v>#REF!</v>
      </c>
      <c r="C8816" s="42" t="e">
        <f>B8816</f>
        <v>#REF!</v>
      </c>
      <c r="D8816" s="31" t="e">
        <f t="shared" si="850"/>
        <v>#REF!</v>
      </c>
      <c r="E8816" s="31" t="e">
        <f>IF(SUM(C8811:C8816)&lt;1,"",IF(B8817&lt;1,""," And "))</f>
        <v>#REF!</v>
      </c>
      <c r="J8816" s="31">
        <v>15</v>
      </c>
      <c r="K8816" s="33" t="s">
        <v>82</v>
      </c>
      <c r="L8816" s="31" t="str">
        <f t="shared" si="851"/>
        <v>Lima Belas</v>
      </c>
    </row>
    <row r="8817" spans="1:12">
      <c r="A8817" s="33" t="s">
        <v>83</v>
      </c>
      <c r="B8817" s="40" t="e">
        <f>ROUND(A8799-SUM(C8811:C8816),2)*100</f>
        <v>#REF!</v>
      </c>
      <c r="D8817" s="43" t="e">
        <f t="shared" si="850"/>
        <v>#REF!</v>
      </c>
      <c r="E8817" s="31" t="e">
        <f>IF(B8817&lt;1,"",IF(B8817=1," Cent "," Cents "))</f>
        <v>#REF!</v>
      </c>
      <c r="J8817" s="31">
        <v>16</v>
      </c>
      <c r="K8817" s="33" t="s">
        <v>84</v>
      </c>
      <c r="L8817" s="31" t="str">
        <f t="shared" si="851"/>
        <v>Enam Belas</v>
      </c>
    </row>
    <row r="8818" spans="1:12">
      <c r="J8818" s="31">
        <v>17</v>
      </c>
      <c r="K8818" s="33" t="s">
        <v>85</v>
      </c>
      <c r="L8818" s="31" t="str">
        <f t="shared" si="851"/>
        <v>Tujuh Belas</v>
      </c>
    </row>
    <row r="8819" spans="1:12">
      <c r="A8819" s="44"/>
      <c r="J8819" s="31">
        <v>18</v>
      </c>
      <c r="K8819" s="33" t="s">
        <v>86</v>
      </c>
      <c r="L8819" s="31" t="str">
        <f t="shared" si="851"/>
        <v>Delapan Belas</v>
      </c>
    </row>
    <row r="8820" spans="1:12">
      <c r="A8820" s="38" t="s">
        <v>87</v>
      </c>
      <c r="J8820" s="31">
        <v>19</v>
      </c>
      <c r="K8820" s="33" t="s">
        <v>88</v>
      </c>
      <c r="L8820" s="31" t="str">
        <f t="shared" si="851"/>
        <v>Sembilan Belas</v>
      </c>
    </row>
    <row r="8821" spans="1:12">
      <c r="A8821" s="31" t="s">
        <v>69</v>
      </c>
      <c r="B8821" s="39" t="e">
        <f>TRUNC(A8799/100000000)</f>
        <v>#REF!</v>
      </c>
      <c r="C8821" s="31" t="e">
        <f>B8821*100000000</f>
        <v>#REF!</v>
      </c>
      <c r="D8821" s="31" t="e">
        <f>IF(B8821&lt;1,"",IF(B8821=1,"",VLOOKUP(B8821,$J$3:$L$102,3)))</f>
        <v>#REF!</v>
      </c>
      <c r="E8821" s="31" t="e">
        <f>IF(B8821&lt;1,"",IF(B8821=1,"Seratus "," Ratus "))</f>
        <v>#REF!</v>
      </c>
      <c r="J8821" s="31">
        <v>20</v>
      </c>
      <c r="K8821" s="33" t="s">
        <v>89</v>
      </c>
      <c r="L8821" s="31" t="s">
        <v>90</v>
      </c>
    </row>
    <row r="8822" spans="1:12">
      <c r="A8822" s="31" t="s">
        <v>72</v>
      </c>
      <c r="B8822" s="39" t="e">
        <f>TRUNC((A8799-C8821)/1000000)</f>
        <v>#REF!</v>
      </c>
      <c r="C8822" s="31" t="e">
        <f>B8822*1000000</f>
        <v>#REF!</v>
      </c>
      <c r="D8822" s="31" t="e">
        <f>IF(B8822&lt;1,"",VLOOKUP(B8822,$J$3:$L$102,3))</f>
        <v>#REF!</v>
      </c>
      <c r="E8822" s="31" t="e">
        <f>IF(B8821+B8822=0,""," Juta ")</f>
        <v>#REF!</v>
      </c>
      <c r="J8822" s="31">
        <v>21</v>
      </c>
      <c r="K8822" s="33" t="s">
        <v>91</v>
      </c>
      <c r="L8822" s="31" t="str">
        <f t="shared" ref="L8822:L8830" si="852">$L$23&amp;" "&amp;L8802</f>
        <v>Dua Puluh Satu</v>
      </c>
    </row>
    <row r="8823" spans="1:12">
      <c r="A8823" s="31" t="s">
        <v>75</v>
      </c>
      <c r="B8823" s="39" t="e">
        <f>TRUNC((A8799-SUM(C8821:C8822))/100000)</f>
        <v>#REF!</v>
      </c>
      <c r="C8823" s="31" t="e">
        <f>B8823*100000</f>
        <v>#REF!</v>
      </c>
      <c r="D8823" s="31" t="e">
        <f>IF(B8823&lt;1,"",IF(B8823=1,"",VLOOKUP(B8823,$J$3:$L$102,3)))</f>
        <v>#REF!</v>
      </c>
      <c r="E8823" s="31" t="e">
        <f>IF(B8823&lt;1,"",IF(B8823=1," Seratus "," Ratus "))</f>
        <v>#REF!</v>
      </c>
      <c r="J8823" s="31">
        <v>22</v>
      </c>
      <c r="K8823" s="33" t="s">
        <v>92</v>
      </c>
      <c r="L8823" s="31" t="str">
        <f t="shared" si="852"/>
        <v>Dua Puluh Dua</v>
      </c>
    </row>
    <row r="8824" spans="1:12">
      <c r="A8824" s="33" t="s">
        <v>77</v>
      </c>
      <c r="B8824" s="40" t="e">
        <f>TRUNC((A8799-SUM(C8821:C8823))/1000)</f>
        <v>#REF!</v>
      </c>
      <c r="C8824" s="31" t="e">
        <f>B8824*1000</f>
        <v>#REF!</v>
      </c>
      <c r="D8824" s="31" t="e">
        <f>IF(B8824&lt;1,"",IF(B8824=1,"",VLOOKUP(B8824,$J$3:$L$102,3)))</f>
        <v>#REF!</v>
      </c>
      <c r="E8824" s="31" t="e">
        <f>IF(B8823+B8824&lt;1,"",IF(B8824=1," Seribu "," Ribu "))</f>
        <v>#REF!</v>
      </c>
      <c r="J8824" s="31">
        <v>23</v>
      </c>
      <c r="K8824" s="33" t="s">
        <v>93</v>
      </c>
      <c r="L8824" s="31" t="str">
        <f t="shared" si="852"/>
        <v>Dua Puluh Tiga</v>
      </c>
    </row>
    <row r="8825" spans="1:12">
      <c r="A8825" s="33" t="s">
        <v>79</v>
      </c>
      <c r="B8825" s="40" t="e">
        <f>TRUNC((A8799-SUM(C8821:C8824))/100)</f>
        <v>#REF!</v>
      </c>
      <c r="C8825" s="31" t="e">
        <f>B8825*100</f>
        <v>#REF!</v>
      </c>
      <c r="D8825" s="31" t="e">
        <f>IF(B8825&lt;1,"",IF(B8825=1,"",VLOOKUP(B8825,$J$3:$L$102,3)))</f>
        <v>#REF!</v>
      </c>
      <c r="E8825" s="31" t="e">
        <f>IF(B8825&lt;1,"",IF(B8825=1," Seratus "," Ratus "))</f>
        <v>#REF!</v>
      </c>
      <c r="J8825" s="31">
        <v>24</v>
      </c>
      <c r="K8825" s="33" t="s">
        <v>94</v>
      </c>
      <c r="L8825" s="31" t="str">
        <f t="shared" si="852"/>
        <v>Dua Puluh Empat</v>
      </c>
    </row>
    <row r="8826" spans="1:12">
      <c r="A8826" s="33" t="s">
        <v>81</v>
      </c>
      <c r="B8826" s="41" t="e">
        <f>TRUNC((A8799-SUM(C8821:C8825)))</f>
        <v>#REF!</v>
      </c>
      <c r="C8826" s="42" t="e">
        <f>B8826</f>
        <v>#REF!</v>
      </c>
      <c r="D8826" s="31" t="e">
        <f>IF(B8826&lt;1,"",VLOOKUP(B8826,$J$3:$L$102,3))</f>
        <v>#REF!</v>
      </c>
      <c r="E8826" s="31" t="e">
        <f>IF(SUM(C8821:C8826)&lt;1,"",IF(B8827&lt;1,""," Dan "))</f>
        <v>#REF!</v>
      </c>
      <c r="J8826" s="31">
        <v>25</v>
      </c>
      <c r="K8826" s="33" t="s">
        <v>95</v>
      </c>
      <c r="L8826" s="31" t="str">
        <f t="shared" si="852"/>
        <v>Dua Puluh Lima</v>
      </c>
    </row>
    <row r="8827" spans="1:12">
      <c r="A8827" s="33" t="s">
        <v>83</v>
      </c>
      <c r="B8827" s="40" t="e">
        <f>ROUND(A8799-SUM(C8821:C8826),2)*100</f>
        <v>#REF!</v>
      </c>
      <c r="D8827" s="31" t="e">
        <f>IF(B8827&lt;1,"",VLOOKUP(B8827,$J$3:$L$102,3))</f>
        <v>#REF!</v>
      </c>
      <c r="E8827" s="31" t="e">
        <f>IF(B8827&lt;1,""," Sen ")</f>
        <v>#REF!</v>
      </c>
      <c r="J8827" s="31">
        <v>26</v>
      </c>
      <c r="K8827" s="33" t="s">
        <v>96</v>
      </c>
      <c r="L8827" s="31" t="str">
        <f t="shared" si="852"/>
        <v>Dua Puluh Enam</v>
      </c>
    </row>
    <row r="8828" spans="1:12">
      <c r="J8828" s="31">
        <v>27</v>
      </c>
      <c r="K8828" s="33" t="s">
        <v>97</v>
      </c>
      <c r="L8828" s="31" t="str">
        <f t="shared" si="852"/>
        <v>Dua Puluh Tujuh</v>
      </c>
    </row>
    <row r="8829" spans="1:12">
      <c r="J8829" s="31">
        <v>28</v>
      </c>
      <c r="K8829" s="33" t="s">
        <v>98</v>
      </c>
      <c r="L8829" s="31" t="str">
        <f t="shared" si="852"/>
        <v>Dua Puluh Delapan</v>
      </c>
    </row>
    <row r="8830" spans="1:12">
      <c r="J8830" s="31">
        <v>29</v>
      </c>
      <c r="K8830" s="33" t="s">
        <v>99</v>
      </c>
      <c r="L8830" s="31" t="str">
        <f t="shared" si="852"/>
        <v>Dua Puluh Sembilan</v>
      </c>
    </row>
    <row r="8831" spans="1:12">
      <c r="J8831" s="31">
        <v>30</v>
      </c>
      <c r="K8831" s="33" t="s">
        <v>100</v>
      </c>
      <c r="L8831" s="31" t="s">
        <v>101</v>
      </c>
    </row>
    <row r="8832" spans="1:12">
      <c r="J8832" s="31">
        <v>31</v>
      </c>
      <c r="K8832" s="33" t="s">
        <v>102</v>
      </c>
      <c r="L8832" s="31" t="str">
        <f t="shared" ref="L8832:L8840" si="853">$L$33&amp;" "&amp;L8802</f>
        <v>Tiga Puluh Satu</v>
      </c>
    </row>
    <row r="8833" spans="1:12">
      <c r="J8833" s="31">
        <v>32</v>
      </c>
      <c r="K8833" s="33" t="s">
        <v>103</v>
      </c>
      <c r="L8833" s="31" t="str">
        <f t="shared" si="853"/>
        <v>Tiga Puluh Dua</v>
      </c>
    </row>
    <row r="8834" spans="1:12">
      <c r="J8834" s="31">
        <v>33</v>
      </c>
      <c r="K8834" s="33" t="s">
        <v>104</v>
      </c>
      <c r="L8834" s="31" t="str">
        <f t="shared" si="853"/>
        <v>Tiga Puluh Tiga</v>
      </c>
    </row>
    <row r="8835" spans="1:12">
      <c r="J8835" s="31">
        <v>34</v>
      </c>
      <c r="K8835" s="33" t="s">
        <v>105</v>
      </c>
      <c r="L8835" s="31" t="str">
        <f t="shared" si="853"/>
        <v>Tiga Puluh Empat</v>
      </c>
    </row>
    <row r="8836" spans="1:12">
      <c r="J8836" s="31">
        <v>35</v>
      </c>
      <c r="K8836" s="33" t="s">
        <v>106</v>
      </c>
      <c r="L8836" s="31" t="str">
        <f t="shared" si="853"/>
        <v>Tiga Puluh Lima</v>
      </c>
    </row>
    <row r="8837" spans="1:12">
      <c r="J8837" s="31">
        <v>36</v>
      </c>
      <c r="K8837" s="33" t="s">
        <v>107</v>
      </c>
      <c r="L8837" s="31" t="str">
        <f t="shared" si="853"/>
        <v>Tiga Puluh Enam</v>
      </c>
    </row>
    <row r="8838" spans="1:12">
      <c r="J8838" s="31">
        <v>37</v>
      </c>
      <c r="K8838" s="33" t="s">
        <v>108</v>
      </c>
      <c r="L8838" s="31" t="str">
        <f t="shared" si="853"/>
        <v>Tiga Puluh Tujuh</v>
      </c>
    </row>
    <row r="8839" spans="1:12">
      <c r="J8839" s="31">
        <v>38</v>
      </c>
      <c r="K8839" s="33" t="s">
        <v>109</v>
      </c>
      <c r="L8839" s="31" t="str">
        <f t="shared" si="853"/>
        <v>Tiga Puluh Delapan</v>
      </c>
    </row>
    <row r="8840" spans="1:12">
      <c r="J8840" s="31">
        <v>39</v>
      </c>
      <c r="K8840" s="33" t="s">
        <v>110</v>
      </c>
      <c r="L8840" s="31" t="str">
        <f t="shared" si="853"/>
        <v>Tiga Puluh Sembilan</v>
      </c>
    </row>
    <row r="8841" spans="1:12">
      <c r="B8841" s="35"/>
      <c r="C8841" s="35"/>
      <c r="D8841" s="35"/>
      <c r="J8841" s="31">
        <v>40</v>
      </c>
      <c r="K8841" s="33" t="s">
        <v>111</v>
      </c>
      <c r="L8841" s="31" t="s">
        <v>112</v>
      </c>
    </row>
    <row r="8842" spans="1:12">
      <c r="A8842" s="35"/>
      <c r="B8842" s="35"/>
      <c r="C8842" s="35"/>
      <c r="D8842" s="35"/>
      <c r="J8842" s="31">
        <v>41</v>
      </c>
      <c r="K8842" s="33" t="s">
        <v>113</v>
      </c>
      <c r="L8842" s="31" t="str">
        <f t="shared" ref="L8842:L8850" si="854">$L$43&amp;" "&amp;L8802</f>
        <v>Empat Puluh Satu</v>
      </c>
    </row>
    <row r="8843" spans="1:12">
      <c r="J8843" s="31">
        <v>42</v>
      </c>
      <c r="K8843" s="33" t="s">
        <v>114</v>
      </c>
      <c r="L8843" s="31" t="str">
        <f t="shared" si="854"/>
        <v>Empat Puluh Dua</v>
      </c>
    </row>
    <row r="8844" spans="1:12">
      <c r="A8844" s="38"/>
      <c r="J8844" s="31">
        <v>43</v>
      </c>
      <c r="K8844" s="33" t="s">
        <v>115</v>
      </c>
      <c r="L8844" s="31" t="str">
        <f t="shared" si="854"/>
        <v>Empat Puluh Tiga</v>
      </c>
    </row>
    <row r="8845" spans="1:12">
      <c r="J8845" s="31">
        <v>44</v>
      </c>
      <c r="K8845" s="33" t="s">
        <v>116</v>
      </c>
      <c r="L8845" s="31" t="str">
        <f t="shared" si="854"/>
        <v>Empat Puluh Empat</v>
      </c>
    </row>
    <row r="8846" spans="1:12">
      <c r="J8846" s="31">
        <v>45</v>
      </c>
      <c r="K8846" s="33" t="s">
        <v>117</v>
      </c>
      <c r="L8846" s="31" t="str">
        <f t="shared" si="854"/>
        <v>Empat Puluh Lima</v>
      </c>
    </row>
    <row r="8847" spans="1:12">
      <c r="J8847" s="31">
        <v>46</v>
      </c>
      <c r="K8847" s="33" t="s">
        <v>118</v>
      </c>
      <c r="L8847" s="31" t="str">
        <f t="shared" si="854"/>
        <v>Empat Puluh Enam</v>
      </c>
    </row>
    <row r="8848" spans="1:12">
      <c r="J8848" s="31">
        <v>47</v>
      </c>
      <c r="K8848" s="33" t="s">
        <v>119</v>
      </c>
      <c r="L8848" s="31" t="str">
        <f t="shared" si="854"/>
        <v>Empat Puluh Tujuh</v>
      </c>
    </row>
    <row r="8849" spans="10:12">
      <c r="J8849" s="31">
        <v>48</v>
      </c>
      <c r="K8849" s="33" t="s">
        <v>120</v>
      </c>
      <c r="L8849" s="31" t="str">
        <f t="shared" si="854"/>
        <v>Empat Puluh Delapan</v>
      </c>
    </row>
    <row r="8850" spans="10:12">
      <c r="J8850" s="31">
        <v>49</v>
      </c>
      <c r="K8850" s="33" t="s">
        <v>121</v>
      </c>
      <c r="L8850" s="31" t="str">
        <f t="shared" si="854"/>
        <v>Empat Puluh Sembilan</v>
      </c>
    </row>
    <row r="8851" spans="10:12">
      <c r="J8851" s="31">
        <v>50</v>
      </c>
      <c r="K8851" s="33" t="s">
        <v>122</v>
      </c>
      <c r="L8851" s="31" t="s">
        <v>123</v>
      </c>
    </row>
    <row r="8852" spans="10:12">
      <c r="J8852" s="31">
        <v>51</v>
      </c>
      <c r="K8852" s="33" t="s">
        <v>124</v>
      </c>
      <c r="L8852" s="31" t="str">
        <f t="shared" ref="L8852:L8860" si="855">$L$53&amp;" "&amp;L8802</f>
        <v>Lima Puluh Satu</v>
      </c>
    </row>
    <row r="8853" spans="10:12">
      <c r="J8853" s="31">
        <v>52</v>
      </c>
      <c r="K8853" s="33" t="s">
        <v>125</v>
      </c>
      <c r="L8853" s="31" t="str">
        <f t="shared" si="855"/>
        <v>Lima Puluh Dua</v>
      </c>
    </row>
    <row r="8854" spans="10:12">
      <c r="J8854" s="31">
        <v>53</v>
      </c>
      <c r="K8854" s="33" t="s">
        <v>126</v>
      </c>
      <c r="L8854" s="31" t="str">
        <f t="shared" si="855"/>
        <v>Lima Puluh Tiga</v>
      </c>
    </row>
    <row r="8855" spans="10:12">
      <c r="J8855" s="31">
        <v>54</v>
      </c>
      <c r="K8855" s="33" t="s">
        <v>127</v>
      </c>
      <c r="L8855" s="31" t="str">
        <f t="shared" si="855"/>
        <v>Lima Puluh Empat</v>
      </c>
    </row>
    <row r="8856" spans="10:12">
      <c r="J8856" s="31">
        <v>55</v>
      </c>
      <c r="K8856" s="33" t="s">
        <v>128</v>
      </c>
      <c r="L8856" s="31" t="str">
        <f t="shared" si="855"/>
        <v>Lima Puluh Lima</v>
      </c>
    </row>
    <row r="8857" spans="10:12">
      <c r="J8857" s="31">
        <v>56</v>
      </c>
      <c r="K8857" s="33" t="s">
        <v>129</v>
      </c>
      <c r="L8857" s="31" t="str">
        <f t="shared" si="855"/>
        <v>Lima Puluh Enam</v>
      </c>
    </row>
    <row r="8858" spans="10:12">
      <c r="J8858" s="31">
        <v>57</v>
      </c>
      <c r="K8858" s="33" t="s">
        <v>130</v>
      </c>
      <c r="L8858" s="31" t="str">
        <f t="shared" si="855"/>
        <v>Lima Puluh Tujuh</v>
      </c>
    </row>
    <row r="8859" spans="10:12">
      <c r="J8859" s="31">
        <v>58</v>
      </c>
      <c r="K8859" s="33" t="s">
        <v>131</v>
      </c>
      <c r="L8859" s="31" t="str">
        <f t="shared" si="855"/>
        <v>Lima Puluh Delapan</v>
      </c>
    </row>
    <row r="8860" spans="10:12">
      <c r="J8860" s="31">
        <v>59</v>
      </c>
      <c r="K8860" s="33" t="s">
        <v>132</v>
      </c>
      <c r="L8860" s="31" t="str">
        <f t="shared" si="855"/>
        <v>Lima Puluh Sembilan</v>
      </c>
    </row>
    <row r="8861" spans="10:12">
      <c r="J8861" s="31">
        <v>60</v>
      </c>
      <c r="K8861" s="33" t="s">
        <v>133</v>
      </c>
      <c r="L8861" s="31" t="s">
        <v>134</v>
      </c>
    </row>
    <row r="8862" spans="10:12">
      <c r="J8862" s="31">
        <v>61</v>
      </c>
      <c r="K8862" s="33" t="s">
        <v>135</v>
      </c>
      <c r="L8862" s="31" t="str">
        <f t="shared" ref="L8862:L8870" si="856">$L$63&amp;" "&amp;L8802</f>
        <v>Enam Puluh Satu</v>
      </c>
    </row>
    <row r="8863" spans="10:12">
      <c r="J8863" s="31">
        <v>62</v>
      </c>
      <c r="K8863" s="33" t="s">
        <v>136</v>
      </c>
      <c r="L8863" s="31" t="str">
        <f t="shared" si="856"/>
        <v>Enam Puluh Dua</v>
      </c>
    </row>
    <row r="8864" spans="10:12">
      <c r="J8864" s="31">
        <v>63</v>
      </c>
      <c r="K8864" s="33" t="s">
        <v>137</v>
      </c>
      <c r="L8864" s="31" t="str">
        <f t="shared" si="856"/>
        <v>Enam Puluh Tiga</v>
      </c>
    </row>
    <row r="8865" spans="10:12">
      <c r="J8865" s="31">
        <v>64</v>
      </c>
      <c r="K8865" s="33" t="s">
        <v>138</v>
      </c>
      <c r="L8865" s="31" t="str">
        <f t="shared" si="856"/>
        <v>Enam Puluh Empat</v>
      </c>
    </row>
    <row r="8866" spans="10:12">
      <c r="J8866" s="31">
        <v>65</v>
      </c>
      <c r="K8866" s="33" t="s">
        <v>139</v>
      </c>
      <c r="L8866" s="31" t="str">
        <f t="shared" si="856"/>
        <v>Enam Puluh Lima</v>
      </c>
    </row>
    <row r="8867" spans="10:12">
      <c r="J8867" s="31">
        <v>66</v>
      </c>
      <c r="K8867" s="33" t="s">
        <v>140</v>
      </c>
      <c r="L8867" s="31" t="str">
        <f t="shared" si="856"/>
        <v>Enam Puluh Enam</v>
      </c>
    </row>
    <row r="8868" spans="10:12">
      <c r="J8868" s="31">
        <v>67</v>
      </c>
      <c r="K8868" s="33" t="s">
        <v>141</v>
      </c>
      <c r="L8868" s="31" t="str">
        <f t="shared" si="856"/>
        <v>Enam Puluh Tujuh</v>
      </c>
    </row>
    <row r="8869" spans="10:12">
      <c r="J8869" s="31">
        <v>68</v>
      </c>
      <c r="K8869" s="33" t="s">
        <v>142</v>
      </c>
      <c r="L8869" s="31" t="str">
        <f t="shared" si="856"/>
        <v>Enam Puluh Delapan</v>
      </c>
    </row>
    <row r="8870" spans="10:12">
      <c r="J8870" s="31">
        <v>69</v>
      </c>
      <c r="K8870" s="33" t="s">
        <v>143</v>
      </c>
      <c r="L8870" s="31" t="str">
        <f t="shared" si="856"/>
        <v>Enam Puluh Sembilan</v>
      </c>
    </row>
    <row r="8871" spans="10:12">
      <c r="J8871" s="31">
        <v>70</v>
      </c>
      <c r="K8871" s="33" t="s">
        <v>144</v>
      </c>
      <c r="L8871" s="31" t="s">
        <v>145</v>
      </c>
    </row>
    <row r="8872" spans="10:12">
      <c r="J8872" s="31">
        <v>71</v>
      </c>
      <c r="K8872" s="33" t="s">
        <v>146</v>
      </c>
      <c r="L8872" s="31" t="str">
        <f t="shared" ref="L8872:L8880" si="857">$L$73&amp;" "&amp;L8802</f>
        <v>Tujuh Puluh Satu</v>
      </c>
    </row>
    <row r="8873" spans="10:12">
      <c r="J8873" s="31">
        <v>72</v>
      </c>
      <c r="K8873" s="33" t="s">
        <v>147</v>
      </c>
      <c r="L8873" s="31" t="str">
        <f t="shared" si="857"/>
        <v>Tujuh Puluh Dua</v>
      </c>
    </row>
    <row r="8874" spans="10:12">
      <c r="J8874" s="31">
        <v>73</v>
      </c>
      <c r="K8874" s="33" t="s">
        <v>148</v>
      </c>
      <c r="L8874" s="31" t="str">
        <f t="shared" si="857"/>
        <v>Tujuh Puluh Tiga</v>
      </c>
    </row>
    <row r="8875" spans="10:12">
      <c r="J8875" s="31">
        <v>74</v>
      </c>
      <c r="K8875" s="33" t="s">
        <v>149</v>
      </c>
      <c r="L8875" s="31" t="str">
        <f t="shared" si="857"/>
        <v>Tujuh Puluh Empat</v>
      </c>
    </row>
    <row r="8876" spans="10:12">
      <c r="J8876" s="31">
        <v>75</v>
      </c>
      <c r="K8876" s="33" t="s">
        <v>150</v>
      </c>
      <c r="L8876" s="31" t="str">
        <f t="shared" si="857"/>
        <v>Tujuh Puluh Lima</v>
      </c>
    </row>
    <row r="8877" spans="10:12">
      <c r="J8877" s="31">
        <v>76</v>
      </c>
      <c r="K8877" s="33" t="s">
        <v>151</v>
      </c>
      <c r="L8877" s="31" t="str">
        <f t="shared" si="857"/>
        <v>Tujuh Puluh Enam</v>
      </c>
    </row>
    <row r="8878" spans="10:12">
      <c r="J8878" s="31">
        <v>77</v>
      </c>
      <c r="K8878" s="33" t="s">
        <v>152</v>
      </c>
      <c r="L8878" s="31" t="str">
        <f t="shared" si="857"/>
        <v>Tujuh Puluh Tujuh</v>
      </c>
    </row>
    <row r="8879" spans="10:12">
      <c r="J8879" s="31">
        <v>78</v>
      </c>
      <c r="K8879" s="33" t="s">
        <v>153</v>
      </c>
      <c r="L8879" s="31" t="str">
        <f t="shared" si="857"/>
        <v>Tujuh Puluh Delapan</v>
      </c>
    </row>
    <row r="8880" spans="10:12">
      <c r="J8880" s="31">
        <v>79</v>
      </c>
      <c r="K8880" s="33" t="s">
        <v>154</v>
      </c>
      <c r="L8880" s="31" t="str">
        <f t="shared" si="857"/>
        <v>Tujuh Puluh Sembilan</v>
      </c>
    </row>
    <row r="8881" spans="10:12">
      <c r="J8881" s="31">
        <v>80</v>
      </c>
      <c r="K8881" s="33" t="s">
        <v>155</v>
      </c>
      <c r="L8881" s="31" t="s">
        <v>156</v>
      </c>
    </row>
    <row r="8882" spans="10:12">
      <c r="J8882" s="31">
        <v>81</v>
      </c>
      <c r="K8882" s="33" t="s">
        <v>157</v>
      </c>
      <c r="L8882" s="31" t="str">
        <f t="shared" ref="L8882:L8890" si="858">$L$83&amp;" "&amp;L8802</f>
        <v>Delapan Puluh Satu</v>
      </c>
    </row>
    <row r="8883" spans="10:12">
      <c r="J8883" s="31">
        <v>82</v>
      </c>
      <c r="K8883" s="33" t="s">
        <v>158</v>
      </c>
      <c r="L8883" s="31" t="str">
        <f t="shared" si="858"/>
        <v>Delapan Puluh Dua</v>
      </c>
    </row>
    <row r="8884" spans="10:12">
      <c r="J8884" s="31">
        <v>83</v>
      </c>
      <c r="K8884" s="33" t="s">
        <v>159</v>
      </c>
      <c r="L8884" s="31" t="str">
        <f t="shared" si="858"/>
        <v>Delapan Puluh Tiga</v>
      </c>
    </row>
    <row r="8885" spans="10:12">
      <c r="J8885" s="31">
        <v>84</v>
      </c>
      <c r="K8885" s="33" t="s">
        <v>160</v>
      </c>
      <c r="L8885" s="31" t="str">
        <f t="shared" si="858"/>
        <v>Delapan Puluh Empat</v>
      </c>
    </row>
    <row r="8886" spans="10:12">
      <c r="J8886" s="31">
        <v>85</v>
      </c>
      <c r="K8886" s="33" t="s">
        <v>161</v>
      </c>
      <c r="L8886" s="31" t="str">
        <f t="shared" si="858"/>
        <v>Delapan Puluh Lima</v>
      </c>
    </row>
    <row r="8887" spans="10:12">
      <c r="J8887" s="31">
        <v>86</v>
      </c>
      <c r="K8887" s="33" t="s">
        <v>162</v>
      </c>
      <c r="L8887" s="31" t="str">
        <f t="shared" si="858"/>
        <v>Delapan Puluh Enam</v>
      </c>
    </row>
    <row r="8888" spans="10:12">
      <c r="J8888" s="31">
        <v>87</v>
      </c>
      <c r="K8888" s="33" t="s">
        <v>163</v>
      </c>
      <c r="L8888" s="31" t="str">
        <f t="shared" si="858"/>
        <v>Delapan Puluh Tujuh</v>
      </c>
    </row>
    <row r="8889" spans="10:12">
      <c r="J8889" s="31">
        <v>88</v>
      </c>
      <c r="K8889" s="33" t="s">
        <v>164</v>
      </c>
      <c r="L8889" s="31" t="str">
        <f t="shared" si="858"/>
        <v>Delapan Puluh Delapan</v>
      </c>
    </row>
    <row r="8890" spans="10:12">
      <c r="J8890" s="31">
        <v>89</v>
      </c>
      <c r="K8890" s="33" t="s">
        <v>165</v>
      </c>
      <c r="L8890" s="31" t="str">
        <f t="shared" si="858"/>
        <v>Delapan Puluh Sembilan</v>
      </c>
    </row>
    <row r="8891" spans="10:12">
      <c r="J8891" s="31">
        <v>90</v>
      </c>
      <c r="K8891" s="33" t="s">
        <v>166</v>
      </c>
      <c r="L8891" s="31" t="s">
        <v>167</v>
      </c>
    </row>
    <row r="8892" spans="10:12">
      <c r="J8892" s="31">
        <v>91</v>
      </c>
      <c r="K8892" s="33" t="s">
        <v>168</v>
      </c>
      <c r="L8892" s="31" t="str">
        <f t="shared" ref="L8892:L8900" si="859">$L$93&amp;" "&amp;L8802</f>
        <v>Sembilan Puluh Satu</v>
      </c>
    </row>
    <row r="8893" spans="10:12">
      <c r="J8893" s="31">
        <v>92</v>
      </c>
      <c r="K8893" s="33" t="s">
        <v>169</v>
      </c>
      <c r="L8893" s="31" t="str">
        <f t="shared" si="859"/>
        <v>Sembilan Puluh Dua</v>
      </c>
    </row>
    <row r="8894" spans="10:12">
      <c r="J8894" s="31">
        <v>93</v>
      </c>
      <c r="K8894" s="33" t="s">
        <v>170</v>
      </c>
      <c r="L8894" s="31" t="str">
        <f t="shared" si="859"/>
        <v>Sembilan Puluh Tiga</v>
      </c>
    </row>
    <row r="8895" spans="10:12">
      <c r="J8895" s="31">
        <v>94</v>
      </c>
      <c r="K8895" s="33" t="s">
        <v>171</v>
      </c>
      <c r="L8895" s="31" t="str">
        <f t="shared" si="859"/>
        <v>Sembilan Puluh Empat</v>
      </c>
    </row>
    <row r="8896" spans="10:12">
      <c r="J8896" s="31">
        <v>95</v>
      </c>
      <c r="K8896" s="33" t="s">
        <v>172</v>
      </c>
      <c r="L8896" s="31" t="str">
        <f t="shared" si="859"/>
        <v>Sembilan Puluh Lima</v>
      </c>
    </row>
    <row r="8897" spans="1:12">
      <c r="J8897" s="31">
        <v>96</v>
      </c>
      <c r="K8897" s="33" t="s">
        <v>173</v>
      </c>
      <c r="L8897" s="31" t="str">
        <f t="shared" si="859"/>
        <v>Sembilan Puluh Enam</v>
      </c>
    </row>
    <row r="8898" spans="1:12">
      <c r="J8898" s="31">
        <v>97</v>
      </c>
      <c r="K8898" s="33" t="s">
        <v>174</v>
      </c>
      <c r="L8898" s="31" t="str">
        <f t="shared" si="859"/>
        <v>Sembilan Puluh Tujuh</v>
      </c>
    </row>
    <row r="8899" spans="1:12">
      <c r="J8899" s="31">
        <v>98</v>
      </c>
      <c r="K8899" s="33" t="s">
        <v>175</v>
      </c>
      <c r="L8899" s="31" t="str">
        <f t="shared" si="859"/>
        <v>Sembilan Puluh Delapan</v>
      </c>
    </row>
    <row r="8900" spans="1:12">
      <c r="J8900" s="31">
        <v>99</v>
      </c>
      <c r="K8900" s="33" t="s">
        <v>176</v>
      </c>
      <c r="L8900" s="31" t="str">
        <f t="shared" si="859"/>
        <v>Sembilan Puluh Sembilan</v>
      </c>
    </row>
    <row r="8902" spans="1:12">
      <c r="A8902" s="30" t="e">
        <f>#REF!</f>
        <v>#REF!</v>
      </c>
      <c r="C8902" s="31" t="s">
        <v>295</v>
      </c>
    </row>
    <row r="8903" spans="1:12">
      <c r="A8903" s="32"/>
    </row>
    <row r="8904" spans="1:12">
      <c r="J8904" s="31">
        <v>0</v>
      </c>
      <c r="K8904" s="33" t="s">
        <v>48</v>
      </c>
      <c r="L8904" s="31" t="s">
        <v>49</v>
      </c>
    </row>
    <row r="8905" spans="1:12">
      <c r="A8905" s="34"/>
      <c r="J8905" s="31">
        <v>1</v>
      </c>
      <c r="K8905" s="33" t="s">
        <v>50</v>
      </c>
      <c r="L8905" s="31" t="s">
        <v>51</v>
      </c>
    </row>
    <row r="8906" spans="1:12">
      <c r="A8906" s="255" t="e">
        <f>TRIM(D8914&amp;E8914&amp;D8915&amp;E8915&amp;D8916&amp;E8916&amp;D8917&amp;E8917&amp;D8918&amp;E8918&amp;D8919&amp;E8919&amp;E8920&amp;D8920&amp;" Only")</f>
        <v>#REF!</v>
      </c>
      <c r="B8906" s="255"/>
      <c r="C8906" s="255"/>
      <c r="D8906" s="255"/>
      <c r="E8906" s="35"/>
      <c r="F8906" s="36"/>
      <c r="J8906" s="31">
        <v>2</v>
      </c>
      <c r="K8906" s="33" t="s">
        <v>52</v>
      </c>
      <c r="L8906" s="31" t="s">
        <v>53</v>
      </c>
    </row>
    <row r="8907" spans="1:12">
      <c r="A8907" s="37"/>
      <c r="B8907" s="37"/>
      <c r="C8907" s="37"/>
      <c r="D8907" s="37"/>
      <c r="E8907" s="35"/>
      <c r="F8907" s="36"/>
      <c r="J8907" s="31">
        <v>3</v>
      </c>
      <c r="K8907" s="33" t="s">
        <v>54</v>
      </c>
      <c r="L8907" s="31" t="s">
        <v>55</v>
      </c>
    </row>
    <row r="8908" spans="1:12">
      <c r="A8908" s="37"/>
      <c r="B8908" s="37"/>
      <c r="C8908" s="37"/>
      <c r="D8908" s="37"/>
      <c r="J8908" s="31">
        <v>4</v>
      </c>
      <c r="K8908" s="33" t="s">
        <v>56</v>
      </c>
      <c r="L8908" s="31" t="s">
        <v>57</v>
      </c>
    </row>
    <row r="8909" spans="1:12">
      <c r="A8909" s="255" t="e">
        <f>TRIM(D8924&amp;E8924&amp;D8925&amp;E8925&amp;D8926&amp;E8926&amp;D8927&amp;E8927&amp;D8928&amp;E8928&amp;D8929&amp;E8929&amp;D8930&amp;E8930&amp;" Rupiah")</f>
        <v>#REF!</v>
      </c>
      <c r="B8909" s="255"/>
      <c r="C8909" s="255"/>
      <c r="D8909" s="255"/>
      <c r="E8909" s="35"/>
      <c r="F8909" s="36"/>
      <c r="J8909" s="31">
        <v>5</v>
      </c>
      <c r="K8909" s="33" t="s">
        <v>58</v>
      </c>
      <c r="L8909" s="31" t="s">
        <v>59</v>
      </c>
    </row>
    <row r="8910" spans="1:12">
      <c r="A8910" s="35"/>
      <c r="B8910" s="35"/>
      <c r="C8910" s="35"/>
      <c r="D8910" s="35"/>
      <c r="E8910" s="35"/>
      <c r="F8910" s="36"/>
      <c r="J8910" s="31">
        <v>6</v>
      </c>
      <c r="K8910" s="33" t="s">
        <v>60</v>
      </c>
      <c r="L8910" s="31" t="s">
        <v>61</v>
      </c>
    </row>
    <row r="8911" spans="1:12">
      <c r="J8911" s="31">
        <v>7</v>
      </c>
      <c r="K8911" s="33" t="s">
        <v>62</v>
      </c>
      <c r="L8911" s="31" t="s">
        <v>63</v>
      </c>
    </row>
    <row r="8912" spans="1:12">
      <c r="J8912" s="31">
        <v>8</v>
      </c>
      <c r="K8912" s="33" t="s">
        <v>64</v>
      </c>
      <c r="L8912" s="31" t="s">
        <v>65</v>
      </c>
    </row>
    <row r="8913" spans="1:12">
      <c r="A8913" s="38" t="s">
        <v>66</v>
      </c>
      <c r="J8913" s="31">
        <v>9</v>
      </c>
      <c r="K8913" s="33" t="s">
        <v>67</v>
      </c>
      <c r="L8913" s="31" t="s">
        <v>68</v>
      </c>
    </row>
    <row r="8914" spans="1:12">
      <c r="A8914" s="31" t="s">
        <v>69</v>
      </c>
      <c r="B8914" s="39" t="e">
        <f>TRUNC(A8902/100000000)</f>
        <v>#REF!</v>
      </c>
      <c r="C8914" s="31" t="e">
        <f>B8914*100000000</f>
        <v>#REF!</v>
      </c>
      <c r="D8914" s="31" t="e">
        <f t="shared" ref="D8914:D8920" si="860">IF(B8914&lt;1,"",VLOOKUP(B8914,$J$3:$K$102,2))</f>
        <v>#REF!</v>
      </c>
      <c r="E8914" s="31" t="e">
        <f>IF(B8914&lt;1,"",IF(B8914&gt;1," Hundreds "," Hundred "))</f>
        <v>#REF!</v>
      </c>
      <c r="J8914" s="31">
        <v>10</v>
      </c>
      <c r="K8914" s="33" t="s">
        <v>70</v>
      </c>
      <c r="L8914" s="31" t="s">
        <v>71</v>
      </c>
    </row>
    <row r="8915" spans="1:12">
      <c r="A8915" s="31" t="s">
        <v>72</v>
      </c>
      <c r="B8915" s="39" t="e">
        <f>TRUNC((A8902-C8914)/1000000)</f>
        <v>#REF!</v>
      </c>
      <c r="C8915" s="31" t="e">
        <f>B8915*1000000</f>
        <v>#REF!</v>
      </c>
      <c r="D8915" s="31" t="e">
        <f t="shared" si="860"/>
        <v>#REF!</v>
      </c>
      <c r="E8915" s="31" t="e">
        <f>IF(B8914+B8915=0,"",IF(B8915=1," Million "," Millions "))</f>
        <v>#REF!</v>
      </c>
      <c r="J8915" s="31">
        <v>11</v>
      </c>
      <c r="K8915" s="33" t="s">
        <v>73</v>
      </c>
      <c r="L8915" s="31" t="s">
        <v>74</v>
      </c>
    </row>
    <row r="8916" spans="1:12">
      <c r="A8916" s="31" t="s">
        <v>75</v>
      </c>
      <c r="B8916" s="39" t="e">
        <f>TRUNC((A8902-SUM(C8914:C8915))/100000)</f>
        <v>#REF!</v>
      </c>
      <c r="C8916" s="31" t="e">
        <f>B8916*100000</f>
        <v>#REF!</v>
      </c>
      <c r="D8916" s="31" t="e">
        <f t="shared" si="860"/>
        <v>#REF!</v>
      </c>
      <c r="E8916" s="31" t="e">
        <f>IF(B8916&lt;1,"",IF(B8916&gt;1," Hundreds "," Hundred "))</f>
        <v>#REF!</v>
      </c>
      <c r="J8916" s="31">
        <v>12</v>
      </c>
      <c r="K8916" s="33" t="s">
        <v>76</v>
      </c>
      <c r="L8916" s="31" t="str">
        <f t="shared" ref="L8916:L8923" si="861">L8906&amp;" Belas"</f>
        <v>Dua Belas</v>
      </c>
    </row>
    <row r="8917" spans="1:12">
      <c r="A8917" s="33" t="s">
        <v>77</v>
      </c>
      <c r="B8917" s="40" t="e">
        <f>TRUNC((A8902-SUM(C8914:C8916))/1000)</f>
        <v>#REF!</v>
      </c>
      <c r="C8917" s="31" t="e">
        <f>B8917*1000</f>
        <v>#REF!</v>
      </c>
      <c r="D8917" s="31" t="e">
        <f t="shared" si="860"/>
        <v>#REF!</v>
      </c>
      <c r="E8917" s="31" t="e">
        <f>IF(B8916+B8917=0,"",IF(B8917=1," Thousand "," Thousands "))</f>
        <v>#REF!</v>
      </c>
      <c r="J8917" s="31">
        <v>13</v>
      </c>
      <c r="K8917" s="33" t="s">
        <v>78</v>
      </c>
      <c r="L8917" s="31" t="str">
        <f t="shared" si="861"/>
        <v>Tiga Belas</v>
      </c>
    </row>
    <row r="8918" spans="1:12">
      <c r="A8918" s="33" t="s">
        <v>79</v>
      </c>
      <c r="B8918" s="40" t="e">
        <f>TRUNC((A8902-SUM(C8914:C8917))/100)</f>
        <v>#REF!</v>
      </c>
      <c r="C8918" s="31" t="e">
        <f>B8918*100</f>
        <v>#REF!</v>
      </c>
      <c r="D8918" s="31" t="e">
        <f t="shared" si="860"/>
        <v>#REF!</v>
      </c>
      <c r="E8918" s="31" t="e">
        <f>IF(B8918&lt;1,"",IF(B8918&gt;1," Hundreds "," Hundred "))</f>
        <v>#REF!</v>
      </c>
      <c r="J8918" s="31">
        <v>14</v>
      </c>
      <c r="K8918" s="33" t="s">
        <v>80</v>
      </c>
      <c r="L8918" s="31" t="str">
        <f t="shared" si="861"/>
        <v>Empat Belas</v>
      </c>
    </row>
    <row r="8919" spans="1:12">
      <c r="A8919" s="33" t="s">
        <v>81</v>
      </c>
      <c r="B8919" s="41" t="e">
        <f>TRUNC((A8902-SUM(C8914:C8918)))</f>
        <v>#REF!</v>
      </c>
      <c r="C8919" s="42" t="e">
        <f>B8919</f>
        <v>#REF!</v>
      </c>
      <c r="D8919" s="31" t="e">
        <f t="shared" si="860"/>
        <v>#REF!</v>
      </c>
      <c r="E8919" s="31" t="e">
        <f>IF(SUM(C8914:C8919)&lt;1,"",IF(B8920&lt;1,""," And "))</f>
        <v>#REF!</v>
      </c>
      <c r="J8919" s="31">
        <v>15</v>
      </c>
      <c r="K8919" s="33" t="s">
        <v>82</v>
      </c>
      <c r="L8919" s="31" t="str">
        <f t="shared" si="861"/>
        <v>Lima Belas</v>
      </c>
    </row>
    <row r="8920" spans="1:12">
      <c r="A8920" s="33" t="s">
        <v>83</v>
      </c>
      <c r="B8920" s="40" t="e">
        <f>ROUND(A8902-SUM(C8914:C8919),2)*100</f>
        <v>#REF!</v>
      </c>
      <c r="D8920" s="43" t="e">
        <f t="shared" si="860"/>
        <v>#REF!</v>
      </c>
      <c r="E8920" s="31" t="e">
        <f>IF(B8920&lt;1,"",IF(B8920=1," Cent "," Cents "))</f>
        <v>#REF!</v>
      </c>
      <c r="J8920" s="31">
        <v>16</v>
      </c>
      <c r="K8920" s="33" t="s">
        <v>84</v>
      </c>
      <c r="L8920" s="31" t="str">
        <f t="shared" si="861"/>
        <v>Enam Belas</v>
      </c>
    </row>
    <row r="8921" spans="1:12">
      <c r="J8921" s="31">
        <v>17</v>
      </c>
      <c r="K8921" s="33" t="s">
        <v>85</v>
      </c>
      <c r="L8921" s="31" t="str">
        <f t="shared" si="861"/>
        <v>Tujuh Belas</v>
      </c>
    </row>
    <row r="8922" spans="1:12">
      <c r="A8922" s="44"/>
      <c r="J8922" s="31">
        <v>18</v>
      </c>
      <c r="K8922" s="33" t="s">
        <v>86</v>
      </c>
      <c r="L8922" s="31" t="str">
        <f t="shared" si="861"/>
        <v>Delapan Belas</v>
      </c>
    </row>
    <row r="8923" spans="1:12">
      <c r="A8923" s="38" t="s">
        <v>87</v>
      </c>
      <c r="J8923" s="31">
        <v>19</v>
      </c>
      <c r="K8923" s="33" t="s">
        <v>88</v>
      </c>
      <c r="L8923" s="31" t="str">
        <f t="shared" si="861"/>
        <v>Sembilan Belas</v>
      </c>
    </row>
    <row r="8924" spans="1:12">
      <c r="A8924" s="31" t="s">
        <v>69</v>
      </c>
      <c r="B8924" s="39" t="e">
        <f>TRUNC(A8902/100000000)</f>
        <v>#REF!</v>
      </c>
      <c r="C8924" s="31" t="e">
        <f>B8924*100000000</f>
        <v>#REF!</v>
      </c>
      <c r="D8924" s="31" t="e">
        <f>IF(B8924&lt;1,"",IF(B8924=1,"",VLOOKUP(B8924,$J$3:$L$102,3)))</f>
        <v>#REF!</v>
      </c>
      <c r="E8924" s="31" t="e">
        <f>IF(B8924&lt;1,"",IF(B8924=1,"Seratus "," Ratus "))</f>
        <v>#REF!</v>
      </c>
      <c r="J8924" s="31">
        <v>20</v>
      </c>
      <c r="K8924" s="33" t="s">
        <v>89</v>
      </c>
      <c r="L8924" s="31" t="s">
        <v>90</v>
      </c>
    </row>
    <row r="8925" spans="1:12">
      <c r="A8925" s="31" t="s">
        <v>72</v>
      </c>
      <c r="B8925" s="39" t="e">
        <f>TRUNC((A8902-C8924)/1000000)</f>
        <v>#REF!</v>
      </c>
      <c r="C8925" s="31" t="e">
        <f>B8925*1000000</f>
        <v>#REF!</v>
      </c>
      <c r="D8925" s="31" t="e">
        <f>IF(B8925&lt;1,"",VLOOKUP(B8925,$J$3:$L$102,3))</f>
        <v>#REF!</v>
      </c>
      <c r="E8925" s="31" t="e">
        <f>IF(B8924+B8925=0,""," Juta ")</f>
        <v>#REF!</v>
      </c>
      <c r="J8925" s="31">
        <v>21</v>
      </c>
      <c r="K8925" s="33" t="s">
        <v>91</v>
      </c>
      <c r="L8925" s="31" t="str">
        <f t="shared" ref="L8925:L8933" si="862">$L$23&amp;" "&amp;L8905</f>
        <v>Dua Puluh Satu</v>
      </c>
    </row>
    <row r="8926" spans="1:12">
      <c r="A8926" s="31" t="s">
        <v>75</v>
      </c>
      <c r="B8926" s="39" t="e">
        <f>TRUNC((A8902-SUM(C8924:C8925))/100000)</f>
        <v>#REF!</v>
      </c>
      <c r="C8926" s="31" t="e">
        <f>B8926*100000</f>
        <v>#REF!</v>
      </c>
      <c r="D8926" s="31" t="e">
        <f>IF(B8926&lt;1,"",IF(B8926=1,"",VLOOKUP(B8926,$J$3:$L$102,3)))</f>
        <v>#REF!</v>
      </c>
      <c r="E8926" s="31" t="e">
        <f>IF(B8926&lt;1,"",IF(B8926=1," Seratus "," Ratus "))</f>
        <v>#REF!</v>
      </c>
      <c r="J8926" s="31">
        <v>22</v>
      </c>
      <c r="K8926" s="33" t="s">
        <v>92</v>
      </c>
      <c r="L8926" s="31" t="str">
        <f t="shared" si="862"/>
        <v>Dua Puluh Dua</v>
      </c>
    </row>
    <row r="8927" spans="1:12">
      <c r="A8927" s="33" t="s">
        <v>77</v>
      </c>
      <c r="B8927" s="40" t="e">
        <f>TRUNC((A8902-SUM(C8924:C8926))/1000)</f>
        <v>#REF!</v>
      </c>
      <c r="C8927" s="31" t="e">
        <f>B8927*1000</f>
        <v>#REF!</v>
      </c>
      <c r="D8927" s="31" t="e">
        <f>IF(B8927&lt;1,"",IF(B8927=1,"",VLOOKUP(B8927,$J$3:$L$102,3)))</f>
        <v>#REF!</v>
      </c>
      <c r="E8927" s="31" t="e">
        <f>IF(B8926+B8927&lt;1,"",IF(B8927=1," Seribu "," Ribu "))</f>
        <v>#REF!</v>
      </c>
      <c r="J8927" s="31">
        <v>23</v>
      </c>
      <c r="K8927" s="33" t="s">
        <v>93</v>
      </c>
      <c r="L8927" s="31" t="str">
        <f t="shared" si="862"/>
        <v>Dua Puluh Tiga</v>
      </c>
    </row>
    <row r="8928" spans="1:12">
      <c r="A8928" s="33" t="s">
        <v>79</v>
      </c>
      <c r="B8928" s="40" t="e">
        <f>TRUNC((A8902-SUM(C8924:C8927))/100)</f>
        <v>#REF!</v>
      </c>
      <c r="C8928" s="31" t="e">
        <f>B8928*100</f>
        <v>#REF!</v>
      </c>
      <c r="D8928" s="31" t="e">
        <f>IF(B8928&lt;1,"",IF(B8928=1,"",VLOOKUP(B8928,$J$3:$L$102,3)))</f>
        <v>#REF!</v>
      </c>
      <c r="E8928" s="31" t="e">
        <f>IF(B8928&lt;1,"",IF(B8928=1," Seratus "," Ratus "))</f>
        <v>#REF!</v>
      </c>
      <c r="J8928" s="31">
        <v>24</v>
      </c>
      <c r="K8928" s="33" t="s">
        <v>94</v>
      </c>
      <c r="L8928" s="31" t="str">
        <f t="shared" si="862"/>
        <v>Dua Puluh Empat</v>
      </c>
    </row>
    <row r="8929" spans="1:12">
      <c r="A8929" s="33" t="s">
        <v>81</v>
      </c>
      <c r="B8929" s="41" t="e">
        <f>TRUNC((A8902-SUM(C8924:C8928)))</f>
        <v>#REF!</v>
      </c>
      <c r="C8929" s="42" t="e">
        <f>B8929</f>
        <v>#REF!</v>
      </c>
      <c r="D8929" s="31" t="e">
        <f>IF(B8929&lt;1,"",VLOOKUP(B8929,$J$3:$L$102,3))</f>
        <v>#REF!</v>
      </c>
      <c r="E8929" s="31" t="e">
        <f>IF(SUM(C8924:C8929)&lt;1,"",IF(B8930&lt;1,""," Dan "))</f>
        <v>#REF!</v>
      </c>
      <c r="J8929" s="31">
        <v>25</v>
      </c>
      <c r="K8929" s="33" t="s">
        <v>95</v>
      </c>
      <c r="L8929" s="31" t="str">
        <f t="shared" si="862"/>
        <v>Dua Puluh Lima</v>
      </c>
    </row>
    <row r="8930" spans="1:12">
      <c r="A8930" s="33" t="s">
        <v>83</v>
      </c>
      <c r="B8930" s="40" t="e">
        <f>ROUND(A8902-SUM(C8924:C8929),2)*100</f>
        <v>#REF!</v>
      </c>
      <c r="D8930" s="31" t="e">
        <f>IF(B8930&lt;1,"",VLOOKUP(B8930,$J$3:$L$102,3))</f>
        <v>#REF!</v>
      </c>
      <c r="E8930" s="31" t="e">
        <f>IF(B8930&lt;1,""," Sen ")</f>
        <v>#REF!</v>
      </c>
      <c r="J8930" s="31">
        <v>26</v>
      </c>
      <c r="K8930" s="33" t="s">
        <v>96</v>
      </c>
      <c r="L8930" s="31" t="str">
        <f t="shared" si="862"/>
        <v>Dua Puluh Enam</v>
      </c>
    </row>
    <row r="8931" spans="1:12">
      <c r="J8931" s="31">
        <v>27</v>
      </c>
      <c r="K8931" s="33" t="s">
        <v>97</v>
      </c>
      <c r="L8931" s="31" t="str">
        <f t="shared" si="862"/>
        <v>Dua Puluh Tujuh</v>
      </c>
    </row>
    <row r="8932" spans="1:12">
      <c r="J8932" s="31">
        <v>28</v>
      </c>
      <c r="K8932" s="33" t="s">
        <v>98</v>
      </c>
      <c r="L8932" s="31" t="str">
        <f t="shared" si="862"/>
        <v>Dua Puluh Delapan</v>
      </c>
    </row>
    <row r="8933" spans="1:12">
      <c r="J8933" s="31">
        <v>29</v>
      </c>
      <c r="K8933" s="33" t="s">
        <v>99</v>
      </c>
      <c r="L8933" s="31" t="str">
        <f t="shared" si="862"/>
        <v>Dua Puluh Sembilan</v>
      </c>
    </row>
    <row r="8934" spans="1:12">
      <c r="J8934" s="31">
        <v>30</v>
      </c>
      <c r="K8934" s="33" t="s">
        <v>100</v>
      </c>
      <c r="L8934" s="31" t="s">
        <v>101</v>
      </c>
    </row>
    <row r="8935" spans="1:12">
      <c r="J8935" s="31">
        <v>31</v>
      </c>
      <c r="K8935" s="33" t="s">
        <v>102</v>
      </c>
      <c r="L8935" s="31" t="str">
        <f t="shared" ref="L8935:L8943" si="863">$L$33&amp;" "&amp;L8905</f>
        <v>Tiga Puluh Satu</v>
      </c>
    </row>
    <row r="8936" spans="1:12">
      <c r="J8936" s="31">
        <v>32</v>
      </c>
      <c r="K8936" s="33" t="s">
        <v>103</v>
      </c>
      <c r="L8936" s="31" t="str">
        <f t="shared" si="863"/>
        <v>Tiga Puluh Dua</v>
      </c>
    </row>
    <row r="8937" spans="1:12">
      <c r="J8937" s="31">
        <v>33</v>
      </c>
      <c r="K8937" s="33" t="s">
        <v>104</v>
      </c>
      <c r="L8937" s="31" t="str">
        <f t="shared" si="863"/>
        <v>Tiga Puluh Tiga</v>
      </c>
    </row>
    <row r="8938" spans="1:12">
      <c r="J8938" s="31">
        <v>34</v>
      </c>
      <c r="K8938" s="33" t="s">
        <v>105</v>
      </c>
      <c r="L8938" s="31" t="str">
        <f t="shared" si="863"/>
        <v>Tiga Puluh Empat</v>
      </c>
    </row>
    <row r="8939" spans="1:12">
      <c r="J8939" s="31">
        <v>35</v>
      </c>
      <c r="K8939" s="33" t="s">
        <v>106</v>
      </c>
      <c r="L8939" s="31" t="str">
        <f t="shared" si="863"/>
        <v>Tiga Puluh Lima</v>
      </c>
    </row>
    <row r="8940" spans="1:12">
      <c r="J8940" s="31">
        <v>36</v>
      </c>
      <c r="K8940" s="33" t="s">
        <v>107</v>
      </c>
      <c r="L8940" s="31" t="str">
        <f t="shared" si="863"/>
        <v>Tiga Puluh Enam</v>
      </c>
    </row>
    <row r="8941" spans="1:12">
      <c r="J8941" s="31">
        <v>37</v>
      </c>
      <c r="K8941" s="33" t="s">
        <v>108</v>
      </c>
      <c r="L8941" s="31" t="str">
        <f t="shared" si="863"/>
        <v>Tiga Puluh Tujuh</v>
      </c>
    </row>
    <row r="8942" spans="1:12">
      <c r="J8942" s="31">
        <v>38</v>
      </c>
      <c r="K8942" s="33" t="s">
        <v>109</v>
      </c>
      <c r="L8942" s="31" t="str">
        <f t="shared" si="863"/>
        <v>Tiga Puluh Delapan</v>
      </c>
    </row>
    <row r="8943" spans="1:12">
      <c r="J8943" s="31">
        <v>39</v>
      </c>
      <c r="K8943" s="33" t="s">
        <v>110</v>
      </c>
      <c r="L8943" s="31" t="str">
        <f t="shared" si="863"/>
        <v>Tiga Puluh Sembilan</v>
      </c>
    </row>
    <row r="8944" spans="1:12">
      <c r="B8944" s="35"/>
      <c r="C8944" s="35"/>
      <c r="D8944" s="35"/>
      <c r="J8944" s="31">
        <v>40</v>
      </c>
      <c r="K8944" s="33" t="s">
        <v>111</v>
      </c>
      <c r="L8944" s="31" t="s">
        <v>112</v>
      </c>
    </row>
    <row r="8945" spans="1:12">
      <c r="A8945" s="35"/>
      <c r="B8945" s="35"/>
      <c r="C8945" s="35"/>
      <c r="D8945" s="35"/>
      <c r="J8945" s="31">
        <v>41</v>
      </c>
      <c r="K8945" s="33" t="s">
        <v>113</v>
      </c>
      <c r="L8945" s="31" t="str">
        <f t="shared" ref="L8945:L8953" si="864">$L$43&amp;" "&amp;L8905</f>
        <v>Empat Puluh Satu</v>
      </c>
    </row>
    <row r="8946" spans="1:12">
      <c r="J8946" s="31">
        <v>42</v>
      </c>
      <c r="K8946" s="33" t="s">
        <v>114</v>
      </c>
      <c r="L8946" s="31" t="str">
        <f t="shared" si="864"/>
        <v>Empat Puluh Dua</v>
      </c>
    </row>
    <row r="8947" spans="1:12">
      <c r="A8947" s="38"/>
      <c r="J8947" s="31">
        <v>43</v>
      </c>
      <c r="K8947" s="33" t="s">
        <v>115</v>
      </c>
      <c r="L8947" s="31" t="str">
        <f t="shared" si="864"/>
        <v>Empat Puluh Tiga</v>
      </c>
    </row>
    <row r="8948" spans="1:12">
      <c r="J8948" s="31">
        <v>44</v>
      </c>
      <c r="K8948" s="33" t="s">
        <v>116</v>
      </c>
      <c r="L8948" s="31" t="str">
        <f t="shared" si="864"/>
        <v>Empat Puluh Empat</v>
      </c>
    </row>
    <row r="8949" spans="1:12">
      <c r="J8949" s="31">
        <v>45</v>
      </c>
      <c r="K8949" s="33" t="s">
        <v>117</v>
      </c>
      <c r="L8949" s="31" t="str">
        <f t="shared" si="864"/>
        <v>Empat Puluh Lima</v>
      </c>
    </row>
    <row r="8950" spans="1:12">
      <c r="J8950" s="31">
        <v>46</v>
      </c>
      <c r="K8950" s="33" t="s">
        <v>118</v>
      </c>
      <c r="L8950" s="31" t="str">
        <f t="shared" si="864"/>
        <v>Empat Puluh Enam</v>
      </c>
    </row>
    <row r="8951" spans="1:12">
      <c r="J8951" s="31">
        <v>47</v>
      </c>
      <c r="K8951" s="33" t="s">
        <v>119</v>
      </c>
      <c r="L8951" s="31" t="str">
        <f t="shared" si="864"/>
        <v>Empat Puluh Tujuh</v>
      </c>
    </row>
    <row r="8952" spans="1:12">
      <c r="J8952" s="31">
        <v>48</v>
      </c>
      <c r="K8952" s="33" t="s">
        <v>120</v>
      </c>
      <c r="L8952" s="31" t="str">
        <f t="shared" si="864"/>
        <v>Empat Puluh Delapan</v>
      </c>
    </row>
    <row r="8953" spans="1:12">
      <c r="J8953" s="31">
        <v>49</v>
      </c>
      <c r="K8953" s="33" t="s">
        <v>121</v>
      </c>
      <c r="L8953" s="31" t="str">
        <f t="shared" si="864"/>
        <v>Empat Puluh Sembilan</v>
      </c>
    </row>
    <row r="8954" spans="1:12">
      <c r="J8954" s="31">
        <v>50</v>
      </c>
      <c r="K8954" s="33" t="s">
        <v>122</v>
      </c>
      <c r="L8954" s="31" t="s">
        <v>123</v>
      </c>
    </row>
    <row r="8955" spans="1:12">
      <c r="J8955" s="31">
        <v>51</v>
      </c>
      <c r="K8955" s="33" t="s">
        <v>124</v>
      </c>
      <c r="L8955" s="31" t="str">
        <f t="shared" ref="L8955:L8963" si="865">$L$53&amp;" "&amp;L8905</f>
        <v>Lima Puluh Satu</v>
      </c>
    </row>
    <row r="8956" spans="1:12">
      <c r="J8956" s="31">
        <v>52</v>
      </c>
      <c r="K8956" s="33" t="s">
        <v>125</v>
      </c>
      <c r="L8956" s="31" t="str">
        <f t="shared" si="865"/>
        <v>Lima Puluh Dua</v>
      </c>
    </row>
    <row r="8957" spans="1:12">
      <c r="J8957" s="31">
        <v>53</v>
      </c>
      <c r="K8957" s="33" t="s">
        <v>126</v>
      </c>
      <c r="L8957" s="31" t="str">
        <f t="shared" si="865"/>
        <v>Lima Puluh Tiga</v>
      </c>
    </row>
    <row r="8958" spans="1:12">
      <c r="J8958" s="31">
        <v>54</v>
      </c>
      <c r="K8958" s="33" t="s">
        <v>127</v>
      </c>
      <c r="L8958" s="31" t="str">
        <f t="shared" si="865"/>
        <v>Lima Puluh Empat</v>
      </c>
    </row>
    <row r="8959" spans="1:12">
      <c r="J8959" s="31">
        <v>55</v>
      </c>
      <c r="K8959" s="33" t="s">
        <v>128</v>
      </c>
      <c r="L8959" s="31" t="str">
        <f t="shared" si="865"/>
        <v>Lima Puluh Lima</v>
      </c>
    </row>
    <row r="8960" spans="1:12">
      <c r="J8960" s="31">
        <v>56</v>
      </c>
      <c r="K8960" s="33" t="s">
        <v>129</v>
      </c>
      <c r="L8960" s="31" t="str">
        <f t="shared" si="865"/>
        <v>Lima Puluh Enam</v>
      </c>
    </row>
    <row r="8961" spans="10:12">
      <c r="J8961" s="31">
        <v>57</v>
      </c>
      <c r="K8961" s="33" t="s">
        <v>130</v>
      </c>
      <c r="L8961" s="31" t="str">
        <f t="shared" si="865"/>
        <v>Lima Puluh Tujuh</v>
      </c>
    </row>
    <row r="8962" spans="10:12">
      <c r="J8962" s="31">
        <v>58</v>
      </c>
      <c r="K8962" s="33" t="s">
        <v>131</v>
      </c>
      <c r="L8962" s="31" t="str">
        <f t="shared" si="865"/>
        <v>Lima Puluh Delapan</v>
      </c>
    </row>
    <row r="8963" spans="10:12">
      <c r="J8963" s="31">
        <v>59</v>
      </c>
      <c r="K8963" s="33" t="s">
        <v>132</v>
      </c>
      <c r="L8963" s="31" t="str">
        <f t="shared" si="865"/>
        <v>Lima Puluh Sembilan</v>
      </c>
    </row>
    <row r="8964" spans="10:12">
      <c r="J8964" s="31">
        <v>60</v>
      </c>
      <c r="K8964" s="33" t="s">
        <v>133</v>
      </c>
      <c r="L8964" s="31" t="s">
        <v>134</v>
      </c>
    </row>
    <row r="8965" spans="10:12">
      <c r="J8965" s="31">
        <v>61</v>
      </c>
      <c r="K8965" s="33" t="s">
        <v>135</v>
      </c>
      <c r="L8965" s="31" t="str">
        <f t="shared" ref="L8965:L8973" si="866">$L$63&amp;" "&amp;L8905</f>
        <v>Enam Puluh Satu</v>
      </c>
    </row>
    <row r="8966" spans="10:12">
      <c r="J8966" s="31">
        <v>62</v>
      </c>
      <c r="K8966" s="33" t="s">
        <v>136</v>
      </c>
      <c r="L8966" s="31" t="str">
        <f t="shared" si="866"/>
        <v>Enam Puluh Dua</v>
      </c>
    </row>
    <row r="8967" spans="10:12">
      <c r="J8967" s="31">
        <v>63</v>
      </c>
      <c r="K8967" s="33" t="s">
        <v>137</v>
      </c>
      <c r="L8967" s="31" t="str">
        <f t="shared" si="866"/>
        <v>Enam Puluh Tiga</v>
      </c>
    </row>
    <row r="8968" spans="10:12">
      <c r="J8968" s="31">
        <v>64</v>
      </c>
      <c r="K8968" s="33" t="s">
        <v>138</v>
      </c>
      <c r="L8968" s="31" t="str">
        <f t="shared" si="866"/>
        <v>Enam Puluh Empat</v>
      </c>
    </row>
    <row r="8969" spans="10:12">
      <c r="J8969" s="31">
        <v>65</v>
      </c>
      <c r="K8969" s="33" t="s">
        <v>139</v>
      </c>
      <c r="L8969" s="31" t="str">
        <f t="shared" si="866"/>
        <v>Enam Puluh Lima</v>
      </c>
    </row>
    <row r="8970" spans="10:12">
      <c r="J8970" s="31">
        <v>66</v>
      </c>
      <c r="K8970" s="33" t="s">
        <v>140</v>
      </c>
      <c r="L8970" s="31" t="str">
        <f t="shared" si="866"/>
        <v>Enam Puluh Enam</v>
      </c>
    </row>
    <row r="8971" spans="10:12">
      <c r="J8971" s="31">
        <v>67</v>
      </c>
      <c r="K8971" s="33" t="s">
        <v>141</v>
      </c>
      <c r="L8971" s="31" t="str">
        <f t="shared" si="866"/>
        <v>Enam Puluh Tujuh</v>
      </c>
    </row>
    <row r="8972" spans="10:12">
      <c r="J8972" s="31">
        <v>68</v>
      </c>
      <c r="K8972" s="33" t="s">
        <v>142</v>
      </c>
      <c r="L8972" s="31" t="str">
        <f t="shared" si="866"/>
        <v>Enam Puluh Delapan</v>
      </c>
    </row>
    <row r="8973" spans="10:12">
      <c r="J8973" s="31">
        <v>69</v>
      </c>
      <c r="K8973" s="33" t="s">
        <v>143</v>
      </c>
      <c r="L8973" s="31" t="str">
        <f t="shared" si="866"/>
        <v>Enam Puluh Sembilan</v>
      </c>
    </row>
    <row r="8974" spans="10:12">
      <c r="J8974" s="31">
        <v>70</v>
      </c>
      <c r="K8974" s="33" t="s">
        <v>144</v>
      </c>
      <c r="L8974" s="31" t="s">
        <v>145</v>
      </c>
    </row>
    <row r="8975" spans="10:12">
      <c r="J8975" s="31">
        <v>71</v>
      </c>
      <c r="K8975" s="33" t="s">
        <v>146</v>
      </c>
      <c r="L8975" s="31" t="str">
        <f t="shared" ref="L8975:L8983" si="867">$L$73&amp;" "&amp;L8905</f>
        <v>Tujuh Puluh Satu</v>
      </c>
    </row>
    <row r="8976" spans="10:12">
      <c r="J8976" s="31">
        <v>72</v>
      </c>
      <c r="K8976" s="33" t="s">
        <v>147</v>
      </c>
      <c r="L8976" s="31" t="str">
        <f t="shared" si="867"/>
        <v>Tujuh Puluh Dua</v>
      </c>
    </row>
    <row r="8977" spans="10:12">
      <c r="J8977" s="31">
        <v>73</v>
      </c>
      <c r="K8977" s="33" t="s">
        <v>148</v>
      </c>
      <c r="L8977" s="31" t="str">
        <f t="shared" si="867"/>
        <v>Tujuh Puluh Tiga</v>
      </c>
    </row>
    <row r="8978" spans="10:12">
      <c r="J8978" s="31">
        <v>74</v>
      </c>
      <c r="K8978" s="33" t="s">
        <v>149</v>
      </c>
      <c r="L8978" s="31" t="str">
        <f t="shared" si="867"/>
        <v>Tujuh Puluh Empat</v>
      </c>
    </row>
    <row r="8979" spans="10:12">
      <c r="J8979" s="31">
        <v>75</v>
      </c>
      <c r="K8979" s="33" t="s">
        <v>150</v>
      </c>
      <c r="L8979" s="31" t="str">
        <f t="shared" si="867"/>
        <v>Tujuh Puluh Lima</v>
      </c>
    </row>
    <row r="8980" spans="10:12">
      <c r="J8980" s="31">
        <v>76</v>
      </c>
      <c r="K8980" s="33" t="s">
        <v>151</v>
      </c>
      <c r="L8980" s="31" t="str">
        <f t="shared" si="867"/>
        <v>Tujuh Puluh Enam</v>
      </c>
    </row>
    <row r="8981" spans="10:12">
      <c r="J8981" s="31">
        <v>77</v>
      </c>
      <c r="K8981" s="33" t="s">
        <v>152</v>
      </c>
      <c r="L8981" s="31" t="str">
        <f t="shared" si="867"/>
        <v>Tujuh Puluh Tujuh</v>
      </c>
    </row>
    <row r="8982" spans="10:12">
      <c r="J8982" s="31">
        <v>78</v>
      </c>
      <c r="K8982" s="33" t="s">
        <v>153</v>
      </c>
      <c r="L8982" s="31" t="str">
        <f t="shared" si="867"/>
        <v>Tujuh Puluh Delapan</v>
      </c>
    </row>
    <row r="8983" spans="10:12">
      <c r="J8983" s="31">
        <v>79</v>
      </c>
      <c r="K8983" s="33" t="s">
        <v>154</v>
      </c>
      <c r="L8983" s="31" t="str">
        <f t="shared" si="867"/>
        <v>Tujuh Puluh Sembilan</v>
      </c>
    </row>
    <row r="8984" spans="10:12">
      <c r="J8984" s="31">
        <v>80</v>
      </c>
      <c r="K8984" s="33" t="s">
        <v>155</v>
      </c>
      <c r="L8984" s="31" t="s">
        <v>156</v>
      </c>
    </row>
    <row r="8985" spans="10:12">
      <c r="J8985" s="31">
        <v>81</v>
      </c>
      <c r="K8985" s="33" t="s">
        <v>157</v>
      </c>
      <c r="L8985" s="31" t="str">
        <f t="shared" ref="L8985:L8993" si="868">$L$83&amp;" "&amp;L8905</f>
        <v>Delapan Puluh Satu</v>
      </c>
    </row>
    <row r="8986" spans="10:12">
      <c r="J8986" s="31">
        <v>82</v>
      </c>
      <c r="K8986" s="33" t="s">
        <v>158</v>
      </c>
      <c r="L8986" s="31" t="str">
        <f t="shared" si="868"/>
        <v>Delapan Puluh Dua</v>
      </c>
    </row>
    <row r="8987" spans="10:12">
      <c r="J8987" s="31">
        <v>83</v>
      </c>
      <c r="K8987" s="33" t="s">
        <v>159</v>
      </c>
      <c r="L8987" s="31" t="str">
        <f t="shared" si="868"/>
        <v>Delapan Puluh Tiga</v>
      </c>
    </row>
    <row r="8988" spans="10:12">
      <c r="J8988" s="31">
        <v>84</v>
      </c>
      <c r="K8988" s="33" t="s">
        <v>160</v>
      </c>
      <c r="L8988" s="31" t="str">
        <f t="shared" si="868"/>
        <v>Delapan Puluh Empat</v>
      </c>
    </row>
    <row r="8989" spans="10:12">
      <c r="J8989" s="31">
        <v>85</v>
      </c>
      <c r="K8989" s="33" t="s">
        <v>161</v>
      </c>
      <c r="L8989" s="31" t="str">
        <f t="shared" si="868"/>
        <v>Delapan Puluh Lima</v>
      </c>
    </row>
    <row r="8990" spans="10:12">
      <c r="J8990" s="31">
        <v>86</v>
      </c>
      <c r="K8990" s="33" t="s">
        <v>162</v>
      </c>
      <c r="L8990" s="31" t="str">
        <f t="shared" si="868"/>
        <v>Delapan Puluh Enam</v>
      </c>
    </row>
    <row r="8991" spans="10:12">
      <c r="J8991" s="31">
        <v>87</v>
      </c>
      <c r="K8991" s="33" t="s">
        <v>163</v>
      </c>
      <c r="L8991" s="31" t="str">
        <f t="shared" si="868"/>
        <v>Delapan Puluh Tujuh</v>
      </c>
    </row>
    <row r="8992" spans="10:12">
      <c r="J8992" s="31">
        <v>88</v>
      </c>
      <c r="K8992" s="33" t="s">
        <v>164</v>
      </c>
      <c r="L8992" s="31" t="str">
        <f t="shared" si="868"/>
        <v>Delapan Puluh Delapan</v>
      </c>
    </row>
    <row r="8993" spans="1:12">
      <c r="J8993" s="31">
        <v>89</v>
      </c>
      <c r="K8993" s="33" t="s">
        <v>165</v>
      </c>
      <c r="L8993" s="31" t="str">
        <f t="shared" si="868"/>
        <v>Delapan Puluh Sembilan</v>
      </c>
    </row>
    <row r="8994" spans="1:12">
      <c r="J8994" s="31">
        <v>90</v>
      </c>
      <c r="K8994" s="33" t="s">
        <v>166</v>
      </c>
      <c r="L8994" s="31" t="s">
        <v>167</v>
      </c>
    </row>
    <row r="8995" spans="1:12">
      <c r="J8995" s="31">
        <v>91</v>
      </c>
      <c r="K8995" s="33" t="s">
        <v>168</v>
      </c>
      <c r="L8995" s="31" t="str">
        <f t="shared" ref="L8995:L9003" si="869">$L$93&amp;" "&amp;L8905</f>
        <v>Sembilan Puluh Satu</v>
      </c>
    </row>
    <row r="8996" spans="1:12">
      <c r="J8996" s="31">
        <v>92</v>
      </c>
      <c r="K8996" s="33" t="s">
        <v>169</v>
      </c>
      <c r="L8996" s="31" t="str">
        <f t="shared" si="869"/>
        <v>Sembilan Puluh Dua</v>
      </c>
    </row>
    <row r="8997" spans="1:12">
      <c r="J8997" s="31">
        <v>93</v>
      </c>
      <c r="K8997" s="33" t="s">
        <v>170</v>
      </c>
      <c r="L8997" s="31" t="str">
        <f t="shared" si="869"/>
        <v>Sembilan Puluh Tiga</v>
      </c>
    </row>
    <row r="8998" spans="1:12">
      <c r="J8998" s="31">
        <v>94</v>
      </c>
      <c r="K8998" s="33" t="s">
        <v>171</v>
      </c>
      <c r="L8998" s="31" t="str">
        <f t="shared" si="869"/>
        <v>Sembilan Puluh Empat</v>
      </c>
    </row>
    <row r="8999" spans="1:12">
      <c r="J8999" s="31">
        <v>95</v>
      </c>
      <c r="K8999" s="33" t="s">
        <v>172</v>
      </c>
      <c r="L8999" s="31" t="str">
        <f t="shared" si="869"/>
        <v>Sembilan Puluh Lima</v>
      </c>
    </row>
    <row r="9000" spans="1:12">
      <c r="J9000" s="31">
        <v>96</v>
      </c>
      <c r="K9000" s="33" t="s">
        <v>173</v>
      </c>
      <c r="L9000" s="31" t="str">
        <f t="shared" si="869"/>
        <v>Sembilan Puluh Enam</v>
      </c>
    </row>
    <row r="9001" spans="1:12">
      <c r="J9001" s="31">
        <v>97</v>
      </c>
      <c r="K9001" s="33" t="s">
        <v>174</v>
      </c>
      <c r="L9001" s="31" t="str">
        <f t="shared" si="869"/>
        <v>Sembilan Puluh Tujuh</v>
      </c>
    </row>
    <row r="9002" spans="1:12">
      <c r="J9002" s="31">
        <v>98</v>
      </c>
      <c r="K9002" s="33" t="s">
        <v>175</v>
      </c>
      <c r="L9002" s="31" t="str">
        <f t="shared" si="869"/>
        <v>Sembilan Puluh Delapan</v>
      </c>
    </row>
    <row r="9003" spans="1:12">
      <c r="J9003" s="31">
        <v>99</v>
      </c>
      <c r="K9003" s="33" t="s">
        <v>176</v>
      </c>
      <c r="L9003" s="31" t="str">
        <f t="shared" si="869"/>
        <v>Sembilan Puluh Sembilan</v>
      </c>
    </row>
    <row r="9006" spans="1:12">
      <c r="A9006" s="30" t="e">
        <f>#REF!</f>
        <v>#REF!</v>
      </c>
      <c r="C9006" s="31" t="s">
        <v>296</v>
      </c>
    </row>
    <row r="9007" spans="1:12">
      <c r="A9007" s="32"/>
    </row>
    <row r="9008" spans="1:12">
      <c r="J9008" s="31">
        <v>0</v>
      </c>
      <c r="K9008" s="33" t="s">
        <v>48</v>
      </c>
      <c r="L9008" s="31" t="s">
        <v>49</v>
      </c>
    </row>
    <row r="9009" spans="1:12">
      <c r="A9009" s="34"/>
      <c r="J9009" s="31">
        <v>1</v>
      </c>
      <c r="K9009" s="33" t="s">
        <v>50</v>
      </c>
      <c r="L9009" s="31" t="s">
        <v>51</v>
      </c>
    </row>
    <row r="9010" spans="1:12">
      <c r="A9010" s="255" t="e">
        <f>TRIM(D9018&amp;E9018&amp;D9019&amp;E9019&amp;D9020&amp;E9020&amp;D9021&amp;E9021&amp;D9022&amp;E9022&amp;D9023&amp;E9023&amp;E9024&amp;D9024&amp;" Only")</f>
        <v>#REF!</v>
      </c>
      <c r="B9010" s="255"/>
      <c r="C9010" s="255"/>
      <c r="D9010" s="255"/>
      <c r="E9010" s="35"/>
      <c r="F9010" s="36"/>
      <c r="J9010" s="31">
        <v>2</v>
      </c>
      <c r="K9010" s="33" t="s">
        <v>52</v>
      </c>
      <c r="L9010" s="31" t="s">
        <v>53</v>
      </c>
    </row>
    <row r="9011" spans="1:12">
      <c r="A9011" s="37"/>
      <c r="B9011" s="37"/>
      <c r="C9011" s="37"/>
      <c r="D9011" s="37"/>
      <c r="E9011" s="35"/>
      <c r="F9011" s="36"/>
      <c r="J9011" s="31">
        <v>3</v>
      </c>
      <c r="K9011" s="33" t="s">
        <v>54</v>
      </c>
      <c r="L9011" s="31" t="s">
        <v>55</v>
      </c>
    </row>
    <row r="9012" spans="1:12">
      <c r="A9012" s="37"/>
      <c r="B9012" s="37"/>
      <c r="C9012" s="37"/>
      <c r="D9012" s="37"/>
      <c r="J9012" s="31">
        <v>4</v>
      </c>
      <c r="K9012" s="33" t="s">
        <v>56</v>
      </c>
      <c r="L9012" s="31" t="s">
        <v>57</v>
      </c>
    </row>
    <row r="9013" spans="1:12">
      <c r="A9013" s="255" t="e">
        <f>TRIM(D9028&amp;E9028&amp;D9029&amp;E9029&amp;D9030&amp;E9030&amp;D9031&amp;E9031&amp;D9032&amp;E9032&amp;D9033&amp;E9033&amp;D9034&amp;E9034&amp;" Rupiah")</f>
        <v>#REF!</v>
      </c>
      <c r="B9013" s="255"/>
      <c r="C9013" s="255"/>
      <c r="D9013" s="255"/>
      <c r="E9013" s="35"/>
      <c r="F9013" s="36"/>
      <c r="J9013" s="31">
        <v>5</v>
      </c>
      <c r="K9013" s="33" t="s">
        <v>58</v>
      </c>
      <c r="L9013" s="31" t="s">
        <v>59</v>
      </c>
    </row>
    <row r="9014" spans="1:12">
      <c r="A9014" s="35"/>
      <c r="B9014" s="35"/>
      <c r="C9014" s="35"/>
      <c r="D9014" s="35"/>
      <c r="E9014" s="35"/>
      <c r="F9014" s="36"/>
      <c r="J9014" s="31">
        <v>6</v>
      </c>
      <c r="K9014" s="33" t="s">
        <v>60</v>
      </c>
      <c r="L9014" s="31" t="s">
        <v>61</v>
      </c>
    </row>
    <row r="9015" spans="1:12">
      <c r="J9015" s="31">
        <v>7</v>
      </c>
      <c r="K9015" s="33" t="s">
        <v>62</v>
      </c>
      <c r="L9015" s="31" t="s">
        <v>63</v>
      </c>
    </row>
    <row r="9016" spans="1:12">
      <c r="J9016" s="31">
        <v>8</v>
      </c>
      <c r="K9016" s="33" t="s">
        <v>64</v>
      </c>
      <c r="L9016" s="31" t="s">
        <v>65</v>
      </c>
    </row>
    <row r="9017" spans="1:12">
      <c r="A9017" s="38" t="s">
        <v>66</v>
      </c>
      <c r="J9017" s="31">
        <v>9</v>
      </c>
      <c r="K9017" s="33" t="s">
        <v>67</v>
      </c>
      <c r="L9017" s="31" t="s">
        <v>68</v>
      </c>
    </row>
    <row r="9018" spans="1:12">
      <c r="A9018" s="31" t="s">
        <v>69</v>
      </c>
      <c r="B9018" s="39" t="e">
        <f>TRUNC(A9006/100000000)</f>
        <v>#REF!</v>
      </c>
      <c r="C9018" s="31" t="e">
        <f>B9018*100000000</f>
        <v>#REF!</v>
      </c>
      <c r="D9018" s="31" t="e">
        <f t="shared" ref="D9018:D9024" si="870">IF(B9018&lt;1,"",VLOOKUP(B9018,$J$3:$K$102,2))</f>
        <v>#REF!</v>
      </c>
      <c r="E9018" s="31" t="e">
        <f>IF(B9018&lt;1,"",IF(B9018&gt;1," Hundreds "," Hundred "))</f>
        <v>#REF!</v>
      </c>
      <c r="J9018" s="31">
        <v>10</v>
      </c>
      <c r="K9018" s="33" t="s">
        <v>70</v>
      </c>
      <c r="L9018" s="31" t="s">
        <v>71</v>
      </c>
    </row>
    <row r="9019" spans="1:12">
      <c r="A9019" s="31" t="s">
        <v>72</v>
      </c>
      <c r="B9019" s="39" t="e">
        <f>TRUNC((A9006-C9018)/1000000)</f>
        <v>#REF!</v>
      </c>
      <c r="C9019" s="31" t="e">
        <f>B9019*1000000</f>
        <v>#REF!</v>
      </c>
      <c r="D9019" s="31" t="e">
        <f t="shared" si="870"/>
        <v>#REF!</v>
      </c>
      <c r="E9019" s="31" t="e">
        <f>IF(B9018+B9019=0,"",IF(B9019=1," Million "," Millions "))</f>
        <v>#REF!</v>
      </c>
      <c r="J9019" s="31">
        <v>11</v>
      </c>
      <c r="K9019" s="33" t="s">
        <v>73</v>
      </c>
      <c r="L9019" s="31" t="s">
        <v>74</v>
      </c>
    </row>
    <row r="9020" spans="1:12">
      <c r="A9020" s="31" t="s">
        <v>75</v>
      </c>
      <c r="B9020" s="39" t="e">
        <f>TRUNC((A9006-SUM(C9018:C9019))/100000)</f>
        <v>#REF!</v>
      </c>
      <c r="C9020" s="31" t="e">
        <f>B9020*100000</f>
        <v>#REF!</v>
      </c>
      <c r="D9020" s="31" t="e">
        <f t="shared" si="870"/>
        <v>#REF!</v>
      </c>
      <c r="E9020" s="31" t="e">
        <f>IF(B9020&lt;1,"",IF(B9020&gt;1," Hundreds "," Hundred "))</f>
        <v>#REF!</v>
      </c>
      <c r="J9020" s="31">
        <v>12</v>
      </c>
      <c r="K9020" s="33" t="s">
        <v>76</v>
      </c>
      <c r="L9020" s="31" t="str">
        <f t="shared" ref="L9020:L9027" si="871">L9010&amp;" Belas"</f>
        <v>Dua Belas</v>
      </c>
    </row>
    <row r="9021" spans="1:12">
      <c r="A9021" s="33" t="s">
        <v>77</v>
      </c>
      <c r="B9021" s="40" t="e">
        <f>TRUNC((A9006-SUM(C9018:C9020))/1000)</f>
        <v>#REF!</v>
      </c>
      <c r="C9021" s="31" t="e">
        <f>B9021*1000</f>
        <v>#REF!</v>
      </c>
      <c r="D9021" s="31" t="e">
        <f t="shared" si="870"/>
        <v>#REF!</v>
      </c>
      <c r="E9021" s="31" t="e">
        <f>IF(B9020+B9021=0,"",IF(B9021=1," Thousand "," Thousands "))</f>
        <v>#REF!</v>
      </c>
      <c r="J9021" s="31">
        <v>13</v>
      </c>
      <c r="K9021" s="33" t="s">
        <v>78</v>
      </c>
      <c r="L9021" s="31" t="str">
        <f t="shared" si="871"/>
        <v>Tiga Belas</v>
      </c>
    </row>
    <row r="9022" spans="1:12">
      <c r="A9022" s="33" t="s">
        <v>79</v>
      </c>
      <c r="B9022" s="40" t="e">
        <f>TRUNC((A9006-SUM(C9018:C9021))/100)</f>
        <v>#REF!</v>
      </c>
      <c r="C9022" s="31" t="e">
        <f>B9022*100</f>
        <v>#REF!</v>
      </c>
      <c r="D9022" s="31" t="e">
        <f t="shared" si="870"/>
        <v>#REF!</v>
      </c>
      <c r="E9022" s="31" t="e">
        <f>IF(B9022&lt;1,"",IF(B9022&gt;1," Hundreds "," Hundred "))</f>
        <v>#REF!</v>
      </c>
      <c r="J9022" s="31">
        <v>14</v>
      </c>
      <c r="K9022" s="33" t="s">
        <v>80</v>
      </c>
      <c r="L9022" s="31" t="str">
        <f t="shared" si="871"/>
        <v>Empat Belas</v>
      </c>
    </row>
    <row r="9023" spans="1:12">
      <c r="A9023" s="33" t="s">
        <v>81</v>
      </c>
      <c r="B9023" s="41" t="e">
        <f>TRUNC((A9006-SUM(C9018:C9022)))</f>
        <v>#REF!</v>
      </c>
      <c r="C9023" s="42" t="e">
        <f>B9023</f>
        <v>#REF!</v>
      </c>
      <c r="D9023" s="31" t="e">
        <f t="shared" si="870"/>
        <v>#REF!</v>
      </c>
      <c r="E9023" s="31" t="e">
        <f>IF(SUM(C9018:C9023)&lt;1,"",IF(B9024&lt;1,""," And "))</f>
        <v>#REF!</v>
      </c>
      <c r="J9023" s="31">
        <v>15</v>
      </c>
      <c r="K9023" s="33" t="s">
        <v>82</v>
      </c>
      <c r="L9023" s="31" t="str">
        <f t="shared" si="871"/>
        <v>Lima Belas</v>
      </c>
    </row>
    <row r="9024" spans="1:12">
      <c r="A9024" s="33" t="s">
        <v>83</v>
      </c>
      <c r="B9024" s="40" t="e">
        <f>ROUND(A9006-SUM(C9018:C9023),2)*100</f>
        <v>#REF!</v>
      </c>
      <c r="D9024" s="43" t="e">
        <f t="shared" si="870"/>
        <v>#REF!</v>
      </c>
      <c r="E9024" s="31" t="e">
        <f>IF(B9024&lt;1,"",IF(B9024=1," Cent "," Cents "))</f>
        <v>#REF!</v>
      </c>
      <c r="J9024" s="31">
        <v>16</v>
      </c>
      <c r="K9024" s="33" t="s">
        <v>84</v>
      </c>
      <c r="L9024" s="31" t="str">
        <f t="shared" si="871"/>
        <v>Enam Belas</v>
      </c>
    </row>
    <row r="9025" spans="1:12">
      <c r="J9025" s="31">
        <v>17</v>
      </c>
      <c r="K9025" s="33" t="s">
        <v>85</v>
      </c>
      <c r="L9025" s="31" t="str">
        <f t="shared" si="871"/>
        <v>Tujuh Belas</v>
      </c>
    </row>
    <row r="9026" spans="1:12">
      <c r="A9026" s="44"/>
      <c r="J9026" s="31">
        <v>18</v>
      </c>
      <c r="K9026" s="33" t="s">
        <v>86</v>
      </c>
      <c r="L9026" s="31" t="str">
        <f t="shared" si="871"/>
        <v>Delapan Belas</v>
      </c>
    </row>
    <row r="9027" spans="1:12">
      <c r="A9027" s="38" t="s">
        <v>87</v>
      </c>
      <c r="J9027" s="31">
        <v>19</v>
      </c>
      <c r="K9027" s="33" t="s">
        <v>88</v>
      </c>
      <c r="L9027" s="31" t="str">
        <f t="shared" si="871"/>
        <v>Sembilan Belas</v>
      </c>
    </row>
    <row r="9028" spans="1:12">
      <c r="A9028" s="31" t="s">
        <v>69</v>
      </c>
      <c r="B9028" s="39" t="e">
        <f>TRUNC(A9006/100000000)</f>
        <v>#REF!</v>
      </c>
      <c r="C9028" s="31" t="e">
        <f>B9028*100000000</f>
        <v>#REF!</v>
      </c>
      <c r="D9028" s="31" t="e">
        <f>IF(B9028&lt;1,"",IF(B9028=1,"",VLOOKUP(B9028,$J$3:$L$102,3)))</f>
        <v>#REF!</v>
      </c>
      <c r="E9028" s="31" t="e">
        <f>IF(B9028&lt;1,"",IF(B9028=1,"Seratus "," Ratus "))</f>
        <v>#REF!</v>
      </c>
      <c r="J9028" s="31">
        <v>20</v>
      </c>
      <c r="K9028" s="33" t="s">
        <v>89</v>
      </c>
      <c r="L9028" s="31" t="s">
        <v>90</v>
      </c>
    </row>
    <row r="9029" spans="1:12">
      <c r="A9029" s="31" t="s">
        <v>72</v>
      </c>
      <c r="B9029" s="39" t="e">
        <f>TRUNC((A9006-C9028)/1000000)</f>
        <v>#REF!</v>
      </c>
      <c r="C9029" s="31" t="e">
        <f>B9029*1000000</f>
        <v>#REF!</v>
      </c>
      <c r="D9029" s="31" t="e">
        <f>IF(B9029&lt;1,"",VLOOKUP(B9029,$J$3:$L$102,3))</f>
        <v>#REF!</v>
      </c>
      <c r="E9029" s="31" t="e">
        <f>IF(B9028+B9029=0,""," Juta ")</f>
        <v>#REF!</v>
      </c>
      <c r="J9029" s="31">
        <v>21</v>
      </c>
      <c r="K9029" s="33" t="s">
        <v>91</v>
      </c>
      <c r="L9029" s="31" t="str">
        <f t="shared" ref="L9029:L9037" si="872">$L$23&amp;" "&amp;L9009</f>
        <v>Dua Puluh Satu</v>
      </c>
    </row>
    <row r="9030" spans="1:12">
      <c r="A9030" s="31" t="s">
        <v>75</v>
      </c>
      <c r="B9030" s="39" t="e">
        <f>TRUNC((A9006-SUM(C9028:C9029))/100000)</f>
        <v>#REF!</v>
      </c>
      <c r="C9030" s="31" t="e">
        <f>B9030*100000</f>
        <v>#REF!</v>
      </c>
      <c r="D9030" s="31" t="e">
        <f>IF(B9030&lt;1,"",IF(B9030=1,"",VLOOKUP(B9030,$J$3:$L$102,3)))</f>
        <v>#REF!</v>
      </c>
      <c r="E9030" s="31" t="e">
        <f>IF(B9030&lt;1,"",IF(B9030=1," Seratus "," Ratus "))</f>
        <v>#REF!</v>
      </c>
      <c r="J9030" s="31">
        <v>22</v>
      </c>
      <c r="K9030" s="33" t="s">
        <v>92</v>
      </c>
      <c r="L9030" s="31" t="str">
        <f t="shared" si="872"/>
        <v>Dua Puluh Dua</v>
      </c>
    </row>
    <row r="9031" spans="1:12">
      <c r="A9031" s="33" t="s">
        <v>77</v>
      </c>
      <c r="B9031" s="40" t="e">
        <f>TRUNC((A9006-SUM(C9028:C9030))/1000)</f>
        <v>#REF!</v>
      </c>
      <c r="C9031" s="31" t="e">
        <f>B9031*1000</f>
        <v>#REF!</v>
      </c>
      <c r="D9031" s="31" t="e">
        <f>IF(B9031&lt;1,"",IF(B9031=1,"",VLOOKUP(B9031,$J$3:$L$102,3)))</f>
        <v>#REF!</v>
      </c>
      <c r="E9031" s="31" t="e">
        <f>IF(B9030+B9031&lt;1,"",IF(B9031=1," Seribu "," Ribu "))</f>
        <v>#REF!</v>
      </c>
      <c r="J9031" s="31">
        <v>23</v>
      </c>
      <c r="K9031" s="33" t="s">
        <v>93</v>
      </c>
      <c r="L9031" s="31" t="str">
        <f t="shared" si="872"/>
        <v>Dua Puluh Tiga</v>
      </c>
    </row>
    <row r="9032" spans="1:12">
      <c r="A9032" s="33" t="s">
        <v>79</v>
      </c>
      <c r="B9032" s="40" t="e">
        <f>TRUNC((A9006-SUM(C9028:C9031))/100)</f>
        <v>#REF!</v>
      </c>
      <c r="C9032" s="31" t="e">
        <f>B9032*100</f>
        <v>#REF!</v>
      </c>
      <c r="D9032" s="31" t="e">
        <f>IF(B9032&lt;1,"",IF(B9032=1,"",VLOOKUP(B9032,$J$3:$L$102,3)))</f>
        <v>#REF!</v>
      </c>
      <c r="E9032" s="31" t="e">
        <f>IF(B9032&lt;1,"",IF(B9032=1," Seratus "," Ratus "))</f>
        <v>#REF!</v>
      </c>
      <c r="J9032" s="31">
        <v>24</v>
      </c>
      <c r="K9032" s="33" t="s">
        <v>94</v>
      </c>
      <c r="L9032" s="31" t="str">
        <f t="shared" si="872"/>
        <v>Dua Puluh Empat</v>
      </c>
    </row>
    <row r="9033" spans="1:12">
      <c r="A9033" s="33" t="s">
        <v>81</v>
      </c>
      <c r="B9033" s="41" t="e">
        <f>TRUNC((A9006-SUM(C9028:C9032)))</f>
        <v>#REF!</v>
      </c>
      <c r="C9033" s="42" t="e">
        <f>B9033</f>
        <v>#REF!</v>
      </c>
      <c r="D9033" s="31" t="e">
        <f>IF(B9033&lt;1,"",VLOOKUP(B9033,$J$3:$L$102,3))</f>
        <v>#REF!</v>
      </c>
      <c r="E9033" s="31" t="e">
        <f>IF(SUM(C9028:C9033)&lt;1,"",IF(B9034&lt;1,""," Dan "))</f>
        <v>#REF!</v>
      </c>
      <c r="J9033" s="31">
        <v>25</v>
      </c>
      <c r="K9033" s="33" t="s">
        <v>95</v>
      </c>
      <c r="L9033" s="31" t="str">
        <f t="shared" si="872"/>
        <v>Dua Puluh Lima</v>
      </c>
    </row>
    <row r="9034" spans="1:12">
      <c r="A9034" s="33" t="s">
        <v>83</v>
      </c>
      <c r="B9034" s="40" t="e">
        <f>ROUND(A9006-SUM(C9028:C9033),2)*100</f>
        <v>#REF!</v>
      </c>
      <c r="D9034" s="31" t="e">
        <f>IF(B9034&lt;1,"",VLOOKUP(B9034,$J$3:$L$102,3))</f>
        <v>#REF!</v>
      </c>
      <c r="E9034" s="31" t="e">
        <f>IF(B9034&lt;1,""," Sen ")</f>
        <v>#REF!</v>
      </c>
      <c r="J9034" s="31">
        <v>26</v>
      </c>
      <c r="K9034" s="33" t="s">
        <v>96</v>
      </c>
      <c r="L9034" s="31" t="str">
        <f t="shared" si="872"/>
        <v>Dua Puluh Enam</v>
      </c>
    </row>
    <row r="9035" spans="1:12">
      <c r="J9035" s="31">
        <v>27</v>
      </c>
      <c r="K9035" s="33" t="s">
        <v>97</v>
      </c>
      <c r="L9035" s="31" t="str">
        <f t="shared" si="872"/>
        <v>Dua Puluh Tujuh</v>
      </c>
    </row>
    <row r="9036" spans="1:12">
      <c r="J9036" s="31">
        <v>28</v>
      </c>
      <c r="K9036" s="33" t="s">
        <v>98</v>
      </c>
      <c r="L9036" s="31" t="str">
        <f t="shared" si="872"/>
        <v>Dua Puluh Delapan</v>
      </c>
    </row>
    <row r="9037" spans="1:12">
      <c r="J9037" s="31">
        <v>29</v>
      </c>
      <c r="K9037" s="33" t="s">
        <v>99</v>
      </c>
      <c r="L9037" s="31" t="str">
        <f t="shared" si="872"/>
        <v>Dua Puluh Sembilan</v>
      </c>
    </row>
    <row r="9038" spans="1:12">
      <c r="J9038" s="31">
        <v>30</v>
      </c>
      <c r="K9038" s="33" t="s">
        <v>100</v>
      </c>
      <c r="L9038" s="31" t="s">
        <v>101</v>
      </c>
    </row>
    <row r="9039" spans="1:12">
      <c r="J9039" s="31">
        <v>31</v>
      </c>
      <c r="K9039" s="33" t="s">
        <v>102</v>
      </c>
      <c r="L9039" s="31" t="str">
        <f t="shared" ref="L9039:L9047" si="873">$L$33&amp;" "&amp;L9009</f>
        <v>Tiga Puluh Satu</v>
      </c>
    </row>
    <row r="9040" spans="1:12">
      <c r="J9040" s="31">
        <v>32</v>
      </c>
      <c r="K9040" s="33" t="s">
        <v>103</v>
      </c>
      <c r="L9040" s="31" t="str">
        <f t="shared" si="873"/>
        <v>Tiga Puluh Dua</v>
      </c>
    </row>
    <row r="9041" spans="1:12">
      <c r="J9041" s="31">
        <v>33</v>
      </c>
      <c r="K9041" s="33" t="s">
        <v>104</v>
      </c>
      <c r="L9041" s="31" t="str">
        <f t="shared" si="873"/>
        <v>Tiga Puluh Tiga</v>
      </c>
    </row>
    <row r="9042" spans="1:12">
      <c r="J9042" s="31">
        <v>34</v>
      </c>
      <c r="K9042" s="33" t="s">
        <v>105</v>
      </c>
      <c r="L9042" s="31" t="str">
        <f t="shared" si="873"/>
        <v>Tiga Puluh Empat</v>
      </c>
    </row>
    <row r="9043" spans="1:12">
      <c r="J9043" s="31">
        <v>35</v>
      </c>
      <c r="K9043" s="33" t="s">
        <v>106</v>
      </c>
      <c r="L9043" s="31" t="str">
        <f t="shared" si="873"/>
        <v>Tiga Puluh Lima</v>
      </c>
    </row>
    <row r="9044" spans="1:12">
      <c r="J9044" s="31">
        <v>36</v>
      </c>
      <c r="K9044" s="33" t="s">
        <v>107</v>
      </c>
      <c r="L9044" s="31" t="str">
        <f t="shared" si="873"/>
        <v>Tiga Puluh Enam</v>
      </c>
    </row>
    <row r="9045" spans="1:12">
      <c r="J9045" s="31">
        <v>37</v>
      </c>
      <c r="K9045" s="33" t="s">
        <v>108</v>
      </c>
      <c r="L9045" s="31" t="str">
        <f t="shared" si="873"/>
        <v>Tiga Puluh Tujuh</v>
      </c>
    </row>
    <row r="9046" spans="1:12">
      <c r="J9046" s="31">
        <v>38</v>
      </c>
      <c r="K9046" s="33" t="s">
        <v>109</v>
      </c>
      <c r="L9046" s="31" t="str">
        <f t="shared" si="873"/>
        <v>Tiga Puluh Delapan</v>
      </c>
    </row>
    <row r="9047" spans="1:12">
      <c r="J9047" s="31">
        <v>39</v>
      </c>
      <c r="K9047" s="33" t="s">
        <v>110</v>
      </c>
      <c r="L9047" s="31" t="str">
        <f t="shared" si="873"/>
        <v>Tiga Puluh Sembilan</v>
      </c>
    </row>
    <row r="9048" spans="1:12">
      <c r="B9048" s="35"/>
      <c r="C9048" s="35"/>
      <c r="D9048" s="35"/>
      <c r="J9048" s="31">
        <v>40</v>
      </c>
      <c r="K9048" s="33" t="s">
        <v>111</v>
      </c>
      <c r="L9048" s="31" t="s">
        <v>112</v>
      </c>
    </row>
    <row r="9049" spans="1:12">
      <c r="A9049" s="35"/>
      <c r="B9049" s="35"/>
      <c r="C9049" s="35"/>
      <c r="D9049" s="35"/>
      <c r="J9049" s="31">
        <v>41</v>
      </c>
      <c r="K9049" s="33" t="s">
        <v>113</v>
      </c>
      <c r="L9049" s="31" t="str">
        <f t="shared" ref="L9049:L9057" si="874">$L$43&amp;" "&amp;L9009</f>
        <v>Empat Puluh Satu</v>
      </c>
    </row>
    <row r="9050" spans="1:12">
      <c r="J9050" s="31">
        <v>42</v>
      </c>
      <c r="K9050" s="33" t="s">
        <v>114</v>
      </c>
      <c r="L9050" s="31" t="str">
        <f t="shared" si="874"/>
        <v>Empat Puluh Dua</v>
      </c>
    </row>
    <row r="9051" spans="1:12">
      <c r="A9051" s="38"/>
      <c r="J9051" s="31">
        <v>43</v>
      </c>
      <c r="K9051" s="33" t="s">
        <v>115</v>
      </c>
      <c r="L9051" s="31" t="str">
        <f t="shared" si="874"/>
        <v>Empat Puluh Tiga</v>
      </c>
    </row>
    <row r="9052" spans="1:12">
      <c r="J9052" s="31">
        <v>44</v>
      </c>
      <c r="K9052" s="33" t="s">
        <v>116</v>
      </c>
      <c r="L9052" s="31" t="str">
        <f t="shared" si="874"/>
        <v>Empat Puluh Empat</v>
      </c>
    </row>
    <row r="9053" spans="1:12">
      <c r="J9053" s="31">
        <v>45</v>
      </c>
      <c r="K9053" s="33" t="s">
        <v>117</v>
      </c>
      <c r="L9053" s="31" t="str">
        <f t="shared" si="874"/>
        <v>Empat Puluh Lima</v>
      </c>
    </row>
    <row r="9054" spans="1:12">
      <c r="J9054" s="31">
        <v>46</v>
      </c>
      <c r="K9054" s="33" t="s">
        <v>118</v>
      </c>
      <c r="L9054" s="31" t="str">
        <f t="shared" si="874"/>
        <v>Empat Puluh Enam</v>
      </c>
    </row>
    <row r="9055" spans="1:12">
      <c r="J9055" s="31">
        <v>47</v>
      </c>
      <c r="K9055" s="33" t="s">
        <v>119</v>
      </c>
      <c r="L9055" s="31" t="str">
        <f t="shared" si="874"/>
        <v>Empat Puluh Tujuh</v>
      </c>
    </row>
    <row r="9056" spans="1:12">
      <c r="J9056" s="31">
        <v>48</v>
      </c>
      <c r="K9056" s="33" t="s">
        <v>120</v>
      </c>
      <c r="L9056" s="31" t="str">
        <f t="shared" si="874"/>
        <v>Empat Puluh Delapan</v>
      </c>
    </row>
    <row r="9057" spans="10:12">
      <c r="J9057" s="31">
        <v>49</v>
      </c>
      <c r="K9057" s="33" t="s">
        <v>121</v>
      </c>
      <c r="L9057" s="31" t="str">
        <f t="shared" si="874"/>
        <v>Empat Puluh Sembilan</v>
      </c>
    </row>
    <row r="9058" spans="10:12">
      <c r="J9058" s="31">
        <v>50</v>
      </c>
      <c r="K9058" s="33" t="s">
        <v>122</v>
      </c>
      <c r="L9058" s="31" t="s">
        <v>123</v>
      </c>
    </row>
    <row r="9059" spans="10:12">
      <c r="J9059" s="31">
        <v>51</v>
      </c>
      <c r="K9059" s="33" t="s">
        <v>124</v>
      </c>
      <c r="L9059" s="31" t="str">
        <f t="shared" ref="L9059:L9067" si="875">$L$53&amp;" "&amp;L9009</f>
        <v>Lima Puluh Satu</v>
      </c>
    </row>
    <row r="9060" spans="10:12">
      <c r="J9060" s="31">
        <v>52</v>
      </c>
      <c r="K9060" s="33" t="s">
        <v>125</v>
      </c>
      <c r="L9060" s="31" t="str">
        <f t="shared" si="875"/>
        <v>Lima Puluh Dua</v>
      </c>
    </row>
    <row r="9061" spans="10:12">
      <c r="J9061" s="31">
        <v>53</v>
      </c>
      <c r="K9061" s="33" t="s">
        <v>126</v>
      </c>
      <c r="L9061" s="31" t="str">
        <f t="shared" si="875"/>
        <v>Lima Puluh Tiga</v>
      </c>
    </row>
    <row r="9062" spans="10:12">
      <c r="J9062" s="31">
        <v>54</v>
      </c>
      <c r="K9062" s="33" t="s">
        <v>127</v>
      </c>
      <c r="L9062" s="31" t="str">
        <f t="shared" si="875"/>
        <v>Lima Puluh Empat</v>
      </c>
    </row>
    <row r="9063" spans="10:12">
      <c r="J9063" s="31">
        <v>55</v>
      </c>
      <c r="K9063" s="33" t="s">
        <v>128</v>
      </c>
      <c r="L9063" s="31" t="str">
        <f t="shared" si="875"/>
        <v>Lima Puluh Lima</v>
      </c>
    </row>
    <row r="9064" spans="10:12">
      <c r="J9064" s="31">
        <v>56</v>
      </c>
      <c r="K9064" s="33" t="s">
        <v>129</v>
      </c>
      <c r="L9064" s="31" t="str">
        <f t="shared" si="875"/>
        <v>Lima Puluh Enam</v>
      </c>
    </row>
    <row r="9065" spans="10:12">
      <c r="J9065" s="31">
        <v>57</v>
      </c>
      <c r="K9065" s="33" t="s">
        <v>130</v>
      </c>
      <c r="L9065" s="31" t="str">
        <f t="shared" si="875"/>
        <v>Lima Puluh Tujuh</v>
      </c>
    </row>
    <row r="9066" spans="10:12">
      <c r="J9066" s="31">
        <v>58</v>
      </c>
      <c r="K9066" s="33" t="s">
        <v>131</v>
      </c>
      <c r="L9066" s="31" t="str">
        <f t="shared" si="875"/>
        <v>Lima Puluh Delapan</v>
      </c>
    </row>
    <row r="9067" spans="10:12">
      <c r="J9067" s="31">
        <v>59</v>
      </c>
      <c r="K9067" s="33" t="s">
        <v>132</v>
      </c>
      <c r="L9067" s="31" t="str">
        <f t="shared" si="875"/>
        <v>Lima Puluh Sembilan</v>
      </c>
    </row>
    <row r="9068" spans="10:12">
      <c r="J9068" s="31">
        <v>60</v>
      </c>
      <c r="K9068" s="33" t="s">
        <v>133</v>
      </c>
      <c r="L9068" s="31" t="s">
        <v>134</v>
      </c>
    </row>
    <row r="9069" spans="10:12">
      <c r="J9069" s="31">
        <v>61</v>
      </c>
      <c r="K9069" s="33" t="s">
        <v>135</v>
      </c>
      <c r="L9069" s="31" t="str">
        <f t="shared" ref="L9069:L9077" si="876">$L$63&amp;" "&amp;L9009</f>
        <v>Enam Puluh Satu</v>
      </c>
    </row>
    <row r="9070" spans="10:12">
      <c r="J9070" s="31">
        <v>62</v>
      </c>
      <c r="K9070" s="33" t="s">
        <v>136</v>
      </c>
      <c r="L9070" s="31" t="str">
        <f t="shared" si="876"/>
        <v>Enam Puluh Dua</v>
      </c>
    </row>
    <row r="9071" spans="10:12">
      <c r="J9071" s="31">
        <v>63</v>
      </c>
      <c r="K9071" s="33" t="s">
        <v>137</v>
      </c>
      <c r="L9071" s="31" t="str">
        <f t="shared" si="876"/>
        <v>Enam Puluh Tiga</v>
      </c>
    </row>
    <row r="9072" spans="10:12">
      <c r="J9072" s="31">
        <v>64</v>
      </c>
      <c r="K9072" s="33" t="s">
        <v>138</v>
      </c>
      <c r="L9072" s="31" t="str">
        <f t="shared" si="876"/>
        <v>Enam Puluh Empat</v>
      </c>
    </row>
    <row r="9073" spans="10:12">
      <c r="J9073" s="31">
        <v>65</v>
      </c>
      <c r="K9073" s="33" t="s">
        <v>139</v>
      </c>
      <c r="L9073" s="31" t="str">
        <f t="shared" si="876"/>
        <v>Enam Puluh Lima</v>
      </c>
    </row>
    <row r="9074" spans="10:12">
      <c r="J9074" s="31">
        <v>66</v>
      </c>
      <c r="K9074" s="33" t="s">
        <v>140</v>
      </c>
      <c r="L9074" s="31" t="str">
        <f t="shared" si="876"/>
        <v>Enam Puluh Enam</v>
      </c>
    </row>
    <row r="9075" spans="10:12">
      <c r="J9075" s="31">
        <v>67</v>
      </c>
      <c r="K9075" s="33" t="s">
        <v>141</v>
      </c>
      <c r="L9075" s="31" t="str">
        <f t="shared" si="876"/>
        <v>Enam Puluh Tujuh</v>
      </c>
    </row>
    <row r="9076" spans="10:12">
      <c r="J9076" s="31">
        <v>68</v>
      </c>
      <c r="K9076" s="33" t="s">
        <v>142</v>
      </c>
      <c r="L9076" s="31" t="str">
        <f t="shared" si="876"/>
        <v>Enam Puluh Delapan</v>
      </c>
    </row>
    <row r="9077" spans="10:12">
      <c r="J9077" s="31">
        <v>69</v>
      </c>
      <c r="K9077" s="33" t="s">
        <v>143</v>
      </c>
      <c r="L9077" s="31" t="str">
        <f t="shared" si="876"/>
        <v>Enam Puluh Sembilan</v>
      </c>
    </row>
    <row r="9078" spans="10:12">
      <c r="J9078" s="31">
        <v>70</v>
      </c>
      <c r="K9078" s="33" t="s">
        <v>144</v>
      </c>
      <c r="L9078" s="31" t="s">
        <v>145</v>
      </c>
    </row>
    <row r="9079" spans="10:12">
      <c r="J9079" s="31">
        <v>71</v>
      </c>
      <c r="K9079" s="33" t="s">
        <v>146</v>
      </c>
      <c r="L9079" s="31" t="str">
        <f t="shared" ref="L9079:L9087" si="877">$L$73&amp;" "&amp;L9009</f>
        <v>Tujuh Puluh Satu</v>
      </c>
    </row>
    <row r="9080" spans="10:12">
      <c r="J9080" s="31">
        <v>72</v>
      </c>
      <c r="K9080" s="33" t="s">
        <v>147</v>
      </c>
      <c r="L9080" s="31" t="str">
        <f t="shared" si="877"/>
        <v>Tujuh Puluh Dua</v>
      </c>
    </row>
    <row r="9081" spans="10:12">
      <c r="J9081" s="31">
        <v>73</v>
      </c>
      <c r="K9081" s="33" t="s">
        <v>148</v>
      </c>
      <c r="L9081" s="31" t="str">
        <f t="shared" si="877"/>
        <v>Tujuh Puluh Tiga</v>
      </c>
    </row>
    <row r="9082" spans="10:12">
      <c r="J9082" s="31">
        <v>74</v>
      </c>
      <c r="K9082" s="33" t="s">
        <v>149</v>
      </c>
      <c r="L9082" s="31" t="str">
        <f t="shared" si="877"/>
        <v>Tujuh Puluh Empat</v>
      </c>
    </row>
    <row r="9083" spans="10:12">
      <c r="J9083" s="31">
        <v>75</v>
      </c>
      <c r="K9083" s="33" t="s">
        <v>150</v>
      </c>
      <c r="L9083" s="31" t="str">
        <f t="shared" si="877"/>
        <v>Tujuh Puluh Lima</v>
      </c>
    </row>
    <row r="9084" spans="10:12">
      <c r="J9084" s="31">
        <v>76</v>
      </c>
      <c r="K9084" s="33" t="s">
        <v>151</v>
      </c>
      <c r="L9084" s="31" t="str">
        <f t="shared" si="877"/>
        <v>Tujuh Puluh Enam</v>
      </c>
    </row>
    <row r="9085" spans="10:12">
      <c r="J9085" s="31">
        <v>77</v>
      </c>
      <c r="K9085" s="33" t="s">
        <v>152</v>
      </c>
      <c r="L9085" s="31" t="str">
        <f t="shared" si="877"/>
        <v>Tujuh Puluh Tujuh</v>
      </c>
    </row>
    <row r="9086" spans="10:12">
      <c r="J9086" s="31">
        <v>78</v>
      </c>
      <c r="K9086" s="33" t="s">
        <v>153</v>
      </c>
      <c r="L9086" s="31" t="str">
        <f t="shared" si="877"/>
        <v>Tujuh Puluh Delapan</v>
      </c>
    </row>
    <row r="9087" spans="10:12">
      <c r="J9087" s="31">
        <v>79</v>
      </c>
      <c r="K9087" s="33" t="s">
        <v>154</v>
      </c>
      <c r="L9087" s="31" t="str">
        <f t="shared" si="877"/>
        <v>Tujuh Puluh Sembilan</v>
      </c>
    </row>
    <row r="9088" spans="10:12">
      <c r="J9088" s="31">
        <v>80</v>
      </c>
      <c r="K9088" s="33" t="s">
        <v>155</v>
      </c>
      <c r="L9088" s="31" t="s">
        <v>156</v>
      </c>
    </row>
    <row r="9089" spans="10:12">
      <c r="J9089" s="31">
        <v>81</v>
      </c>
      <c r="K9089" s="33" t="s">
        <v>157</v>
      </c>
      <c r="L9089" s="31" t="str">
        <f t="shared" ref="L9089:L9097" si="878">$L$83&amp;" "&amp;L9009</f>
        <v>Delapan Puluh Satu</v>
      </c>
    </row>
    <row r="9090" spans="10:12">
      <c r="J9090" s="31">
        <v>82</v>
      </c>
      <c r="K9090" s="33" t="s">
        <v>158</v>
      </c>
      <c r="L9090" s="31" t="str">
        <f t="shared" si="878"/>
        <v>Delapan Puluh Dua</v>
      </c>
    </row>
    <row r="9091" spans="10:12">
      <c r="J9091" s="31">
        <v>83</v>
      </c>
      <c r="K9091" s="33" t="s">
        <v>159</v>
      </c>
      <c r="L9091" s="31" t="str">
        <f t="shared" si="878"/>
        <v>Delapan Puluh Tiga</v>
      </c>
    </row>
    <row r="9092" spans="10:12">
      <c r="J9092" s="31">
        <v>84</v>
      </c>
      <c r="K9092" s="33" t="s">
        <v>160</v>
      </c>
      <c r="L9092" s="31" t="str">
        <f t="shared" si="878"/>
        <v>Delapan Puluh Empat</v>
      </c>
    </row>
    <row r="9093" spans="10:12">
      <c r="J9093" s="31">
        <v>85</v>
      </c>
      <c r="K9093" s="33" t="s">
        <v>161</v>
      </c>
      <c r="L9093" s="31" t="str">
        <f t="shared" si="878"/>
        <v>Delapan Puluh Lima</v>
      </c>
    </row>
    <row r="9094" spans="10:12">
      <c r="J9094" s="31">
        <v>86</v>
      </c>
      <c r="K9094" s="33" t="s">
        <v>162</v>
      </c>
      <c r="L9094" s="31" t="str">
        <f t="shared" si="878"/>
        <v>Delapan Puluh Enam</v>
      </c>
    </row>
    <row r="9095" spans="10:12">
      <c r="J9095" s="31">
        <v>87</v>
      </c>
      <c r="K9095" s="33" t="s">
        <v>163</v>
      </c>
      <c r="L9095" s="31" t="str">
        <f t="shared" si="878"/>
        <v>Delapan Puluh Tujuh</v>
      </c>
    </row>
    <row r="9096" spans="10:12">
      <c r="J9096" s="31">
        <v>88</v>
      </c>
      <c r="K9096" s="33" t="s">
        <v>164</v>
      </c>
      <c r="L9096" s="31" t="str">
        <f t="shared" si="878"/>
        <v>Delapan Puluh Delapan</v>
      </c>
    </row>
    <row r="9097" spans="10:12">
      <c r="J9097" s="31">
        <v>89</v>
      </c>
      <c r="K9097" s="33" t="s">
        <v>165</v>
      </c>
      <c r="L9097" s="31" t="str">
        <f t="shared" si="878"/>
        <v>Delapan Puluh Sembilan</v>
      </c>
    </row>
    <row r="9098" spans="10:12">
      <c r="J9098" s="31">
        <v>90</v>
      </c>
      <c r="K9098" s="33" t="s">
        <v>166</v>
      </c>
      <c r="L9098" s="31" t="s">
        <v>167</v>
      </c>
    </row>
    <row r="9099" spans="10:12">
      <c r="J9099" s="31">
        <v>91</v>
      </c>
      <c r="K9099" s="33" t="s">
        <v>168</v>
      </c>
      <c r="L9099" s="31" t="str">
        <f t="shared" ref="L9099:L9107" si="879">$L$93&amp;" "&amp;L9009</f>
        <v>Sembilan Puluh Satu</v>
      </c>
    </row>
    <row r="9100" spans="10:12">
      <c r="J9100" s="31">
        <v>92</v>
      </c>
      <c r="K9100" s="33" t="s">
        <v>169</v>
      </c>
      <c r="L9100" s="31" t="str">
        <f t="shared" si="879"/>
        <v>Sembilan Puluh Dua</v>
      </c>
    </row>
    <row r="9101" spans="10:12">
      <c r="J9101" s="31">
        <v>93</v>
      </c>
      <c r="K9101" s="33" t="s">
        <v>170</v>
      </c>
      <c r="L9101" s="31" t="str">
        <f t="shared" si="879"/>
        <v>Sembilan Puluh Tiga</v>
      </c>
    </row>
    <row r="9102" spans="10:12">
      <c r="J9102" s="31">
        <v>94</v>
      </c>
      <c r="K9102" s="33" t="s">
        <v>171</v>
      </c>
      <c r="L9102" s="31" t="str">
        <f t="shared" si="879"/>
        <v>Sembilan Puluh Empat</v>
      </c>
    </row>
    <row r="9103" spans="10:12">
      <c r="J9103" s="31">
        <v>95</v>
      </c>
      <c r="K9103" s="33" t="s">
        <v>172</v>
      </c>
      <c r="L9103" s="31" t="str">
        <f t="shared" si="879"/>
        <v>Sembilan Puluh Lima</v>
      </c>
    </row>
    <row r="9104" spans="10:12">
      <c r="J9104" s="31">
        <v>96</v>
      </c>
      <c r="K9104" s="33" t="s">
        <v>173</v>
      </c>
      <c r="L9104" s="31" t="str">
        <f t="shared" si="879"/>
        <v>Sembilan Puluh Enam</v>
      </c>
    </row>
    <row r="9105" spans="1:12">
      <c r="J9105" s="31">
        <v>97</v>
      </c>
      <c r="K9105" s="33" t="s">
        <v>174</v>
      </c>
      <c r="L9105" s="31" t="str">
        <f t="shared" si="879"/>
        <v>Sembilan Puluh Tujuh</v>
      </c>
    </row>
    <row r="9106" spans="1:12">
      <c r="J9106" s="31">
        <v>98</v>
      </c>
      <c r="K9106" s="33" t="s">
        <v>175</v>
      </c>
      <c r="L9106" s="31" t="str">
        <f t="shared" si="879"/>
        <v>Sembilan Puluh Delapan</v>
      </c>
    </row>
    <row r="9107" spans="1:12">
      <c r="J9107" s="31">
        <v>99</v>
      </c>
      <c r="K9107" s="33" t="s">
        <v>176</v>
      </c>
      <c r="L9107" s="31" t="str">
        <f t="shared" si="879"/>
        <v>Sembilan Puluh Sembilan</v>
      </c>
    </row>
    <row r="9110" spans="1:12">
      <c r="A9110" s="30" t="e">
        <f>#REF!</f>
        <v>#REF!</v>
      </c>
      <c r="C9110" s="31" t="s">
        <v>297</v>
      </c>
    </row>
    <row r="9111" spans="1:12">
      <c r="A9111" s="32"/>
    </row>
    <row r="9112" spans="1:12">
      <c r="J9112" s="31">
        <v>0</v>
      </c>
      <c r="K9112" s="33" t="s">
        <v>48</v>
      </c>
      <c r="L9112" s="31" t="s">
        <v>49</v>
      </c>
    </row>
    <row r="9113" spans="1:12">
      <c r="A9113" s="34"/>
      <c r="J9113" s="31">
        <v>1</v>
      </c>
      <c r="K9113" s="33" t="s">
        <v>50</v>
      </c>
      <c r="L9113" s="31" t="s">
        <v>51</v>
      </c>
    </row>
    <row r="9114" spans="1:12">
      <c r="A9114" s="255" t="e">
        <f>TRIM(D9122&amp;E9122&amp;D9123&amp;E9123&amp;D9124&amp;E9124&amp;D9125&amp;E9125&amp;D9126&amp;E9126&amp;D9127&amp;E9127&amp;E9128&amp;D9128&amp;" Only")</f>
        <v>#REF!</v>
      </c>
      <c r="B9114" s="255"/>
      <c r="C9114" s="255"/>
      <c r="D9114" s="255"/>
      <c r="E9114" s="35"/>
      <c r="F9114" s="36"/>
      <c r="J9114" s="31">
        <v>2</v>
      </c>
      <c r="K9114" s="33" t="s">
        <v>52</v>
      </c>
      <c r="L9114" s="31" t="s">
        <v>53</v>
      </c>
    </row>
    <row r="9115" spans="1:12">
      <c r="A9115" s="37"/>
      <c r="B9115" s="37"/>
      <c r="C9115" s="37"/>
      <c r="D9115" s="37"/>
      <c r="E9115" s="35"/>
      <c r="F9115" s="36"/>
      <c r="J9115" s="31">
        <v>3</v>
      </c>
      <c r="K9115" s="33" t="s">
        <v>54</v>
      </c>
      <c r="L9115" s="31" t="s">
        <v>55</v>
      </c>
    </row>
    <row r="9116" spans="1:12">
      <c r="A9116" s="37"/>
      <c r="B9116" s="37"/>
      <c r="C9116" s="37"/>
      <c r="D9116" s="37"/>
      <c r="J9116" s="31">
        <v>4</v>
      </c>
      <c r="K9116" s="33" t="s">
        <v>56</v>
      </c>
      <c r="L9116" s="31" t="s">
        <v>57</v>
      </c>
    </row>
    <row r="9117" spans="1:12">
      <c r="A9117" s="255" t="e">
        <f>TRIM(D9132&amp;E9132&amp;D9133&amp;E9133&amp;D9134&amp;E9134&amp;D9135&amp;E9135&amp;D9136&amp;E9136&amp;D9137&amp;E9137&amp;D9138&amp;E9138&amp;" Rupiah")</f>
        <v>#REF!</v>
      </c>
      <c r="B9117" s="255"/>
      <c r="C9117" s="255"/>
      <c r="D9117" s="255"/>
      <c r="E9117" s="35"/>
      <c r="F9117" s="36"/>
      <c r="J9117" s="31">
        <v>5</v>
      </c>
      <c r="K9117" s="33" t="s">
        <v>58</v>
      </c>
      <c r="L9117" s="31" t="s">
        <v>59</v>
      </c>
    </row>
    <row r="9118" spans="1:12">
      <c r="A9118" s="35"/>
      <c r="B9118" s="35"/>
      <c r="C9118" s="35"/>
      <c r="D9118" s="35"/>
      <c r="E9118" s="35"/>
      <c r="F9118" s="36"/>
      <c r="J9118" s="31">
        <v>6</v>
      </c>
      <c r="K9118" s="33" t="s">
        <v>60</v>
      </c>
      <c r="L9118" s="31" t="s">
        <v>61</v>
      </c>
    </row>
    <row r="9119" spans="1:12">
      <c r="J9119" s="31">
        <v>7</v>
      </c>
      <c r="K9119" s="33" t="s">
        <v>62</v>
      </c>
      <c r="L9119" s="31" t="s">
        <v>63</v>
      </c>
    </row>
    <row r="9120" spans="1:12">
      <c r="J9120" s="31">
        <v>8</v>
      </c>
      <c r="K9120" s="33" t="s">
        <v>64</v>
      </c>
      <c r="L9120" s="31" t="s">
        <v>65</v>
      </c>
    </row>
    <row r="9121" spans="1:12">
      <c r="A9121" s="38" t="s">
        <v>66</v>
      </c>
      <c r="J9121" s="31">
        <v>9</v>
      </c>
      <c r="K9121" s="33" t="s">
        <v>67</v>
      </c>
      <c r="L9121" s="31" t="s">
        <v>68</v>
      </c>
    </row>
    <row r="9122" spans="1:12">
      <c r="A9122" s="31" t="s">
        <v>69</v>
      </c>
      <c r="B9122" s="39" t="e">
        <f>TRUNC(A9110/100000000)</f>
        <v>#REF!</v>
      </c>
      <c r="C9122" s="31" t="e">
        <f>B9122*100000000</f>
        <v>#REF!</v>
      </c>
      <c r="D9122" s="31" t="e">
        <f t="shared" ref="D9122:D9128" si="880">IF(B9122&lt;1,"",VLOOKUP(B9122,$J$3:$K$102,2))</f>
        <v>#REF!</v>
      </c>
      <c r="E9122" s="31" t="e">
        <f>IF(B9122&lt;1,"",IF(B9122&gt;1," Hundreds "," Hundred "))</f>
        <v>#REF!</v>
      </c>
      <c r="J9122" s="31">
        <v>10</v>
      </c>
      <c r="K9122" s="33" t="s">
        <v>70</v>
      </c>
      <c r="L9122" s="31" t="s">
        <v>71</v>
      </c>
    </row>
    <row r="9123" spans="1:12">
      <c r="A9123" s="31" t="s">
        <v>72</v>
      </c>
      <c r="B9123" s="39" t="e">
        <f>TRUNC((A9110-C9122)/1000000)</f>
        <v>#REF!</v>
      </c>
      <c r="C9123" s="31" t="e">
        <f>B9123*1000000</f>
        <v>#REF!</v>
      </c>
      <c r="D9123" s="31" t="e">
        <f t="shared" si="880"/>
        <v>#REF!</v>
      </c>
      <c r="E9123" s="31" t="e">
        <f>IF(B9122+B9123=0,"",IF(B9123=1," Million "," Millions "))</f>
        <v>#REF!</v>
      </c>
      <c r="J9123" s="31">
        <v>11</v>
      </c>
      <c r="K9123" s="33" t="s">
        <v>73</v>
      </c>
      <c r="L9123" s="31" t="s">
        <v>74</v>
      </c>
    </row>
    <row r="9124" spans="1:12">
      <c r="A9124" s="31" t="s">
        <v>75</v>
      </c>
      <c r="B9124" s="39" t="e">
        <f>TRUNC((A9110-SUM(C9122:C9123))/100000)</f>
        <v>#REF!</v>
      </c>
      <c r="C9124" s="31" t="e">
        <f>B9124*100000</f>
        <v>#REF!</v>
      </c>
      <c r="D9124" s="31" t="e">
        <f t="shared" si="880"/>
        <v>#REF!</v>
      </c>
      <c r="E9124" s="31" t="e">
        <f>IF(B9124&lt;1,"",IF(B9124&gt;1," Hundreds "," Hundred "))</f>
        <v>#REF!</v>
      </c>
      <c r="J9124" s="31">
        <v>12</v>
      </c>
      <c r="K9124" s="33" t="s">
        <v>76</v>
      </c>
      <c r="L9124" s="31" t="str">
        <f t="shared" ref="L9124:L9131" si="881">L9114&amp;" Belas"</f>
        <v>Dua Belas</v>
      </c>
    </row>
    <row r="9125" spans="1:12">
      <c r="A9125" s="33" t="s">
        <v>77</v>
      </c>
      <c r="B9125" s="40" t="e">
        <f>TRUNC((A9110-SUM(C9122:C9124))/1000)</f>
        <v>#REF!</v>
      </c>
      <c r="C9125" s="31" t="e">
        <f>B9125*1000</f>
        <v>#REF!</v>
      </c>
      <c r="D9125" s="31" t="e">
        <f t="shared" si="880"/>
        <v>#REF!</v>
      </c>
      <c r="E9125" s="31" t="e">
        <f>IF(B9124+B9125=0,"",IF(B9125=1," Thousand "," Thousands "))</f>
        <v>#REF!</v>
      </c>
      <c r="J9125" s="31">
        <v>13</v>
      </c>
      <c r="K9125" s="33" t="s">
        <v>78</v>
      </c>
      <c r="L9125" s="31" t="str">
        <f t="shared" si="881"/>
        <v>Tiga Belas</v>
      </c>
    </row>
    <row r="9126" spans="1:12">
      <c r="A9126" s="33" t="s">
        <v>79</v>
      </c>
      <c r="B9126" s="40" t="e">
        <f>TRUNC((A9110-SUM(C9122:C9125))/100)</f>
        <v>#REF!</v>
      </c>
      <c r="C9126" s="31" t="e">
        <f>B9126*100</f>
        <v>#REF!</v>
      </c>
      <c r="D9126" s="31" t="e">
        <f t="shared" si="880"/>
        <v>#REF!</v>
      </c>
      <c r="E9126" s="31" t="e">
        <f>IF(B9126&lt;1,"",IF(B9126&gt;1," Hundreds "," Hundred "))</f>
        <v>#REF!</v>
      </c>
      <c r="J9126" s="31">
        <v>14</v>
      </c>
      <c r="K9126" s="33" t="s">
        <v>80</v>
      </c>
      <c r="L9126" s="31" t="str">
        <f t="shared" si="881"/>
        <v>Empat Belas</v>
      </c>
    </row>
    <row r="9127" spans="1:12">
      <c r="A9127" s="33" t="s">
        <v>81</v>
      </c>
      <c r="B9127" s="41" t="e">
        <f>TRUNC((A9110-SUM(C9122:C9126)))</f>
        <v>#REF!</v>
      </c>
      <c r="C9127" s="42" t="e">
        <f>B9127</f>
        <v>#REF!</v>
      </c>
      <c r="D9127" s="31" t="e">
        <f t="shared" si="880"/>
        <v>#REF!</v>
      </c>
      <c r="E9127" s="31" t="e">
        <f>IF(SUM(C9122:C9127)&lt;1,"",IF(B9128&lt;1,""," And "))</f>
        <v>#REF!</v>
      </c>
      <c r="J9127" s="31">
        <v>15</v>
      </c>
      <c r="K9127" s="33" t="s">
        <v>82</v>
      </c>
      <c r="L9127" s="31" t="str">
        <f t="shared" si="881"/>
        <v>Lima Belas</v>
      </c>
    </row>
    <row r="9128" spans="1:12">
      <c r="A9128" s="33" t="s">
        <v>83</v>
      </c>
      <c r="B9128" s="40" t="e">
        <f>ROUND(A9110-SUM(C9122:C9127),2)*100</f>
        <v>#REF!</v>
      </c>
      <c r="D9128" s="43" t="e">
        <f t="shared" si="880"/>
        <v>#REF!</v>
      </c>
      <c r="E9128" s="31" t="e">
        <f>IF(B9128&lt;1,"",IF(B9128=1," Cent "," Cents "))</f>
        <v>#REF!</v>
      </c>
      <c r="J9128" s="31">
        <v>16</v>
      </c>
      <c r="K9128" s="33" t="s">
        <v>84</v>
      </c>
      <c r="L9128" s="31" t="str">
        <f t="shared" si="881"/>
        <v>Enam Belas</v>
      </c>
    </row>
    <row r="9129" spans="1:12">
      <c r="J9129" s="31">
        <v>17</v>
      </c>
      <c r="K9129" s="33" t="s">
        <v>85</v>
      </c>
      <c r="L9129" s="31" t="str">
        <f t="shared" si="881"/>
        <v>Tujuh Belas</v>
      </c>
    </row>
    <row r="9130" spans="1:12">
      <c r="A9130" s="44"/>
      <c r="J9130" s="31">
        <v>18</v>
      </c>
      <c r="K9130" s="33" t="s">
        <v>86</v>
      </c>
      <c r="L9130" s="31" t="str">
        <f t="shared" si="881"/>
        <v>Delapan Belas</v>
      </c>
    </row>
    <row r="9131" spans="1:12">
      <c r="A9131" s="38" t="s">
        <v>87</v>
      </c>
      <c r="J9131" s="31">
        <v>19</v>
      </c>
      <c r="K9131" s="33" t="s">
        <v>88</v>
      </c>
      <c r="L9131" s="31" t="str">
        <f t="shared" si="881"/>
        <v>Sembilan Belas</v>
      </c>
    </row>
    <row r="9132" spans="1:12">
      <c r="A9132" s="31" t="s">
        <v>69</v>
      </c>
      <c r="B9132" s="39" t="e">
        <f>TRUNC(A9110/100000000)</f>
        <v>#REF!</v>
      </c>
      <c r="C9132" s="31" t="e">
        <f>B9132*100000000</f>
        <v>#REF!</v>
      </c>
      <c r="D9132" s="31" t="e">
        <f>IF(B9132&lt;1,"",IF(B9132=1,"",VLOOKUP(B9132,$J$3:$L$102,3)))</f>
        <v>#REF!</v>
      </c>
      <c r="E9132" s="31" t="e">
        <f>IF(B9132&lt;1,"",IF(B9132=1,"Seratus "," Ratus "))</f>
        <v>#REF!</v>
      </c>
      <c r="J9132" s="31">
        <v>20</v>
      </c>
      <c r="K9132" s="33" t="s">
        <v>89</v>
      </c>
      <c r="L9132" s="31" t="s">
        <v>90</v>
      </c>
    </row>
    <row r="9133" spans="1:12">
      <c r="A9133" s="31" t="s">
        <v>72</v>
      </c>
      <c r="B9133" s="39" t="e">
        <f>TRUNC((A9110-C9132)/1000000)</f>
        <v>#REF!</v>
      </c>
      <c r="C9133" s="31" t="e">
        <f>B9133*1000000</f>
        <v>#REF!</v>
      </c>
      <c r="D9133" s="31" t="e">
        <f>IF(B9133&lt;1,"",VLOOKUP(B9133,$J$3:$L$102,3))</f>
        <v>#REF!</v>
      </c>
      <c r="E9133" s="31" t="e">
        <f>IF(B9132+B9133=0,""," Juta ")</f>
        <v>#REF!</v>
      </c>
      <c r="J9133" s="31">
        <v>21</v>
      </c>
      <c r="K9133" s="33" t="s">
        <v>91</v>
      </c>
      <c r="L9133" s="31" t="str">
        <f t="shared" ref="L9133:L9141" si="882">$L$23&amp;" "&amp;L9113</f>
        <v>Dua Puluh Satu</v>
      </c>
    </row>
    <row r="9134" spans="1:12">
      <c r="A9134" s="31" t="s">
        <v>75</v>
      </c>
      <c r="B9134" s="39" t="e">
        <f>TRUNC((A9110-SUM(C9132:C9133))/100000)</f>
        <v>#REF!</v>
      </c>
      <c r="C9134" s="31" t="e">
        <f>B9134*100000</f>
        <v>#REF!</v>
      </c>
      <c r="D9134" s="31" t="e">
        <f>IF(B9134&lt;1,"",IF(B9134=1,"",VLOOKUP(B9134,$J$3:$L$102,3)))</f>
        <v>#REF!</v>
      </c>
      <c r="E9134" s="31" t="e">
        <f>IF(B9134&lt;1,"",IF(B9134=1," Seratus "," Ratus "))</f>
        <v>#REF!</v>
      </c>
      <c r="J9134" s="31">
        <v>22</v>
      </c>
      <c r="K9134" s="33" t="s">
        <v>92</v>
      </c>
      <c r="L9134" s="31" t="str">
        <f t="shared" si="882"/>
        <v>Dua Puluh Dua</v>
      </c>
    </row>
    <row r="9135" spans="1:12">
      <c r="A9135" s="33" t="s">
        <v>77</v>
      </c>
      <c r="B9135" s="40" t="e">
        <f>TRUNC((A9110-SUM(C9132:C9134))/1000)</f>
        <v>#REF!</v>
      </c>
      <c r="C9135" s="31" t="e">
        <f>B9135*1000</f>
        <v>#REF!</v>
      </c>
      <c r="D9135" s="31" t="e">
        <f>IF(B9135&lt;1,"",IF(B9135=1,"",VLOOKUP(B9135,$J$3:$L$102,3)))</f>
        <v>#REF!</v>
      </c>
      <c r="E9135" s="31" t="e">
        <f>IF(B9134+B9135&lt;1,"",IF(B9135=1," Seribu "," Ribu "))</f>
        <v>#REF!</v>
      </c>
      <c r="J9135" s="31">
        <v>23</v>
      </c>
      <c r="K9135" s="33" t="s">
        <v>93</v>
      </c>
      <c r="L9135" s="31" t="str">
        <f t="shared" si="882"/>
        <v>Dua Puluh Tiga</v>
      </c>
    </row>
    <row r="9136" spans="1:12">
      <c r="A9136" s="33" t="s">
        <v>79</v>
      </c>
      <c r="B9136" s="40" t="e">
        <f>TRUNC((A9110-SUM(C9132:C9135))/100)</f>
        <v>#REF!</v>
      </c>
      <c r="C9136" s="31" t="e">
        <f>B9136*100</f>
        <v>#REF!</v>
      </c>
      <c r="D9136" s="31" t="e">
        <f>IF(B9136&lt;1,"",IF(B9136=1,"",VLOOKUP(B9136,$J$3:$L$102,3)))</f>
        <v>#REF!</v>
      </c>
      <c r="E9136" s="31" t="e">
        <f>IF(B9136&lt;1,"",IF(B9136=1," Seratus "," Ratus "))</f>
        <v>#REF!</v>
      </c>
      <c r="J9136" s="31">
        <v>24</v>
      </c>
      <c r="K9136" s="33" t="s">
        <v>94</v>
      </c>
      <c r="L9136" s="31" t="str">
        <f t="shared" si="882"/>
        <v>Dua Puluh Empat</v>
      </c>
    </row>
    <row r="9137" spans="1:12">
      <c r="A9137" s="33" t="s">
        <v>81</v>
      </c>
      <c r="B9137" s="41" t="e">
        <f>TRUNC((A9110-SUM(C9132:C9136)))</f>
        <v>#REF!</v>
      </c>
      <c r="C9137" s="42" t="e">
        <f>B9137</f>
        <v>#REF!</v>
      </c>
      <c r="D9137" s="31" t="e">
        <f>IF(B9137&lt;1,"",VLOOKUP(B9137,$J$3:$L$102,3))</f>
        <v>#REF!</v>
      </c>
      <c r="E9137" s="31" t="e">
        <f>IF(SUM(C9132:C9137)&lt;1,"",IF(B9138&lt;1,""," Dan "))</f>
        <v>#REF!</v>
      </c>
      <c r="J9137" s="31">
        <v>25</v>
      </c>
      <c r="K9137" s="33" t="s">
        <v>95</v>
      </c>
      <c r="L9137" s="31" t="str">
        <f t="shared" si="882"/>
        <v>Dua Puluh Lima</v>
      </c>
    </row>
    <row r="9138" spans="1:12">
      <c r="A9138" s="33" t="s">
        <v>83</v>
      </c>
      <c r="B9138" s="40" t="e">
        <f>ROUND(A9110-SUM(C9132:C9137),2)*100</f>
        <v>#REF!</v>
      </c>
      <c r="D9138" s="31" t="e">
        <f>IF(B9138&lt;1,"",VLOOKUP(B9138,$J$3:$L$102,3))</f>
        <v>#REF!</v>
      </c>
      <c r="E9138" s="31" t="e">
        <f>IF(B9138&lt;1,""," Sen ")</f>
        <v>#REF!</v>
      </c>
      <c r="J9138" s="31">
        <v>26</v>
      </c>
      <c r="K9138" s="33" t="s">
        <v>96</v>
      </c>
      <c r="L9138" s="31" t="str">
        <f t="shared" si="882"/>
        <v>Dua Puluh Enam</v>
      </c>
    </row>
    <row r="9139" spans="1:12">
      <c r="J9139" s="31">
        <v>27</v>
      </c>
      <c r="K9139" s="33" t="s">
        <v>97</v>
      </c>
      <c r="L9139" s="31" t="str">
        <f t="shared" si="882"/>
        <v>Dua Puluh Tujuh</v>
      </c>
    </row>
    <row r="9140" spans="1:12">
      <c r="J9140" s="31">
        <v>28</v>
      </c>
      <c r="K9140" s="33" t="s">
        <v>98</v>
      </c>
      <c r="L9140" s="31" t="str">
        <f t="shared" si="882"/>
        <v>Dua Puluh Delapan</v>
      </c>
    </row>
    <row r="9141" spans="1:12">
      <c r="J9141" s="31">
        <v>29</v>
      </c>
      <c r="K9141" s="33" t="s">
        <v>99</v>
      </c>
      <c r="L9141" s="31" t="str">
        <f t="shared" si="882"/>
        <v>Dua Puluh Sembilan</v>
      </c>
    </row>
    <row r="9142" spans="1:12">
      <c r="J9142" s="31">
        <v>30</v>
      </c>
      <c r="K9142" s="33" t="s">
        <v>100</v>
      </c>
      <c r="L9142" s="31" t="s">
        <v>101</v>
      </c>
    </row>
    <row r="9143" spans="1:12">
      <c r="J9143" s="31">
        <v>31</v>
      </c>
      <c r="K9143" s="33" t="s">
        <v>102</v>
      </c>
      <c r="L9143" s="31" t="str">
        <f t="shared" ref="L9143:L9151" si="883">$L$33&amp;" "&amp;L9113</f>
        <v>Tiga Puluh Satu</v>
      </c>
    </row>
    <row r="9144" spans="1:12">
      <c r="J9144" s="31">
        <v>32</v>
      </c>
      <c r="K9144" s="33" t="s">
        <v>103</v>
      </c>
      <c r="L9144" s="31" t="str">
        <f t="shared" si="883"/>
        <v>Tiga Puluh Dua</v>
      </c>
    </row>
    <row r="9145" spans="1:12">
      <c r="J9145" s="31">
        <v>33</v>
      </c>
      <c r="K9145" s="33" t="s">
        <v>104</v>
      </c>
      <c r="L9145" s="31" t="str">
        <f t="shared" si="883"/>
        <v>Tiga Puluh Tiga</v>
      </c>
    </row>
    <row r="9146" spans="1:12">
      <c r="J9146" s="31">
        <v>34</v>
      </c>
      <c r="K9146" s="33" t="s">
        <v>105</v>
      </c>
      <c r="L9146" s="31" t="str">
        <f t="shared" si="883"/>
        <v>Tiga Puluh Empat</v>
      </c>
    </row>
    <row r="9147" spans="1:12">
      <c r="J9147" s="31">
        <v>35</v>
      </c>
      <c r="K9147" s="33" t="s">
        <v>106</v>
      </c>
      <c r="L9147" s="31" t="str">
        <f t="shared" si="883"/>
        <v>Tiga Puluh Lima</v>
      </c>
    </row>
    <row r="9148" spans="1:12">
      <c r="J9148" s="31">
        <v>36</v>
      </c>
      <c r="K9148" s="33" t="s">
        <v>107</v>
      </c>
      <c r="L9148" s="31" t="str">
        <f t="shared" si="883"/>
        <v>Tiga Puluh Enam</v>
      </c>
    </row>
    <row r="9149" spans="1:12">
      <c r="J9149" s="31">
        <v>37</v>
      </c>
      <c r="K9149" s="33" t="s">
        <v>108</v>
      </c>
      <c r="L9149" s="31" t="str">
        <f t="shared" si="883"/>
        <v>Tiga Puluh Tujuh</v>
      </c>
    </row>
    <row r="9150" spans="1:12">
      <c r="J9150" s="31">
        <v>38</v>
      </c>
      <c r="K9150" s="33" t="s">
        <v>109</v>
      </c>
      <c r="L9150" s="31" t="str">
        <f t="shared" si="883"/>
        <v>Tiga Puluh Delapan</v>
      </c>
    </row>
    <row r="9151" spans="1:12">
      <c r="J9151" s="31">
        <v>39</v>
      </c>
      <c r="K9151" s="33" t="s">
        <v>110</v>
      </c>
      <c r="L9151" s="31" t="str">
        <f t="shared" si="883"/>
        <v>Tiga Puluh Sembilan</v>
      </c>
    </row>
    <row r="9152" spans="1:12">
      <c r="B9152" s="35"/>
      <c r="C9152" s="35"/>
      <c r="D9152" s="35"/>
      <c r="J9152" s="31">
        <v>40</v>
      </c>
      <c r="K9152" s="33" t="s">
        <v>111</v>
      </c>
      <c r="L9152" s="31" t="s">
        <v>112</v>
      </c>
    </row>
    <row r="9153" spans="1:12">
      <c r="A9153" s="35"/>
      <c r="B9153" s="35"/>
      <c r="C9153" s="35"/>
      <c r="D9153" s="35"/>
      <c r="J9153" s="31">
        <v>41</v>
      </c>
      <c r="K9153" s="33" t="s">
        <v>113</v>
      </c>
      <c r="L9153" s="31" t="str">
        <f t="shared" ref="L9153:L9161" si="884">$L$43&amp;" "&amp;L9113</f>
        <v>Empat Puluh Satu</v>
      </c>
    </row>
    <row r="9154" spans="1:12">
      <c r="J9154" s="31">
        <v>42</v>
      </c>
      <c r="K9154" s="33" t="s">
        <v>114</v>
      </c>
      <c r="L9154" s="31" t="str">
        <f t="shared" si="884"/>
        <v>Empat Puluh Dua</v>
      </c>
    </row>
    <row r="9155" spans="1:12">
      <c r="A9155" s="38"/>
      <c r="J9155" s="31">
        <v>43</v>
      </c>
      <c r="K9155" s="33" t="s">
        <v>115</v>
      </c>
      <c r="L9155" s="31" t="str">
        <f t="shared" si="884"/>
        <v>Empat Puluh Tiga</v>
      </c>
    </row>
    <row r="9156" spans="1:12">
      <c r="J9156" s="31">
        <v>44</v>
      </c>
      <c r="K9156" s="33" t="s">
        <v>116</v>
      </c>
      <c r="L9156" s="31" t="str">
        <f t="shared" si="884"/>
        <v>Empat Puluh Empat</v>
      </c>
    </row>
    <row r="9157" spans="1:12">
      <c r="J9157" s="31">
        <v>45</v>
      </c>
      <c r="K9157" s="33" t="s">
        <v>117</v>
      </c>
      <c r="L9157" s="31" t="str">
        <f t="shared" si="884"/>
        <v>Empat Puluh Lima</v>
      </c>
    </row>
    <row r="9158" spans="1:12">
      <c r="J9158" s="31">
        <v>46</v>
      </c>
      <c r="K9158" s="33" t="s">
        <v>118</v>
      </c>
      <c r="L9158" s="31" t="str">
        <f t="shared" si="884"/>
        <v>Empat Puluh Enam</v>
      </c>
    </row>
    <row r="9159" spans="1:12">
      <c r="J9159" s="31">
        <v>47</v>
      </c>
      <c r="K9159" s="33" t="s">
        <v>119</v>
      </c>
      <c r="L9159" s="31" t="str">
        <f t="shared" si="884"/>
        <v>Empat Puluh Tujuh</v>
      </c>
    </row>
    <row r="9160" spans="1:12">
      <c r="J9160" s="31">
        <v>48</v>
      </c>
      <c r="K9160" s="33" t="s">
        <v>120</v>
      </c>
      <c r="L9160" s="31" t="str">
        <f t="shared" si="884"/>
        <v>Empat Puluh Delapan</v>
      </c>
    </row>
    <row r="9161" spans="1:12">
      <c r="J9161" s="31">
        <v>49</v>
      </c>
      <c r="K9161" s="33" t="s">
        <v>121</v>
      </c>
      <c r="L9161" s="31" t="str">
        <f t="shared" si="884"/>
        <v>Empat Puluh Sembilan</v>
      </c>
    </row>
    <row r="9162" spans="1:12">
      <c r="J9162" s="31">
        <v>50</v>
      </c>
      <c r="K9162" s="33" t="s">
        <v>122</v>
      </c>
      <c r="L9162" s="31" t="s">
        <v>123</v>
      </c>
    </row>
    <row r="9163" spans="1:12">
      <c r="J9163" s="31">
        <v>51</v>
      </c>
      <c r="K9163" s="33" t="s">
        <v>124</v>
      </c>
      <c r="L9163" s="31" t="str">
        <f t="shared" ref="L9163:L9171" si="885">$L$53&amp;" "&amp;L9113</f>
        <v>Lima Puluh Satu</v>
      </c>
    </row>
    <row r="9164" spans="1:12">
      <c r="J9164" s="31">
        <v>52</v>
      </c>
      <c r="K9164" s="33" t="s">
        <v>125</v>
      </c>
      <c r="L9164" s="31" t="str">
        <f t="shared" si="885"/>
        <v>Lima Puluh Dua</v>
      </c>
    </row>
    <row r="9165" spans="1:12">
      <c r="J9165" s="31">
        <v>53</v>
      </c>
      <c r="K9165" s="33" t="s">
        <v>126</v>
      </c>
      <c r="L9165" s="31" t="str">
        <f t="shared" si="885"/>
        <v>Lima Puluh Tiga</v>
      </c>
    </row>
    <row r="9166" spans="1:12">
      <c r="J9166" s="31">
        <v>54</v>
      </c>
      <c r="K9166" s="33" t="s">
        <v>127</v>
      </c>
      <c r="L9166" s="31" t="str">
        <f t="shared" si="885"/>
        <v>Lima Puluh Empat</v>
      </c>
    </row>
    <row r="9167" spans="1:12">
      <c r="J9167" s="31">
        <v>55</v>
      </c>
      <c r="K9167" s="33" t="s">
        <v>128</v>
      </c>
      <c r="L9167" s="31" t="str">
        <f t="shared" si="885"/>
        <v>Lima Puluh Lima</v>
      </c>
    </row>
    <row r="9168" spans="1:12">
      <c r="J9168" s="31">
        <v>56</v>
      </c>
      <c r="K9168" s="33" t="s">
        <v>129</v>
      </c>
      <c r="L9168" s="31" t="str">
        <f t="shared" si="885"/>
        <v>Lima Puluh Enam</v>
      </c>
    </row>
    <row r="9169" spans="10:12">
      <c r="J9169" s="31">
        <v>57</v>
      </c>
      <c r="K9169" s="33" t="s">
        <v>130</v>
      </c>
      <c r="L9169" s="31" t="str">
        <f t="shared" si="885"/>
        <v>Lima Puluh Tujuh</v>
      </c>
    </row>
    <row r="9170" spans="10:12">
      <c r="J9170" s="31">
        <v>58</v>
      </c>
      <c r="K9170" s="33" t="s">
        <v>131</v>
      </c>
      <c r="L9170" s="31" t="str">
        <f t="shared" si="885"/>
        <v>Lima Puluh Delapan</v>
      </c>
    </row>
    <row r="9171" spans="10:12">
      <c r="J9171" s="31">
        <v>59</v>
      </c>
      <c r="K9171" s="33" t="s">
        <v>132</v>
      </c>
      <c r="L9171" s="31" t="str">
        <f t="shared" si="885"/>
        <v>Lima Puluh Sembilan</v>
      </c>
    </row>
    <row r="9172" spans="10:12">
      <c r="J9172" s="31">
        <v>60</v>
      </c>
      <c r="K9172" s="33" t="s">
        <v>133</v>
      </c>
      <c r="L9172" s="31" t="s">
        <v>134</v>
      </c>
    </row>
    <row r="9173" spans="10:12">
      <c r="J9173" s="31">
        <v>61</v>
      </c>
      <c r="K9173" s="33" t="s">
        <v>135</v>
      </c>
      <c r="L9173" s="31" t="str">
        <f t="shared" ref="L9173:L9181" si="886">$L$63&amp;" "&amp;L9113</f>
        <v>Enam Puluh Satu</v>
      </c>
    </row>
    <row r="9174" spans="10:12">
      <c r="J9174" s="31">
        <v>62</v>
      </c>
      <c r="K9174" s="33" t="s">
        <v>136</v>
      </c>
      <c r="L9174" s="31" t="str">
        <f t="shared" si="886"/>
        <v>Enam Puluh Dua</v>
      </c>
    </row>
    <row r="9175" spans="10:12">
      <c r="J9175" s="31">
        <v>63</v>
      </c>
      <c r="K9175" s="33" t="s">
        <v>137</v>
      </c>
      <c r="L9175" s="31" t="str">
        <f t="shared" si="886"/>
        <v>Enam Puluh Tiga</v>
      </c>
    </row>
    <row r="9176" spans="10:12">
      <c r="J9176" s="31">
        <v>64</v>
      </c>
      <c r="K9176" s="33" t="s">
        <v>138</v>
      </c>
      <c r="L9176" s="31" t="str">
        <f t="shared" si="886"/>
        <v>Enam Puluh Empat</v>
      </c>
    </row>
    <row r="9177" spans="10:12">
      <c r="J9177" s="31">
        <v>65</v>
      </c>
      <c r="K9177" s="33" t="s">
        <v>139</v>
      </c>
      <c r="L9177" s="31" t="str">
        <f t="shared" si="886"/>
        <v>Enam Puluh Lima</v>
      </c>
    </row>
    <row r="9178" spans="10:12">
      <c r="J9178" s="31">
        <v>66</v>
      </c>
      <c r="K9178" s="33" t="s">
        <v>140</v>
      </c>
      <c r="L9178" s="31" t="str">
        <f t="shared" si="886"/>
        <v>Enam Puluh Enam</v>
      </c>
    </row>
    <row r="9179" spans="10:12">
      <c r="J9179" s="31">
        <v>67</v>
      </c>
      <c r="K9179" s="33" t="s">
        <v>141</v>
      </c>
      <c r="L9179" s="31" t="str">
        <f t="shared" si="886"/>
        <v>Enam Puluh Tujuh</v>
      </c>
    </row>
    <row r="9180" spans="10:12">
      <c r="J9180" s="31">
        <v>68</v>
      </c>
      <c r="K9180" s="33" t="s">
        <v>142</v>
      </c>
      <c r="L9180" s="31" t="str">
        <f t="shared" si="886"/>
        <v>Enam Puluh Delapan</v>
      </c>
    </row>
    <row r="9181" spans="10:12">
      <c r="J9181" s="31">
        <v>69</v>
      </c>
      <c r="K9181" s="33" t="s">
        <v>143</v>
      </c>
      <c r="L9181" s="31" t="str">
        <f t="shared" si="886"/>
        <v>Enam Puluh Sembilan</v>
      </c>
    </row>
    <row r="9182" spans="10:12">
      <c r="J9182" s="31">
        <v>70</v>
      </c>
      <c r="K9182" s="33" t="s">
        <v>144</v>
      </c>
      <c r="L9182" s="31" t="s">
        <v>145</v>
      </c>
    </row>
    <row r="9183" spans="10:12">
      <c r="J9183" s="31">
        <v>71</v>
      </c>
      <c r="K9183" s="33" t="s">
        <v>146</v>
      </c>
      <c r="L9183" s="31" t="str">
        <f t="shared" ref="L9183:L9191" si="887">$L$73&amp;" "&amp;L9113</f>
        <v>Tujuh Puluh Satu</v>
      </c>
    </row>
    <row r="9184" spans="10:12">
      <c r="J9184" s="31">
        <v>72</v>
      </c>
      <c r="K9184" s="33" t="s">
        <v>147</v>
      </c>
      <c r="L9184" s="31" t="str">
        <f t="shared" si="887"/>
        <v>Tujuh Puluh Dua</v>
      </c>
    </row>
    <row r="9185" spans="10:12">
      <c r="J9185" s="31">
        <v>73</v>
      </c>
      <c r="K9185" s="33" t="s">
        <v>148</v>
      </c>
      <c r="L9185" s="31" t="str">
        <f t="shared" si="887"/>
        <v>Tujuh Puluh Tiga</v>
      </c>
    </row>
    <row r="9186" spans="10:12">
      <c r="J9186" s="31">
        <v>74</v>
      </c>
      <c r="K9186" s="33" t="s">
        <v>149</v>
      </c>
      <c r="L9186" s="31" t="str">
        <f t="shared" si="887"/>
        <v>Tujuh Puluh Empat</v>
      </c>
    </row>
    <row r="9187" spans="10:12">
      <c r="J9187" s="31">
        <v>75</v>
      </c>
      <c r="K9187" s="33" t="s">
        <v>150</v>
      </c>
      <c r="L9187" s="31" t="str">
        <f t="shared" si="887"/>
        <v>Tujuh Puluh Lima</v>
      </c>
    </row>
    <row r="9188" spans="10:12">
      <c r="J9188" s="31">
        <v>76</v>
      </c>
      <c r="K9188" s="33" t="s">
        <v>151</v>
      </c>
      <c r="L9188" s="31" t="str">
        <f t="shared" si="887"/>
        <v>Tujuh Puluh Enam</v>
      </c>
    </row>
    <row r="9189" spans="10:12">
      <c r="J9189" s="31">
        <v>77</v>
      </c>
      <c r="K9189" s="33" t="s">
        <v>152</v>
      </c>
      <c r="L9189" s="31" t="str">
        <f t="shared" si="887"/>
        <v>Tujuh Puluh Tujuh</v>
      </c>
    </row>
    <row r="9190" spans="10:12">
      <c r="J9190" s="31">
        <v>78</v>
      </c>
      <c r="K9190" s="33" t="s">
        <v>153</v>
      </c>
      <c r="L9190" s="31" t="str">
        <f t="shared" si="887"/>
        <v>Tujuh Puluh Delapan</v>
      </c>
    </row>
    <row r="9191" spans="10:12">
      <c r="J9191" s="31">
        <v>79</v>
      </c>
      <c r="K9191" s="33" t="s">
        <v>154</v>
      </c>
      <c r="L9191" s="31" t="str">
        <f t="shared" si="887"/>
        <v>Tujuh Puluh Sembilan</v>
      </c>
    </row>
    <row r="9192" spans="10:12">
      <c r="J9192" s="31">
        <v>80</v>
      </c>
      <c r="K9192" s="33" t="s">
        <v>155</v>
      </c>
      <c r="L9192" s="31" t="s">
        <v>156</v>
      </c>
    </row>
    <row r="9193" spans="10:12">
      <c r="J9193" s="31">
        <v>81</v>
      </c>
      <c r="K9193" s="33" t="s">
        <v>157</v>
      </c>
      <c r="L9193" s="31" t="str">
        <f t="shared" ref="L9193:L9201" si="888">$L$83&amp;" "&amp;L9113</f>
        <v>Delapan Puluh Satu</v>
      </c>
    </row>
    <row r="9194" spans="10:12">
      <c r="J9194" s="31">
        <v>82</v>
      </c>
      <c r="K9194" s="33" t="s">
        <v>158</v>
      </c>
      <c r="L9194" s="31" t="str">
        <f t="shared" si="888"/>
        <v>Delapan Puluh Dua</v>
      </c>
    </row>
    <row r="9195" spans="10:12">
      <c r="J9195" s="31">
        <v>83</v>
      </c>
      <c r="K9195" s="33" t="s">
        <v>159</v>
      </c>
      <c r="L9195" s="31" t="str">
        <f t="shared" si="888"/>
        <v>Delapan Puluh Tiga</v>
      </c>
    </row>
    <row r="9196" spans="10:12">
      <c r="J9196" s="31">
        <v>84</v>
      </c>
      <c r="K9196" s="33" t="s">
        <v>160</v>
      </c>
      <c r="L9196" s="31" t="str">
        <f t="shared" si="888"/>
        <v>Delapan Puluh Empat</v>
      </c>
    </row>
    <row r="9197" spans="10:12">
      <c r="J9197" s="31">
        <v>85</v>
      </c>
      <c r="K9197" s="33" t="s">
        <v>161</v>
      </c>
      <c r="L9197" s="31" t="str">
        <f t="shared" si="888"/>
        <v>Delapan Puluh Lima</v>
      </c>
    </row>
    <row r="9198" spans="10:12">
      <c r="J9198" s="31">
        <v>86</v>
      </c>
      <c r="K9198" s="33" t="s">
        <v>162</v>
      </c>
      <c r="L9198" s="31" t="str">
        <f t="shared" si="888"/>
        <v>Delapan Puluh Enam</v>
      </c>
    </row>
    <row r="9199" spans="10:12">
      <c r="J9199" s="31">
        <v>87</v>
      </c>
      <c r="K9199" s="33" t="s">
        <v>163</v>
      </c>
      <c r="L9199" s="31" t="str">
        <f t="shared" si="888"/>
        <v>Delapan Puluh Tujuh</v>
      </c>
    </row>
    <row r="9200" spans="10:12">
      <c r="J9200" s="31">
        <v>88</v>
      </c>
      <c r="K9200" s="33" t="s">
        <v>164</v>
      </c>
      <c r="L9200" s="31" t="str">
        <f t="shared" si="888"/>
        <v>Delapan Puluh Delapan</v>
      </c>
    </row>
    <row r="9201" spans="1:12">
      <c r="J9201" s="31">
        <v>89</v>
      </c>
      <c r="K9201" s="33" t="s">
        <v>165</v>
      </c>
      <c r="L9201" s="31" t="str">
        <f t="shared" si="888"/>
        <v>Delapan Puluh Sembilan</v>
      </c>
    </row>
    <row r="9202" spans="1:12">
      <c r="J9202" s="31">
        <v>90</v>
      </c>
      <c r="K9202" s="33" t="s">
        <v>166</v>
      </c>
      <c r="L9202" s="31" t="s">
        <v>167</v>
      </c>
    </row>
    <row r="9203" spans="1:12">
      <c r="J9203" s="31">
        <v>91</v>
      </c>
      <c r="K9203" s="33" t="s">
        <v>168</v>
      </c>
      <c r="L9203" s="31" t="str">
        <f t="shared" ref="L9203:L9211" si="889">$L$93&amp;" "&amp;L9113</f>
        <v>Sembilan Puluh Satu</v>
      </c>
    </row>
    <row r="9204" spans="1:12">
      <c r="J9204" s="31">
        <v>92</v>
      </c>
      <c r="K9204" s="33" t="s">
        <v>169</v>
      </c>
      <c r="L9204" s="31" t="str">
        <f t="shared" si="889"/>
        <v>Sembilan Puluh Dua</v>
      </c>
    </row>
    <row r="9205" spans="1:12">
      <c r="J9205" s="31">
        <v>93</v>
      </c>
      <c r="K9205" s="33" t="s">
        <v>170</v>
      </c>
      <c r="L9205" s="31" t="str">
        <f t="shared" si="889"/>
        <v>Sembilan Puluh Tiga</v>
      </c>
    </row>
    <row r="9206" spans="1:12">
      <c r="J9206" s="31">
        <v>94</v>
      </c>
      <c r="K9206" s="33" t="s">
        <v>171</v>
      </c>
      <c r="L9206" s="31" t="str">
        <f t="shared" si="889"/>
        <v>Sembilan Puluh Empat</v>
      </c>
    </row>
    <row r="9207" spans="1:12">
      <c r="J9207" s="31">
        <v>95</v>
      </c>
      <c r="K9207" s="33" t="s">
        <v>172</v>
      </c>
      <c r="L9207" s="31" t="str">
        <f t="shared" si="889"/>
        <v>Sembilan Puluh Lima</v>
      </c>
    </row>
    <row r="9208" spans="1:12">
      <c r="J9208" s="31">
        <v>96</v>
      </c>
      <c r="K9208" s="33" t="s">
        <v>173</v>
      </c>
      <c r="L9208" s="31" t="str">
        <f t="shared" si="889"/>
        <v>Sembilan Puluh Enam</v>
      </c>
    </row>
    <row r="9209" spans="1:12">
      <c r="J9209" s="31">
        <v>97</v>
      </c>
      <c r="K9209" s="33" t="s">
        <v>174</v>
      </c>
      <c r="L9209" s="31" t="str">
        <f t="shared" si="889"/>
        <v>Sembilan Puluh Tujuh</v>
      </c>
    </row>
    <row r="9210" spans="1:12">
      <c r="J9210" s="31">
        <v>98</v>
      </c>
      <c r="K9210" s="33" t="s">
        <v>175</v>
      </c>
      <c r="L9210" s="31" t="str">
        <f t="shared" si="889"/>
        <v>Sembilan Puluh Delapan</v>
      </c>
    </row>
    <row r="9211" spans="1:12">
      <c r="J9211" s="31">
        <v>99</v>
      </c>
      <c r="K9211" s="33" t="s">
        <v>176</v>
      </c>
      <c r="L9211" s="31" t="str">
        <f t="shared" si="889"/>
        <v>Sembilan Puluh Sembilan</v>
      </c>
    </row>
    <row r="9213" spans="1:12">
      <c r="A9213" s="30" t="e">
        <f>#REF!</f>
        <v>#REF!</v>
      </c>
      <c r="C9213" s="31" t="s">
        <v>285</v>
      </c>
    </row>
    <row r="9214" spans="1:12">
      <c r="A9214" s="32"/>
    </row>
    <row r="9215" spans="1:12">
      <c r="J9215" s="31">
        <v>0</v>
      </c>
      <c r="K9215" s="33" t="s">
        <v>48</v>
      </c>
      <c r="L9215" s="31" t="s">
        <v>49</v>
      </c>
    </row>
    <row r="9216" spans="1:12">
      <c r="A9216" s="34"/>
      <c r="J9216" s="31">
        <v>1</v>
      </c>
      <c r="K9216" s="33" t="s">
        <v>50</v>
      </c>
      <c r="L9216" s="31" t="s">
        <v>51</v>
      </c>
    </row>
    <row r="9217" spans="1:12">
      <c r="A9217" s="255" t="e">
        <f>TRIM(D9225&amp;E9225&amp;D9226&amp;E9226&amp;D9227&amp;E9227&amp;D9228&amp;E9228&amp;D9229&amp;E9229&amp;D9230&amp;E9230&amp;E9231&amp;D9231&amp;" Only")</f>
        <v>#REF!</v>
      </c>
      <c r="B9217" s="255"/>
      <c r="C9217" s="255"/>
      <c r="D9217" s="255"/>
      <c r="E9217" s="35"/>
      <c r="F9217" s="36"/>
      <c r="J9217" s="31">
        <v>2</v>
      </c>
      <c r="K9217" s="33" t="s">
        <v>52</v>
      </c>
      <c r="L9217" s="31" t="s">
        <v>53</v>
      </c>
    </row>
    <row r="9218" spans="1:12">
      <c r="A9218" s="37"/>
      <c r="B9218" s="37"/>
      <c r="C9218" s="37"/>
      <c r="D9218" s="37"/>
      <c r="E9218" s="35"/>
      <c r="F9218" s="36"/>
      <c r="J9218" s="31">
        <v>3</v>
      </c>
      <c r="K9218" s="33" t="s">
        <v>54</v>
      </c>
      <c r="L9218" s="31" t="s">
        <v>55</v>
      </c>
    </row>
    <row r="9219" spans="1:12">
      <c r="A9219" s="37"/>
      <c r="B9219" s="37"/>
      <c r="C9219" s="37"/>
      <c r="D9219" s="37"/>
      <c r="J9219" s="31">
        <v>4</v>
      </c>
      <c r="K9219" s="33" t="s">
        <v>56</v>
      </c>
      <c r="L9219" s="31" t="s">
        <v>57</v>
      </c>
    </row>
    <row r="9220" spans="1:12">
      <c r="A9220" s="255" t="e">
        <f>TRIM(D9235&amp;E9235&amp;D9236&amp;E9236&amp;D9237&amp;E9237&amp;D9238&amp;E9238&amp;D9239&amp;E9239&amp;D9240&amp;E9240&amp;D9241&amp;E9241&amp;" Rupiah")</f>
        <v>#REF!</v>
      </c>
      <c r="B9220" s="255"/>
      <c r="C9220" s="255"/>
      <c r="D9220" s="255"/>
      <c r="E9220" s="35"/>
      <c r="F9220" s="36"/>
      <c r="J9220" s="31">
        <v>5</v>
      </c>
      <c r="K9220" s="33" t="s">
        <v>58</v>
      </c>
      <c r="L9220" s="31" t="s">
        <v>59</v>
      </c>
    </row>
    <row r="9221" spans="1:12">
      <c r="A9221" s="35"/>
      <c r="B9221" s="35"/>
      <c r="C9221" s="35"/>
      <c r="D9221" s="35"/>
      <c r="E9221" s="35"/>
      <c r="F9221" s="36"/>
      <c r="J9221" s="31">
        <v>6</v>
      </c>
      <c r="K9221" s="33" t="s">
        <v>60</v>
      </c>
      <c r="L9221" s="31" t="s">
        <v>61</v>
      </c>
    </row>
    <row r="9222" spans="1:12">
      <c r="J9222" s="31">
        <v>7</v>
      </c>
      <c r="K9222" s="33" t="s">
        <v>62</v>
      </c>
      <c r="L9222" s="31" t="s">
        <v>63</v>
      </c>
    </row>
    <row r="9223" spans="1:12">
      <c r="J9223" s="31">
        <v>8</v>
      </c>
      <c r="K9223" s="33" t="s">
        <v>64</v>
      </c>
      <c r="L9223" s="31" t="s">
        <v>65</v>
      </c>
    </row>
    <row r="9224" spans="1:12">
      <c r="A9224" s="38" t="s">
        <v>66</v>
      </c>
      <c r="J9224" s="31">
        <v>9</v>
      </c>
      <c r="K9224" s="33" t="s">
        <v>67</v>
      </c>
      <c r="L9224" s="31" t="s">
        <v>68</v>
      </c>
    </row>
    <row r="9225" spans="1:12">
      <c r="A9225" s="31" t="s">
        <v>69</v>
      </c>
      <c r="B9225" s="39" t="e">
        <f>TRUNC(A9213/100000000)</f>
        <v>#REF!</v>
      </c>
      <c r="C9225" s="31" t="e">
        <f>B9225*100000000</f>
        <v>#REF!</v>
      </c>
      <c r="D9225" s="31" t="e">
        <f t="shared" ref="D9225:D9231" si="890">IF(B9225&lt;1,"",VLOOKUP(B9225,$J$3:$K$102,2))</f>
        <v>#REF!</v>
      </c>
      <c r="E9225" s="31" t="e">
        <f>IF(B9225&lt;1,"",IF(B9225&gt;1," Hundreds "," Hundred "))</f>
        <v>#REF!</v>
      </c>
      <c r="J9225" s="31">
        <v>10</v>
      </c>
      <c r="K9225" s="33" t="s">
        <v>70</v>
      </c>
      <c r="L9225" s="31" t="s">
        <v>71</v>
      </c>
    </row>
    <row r="9226" spans="1:12">
      <c r="A9226" s="31" t="s">
        <v>72</v>
      </c>
      <c r="B9226" s="39" t="e">
        <f>TRUNC((A9213-C9225)/1000000)</f>
        <v>#REF!</v>
      </c>
      <c r="C9226" s="31" t="e">
        <f>B9226*1000000</f>
        <v>#REF!</v>
      </c>
      <c r="D9226" s="31" t="e">
        <f t="shared" si="890"/>
        <v>#REF!</v>
      </c>
      <c r="E9226" s="31" t="e">
        <f>IF(B9225+B9226=0,"",IF(B9226=1," Million "," Millions "))</f>
        <v>#REF!</v>
      </c>
      <c r="J9226" s="31">
        <v>11</v>
      </c>
      <c r="K9226" s="33" t="s">
        <v>73</v>
      </c>
      <c r="L9226" s="31" t="s">
        <v>74</v>
      </c>
    </row>
    <row r="9227" spans="1:12">
      <c r="A9227" s="31" t="s">
        <v>75</v>
      </c>
      <c r="B9227" s="39" t="e">
        <f>TRUNC((A9213-SUM(C9225:C9226))/100000)</f>
        <v>#REF!</v>
      </c>
      <c r="C9227" s="31" t="e">
        <f>B9227*100000</f>
        <v>#REF!</v>
      </c>
      <c r="D9227" s="31" t="e">
        <f t="shared" si="890"/>
        <v>#REF!</v>
      </c>
      <c r="E9227" s="31" t="e">
        <f>IF(B9227&lt;1,"",IF(B9227&gt;1," Hundreds "," Hundred "))</f>
        <v>#REF!</v>
      </c>
      <c r="J9227" s="31">
        <v>12</v>
      </c>
      <c r="K9227" s="33" t="s">
        <v>76</v>
      </c>
      <c r="L9227" s="31" t="str">
        <f t="shared" ref="L9227:L9234" si="891">L9217&amp;" Belas"</f>
        <v>Dua Belas</v>
      </c>
    </row>
    <row r="9228" spans="1:12">
      <c r="A9228" s="33" t="s">
        <v>77</v>
      </c>
      <c r="B9228" s="40" t="e">
        <f>TRUNC((A9213-SUM(C9225:C9227))/1000)</f>
        <v>#REF!</v>
      </c>
      <c r="C9228" s="31" t="e">
        <f>B9228*1000</f>
        <v>#REF!</v>
      </c>
      <c r="D9228" s="31" t="e">
        <f t="shared" si="890"/>
        <v>#REF!</v>
      </c>
      <c r="E9228" s="31" t="e">
        <f>IF(B9227+B9228=0,"",IF(B9228=1," Thousand "," Thousands "))</f>
        <v>#REF!</v>
      </c>
      <c r="J9228" s="31">
        <v>13</v>
      </c>
      <c r="K9228" s="33" t="s">
        <v>78</v>
      </c>
      <c r="L9228" s="31" t="str">
        <f t="shared" si="891"/>
        <v>Tiga Belas</v>
      </c>
    </row>
    <row r="9229" spans="1:12">
      <c r="A9229" s="33" t="s">
        <v>79</v>
      </c>
      <c r="B9229" s="40" t="e">
        <f>TRUNC((A9213-SUM(C9225:C9228))/100)</f>
        <v>#REF!</v>
      </c>
      <c r="C9229" s="31" t="e">
        <f>B9229*100</f>
        <v>#REF!</v>
      </c>
      <c r="D9229" s="31" t="e">
        <f t="shared" si="890"/>
        <v>#REF!</v>
      </c>
      <c r="E9229" s="31" t="e">
        <f>IF(B9229&lt;1,"",IF(B9229&gt;1," Hundreds "," Hundred "))</f>
        <v>#REF!</v>
      </c>
      <c r="J9229" s="31">
        <v>14</v>
      </c>
      <c r="K9229" s="33" t="s">
        <v>80</v>
      </c>
      <c r="L9229" s="31" t="str">
        <f t="shared" si="891"/>
        <v>Empat Belas</v>
      </c>
    </row>
    <row r="9230" spans="1:12">
      <c r="A9230" s="33" t="s">
        <v>81</v>
      </c>
      <c r="B9230" s="41" t="e">
        <f>TRUNC((A9213-SUM(C9225:C9229)))</f>
        <v>#REF!</v>
      </c>
      <c r="C9230" s="42" t="e">
        <f>B9230</f>
        <v>#REF!</v>
      </c>
      <c r="D9230" s="31" t="e">
        <f t="shared" si="890"/>
        <v>#REF!</v>
      </c>
      <c r="E9230" s="31" t="e">
        <f>IF(SUM(C9225:C9230)&lt;1,"",IF(B9231&lt;1,""," And "))</f>
        <v>#REF!</v>
      </c>
      <c r="J9230" s="31">
        <v>15</v>
      </c>
      <c r="K9230" s="33" t="s">
        <v>82</v>
      </c>
      <c r="L9230" s="31" t="str">
        <f t="shared" si="891"/>
        <v>Lima Belas</v>
      </c>
    </row>
    <row r="9231" spans="1:12">
      <c r="A9231" s="33" t="s">
        <v>83</v>
      </c>
      <c r="B9231" s="40" t="e">
        <f>ROUND(A9213-SUM(C9225:C9230),2)*100</f>
        <v>#REF!</v>
      </c>
      <c r="D9231" s="43" t="e">
        <f t="shared" si="890"/>
        <v>#REF!</v>
      </c>
      <c r="E9231" s="31" t="e">
        <f>IF(B9231&lt;1,"",IF(B9231=1," Cent "," Cents "))</f>
        <v>#REF!</v>
      </c>
      <c r="J9231" s="31">
        <v>16</v>
      </c>
      <c r="K9231" s="33" t="s">
        <v>84</v>
      </c>
      <c r="L9231" s="31" t="str">
        <f t="shared" si="891"/>
        <v>Enam Belas</v>
      </c>
    </row>
    <row r="9232" spans="1:12">
      <c r="J9232" s="31">
        <v>17</v>
      </c>
      <c r="K9232" s="33" t="s">
        <v>85</v>
      </c>
      <c r="L9232" s="31" t="str">
        <f t="shared" si="891"/>
        <v>Tujuh Belas</v>
      </c>
    </row>
    <row r="9233" spans="1:12">
      <c r="A9233" s="44"/>
      <c r="J9233" s="31">
        <v>18</v>
      </c>
      <c r="K9233" s="33" t="s">
        <v>86</v>
      </c>
      <c r="L9233" s="31" t="str">
        <f t="shared" si="891"/>
        <v>Delapan Belas</v>
      </c>
    </row>
    <row r="9234" spans="1:12">
      <c r="A9234" s="38" t="s">
        <v>87</v>
      </c>
      <c r="J9234" s="31">
        <v>19</v>
      </c>
      <c r="K9234" s="33" t="s">
        <v>88</v>
      </c>
      <c r="L9234" s="31" t="str">
        <f t="shared" si="891"/>
        <v>Sembilan Belas</v>
      </c>
    </row>
    <row r="9235" spans="1:12">
      <c r="A9235" s="31" t="s">
        <v>69</v>
      </c>
      <c r="B9235" s="39" t="e">
        <f>TRUNC(A9213/100000000)</f>
        <v>#REF!</v>
      </c>
      <c r="C9235" s="31" t="e">
        <f>B9235*100000000</f>
        <v>#REF!</v>
      </c>
      <c r="D9235" s="31" t="e">
        <f>IF(B9235&lt;1,"",IF(B9235=1,"",VLOOKUP(B9235,$J$3:$L$102,3)))</f>
        <v>#REF!</v>
      </c>
      <c r="E9235" s="31" t="e">
        <f>IF(B9235&lt;1,"",IF(B9235=1,"Seratus "," Ratus "))</f>
        <v>#REF!</v>
      </c>
      <c r="J9235" s="31">
        <v>20</v>
      </c>
      <c r="K9235" s="33" t="s">
        <v>89</v>
      </c>
      <c r="L9235" s="31" t="s">
        <v>90</v>
      </c>
    </row>
    <row r="9236" spans="1:12">
      <c r="A9236" s="31" t="s">
        <v>72</v>
      </c>
      <c r="B9236" s="39" t="e">
        <f>TRUNC((A9213-C9235)/1000000)</f>
        <v>#REF!</v>
      </c>
      <c r="C9236" s="31" t="e">
        <f>B9236*1000000</f>
        <v>#REF!</v>
      </c>
      <c r="D9236" s="31" t="e">
        <f>IF(B9236&lt;1,"",VLOOKUP(B9236,$J$3:$L$102,3))</f>
        <v>#REF!</v>
      </c>
      <c r="E9236" s="31" t="e">
        <f>IF(B9235+B9236=0,""," Juta ")</f>
        <v>#REF!</v>
      </c>
      <c r="J9236" s="31">
        <v>21</v>
      </c>
      <c r="K9236" s="33" t="s">
        <v>91</v>
      </c>
      <c r="L9236" s="31" t="str">
        <f t="shared" ref="L9236:L9244" si="892">$L$23&amp;" "&amp;L9216</f>
        <v>Dua Puluh Satu</v>
      </c>
    </row>
    <row r="9237" spans="1:12">
      <c r="A9237" s="31" t="s">
        <v>75</v>
      </c>
      <c r="B9237" s="39" t="e">
        <f>TRUNC((A9213-SUM(C9235:C9236))/100000)</f>
        <v>#REF!</v>
      </c>
      <c r="C9237" s="31" t="e">
        <f>B9237*100000</f>
        <v>#REF!</v>
      </c>
      <c r="D9237" s="31" t="e">
        <f>IF(B9237&lt;1,"",IF(B9237=1,"",VLOOKUP(B9237,$J$3:$L$102,3)))</f>
        <v>#REF!</v>
      </c>
      <c r="E9237" s="31" t="e">
        <f>IF(B9237&lt;1,"",IF(B9237=1," Seratus "," Ratus "))</f>
        <v>#REF!</v>
      </c>
      <c r="J9237" s="31">
        <v>22</v>
      </c>
      <c r="K9237" s="33" t="s">
        <v>92</v>
      </c>
      <c r="L9237" s="31" t="str">
        <f t="shared" si="892"/>
        <v>Dua Puluh Dua</v>
      </c>
    </row>
    <row r="9238" spans="1:12">
      <c r="A9238" s="33" t="s">
        <v>77</v>
      </c>
      <c r="B9238" s="40" t="e">
        <f>TRUNC((A9213-SUM(C9235:C9237))/1000)</f>
        <v>#REF!</v>
      </c>
      <c r="C9238" s="31" t="e">
        <f>B9238*1000</f>
        <v>#REF!</v>
      </c>
      <c r="D9238" s="31" t="e">
        <f>IF(B9238&lt;1,"",IF(B9238=1,"",VLOOKUP(B9238,$J$3:$L$102,3)))</f>
        <v>#REF!</v>
      </c>
      <c r="E9238" s="31" t="e">
        <f>IF(B9237+B9238&lt;1,"",IF(B9238=1," Seribu "," Ribu "))</f>
        <v>#REF!</v>
      </c>
      <c r="J9238" s="31">
        <v>23</v>
      </c>
      <c r="K9238" s="33" t="s">
        <v>93</v>
      </c>
      <c r="L9238" s="31" t="str">
        <f t="shared" si="892"/>
        <v>Dua Puluh Tiga</v>
      </c>
    </row>
    <row r="9239" spans="1:12">
      <c r="A9239" s="33" t="s">
        <v>79</v>
      </c>
      <c r="B9239" s="40" t="e">
        <f>TRUNC((A9213-SUM(C9235:C9238))/100)</f>
        <v>#REF!</v>
      </c>
      <c r="C9239" s="31" t="e">
        <f>B9239*100</f>
        <v>#REF!</v>
      </c>
      <c r="D9239" s="31" t="e">
        <f>IF(B9239&lt;1,"",IF(B9239=1,"",VLOOKUP(B9239,$J$3:$L$102,3)))</f>
        <v>#REF!</v>
      </c>
      <c r="E9239" s="31" t="e">
        <f>IF(B9239&lt;1,"",IF(B9239=1," Seratus "," Ratus "))</f>
        <v>#REF!</v>
      </c>
      <c r="J9239" s="31">
        <v>24</v>
      </c>
      <c r="K9239" s="33" t="s">
        <v>94</v>
      </c>
      <c r="L9239" s="31" t="str">
        <f t="shared" si="892"/>
        <v>Dua Puluh Empat</v>
      </c>
    </row>
    <row r="9240" spans="1:12">
      <c r="A9240" s="33" t="s">
        <v>81</v>
      </c>
      <c r="B9240" s="41" t="e">
        <f>TRUNC((A9213-SUM(C9235:C9239)))</f>
        <v>#REF!</v>
      </c>
      <c r="C9240" s="42" t="e">
        <f>B9240</f>
        <v>#REF!</v>
      </c>
      <c r="D9240" s="31" t="e">
        <f>IF(B9240&lt;1,"",VLOOKUP(B9240,$J$3:$L$102,3))</f>
        <v>#REF!</v>
      </c>
      <c r="E9240" s="31" t="e">
        <f>IF(SUM(C9235:C9240)&lt;1,"",IF(B9241&lt;1,""," Dan "))</f>
        <v>#REF!</v>
      </c>
      <c r="J9240" s="31">
        <v>25</v>
      </c>
      <c r="K9240" s="33" t="s">
        <v>95</v>
      </c>
      <c r="L9240" s="31" t="str">
        <f t="shared" si="892"/>
        <v>Dua Puluh Lima</v>
      </c>
    </row>
    <row r="9241" spans="1:12">
      <c r="A9241" s="33" t="s">
        <v>83</v>
      </c>
      <c r="B9241" s="40" t="e">
        <f>ROUND(A9213-SUM(C9235:C9240),2)*100</f>
        <v>#REF!</v>
      </c>
      <c r="D9241" s="31" t="e">
        <f>IF(B9241&lt;1,"",VLOOKUP(B9241,$J$3:$L$102,3))</f>
        <v>#REF!</v>
      </c>
      <c r="E9241" s="31" t="e">
        <f>IF(B9241&lt;1,""," Sen ")</f>
        <v>#REF!</v>
      </c>
      <c r="J9241" s="31">
        <v>26</v>
      </c>
      <c r="K9241" s="33" t="s">
        <v>96</v>
      </c>
      <c r="L9241" s="31" t="str">
        <f t="shared" si="892"/>
        <v>Dua Puluh Enam</v>
      </c>
    </row>
    <row r="9242" spans="1:12">
      <c r="J9242" s="31">
        <v>27</v>
      </c>
      <c r="K9242" s="33" t="s">
        <v>97</v>
      </c>
      <c r="L9242" s="31" t="str">
        <f t="shared" si="892"/>
        <v>Dua Puluh Tujuh</v>
      </c>
    </row>
    <row r="9243" spans="1:12">
      <c r="J9243" s="31">
        <v>28</v>
      </c>
      <c r="K9243" s="33" t="s">
        <v>98</v>
      </c>
      <c r="L9243" s="31" t="str">
        <f t="shared" si="892"/>
        <v>Dua Puluh Delapan</v>
      </c>
    </row>
    <row r="9244" spans="1:12">
      <c r="J9244" s="31">
        <v>29</v>
      </c>
      <c r="K9244" s="33" t="s">
        <v>99</v>
      </c>
      <c r="L9244" s="31" t="str">
        <f t="shared" si="892"/>
        <v>Dua Puluh Sembilan</v>
      </c>
    </row>
    <row r="9245" spans="1:12">
      <c r="J9245" s="31">
        <v>30</v>
      </c>
      <c r="K9245" s="33" t="s">
        <v>100</v>
      </c>
      <c r="L9245" s="31" t="s">
        <v>101</v>
      </c>
    </row>
    <row r="9246" spans="1:12">
      <c r="J9246" s="31">
        <v>31</v>
      </c>
      <c r="K9246" s="33" t="s">
        <v>102</v>
      </c>
      <c r="L9246" s="31" t="str">
        <f t="shared" ref="L9246:L9254" si="893">$L$33&amp;" "&amp;L9216</f>
        <v>Tiga Puluh Satu</v>
      </c>
    </row>
    <row r="9247" spans="1:12">
      <c r="J9247" s="31">
        <v>32</v>
      </c>
      <c r="K9247" s="33" t="s">
        <v>103</v>
      </c>
      <c r="L9247" s="31" t="str">
        <f t="shared" si="893"/>
        <v>Tiga Puluh Dua</v>
      </c>
    </row>
    <row r="9248" spans="1:12">
      <c r="J9248" s="31">
        <v>33</v>
      </c>
      <c r="K9248" s="33" t="s">
        <v>104</v>
      </c>
      <c r="L9248" s="31" t="str">
        <f t="shared" si="893"/>
        <v>Tiga Puluh Tiga</v>
      </c>
    </row>
    <row r="9249" spans="1:12">
      <c r="J9249" s="31">
        <v>34</v>
      </c>
      <c r="K9249" s="33" t="s">
        <v>105</v>
      </c>
      <c r="L9249" s="31" t="str">
        <f t="shared" si="893"/>
        <v>Tiga Puluh Empat</v>
      </c>
    </row>
    <row r="9250" spans="1:12">
      <c r="J9250" s="31">
        <v>35</v>
      </c>
      <c r="K9250" s="33" t="s">
        <v>106</v>
      </c>
      <c r="L9250" s="31" t="str">
        <f t="shared" si="893"/>
        <v>Tiga Puluh Lima</v>
      </c>
    </row>
    <row r="9251" spans="1:12">
      <c r="J9251" s="31">
        <v>36</v>
      </c>
      <c r="K9251" s="33" t="s">
        <v>107</v>
      </c>
      <c r="L9251" s="31" t="str">
        <f t="shared" si="893"/>
        <v>Tiga Puluh Enam</v>
      </c>
    </row>
    <row r="9252" spans="1:12">
      <c r="J9252" s="31">
        <v>37</v>
      </c>
      <c r="K9252" s="33" t="s">
        <v>108</v>
      </c>
      <c r="L9252" s="31" t="str">
        <f t="shared" si="893"/>
        <v>Tiga Puluh Tujuh</v>
      </c>
    </row>
    <row r="9253" spans="1:12">
      <c r="J9253" s="31">
        <v>38</v>
      </c>
      <c r="K9253" s="33" t="s">
        <v>109</v>
      </c>
      <c r="L9253" s="31" t="str">
        <f t="shared" si="893"/>
        <v>Tiga Puluh Delapan</v>
      </c>
    </row>
    <row r="9254" spans="1:12">
      <c r="J9254" s="31">
        <v>39</v>
      </c>
      <c r="K9254" s="33" t="s">
        <v>110</v>
      </c>
      <c r="L9254" s="31" t="str">
        <f t="shared" si="893"/>
        <v>Tiga Puluh Sembilan</v>
      </c>
    </row>
    <row r="9255" spans="1:12">
      <c r="B9255" s="35"/>
      <c r="C9255" s="35"/>
      <c r="D9255" s="35"/>
      <c r="J9255" s="31">
        <v>40</v>
      </c>
      <c r="K9255" s="33" t="s">
        <v>111</v>
      </c>
      <c r="L9255" s="31" t="s">
        <v>112</v>
      </c>
    </row>
    <row r="9256" spans="1:12">
      <c r="A9256" s="35"/>
      <c r="B9256" s="35"/>
      <c r="C9256" s="35"/>
      <c r="D9256" s="35"/>
      <c r="J9256" s="31">
        <v>41</v>
      </c>
      <c r="K9256" s="33" t="s">
        <v>113</v>
      </c>
      <c r="L9256" s="31" t="str">
        <f t="shared" ref="L9256:L9264" si="894">$L$43&amp;" "&amp;L9216</f>
        <v>Empat Puluh Satu</v>
      </c>
    </row>
    <row r="9257" spans="1:12">
      <c r="J9257" s="31">
        <v>42</v>
      </c>
      <c r="K9257" s="33" t="s">
        <v>114</v>
      </c>
      <c r="L9257" s="31" t="str">
        <f t="shared" si="894"/>
        <v>Empat Puluh Dua</v>
      </c>
    </row>
    <row r="9258" spans="1:12">
      <c r="A9258" s="38"/>
      <c r="J9258" s="31">
        <v>43</v>
      </c>
      <c r="K9258" s="33" t="s">
        <v>115</v>
      </c>
      <c r="L9258" s="31" t="str">
        <f t="shared" si="894"/>
        <v>Empat Puluh Tiga</v>
      </c>
    </row>
    <row r="9259" spans="1:12">
      <c r="J9259" s="31">
        <v>44</v>
      </c>
      <c r="K9259" s="33" t="s">
        <v>116</v>
      </c>
      <c r="L9259" s="31" t="str">
        <f t="shared" si="894"/>
        <v>Empat Puluh Empat</v>
      </c>
    </row>
    <row r="9260" spans="1:12">
      <c r="J9260" s="31">
        <v>45</v>
      </c>
      <c r="K9260" s="33" t="s">
        <v>117</v>
      </c>
      <c r="L9260" s="31" t="str">
        <f t="shared" si="894"/>
        <v>Empat Puluh Lima</v>
      </c>
    </row>
    <row r="9261" spans="1:12">
      <c r="J9261" s="31">
        <v>46</v>
      </c>
      <c r="K9261" s="33" t="s">
        <v>118</v>
      </c>
      <c r="L9261" s="31" t="str">
        <f t="shared" si="894"/>
        <v>Empat Puluh Enam</v>
      </c>
    </row>
    <row r="9262" spans="1:12">
      <c r="J9262" s="31">
        <v>47</v>
      </c>
      <c r="K9262" s="33" t="s">
        <v>119</v>
      </c>
      <c r="L9262" s="31" t="str">
        <f t="shared" si="894"/>
        <v>Empat Puluh Tujuh</v>
      </c>
    </row>
    <row r="9263" spans="1:12">
      <c r="J9263" s="31">
        <v>48</v>
      </c>
      <c r="K9263" s="33" t="s">
        <v>120</v>
      </c>
      <c r="L9263" s="31" t="str">
        <f t="shared" si="894"/>
        <v>Empat Puluh Delapan</v>
      </c>
    </row>
    <row r="9264" spans="1:12">
      <c r="J9264" s="31">
        <v>49</v>
      </c>
      <c r="K9264" s="33" t="s">
        <v>121</v>
      </c>
      <c r="L9264" s="31" t="str">
        <f t="shared" si="894"/>
        <v>Empat Puluh Sembilan</v>
      </c>
    </row>
    <row r="9265" spans="10:12">
      <c r="J9265" s="31">
        <v>50</v>
      </c>
      <c r="K9265" s="33" t="s">
        <v>122</v>
      </c>
      <c r="L9265" s="31" t="s">
        <v>123</v>
      </c>
    </row>
    <row r="9266" spans="10:12">
      <c r="J9266" s="31">
        <v>51</v>
      </c>
      <c r="K9266" s="33" t="s">
        <v>124</v>
      </c>
      <c r="L9266" s="31" t="str">
        <f t="shared" ref="L9266:L9274" si="895">$L$53&amp;" "&amp;L9216</f>
        <v>Lima Puluh Satu</v>
      </c>
    </row>
    <row r="9267" spans="10:12">
      <c r="J9267" s="31">
        <v>52</v>
      </c>
      <c r="K9267" s="33" t="s">
        <v>125</v>
      </c>
      <c r="L9267" s="31" t="str">
        <f t="shared" si="895"/>
        <v>Lima Puluh Dua</v>
      </c>
    </row>
    <row r="9268" spans="10:12">
      <c r="J9268" s="31">
        <v>53</v>
      </c>
      <c r="K9268" s="33" t="s">
        <v>126</v>
      </c>
      <c r="L9268" s="31" t="str">
        <f t="shared" si="895"/>
        <v>Lima Puluh Tiga</v>
      </c>
    </row>
    <row r="9269" spans="10:12">
      <c r="J9269" s="31">
        <v>54</v>
      </c>
      <c r="K9269" s="33" t="s">
        <v>127</v>
      </c>
      <c r="L9269" s="31" t="str">
        <f t="shared" si="895"/>
        <v>Lima Puluh Empat</v>
      </c>
    </row>
    <row r="9270" spans="10:12">
      <c r="J9270" s="31">
        <v>55</v>
      </c>
      <c r="K9270" s="33" t="s">
        <v>128</v>
      </c>
      <c r="L9270" s="31" t="str">
        <f t="shared" si="895"/>
        <v>Lima Puluh Lima</v>
      </c>
    </row>
    <row r="9271" spans="10:12">
      <c r="J9271" s="31">
        <v>56</v>
      </c>
      <c r="K9271" s="33" t="s">
        <v>129</v>
      </c>
      <c r="L9271" s="31" t="str">
        <f t="shared" si="895"/>
        <v>Lima Puluh Enam</v>
      </c>
    </row>
    <row r="9272" spans="10:12">
      <c r="J9272" s="31">
        <v>57</v>
      </c>
      <c r="K9272" s="33" t="s">
        <v>130</v>
      </c>
      <c r="L9272" s="31" t="str">
        <f t="shared" si="895"/>
        <v>Lima Puluh Tujuh</v>
      </c>
    </row>
    <row r="9273" spans="10:12">
      <c r="J9273" s="31">
        <v>58</v>
      </c>
      <c r="K9273" s="33" t="s">
        <v>131</v>
      </c>
      <c r="L9273" s="31" t="str">
        <f t="shared" si="895"/>
        <v>Lima Puluh Delapan</v>
      </c>
    </row>
    <row r="9274" spans="10:12">
      <c r="J9274" s="31">
        <v>59</v>
      </c>
      <c r="K9274" s="33" t="s">
        <v>132</v>
      </c>
      <c r="L9274" s="31" t="str">
        <f t="shared" si="895"/>
        <v>Lima Puluh Sembilan</v>
      </c>
    </row>
    <row r="9275" spans="10:12">
      <c r="J9275" s="31">
        <v>60</v>
      </c>
      <c r="K9275" s="33" t="s">
        <v>133</v>
      </c>
      <c r="L9275" s="31" t="s">
        <v>134</v>
      </c>
    </row>
    <row r="9276" spans="10:12">
      <c r="J9276" s="31">
        <v>61</v>
      </c>
      <c r="K9276" s="33" t="s">
        <v>135</v>
      </c>
      <c r="L9276" s="31" t="str">
        <f t="shared" ref="L9276:L9284" si="896">$L$63&amp;" "&amp;L9216</f>
        <v>Enam Puluh Satu</v>
      </c>
    </row>
    <row r="9277" spans="10:12">
      <c r="J9277" s="31">
        <v>62</v>
      </c>
      <c r="K9277" s="33" t="s">
        <v>136</v>
      </c>
      <c r="L9277" s="31" t="str">
        <f t="shared" si="896"/>
        <v>Enam Puluh Dua</v>
      </c>
    </row>
    <row r="9278" spans="10:12">
      <c r="J9278" s="31">
        <v>63</v>
      </c>
      <c r="K9278" s="33" t="s">
        <v>137</v>
      </c>
      <c r="L9278" s="31" t="str">
        <f t="shared" si="896"/>
        <v>Enam Puluh Tiga</v>
      </c>
    </row>
    <row r="9279" spans="10:12">
      <c r="J9279" s="31">
        <v>64</v>
      </c>
      <c r="K9279" s="33" t="s">
        <v>138</v>
      </c>
      <c r="L9279" s="31" t="str">
        <f t="shared" si="896"/>
        <v>Enam Puluh Empat</v>
      </c>
    </row>
    <row r="9280" spans="10:12">
      <c r="J9280" s="31">
        <v>65</v>
      </c>
      <c r="K9280" s="33" t="s">
        <v>139</v>
      </c>
      <c r="L9280" s="31" t="str">
        <f t="shared" si="896"/>
        <v>Enam Puluh Lima</v>
      </c>
    </row>
    <row r="9281" spans="10:12">
      <c r="J9281" s="31">
        <v>66</v>
      </c>
      <c r="K9281" s="33" t="s">
        <v>140</v>
      </c>
      <c r="L9281" s="31" t="str">
        <f t="shared" si="896"/>
        <v>Enam Puluh Enam</v>
      </c>
    </row>
    <row r="9282" spans="10:12">
      <c r="J9282" s="31">
        <v>67</v>
      </c>
      <c r="K9282" s="33" t="s">
        <v>141</v>
      </c>
      <c r="L9282" s="31" t="str">
        <f t="shared" si="896"/>
        <v>Enam Puluh Tujuh</v>
      </c>
    </row>
    <row r="9283" spans="10:12">
      <c r="J9283" s="31">
        <v>68</v>
      </c>
      <c r="K9283" s="33" t="s">
        <v>142</v>
      </c>
      <c r="L9283" s="31" t="str">
        <f t="shared" si="896"/>
        <v>Enam Puluh Delapan</v>
      </c>
    </row>
    <row r="9284" spans="10:12">
      <c r="J9284" s="31">
        <v>69</v>
      </c>
      <c r="K9284" s="33" t="s">
        <v>143</v>
      </c>
      <c r="L9284" s="31" t="str">
        <f t="shared" si="896"/>
        <v>Enam Puluh Sembilan</v>
      </c>
    </row>
    <row r="9285" spans="10:12">
      <c r="J9285" s="31">
        <v>70</v>
      </c>
      <c r="K9285" s="33" t="s">
        <v>144</v>
      </c>
      <c r="L9285" s="31" t="s">
        <v>145</v>
      </c>
    </row>
    <row r="9286" spans="10:12">
      <c r="J9286" s="31">
        <v>71</v>
      </c>
      <c r="K9286" s="33" t="s">
        <v>146</v>
      </c>
      <c r="L9286" s="31" t="str">
        <f t="shared" ref="L9286:L9294" si="897">$L$73&amp;" "&amp;L9216</f>
        <v>Tujuh Puluh Satu</v>
      </c>
    </row>
    <row r="9287" spans="10:12">
      <c r="J9287" s="31">
        <v>72</v>
      </c>
      <c r="K9287" s="33" t="s">
        <v>147</v>
      </c>
      <c r="L9287" s="31" t="str">
        <f t="shared" si="897"/>
        <v>Tujuh Puluh Dua</v>
      </c>
    </row>
    <row r="9288" spans="10:12">
      <c r="J9288" s="31">
        <v>73</v>
      </c>
      <c r="K9288" s="33" t="s">
        <v>148</v>
      </c>
      <c r="L9288" s="31" t="str">
        <f t="shared" si="897"/>
        <v>Tujuh Puluh Tiga</v>
      </c>
    </row>
    <row r="9289" spans="10:12">
      <c r="J9289" s="31">
        <v>74</v>
      </c>
      <c r="K9289" s="33" t="s">
        <v>149</v>
      </c>
      <c r="L9289" s="31" t="str">
        <f t="shared" si="897"/>
        <v>Tujuh Puluh Empat</v>
      </c>
    </row>
    <row r="9290" spans="10:12">
      <c r="J9290" s="31">
        <v>75</v>
      </c>
      <c r="K9290" s="33" t="s">
        <v>150</v>
      </c>
      <c r="L9290" s="31" t="str">
        <f t="shared" si="897"/>
        <v>Tujuh Puluh Lima</v>
      </c>
    </row>
    <row r="9291" spans="10:12">
      <c r="J9291" s="31">
        <v>76</v>
      </c>
      <c r="K9291" s="33" t="s">
        <v>151</v>
      </c>
      <c r="L9291" s="31" t="str">
        <f t="shared" si="897"/>
        <v>Tujuh Puluh Enam</v>
      </c>
    </row>
    <row r="9292" spans="10:12">
      <c r="J9292" s="31">
        <v>77</v>
      </c>
      <c r="K9292" s="33" t="s">
        <v>152</v>
      </c>
      <c r="L9292" s="31" t="str">
        <f t="shared" si="897"/>
        <v>Tujuh Puluh Tujuh</v>
      </c>
    </row>
    <row r="9293" spans="10:12">
      <c r="J9293" s="31">
        <v>78</v>
      </c>
      <c r="K9293" s="33" t="s">
        <v>153</v>
      </c>
      <c r="L9293" s="31" t="str">
        <f t="shared" si="897"/>
        <v>Tujuh Puluh Delapan</v>
      </c>
    </row>
    <row r="9294" spans="10:12">
      <c r="J9294" s="31">
        <v>79</v>
      </c>
      <c r="K9294" s="33" t="s">
        <v>154</v>
      </c>
      <c r="L9294" s="31" t="str">
        <f t="shared" si="897"/>
        <v>Tujuh Puluh Sembilan</v>
      </c>
    </row>
    <row r="9295" spans="10:12">
      <c r="J9295" s="31">
        <v>80</v>
      </c>
      <c r="K9295" s="33" t="s">
        <v>155</v>
      </c>
      <c r="L9295" s="31" t="s">
        <v>156</v>
      </c>
    </row>
    <row r="9296" spans="10:12">
      <c r="J9296" s="31">
        <v>81</v>
      </c>
      <c r="K9296" s="33" t="s">
        <v>157</v>
      </c>
      <c r="L9296" s="31" t="str">
        <f t="shared" ref="L9296:L9304" si="898">$L$83&amp;" "&amp;L9216</f>
        <v>Delapan Puluh Satu</v>
      </c>
    </row>
    <row r="9297" spans="10:12">
      <c r="J9297" s="31">
        <v>82</v>
      </c>
      <c r="K9297" s="33" t="s">
        <v>158</v>
      </c>
      <c r="L9297" s="31" t="str">
        <f t="shared" si="898"/>
        <v>Delapan Puluh Dua</v>
      </c>
    </row>
    <row r="9298" spans="10:12">
      <c r="J9298" s="31">
        <v>83</v>
      </c>
      <c r="K9298" s="33" t="s">
        <v>159</v>
      </c>
      <c r="L9298" s="31" t="str">
        <f t="shared" si="898"/>
        <v>Delapan Puluh Tiga</v>
      </c>
    </row>
    <row r="9299" spans="10:12">
      <c r="J9299" s="31">
        <v>84</v>
      </c>
      <c r="K9299" s="33" t="s">
        <v>160</v>
      </c>
      <c r="L9299" s="31" t="str">
        <f t="shared" si="898"/>
        <v>Delapan Puluh Empat</v>
      </c>
    </row>
    <row r="9300" spans="10:12">
      <c r="J9300" s="31">
        <v>85</v>
      </c>
      <c r="K9300" s="33" t="s">
        <v>161</v>
      </c>
      <c r="L9300" s="31" t="str">
        <f t="shared" si="898"/>
        <v>Delapan Puluh Lima</v>
      </c>
    </row>
    <row r="9301" spans="10:12">
      <c r="J9301" s="31">
        <v>86</v>
      </c>
      <c r="K9301" s="33" t="s">
        <v>162</v>
      </c>
      <c r="L9301" s="31" t="str">
        <f t="shared" si="898"/>
        <v>Delapan Puluh Enam</v>
      </c>
    </row>
    <row r="9302" spans="10:12">
      <c r="J9302" s="31">
        <v>87</v>
      </c>
      <c r="K9302" s="33" t="s">
        <v>163</v>
      </c>
      <c r="L9302" s="31" t="str">
        <f t="shared" si="898"/>
        <v>Delapan Puluh Tujuh</v>
      </c>
    </row>
    <row r="9303" spans="10:12">
      <c r="J9303" s="31">
        <v>88</v>
      </c>
      <c r="K9303" s="33" t="s">
        <v>164</v>
      </c>
      <c r="L9303" s="31" t="str">
        <f t="shared" si="898"/>
        <v>Delapan Puluh Delapan</v>
      </c>
    </row>
    <row r="9304" spans="10:12">
      <c r="J9304" s="31">
        <v>89</v>
      </c>
      <c r="K9304" s="33" t="s">
        <v>165</v>
      </c>
      <c r="L9304" s="31" t="str">
        <f t="shared" si="898"/>
        <v>Delapan Puluh Sembilan</v>
      </c>
    </row>
    <row r="9305" spans="10:12">
      <c r="J9305" s="31">
        <v>90</v>
      </c>
      <c r="K9305" s="33" t="s">
        <v>166</v>
      </c>
      <c r="L9305" s="31" t="s">
        <v>167</v>
      </c>
    </row>
    <row r="9306" spans="10:12">
      <c r="J9306" s="31">
        <v>91</v>
      </c>
      <c r="K9306" s="33" t="s">
        <v>168</v>
      </c>
      <c r="L9306" s="31" t="str">
        <f t="shared" ref="L9306:L9314" si="899">$L$93&amp;" "&amp;L9216</f>
        <v>Sembilan Puluh Satu</v>
      </c>
    </row>
    <row r="9307" spans="10:12">
      <c r="J9307" s="31">
        <v>92</v>
      </c>
      <c r="K9307" s="33" t="s">
        <v>169</v>
      </c>
      <c r="L9307" s="31" t="str">
        <f t="shared" si="899"/>
        <v>Sembilan Puluh Dua</v>
      </c>
    </row>
    <row r="9308" spans="10:12">
      <c r="J9308" s="31">
        <v>93</v>
      </c>
      <c r="K9308" s="33" t="s">
        <v>170</v>
      </c>
      <c r="L9308" s="31" t="str">
        <f t="shared" si="899"/>
        <v>Sembilan Puluh Tiga</v>
      </c>
    </row>
    <row r="9309" spans="10:12">
      <c r="J9309" s="31">
        <v>94</v>
      </c>
      <c r="K9309" s="33" t="s">
        <v>171</v>
      </c>
      <c r="L9309" s="31" t="str">
        <f t="shared" si="899"/>
        <v>Sembilan Puluh Empat</v>
      </c>
    </row>
    <row r="9310" spans="10:12">
      <c r="J9310" s="31">
        <v>95</v>
      </c>
      <c r="K9310" s="33" t="s">
        <v>172</v>
      </c>
      <c r="L9310" s="31" t="str">
        <f t="shared" si="899"/>
        <v>Sembilan Puluh Lima</v>
      </c>
    </row>
    <row r="9311" spans="10:12">
      <c r="J9311" s="31">
        <v>96</v>
      </c>
      <c r="K9311" s="33" t="s">
        <v>173</v>
      </c>
      <c r="L9311" s="31" t="str">
        <f t="shared" si="899"/>
        <v>Sembilan Puluh Enam</v>
      </c>
    </row>
    <row r="9312" spans="10:12">
      <c r="J9312" s="31">
        <v>97</v>
      </c>
      <c r="K9312" s="33" t="s">
        <v>174</v>
      </c>
      <c r="L9312" s="31" t="str">
        <f t="shared" si="899"/>
        <v>Sembilan Puluh Tujuh</v>
      </c>
    </row>
    <row r="9313" spans="1:12">
      <c r="J9313" s="31">
        <v>98</v>
      </c>
      <c r="K9313" s="33" t="s">
        <v>175</v>
      </c>
      <c r="L9313" s="31" t="str">
        <f t="shared" si="899"/>
        <v>Sembilan Puluh Delapan</v>
      </c>
    </row>
    <row r="9314" spans="1:12">
      <c r="J9314" s="31">
        <v>99</v>
      </c>
      <c r="K9314" s="33" t="s">
        <v>176</v>
      </c>
      <c r="L9314" s="31" t="str">
        <f t="shared" si="899"/>
        <v>Sembilan Puluh Sembilan</v>
      </c>
    </row>
    <row r="9318" spans="1:12">
      <c r="A9318" s="30" t="e">
        <f>#REF!</f>
        <v>#REF!</v>
      </c>
      <c r="C9318" s="31" t="s">
        <v>277</v>
      </c>
    </row>
    <row r="9319" spans="1:12">
      <c r="A9319" s="32"/>
    </row>
    <row r="9320" spans="1:12">
      <c r="J9320" s="31">
        <v>0</v>
      </c>
      <c r="K9320" s="33" t="s">
        <v>48</v>
      </c>
      <c r="L9320" s="31" t="s">
        <v>49</v>
      </c>
    </row>
    <row r="9321" spans="1:12">
      <c r="A9321" s="34"/>
      <c r="J9321" s="31">
        <v>1</v>
      </c>
      <c r="K9321" s="33" t="s">
        <v>50</v>
      </c>
      <c r="L9321" s="31" t="s">
        <v>51</v>
      </c>
    </row>
    <row r="9322" spans="1:12">
      <c r="A9322" s="255" t="e">
        <f>TRIM(D9330&amp;E9330&amp;D9331&amp;E9331&amp;D9332&amp;E9332&amp;D9333&amp;E9333&amp;D9334&amp;E9334&amp;D9335&amp;E9335&amp;E9336&amp;D9336&amp;" Only")</f>
        <v>#REF!</v>
      </c>
      <c r="B9322" s="255"/>
      <c r="C9322" s="255"/>
      <c r="D9322" s="255"/>
      <c r="E9322" s="35"/>
      <c r="F9322" s="36"/>
      <c r="J9322" s="31">
        <v>2</v>
      </c>
      <c r="K9322" s="33" t="s">
        <v>52</v>
      </c>
      <c r="L9322" s="31" t="s">
        <v>53</v>
      </c>
    </row>
    <row r="9323" spans="1:12">
      <c r="A9323" s="37"/>
      <c r="B9323" s="37"/>
      <c r="C9323" s="37"/>
      <c r="D9323" s="37"/>
      <c r="E9323" s="35"/>
      <c r="F9323" s="36"/>
      <c r="J9323" s="31">
        <v>3</v>
      </c>
      <c r="K9323" s="33" t="s">
        <v>54</v>
      </c>
      <c r="L9323" s="31" t="s">
        <v>55</v>
      </c>
    </row>
    <row r="9324" spans="1:12">
      <c r="A9324" s="37"/>
      <c r="B9324" s="37"/>
      <c r="C9324" s="37"/>
      <c r="D9324" s="37"/>
      <c r="J9324" s="31">
        <v>4</v>
      </c>
      <c r="K9324" s="33" t="s">
        <v>56</v>
      </c>
      <c r="L9324" s="31" t="s">
        <v>57</v>
      </c>
    </row>
    <row r="9325" spans="1:12">
      <c r="A9325" s="255" t="e">
        <f>TRIM(D9340&amp;E9340&amp;D9341&amp;E9341&amp;D9342&amp;E9342&amp;D9343&amp;E9343&amp;D9344&amp;E9344&amp;D9345&amp;E9345&amp;D9346&amp;E9346&amp;" Rupiah")</f>
        <v>#REF!</v>
      </c>
      <c r="B9325" s="255"/>
      <c r="C9325" s="255"/>
      <c r="D9325" s="255"/>
      <c r="E9325" s="35"/>
      <c r="F9325" s="36"/>
      <c r="J9325" s="31">
        <v>5</v>
      </c>
      <c r="K9325" s="33" t="s">
        <v>58</v>
      </c>
      <c r="L9325" s="31" t="s">
        <v>59</v>
      </c>
    </row>
    <row r="9326" spans="1:12">
      <c r="A9326" s="35"/>
      <c r="B9326" s="35"/>
      <c r="C9326" s="35"/>
      <c r="D9326" s="35"/>
      <c r="E9326" s="35"/>
      <c r="F9326" s="36"/>
      <c r="J9326" s="31">
        <v>6</v>
      </c>
      <c r="K9326" s="33" t="s">
        <v>60</v>
      </c>
      <c r="L9326" s="31" t="s">
        <v>61</v>
      </c>
    </row>
    <row r="9327" spans="1:12">
      <c r="J9327" s="31">
        <v>7</v>
      </c>
      <c r="K9327" s="33" t="s">
        <v>62</v>
      </c>
      <c r="L9327" s="31" t="s">
        <v>63</v>
      </c>
    </row>
    <row r="9328" spans="1:12">
      <c r="J9328" s="31">
        <v>8</v>
      </c>
      <c r="K9328" s="33" t="s">
        <v>64</v>
      </c>
      <c r="L9328" s="31" t="s">
        <v>65</v>
      </c>
    </row>
    <row r="9329" spans="1:12">
      <c r="A9329" s="38" t="s">
        <v>66</v>
      </c>
      <c r="J9329" s="31">
        <v>9</v>
      </c>
      <c r="K9329" s="33" t="s">
        <v>67</v>
      </c>
      <c r="L9329" s="31" t="s">
        <v>68</v>
      </c>
    </row>
    <row r="9330" spans="1:12">
      <c r="A9330" s="31" t="s">
        <v>69</v>
      </c>
      <c r="B9330" s="39" t="e">
        <f>TRUNC(A9318/100000000)</f>
        <v>#REF!</v>
      </c>
      <c r="C9330" s="31" t="e">
        <f>B9330*100000000</f>
        <v>#REF!</v>
      </c>
      <c r="D9330" s="31" t="e">
        <f t="shared" ref="D9330:D9336" si="900">IF(B9330&lt;1,"",VLOOKUP(B9330,$J$3:$K$102,2))</f>
        <v>#REF!</v>
      </c>
      <c r="E9330" s="31" t="e">
        <f>IF(B9330&lt;1,"",IF(B9330&gt;1," Hundreds "," Hundred "))</f>
        <v>#REF!</v>
      </c>
      <c r="J9330" s="31">
        <v>10</v>
      </c>
      <c r="K9330" s="33" t="s">
        <v>70</v>
      </c>
      <c r="L9330" s="31" t="s">
        <v>71</v>
      </c>
    </row>
    <row r="9331" spans="1:12">
      <c r="A9331" s="31" t="s">
        <v>72</v>
      </c>
      <c r="B9331" s="39" t="e">
        <f>TRUNC((A9318-C9330)/1000000)</f>
        <v>#REF!</v>
      </c>
      <c r="C9331" s="31" t="e">
        <f>B9331*1000000</f>
        <v>#REF!</v>
      </c>
      <c r="D9331" s="31" t="e">
        <f t="shared" si="900"/>
        <v>#REF!</v>
      </c>
      <c r="E9331" s="31" t="e">
        <f>IF(B9330+B9331=0,"",IF(B9331=1," Million "," Millions "))</f>
        <v>#REF!</v>
      </c>
      <c r="J9331" s="31">
        <v>11</v>
      </c>
      <c r="K9331" s="33" t="s">
        <v>73</v>
      </c>
      <c r="L9331" s="31" t="s">
        <v>74</v>
      </c>
    </row>
    <row r="9332" spans="1:12">
      <c r="A9332" s="31" t="s">
        <v>75</v>
      </c>
      <c r="B9332" s="39" t="e">
        <f>TRUNC((A9318-SUM(C9330:C9331))/100000)</f>
        <v>#REF!</v>
      </c>
      <c r="C9332" s="31" t="e">
        <f>B9332*100000</f>
        <v>#REF!</v>
      </c>
      <c r="D9332" s="31" t="e">
        <f t="shared" si="900"/>
        <v>#REF!</v>
      </c>
      <c r="E9332" s="31" t="e">
        <f>IF(B9332&lt;1,"",IF(B9332&gt;1," Hundreds "," Hundred "))</f>
        <v>#REF!</v>
      </c>
      <c r="J9332" s="31">
        <v>12</v>
      </c>
      <c r="K9332" s="33" t="s">
        <v>76</v>
      </c>
      <c r="L9332" s="31" t="str">
        <f t="shared" ref="L9332:L9339" si="901">L9322&amp;" Belas"</f>
        <v>Dua Belas</v>
      </c>
    </row>
    <row r="9333" spans="1:12">
      <c r="A9333" s="33" t="s">
        <v>77</v>
      </c>
      <c r="B9333" s="40" t="e">
        <f>TRUNC((A9318-SUM(C9330:C9332))/1000)</f>
        <v>#REF!</v>
      </c>
      <c r="C9333" s="31" t="e">
        <f>B9333*1000</f>
        <v>#REF!</v>
      </c>
      <c r="D9333" s="31" t="e">
        <f t="shared" si="900"/>
        <v>#REF!</v>
      </c>
      <c r="E9333" s="31" t="e">
        <f>IF(B9332+B9333=0,"",IF(B9333=1," Thousand "," Thousands "))</f>
        <v>#REF!</v>
      </c>
      <c r="J9333" s="31">
        <v>13</v>
      </c>
      <c r="K9333" s="33" t="s">
        <v>78</v>
      </c>
      <c r="L9333" s="31" t="str">
        <f t="shared" si="901"/>
        <v>Tiga Belas</v>
      </c>
    </row>
    <row r="9334" spans="1:12">
      <c r="A9334" s="33" t="s">
        <v>79</v>
      </c>
      <c r="B9334" s="40" t="e">
        <f>TRUNC((A9318-SUM(C9330:C9333))/100)</f>
        <v>#REF!</v>
      </c>
      <c r="C9334" s="31" t="e">
        <f>B9334*100</f>
        <v>#REF!</v>
      </c>
      <c r="D9334" s="31" t="e">
        <f t="shared" si="900"/>
        <v>#REF!</v>
      </c>
      <c r="E9334" s="31" t="e">
        <f>IF(B9334&lt;1,"",IF(B9334&gt;1," Hundreds "," Hundred "))</f>
        <v>#REF!</v>
      </c>
      <c r="J9334" s="31">
        <v>14</v>
      </c>
      <c r="K9334" s="33" t="s">
        <v>80</v>
      </c>
      <c r="L9334" s="31" t="str">
        <f t="shared" si="901"/>
        <v>Empat Belas</v>
      </c>
    </row>
    <row r="9335" spans="1:12">
      <c r="A9335" s="33" t="s">
        <v>81</v>
      </c>
      <c r="B9335" s="41" t="e">
        <f>TRUNC((A9318-SUM(C9330:C9334)))</f>
        <v>#REF!</v>
      </c>
      <c r="C9335" s="42" t="e">
        <f>B9335</f>
        <v>#REF!</v>
      </c>
      <c r="D9335" s="31" t="e">
        <f t="shared" si="900"/>
        <v>#REF!</v>
      </c>
      <c r="E9335" s="31" t="e">
        <f>IF(SUM(C9330:C9335)&lt;1,"",IF(B9336&lt;1,""," And "))</f>
        <v>#REF!</v>
      </c>
      <c r="J9335" s="31">
        <v>15</v>
      </c>
      <c r="K9335" s="33" t="s">
        <v>82</v>
      </c>
      <c r="L9335" s="31" t="str">
        <f t="shared" si="901"/>
        <v>Lima Belas</v>
      </c>
    </row>
    <row r="9336" spans="1:12">
      <c r="A9336" s="33" t="s">
        <v>83</v>
      </c>
      <c r="B9336" s="40" t="e">
        <f>ROUND(A9318-SUM(C9330:C9335),2)*100</f>
        <v>#REF!</v>
      </c>
      <c r="D9336" s="43" t="e">
        <f t="shared" si="900"/>
        <v>#REF!</v>
      </c>
      <c r="E9336" s="31" t="e">
        <f>IF(B9336&lt;1,"",IF(B9336=1," Cent "," Cents "))</f>
        <v>#REF!</v>
      </c>
      <c r="J9336" s="31">
        <v>16</v>
      </c>
      <c r="K9336" s="33" t="s">
        <v>84</v>
      </c>
      <c r="L9336" s="31" t="str">
        <f t="shared" si="901"/>
        <v>Enam Belas</v>
      </c>
    </row>
    <row r="9337" spans="1:12">
      <c r="J9337" s="31">
        <v>17</v>
      </c>
      <c r="K9337" s="33" t="s">
        <v>85</v>
      </c>
      <c r="L9337" s="31" t="str">
        <f t="shared" si="901"/>
        <v>Tujuh Belas</v>
      </c>
    </row>
    <row r="9338" spans="1:12">
      <c r="A9338" s="44"/>
      <c r="J9338" s="31">
        <v>18</v>
      </c>
      <c r="K9338" s="33" t="s">
        <v>86</v>
      </c>
      <c r="L9338" s="31" t="str">
        <f t="shared" si="901"/>
        <v>Delapan Belas</v>
      </c>
    </row>
    <row r="9339" spans="1:12">
      <c r="A9339" s="38" t="s">
        <v>87</v>
      </c>
      <c r="J9339" s="31">
        <v>19</v>
      </c>
      <c r="K9339" s="33" t="s">
        <v>88</v>
      </c>
      <c r="L9339" s="31" t="str">
        <f t="shared" si="901"/>
        <v>Sembilan Belas</v>
      </c>
    </row>
    <row r="9340" spans="1:12">
      <c r="A9340" s="31" t="s">
        <v>69</v>
      </c>
      <c r="B9340" s="39" t="e">
        <f>TRUNC(A9318/100000000)</f>
        <v>#REF!</v>
      </c>
      <c r="C9340" s="31" t="e">
        <f>B9340*100000000</f>
        <v>#REF!</v>
      </c>
      <c r="D9340" s="31" t="e">
        <f>IF(B9340&lt;1,"",IF(B9340=1,"",VLOOKUP(B9340,$J$3:$L$102,3)))</f>
        <v>#REF!</v>
      </c>
      <c r="E9340" s="31" t="e">
        <f>IF(B9340&lt;1,"",IF(B9340=1,"Seratus "," Ratus "))</f>
        <v>#REF!</v>
      </c>
      <c r="J9340" s="31">
        <v>20</v>
      </c>
      <c r="K9340" s="33" t="s">
        <v>89</v>
      </c>
      <c r="L9340" s="31" t="s">
        <v>90</v>
      </c>
    </row>
    <row r="9341" spans="1:12">
      <c r="A9341" s="31" t="s">
        <v>72</v>
      </c>
      <c r="B9341" s="39" t="e">
        <f>TRUNC((A9318-C9340)/1000000)</f>
        <v>#REF!</v>
      </c>
      <c r="C9341" s="31" t="e">
        <f>B9341*1000000</f>
        <v>#REF!</v>
      </c>
      <c r="D9341" s="31" t="e">
        <f>IF(B9341&lt;1,"",VLOOKUP(B9341,$J$3:$L$102,3))</f>
        <v>#REF!</v>
      </c>
      <c r="E9341" s="31" t="e">
        <f>IF(B9340+B9341=0,""," Juta ")</f>
        <v>#REF!</v>
      </c>
      <c r="J9341" s="31">
        <v>21</v>
      </c>
      <c r="K9341" s="33" t="s">
        <v>91</v>
      </c>
      <c r="L9341" s="31" t="str">
        <f t="shared" ref="L9341:L9349" si="902">$L$23&amp;" "&amp;L9321</f>
        <v>Dua Puluh Satu</v>
      </c>
    </row>
    <row r="9342" spans="1:12">
      <c r="A9342" s="31" t="s">
        <v>75</v>
      </c>
      <c r="B9342" s="39" t="e">
        <f>TRUNC((A9318-SUM(C9340:C9341))/100000)</f>
        <v>#REF!</v>
      </c>
      <c r="C9342" s="31" t="e">
        <f>B9342*100000</f>
        <v>#REF!</v>
      </c>
      <c r="D9342" s="31" t="e">
        <f>IF(B9342&lt;1,"",IF(B9342=1,"",VLOOKUP(B9342,$J$3:$L$102,3)))</f>
        <v>#REF!</v>
      </c>
      <c r="E9342" s="31" t="e">
        <f>IF(B9342&lt;1,"",IF(B9342=1," Seratus "," Ratus "))</f>
        <v>#REF!</v>
      </c>
      <c r="J9342" s="31">
        <v>22</v>
      </c>
      <c r="K9342" s="33" t="s">
        <v>92</v>
      </c>
      <c r="L9342" s="31" t="str">
        <f t="shared" si="902"/>
        <v>Dua Puluh Dua</v>
      </c>
    </row>
    <row r="9343" spans="1:12">
      <c r="A9343" s="33" t="s">
        <v>77</v>
      </c>
      <c r="B9343" s="40" t="e">
        <f>TRUNC((A9318-SUM(C9340:C9342))/1000)</f>
        <v>#REF!</v>
      </c>
      <c r="C9343" s="31" t="e">
        <f>B9343*1000</f>
        <v>#REF!</v>
      </c>
      <c r="D9343" s="31" t="e">
        <f>IF(B9343&lt;1,"",IF(B9343=1,"",VLOOKUP(B9343,$J$3:$L$102,3)))</f>
        <v>#REF!</v>
      </c>
      <c r="E9343" s="31" t="e">
        <f>IF(B9342+B9343&lt;1,"",IF(B9343=1," Seribu "," Ribu "))</f>
        <v>#REF!</v>
      </c>
      <c r="J9343" s="31">
        <v>23</v>
      </c>
      <c r="K9343" s="33" t="s">
        <v>93</v>
      </c>
      <c r="L9343" s="31" t="str">
        <f t="shared" si="902"/>
        <v>Dua Puluh Tiga</v>
      </c>
    </row>
    <row r="9344" spans="1:12">
      <c r="A9344" s="33" t="s">
        <v>79</v>
      </c>
      <c r="B9344" s="40" t="e">
        <f>TRUNC((A9318-SUM(C9340:C9343))/100)</f>
        <v>#REF!</v>
      </c>
      <c r="C9344" s="31" t="e">
        <f>B9344*100</f>
        <v>#REF!</v>
      </c>
      <c r="D9344" s="31" t="e">
        <f>IF(B9344&lt;1,"",IF(B9344=1,"",VLOOKUP(B9344,$J$3:$L$102,3)))</f>
        <v>#REF!</v>
      </c>
      <c r="E9344" s="31" t="e">
        <f>IF(B9344&lt;1,"",IF(B9344=1," Seratus "," Ratus "))</f>
        <v>#REF!</v>
      </c>
      <c r="J9344" s="31">
        <v>24</v>
      </c>
      <c r="K9344" s="33" t="s">
        <v>94</v>
      </c>
      <c r="L9344" s="31" t="str">
        <f t="shared" si="902"/>
        <v>Dua Puluh Empat</v>
      </c>
    </row>
    <row r="9345" spans="1:12">
      <c r="A9345" s="33" t="s">
        <v>81</v>
      </c>
      <c r="B9345" s="41" t="e">
        <f>TRUNC((A9318-SUM(C9340:C9344)))</f>
        <v>#REF!</v>
      </c>
      <c r="C9345" s="42" t="e">
        <f>B9345</f>
        <v>#REF!</v>
      </c>
      <c r="D9345" s="31" t="e">
        <f>IF(B9345&lt;1,"",VLOOKUP(B9345,$J$3:$L$102,3))</f>
        <v>#REF!</v>
      </c>
      <c r="E9345" s="31" t="e">
        <f>IF(SUM(C9340:C9345)&lt;1,"",IF(B9346&lt;1,""," Dan "))</f>
        <v>#REF!</v>
      </c>
      <c r="J9345" s="31">
        <v>25</v>
      </c>
      <c r="K9345" s="33" t="s">
        <v>95</v>
      </c>
      <c r="L9345" s="31" t="str">
        <f t="shared" si="902"/>
        <v>Dua Puluh Lima</v>
      </c>
    </row>
    <row r="9346" spans="1:12">
      <c r="A9346" s="33" t="s">
        <v>83</v>
      </c>
      <c r="B9346" s="40" t="e">
        <f>ROUND(A9318-SUM(C9340:C9345),2)*100</f>
        <v>#REF!</v>
      </c>
      <c r="D9346" s="31" t="e">
        <f>IF(B9346&lt;1,"",VLOOKUP(B9346,$J$3:$L$102,3))</f>
        <v>#REF!</v>
      </c>
      <c r="E9346" s="31" t="e">
        <f>IF(B9346&lt;1,""," Sen ")</f>
        <v>#REF!</v>
      </c>
      <c r="J9346" s="31">
        <v>26</v>
      </c>
      <c r="K9346" s="33" t="s">
        <v>96</v>
      </c>
      <c r="L9346" s="31" t="str">
        <f t="shared" si="902"/>
        <v>Dua Puluh Enam</v>
      </c>
    </row>
    <row r="9347" spans="1:12">
      <c r="J9347" s="31">
        <v>27</v>
      </c>
      <c r="K9347" s="33" t="s">
        <v>97</v>
      </c>
      <c r="L9347" s="31" t="str">
        <f t="shared" si="902"/>
        <v>Dua Puluh Tujuh</v>
      </c>
    </row>
    <row r="9348" spans="1:12">
      <c r="J9348" s="31">
        <v>28</v>
      </c>
      <c r="K9348" s="33" t="s">
        <v>98</v>
      </c>
      <c r="L9348" s="31" t="str">
        <f t="shared" si="902"/>
        <v>Dua Puluh Delapan</v>
      </c>
    </row>
    <row r="9349" spans="1:12">
      <c r="J9349" s="31">
        <v>29</v>
      </c>
      <c r="K9349" s="33" t="s">
        <v>99</v>
      </c>
      <c r="L9349" s="31" t="str">
        <f t="shared" si="902"/>
        <v>Dua Puluh Sembilan</v>
      </c>
    </row>
    <row r="9350" spans="1:12">
      <c r="J9350" s="31">
        <v>30</v>
      </c>
      <c r="K9350" s="33" t="s">
        <v>100</v>
      </c>
      <c r="L9350" s="31" t="s">
        <v>101</v>
      </c>
    </row>
    <row r="9351" spans="1:12">
      <c r="J9351" s="31">
        <v>31</v>
      </c>
      <c r="K9351" s="33" t="s">
        <v>102</v>
      </c>
      <c r="L9351" s="31" t="str">
        <f t="shared" ref="L9351:L9359" si="903">$L$33&amp;" "&amp;L9321</f>
        <v>Tiga Puluh Satu</v>
      </c>
    </row>
    <row r="9352" spans="1:12">
      <c r="J9352" s="31">
        <v>32</v>
      </c>
      <c r="K9352" s="33" t="s">
        <v>103</v>
      </c>
      <c r="L9352" s="31" t="str">
        <f t="shared" si="903"/>
        <v>Tiga Puluh Dua</v>
      </c>
    </row>
    <row r="9353" spans="1:12">
      <c r="J9353" s="31">
        <v>33</v>
      </c>
      <c r="K9353" s="33" t="s">
        <v>104</v>
      </c>
      <c r="L9353" s="31" t="str">
        <f t="shared" si="903"/>
        <v>Tiga Puluh Tiga</v>
      </c>
    </row>
    <row r="9354" spans="1:12">
      <c r="J9354" s="31">
        <v>34</v>
      </c>
      <c r="K9354" s="33" t="s">
        <v>105</v>
      </c>
      <c r="L9354" s="31" t="str">
        <f t="shared" si="903"/>
        <v>Tiga Puluh Empat</v>
      </c>
    </row>
    <row r="9355" spans="1:12">
      <c r="J9355" s="31">
        <v>35</v>
      </c>
      <c r="K9355" s="33" t="s">
        <v>106</v>
      </c>
      <c r="L9355" s="31" t="str">
        <f t="shared" si="903"/>
        <v>Tiga Puluh Lima</v>
      </c>
    </row>
    <row r="9356" spans="1:12">
      <c r="J9356" s="31">
        <v>36</v>
      </c>
      <c r="K9356" s="33" t="s">
        <v>107</v>
      </c>
      <c r="L9356" s="31" t="str">
        <f t="shared" si="903"/>
        <v>Tiga Puluh Enam</v>
      </c>
    </row>
    <row r="9357" spans="1:12">
      <c r="J9357" s="31">
        <v>37</v>
      </c>
      <c r="K9357" s="33" t="s">
        <v>108</v>
      </c>
      <c r="L9357" s="31" t="str">
        <f t="shared" si="903"/>
        <v>Tiga Puluh Tujuh</v>
      </c>
    </row>
    <row r="9358" spans="1:12">
      <c r="J9358" s="31">
        <v>38</v>
      </c>
      <c r="K9358" s="33" t="s">
        <v>109</v>
      </c>
      <c r="L9358" s="31" t="str">
        <f t="shared" si="903"/>
        <v>Tiga Puluh Delapan</v>
      </c>
    </row>
    <row r="9359" spans="1:12">
      <c r="J9359" s="31">
        <v>39</v>
      </c>
      <c r="K9359" s="33" t="s">
        <v>110</v>
      </c>
      <c r="L9359" s="31" t="str">
        <f t="shared" si="903"/>
        <v>Tiga Puluh Sembilan</v>
      </c>
    </row>
    <row r="9360" spans="1:12">
      <c r="B9360" s="35"/>
      <c r="C9360" s="35"/>
      <c r="D9360" s="35"/>
      <c r="J9360" s="31">
        <v>40</v>
      </c>
      <c r="K9360" s="33" t="s">
        <v>111</v>
      </c>
      <c r="L9360" s="31" t="s">
        <v>112</v>
      </c>
    </row>
    <row r="9361" spans="1:12">
      <c r="A9361" s="35"/>
      <c r="B9361" s="35"/>
      <c r="C9361" s="35"/>
      <c r="D9361" s="35"/>
      <c r="J9361" s="31">
        <v>41</v>
      </c>
      <c r="K9361" s="33" t="s">
        <v>113</v>
      </c>
      <c r="L9361" s="31" t="str">
        <f t="shared" ref="L9361:L9369" si="904">$L$43&amp;" "&amp;L9321</f>
        <v>Empat Puluh Satu</v>
      </c>
    </row>
    <row r="9362" spans="1:12">
      <c r="J9362" s="31">
        <v>42</v>
      </c>
      <c r="K9362" s="33" t="s">
        <v>114</v>
      </c>
      <c r="L9362" s="31" t="str">
        <f t="shared" si="904"/>
        <v>Empat Puluh Dua</v>
      </c>
    </row>
    <row r="9363" spans="1:12">
      <c r="A9363" s="38"/>
      <c r="J9363" s="31">
        <v>43</v>
      </c>
      <c r="K9363" s="33" t="s">
        <v>115</v>
      </c>
      <c r="L9363" s="31" t="str">
        <f t="shared" si="904"/>
        <v>Empat Puluh Tiga</v>
      </c>
    </row>
    <row r="9364" spans="1:12">
      <c r="J9364" s="31">
        <v>44</v>
      </c>
      <c r="K9364" s="33" t="s">
        <v>116</v>
      </c>
      <c r="L9364" s="31" t="str">
        <f t="shared" si="904"/>
        <v>Empat Puluh Empat</v>
      </c>
    </row>
    <row r="9365" spans="1:12">
      <c r="J9365" s="31">
        <v>45</v>
      </c>
      <c r="K9365" s="33" t="s">
        <v>117</v>
      </c>
      <c r="L9365" s="31" t="str">
        <f t="shared" si="904"/>
        <v>Empat Puluh Lima</v>
      </c>
    </row>
    <row r="9366" spans="1:12">
      <c r="J9366" s="31">
        <v>46</v>
      </c>
      <c r="K9366" s="33" t="s">
        <v>118</v>
      </c>
      <c r="L9366" s="31" t="str">
        <f t="shared" si="904"/>
        <v>Empat Puluh Enam</v>
      </c>
    </row>
    <row r="9367" spans="1:12">
      <c r="J9367" s="31">
        <v>47</v>
      </c>
      <c r="K9367" s="33" t="s">
        <v>119</v>
      </c>
      <c r="L9367" s="31" t="str">
        <f t="shared" si="904"/>
        <v>Empat Puluh Tujuh</v>
      </c>
    </row>
    <row r="9368" spans="1:12">
      <c r="J9368" s="31">
        <v>48</v>
      </c>
      <c r="K9368" s="33" t="s">
        <v>120</v>
      </c>
      <c r="L9368" s="31" t="str">
        <f t="shared" si="904"/>
        <v>Empat Puluh Delapan</v>
      </c>
    </row>
    <row r="9369" spans="1:12">
      <c r="J9369" s="31">
        <v>49</v>
      </c>
      <c r="K9369" s="33" t="s">
        <v>121</v>
      </c>
      <c r="L9369" s="31" t="str">
        <f t="shared" si="904"/>
        <v>Empat Puluh Sembilan</v>
      </c>
    </row>
    <row r="9370" spans="1:12">
      <c r="J9370" s="31">
        <v>50</v>
      </c>
      <c r="K9370" s="33" t="s">
        <v>122</v>
      </c>
      <c r="L9370" s="31" t="s">
        <v>123</v>
      </c>
    </row>
    <row r="9371" spans="1:12">
      <c r="J9371" s="31">
        <v>51</v>
      </c>
      <c r="K9371" s="33" t="s">
        <v>124</v>
      </c>
      <c r="L9371" s="31" t="str">
        <f t="shared" ref="L9371:L9379" si="905">$L$53&amp;" "&amp;L9321</f>
        <v>Lima Puluh Satu</v>
      </c>
    </row>
    <row r="9372" spans="1:12">
      <c r="J9372" s="31">
        <v>52</v>
      </c>
      <c r="K9372" s="33" t="s">
        <v>125</v>
      </c>
      <c r="L9372" s="31" t="str">
        <f t="shared" si="905"/>
        <v>Lima Puluh Dua</v>
      </c>
    </row>
    <row r="9373" spans="1:12">
      <c r="J9373" s="31">
        <v>53</v>
      </c>
      <c r="K9373" s="33" t="s">
        <v>126</v>
      </c>
      <c r="L9373" s="31" t="str">
        <f t="shared" si="905"/>
        <v>Lima Puluh Tiga</v>
      </c>
    </row>
    <row r="9374" spans="1:12">
      <c r="J9374" s="31">
        <v>54</v>
      </c>
      <c r="K9374" s="33" t="s">
        <v>127</v>
      </c>
      <c r="L9374" s="31" t="str">
        <f t="shared" si="905"/>
        <v>Lima Puluh Empat</v>
      </c>
    </row>
    <row r="9375" spans="1:12">
      <c r="J9375" s="31">
        <v>55</v>
      </c>
      <c r="K9375" s="33" t="s">
        <v>128</v>
      </c>
      <c r="L9375" s="31" t="str">
        <f t="shared" si="905"/>
        <v>Lima Puluh Lima</v>
      </c>
    </row>
    <row r="9376" spans="1:12">
      <c r="J9376" s="31">
        <v>56</v>
      </c>
      <c r="K9376" s="33" t="s">
        <v>129</v>
      </c>
      <c r="L9376" s="31" t="str">
        <f t="shared" si="905"/>
        <v>Lima Puluh Enam</v>
      </c>
    </row>
    <row r="9377" spans="10:12">
      <c r="J9377" s="31">
        <v>57</v>
      </c>
      <c r="K9377" s="33" t="s">
        <v>130</v>
      </c>
      <c r="L9377" s="31" t="str">
        <f t="shared" si="905"/>
        <v>Lima Puluh Tujuh</v>
      </c>
    </row>
    <row r="9378" spans="10:12">
      <c r="J9378" s="31">
        <v>58</v>
      </c>
      <c r="K9378" s="33" t="s">
        <v>131</v>
      </c>
      <c r="L9378" s="31" t="str">
        <f t="shared" si="905"/>
        <v>Lima Puluh Delapan</v>
      </c>
    </row>
    <row r="9379" spans="10:12">
      <c r="J9379" s="31">
        <v>59</v>
      </c>
      <c r="K9379" s="33" t="s">
        <v>132</v>
      </c>
      <c r="L9379" s="31" t="str">
        <f t="shared" si="905"/>
        <v>Lima Puluh Sembilan</v>
      </c>
    </row>
    <row r="9380" spans="10:12">
      <c r="J9380" s="31">
        <v>60</v>
      </c>
      <c r="K9380" s="33" t="s">
        <v>133</v>
      </c>
      <c r="L9380" s="31" t="s">
        <v>134</v>
      </c>
    </row>
    <row r="9381" spans="10:12">
      <c r="J9381" s="31">
        <v>61</v>
      </c>
      <c r="K9381" s="33" t="s">
        <v>135</v>
      </c>
      <c r="L9381" s="31" t="str">
        <f t="shared" ref="L9381:L9389" si="906">$L$63&amp;" "&amp;L9321</f>
        <v>Enam Puluh Satu</v>
      </c>
    </row>
    <row r="9382" spans="10:12">
      <c r="J9382" s="31">
        <v>62</v>
      </c>
      <c r="K9382" s="33" t="s">
        <v>136</v>
      </c>
      <c r="L9382" s="31" t="str">
        <f t="shared" si="906"/>
        <v>Enam Puluh Dua</v>
      </c>
    </row>
    <row r="9383" spans="10:12">
      <c r="J9383" s="31">
        <v>63</v>
      </c>
      <c r="K9383" s="33" t="s">
        <v>137</v>
      </c>
      <c r="L9383" s="31" t="str">
        <f t="shared" si="906"/>
        <v>Enam Puluh Tiga</v>
      </c>
    </row>
    <row r="9384" spans="10:12">
      <c r="J9384" s="31">
        <v>64</v>
      </c>
      <c r="K9384" s="33" t="s">
        <v>138</v>
      </c>
      <c r="L9384" s="31" t="str">
        <f t="shared" si="906"/>
        <v>Enam Puluh Empat</v>
      </c>
    </row>
    <row r="9385" spans="10:12">
      <c r="J9385" s="31">
        <v>65</v>
      </c>
      <c r="K9385" s="33" t="s">
        <v>139</v>
      </c>
      <c r="L9385" s="31" t="str">
        <f t="shared" si="906"/>
        <v>Enam Puluh Lima</v>
      </c>
    </row>
    <row r="9386" spans="10:12">
      <c r="J9386" s="31">
        <v>66</v>
      </c>
      <c r="K9386" s="33" t="s">
        <v>140</v>
      </c>
      <c r="L9386" s="31" t="str">
        <f t="shared" si="906"/>
        <v>Enam Puluh Enam</v>
      </c>
    </row>
    <row r="9387" spans="10:12">
      <c r="J9387" s="31">
        <v>67</v>
      </c>
      <c r="K9387" s="33" t="s">
        <v>141</v>
      </c>
      <c r="L9387" s="31" t="str">
        <f t="shared" si="906"/>
        <v>Enam Puluh Tujuh</v>
      </c>
    </row>
    <row r="9388" spans="10:12">
      <c r="J9388" s="31">
        <v>68</v>
      </c>
      <c r="K9388" s="33" t="s">
        <v>142</v>
      </c>
      <c r="L9388" s="31" t="str">
        <f t="shared" si="906"/>
        <v>Enam Puluh Delapan</v>
      </c>
    </row>
    <row r="9389" spans="10:12">
      <c r="J9389" s="31">
        <v>69</v>
      </c>
      <c r="K9389" s="33" t="s">
        <v>143</v>
      </c>
      <c r="L9389" s="31" t="str">
        <f t="shared" si="906"/>
        <v>Enam Puluh Sembilan</v>
      </c>
    </row>
    <row r="9390" spans="10:12">
      <c r="J9390" s="31">
        <v>70</v>
      </c>
      <c r="K9390" s="33" t="s">
        <v>144</v>
      </c>
      <c r="L9390" s="31" t="s">
        <v>145</v>
      </c>
    </row>
    <row r="9391" spans="10:12">
      <c r="J9391" s="31">
        <v>71</v>
      </c>
      <c r="K9391" s="33" t="s">
        <v>146</v>
      </c>
      <c r="L9391" s="31" t="str">
        <f t="shared" ref="L9391:L9399" si="907">$L$73&amp;" "&amp;L9321</f>
        <v>Tujuh Puluh Satu</v>
      </c>
    </row>
    <row r="9392" spans="10:12">
      <c r="J9392" s="31">
        <v>72</v>
      </c>
      <c r="K9392" s="33" t="s">
        <v>147</v>
      </c>
      <c r="L9392" s="31" t="str">
        <f t="shared" si="907"/>
        <v>Tujuh Puluh Dua</v>
      </c>
    </row>
    <row r="9393" spans="10:12">
      <c r="J9393" s="31">
        <v>73</v>
      </c>
      <c r="K9393" s="33" t="s">
        <v>148</v>
      </c>
      <c r="L9393" s="31" t="str">
        <f t="shared" si="907"/>
        <v>Tujuh Puluh Tiga</v>
      </c>
    </row>
    <row r="9394" spans="10:12">
      <c r="J9394" s="31">
        <v>74</v>
      </c>
      <c r="K9394" s="33" t="s">
        <v>149</v>
      </c>
      <c r="L9394" s="31" t="str">
        <f t="shared" si="907"/>
        <v>Tujuh Puluh Empat</v>
      </c>
    </row>
    <row r="9395" spans="10:12">
      <c r="J9395" s="31">
        <v>75</v>
      </c>
      <c r="K9395" s="33" t="s">
        <v>150</v>
      </c>
      <c r="L9395" s="31" t="str">
        <f t="shared" si="907"/>
        <v>Tujuh Puluh Lima</v>
      </c>
    </row>
    <row r="9396" spans="10:12">
      <c r="J9396" s="31">
        <v>76</v>
      </c>
      <c r="K9396" s="33" t="s">
        <v>151</v>
      </c>
      <c r="L9396" s="31" t="str">
        <f t="shared" si="907"/>
        <v>Tujuh Puluh Enam</v>
      </c>
    </row>
    <row r="9397" spans="10:12">
      <c r="J9397" s="31">
        <v>77</v>
      </c>
      <c r="K9397" s="33" t="s">
        <v>152</v>
      </c>
      <c r="L9397" s="31" t="str">
        <f t="shared" si="907"/>
        <v>Tujuh Puluh Tujuh</v>
      </c>
    </row>
    <row r="9398" spans="10:12">
      <c r="J9398" s="31">
        <v>78</v>
      </c>
      <c r="K9398" s="33" t="s">
        <v>153</v>
      </c>
      <c r="L9398" s="31" t="str">
        <f t="shared" si="907"/>
        <v>Tujuh Puluh Delapan</v>
      </c>
    </row>
    <row r="9399" spans="10:12">
      <c r="J9399" s="31">
        <v>79</v>
      </c>
      <c r="K9399" s="33" t="s">
        <v>154</v>
      </c>
      <c r="L9399" s="31" t="str">
        <f t="shared" si="907"/>
        <v>Tujuh Puluh Sembilan</v>
      </c>
    </row>
    <row r="9400" spans="10:12">
      <c r="J9400" s="31">
        <v>80</v>
      </c>
      <c r="K9400" s="33" t="s">
        <v>155</v>
      </c>
      <c r="L9400" s="31" t="s">
        <v>156</v>
      </c>
    </row>
    <row r="9401" spans="10:12">
      <c r="J9401" s="31">
        <v>81</v>
      </c>
      <c r="K9401" s="33" t="s">
        <v>157</v>
      </c>
      <c r="L9401" s="31" t="str">
        <f t="shared" ref="L9401:L9409" si="908">$L$83&amp;" "&amp;L9321</f>
        <v>Delapan Puluh Satu</v>
      </c>
    </row>
    <row r="9402" spans="10:12">
      <c r="J9402" s="31">
        <v>82</v>
      </c>
      <c r="K9402" s="33" t="s">
        <v>158</v>
      </c>
      <c r="L9402" s="31" t="str">
        <f t="shared" si="908"/>
        <v>Delapan Puluh Dua</v>
      </c>
    </row>
    <row r="9403" spans="10:12">
      <c r="J9403" s="31">
        <v>83</v>
      </c>
      <c r="K9403" s="33" t="s">
        <v>159</v>
      </c>
      <c r="L9403" s="31" t="str">
        <f t="shared" si="908"/>
        <v>Delapan Puluh Tiga</v>
      </c>
    </row>
    <row r="9404" spans="10:12">
      <c r="J9404" s="31">
        <v>84</v>
      </c>
      <c r="K9404" s="33" t="s">
        <v>160</v>
      </c>
      <c r="L9404" s="31" t="str">
        <f t="shared" si="908"/>
        <v>Delapan Puluh Empat</v>
      </c>
    </row>
    <row r="9405" spans="10:12">
      <c r="J9405" s="31">
        <v>85</v>
      </c>
      <c r="K9405" s="33" t="s">
        <v>161</v>
      </c>
      <c r="L9405" s="31" t="str">
        <f t="shared" si="908"/>
        <v>Delapan Puluh Lima</v>
      </c>
    </row>
    <row r="9406" spans="10:12">
      <c r="J9406" s="31">
        <v>86</v>
      </c>
      <c r="K9406" s="33" t="s">
        <v>162</v>
      </c>
      <c r="L9406" s="31" t="str">
        <f t="shared" si="908"/>
        <v>Delapan Puluh Enam</v>
      </c>
    </row>
    <row r="9407" spans="10:12">
      <c r="J9407" s="31">
        <v>87</v>
      </c>
      <c r="K9407" s="33" t="s">
        <v>163</v>
      </c>
      <c r="L9407" s="31" t="str">
        <f t="shared" si="908"/>
        <v>Delapan Puluh Tujuh</v>
      </c>
    </row>
    <row r="9408" spans="10:12">
      <c r="J9408" s="31">
        <v>88</v>
      </c>
      <c r="K9408" s="33" t="s">
        <v>164</v>
      </c>
      <c r="L9408" s="31" t="str">
        <f t="shared" si="908"/>
        <v>Delapan Puluh Delapan</v>
      </c>
    </row>
    <row r="9409" spans="1:12">
      <c r="J9409" s="31">
        <v>89</v>
      </c>
      <c r="K9409" s="33" t="s">
        <v>165</v>
      </c>
      <c r="L9409" s="31" t="str">
        <f t="shared" si="908"/>
        <v>Delapan Puluh Sembilan</v>
      </c>
    </row>
    <row r="9410" spans="1:12">
      <c r="J9410" s="31">
        <v>90</v>
      </c>
      <c r="K9410" s="33" t="s">
        <v>166</v>
      </c>
      <c r="L9410" s="31" t="s">
        <v>167</v>
      </c>
    </row>
    <row r="9411" spans="1:12">
      <c r="J9411" s="31">
        <v>91</v>
      </c>
      <c r="K9411" s="33" t="s">
        <v>168</v>
      </c>
      <c r="L9411" s="31" t="str">
        <f t="shared" ref="L9411:L9419" si="909">$L$93&amp;" "&amp;L9321</f>
        <v>Sembilan Puluh Satu</v>
      </c>
    </row>
    <row r="9412" spans="1:12">
      <c r="J9412" s="31">
        <v>92</v>
      </c>
      <c r="K9412" s="33" t="s">
        <v>169</v>
      </c>
      <c r="L9412" s="31" t="str">
        <f t="shared" si="909"/>
        <v>Sembilan Puluh Dua</v>
      </c>
    </row>
    <row r="9413" spans="1:12">
      <c r="J9413" s="31">
        <v>93</v>
      </c>
      <c r="K9413" s="33" t="s">
        <v>170</v>
      </c>
      <c r="L9413" s="31" t="str">
        <f t="shared" si="909"/>
        <v>Sembilan Puluh Tiga</v>
      </c>
    </row>
    <row r="9414" spans="1:12">
      <c r="J9414" s="31">
        <v>94</v>
      </c>
      <c r="K9414" s="33" t="s">
        <v>171</v>
      </c>
      <c r="L9414" s="31" t="str">
        <f t="shared" si="909"/>
        <v>Sembilan Puluh Empat</v>
      </c>
    </row>
    <row r="9415" spans="1:12">
      <c r="J9415" s="31">
        <v>95</v>
      </c>
      <c r="K9415" s="33" t="s">
        <v>172</v>
      </c>
      <c r="L9415" s="31" t="str">
        <f t="shared" si="909"/>
        <v>Sembilan Puluh Lima</v>
      </c>
    </row>
    <row r="9416" spans="1:12">
      <c r="J9416" s="31">
        <v>96</v>
      </c>
      <c r="K9416" s="33" t="s">
        <v>173</v>
      </c>
      <c r="L9416" s="31" t="str">
        <f t="shared" si="909"/>
        <v>Sembilan Puluh Enam</v>
      </c>
    </row>
    <row r="9417" spans="1:12">
      <c r="J9417" s="31">
        <v>97</v>
      </c>
      <c r="K9417" s="33" t="s">
        <v>174</v>
      </c>
      <c r="L9417" s="31" t="str">
        <f t="shared" si="909"/>
        <v>Sembilan Puluh Tujuh</v>
      </c>
    </row>
    <row r="9418" spans="1:12">
      <c r="J9418" s="31">
        <v>98</v>
      </c>
      <c r="K9418" s="33" t="s">
        <v>175</v>
      </c>
      <c r="L9418" s="31" t="str">
        <f t="shared" si="909"/>
        <v>Sembilan Puluh Delapan</v>
      </c>
    </row>
    <row r="9419" spans="1:12">
      <c r="J9419" s="31">
        <v>99</v>
      </c>
      <c r="K9419" s="33" t="s">
        <v>176</v>
      </c>
      <c r="L9419" s="31" t="str">
        <f t="shared" si="909"/>
        <v>Sembilan Puluh Sembilan</v>
      </c>
    </row>
    <row r="9423" spans="1:12">
      <c r="A9423" s="30" t="e">
        <f>#REF!</f>
        <v>#REF!</v>
      </c>
      <c r="C9423" s="31" t="s">
        <v>278</v>
      </c>
    </row>
    <row r="9424" spans="1:12">
      <c r="A9424" s="32"/>
    </row>
    <row r="9425" spans="1:12">
      <c r="J9425" s="31">
        <v>0</v>
      </c>
      <c r="K9425" s="33" t="s">
        <v>48</v>
      </c>
      <c r="L9425" s="31" t="s">
        <v>49</v>
      </c>
    </row>
    <row r="9426" spans="1:12">
      <c r="A9426" s="34"/>
      <c r="J9426" s="31">
        <v>1</v>
      </c>
      <c r="K9426" s="33" t="s">
        <v>50</v>
      </c>
      <c r="L9426" s="31" t="s">
        <v>51</v>
      </c>
    </row>
    <row r="9427" spans="1:12">
      <c r="A9427" s="255" t="e">
        <f>TRIM(D9435&amp;E9435&amp;D9436&amp;E9436&amp;D9437&amp;E9437&amp;D9438&amp;E9438&amp;D9439&amp;E9439&amp;D9440&amp;E9440&amp;E9441&amp;D9441&amp;" Only")</f>
        <v>#REF!</v>
      </c>
      <c r="B9427" s="255"/>
      <c r="C9427" s="255"/>
      <c r="D9427" s="255"/>
      <c r="E9427" s="35"/>
      <c r="F9427" s="36"/>
      <c r="J9427" s="31">
        <v>2</v>
      </c>
      <c r="K9427" s="33" t="s">
        <v>52</v>
      </c>
      <c r="L9427" s="31" t="s">
        <v>53</v>
      </c>
    </row>
    <row r="9428" spans="1:12">
      <c r="A9428" s="37"/>
      <c r="B9428" s="37"/>
      <c r="C9428" s="37"/>
      <c r="D9428" s="37"/>
      <c r="E9428" s="35"/>
      <c r="F9428" s="36"/>
      <c r="J9428" s="31">
        <v>3</v>
      </c>
      <c r="K9428" s="33" t="s">
        <v>54</v>
      </c>
      <c r="L9428" s="31" t="s">
        <v>55</v>
      </c>
    </row>
    <row r="9429" spans="1:12">
      <c r="A9429" s="37"/>
      <c r="B9429" s="37"/>
      <c r="C9429" s="37"/>
      <c r="D9429" s="37"/>
      <c r="J9429" s="31">
        <v>4</v>
      </c>
      <c r="K9429" s="33" t="s">
        <v>56</v>
      </c>
      <c r="L9429" s="31" t="s">
        <v>57</v>
      </c>
    </row>
    <row r="9430" spans="1:12">
      <c r="A9430" s="255" t="e">
        <f>TRIM(D9445&amp;E9445&amp;D9446&amp;E9446&amp;D9447&amp;E9447&amp;D9448&amp;E9448&amp;D9449&amp;E9449&amp;D9450&amp;E9450&amp;D9451&amp;E9451&amp;" Rupiah")</f>
        <v>#REF!</v>
      </c>
      <c r="B9430" s="255"/>
      <c r="C9430" s="255"/>
      <c r="D9430" s="255"/>
      <c r="E9430" s="35"/>
      <c r="F9430" s="36"/>
      <c r="J9430" s="31">
        <v>5</v>
      </c>
      <c r="K9430" s="33" t="s">
        <v>58</v>
      </c>
      <c r="L9430" s="31" t="s">
        <v>59</v>
      </c>
    </row>
    <row r="9431" spans="1:12">
      <c r="A9431" s="35"/>
      <c r="B9431" s="35"/>
      <c r="C9431" s="35"/>
      <c r="D9431" s="35"/>
      <c r="E9431" s="35"/>
      <c r="F9431" s="36"/>
      <c r="J9431" s="31">
        <v>6</v>
      </c>
      <c r="K9431" s="33" t="s">
        <v>60</v>
      </c>
      <c r="L9431" s="31" t="s">
        <v>61</v>
      </c>
    </row>
    <row r="9432" spans="1:12">
      <c r="J9432" s="31">
        <v>7</v>
      </c>
      <c r="K9432" s="33" t="s">
        <v>62</v>
      </c>
      <c r="L9432" s="31" t="s">
        <v>63</v>
      </c>
    </row>
    <row r="9433" spans="1:12">
      <c r="J9433" s="31">
        <v>8</v>
      </c>
      <c r="K9433" s="33" t="s">
        <v>64</v>
      </c>
      <c r="L9433" s="31" t="s">
        <v>65</v>
      </c>
    </row>
    <row r="9434" spans="1:12">
      <c r="A9434" s="38" t="s">
        <v>66</v>
      </c>
      <c r="J9434" s="31">
        <v>9</v>
      </c>
      <c r="K9434" s="33" t="s">
        <v>67</v>
      </c>
      <c r="L9434" s="31" t="s">
        <v>68</v>
      </c>
    </row>
    <row r="9435" spans="1:12">
      <c r="A9435" s="31" t="s">
        <v>69</v>
      </c>
      <c r="B9435" s="39" t="e">
        <f>TRUNC(A9423/100000000)</f>
        <v>#REF!</v>
      </c>
      <c r="C9435" s="31" t="e">
        <f>B9435*100000000</f>
        <v>#REF!</v>
      </c>
      <c r="D9435" s="31" t="e">
        <f t="shared" ref="D9435:D9441" si="910">IF(B9435&lt;1,"",VLOOKUP(B9435,$J$3:$K$102,2))</f>
        <v>#REF!</v>
      </c>
      <c r="E9435" s="31" t="e">
        <f>IF(B9435&lt;1,"",IF(B9435&gt;1," Hundreds "," Hundred "))</f>
        <v>#REF!</v>
      </c>
      <c r="J9435" s="31">
        <v>10</v>
      </c>
      <c r="K9435" s="33" t="s">
        <v>70</v>
      </c>
      <c r="L9435" s="31" t="s">
        <v>71</v>
      </c>
    </row>
    <row r="9436" spans="1:12">
      <c r="A9436" s="31" t="s">
        <v>72</v>
      </c>
      <c r="B9436" s="39" t="e">
        <f>TRUNC((A9423-C9435)/1000000)</f>
        <v>#REF!</v>
      </c>
      <c r="C9436" s="31" t="e">
        <f>B9436*1000000</f>
        <v>#REF!</v>
      </c>
      <c r="D9436" s="31" t="e">
        <f t="shared" si="910"/>
        <v>#REF!</v>
      </c>
      <c r="E9436" s="31" t="e">
        <f>IF(B9435+B9436=0,"",IF(B9436=1," Million "," Millions "))</f>
        <v>#REF!</v>
      </c>
      <c r="J9436" s="31">
        <v>11</v>
      </c>
      <c r="K9436" s="33" t="s">
        <v>73</v>
      </c>
      <c r="L9436" s="31" t="s">
        <v>74</v>
      </c>
    </row>
    <row r="9437" spans="1:12">
      <c r="A9437" s="31" t="s">
        <v>75</v>
      </c>
      <c r="B9437" s="39" t="e">
        <f>TRUNC((A9423-SUM(C9435:C9436))/100000)</f>
        <v>#REF!</v>
      </c>
      <c r="C9437" s="31" t="e">
        <f>B9437*100000</f>
        <v>#REF!</v>
      </c>
      <c r="D9437" s="31" t="e">
        <f t="shared" si="910"/>
        <v>#REF!</v>
      </c>
      <c r="E9437" s="31" t="e">
        <f>IF(B9437&lt;1,"",IF(B9437&gt;1," Hundreds "," Hundred "))</f>
        <v>#REF!</v>
      </c>
      <c r="J9437" s="31">
        <v>12</v>
      </c>
      <c r="K9437" s="33" t="s">
        <v>76</v>
      </c>
      <c r="L9437" s="31" t="str">
        <f t="shared" ref="L9437:L9444" si="911">L9427&amp;" Belas"</f>
        <v>Dua Belas</v>
      </c>
    </row>
    <row r="9438" spans="1:12">
      <c r="A9438" s="33" t="s">
        <v>77</v>
      </c>
      <c r="B9438" s="40" t="e">
        <f>TRUNC((A9423-SUM(C9435:C9437))/1000)</f>
        <v>#REF!</v>
      </c>
      <c r="C9438" s="31" t="e">
        <f>B9438*1000</f>
        <v>#REF!</v>
      </c>
      <c r="D9438" s="31" t="e">
        <f t="shared" si="910"/>
        <v>#REF!</v>
      </c>
      <c r="E9438" s="31" t="e">
        <f>IF(B9437+B9438=0,"",IF(B9438=1," Thousand "," Thousands "))</f>
        <v>#REF!</v>
      </c>
      <c r="J9438" s="31">
        <v>13</v>
      </c>
      <c r="K9438" s="33" t="s">
        <v>78</v>
      </c>
      <c r="L9438" s="31" t="str">
        <f t="shared" si="911"/>
        <v>Tiga Belas</v>
      </c>
    </row>
    <row r="9439" spans="1:12">
      <c r="A9439" s="33" t="s">
        <v>79</v>
      </c>
      <c r="B9439" s="40" t="e">
        <f>TRUNC((A9423-SUM(C9435:C9438))/100)</f>
        <v>#REF!</v>
      </c>
      <c r="C9439" s="31" t="e">
        <f>B9439*100</f>
        <v>#REF!</v>
      </c>
      <c r="D9439" s="31" t="e">
        <f t="shared" si="910"/>
        <v>#REF!</v>
      </c>
      <c r="E9439" s="31" t="e">
        <f>IF(B9439&lt;1,"",IF(B9439&gt;1," Hundreds "," Hundred "))</f>
        <v>#REF!</v>
      </c>
      <c r="J9439" s="31">
        <v>14</v>
      </c>
      <c r="K9439" s="33" t="s">
        <v>80</v>
      </c>
      <c r="L9439" s="31" t="str">
        <f t="shared" si="911"/>
        <v>Empat Belas</v>
      </c>
    </row>
    <row r="9440" spans="1:12">
      <c r="A9440" s="33" t="s">
        <v>81</v>
      </c>
      <c r="B9440" s="41" t="e">
        <f>TRUNC((A9423-SUM(C9435:C9439)))</f>
        <v>#REF!</v>
      </c>
      <c r="C9440" s="42" t="e">
        <f>B9440</f>
        <v>#REF!</v>
      </c>
      <c r="D9440" s="31" t="e">
        <f t="shared" si="910"/>
        <v>#REF!</v>
      </c>
      <c r="E9440" s="31" t="e">
        <f>IF(SUM(C9435:C9440)&lt;1,"",IF(B9441&lt;1,""," And "))</f>
        <v>#REF!</v>
      </c>
      <c r="J9440" s="31">
        <v>15</v>
      </c>
      <c r="K9440" s="33" t="s">
        <v>82</v>
      </c>
      <c r="L9440" s="31" t="str">
        <f t="shared" si="911"/>
        <v>Lima Belas</v>
      </c>
    </row>
    <row r="9441" spans="1:12">
      <c r="A9441" s="33" t="s">
        <v>83</v>
      </c>
      <c r="B9441" s="40" t="e">
        <f>ROUND(A9423-SUM(C9435:C9440),2)*100</f>
        <v>#REF!</v>
      </c>
      <c r="D9441" s="43" t="e">
        <f t="shared" si="910"/>
        <v>#REF!</v>
      </c>
      <c r="E9441" s="31" t="e">
        <f>IF(B9441&lt;1,"",IF(B9441=1," Cent "," Cents "))</f>
        <v>#REF!</v>
      </c>
      <c r="J9441" s="31">
        <v>16</v>
      </c>
      <c r="K9441" s="33" t="s">
        <v>84</v>
      </c>
      <c r="L9441" s="31" t="str">
        <f t="shared" si="911"/>
        <v>Enam Belas</v>
      </c>
    </row>
    <row r="9442" spans="1:12">
      <c r="J9442" s="31">
        <v>17</v>
      </c>
      <c r="K9442" s="33" t="s">
        <v>85</v>
      </c>
      <c r="L9442" s="31" t="str">
        <f t="shared" si="911"/>
        <v>Tujuh Belas</v>
      </c>
    </row>
    <row r="9443" spans="1:12">
      <c r="A9443" s="44"/>
      <c r="J9443" s="31">
        <v>18</v>
      </c>
      <c r="K9443" s="33" t="s">
        <v>86</v>
      </c>
      <c r="L9443" s="31" t="str">
        <f t="shared" si="911"/>
        <v>Delapan Belas</v>
      </c>
    </row>
    <row r="9444" spans="1:12">
      <c r="A9444" s="38" t="s">
        <v>87</v>
      </c>
      <c r="J9444" s="31">
        <v>19</v>
      </c>
      <c r="K9444" s="33" t="s">
        <v>88</v>
      </c>
      <c r="L9444" s="31" t="str">
        <f t="shared" si="911"/>
        <v>Sembilan Belas</v>
      </c>
    </row>
    <row r="9445" spans="1:12">
      <c r="A9445" s="31" t="s">
        <v>69</v>
      </c>
      <c r="B9445" s="39" t="e">
        <f>TRUNC(A9423/100000000)</f>
        <v>#REF!</v>
      </c>
      <c r="C9445" s="31" t="e">
        <f>B9445*100000000</f>
        <v>#REF!</v>
      </c>
      <c r="D9445" s="31" t="e">
        <f>IF(B9445&lt;1,"",IF(B9445=1,"",VLOOKUP(B9445,$J$3:$L$102,3)))</f>
        <v>#REF!</v>
      </c>
      <c r="E9445" s="31" t="e">
        <f>IF(B9445&lt;1,"",IF(B9445=1,"Seratus "," Ratus "))</f>
        <v>#REF!</v>
      </c>
      <c r="J9445" s="31">
        <v>20</v>
      </c>
      <c r="K9445" s="33" t="s">
        <v>89</v>
      </c>
      <c r="L9445" s="31" t="s">
        <v>90</v>
      </c>
    </row>
    <row r="9446" spans="1:12">
      <c r="A9446" s="31" t="s">
        <v>72</v>
      </c>
      <c r="B9446" s="39" t="e">
        <f>TRUNC((A9423-C9445)/1000000)</f>
        <v>#REF!</v>
      </c>
      <c r="C9446" s="31" t="e">
        <f>B9446*1000000</f>
        <v>#REF!</v>
      </c>
      <c r="D9446" s="31" t="e">
        <f>IF(B9446&lt;1,"",VLOOKUP(B9446,$J$3:$L$102,3))</f>
        <v>#REF!</v>
      </c>
      <c r="E9446" s="31" t="e">
        <f>IF(B9445+B9446=0,""," Juta ")</f>
        <v>#REF!</v>
      </c>
      <c r="J9446" s="31">
        <v>21</v>
      </c>
      <c r="K9446" s="33" t="s">
        <v>91</v>
      </c>
      <c r="L9446" s="31" t="str">
        <f t="shared" ref="L9446:L9454" si="912">$L$23&amp;" "&amp;L9426</f>
        <v>Dua Puluh Satu</v>
      </c>
    </row>
    <row r="9447" spans="1:12">
      <c r="A9447" s="31" t="s">
        <v>75</v>
      </c>
      <c r="B9447" s="39" t="e">
        <f>TRUNC((A9423-SUM(C9445:C9446))/100000)</f>
        <v>#REF!</v>
      </c>
      <c r="C9447" s="31" t="e">
        <f>B9447*100000</f>
        <v>#REF!</v>
      </c>
      <c r="D9447" s="31" t="e">
        <f>IF(B9447&lt;1,"",IF(B9447=1,"",VLOOKUP(B9447,$J$3:$L$102,3)))</f>
        <v>#REF!</v>
      </c>
      <c r="E9447" s="31" t="e">
        <f>IF(B9447&lt;1,"",IF(B9447=1," Seratus "," Ratus "))</f>
        <v>#REF!</v>
      </c>
      <c r="J9447" s="31">
        <v>22</v>
      </c>
      <c r="K9447" s="33" t="s">
        <v>92</v>
      </c>
      <c r="L9447" s="31" t="str">
        <f t="shared" si="912"/>
        <v>Dua Puluh Dua</v>
      </c>
    </row>
    <row r="9448" spans="1:12">
      <c r="A9448" s="33" t="s">
        <v>77</v>
      </c>
      <c r="B9448" s="40" t="e">
        <f>TRUNC((A9423-SUM(C9445:C9447))/1000)</f>
        <v>#REF!</v>
      </c>
      <c r="C9448" s="31" t="e">
        <f>B9448*1000</f>
        <v>#REF!</v>
      </c>
      <c r="D9448" s="31" t="e">
        <f>IF(B9448&lt;1,"",IF(B9448=1,"",VLOOKUP(B9448,$J$3:$L$102,3)))</f>
        <v>#REF!</v>
      </c>
      <c r="E9448" s="31" t="e">
        <f>IF(B9447+B9448&lt;1,"",IF(B9448=1," Seribu "," Ribu "))</f>
        <v>#REF!</v>
      </c>
      <c r="J9448" s="31">
        <v>23</v>
      </c>
      <c r="K9448" s="33" t="s">
        <v>93</v>
      </c>
      <c r="L9448" s="31" t="str">
        <f t="shared" si="912"/>
        <v>Dua Puluh Tiga</v>
      </c>
    </row>
    <row r="9449" spans="1:12">
      <c r="A9449" s="33" t="s">
        <v>79</v>
      </c>
      <c r="B9449" s="40" t="e">
        <f>TRUNC((A9423-SUM(C9445:C9448))/100)</f>
        <v>#REF!</v>
      </c>
      <c r="C9449" s="31" t="e">
        <f>B9449*100</f>
        <v>#REF!</v>
      </c>
      <c r="D9449" s="31" t="e">
        <f>IF(B9449&lt;1,"",IF(B9449=1,"",VLOOKUP(B9449,$J$3:$L$102,3)))</f>
        <v>#REF!</v>
      </c>
      <c r="E9449" s="31" t="e">
        <f>IF(B9449&lt;1,"",IF(B9449=1," Seratus "," Ratus "))</f>
        <v>#REF!</v>
      </c>
      <c r="J9449" s="31">
        <v>24</v>
      </c>
      <c r="K9449" s="33" t="s">
        <v>94</v>
      </c>
      <c r="L9449" s="31" t="str">
        <f t="shared" si="912"/>
        <v>Dua Puluh Empat</v>
      </c>
    </row>
    <row r="9450" spans="1:12">
      <c r="A9450" s="33" t="s">
        <v>81</v>
      </c>
      <c r="B9450" s="41" t="e">
        <f>TRUNC((A9423-SUM(C9445:C9449)))</f>
        <v>#REF!</v>
      </c>
      <c r="C9450" s="42" t="e">
        <f>B9450</f>
        <v>#REF!</v>
      </c>
      <c r="D9450" s="31" t="e">
        <f>IF(B9450&lt;1,"",VLOOKUP(B9450,$J$3:$L$102,3))</f>
        <v>#REF!</v>
      </c>
      <c r="E9450" s="31" t="e">
        <f>IF(SUM(C9445:C9450)&lt;1,"",IF(B9451&lt;1,""," Dan "))</f>
        <v>#REF!</v>
      </c>
      <c r="J9450" s="31">
        <v>25</v>
      </c>
      <c r="K9450" s="33" t="s">
        <v>95</v>
      </c>
      <c r="L9450" s="31" t="str">
        <f t="shared" si="912"/>
        <v>Dua Puluh Lima</v>
      </c>
    </row>
    <row r="9451" spans="1:12">
      <c r="A9451" s="33" t="s">
        <v>83</v>
      </c>
      <c r="B9451" s="40" t="e">
        <f>ROUND(A9423-SUM(C9445:C9450),2)*100</f>
        <v>#REF!</v>
      </c>
      <c r="D9451" s="31" t="e">
        <f>IF(B9451&lt;1,"",VLOOKUP(B9451,$J$3:$L$102,3))</f>
        <v>#REF!</v>
      </c>
      <c r="E9451" s="31" t="e">
        <f>IF(B9451&lt;1,""," Sen ")</f>
        <v>#REF!</v>
      </c>
      <c r="J9451" s="31">
        <v>26</v>
      </c>
      <c r="K9451" s="33" t="s">
        <v>96</v>
      </c>
      <c r="L9451" s="31" t="str">
        <f t="shared" si="912"/>
        <v>Dua Puluh Enam</v>
      </c>
    </row>
    <row r="9452" spans="1:12">
      <c r="J9452" s="31">
        <v>27</v>
      </c>
      <c r="K9452" s="33" t="s">
        <v>97</v>
      </c>
      <c r="L9452" s="31" t="str">
        <f t="shared" si="912"/>
        <v>Dua Puluh Tujuh</v>
      </c>
    </row>
    <row r="9453" spans="1:12">
      <c r="J9453" s="31">
        <v>28</v>
      </c>
      <c r="K9453" s="33" t="s">
        <v>98</v>
      </c>
      <c r="L9453" s="31" t="str">
        <f t="shared" si="912"/>
        <v>Dua Puluh Delapan</v>
      </c>
    </row>
    <row r="9454" spans="1:12">
      <c r="J9454" s="31">
        <v>29</v>
      </c>
      <c r="K9454" s="33" t="s">
        <v>99</v>
      </c>
      <c r="L9454" s="31" t="str">
        <f t="shared" si="912"/>
        <v>Dua Puluh Sembilan</v>
      </c>
    </row>
    <row r="9455" spans="1:12">
      <c r="J9455" s="31">
        <v>30</v>
      </c>
      <c r="K9455" s="33" t="s">
        <v>100</v>
      </c>
      <c r="L9455" s="31" t="s">
        <v>101</v>
      </c>
    </row>
    <row r="9456" spans="1:12">
      <c r="J9456" s="31">
        <v>31</v>
      </c>
      <c r="K9456" s="33" t="s">
        <v>102</v>
      </c>
      <c r="L9456" s="31" t="str">
        <f t="shared" ref="L9456:L9464" si="913">$L$33&amp;" "&amp;L9426</f>
        <v>Tiga Puluh Satu</v>
      </c>
    </row>
    <row r="9457" spans="1:12">
      <c r="J9457" s="31">
        <v>32</v>
      </c>
      <c r="K9457" s="33" t="s">
        <v>103</v>
      </c>
      <c r="L9457" s="31" t="str">
        <f t="shared" si="913"/>
        <v>Tiga Puluh Dua</v>
      </c>
    </row>
    <row r="9458" spans="1:12">
      <c r="J9458" s="31">
        <v>33</v>
      </c>
      <c r="K9458" s="33" t="s">
        <v>104</v>
      </c>
      <c r="L9458" s="31" t="str">
        <f t="shared" si="913"/>
        <v>Tiga Puluh Tiga</v>
      </c>
    </row>
    <row r="9459" spans="1:12">
      <c r="J9459" s="31">
        <v>34</v>
      </c>
      <c r="K9459" s="33" t="s">
        <v>105</v>
      </c>
      <c r="L9459" s="31" t="str">
        <f t="shared" si="913"/>
        <v>Tiga Puluh Empat</v>
      </c>
    </row>
    <row r="9460" spans="1:12">
      <c r="J9460" s="31">
        <v>35</v>
      </c>
      <c r="K9460" s="33" t="s">
        <v>106</v>
      </c>
      <c r="L9460" s="31" t="str">
        <f t="shared" si="913"/>
        <v>Tiga Puluh Lima</v>
      </c>
    </row>
    <row r="9461" spans="1:12">
      <c r="J9461" s="31">
        <v>36</v>
      </c>
      <c r="K9461" s="33" t="s">
        <v>107</v>
      </c>
      <c r="L9461" s="31" t="str">
        <f t="shared" si="913"/>
        <v>Tiga Puluh Enam</v>
      </c>
    </row>
    <row r="9462" spans="1:12">
      <c r="J9462" s="31">
        <v>37</v>
      </c>
      <c r="K9462" s="33" t="s">
        <v>108</v>
      </c>
      <c r="L9462" s="31" t="str">
        <f t="shared" si="913"/>
        <v>Tiga Puluh Tujuh</v>
      </c>
    </row>
    <row r="9463" spans="1:12">
      <c r="J9463" s="31">
        <v>38</v>
      </c>
      <c r="K9463" s="33" t="s">
        <v>109</v>
      </c>
      <c r="L9463" s="31" t="str">
        <f t="shared" si="913"/>
        <v>Tiga Puluh Delapan</v>
      </c>
    </row>
    <row r="9464" spans="1:12">
      <c r="J9464" s="31">
        <v>39</v>
      </c>
      <c r="K9464" s="33" t="s">
        <v>110</v>
      </c>
      <c r="L9464" s="31" t="str">
        <f t="shared" si="913"/>
        <v>Tiga Puluh Sembilan</v>
      </c>
    </row>
    <row r="9465" spans="1:12">
      <c r="B9465" s="35"/>
      <c r="C9465" s="35"/>
      <c r="D9465" s="35"/>
      <c r="J9465" s="31">
        <v>40</v>
      </c>
      <c r="K9465" s="33" t="s">
        <v>111</v>
      </c>
      <c r="L9465" s="31" t="s">
        <v>112</v>
      </c>
    </row>
    <row r="9466" spans="1:12">
      <c r="A9466" s="35"/>
      <c r="B9466" s="35"/>
      <c r="C9466" s="35"/>
      <c r="D9466" s="35"/>
      <c r="J9466" s="31">
        <v>41</v>
      </c>
      <c r="K9466" s="33" t="s">
        <v>113</v>
      </c>
      <c r="L9466" s="31" t="str">
        <f t="shared" ref="L9466:L9474" si="914">$L$43&amp;" "&amp;L9426</f>
        <v>Empat Puluh Satu</v>
      </c>
    </row>
    <row r="9467" spans="1:12">
      <c r="J9467" s="31">
        <v>42</v>
      </c>
      <c r="K9467" s="33" t="s">
        <v>114</v>
      </c>
      <c r="L9467" s="31" t="str">
        <f t="shared" si="914"/>
        <v>Empat Puluh Dua</v>
      </c>
    </row>
    <row r="9468" spans="1:12">
      <c r="A9468" s="38"/>
      <c r="J9468" s="31">
        <v>43</v>
      </c>
      <c r="K9468" s="33" t="s">
        <v>115</v>
      </c>
      <c r="L9468" s="31" t="str">
        <f t="shared" si="914"/>
        <v>Empat Puluh Tiga</v>
      </c>
    </row>
    <row r="9469" spans="1:12">
      <c r="J9469" s="31">
        <v>44</v>
      </c>
      <c r="K9469" s="33" t="s">
        <v>116</v>
      </c>
      <c r="L9469" s="31" t="str">
        <f t="shared" si="914"/>
        <v>Empat Puluh Empat</v>
      </c>
    </row>
    <row r="9470" spans="1:12">
      <c r="J9470" s="31">
        <v>45</v>
      </c>
      <c r="K9470" s="33" t="s">
        <v>117</v>
      </c>
      <c r="L9470" s="31" t="str">
        <f t="shared" si="914"/>
        <v>Empat Puluh Lima</v>
      </c>
    </row>
    <row r="9471" spans="1:12">
      <c r="J9471" s="31">
        <v>46</v>
      </c>
      <c r="K9471" s="33" t="s">
        <v>118</v>
      </c>
      <c r="L9471" s="31" t="str">
        <f t="shared" si="914"/>
        <v>Empat Puluh Enam</v>
      </c>
    </row>
    <row r="9472" spans="1:12">
      <c r="J9472" s="31">
        <v>47</v>
      </c>
      <c r="K9472" s="33" t="s">
        <v>119</v>
      </c>
      <c r="L9472" s="31" t="str">
        <f t="shared" si="914"/>
        <v>Empat Puluh Tujuh</v>
      </c>
    </row>
    <row r="9473" spans="10:12">
      <c r="J9473" s="31">
        <v>48</v>
      </c>
      <c r="K9473" s="33" t="s">
        <v>120</v>
      </c>
      <c r="L9473" s="31" t="str">
        <f t="shared" si="914"/>
        <v>Empat Puluh Delapan</v>
      </c>
    </row>
    <row r="9474" spans="10:12">
      <c r="J9474" s="31">
        <v>49</v>
      </c>
      <c r="K9474" s="33" t="s">
        <v>121</v>
      </c>
      <c r="L9474" s="31" t="str">
        <f t="shared" si="914"/>
        <v>Empat Puluh Sembilan</v>
      </c>
    </row>
    <row r="9475" spans="10:12">
      <c r="J9475" s="31">
        <v>50</v>
      </c>
      <c r="K9475" s="33" t="s">
        <v>122</v>
      </c>
      <c r="L9475" s="31" t="s">
        <v>123</v>
      </c>
    </row>
    <row r="9476" spans="10:12">
      <c r="J9476" s="31">
        <v>51</v>
      </c>
      <c r="K9476" s="33" t="s">
        <v>124</v>
      </c>
      <c r="L9476" s="31" t="str">
        <f t="shared" ref="L9476:L9484" si="915">$L$53&amp;" "&amp;L9426</f>
        <v>Lima Puluh Satu</v>
      </c>
    </row>
    <row r="9477" spans="10:12">
      <c r="J9477" s="31">
        <v>52</v>
      </c>
      <c r="K9477" s="33" t="s">
        <v>125</v>
      </c>
      <c r="L9477" s="31" t="str">
        <f t="shared" si="915"/>
        <v>Lima Puluh Dua</v>
      </c>
    </row>
    <row r="9478" spans="10:12">
      <c r="J9478" s="31">
        <v>53</v>
      </c>
      <c r="K9478" s="33" t="s">
        <v>126</v>
      </c>
      <c r="L9478" s="31" t="str">
        <f t="shared" si="915"/>
        <v>Lima Puluh Tiga</v>
      </c>
    </row>
    <row r="9479" spans="10:12">
      <c r="J9479" s="31">
        <v>54</v>
      </c>
      <c r="K9479" s="33" t="s">
        <v>127</v>
      </c>
      <c r="L9479" s="31" t="str">
        <f t="shared" si="915"/>
        <v>Lima Puluh Empat</v>
      </c>
    </row>
    <row r="9480" spans="10:12">
      <c r="J9480" s="31">
        <v>55</v>
      </c>
      <c r="K9480" s="33" t="s">
        <v>128</v>
      </c>
      <c r="L9480" s="31" t="str">
        <f t="shared" si="915"/>
        <v>Lima Puluh Lima</v>
      </c>
    </row>
    <row r="9481" spans="10:12">
      <c r="J9481" s="31">
        <v>56</v>
      </c>
      <c r="K9481" s="33" t="s">
        <v>129</v>
      </c>
      <c r="L9481" s="31" t="str">
        <f t="shared" si="915"/>
        <v>Lima Puluh Enam</v>
      </c>
    </row>
    <row r="9482" spans="10:12">
      <c r="J9482" s="31">
        <v>57</v>
      </c>
      <c r="K9482" s="33" t="s">
        <v>130</v>
      </c>
      <c r="L9482" s="31" t="str">
        <f t="shared" si="915"/>
        <v>Lima Puluh Tujuh</v>
      </c>
    </row>
    <row r="9483" spans="10:12">
      <c r="J9483" s="31">
        <v>58</v>
      </c>
      <c r="K9483" s="33" t="s">
        <v>131</v>
      </c>
      <c r="L9483" s="31" t="str">
        <f t="shared" si="915"/>
        <v>Lima Puluh Delapan</v>
      </c>
    </row>
    <row r="9484" spans="10:12">
      <c r="J9484" s="31">
        <v>59</v>
      </c>
      <c r="K9484" s="33" t="s">
        <v>132</v>
      </c>
      <c r="L9484" s="31" t="str">
        <f t="shared" si="915"/>
        <v>Lima Puluh Sembilan</v>
      </c>
    </row>
    <row r="9485" spans="10:12">
      <c r="J9485" s="31">
        <v>60</v>
      </c>
      <c r="K9485" s="33" t="s">
        <v>133</v>
      </c>
      <c r="L9485" s="31" t="s">
        <v>134</v>
      </c>
    </row>
    <row r="9486" spans="10:12">
      <c r="J9486" s="31">
        <v>61</v>
      </c>
      <c r="K9486" s="33" t="s">
        <v>135</v>
      </c>
      <c r="L9486" s="31" t="str">
        <f t="shared" ref="L9486:L9494" si="916">$L$63&amp;" "&amp;L9426</f>
        <v>Enam Puluh Satu</v>
      </c>
    </row>
    <row r="9487" spans="10:12">
      <c r="J9487" s="31">
        <v>62</v>
      </c>
      <c r="K9487" s="33" t="s">
        <v>136</v>
      </c>
      <c r="L9487" s="31" t="str">
        <f t="shared" si="916"/>
        <v>Enam Puluh Dua</v>
      </c>
    </row>
    <row r="9488" spans="10:12">
      <c r="J9488" s="31">
        <v>63</v>
      </c>
      <c r="K9488" s="33" t="s">
        <v>137</v>
      </c>
      <c r="L9488" s="31" t="str">
        <f t="shared" si="916"/>
        <v>Enam Puluh Tiga</v>
      </c>
    </row>
    <row r="9489" spans="10:12">
      <c r="J9489" s="31">
        <v>64</v>
      </c>
      <c r="K9489" s="33" t="s">
        <v>138</v>
      </c>
      <c r="L9489" s="31" t="str">
        <f t="shared" si="916"/>
        <v>Enam Puluh Empat</v>
      </c>
    </row>
    <row r="9490" spans="10:12">
      <c r="J9490" s="31">
        <v>65</v>
      </c>
      <c r="K9490" s="33" t="s">
        <v>139</v>
      </c>
      <c r="L9490" s="31" t="str">
        <f t="shared" si="916"/>
        <v>Enam Puluh Lima</v>
      </c>
    </row>
    <row r="9491" spans="10:12">
      <c r="J9491" s="31">
        <v>66</v>
      </c>
      <c r="K9491" s="33" t="s">
        <v>140</v>
      </c>
      <c r="L9491" s="31" t="str">
        <f t="shared" si="916"/>
        <v>Enam Puluh Enam</v>
      </c>
    </row>
    <row r="9492" spans="10:12">
      <c r="J9492" s="31">
        <v>67</v>
      </c>
      <c r="K9492" s="33" t="s">
        <v>141</v>
      </c>
      <c r="L9492" s="31" t="str">
        <f t="shared" si="916"/>
        <v>Enam Puluh Tujuh</v>
      </c>
    </row>
    <row r="9493" spans="10:12">
      <c r="J9493" s="31">
        <v>68</v>
      </c>
      <c r="K9493" s="33" t="s">
        <v>142</v>
      </c>
      <c r="L9493" s="31" t="str">
        <f t="shared" si="916"/>
        <v>Enam Puluh Delapan</v>
      </c>
    </row>
    <row r="9494" spans="10:12">
      <c r="J9494" s="31">
        <v>69</v>
      </c>
      <c r="K9494" s="33" t="s">
        <v>143</v>
      </c>
      <c r="L9494" s="31" t="str">
        <f t="shared" si="916"/>
        <v>Enam Puluh Sembilan</v>
      </c>
    </row>
    <row r="9495" spans="10:12">
      <c r="J9495" s="31">
        <v>70</v>
      </c>
      <c r="K9495" s="33" t="s">
        <v>144</v>
      </c>
      <c r="L9495" s="31" t="s">
        <v>145</v>
      </c>
    </row>
    <row r="9496" spans="10:12">
      <c r="J9496" s="31">
        <v>71</v>
      </c>
      <c r="K9496" s="33" t="s">
        <v>146</v>
      </c>
      <c r="L9496" s="31" t="str">
        <f t="shared" ref="L9496:L9504" si="917">$L$73&amp;" "&amp;L9426</f>
        <v>Tujuh Puluh Satu</v>
      </c>
    </row>
    <row r="9497" spans="10:12">
      <c r="J9497" s="31">
        <v>72</v>
      </c>
      <c r="K9497" s="33" t="s">
        <v>147</v>
      </c>
      <c r="L9497" s="31" t="str">
        <f t="shared" si="917"/>
        <v>Tujuh Puluh Dua</v>
      </c>
    </row>
    <row r="9498" spans="10:12">
      <c r="J9498" s="31">
        <v>73</v>
      </c>
      <c r="K9498" s="33" t="s">
        <v>148</v>
      </c>
      <c r="L9498" s="31" t="str">
        <f t="shared" si="917"/>
        <v>Tujuh Puluh Tiga</v>
      </c>
    </row>
    <row r="9499" spans="10:12">
      <c r="J9499" s="31">
        <v>74</v>
      </c>
      <c r="K9499" s="33" t="s">
        <v>149</v>
      </c>
      <c r="L9499" s="31" t="str">
        <f t="shared" si="917"/>
        <v>Tujuh Puluh Empat</v>
      </c>
    </row>
    <row r="9500" spans="10:12">
      <c r="J9500" s="31">
        <v>75</v>
      </c>
      <c r="K9500" s="33" t="s">
        <v>150</v>
      </c>
      <c r="L9500" s="31" t="str">
        <f t="shared" si="917"/>
        <v>Tujuh Puluh Lima</v>
      </c>
    </row>
    <row r="9501" spans="10:12">
      <c r="J9501" s="31">
        <v>76</v>
      </c>
      <c r="K9501" s="33" t="s">
        <v>151</v>
      </c>
      <c r="L9501" s="31" t="str">
        <f t="shared" si="917"/>
        <v>Tujuh Puluh Enam</v>
      </c>
    </row>
    <row r="9502" spans="10:12">
      <c r="J9502" s="31">
        <v>77</v>
      </c>
      <c r="K9502" s="33" t="s">
        <v>152</v>
      </c>
      <c r="L9502" s="31" t="str">
        <f t="shared" si="917"/>
        <v>Tujuh Puluh Tujuh</v>
      </c>
    </row>
    <row r="9503" spans="10:12">
      <c r="J9503" s="31">
        <v>78</v>
      </c>
      <c r="K9503" s="33" t="s">
        <v>153</v>
      </c>
      <c r="L9503" s="31" t="str">
        <f t="shared" si="917"/>
        <v>Tujuh Puluh Delapan</v>
      </c>
    </row>
    <row r="9504" spans="10:12">
      <c r="J9504" s="31">
        <v>79</v>
      </c>
      <c r="K9504" s="33" t="s">
        <v>154</v>
      </c>
      <c r="L9504" s="31" t="str">
        <f t="shared" si="917"/>
        <v>Tujuh Puluh Sembilan</v>
      </c>
    </row>
    <row r="9505" spans="10:12">
      <c r="J9505" s="31">
        <v>80</v>
      </c>
      <c r="K9505" s="33" t="s">
        <v>155</v>
      </c>
      <c r="L9505" s="31" t="s">
        <v>156</v>
      </c>
    </row>
    <row r="9506" spans="10:12">
      <c r="J9506" s="31">
        <v>81</v>
      </c>
      <c r="K9506" s="33" t="s">
        <v>157</v>
      </c>
      <c r="L9506" s="31" t="str">
        <f t="shared" ref="L9506:L9514" si="918">$L$83&amp;" "&amp;L9426</f>
        <v>Delapan Puluh Satu</v>
      </c>
    </row>
    <row r="9507" spans="10:12">
      <c r="J9507" s="31">
        <v>82</v>
      </c>
      <c r="K9507" s="33" t="s">
        <v>158</v>
      </c>
      <c r="L9507" s="31" t="str">
        <f t="shared" si="918"/>
        <v>Delapan Puluh Dua</v>
      </c>
    </row>
    <row r="9508" spans="10:12">
      <c r="J9508" s="31">
        <v>83</v>
      </c>
      <c r="K9508" s="33" t="s">
        <v>159</v>
      </c>
      <c r="L9508" s="31" t="str">
        <f t="shared" si="918"/>
        <v>Delapan Puluh Tiga</v>
      </c>
    </row>
    <row r="9509" spans="10:12">
      <c r="J9509" s="31">
        <v>84</v>
      </c>
      <c r="K9509" s="33" t="s">
        <v>160</v>
      </c>
      <c r="L9509" s="31" t="str">
        <f t="shared" si="918"/>
        <v>Delapan Puluh Empat</v>
      </c>
    </row>
    <row r="9510" spans="10:12">
      <c r="J9510" s="31">
        <v>85</v>
      </c>
      <c r="K9510" s="33" t="s">
        <v>161</v>
      </c>
      <c r="L9510" s="31" t="str">
        <f t="shared" si="918"/>
        <v>Delapan Puluh Lima</v>
      </c>
    </row>
    <row r="9511" spans="10:12">
      <c r="J9511" s="31">
        <v>86</v>
      </c>
      <c r="K9511" s="33" t="s">
        <v>162</v>
      </c>
      <c r="L9511" s="31" t="str">
        <f t="shared" si="918"/>
        <v>Delapan Puluh Enam</v>
      </c>
    </row>
    <row r="9512" spans="10:12">
      <c r="J9512" s="31">
        <v>87</v>
      </c>
      <c r="K9512" s="33" t="s">
        <v>163</v>
      </c>
      <c r="L9512" s="31" t="str">
        <f t="shared" si="918"/>
        <v>Delapan Puluh Tujuh</v>
      </c>
    </row>
    <row r="9513" spans="10:12">
      <c r="J9513" s="31">
        <v>88</v>
      </c>
      <c r="K9513" s="33" t="s">
        <v>164</v>
      </c>
      <c r="L9513" s="31" t="str">
        <f t="shared" si="918"/>
        <v>Delapan Puluh Delapan</v>
      </c>
    </row>
    <row r="9514" spans="10:12">
      <c r="J9514" s="31">
        <v>89</v>
      </c>
      <c r="K9514" s="33" t="s">
        <v>165</v>
      </c>
      <c r="L9514" s="31" t="str">
        <f t="shared" si="918"/>
        <v>Delapan Puluh Sembilan</v>
      </c>
    </row>
    <row r="9515" spans="10:12">
      <c r="J9515" s="31">
        <v>90</v>
      </c>
      <c r="K9515" s="33" t="s">
        <v>166</v>
      </c>
      <c r="L9515" s="31" t="s">
        <v>167</v>
      </c>
    </row>
    <row r="9516" spans="10:12">
      <c r="J9516" s="31">
        <v>91</v>
      </c>
      <c r="K9516" s="33" t="s">
        <v>168</v>
      </c>
      <c r="L9516" s="31" t="str">
        <f t="shared" ref="L9516:L9524" si="919">$L$93&amp;" "&amp;L9426</f>
        <v>Sembilan Puluh Satu</v>
      </c>
    </row>
    <row r="9517" spans="10:12">
      <c r="J9517" s="31">
        <v>92</v>
      </c>
      <c r="K9517" s="33" t="s">
        <v>169</v>
      </c>
      <c r="L9517" s="31" t="str">
        <f t="shared" si="919"/>
        <v>Sembilan Puluh Dua</v>
      </c>
    </row>
    <row r="9518" spans="10:12">
      <c r="J9518" s="31">
        <v>93</v>
      </c>
      <c r="K9518" s="33" t="s">
        <v>170</v>
      </c>
      <c r="L9518" s="31" t="str">
        <f t="shared" si="919"/>
        <v>Sembilan Puluh Tiga</v>
      </c>
    </row>
    <row r="9519" spans="10:12">
      <c r="J9519" s="31">
        <v>94</v>
      </c>
      <c r="K9519" s="33" t="s">
        <v>171</v>
      </c>
      <c r="L9519" s="31" t="str">
        <f t="shared" si="919"/>
        <v>Sembilan Puluh Empat</v>
      </c>
    </row>
    <row r="9520" spans="10:12">
      <c r="J9520" s="31">
        <v>95</v>
      </c>
      <c r="K9520" s="33" t="s">
        <v>172</v>
      </c>
      <c r="L9520" s="31" t="str">
        <f t="shared" si="919"/>
        <v>Sembilan Puluh Lima</v>
      </c>
    </row>
    <row r="9521" spans="1:12">
      <c r="J9521" s="31">
        <v>96</v>
      </c>
      <c r="K9521" s="33" t="s">
        <v>173</v>
      </c>
      <c r="L9521" s="31" t="str">
        <f t="shared" si="919"/>
        <v>Sembilan Puluh Enam</v>
      </c>
    </row>
    <row r="9522" spans="1:12">
      <c r="J9522" s="31">
        <v>97</v>
      </c>
      <c r="K9522" s="33" t="s">
        <v>174</v>
      </c>
      <c r="L9522" s="31" t="str">
        <f t="shared" si="919"/>
        <v>Sembilan Puluh Tujuh</v>
      </c>
    </row>
    <row r="9523" spans="1:12">
      <c r="J9523" s="31">
        <v>98</v>
      </c>
      <c r="K9523" s="33" t="s">
        <v>175</v>
      </c>
      <c r="L9523" s="31" t="str">
        <f t="shared" si="919"/>
        <v>Sembilan Puluh Delapan</v>
      </c>
    </row>
    <row r="9524" spans="1:12">
      <c r="J9524" s="31">
        <v>99</v>
      </c>
      <c r="K9524" s="33" t="s">
        <v>176</v>
      </c>
      <c r="L9524" s="31" t="str">
        <f t="shared" si="919"/>
        <v>Sembilan Puluh Sembilan</v>
      </c>
    </row>
    <row r="9528" spans="1:12">
      <c r="A9528" s="30" t="e">
        <f>#REF!</f>
        <v>#REF!</v>
      </c>
      <c r="C9528" s="31" t="s">
        <v>304</v>
      </c>
    </row>
    <row r="9529" spans="1:12">
      <c r="A9529" s="32"/>
    </row>
    <row r="9530" spans="1:12">
      <c r="J9530" s="31">
        <v>0</v>
      </c>
      <c r="K9530" s="33" t="s">
        <v>48</v>
      </c>
      <c r="L9530" s="31" t="s">
        <v>49</v>
      </c>
    </row>
    <row r="9531" spans="1:12">
      <c r="A9531" s="34"/>
      <c r="J9531" s="31">
        <v>1</v>
      </c>
      <c r="K9531" s="33" t="s">
        <v>50</v>
      </c>
      <c r="L9531" s="31" t="s">
        <v>51</v>
      </c>
    </row>
    <row r="9532" spans="1:12">
      <c r="A9532" s="255" t="e">
        <f>TRIM(D9540&amp;E9540&amp;D9541&amp;E9541&amp;D9542&amp;E9542&amp;D9543&amp;E9543&amp;D9544&amp;E9544&amp;D9545&amp;E9545&amp;E9546&amp;D9546&amp;" Only")</f>
        <v>#REF!</v>
      </c>
      <c r="B9532" s="255"/>
      <c r="C9532" s="255"/>
      <c r="D9532" s="255"/>
      <c r="E9532" s="35"/>
      <c r="F9532" s="36"/>
      <c r="J9532" s="31">
        <v>2</v>
      </c>
      <c r="K9532" s="33" t="s">
        <v>52</v>
      </c>
      <c r="L9532" s="31" t="s">
        <v>53</v>
      </c>
    </row>
    <row r="9533" spans="1:12">
      <c r="A9533" s="37"/>
      <c r="B9533" s="37"/>
      <c r="C9533" s="37"/>
      <c r="D9533" s="37"/>
      <c r="E9533" s="35"/>
      <c r="F9533" s="36"/>
      <c r="J9533" s="31">
        <v>3</v>
      </c>
      <c r="K9533" s="33" t="s">
        <v>54</v>
      </c>
      <c r="L9533" s="31" t="s">
        <v>55</v>
      </c>
    </row>
    <row r="9534" spans="1:12">
      <c r="A9534" s="37"/>
      <c r="B9534" s="37"/>
      <c r="C9534" s="37"/>
      <c r="D9534" s="37"/>
      <c r="J9534" s="31">
        <v>4</v>
      </c>
      <c r="K9534" s="33" t="s">
        <v>56</v>
      </c>
      <c r="L9534" s="31" t="s">
        <v>57</v>
      </c>
    </row>
    <row r="9535" spans="1:12">
      <c r="A9535" s="255" t="e">
        <f>TRIM(D9550&amp;E9550&amp;D9551&amp;E9551&amp;D9552&amp;E9552&amp;D9553&amp;E9553&amp;D9554&amp;E9554&amp;D9555&amp;E9555&amp;D9556&amp;E9556&amp;" Rupiah")</f>
        <v>#REF!</v>
      </c>
      <c r="B9535" s="255"/>
      <c r="C9535" s="255"/>
      <c r="D9535" s="255"/>
      <c r="E9535" s="35"/>
      <c r="F9535" s="36"/>
      <c r="J9535" s="31">
        <v>5</v>
      </c>
      <c r="K9535" s="33" t="s">
        <v>58</v>
      </c>
      <c r="L9535" s="31" t="s">
        <v>59</v>
      </c>
    </row>
    <row r="9536" spans="1:12">
      <c r="A9536" s="35"/>
      <c r="B9536" s="35"/>
      <c r="C9536" s="35"/>
      <c r="D9536" s="35"/>
      <c r="E9536" s="35"/>
      <c r="F9536" s="36"/>
      <c r="J9536" s="31">
        <v>6</v>
      </c>
      <c r="K9536" s="33" t="s">
        <v>60</v>
      </c>
      <c r="L9536" s="31" t="s">
        <v>61</v>
      </c>
    </row>
    <row r="9537" spans="1:12">
      <c r="J9537" s="31">
        <v>7</v>
      </c>
      <c r="K9537" s="33" t="s">
        <v>62</v>
      </c>
      <c r="L9537" s="31" t="s">
        <v>63</v>
      </c>
    </row>
    <row r="9538" spans="1:12">
      <c r="J9538" s="31">
        <v>8</v>
      </c>
      <c r="K9538" s="33" t="s">
        <v>64</v>
      </c>
      <c r="L9538" s="31" t="s">
        <v>65</v>
      </c>
    </row>
    <row r="9539" spans="1:12">
      <c r="A9539" s="38" t="s">
        <v>66</v>
      </c>
      <c r="J9539" s="31">
        <v>9</v>
      </c>
      <c r="K9539" s="33" t="s">
        <v>67</v>
      </c>
      <c r="L9539" s="31" t="s">
        <v>68</v>
      </c>
    </row>
    <row r="9540" spans="1:12">
      <c r="A9540" s="31" t="s">
        <v>69</v>
      </c>
      <c r="B9540" s="39" t="e">
        <f>TRUNC(A9528/100000000)</f>
        <v>#REF!</v>
      </c>
      <c r="C9540" s="31" t="e">
        <f>B9540*100000000</f>
        <v>#REF!</v>
      </c>
      <c r="D9540" s="31" t="e">
        <f t="shared" ref="D9540:D9546" si="920">IF(B9540&lt;1,"",VLOOKUP(B9540,$J$3:$K$102,2))</f>
        <v>#REF!</v>
      </c>
      <c r="E9540" s="31" t="e">
        <f>IF(B9540&lt;1,"",IF(B9540&gt;1," Hundreds "," Hundred "))</f>
        <v>#REF!</v>
      </c>
      <c r="J9540" s="31">
        <v>10</v>
      </c>
      <c r="K9540" s="33" t="s">
        <v>70</v>
      </c>
      <c r="L9540" s="31" t="s">
        <v>71</v>
      </c>
    </row>
    <row r="9541" spans="1:12">
      <c r="A9541" s="31" t="s">
        <v>72</v>
      </c>
      <c r="B9541" s="39" t="e">
        <f>TRUNC((A9528-C9540)/1000000)</f>
        <v>#REF!</v>
      </c>
      <c r="C9541" s="31" t="e">
        <f>B9541*1000000</f>
        <v>#REF!</v>
      </c>
      <c r="D9541" s="31" t="e">
        <f t="shared" si="920"/>
        <v>#REF!</v>
      </c>
      <c r="E9541" s="31" t="e">
        <f>IF(B9540+B9541=0,"",IF(B9541=1," Million "," Millions "))</f>
        <v>#REF!</v>
      </c>
      <c r="J9541" s="31">
        <v>11</v>
      </c>
      <c r="K9541" s="33" t="s">
        <v>73</v>
      </c>
      <c r="L9541" s="31" t="s">
        <v>74</v>
      </c>
    </row>
    <row r="9542" spans="1:12">
      <c r="A9542" s="31" t="s">
        <v>75</v>
      </c>
      <c r="B9542" s="39" t="e">
        <f>TRUNC((A9528-SUM(C9540:C9541))/100000)</f>
        <v>#REF!</v>
      </c>
      <c r="C9542" s="31" t="e">
        <f>B9542*100000</f>
        <v>#REF!</v>
      </c>
      <c r="D9542" s="31" t="e">
        <f t="shared" si="920"/>
        <v>#REF!</v>
      </c>
      <c r="E9542" s="31" t="e">
        <f>IF(B9542&lt;1,"",IF(B9542&gt;1," Hundreds "," Hundred "))</f>
        <v>#REF!</v>
      </c>
      <c r="J9542" s="31">
        <v>12</v>
      </c>
      <c r="K9542" s="33" t="s">
        <v>76</v>
      </c>
      <c r="L9542" s="31" t="str">
        <f t="shared" ref="L9542:L9549" si="921">L9532&amp;" Belas"</f>
        <v>Dua Belas</v>
      </c>
    </row>
    <row r="9543" spans="1:12">
      <c r="A9543" s="33" t="s">
        <v>77</v>
      </c>
      <c r="B9543" s="40" t="e">
        <f>TRUNC((A9528-SUM(C9540:C9542))/1000)</f>
        <v>#REF!</v>
      </c>
      <c r="C9543" s="31" t="e">
        <f>B9543*1000</f>
        <v>#REF!</v>
      </c>
      <c r="D9543" s="31" t="e">
        <f t="shared" si="920"/>
        <v>#REF!</v>
      </c>
      <c r="E9543" s="31" t="e">
        <f>IF(B9542+B9543=0,"",IF(B9543=1," Thousand "," Thousands "))</f>
        <v>#REF!</v>
      </c>
      <c r="J9543" s="31">
        <v>13</v>
      </c>
      <c r="K9543" s="33" t="s">
        <v>78</v>
      </c>
      <c r="L9543" s="31" t="str">
        <f t="shared" si="921"/>
        <v>Tiga Belas</v>
      </c>
    </row>
    <row r="9544" spans="1:12">
      <c r="A9544" s="33" t="s">
        <v>79</v>
      </c>
      <c r="B9544" s="40" t="e">
        <f>TRUNC((A9528-SUM(C9540:C9543))/100)</f>
        <v>#REF!</v>
      </c>
      <c r="C9544" s="31" t="e">
        <f>B9544*100</f>
        <v>#REF!</v>
      </c>
      <c r="D9544" s="31" t="e">
        <f t="shared" si="920"/>
        <v>#REF!</v>
      </c>
      <c r="E9544" s="31" t="e">
        <f>IF(B9544&lt;1,"",IF(B9544&gt;1," Hundreds "," Hundred "))</f>
        <v>#REF!</v>
      </c>
      <c r="J9544" s="31">
        <v>14</v>
      </c>
      <c r="K9544" s="33" t="s">
        <v>80</v>
      </c>
      <c r="L9544" s="31" t="str">
        <f t="shared" si="921"/>
        <v>Empat Belas</v>
      </c>
    </row>
    <row r="9545" spans="1:12">
      <c r="A9545" s="33" t="s">
        <v>81</v>
      </c>
      <c r="B9545" s="41" t="e">
        <f>TRUNC((A9528-SUM(C9540:C9544)))</f>
        <v>#REF!</v>
      </c>
      <c r="C9545" s="42" t="e">
        <f>B9545</f>
        <v>#REF!</v>
      </c>
      <c r="D9545" s="31" t="e">
        <f t="shared" si="920"/>
        <v>#REF!</v>
      </c>
      <c r="E9545" s="31" t="e">
        <f>IF(SUM(C9540:C9545)&lt;1,"",IF(B9546&lt;1,""," And "))</f>
        <v>#REF!</v>
      </c>
      <c r="J9545" s="31">
        <v>15</v>
      </c>
      <c r="K9545" s="33" t="s">
        <v>82</v>
      </c>
      <c r="L9545" s="31" t="str">
        <f t="shared" si="921"/>
        <v>Lima Belas</v>
      </c>
    </row>
    <row r="9546" spans="1:12">
      <c r="A9546" s="33" t="s">
        <v>83</v>
      </c>
      <c r="B9546" s="40" t="e">
        <f>ROUND(A9528-SUM(C9540:C9545),2)*100</f>
        <v>#REF!</v>
      </c>
      <c r="D9546" s="43" t="e">
        <f t="shared" si="920"/>
        <v>#REF!</v>
      </c>
      <c r="E9546" s="31" t="e">
        <f>IF(B9546&lt;1,"",IF(B9546=1," Cent "," Cents "))</f>
        <v>#REF!</v>
      </c>
      <c r="J9546" s="31">
        <v>16</v>
      </c>
      <c r="K9546" s="33" t="s">
        <v>84</v>
      </c>
      <c r="L9546" s="31" t="str">
        <f t="shared" si="921"/>
        <v>Enam Belas</v>
      </c>
    </row>
    <row r="9547" spans="1:12">
      <c r="J9547" s="31">
        <v>17</v>
      </c>
      <c r="K9547" s="33" t="s">
        <v>85</v>
      </c>
      <c r="L9547" s="31" t="str">
        <f t="shared" si="921"/>
        <v>Tujuh Belas</v>
      </c>
    </row>
    <row r="9548" spans="1:12">
      <c r="A9548" s="44"/>
      <c r="J9548" s="31">
        <v>18</v>
      </c>
      <c r="K9548" s="33" t="s">
        <v>86</v>
      </c>
      <c r="L9548" s="31" t="str">
        <f t="shared" si="921"/>
        <v>Delapan Belas</v>
      </c>
    </row>
    <row r="9549" spans="1:12">
      <c r="A9549" s="38" t="s">
        <v>87</v>
      </c>
      <c r="J9549" s="31">
        <v>19</v>
      </c>
      <c r="K9549" s="33" t="s">
        <v>88</v>
      </c>
      <c r="L9549" s="31" t="str">
        <f t="shared" si="921"/>
        <v>Sembilan Belas</v>
      </c>
    </row>
    <row r="9550" spans="1:12">
      <c r="A9550" s="31" t="s">
        <v>69</v>
      </c>
      <c r="B9550" s="39" t="e">
        <f>TRUNC(A9528/100000000)</f>
        <v>#REF!</v>
      </c>
      <c r="C9550" s="31" t="e">
        <f>B9550*100000000</f>
        <v>#REF!</v>
      </c>
      <c r="D9550" s="31" t="e">
        <f>IF(B9550&lt;1,"",IF(B9550=1,"",VLOOKUP(B9550,$J$3:$L$102,3)))</f>
        <v>#REF!</v>
      </c>
      <c r="E9550" s="31" t="e">
        <f>IF(B9550&lt;1,"",IF(B9550=1,"Seratus "," Ratus "))</f>
        <v>#REF!</v>
      </c>
      <c r="J9550" s="31">
        <v>20</v>
      </c>
      <c r="K9550" s="33" t="s">
        <v>89</v>
      </c>
      <c r="L9550" s="31" t="s">
        <v>90</v>
      </c>
    </row>
    <row r="9551" spans="1:12">
      <c r="A9551" s="31" t="s">
        <v>72</v>
      </c>
      <c r="B9551" s="39" t="e">
        <f>TRUNC((A9528-C9550)/1000000)</f>
        <v>#REF!</v>
      </c>
      <c r="C9551" s="31" t="e">
        <f>B9551*1000000</f>
        <v>#REF!</v>
      </c>
      <c r="D9551" s="31" t="e">
        <f>IF(B9551&lt;1,"",VLOOKUP(B9551,$J$3:$L$102,3))</f>
        <v>#REF!</v>
      </c>
      <c r="E9551" s="31" t="e">
        <f>IF(B9550+B9551=0,""," Juta ")</f>
        <v>#REF!</v>
      </c>
      <c r="J9551" s="31">
        <v>21</v>
      </c>
      <c r="K9551" s="33" t="s">
        <v>91</v>
      </c>
      <c r="L9551" s="31" t="str">
        <f t="shared" ref="L9551:L9559" si="922">$L$23&amp;" "&amp;L9531</f>
        <v>Dua Puluh Satu</v>
      </c>
    </row>
    <row r="9552" spans="1:12">
      <c r="A9552" s="31" t="s">
        <v>75</v>
      </c>
      <c r="B9552" s="39" t="e">
        <f>TRUNC((A9528-SUM(C9550:C9551))/100000)</f>
        <v>#REF!</v>
      </c>
      <c r="C9552" s="31" t="e">
        <f>B9552*100000</f>
        <v>#REF!</v>
      </c>
      <c r="D9552" s="31" t="e">
        <f>IF(B9552&lt;1,"",IF(B9552=1,"",VLOOKUP(B9552,$J$3:$L$102,3)))</f>
        <v>#REF!</v>
      </c>
      <c r="E9552" s="31" t="e">
        <f>IF(B9552&lt;1,"",IF(B9552=1," Seratus "," Ratus "))</f>
        <v>#REF!</v>
      </c>
      <c r="J9552" s="31">
        <v>22</v>
      </c>
      <c r="K9552" s="33" t="s">
        <v>92</v>
      </c>
      <c r="L9552" s="31" t="str">
        <f t="shared" si="922"/>
        <v>Dua Puluh Dua</v>
      </c>
    </row>
    <row r="9553" spans="1:12">
      <c r="A9553" s="33" t="s">
        <v>77</v>
      </c>
      <c r="B9553" s="40" t="e">
        <f>TRUNC((A9528-SUM(C9550:C9552))/1000)</f>
        <v>#REF!</v>
      </c>
      <c r="C9553" s="31" t="e">
        <f>B9553*1000</f>
        <v>#REF!</v>
      </c>
      <c r="D9553" s="31" t="e">
        <f>IF(B9553&lt;1,"",IF(B9553=1,"",VLOOKUP(B9553,$J$3:$L$102,3)))</f>
        <v>#REF!</v>
      </c>
      <c r="E9553" s="31" t="e">
        <f>IF(B9552+B9553&lt;1,"",IF(B9553=1," Seribu "," Ribu "))</f>
        <v>#REF!</v>
      </c>
      <c r="J9553" s="31">
        <v>23</v>
      </c>
      <c r="K9553" s="33" t="s">
        <v>93</v>
      </c>
      <c r="L9553" s="31" t="str">
        <f t="shared" si="922"/>
        <v>Dua Puluh Tiga</v>
      </c>
    </row>
    <row r="9554" spans="1:12">
      <c r="A9554" s="33" t="s">
        <v>79</v>
      </c>
      <c r="B9554" s="40" t="e">
        <f>TRUNC((A9528-SUM(C9550:C9553))/100)</f>
        <v>#REF!</v>
      </c>
      <c r="C9554" s="31" t="e">
        <f>B9554*100</f>
        <v>#REF!</v>
      </c>
      <c r="D9554" s="31" t="e">
        <f>IF(B9554&lt;1,"",IF(B9554=1,"",VLOOKUP(B9554,$J$3:$L$102,3)))</f>
        <v>#REF!</v>
      </c>
      <c r="E9554" s="31" t="e">
        <f>IF(B9554&lt;1,"",IF(B9554=1," Seratus "," Ratus "))</f>
        <v>#REF!</v>
      </c>
      <c r="J9554" s="31">
        <v>24</v>
      </c>
      <c r="K9554" s="33" t="s">
        <v>94</v>
      </c>
      <c r="L9554" s="31" t="str">
        <f t="shared" si="922"/>
        <v>Dua Puluh Empat</v>
      </c>
    </row>
    <row r="9555" spans="1:12">
      <c r="A9555" s="33" t="s">
        <v>81</v>
      </c>
      <c r="B9555" s="41" t="e">
        <f>TRUNC((A9528-SUM(C9550:C9554)))</f>
        <v>#REF!</v>
      </c>
      <c r="C9555" s="42" t="e">
        <f>B9555</f>
        <v>#REF!</v>
      </c>
      <c r="D9555" s="31" t="e">
        <f>IF(B9555&lt;1,"",VLOOKUP(B9555,$J$3:$L$102,3))</f>
        <v>#REF!</v>
      </c>
      <c r="E9555" s="31" t="e">
        <f>IF(SUM(C9550:C9555)&lt;1,"",IF(B9556&lt;1,""," Dan "))</f>
        <v>#REF!</v>
      </c>
      <c r="J9555" s="31">
        <v>25</v>
      </c>
      <c r="K9555" s="33" t="s">
        <v>95</v>
      </c>
      <c r="L9555" s="31" t="str">
        <f t="shared" si="922"/>
        <v>Dua Puluh Lima</v>
      </c>
    </row>
    <row r="9556" spans="1:12">
      <c r="A9556" s="33" t="s">
        <v>83</v>
      </c>
      <c r="B9556" s="40" t="e">
        <f>ROUND(A9528-SUM(C9550:C9555),2)*100</f>
        <v>#REF!</v>
      </c>
      <c r="D9556" s="31" t="e">
        <f>IF(B9556&lt;1,"",VLOOKUP(B9556,$J$3:$L$102,3))</f>
        <v>#REF!</v>
      </c>
      <c r="E9556" s="31" t="e">
        <f>IF(B9556&lt;1,""," Sen ")</f>
        <v>#REF!</v>
      </c>
      <c r="J9556" s="31">
        <v>26</v>
      </c>
      <c r="K9556" s="33" t="s">
        <v>96</v>
      </c>
      <c r="L9556" s="31" t="str">
        <f t="shared" si="922"/>
        <v>Dua Puluh Enam</v>
      </c>
    </row>
    <row r="9557" spans="1:12">
      <c r="J9557" s="31">
        <v>27</v>
      </c>
      <c r="K9557" s="33" t="s">
        <v>97</v>
      </c>
      <c r="L9557" s="31" t="str">
        <f t="shared" si="922"/>
        <v>Dua Puluh Tujuh</v>
      </c>
    </row>
    <row r="9558" spans="1:12">
      <c r="J9558" s="31">
        <v>28</v>
      </c>
      <c r="K9558" s="33" t="s">
        <v>98</v>
      </c>
      <c r="L9558" s="31" t="str">
        <f t="shared" si="922"/>
        <v>Dua Puluh Delapan</v>
      </c>
    </row>
    <row r="9559" spans="1:12">
      <c r="J9559" s="31">
        <v>29</v>
      </c>
      <c r="K9559" s="33" t="s">
        <v>99</v>
      </c>
      <c r="L9559" s="31" t="str">
        <f t="shared" si="922"/>
        <v>Dua Puluh Sembilan</v>
      </c>
    </row>
    <row r="9560" spans="1:12">
      <c r="J9560" s="31">
        <v>30</v>
      </c>
      <c r="K9560" s="33" t="s">
        <v>100</v>
      </c>
      <c r="L9560" s="31" t="s">
        <v>101</v>
      </c>
    </row>
    <row r="9561" spans="1:12">
      <c r="J9561" s="31">
        <v>31</v>
      </c>
      <c r="K9561" s="33" t="s">
        <v>102</v>
      </c>
      <c r="L9561" s="31" t="str">
        <f t="shared" ref="L9561:L9569" si="923">$L$33&amp;" "&amp;L9531</f>
        <v>Tiga Puluh Satu</v>
      </c>
    </row>
    <row r="9562" spans="1:12">
      <c r="J9562" s="31">
        <v>32</v>
      </c>
      <c r="K9562" s="33" t="s">
        <v>103</v>
      </c>
      <c r="L9562" s="31" t="str">
        <f t="shared" si="923"/>
        <v>Tiga Puluh Dua</v>
      </c>
    </row>
    <row r="9563" spans="1:12">
      <c r="J9563" s="31">
        <v>33</v>
      </c>
      <c r="K9563" s="33" t="s">
        <v>104</v>
      </c>
      <c r="L9563" s="31" t="str">
        <f t="shared" si="923"/>
        <v>Tiga Puluh Tiga</v>
      </c>
    </row>
    <row r="9564" spans="1:12">
      <c r="J9564" s="31">
        <v>34</v>
      </c>
      <c r="K9564" s="33" t="s">
        <v>105</v>
      </c>
      <c r="L9564" s="31" t="str">
        <f t="shared" si="923"/>
        <v>Tiga Puluh Empat</v>
      </c>
    </row>
    <row r="9565" spans="1:12">
      <c r="J9565" s="31">
        <v>35</v>
      </c>
      <c r="K9565" s="33" t="s">
        <v>106</v>
      </c>
      <c r="L9565" s="31" t="str">
        <f t="shared" si="923"/>
        <v>Tiga Puluh Lima</v>
      </c>
    </row>
    <row r="9566" spans="1:12">
      <c r="J9566" s="31">
        <v>36</v>
      </c>
      <c r="K9566" s="33" t="s">
        <v>107</v>
      </c>
      <c r="L9566" s="31" t="str">
        <f t="shared" si="923"/>
        <v>Tiga Puluh Enam</v>
      </c>
    </row>
    <row r="9567" spans="1:12">
      <c r="J9567" s="31">
        <v>37</v>
      </c>
      <c r="K9567" s="33" t="s">
        <v>108</v>
      </c>
      <c r="L9567" s="31" t="str">
        <f t="shared" si="923"/>
        <v>Tiga Puluh Tujuh</v>
      </c>
    </row>
    <row r="9568" spans="1:12">
      <c r="J9568" s="31">
        <v>38</v>
      </c>
      <c r="K9568" s="33" t="s">
        <v>109</v>
      </c>
      <c r="L9568" s="31" t="str">
        <f t="shared" si="923"/>
        <v>Tiga Puluh Delapan</v>
      </c>
    </row>
    <row r="9569" spans="1:12">
      <c r="J9569" s="31">
        <v>39</v>
      </c>
      <c r="K9569" s="33" t="s">
        <v>110</v>
      </c>
      <c r="L9569" s="31" t="str">
        <f t="shared" si="923"/>
        <v>Tiga Puluh Sembilan</v>
      </c>
    </row>
    <row r="9570" spans="1:12">
      <c r="B9570" s="35"/>
      <c r="C9570" s="35"/>
      <c r="D9570" s="35"/>
      <c r="J9570" s="31">
        <v>40</v>
      </c>
      <c r="K9570" s="33" t="s">
        <v>111</v>
      </c>
      <c r="L9570" s="31" t="s">
        <v>112</v>
      </c>
    </row>
    <row r="9571" spans="1:12">
      <c r="A9571" s="35"/>
      <c r="B9571" s="35"/>
      <c r="C9571" s="35"/>
      <c r="D9571" s="35"/>
      <c r="J9571" s="31">
        <v>41</v>
      </c>
      <c r="K9571" s="33" t="s">
        <v>113</v>
      </c>
      <c r="L9571" s="31" t="str">
        <f t="shared" ref="L9571:L9579" si="924">$L$43&amp;" "&amp;L9531</f>
        <v>Empat Puluh Satu</v>
      </c>
    </row>
    <row r="9572" spans="1:12">
      <c r="J9572" s="31">
        <v>42</v>
      </c>
      <c r="K9572" s="33" t="s">
        <v>114</v>
      </c>
      <c r="L9572" s="31" t="str">
        <f t="shared" si="924"/>
        <v>Empat Puluh Dua</v>
      </c>
    </row>
    <row r="9573" spans="1:12">
      <c r="A9573" s="38"/>
      <c r="J9573" s="31">
        <v>43</v>
      </c>
      <c r="K9573" s="33" t="s">
        <v>115</v>
      </c>
      <c r="L9573" s="31" t="str">
        <f t="shared" si="924"/>
        <v>Empat Puluh Tiga</v>
      </c>
    </row>
    <row r="9574" spans="1:12">
      <c r="J9574" s="31">
        <v>44</v>
      </c>
      <c r="K9574" s="33" t="s">
        <v>116</v>
      </c>
      <c r="L9574" s="31" t="str">
        <f t="shared" si="924"/>
        <v>Empat Puluh Empat</v>
      </c>
    </row>
    <row r="9575" spans="1:12">
      <c r="J9575" s="31">
        <v>45</v>
      </c>
      <c r="K9575" s="33" t="s">
        <v>117</v>
      </c>
      <c r="L9575" s="31" t="str">
        <f t="shared" si="924"/>
        <v>Empat Puluh Lima</v>
      </c>
    </row>
    <row r="9576" spans="1:12">
      <c r="J9576" s="31">
        <v>46</v>
      </c>
      <c r="K9576" s="33" t="s">
        <v>118</v>
      </c>
      <c r="L9576" s="31" t="str">
        <f t="shared" si="924"/>
        <v>Empat Puluh Enam</v>
      </c>
    </row>
    <row r="9577" spans="1:12">
      <c r="J9577" s="31">
        <v>47</v>
      </c>
      <c r="K9577" s="33" t="s">
        <v>119</v>
      </c>
      <c r="L9577" s="31" t="str">
        <f t="shared" si="924"/>
        <v>Empat Puluh Tujuh</v>
      </c>
    </row>
    <row r="9578" spans="1:12">
      <c r="J9578" s="31">
        <v>48</v>
      </c>
      <c r="K9578" s="33" t="s">
        <v>120</v>
      </c>
      <c r="L9578" s="31" t="str">
        <f t="shared" si="924"/>
        <v>Empat Puluh Delapan</v>
      </c>
    </row>
    <row r="9579" spans="1:12">
      <c r="J9579" s="31">
        <v>49</v>
      </c>
      <c r="K9579" s="33" t="s">
        <v>121</v>
      </c>
      <c r="L9579" s="31" t="str">
        <f t="shared" si="924"/>
        <v>Empat Puluh Sembilan</v>
      </c>
    </row>
    <row r="9580" spans="1:12">
      <c r="J9580" s="31">
        <v>50</v>
      </c>
      <c r="K9580" s="33" t="s">
        <v>122</v>
      </c>
      <c r="L9580" s="31" t="s">
        <v>123</v>
      </c>
    </row>
    <row r="9581" spans="1:12">
      <c r="J9581" s="31">
        <v>51</v>
      </c>
      <c r="K9581" s="33" t="s">
        <v>124</v>
      </c>
      <c r="L9581" s="31" t="str">
        <f t="shared" ref="L9581:L9589" si="925">$L$53&amp;" "&amp;L9531</f>
        <v>Lima Puluh Satu</v>
      </c>
    </row>
    <row r="9582" spans="1:12">
      <c r="J9582" s="31">
        <v>52</v>
      </c>
      <c r="K9582" s="33" t="s">
        <v>125</v>
      </c>
      <c r="L9582" s="31" t="str">
        <f t="shared" si="925"/>
        <v>Lima Puluh Dua</v>
      </c>
    </row>
    <row r="9583" spans="1:12">
      <c r="J9583" s="31">
        <v>53</v>
      </c>
      <c r="K9583" s="33" t="s">
        <v>126</v>
      </c>
      <c r="L9583" s="31" t="str">
        <f t="shared" si="925"/>
        <v>Lima Puluh Tiga</v>
      </c>
    </row>
    <row r="9584" spans="1:12">
      <c r="J9584" s="31">
        <v>54</v>
      </c>
      <c r="K9584" s="33" t="s">
        <v>127</v>
      </c>
      <c r="L9584" s="31" t="str">
        <f t="shared" si="925"/>
        <v>Lima Puluh Empat</v>
      </c>
    </row>
    <row r="9585" spans="10:12">
      <c r="J9585" s="31">
        <v>55</v>
      </c>
      <c r="K9585" s="33" t="s">
        <v>128</v>
      </c>
      <c r="L9585" s="31" t="str">
        <f t="shared" si="925"/>
        <v>Lima Puluh Lima</v>
      </c>
    </row>
    <row r="9586" spans="10:12">
      <c r="J9586" s="31">
        <v>56</v>
      </c>
      <c r="K9586" s="33" t="s">
        <v>129</v>
      </c>
      <c r="L9586" s="31" t="str">
        <f t="shared" si="925"/>
        <v>Lima Puluh Enam</v>
      </c>
    </row>
    <row r="9587" spans="10:12">
      <c r="J9587" s="31">
        <v>57</v>
      </c>
      <c r="K9587" s="33" t="s">
        <v>130</v>
      </c>
      <c r="L9587" s="31" t="str">
        <f t="shared" si="925"/>
        <v>Lima Puluh Tujuh</v>
      </c>
    </row>
    <row r="9588" spans="10:12">
      <c r="J9588" s="31">
        <v>58</v>
      </c>
      <c r="K9588" s="33" t="s">
        <v>131</v>
      </c>
      <c r="L9588" s="31" t="str">
        <f t="shared" si="925"/>
        <v>Lima Puluh Delapan</v>
      </c>
    </row>
    <row r="9589" spans="10:12">
      <c r="J9589" s="31">
        <v>59</v>
      </c>
      <c r="K9589" s="33" t="s">
        <v>132</v>
      </c>
      <c r="L9589" s="31" t="str">
        <f t="shared" si="925"/>
        <v>Lima Puluh Sembilan</v>
      </c>
    </row>
    <row r="9590" spans="10:12">
      <c r="J9590" s="31">
        <v>60</v>
      </c>
      <c r="K9590" s="33" t="s">
        <v>133</v>
      </c>
      <c r="L9590" s="31" t="s">
        <v>134</v>
      </c>
    </row>
    <row r="9591" spans="10:12">
      <c r="J9591" s="31">
        <v>61</v>
      </c>
      <c r="K9591" s="33" t="s">
        <v>135</v>
      </c>
      <c r="L9591" s="31" t="str">
        <f t="shared" ref="L9591:L9599" si="926">$L$63&amp;" "&amp;L9531</f>
        <v>Enam Puluh Satu</v>
      </c>
    </row>
    <row r="9592" spans="10:12">
      <c r="J9592" s="31">
        <v>62</v>
      </c>
      <c r="K9592" s="33" t="s">
        <v>136</v>
      </c>
      <c r="L9592" s="31" t="str">
        <f t="shared" si="926"/>
        <v>Enam Puluh Dua</v>
      </c>
    </row>
    <row r="9593" spans="10:12">
      <c r="J9593" s="31">
        <v>63</v>
      </c>
      <c r="K9593" s="33" t="s">
        <v>137</v>
      </c>
      <c r="L9593" s="31" t="str">
        <f t="shared" si="926"/>
        <v>Enam Puluh Tiga</v>
      </c>
    </row>
    <row r="9594" spans="10:12">
      <c r="J9594" s="31">
        <v>64</v>
      </c>
      <c r="K9594" s="33" t="s">
        <v>138</v>
      </c>
      <c r="L9594" s="31" t="str">
        <f t="shared" si="926"/>
        <v>Enam Puluh Empat</v>
      </c>
    </row>
    <row r="9595" spans="10:12">
      <c r="J9595" s="31">
        <v>65</v>
      </c>
      <c r="K9595" s="33" t="s">
        <v>139</v>
      </c>
      <c r="L9595" s="31" t="str">
        <f t="shared" si="926"/>
        <v>Enam Puluh Lima</v>
      </c>
    </row>
    <row r="9596" spans="10:12">
      <c r="J9596" s="31">
        <v>66</v>
      </c>
      <c r="K9596" s="33" t="s">
        <v>140</v>
      </c>
      <c r="L9596" s="31" t="str">
        <f t="shared" si="926"/>
        <v>Enam Puluh Enam</v>
      </c>
    </row>
    <row r="9597" spans="10:12">
      <c r="J9597" s="31">
        <v>67</v>
      </c>
      <c r="K9597" s="33" t="s">
        <v>141</v>
      </c>
      <c r="L9597" s="31" t="str">
        <f t="shared" si="926"/>
        <v>Enam Puluh Tujuh</v>
      </c>
    </row>
    <row r="9598" spans="10:12">
      <c r="J9598" s="31">
        <v>68</v>
      </c>
      <c r="K9598" s="33" t="s">
        <v>142</v>
      </c>
      <c r="L9598" s="31" t="str">
        <f t="shared" si="926"/>
        <v>Enam Puluh Delapan</v>
      </c>
    </row>
    <row r="9599" spans="10:12">
      <c r="J9599" s="31">
        <v>69</v>
      </c>
      <c r="K9599" s="33" t="s">
        <v>143</v>
      </c>
      <c r="L9599" s="31" t="str">
        <f t="shared" si="926"/>
        <v>Enam Puluh Sembilan</v>
      </c>
    </row>
    <row r="9600" spans="10:12">
      <c r="J9600" s="31">
        <v>70</v>
      </c>
      <c r="K9600" s="33" t="s">
        <v>144</v>
      </c>
      <c r="L9600" s="31" t="s">
        <v>145</v>
      </c>
    </row>
    <row r="9601" spans="10:12">
      <c r="J9601" s="31">
        <v>71</v>
      </c>
      <c r="K9601" s="33" t="s">
        <v>146</v>
      </c>
      <c r="L9601" s="31" t="str">
        <f t="shared" ref="L9601:L9609" si="927">$L$73&amp;" "&amp;L9531</f>
        <v>Tujuh Puluh Satu</v>
      </c>
    </row>
    <row r="9602" spans="10:12">
      <c r="J9602" s="31">
        <v>72</v>
      </c>
      <c r="K9602" s="33" t="s">
        <v>147</v>
      </c>
      <c r="L9602" s="31" t="str">
        <f t="shared" si="927"/>
        <v>Tujuh Puluh Dua</v>
      </c>
    </row>
    <row r="9603" spans="10:12">
      <c r="J9603" s="31">
        <v>73</v>
      </c>
      <c r="K9603" s="33" t="s">
        <v>148</v>
      </c>
      <c r="L9603" s="31" t="str">
        <f t="shared" si="927"/>
        <v>Tujuh Puluh Tiga</v>
      </c>
    </row>
    <row r="9604" spans="10:12">
      <c r="J9604" s="31">
        <v>74</v>
      </c>
      <c r="K9604" s="33" t="s">
        <v>149</v>
      </c>
      <c r="L9604" s="31" t="str">
        <f t="shared" si="927"/>
        <v>Tujuh Puluh Empat</v>
      </c>
    </row>
    <row r="9605" spans="10:12">
      <c r="J9605" s="31">
        <v>75</v>
      </c>
      <c r="K9605" s="33" t="s">
        <v>150</v>
      </c>
      <c r="L9605" s="31" t="str">
        <f t="shared" si="927"/>
        <v>Tujuh Puluh Lima</v>
      </c>
    </row>
    <row r="9606" spans="10:12">
      <c r="J9606" s="31">
        <v>76</v>
      </c>
      <c r="K9606" s="33" t="s">
        <v>151</v>
      </c>
      <c r="L9606" s="31" t="str">
        <f t="shared" si="927"/>
        <v>Tujuh Puluh Enam</v>
      </c>
    </row>
    <row r="9607" spans="10:12">
      <c r="J9607" s="31">
        <v>77</v>
      </c>
      <c r="K9607" s="33" t="s">
        <v>152</v>
      </c>
      <c r="L9607" s="31" t="str">
        <f t="shared" si="927"/>
        <v>Tujuh Puluh Tujuh</v>
      </c>
    </row>
    <row r="9608" spans="10:12">
      <c r="J9608" s="31">
        <v>78</v>
      </c>
      <c r="K9608" s="33" t="s">
        <v>153</v>
      </c>
      <c r="L9608" s="31" t="str">
        <f t="shared" si="927"/>
        <v>Tujuh Puluh Delapan</v>
      </c>
    </row>
    <row r="9609" spans="10:12">
      <c r="J9609" s="31">
        <v>79</v>
      </c>
      <c r="K9609" s="33" t="s">
        <v>154</v>
      </c>
      <c r="L9609" s="31" t="str">
        <f t="shared" si="927"/>
        <v>Tujuh Puluh Sembilan</v>
      </c>
    </row>
    <row r="9610" spans="10:12">
      <c r="J9610" s="31">
        <v>80</v>
      </c>
      <c r="K9610" s="33" t="s">
        <v>155</v>
      </c>
      <c r="L9610" s="31" t="s">
        <v>156</v>
      </c>
    </row>
    <row r="9611" spans="10:12">
      <c r="J9611" s="31">
        <v>81</v>
      </c>
      <c r="K9611" s="33" t="s">
        <v>157</v>
      </c>
      <c r="L9611" s="31" t="str">
        <f t="shared" ref="L9611:L9619" si="928">$L$83&amp;" "&amp;L9531</f>
        <v>Delapan Puluh Satu</v>
      </c>
    </row>
    <row r="9612" spans="10:12">
      <c r="J9612" s="31">
        <v>82</v>
      </c>
      <c r="K9612" s="33" t="s">
        <v>158</v>
      </c>
      <c r="L9612" s="31" t="str">
        <f t="shared" si="928"/>
        <v>Delapan Puluh Dua</v>
      </c>
    </row>
    <row r="9613" spans="10:12">
      <c r="J9613" s="31">
        <v>83</v>
      </c>
      <c r="K9613" s="33" t="s">
        <v>159</v>
      </c>
      <c r="L9613" s="31" t="str">
        <f t="shared" si="928"/>
        <v>Delapan Puluh Tiga</v>
      </c>
    </row>
    <row r="9614" spans="10:12">
      <c r="J9614" s="31">
        <v>84</v>
      </c>
      <c r="K9614" s="33" t="s">
        <v>160</v>
      </c>
      <c r="L9614" s="31" t="str">
        <f t="shared" si="928"/>
        <v>Delapan Puluh Empat</v>
      </c>
    </row>
    <row r="9615" spans="10:12">
      <c r="J9615" s="31">
        <v>85</v>
      </c>
      <c r="K9615" s="33" t="s">
        <v>161</v>
      </c>
      <c r="L9615" s="31" t="str">
        <f t="shared" si="928"/>
        <v>Delapan Puluh Lima</v>
      </c>
    </row>
    <row r="9616" spans="10:12">
      <c r="J9616" s="31">
        <v>86</v>
      </c>
      <c r="K9616" s="33" t="s">
        <v>162</v>
      </c>
      <c r="L9616" s="31" t="str">
        <f t="shared" si="928"/>
        <v>Delapan Puluh Enam</v>
      </c>
    </row>
    <row r="9617" spans="1:12">
      <c r="J9617" s="31">
        <v>87</v>
      </c>
      <c r="K9617" s="33" t="s">
        <v>163</v>
      </c>
      <c r="L9617" s="31" t="str">
        <f t="shared" si="928"/>
        <v>Delapan Puluh Tujuh</v>
      </c>
    </row>
    <row r="9618" spans="1:12">
      <c r="J9618" s="31">
        <v>88</v>
      </c>
      <c r="K9618" s="33" t="s">
        <v>164</v>
      </c>
      <c r="L9618" s="31" t="str">
        <f t="shared" si="928"/>
        <v>Delapan Puluh Delapan</v>
      </c>
    </row>
    <row r="9619" spans="1:12">
      <c r="J9619" s="31">
        <v>89</v>
      </c>
      <c r="K9619" s="33" t="s">
        <v>165</v>
      </c>
      <c r="L9619" s="31" t="str">
        <f t="shared" si="928"/>
        <v>Delapan Puluh Sembilan</v>
      </c>
    </row>
    <row r="9620" spans="1:12">
      <c r="J9620" s="31">
        <v>90</v>
      </c>
      <c r="K9620" s="33" t="s">
        <v>166</v>
      </c>
      <c r="L9620" s="31" t="s">
        <v>167</v>
      </c>
    </row>
    <row r="9621" spans="1:12">
      <c r="J9621" s="31">
        <v>91</v>
      </c>
      <c r="K9621" s="33" t="s">
        <v>168</v>
      </c>
      <c r="L9621" s="31" t="str">
        <f t="shared" ref="L9621:L9629" si="929">$L$93&amp;" "&amp;L9531</f>
        <v>Sembilan Puluh Satu</v>
      </c>
    </row>
    <row r="9622" spans="1:12">
      <c r="J9622" s="31">
        <v>92</v>
      </c>
      <c r="K9622" s="33" t="s">
        <v>169</v>
      </c>
      <c r="L9622" s="31" t="str">
        <f t="shared" si="929"/>
        <v>Sembilan Puluh Dua</v>
      </c>
    </row>
    <row r="9623" spans="1:12">
      <c r="J9623" s="31">
        <v>93</v>
      </c>
      <c r="K9623" s="33" t="s">
        <v>170</v>
      </c>
      <c r="L9623" s="31" t="str">
        <f t="shared" si="929"/>
        <v>Sembilan Puluh Tiga</v>
      </c>
    </row>
    <row r="9624" spans="1:12">
      <c r="J9624" s="31">
        <v>94</v>
      </c>
      <c r="K9624" s="33" t="s">
        <v>171</v>
      </c>
      <c r="L9624" s="31" t="str">
        <f t="shared" si="929"/>
        <v>Sembilan Puluh Empat</v>
      </c>
    </row>
    <row r="9625" spans="1:12">
      <c r="J9625" s="31">
        <v>95</v>
      </c>
      <c r="K9625" s="33" t="s">
        <v>172</v>
      </c>
      <c r="L9625" s="31" t="str">
        <f t="shared" si="929"/>
        <v>Sembilan Puluh Lima</v>
      </c>
    </row>
    <row r="9626" spans="1:12">
      <c r="J9626" s="31">
        <v>96</v>
      </c>
      <c r="K9626" s="33" t="s">
        <v>173</v>
      </c>
      <c r="L9626" s="31" t="str">
        <f t="shared" si="929"/>
        <v>Sembilan Puluh Enam</v>
      </c>
    </row>
    <row r="9627" spans="1:12">
      <c r="J9627" s="31">
        <v>97</v>
      </c>
      <c r="K9627" s="33" t="s">
        <v>174</v>
      </c>
      <c r="L9627" s="31" t="str">
        <f t="shared" si="929"/>
        <v>Sembilan Puluh Tujuh</v>
      </c>
    </row>
    <row r="9628" spans="1:12">
      <c r="J9628" s="31">
        <v>98</v>
      </c>
      <c r="K9628" s="33" t="s">
        <v>175</v>
      </c>
      <c r="L9628" s="31" t="str">
        <f t="shared" si="929"/>
        <v>Sembilan Puluh Delapan</v>
      </c>
    </row>
    <row r="9629" spans="1:12">
      <c r="J9629" s="31">
        <v>99</v>
      </c>
      <c r="K9629" s="33" t="s">
        <v>176</v>
      </c>
      <c r="L9629" s="31" t="str">
        <f t="shared" si="929"/>
        <v>Sembilan Puluh Sembilan</v>
      </c>
    </row>
    <row r="9632" spans="1:12">
      <c r="A9632" s="30" t="e">
        <f>#REF!</f>
        <v>#REF!</v>
      </c>
      <c r="C9632" s="31" t="s">
        <v>306</v>
      </c>
    </row>
    <row r="9633" spans="1:12">
      <c r="A9633" s="32"/>
    </row>
    <row r="9634" spans="1:12">
      <c r="J9634" s="31">
        <v>0</v>
      </c>
      <c r="K9634" s="33" t="s">
        <v>48</v>
      </c>
      <c r="L9634" s="31" t="s">
        <v>49</v>
      </c>
    </row>
    <row r="9635" spans="1:12">
      <c r="A9635" s="34"/>
      <c r="J9635" s="31">
        <v>1</v>
      </c>
      <c r="K9635" s="33" t="s">
        <v>50</v>
      </c>
      <c r="L9635" s="31" t="s">
        <v>51</v>
      </c>
    </row>
    <row r="9636" spans="1:12">
      <c r="A9636" s="255" t="e">
        <f>TRIM(D9644&amp;E9644&amp;D9645&amp;E9645&amp;D9646&amp;E9646&amp;D9647&amp;E9647&amp;D9648&amp;E9648&amp;D9649&amp;E9649&amp;E9650&amp;D9650&amp;" Only")</f>
        <v>#REF!</v>
      </c>
      <c r="B9636" s="255"/>
      <c r="C9636" s="255"/>
      <c r="D9636" s="255"/>
      <c r="E9636" s="35"/>
      <c r="F9636" s="36"/>
      <c r="J9636" s="31">
        <v>2</v>
      </c>
      <c r="K9636" s="33" t="s">
        <v>52</v>
      </c>
      <c r="L9636" s="31" t="s">
        <v>53</v>
      </c>
    </row>
    <row r="9637" spans="1:12">
      <c r="A9637" s="37"/>
      <c r="B9637" s="37"/>
      <c r="C9637" s="37"/>
      <c r="D9637" s="37"/>
      <c r="E9637" s="35"/>
      <c r="F9637" s="36"/>
      <c r="J9637" s="31">
        <v>3</v>
      </c>
      <c r="K9637" s="33" t="s">
        <v>54</v>
      </c>
      <c r="L9637" s="31" t="s">
        <v>55</v>
      </c>
    </row>
    <row r="9638" spans="1:12">
      <c r="A9638" s="37"/>
      <c r="B9638" s="37"/>
      <c r="C9638" s="37"/>
      <c r="D9638" s="37"/>
      <c r="J9638" s="31">
        <v>4</v>
      </c>
      <c r="K9638" s="33" t="s">
        <v>56</v>
      </c>
      <c r="L9638" s="31" t="s">
        <v>57</v>
      </c>
    </row>
    <row r="9639" spans="1:12">
      <c r="A9639" s="255" t="e">
        <f>TRIM(D9654&amp;E9654&amp;D9655&amp;E9655&amp;D9656&amp;E9656&amp;D9657&amp;E9657&amp;D9658&amp;E9658&amp;D9659&amp;E9659&amp;D9660&amp;E9660&amp;" Rupiah")</f>
        <v>#REF!</v>
      </c>
      <c r="B9639" s="255"/>
      <c r="C9639" s="255"/>
      <c r="D9639" s="255"/>
      <c r="E9639" s="35"/>
      <c r="F9639" s="36"/>
      <c r="J9639" s="31">
        <v>5</v>
      </c>
      <c r="K9639" s="33" t="s">
        <v>58</v>
      </c>
      <c r="L9639" s="31" t="s">
        <v>59</v>
      </c>
    </row>
    <row r="9640" spans="1:12">
      <c r="A9640" s="35"/>
      <c r="B9640" s="35"/>
      <c r="C9640" s="35"/>
      <c r="D9640" s="35"/>
      <c r="E9640" s="35"/>
      <c r="F9640" s="36"/>
      <c r="J9640" s="31">
        <v>6</v>
      </c>
      <c r="K9640" s="33" t="s">
        <v>60</v>
      </c>
      <c r="L9640" s="31" t="s">
        <v>61</v>
      </c>
    </row>
    <row r="9641" spans="1:12">
      <c r="J9641" s="31">
        <v>7</v>
      </c>
      <c r="K9641" s="33" t="s">
        <v>62</v>
      </c>
      <c r="L9641" s="31" t="s">
        <v>63</v>
      </c>
    </row>
    <row r="9642" spans="1:12">
      <c r="J9642" s="31">
        <v>8</v>
      </c>
      <c r="K9642" s="33" t="s">
        <v>64</v>
      </c>
      <c r="L9642" s="31" t="s">
        <v>65</v>
      </c>
    </row>
    <row r="9643" spans="1:12">
      <c r="A9643" s="38" t="s">
        <v>66</v>
      </c>
      <c r="J9643" s="31">
        <v>9</v>
      </c>
      <c r="K9643" s="33" t="s">
        <v>67</v>
      </c>
      <c r="L9643" s="31" t="s">
        <v>68</v>
      </c>
    </row>
    <row r="9644" spans="1:12">
      <c r="A9644" s="31" t="s">
        <v>69</v>
      </c>
      <c r="B9644" s="39" t="e">
        <f>TRUNC(A9632/100000000)</f>
        <v>#REF!</v>
      </c>
      <c r="C9644" s="31" t="e">
        <f>B9644*100000000</f>
        <v>#REF!</v>
      </c>
      <c r="D9644" s="31" t="e">
        <f t="shared" ref="D9644:D9650" si="930">IF(B9644&lt;1,"",VLOOKUP(B9644,$J$3:$K$102,2))</f>
        <v>#REF!</v>
      </c>
      <c r="E9644" s="31" t="e">
        <f>IF(B9644&lt;1,"",IF(B9644&gt;1," Hundreds "," Hundred "))</f>
        <v>#REF!</v>
      </c>
      <c r="J9644" s="31">
        <v>10</v>
      </c>
      <c r="K9644" s="33" t="s">
        <v>70</v>
      </c>
      <c r="L9644" s="31" t="s">
        <v>71</v>
      </c>
    </row>
    <row r="9645" spans="1:12">
      <c r="A9645" s="31" t="s">
        <v>72</v>
      </c>
      <c r="B9645" s="39" t="e">
        <f>TRUNC((A9632-C9644)/1000000)</f>
        <v>#REF!</v>
      </c>
      <c r="C9645" s="31" t="e">
        <f>B9645*1000000</f>
        <v>#REF!</v>
      </c>
      <c r="D9645" s="31" t="e">
        <f t="shared" si="930"/>
        <v>#REF!</v>
      </c>
      <c r="E9645" s="31" t="e">
        <f>IF(B9644+B9645=0,"",IF(B9645=1," Million "," Millions "))</f>
        <v>#REF!</v>
      </c>
      <c r="J9645" s="31">
        <v>11</v>
      </c>
      <c r="K9645" s="33" t="s">
        <v>73</v>
      </c>
      <c r="L9645" s="31" t="s">
        <v>74</v>
      </c>
    </row>
    <row r="9646" spans="1:12">
      <c r="A9646" s="31" t="s">
        <v>75</v>
      </c>
      <c r="B9646" s="39" t="e">
        <f>TRUNC((A9632-SUM(C9644:C9645))/100000)</f>
        <v>#REF!</v>
      </c>
      <c r="C9646" s="31" t="e">
        <f>B9646*100000</f>
        <v>#REF!</v>
      </c>
      <c r="D9646" s="31" t="e">
        <f t="shared" si="930"/>
        <v>#REF!</v>
      </c>
      <c r="E9646" s="31" t="e">
        <f>IF(B9646&lt;1,"",IF(B9646&gt;1," Hundreds "," Hundred "))</f>
        <v>#REF!</v>
      </c>
      <c r="J9646" s="31">
        <v>12</v>
      </c>
      <c r="K9646" s="33" t="s">
        <v>76</v>
      </c>
      <c r="L9646" s="31" t="str">
        <f t="shared" ref="L9646:L9653" si="931">L9636&amp;" Belas"</f>
        <v>Dua Belas</v>
      </c>
    </row>
    <row r="9647" spans="1:12">
      <c r="A9647" s="33" t="s">
        <v>77</v>
      </c>
      <c r="B9647" s="40" t="e">
        <f>TRUNC((A9632-SUM(C9644:C9646))/1000)</f>
        <v>#REF!</v>
      </c>
      <c r="C9647" s="31" t="e">
        <f>B9647*1000</f>
        <v>#REF!</v>
      </c>
      <c r="D9647" s="31" t="e">
        <f t="shared" si="930"/>
        <v>#REF!</v>
      </c>
      <c r="E9647" s="31" t="e">
        <f>IF(B9646+B9647=0,"",IF(B9647=1," Thousand "," Thousands "))</f>
        <v>#REF!</v>
      </c>
      <c r="J9647" s="31">
        <v>13</v>
      </c>
      <c r="K9647" s="33" t="s">
        <v>78</v>
      </c>
      <c r="L9647" s="31" t="str">
        <f t="shared" si="931"/>
        <v>Tiga Belas</v>
      </c>
    </row>
    <row r="9648" spans="1:12">
      <c r="A9648" s="33" t="s">
        <v>79</v>
      </c>
      <c r="B9648" s="40" t="e">
        <f>TRUNC((A9632-SUM(C9644:C9647))/100)</f>
        <v>#REF!</v>
      </c>
      <c r="C9648" s="31" t="e">
        <f>B9648*100</f>
        <v>#REF!</v>
      </c>
      <c r="D9648" s="31" t="e">
        <f t="shared" si="930"/>
        <v>#REF!</v>
      </c>
      <c r="E9648" s="31" t="e">
        <f>IF(B9648&lt;1,"",IF(B9648&gt;1," Hundreds "," Hundred "))</f>
        <v>#REF!</v>
      </c>
      <c r="J9648" s="31">
        <v>14</v>
      </c>
      <c r="K9648" s="33" t="s">
        <v>80</v>
      </c>
      <c r="L9648" s="31" t="str">
        <f t="shared" si="931"/>
        <v>Empat Belas</v>
      </c>
    </row>
    <row r="9649" spans="1:12">
      <c r="A9649" s="33" t="s">
        <v>81</v>
      </c>
      <c r="B9649" s="41" t="e">
        <f>TRUNC((A9632-SUM(C9644:C9648)))</f>
        <v>#REF!</v>
      </c>
      <c r="C9649" s="42" t="e">
        <f>B9649</f>
        <v>#REF!</v>
      </c>
      <c r="D9649" s="31" t="e">
        <f t="shared" si="930"/>
        <v>#REF!</v>
      </c>
      <c r="E9649" s="31" t="e">
        <f>IF(SUM(C9644:C9649)&lt;1,"",IF(B9650&lt;1,""," And "))</f>
        <v>#REF!</v>
      </c>
      <c r="J9649" s="31">
        <v>15</v>
      </c>
      <c r="K9649" s="33" t="s">
        <v>82</v>
      </c>
      <c r="L9649" s="31" t="str">
        <f t="shared" si="931"/>
        <v>Lima Belas</v>
      </c>
    </row>
    <row r="9650" spans="1:12">
      <c r="A9650" s="33" t="s">
        <v>83</v>
      </c>
      <c r="B9650" s="40" t="e">
        <f>ROUND(A9632-SUM(C9644:C9649),2)*100</f>
        <v>#REF!</v>
      </c>
      <c r="D9650" s="43" t="e">
        <f t="shared" si="930"/>
        <v>#REF!</v>
      </c>
      <c r="E9650" s="31" t="e">
        <f>IF(B9650&lt;1,"",IF(B9650=1," Cent "," Cents "))</f>
        <v>#REF!</v>
      </c>
      <c r="J9650" s="31">
        <v>16</v>
      </c>
      <c r="K9650" s="33" t="s">
        <v>84</v>
      </c>
      <c r="L9650" s="31" t="str">
        <f t="shared" si="931"/>
        <v>Enam Belas</v>
      </c>
    </row>
    <row r="9651" spans="1:12">
      <c r="J9651" s="31">
        <v>17</v>
      </c>
      <c r="K9651" s="33" t="s">
        <v>85</v>
      </c>
      <c r="L9651" s="31" t="str">
        <f t="shared" si="931"/>
        <v>Tujuh Belas</v>
      </c>
    </row>
    <row r="9652" spans="1:12">
      <c r="A9652" s="44"/>
      <c r="J9652" s="31">
        <v>18</v>
      </c>
      <c r="K9652" s="33" t="s">
        <v>86</v>
      </c>
      <c r="L9652" s="31" t="str">
        <f t="shared" si="931"/>
        <v>Delapan Belas</v>
      </c>
    </row>
    <row r="9653" spans="1:12">
      <c r="A9653" s="38" t="s">
        <v>87</v>
      </c>
      <c r="J9653" s="31">
        <v>19</v>
      </c>
      <c r="K9653" s="33" t="s">
        <v>88</v>
      </c>
      <c r="L9653" s="31" t="str">
        <f t="shared" si="931"/>
        <v>Sembilan Belas</v>
      </c>
    </row>
    <row r="9654" spans="1:12">
      <c r="A9654" s="31" t="s">
        <v>69</v>
      </c>
      <c r="B9654" s="39" t="e">
        <f>TRUNC(A9632/100000000)</f>
        <v>#REF!</v>
      </c>
      <c r="C9654" s="31" t="e">
        <f>B9654*100000000</f>
        <v>#REF!</v>
      </c>
      <c r="D9654" s="31" t="e">
        <f>IF(B9654&lt;1,"",IF(B9654=1,"",VLOOKUP(B9654,$J$3:$L$102,3)))</f>
        <v>#REF!</v>
      </c>
      <c r="E9654" s="31" t="e">
        <f>IF(B9654&lt;1,"",IF(B9654=1,"Seratus "," Ratus "))</f>
        <v>#REF!</v>
      </c>
      <c r="J9654" s="31">
        <v>20</v>
      </c>
      <c r="K9654" s="33" t="s">
        <v>89</v>
      </c>
      <c r="L9654" s="31" t="s">
        <v>90</v>
      </c>
    </row>
    <row r="9655" spans="1:12">
      <c r="A9655" s="31" t="s">
        <v>72</v>
      </c>
      <c r="B9655" s="39" t="e">
        <f>TRUNC((A9632-C9654)/1000000)</f>
        <v>#REF!</v>
      </c>
      <c r="C9655" s="31" t="e">
        <f>B9655*1000000</f>
        <v>#REF!</v>
      </c>
      <c r="D9655" s="31" t="e">
        <f>IF(B9655&lt;1,"",VLOOKUP(B9655,$J$3:$L$102,3))</f>
        <v>#REF!</v>
      </c>
      <c r="E9655" s="31" t="e">
        <f>IF(B9654+B9655=0,""," Juta ")</f>
        <v>#REF!</v>
      </c>
      <c r="J9655" s="31">
        <v>21</v>
      </c>
      <c r="K9655" s="33" t="s">
        <v>91</v>
      </c>
      <c r="L9655" s="31" t="str">
        <f t="shared" ref="L9655:L9663" si="932">$L$23&amp;" "&amp;L9635</f>
        <v>Dua Puluh Satu</v>
      </c>
    </row>
    <row r="9656" spans="1:12">
      <c r="A9656" s="31" t="s">
        <v>75</v>
      </c>
      <c r="B9656" s="39" t="e">
        <f>TRUNC((A9632-SUM(C9654:C9655))/100000)</f>
        <v>#REF!</v>
      </c>
      <c r="C9656" s="31" t="e">
        <f>B9656*100000</f>
        <v>#REF!</v>
      </c>
      <c r="D9656" s="31" t="e">
        <f>IF(B9656&lt;1,"",IF(B9656=1,"",VLOOKUP(B9656,$J$3:$L$102,3)))</f>
        <v>#REF!</v>
      </c>
      <c r="E9656" s="31" t="e">
        <f>IF(B9656&lt;1,"",IF(B9656=1," Seratus "," Ratus "))</f>
        <v>#REF!</v>
      </c>
      <c r="J9656" s="31">
        <v>22</v>
      </c>
      <c r="K9656" s="33" t="s">
        <v>92</v>
      </c>
      <c r="L9656" s="31" t="str">
        <f t="shared" si="932"/>
        <v>Dua Puluh Dua</v>
      </c>
    </row>
    <row r="9657" spans="1:12">
      <c r="A9657" s="33" t="s">
        <v>77</v>
      </c>
      <c r="B9657" s="40" t="e">
        <f>TRUNC((A9632-SUM(C9654:C9656))/1000)</f>
        <v>#REF!</v>
      </c>
      <c r="C9657" s="31" t="e">
        <f>B9657*1000</f>
        <v>#REF!</v>
      </c>
      <c r="D9657" s="31" t="e">
        <f>IF(B9657&lt;1,"",IF(B9657=1,"",VLOOKUP(B9657,$J$3:$L$102,3)))</f>
        <v>#REF!</v>
      </c>
      <c r="E9657" s="31" t="e">
        <f>IF(B9656+B9657&lt;1,"",IF(B9657=1," Seribu "," Ribu "))</f>
        <v>#REF!</v>
      </c>
      <c r="J9657" s="31">
        <v>23</v>
      </c>
      <c r="K9657" s="33" t="s">
        <v>93</v>
      </c>
      <c r="L9657" s="31" t="str">
        <f t="shared" si="932"/>
        <v>Dua Puluh Tiga</v>
      </c>
    </row>
    <row r="9658" spans="1:12">
      <c r="A9658" s="33" t="s">
        <v>79</v>
      </c>
      <c r="B9658" s="40" t="e">
        <f>TRUNC((A9632-SUM(C9654:C9657))/100)</f>
        <v>#REF!</v>
      </c>
      <c r="C9658" s="31" t="e">
        <f>B9658*100</f>
        <v>#REF!</v>
      </c>
      <c r="D9658" s="31" t="e">
        <f>IF(B9658&lt;1,"",IF(B9658=1,"",VLOOKUP(B9658,$J$3:$L$102,3)))</f>
        <v>#REF!</v>
      </c>
      <c r="E9658" s="31" t="e">
        <f>IF(B9658&lt;1,"",IF(B9658=1," Seratus "," Ratus "))</f>
        <v>#REF!</v>
      </c>
      <c r="J9658" s="31">
        <v>24</v>
      </c>
      <c r="K9658" s="33" t="s">
        <v>94</v>
      </c>
      <c r="L9658" s="31" t="str">
        <f t="shared" si="932"/>
        <v>Dua Puluh Empat</v>
      </c>
    </row>
    <row r="9659" spans="1:12">
      <c r="A9659" s="33" t="s">
        <v>81</v>
      </c>
      <c r="B9659" s="41" t="e">
        <f>TRUNC((A9632-SUM(C9654:C9658)))</f>
        <v>#REF!</v>
      </c>
      <c r="C9659" s="42" t="e">
        <f>B9659</f>
        <v>#REF!</v>
      </c>
      <c r="D9659" s="31" t="e">
        <f>IF(B9659&lt;1,"",VLOOKUP(B9659,$J$3:$L$102,3))</f>
        <v>#REF!</v>
      </c>
      <c r="E9659" s="31" t="e">
        <f>IF(SUM(C9654:C9659)&lt;1,"",IF(B9660&lt;1,""," Dan "))</f>
        <v>#REF!</v>
      </c>
      <c r="J9659" s="31">
        <v>25</v>
      </c>
      <c r="K9659" s="33" t="s">
        <v>95</v>
      </c>
      <c r="L9659" s="31" t="str">
        <f t="shared" si="932"/>
        <v>Dua Puluh Lima</v>
      </c>
    </row>
    <row r="9660" spans="1:12">
      <c r="A9660" s="33" t="s">
        <v>83</v>
      </c>
      <c r="B9660" s="40" t="e">
        <f>ROUND(A9632-SUM(C9654:C9659),2)*100</f>
        <v>#REF!</v>
      </c>
      <c r="D9660" s="31" t="e">
        <f>IF(B9660&lt;1,"",VLOOKUP(B9660,$J$3:$L$102,3))</f>
        <v>#REF!</v>
      </c>
      <c r="E9660" s="31" t="e">
        <f>IF(B9660&lt;1,""," Sen ")</f>
        <v>#REF!</v>
      </c>
      <c r="J9660" s="31">
        <v>26</v>
      </c>
      <c r="K9660" s="33" t="s">
        <v>96</v>
      </c>
      <c r="L9660" s="31" t="str">
        <f t="shared" si="932"/>
        <v>Dua Puluh Enam</v>
      </c>
    </row>
    <row r="9661" spans="1:12">
      <c r="J9661" s="31">
        <v>27</v>
      </c>
      <c r="K9661" s="33" t="s">
        <v>97</v>
      </c>
      <c r="L9661" s="31" t="str">
        <f t="shared" si="932"/>
        <v>Dua Puluh Tujuh</v>
      </c>
    </row>
    <row r="9662" spans="1:12">
      <c r="J9662" s="31">
        <v>28</v>
      </c>
      <c r="K9662" s="33" t="s">
        <v>98</v>
      </c>
      <c r="L9662" s="31" t="str">
        <f t="shared" si="932"/>
        <v>Dua Puluh Delapan</v>
      </c>
    </row>
    <row r="9663" spans="1:12">
      <c r="J9663" s="31">
        <v>29</v>
      </c>
      <c r="K9663" s="33" t="s">
        <v>99</v>
      </c>
      <c r="L9663" s="31" t="str">
        <f t="shared" si="932"/>
        <v>Dua Puluh Sembilan</v>
      </c>
    </row>
    <row r="9664" spans="1:12">
      <c r="J9664" s="31">
        <v>30</v>
      </c>
      <c r="K9664" s="33" t="s">
        <v>100</v>
      </c>
      <c r="L9664" s="31" t="s">
        <v>101</v>
      </c>
    </row>
    <row r="9665" spans="1:12">
      <c r="J9665" s="31">
        <v>31</v>
      </c>
      <c r="K9665" s="33" t="s">
        <v>102</v>
      </c>
      <c r="L9665" s="31" t="str">
        <f t="shared" ref="L9665:L9673" si="933">$L$33&amp;" "&amp;L9635</f>
        <v>Tiga Puluh Satu</v>
      </c>
    </row>
    <row r="9666" spans="1:12">
      <c r="J9666" s="31">
        <v>32</v>
      </c>
      <c r="K9666" s="33" t="s">
        <v>103</v>
      </c>
      <c r="L9666" s="31" t="str">
        <f t="shared" si="933"/>
        <v>Tiga Puluh Dua</v>
      </c>
    </row>
    <row r="9667" spans="1:12">
      <c r="J9667" s="31">
        <v>33</v>
      </c>
      <c r="K9667" s="33" t="s">
        <v>104</v>
      </c>
      <c r="L9667" s="31" t="str">
        <f t="shared" si="933"/>
        <v>Tiga Puluh Tiga</v>
      </c>
    </row>
    <row r="9668" spans="1:12">
      <c r="J9668" s="31">
        <v>34</v>
      </c>
      <c r="K9668" s="33" t="s">
        <v>105</v>
      </c>
      <c r="L9668" s="31" t="str">
        <f t="shared" si="933"/>
        <v>Tiga Puluh Empat</v>
      </c>
    </row>
    <row r="9669" spans="1:12">
      <c r="J9669" s="31">
        <v>35</v>
      </c>
      <c r="K9669" s="33" t="s">
        <v>106</v>
      </c>
      <c r="L9669" s="31" t="str">
        <f t="shared" si="933"/>
        <v>Tiga Puluh Lima</v>
      </c>
    </row>
    <row r="9670" spans="1:12">
      <c r="J9670" s="31">
        <v>36</v>
      </c>
      <c r="K9670" s="33" t="s">
        <v>107</v>
      </c>
      <c r="L9670" s="31" t="str">
        <f t="shared" si="933"/>
        <v>Tiga Puluh Enam</v>
      </c>
    </row>
    <row r="9671" spans="1:12">
      <c r="J9671" s="31">
        <v>37</v>
      </c>
      <c r="K9671" s="33" t="s">
        <v>108</v>
      </c>
      <c r="L9671" s="31" t="str">
        <f t="shared" si="933"/>
        <v>Tiga Puluh Tujuh</v>
      </c>
    </row>
    <row r="9672" spans="1:12">
      <c r="J9672" s="31">
        <v>38</v>
      </c>
      <c r="K9672" s="33" t="s">
        <v>109</v>
      </c>
      <c r="L9672" s="31" t="str">
        <f t="shared" si="933"/>
        <v>Tiga Puluh Delapan</v>
      </c>
    </row>
    <row r="9673" spans="1:12">
      <c r="J9673" s="31">
        <v>39</v>
      </c>
      <c r="K9673" s="33" t="s">
        <v>110</v>
      </c>
      <c r="L9673" s="31" t="str">
        <f t="shared" si="933"/>
        <v>Tiga Puluh Sembilan</v>
      </c>
    </row>
    <row r="9674" spans="1:12">
      <c r="B9674" s="35"/>
      <c r="C9674" s="35"/>
      <c r="D9674" s="35"/>
      <c r="J9674" s="31">
        <v>40</v>
      </c>
      <c r="K9674" s="33" t="s">
        <v>111</v>
      </c>
      <c r="L9674" s="31" t="s">
        <v>112</v>
      </c>
    </row>
    <row r="9675" spans="1:12">
      <c r="A9675" s="35"/>
      <c r="B9675" s="35"/>
      <c r="C9675" s="35"/>
      <c r="D9675" s="35"/>
      <c r="J9675" s="31">
        <v>41</v>
      </c>
      <c r="K9675" s="33" t="s">
        <v>113</v>
      </c>
      <c r="L9675" s="31" t="str">
        <f t="shared" ref="L9675:L9683" si="934">$L$43&amp;" "&amp;L9635</f>
        <v>Empat Puluh Satu</v>
      </c>
    </row>
    <row r="9676" spans="1:12">
      <c r="J9676" s="31">
        <v>42</v>
      </c>
      <c r="K9676" s="33" t="s">
        <v>114</v>
      </c>
      <c r="L9676" s="31" t="str">
        <f t="shared" si="934"/>
        <v>Empat Puluh Dua</v>
      </c>
    </row>
    <row r="9677" spans="1:12">
      <c r="A9677" s="38"/>
      <c r="J9677" s="31">
        <v>43</v>
      </c>
      <c r="K9677" s="33" t="s">
        <v>115</v>
      </c>
      <c r="L9677" s="31" t="str">
        <f t="shared" si="934"/>
        <v>Empat Puluh Tiga</v>
      </c>
    </row>
    <row r="9678" spans="1:12">
      <c r="J9678" s="31">
        <v>44</v>
      </c>
      <c r="K9678" s="33" t="s">
        <v>116</v>
      </c>
      <c r="L9678" s="31" t="str">
        <f t="shared" si="934"/>
        <v>Empat Puluh Empat</v>
      </c>
    </row>
    <row r="9679" spans="1:12">
      <c r="J9679" s="31">
        <v>45</v>
      </c>
      <c r="K9679" s="33" t="s">
        <v>117</v>
      </c>
      <c r="L9679" s="31" t="str">
        <f t="shared" si="934"/>
        <v>Empat Puluh Lima</v>
      </c>
    </row>
    <row r="9680" spans="1:12">
      <c r="J9680" s="31">
        <v>46</v>
      </c>
      <c r="K9680" s="33" t="s">
        <v>118</v>
      </c>
      <c r="L9680" s="31" t="str">
        <f t="shared" si="934"/>
        <v>Empat Puluh Enam</v>
      </c>
    </row>
    <row r="9681" spans="10:12">
      <c r="J9681" s="31">
        <v>47</v>
      </c>
      <c r="K9681" s="33" t="s">
        <v>119</v>
      </c>
      <c r="L9681" s="31" t="str">
        <f t="shared" si="934"/>
        <v>Empat Puluh Tujuh</v>
      </c>
    </row>
    <row r="9682" spans="10:12">
      <c r="J9682" s="31">
        <v>48</v>
      </c>
      <c r="K9682" s="33" t="s">
        <v>120</v>
      </c>
      <c r="L9682" s="31" t="str">
        <f t="shared" si="934"/>
        <v>Empat Puluh Delapan</v>
      </c>
    </row>
    <row r="9683" spans="10:12">
      <c r="J9683" s="31">
        <v>49</v>
      </c>
      <c r="K9683" s="33" t="s">
        <v>121</v>
      </c>
      <c r="L9683" s="31" t="str">
        <f t="shared" si="934"/>
        <v>Empat Puluh Sembilan</v>
      </c>
    </row>
    <row r="9684" spans="10:12">
      <c r="J9684" s="31">
        <v>50</v>
      </c>
      <c r="K9684" s="33" t="s">
        <v>122</v>
      </c>
      <c r="L9684" s="31" t="s">
        <v>123</v>
      </c>
    </row>
    <row r="9685" spans="10:12">
      <c r="J9685" s="31">
        <v>51</v>
      </c>
      <c r="K9685" s="33" t="s">
        <v>124</v>
      </c>
      <c r="L9685" s="31" t="str">
        <f t="shared" ref="L9685:L9693" si="935">$L$53&amp;" "&amp;L9635</f>
        <v>Lima Puluh Satu</v>
      </c>
    </row>
    <row r="9686" spans="10:12">
      <c r="J9686" s="31">
        <v>52</v>
      </c>
      <c r="K9686" s="33" t="s">
        <v>125</v>
      </c>
      <c r="L9686" s="31" t="str">
        <f t="shared" si="935"/>
        <v>Lima Puluh Dua</v>
      </c>
    </row>
    <row r="9687" spans="10:12">
      <c r="J9687" s="31">
        <v>53</v>
      </c>
      <c r="K9687" s="33" t="s">
        <v>126</v>
      </c>
      <c r="L9687" s="31" t="str">
        <f t="shared" si="935"/>
        <v>Lima Puluh Tiga</v>
      </c>
    </row>
    <row r="9688" spans="10:12">
      <c r="J9688" s="31">
        <v>54</v>
      </c>
      <c r="K9688" s="33" t="s">
        <v>127</v>
      </c>
      <c r="L9688" s="31" t="str">
        <f t="shared" si="935"/>
        <v>Lima Puluh Empat</v>
      </c>
    </row>
    <row r="9689" spans="10:12">
      <c r="J9689" s="31">
        <v>55</v>
      </c>
      <c r="K9689" s="33" t="s">
        <v>128</v>
      </c>
      <c r="L9689" s="31" t="str">
        <f t="shared" si="935"/>
        <v>Lima Puluh Lima</v>
      </c>
    </row>
    <row r="9690" spans="10:12">
      <c r="J9690" s="31">
        <v>56</v>
      </c>
      <c r="K9690" s="33" t="s">
        <v>129</v>
      </c>
      <c r="L9690" s="31" t="str">
        <f t="shared" si="935"/>
        <v>Lima Puluh Enam</v>
      </c>
    </row>
    <row r="9691" spans="10:12">
      <c r="J9691" s="31">
        <v>57</v>
      </c>
      <c r="K9691" s="33" t="s">
        <v>130</v>
      </c>
      <c r="L9691" s="31" t="str">
        <f t="shared" si="935"/>
        <v>Lima Puluh Tujuh</v>
      </c>
    </row>
    <row r="9692" spans="10:12">
      <c r="J9692" s="31">
        <v>58</v>
      </c>
      <c r="K9692" s="33" t="s">
        <v>131</v>
      </c>
      <c r="L9692" s="31" t="str">
        <f t="shared" si="935"/>
        <v>Lima Puluh Delapan</v>
      </c>
    </row>
    <row r="9693" spans="10:12">
      <c r="J9693" s="31">
        <v>59</v>
      </c>
      <c r="K9693" s="33" t="s">
        <v>132</v>
      </c>
      <c r="L9693" s="31" t="str">
        <f t="shared" si="935"/>
        <v>Lima Puluh Sembilan</v>
      </c>
    </row>
    <row r="9694" spans="10:12">
      <c r="J9694" s="31">
        <v>60</v>
      </c>
      <c r="K9694" s="33" t="s">
        <v>133</v>
      </c>
      <c r="L9694" s="31" t="s">
        <v>134</v>
      </c>
    </row>
    <row r="9695" spans="10:12">
      <c r="J9695" s="31">
        <v>61</v>
      </c>
      <c r="K9695" s="33" t="s">
        <v>135</v>
      </c>
      <c r="L9695" s="31" t="str">
        <f t="shared" ref="L9695:L9703" si="936">$L$63&amp;" "&amp;L9635</f>
        <v>Enam Puluh Satu</v>
      </c>
    </row>
    <row r="9696" spans="10:12">
      <c r="J9696" s="31">
        <v>62</v>
      </c>
      <c r="K9696" s="33" t="s">
        <v>136</v>
      </c>
      <c r="L9696" s="31" t="str">
        <f t="shared" si="936"/>
        <v>Enam Puluh Dua</v>
      </c>
    </row>
    <row r="9697" spans="10:12">
      <c r="J9697" s="31">
        <v>63</v>
      </c>
      <c r="K9697" s="33" t="s">
        <v>137</v>
      </c>
      <c r="L9697" s="31" t="str">
        <f t="shared" si="936"/>
        <v>Enam Puluh Tiga</v>
      </c>
    </row>
    <row r="9698" spans="10:12">
      <c r="J9698" s="31">
        <v>64</v>
      </c>
      <c r="K9698" s="33" t="s">
        <v>138</v>
      </c>
      <c r="L9698" s="31" t="str">
        <f t="shared" si="936"/>
        <v>Enam Puluh Empat</v>
      </c>
    </row>
    <row r="9699" spans="10:12">
      <c r="J9699" s="31">
        <v>65</v>
      </c>
      <c r="K9699" s="33" t="s">
        <v>139</v>
      </c>
      <c r="L9699" s="31" t="str">
        <f t="shared" si="936"/>
        <v>Enam Puluh Lima</v>
      </c>
    </row>
    <row r="9700" spans="10:12">
      <c r="J9700" s="31">
        <v>66</v>
      </c>
      <c r="K9700" s="33" t="s">
        <v>140</v>
      </c>
      <c r="L9700" s="31" t="str">
        <f t="shared" si="936"/>
        <v>Enam Puluh Enam</v>
      </c>
    </row>
    <row r="9701" spans="10:12">
      <c r="J9701" s="31">
        <v>67</v>
      </c>
      <c r="K9701" s="33" t="s">
        <v>141</v>
      </c>
      <c r="L9701" s="31" t="str">
        <f t="shared" si="936"/>
        <v>Enam Puluh Tujuh</v>
      </c>
    </row>
    <row r="9702" spans="10:12">
      <c r="J9702" s="31">
        <v>68</v>
      </c>
      <c r="K9702" s="33" t="s">
        <v>142</v>
      </c>
      <c r="L9702" s="31" t="str">
        <f t="shared" si="936"/>
        <v>Enam Puluh Delapan</v>
      </c>
    </row>
    <row r="9703" spans="10:12">
      <c r="J9703" s="31">
        <v>69</v>
      </c>
      <c r="K9703" s="33" t="s">
        <v>143</v>
      </c>
      <c r="L9703" s="31" t="str">
        <f t="shared" si="936"/>
        <v>Enam Puluh Sembilan</v>
      </c>
    </row>
    <row r="9704" spans="10:12">
      <c r="J9704" s="31">
        <v>70</v>
      </c>
      <c r="K9704" s="33" t="s">
        <v>144</v>
      </c>
      <c r="L9704" s="31" t="s">
        <v>145</v>
      </c>
    </row>
    <row r="9705" spans="10:12">
      <c r="J9705" s="31">
        <v>71</v>
      </c>
      <c r="K9705" s="33" t="s">
        <v>146</v>
      </c>
      <c r="L9705" s="31" t="str">
        <f t="shared" ref="L9705:L9713" si="937">$L$73&amp;" "&amp;L9635</f>
        <v>Tujuh Puluh Satu</v>
      </c>
    </row>
    <row r="9706" spans="10:12">
      <c r="J9706" s="31">
        <v>72</v>
      </c>
      <c r="K9706" s="33" t="s">
        <v>147</v>
      </c>
      <c r="L9706" s="31" t="str">
        <f t="shared" si="937"/>
        <v>Tujuh Puluh Dua</v>
      </c>
    </row>
    <row r="9707" spans="10:12">
      <c r="J9707" s="31">
        <v>73</v>
      </c>
      <c r="K9707" s="33" t="s">
        <v>148</v>
      </c>
      <c r="L9707" s="31" t="str">
        <f t="shared" si="937"/>
        <v>Tujuh Puluh Tiga</v>
      </c>
    </row>
    <row r="9708" spans="10:12">
      <c r="J9708" s="31">
        <v>74</v>
      </c>
      <c r="K9708" s="33" t="s">
        <v>149</v>
      </c>
      <c r="L9708" s="31" t="str">
        <f t="shared" si="937"/>
        <v>Tujuh Puluh Empat</v>
      </c>
    </row>
    <row r="9709" spans="10:12">
      <c r="J9709" s="31">
        <v>75</v>
      </c>
      <c r="K9709" s="33" t="s">
        <v>150</v>
      </c>
      <c r="L9709" s="31" t="str">
        <f t="shared" si="937"/>
        <v>Tujuh Puluh Lima</v>
      </c>
    </row>
    <row r="9710" spans="10:12">
      <c r="J9710" s="31">
        <v>76</v>
      </c>
      <c r="K9710" s="33" t="s">
        <v>151</v>
      </c>
      <c r="L9710" s="31" t="str">
        <f t="shared" si="937"/>
        <v>Tujuh Puluh Enam</v>
      </c>
    </row>
    <row r="9711" spans="10:12">
      <c r="J9711" s="31">
        <v>77</v>
      </c>
      <c r="K9711" s="33" t="s">
        <v>152</v>
      </c>
      <c r="L9711" s="31" t="str">
        <f t="shared" si="937"/>
        <v>Tujuh Puluh Tujuh</v>
      </c>
    </row>
    <row r="9712" spans="10:12">
      <c r="J9712" s="31">
        <v>78</v>
      </c>
      <c r="K9712" s="33" t="s">
        <v>153</v>
      </c>
      <c r="L9712" s="31" t="str">
        <f t="shared" si="937"/>
        <v>Tujuh Puluh Delapan</v>
      </c>
    </row>
    <row r="9713" spans="10:12">
      <c r="J9713" s="31">
        <v>79</v>
      </c>
      <c r="K9713" s="33" t="s">
        <v>154</v>
      </c>
      <c r="L9713" s="31" t="str">
        <f t="shared" si="937"/>
        <v>Tujuh Puluh Sembilan</v>
      </c>
    </row>
    <row r="9714" spans="10:12">
      <c r="J9714" s="31">
        <v>80</v>
      </c>
      <c r="K9714" s="33" t="s">
        <v>155</v>
      </c>
      <c r="L9714" s="31" t="s">
        <v>156</v>
      </c>
    </row>
    <row r="9715" spans="10:12">
      <c r="J9715" s="31">
        <v>81</v>
      </c>
      <c r="K9715" s="33" t="s">
        <v>157</v>
      </c>
      <c r="L9715" s="31" t="str">
        <f t="shared" ref="L9715:L9723" si="938">$L$83&amp;" "&amp;L9635</f>
        <v>Delapan Puluh Satu</v>
      </c>
    </row>
    <row r="9716" spans="10:12">
      <c r="J9716" s="31">
        <v>82</v>
      </c>
      <c r="K9716" s="33" t="s">
        <v>158</v>
      </c>
      <c r="L9716" s="31" t="str">
        <f t="shared" si="938"/>
        <v>Delapan Puluh Dua</v>
      </c>
    </row>
    <row r="9717" spans="10:12">
      <c r="J9717" s="31">
        <v>83</v>
      </c>
      <c r="K9717" s="33" t="s">
        <v>159</v>
      </c>
      <c r="L9717" s="31" t="str">
        <f t="shared" si="938"/>
        <v>Delapan Puluh Tiga</v>
      </c>
    </row>
    <row r="9718" spans="10:12">
      <c r="J9718" s="31">
        <v>84</v>
      </c>
      <c r="K9718" s="33" t="s">
        <v>160</v>
      </c>
      <c r="L9718" s="31" t="str">
        <f t="shared" si="938"/>
        <v>Delapan Puluh Empat</v>
      </c>
    </row>
    <row r="9719" spans="10:12">
      <c r="J9719" s="31">
        <v>85</v>
      </c>
      <c r="K9719" s="33" t="s">
        <v>161</v>
      </c>
      <c r="L9719" s="31" t="str">
        <f t="shared" si="938"/>
        <v>Delapan Puluh Lima</v>
      </c>
    </row>
    <row r="9720" spans="10:12">
      <c r="J9720" s="31">
        <v>86</v>
      </c>
      <c r="K9720" s="33" t="s">
        <v>162</v>
      </c>
      <c r="L9720" s="31" t="str">
        <f t="shared" si="938"/>
        <v>Delapan Puluh Enam</v>
      </c>
    </row>
    <row r="9721" spans="10:12">
      <c r="J9721" s="31">
        <v>87</v>
      </c>
      <c r="K9721" s="33" t="s">
        <v>163</v>
      </c>
      <c r="L9721" s="31" t="str">
        <f t="shared" si="938"/>
        <v>Delapan Puluh Tujuh</v>
      </c>
    </row>
    <row r="9722" spans="10:12">
      <c r="J9722" s="31">
        <v>88</v>
      </c>
      <c r="K9722" s="33" t="s">
        <v>164</v>
      </c>
      <c r="L9722" s="31" t="str">
        <f t="shared" si="938"/>
        <v>Delapan Puluh Delapan</v>
      </c>
    </row>
    <row r="9723" spans="10:12">
      <c r="J9723" s="31">
        <v>89</v>
      </c>
      <c r="K9723" s="33" t="s">
        <v>165</v>
      </c>
      <c r="L9723" s="31" t="str">
        <f t="shared" si="938"/>
        <v>Delapan Puluh Sembilan</v>
      </c>
    </row>
    <row r="9724" spans="10:12">
      <c r="J9724" s="31">
        <v>90</v>
      </c>
      <c r="K9724" s="33" t="s">
        <v>166</v>
      </c>
      <c r="L9724" s="31" t="s">
        <v>167</v>
      </c>
    </row>
    <row r="9725" spans="10:12">
      <c r="J9725" s="31">
        <v>91</v>
      </c>
      <c r="K9725" s="33" t="s">
        <v>168</v>
      </c>
      <c r="L9725" s="31" t="str">
        <f t="shared" ref="L9725:L9733" si="939">$L$93&amp;" "&amp;L9635</f>
        <v>Sembilan Puluh Satu</v>
      </c>
    </row>
    <row r="9726" spans="10:12">
      <c r="J9726" s="31">
        <v>92</v>
      </c>
      <c r="K9726" s="33" t="s">
        <v>169</v>
      </c>
      <c r="L9726" s="31" t="str">
        <f t="shared" si="939"/>
        <v>Sembilan Puluh Dua</v>
      </c>
    </row>
    <row r="9727" spans="10:12">
      <c r="J9727" s="31">
        <v>93</v>
      </c>
      <c r="K9727" s="33" t="s">
        <v>170</v>
      </c>
      <c r="L9727" s="31" t="str">
        <f t="shared" si="939"/>
        <v>Sembilan Puluh Tiga</v>
      </c>
    </row>
    <row r="9728" spans="10:12">
      <c r="J9728" s="31">
        <v>94</v>
      </c>
      <c r="K9728" s="33" t="s">
        <v>171</v>
      </c>
      <c r="L9728" s="31" t="str">
        <f t="shared" si="939"/>
        <v>Sembilan Puluh Empat</v>
      </c>
    </row>
    <row r="9729" spans="1:12">
      <c r="J9729" s="31">
        <v>95</v>
      </c>
      <c r="K9729" s="33" t="s">
        <v>172</v>
      </c>
      <c r="L9729" s="31" t="str">
        <f t="shared" si="939"/>
        <v>Sembilan Puluh Lima</v>
      </c>
    </row>
    <row r="9730" spans="1:12">
      <c r="J9730" s="31">
        <v>96</v>
      </c>
      <c r="K9730" s="33" t="s">
        <v>173</v>
      </c>
      <c r="L9730" s="31" t="str">
        <f t="shared" si="939"/>
        <v>Sembilan Puluh Enam</v>
      </c>
    </row>
    <row r="9731" spans="1:12">
      <c r="J9731" s="31">
        <v>97</v>
      </c>
      <c r="K9731" s="33" t="s">
        <v>174</v>
      </c>
      <c r="L9731" s="31" t="str">
        <f t="shared" si="939"/>
        <v>Sembilan Puluh Tujuh</v>
      </c>
    </row>
    <row r="9732" spans="1:12">
      <c r="J9732" s="31">
        <v>98</v>
      </c>
      <c r="K9732" s="33" t="s">
        <v>175</v>
      </c>
      <c r="L9732" s="31" t="str">
        <f t="shared" si="939"/>
        <v>Sembilan Puluh Delapan</v>
      </c>
    </row>
    <row r="9733" spans="1:12">
      <c r="J9733" s="31">
        <v>99</v>
      </c>
      <c r="K9733" s="33" t="s">
        <v>176</v>
      </c>
      <c r="L9733" s="31" t="str">
        <f t="shared" si="939"/>
        <v>Sembilan Puluh Sembilan</v>
      </c>
    </row>
    <row r="9736" spans="1:12">
      <c r="A9736" s="30" t="e">
        <f>#REF!</f>
        <v>#REF!</v>
      </c>
      <c r="C9736" s="31" t="s">
        <v>305</v>
      </c>
    </row>
    <row r="9737" spans="1:12">
      <c r="A9737" s="32"/>
    </row>
    <row r="9738" spans="1:12">
      <c r="J9738" s="31">
        <v>0</v>
      </c>
      <c r="K9738" s="33" t="s">
        <v>48</v>
      </c>
      <c r="L9738" s="31" t="s">
        <v>49</v>
      </c>
    </row>
    <row r="9739" spans="1:12">
      <c r="A9739" s="34"/>
      <c r="J9739" s="31">
        <v>1</v>
      </c>
      <c r="K9739" s="33" t="s">
        <v>50</v>
      </c>
      <c r="L9739" s="31" t="s">
        <v>51</v>
      </c>
    </row>
    <row r="9740" spans="1:12">
      <c r="A9740" s="255" t="e">
        <f>TRIM(D9748&amp;E9748&amp;D9749&amp;E9749&amp;D9750&amp;E9750&amp;D9751&amp;E9751&amp;D9752&amp;E9752&amp;D9753&amp;E9753&amp;E9754&amp;D9754&amp;" Only")</f>
        <v>#REF!</v>
      </c>
      <c r="B9740" s="255"/>
      <c r="C9740" s="255"/>
      <c r="D9740" s="255"/>
      <c r="E9740" s="35"/>
      <c r="F9740" s="36"/>
      <c r="J9740" s="31">
        <v>2</v>
      </c>
      <c r="K9740" s="33" t="s">
        <v>52</v>
      </c>
      <c r="L9740" s="31" t="s">
        <v>53</v>
      </c>
    </row>
    <row r="9741" spans="1:12">
      <c r="A9741" s="37"/>
      <c r="B9741" s="37"/>
      <c r="C9741" s="37"/>
      <c r="D9741" s="37"/>
      <c r="E9741" s="35"/>
      <c r="F9741" s="36"/>
      <c r="J9741" s="31">
        <v>3</v>
      </c>
      <c r="K9741" s="33" t="s">
        <v>54</v>
      </c>
      <c r="L9741" s="31" t="s">
        <v>55</v>
      </c>
    </row>
    <row r="9742" spans="1:12">
      <c r="A9742" s="37"/>
      <c r="B9742" s="37"/>
      <c r="C9742" s="37"/>
      <c r="D9742" s="37"/>
      <c r="J9742" s="31">
        <v>4</v>
      </c>
      <c r="K9742" s="33" t="s">
        <v>56</v>
      </c>
      <c r="L9742" s="31" t="s">
        <v>57</v>
      </c>
    </row>
    <row r="9743" spans="1:12">
      <c r="A9743" s="255" t="e">
        <f>TRIM(D9758&amp;E9758&amp;D9759&amp;E9759&amp;D9760&amp;E9760&amp;D9761&amp;E9761&amp;D9762&amp;E9762&amp;D9763&amp;E9763&amp;D9764&amp;E9764&amp;" Rupiah")</f>
        <v>#REF!</v>
      </c>
      <c r="B9743" s="255"/>
      <c r="C9743" s="255"/>
      <c r="D9743" s="255"/>
      <c r="E9743" s="35"/>
      <c r="F9743" s="36"/>
      <c r="J9743" s="31">
        <v>5</v>
      </c>
      <c r="K9743" s="33" t="s">
        <v>58</v>
      </c>
      <c r="L9743" s="31" t="s">
        <v>59</v>
      </c>
    </row>
    <row r="9744" spans="1:12">
      <c r="A9744" s="35"/>
      <c r="B9744" s="35"/>
      <c r="C9744" s="35"/>
      <c r="D9744" s="35"/>
      <c r="E9744" s="35"/>
      <c r="F9744" s="36"/>
      <c r="J9744" s="31">
        <v>6</v>
      </c>
      <c r="K9744" s="33" t="s">
        <v>60</v>
      </c>
      <c r="L9744" s="31" t="s">
        <v>61</v>
      </c>
    </row>
    <row r="9745" spans="1:12">
      <c r="J9745" s="31">
        <v>7</v>
      </c>
      <c r="K9745" s="33" t="s">
        <v>62</v>
      </c>
      <c r="L9745" s="31" t="s">
        <v>63</v>
      </c>
    </row>
    <row r="9746" spans="1:12">
      <c r="J9746" s="31">
        <v>8</v>
      </c>
      <c r="K9746" s="33" t="s">
        <v>64</v>
      </c>
      <c r="L9746" s="31" t="s">
        <v>65</v>
      </c>
    </row>
    <row r="9747" spans="1:12">
      <c r="A9747" s="38" t="s">
        <v>66</v>
      </c>
      <c r="J9747" s="31">
        <v>9</v>
      </c>
      <c r="K9747" s="33" t="s">
        <v>67</v>
      </c>
      <c r="L9747" s="31" t="s">
        <v>68</v>
      </c>
    </row>
    <row r="9748" spans="1:12">
      <c r="A9748" s="31" t="s">
        <v>69</v>
      </c>
      <c r="B9748" s="39" t="e">
        <f>TRUNC(A9736/100000000)</f>
        <v>#REF!</v>
      </c>
      <c r="C9748" s="31" t="e">
        <f>B9748*100000000</f>
        <v>#REF!</v>
      </c>
      <c r="D9748" s="31" t="e">
        <f t="shared" ref="D9748:D9754" si="940">IF(B9748&lt;1,"",VLOOKUP(B9748,$J$3:$K$102,2))</f>
        <v>#REF!</v>
      </c>
      <c r="E9748" s="31" t="e">
        <f>IF(B9748&lt;1,"",IF(B9748&gt;1," Hundreds "," Hundred "))</f>
        <v>#REF!</v>
      </c>
      <c r="J9748" s="31">
        <v>10</v>
      </c>
      <c r="K9748" s="33" t="s">
        <v>70</v>
      </c>
      <c r="L9748" s="31" t="s">
        <v>71</v>
      </c>
    </row>
    <row r="9749" spans="1:12">
      <c r="A9749" s="31" t="s">
        <v>72</v>
      </c>
      <c r="B9749" s="39" t="e">
        <f>TRUNC((A9736-C9748)/1000000)</f>
        <v>#REF!</v>
      </c>
      <c r="C9749" s="31" t="e">
        <f>B9749*1000000</f>
        <v>#REF!</v>
      </c>
      <c r="D9749" s="31" t="e">
        <f t="shared" si="940"/>
        <v>#REF!</v>
      </c>
      <c r="E9749" s="31" t="e">
        <f>IF(B9748+B9749=0,"",IF(B9749=1," Million "," Millions "))</f>
        <v>#REF!</v>
      </c>
      <c r="J9749" s="31">
        <v>11</v>
      </c>
      <c r="K9749" s="33" t="s">
        <v>73</v>
      </c>
      <c r="L9749" s="31" t="s">
        <v>74</v>
      </c>
    </row>
    <row r="9750" spans="1:12">
      <c r="A9750" s="31" t="s">
        <v>75</v>
      </c>
      <c r="B9750" s="39" t="e">
        <f>TRUNC((A9736-SUM(C9748:C9749))/100000)</f>
        <v>#REF!</v>
      </c>
      <c r="C9750" s="31" t="e">
        <f>B9750*100000</f>
        <v>#REF!</v>
      </c>
      <c r="D9750" s="31" t="e">
        <f t="shared" si="940"/>
        <v>#REF!</v>
      </c>
      <c r="E9750" s="31" t="e">
        <f>IF(B9750&lt;1,"",IF(B9750&gt;1," Hundreds "," Hundred "))</f>
        <v>#REF!</v>
      </c>
      <c r="J9750" s="31">
        <v>12</v>
      </c>
      <c r="K9750" s="33" t="s">
        <v>76</v>
      </c>
      <c r="L9750" s="31" t="str">
        <f t="shared" ref="L9750:L9757" si="941">L9740&amp;" Belas"</f>
        <v>Dua Belas</v>
      </c>
    </row>
    <row r="9751" spans="1:12">
      <c r="A9751" s="33" t="s">
        <v>77</v>
      </c>
      <c r="B9751" s="40" t="e">
        <f>TRUNC((A9736-SUM(C9748:C9750))/1000)</f>
        <v>#REF!</v>
      </c>
      <c r="C9751" s="31" t="e">
        <f>B9751*1000</f>
        <v>#REF!</v>
      </c>
      <c r="D9751" s="31" t="e">
        <f t="shared" si="940"/>
        <v>#REF!</v>
      </c>
      <c r="E9751" s="31" t="e">
        <f>IF(B9750+B9751=0,"",IF(B9751=1," Thousand "," Thousands "))</f>
        <v>#REF!</v>
      </c>
      <c r="J9751" s="31">
        <v>13</v>
      </c>
      <c r="K9751" s="33" t="s">
        <v>78</v>
      </c>
      <c r="L9751" s="31" t="str">
        <f t="shared" si="941"/>
        <v>Tiga Belas</v>
      </c>
    </row>
    <row r="9752" spans="1:12">
      <c r="A9752" s="33" t="s">
        <v>79</v>
      </c>
      <c r="B9752" s="40" t="e">
        <f>TRUNC((A9736-SUM(C9748:C9751))/100)</f>
        <v>#REF!</v>
      </c>
      <c r="C9752" s="31" t="e">
        <f>B9752*100</f>
        <v>#REF!</v>
      </c>
      <c r="D9752" s="31" t="e">
        <f t="shared" si="940"/>
        <v>#REF!</v>
      </c>
      <c r="E9752" s="31" t="e">
        <f>IF(B9752&lt;1,"",IF(B9752&gt;1," Hundreds "," Hundred "))</f>
        <v>#REF!</v>
      </c>
      <c r="J9752" s="31">
        <v>14</v>
      </c>
      <c r="K9752" s="33" t="s">
        <v>80</v>
      </c>
      <c r="L9752" s="31" t="str">
        <f t="shared" si="941"/>
        <v>Empat Belas</v>
      </c>
    </row>
    <row r="9753" spans="1:12">
      <c r="A9753" s="33" t="s">
        <v>81</v>
      </c>
      <c r="B9753" s="41" t="e">
        <f>TRUNC((A9736-SUM(C9748:C9752)))</f>
        <v>#REF!</v>
      </c>
      <c r="C9753" s="42" t="e">
        <f>B9753</f>
        <v>#REF!</v>
      </c>
      <c r="D9753" s="31" t="e">
        <f t="shared" si="940"/>
        <v>#REF!</v>
      </c>
      <c r="E9753" s="31" t="e">
        <f>IF(SUM(C9748:C9753)&lt;1,"",IF(B9754&lt;1,""," And "))</f>
        <v>#REF!</v>
      </c>
      <c r="J9753" s="31">
        <v>15</v>
      </c>
      <c r="K9753" s="33" t="s">
        <v>82</v>
      </c>
      <c r="L9753" s="31" t="str">
        <f t="shared" si="941"/>
        <v>Lima Belas</v>
      </c>
    </row>
    <row r="9754" spans="1:12">
      <c r="A9754" s="33" t="s">
        <v>83</v>
      </c>
      <c r="B9754" s="40" t="e">
        <f>ROUND(A9736-SUM(C9748:C9753),2)*100</f>
        <v>#REF!</v>
      </c>
      <c r="D9754" s="43" t="e">
        <f t="shared" si="940"/>
        <v>#REF!</v>
      </c>
      <c r="E9754" s="31" t="e">
        <f>IF(B9754&lt;1,"",IF(B9754=1," Cent "," Cents "))</f>
        <v>#REF!</v>
      </c>
      <c r="J9754" s="31">
        <v>16</v>
      </c>
      <c r="K9754" s="33" t="s">
        <v>84</v>
      </c>
      <c r="L9754" s="31" t="str">
        <f t="shared" si="941"/>
        <v>Enam Belas</v>
      </c>
    </row>
    <row r="9755" spans="1:12">
      <c r="J9755" s="31">
        <v>17</v>
      </c>
      <c r="K9755" s="33" t="s">
        <v>85</v>
      </c>
      <c r="L9755" s="31" t="str">
        <f t="shared" si="941"/>
        <v>Tujuh Belas</v>
      </c>
    </row>
    <row r="9756" spans="1:12">
      <c r="A9756" s="44"/>
      <c r="J9756" s="31">
        <v>18</v>
      </c>
      <c r="K9756" s="33" t="s">
        <v>86</v>
      </c>
      <c r="L9756" s="31" t="str">
        <f t="shared" si="941"/>
        <v>Delapan Belas</v>
      </c>
    </row>
    <row r="9757" spans="1:12">
      <c r="A9757" s="38" t="s">
        <v>87</v>
      </c>
      <c r="J9757" s="31">
        <v>19</v>
      </c>
      <c r="K9757" s="33" t="s">
        <v>88</v>
      </c>
      <c r="L9757" s="31" t="str">
        <f t="shared" si="941"/>
        <v>Sembilan Belas</v>
      </c>
    </row>
    <row r="9758" spans="1:12">
      <c r="A9758" s="31" t="s">
        <v>69</v>
      </c>
      <c r="B9758" s="39" t="e">
        <f>TRUNC(A9736/100000000)</f>
        <v>#REF!</v>
      </c>
      <c r="C9758" s="31" t="e">
        <f>B9758*100000000</f>
        <v>#REF!</v>
      </c>
      <c r="D9758" s="31" t="e">
        <f>IF(B9758&lt;1,"",IF(B9758=1,"",VLOOKUP(B9758,$J$3:$L$102,3)))</f>
        <v>#REF!</v>
      </c>
      <c r="E9758" s="31" t="e">
        <f>IF(B9758&lt;1,"",IF(B9758=1,"Seratus "," Ratus "))</f>
        <v>#REF!</v>
      </c>
      <c r="J9758" s="31">
        <v>20</v>
      </c>
      <c r="K9758" s="33" t="s">
        <v>89</v>
      </c>
      <c r="L9758" s="31" t="s">
        <v>90</v>
      </c>
    </row>
    <row r="9759" spans="1:12">
      <c r="A9759" s="31" t="s">
        <v>72</v>
      </c>
      <c r="B9759" s="39" t="e">
        <f>TRUNC((A9736-C9758)/1000000)</f>
        <v>#REF!</v>
      </c>
      <c r="C9759" s="31" t="e">
        <f>B9759*1000000</f>
        <v>#REF!</v>
      </c>
      <c r="D9759" s="31" t="e">
        <f>IF(B9759&lt;1,"",VLOOKUP(B9759,$J$3:$L$102,3))</f>
        <v>#REF!</v>
      </c>
      <c r="E9759" s="31" t="e">
        <f>IF(B9758+B9759=0,""," Juta ")</f>
        <v>#REF!</v>
      </c>
      <c r="J9759" s="31">
        <v>21</v>
      </c>
      <c r="K9759" s="33" t="s">
        <v>91</v>
      </c>
      <c r="L9759" s="31" t="str">
        <f t="shared" ref="L9759:L9767" si="942">$L$23&amp;" "&amp;L9739</f>
        <v>Dua Puluh Satu</v>
      </c>
    </row>
    <row r="9760" spans="1:12">
      <c r="A9760" s="31" t="s">
        <v>75</v>
      </c>
      <c r="B9760" s="39" t="e">
        <f>TRUNC((A9736-SUM(C9758:C9759))/100000)</f>
        <v>#REF!</v>
      </c>
      <c r="C9760" s="31" t="e">
        <f>B9760*100000</f>
        <v>#REF!</v>
      </c>
      <c r="D9760" s="31" t="e">
        <f>IF(B9760&lt;1,"",IF(B9760=1,"",VLOOKUP(B9760,$J$3:$L$102,3)))</f>
        <v>#REF!</v>
      </c>
      <c r="E9760" s="31" t="e">
        <f>IF(B9760&lt;1,"",IF(B9760=1," Seratus "," Ratus "))</f>
        <v>#REF!</v>
      </c>
      <c r="J9760" s="31">
        <v>22</v>
      </c>
      <c r="K9760" s="33" t="s">
        <v>92</v>
      </c>
      <c r="L9760" s="31" t="str">
        <f t="shared" si="942"/>
        <v>Dua Puluh Dua</v>
      </c>
    </row>
    <row r="9761" spans="1:12">
      <c r="A9761" s="33" t="s">
        <v>77</v>
      </c>
      <c r="B9761" s="40" t="e">
        <f>TRUNC((A9736-SUM(C9758:C9760))/1000)</f>
        <v>#REF!</v>
      </c>
      <c r="C9761" s="31" t="e">
        <f>B9761*1000</f>
        <v>#REF!</v>
      </c>
      <c r="D9761" s="31" t="e">
        <f>IF(B9761&lt;1,"",IF(B9761=1,"",VLOOKUP(B9761,$J$3:$L$102,3)))</f>
        <v>#REF!</v>
      </c>
      <c r="E9761" s="31" t="e">
        <f>IF(B9760+B9761&lt;1,"",IF(B9761=1," Seribu "," Ribu "))</f>
        <v>#REF!</v>
      </c>
      <c r="J9761" s="31">
        <v>23</v>
      </c>
      <c r="K9761" s="33" t="s">
        <v>93</v>
      </c>
      <c r="L9761" s="31" t="str">
        <f t="shared" si="942"/>
        <v>Dua Puluh Tiga</v>
      </c>
    </row>
    <row r="9762" spans="1:12">
      <c r="A9762" s="33" t="s">
        <v>79</v>
      </c>
      <c r="B9762" s="40" t="e">
        <f>TRUNC((A9736-SUM(C9758:C9761))/100)</f>
        <v>#REF!</v>
      </c>
      <c r="C9762" s="31" t="e">
        <f>B9762*100</f>
        <v>#REF!</v>
      </c>
      <c r="D9762" s="31" t="e">
        <f>IF(B9762&lt;1,"",IF(B9762=1,"",VLOOKUP(B9762,$J$3:$L$102,3)))</f>
        <v>#REF!</v>
      </c>
      <c r="E9762" s="31" t="e">
        <f>IF(B9762&lt;1,"",IF(B9762=1," Seratus "," Ratus "))</f>
        <v>#REF!</v>
      </c>
      <c r="J9762" s="31">
        <v>24</v>
      </c>
      <c r="K9762" s="33" t="s">
        <v>94</v>
      </c>
      <c r="L9762" s="31" t="str">
        <f t="shared" si="942"/>
        <v>Dua Puluh Empat</v>
      </c>
    </row>
    <row r="9763" spans="1:12">
      <c r="A9763" s="33" t="s">
        <v>81</v>
      </c>
      <c r="B9763" s="41" t="e">
        <f>TRUNC((A9736-SUM(C9758:C9762)))</f>
        <v>#REF!</v>
      </c>
      <c r="C9763" s="42" t="e">
        <f>B9763</f>
        <v>#REF!</v>
      </c>
      <c r="D9763" s="31" t="e">
        <f>IF(B9763&lt;1,"",VLOOKUP(B9763,$J$3:$L$102,3))</f>
        <v>#REF!</v>
      </c>
      <c r="E9763" s="31" t="e">
        <f>IF(SUM(C9758:C9763)&lt;1,"",IF(B9764&lt;1,""," Dan "))</f>
        <v>#REF!</v>
      </c>
      <c r="J9763" s="31">
        <v>25</v>
      </c>
      <c r="K9763" s="33" t="s">
        <v>95</v>
      </c>
      <c r="L9763" s="31" t="str">
        <f t="shared" si="942"/>
        <v>Dua Puluh Lima</v>
      </c>
    </row>
    <row r="9764" spans="1:12">
      <c r="A9764" s="33" t="s">
        <v>83</v>
      </c>
      <c r="B9764" s="40" t="e">
        <f>ROUND(A9736-SUM(C9758:C9763),2)*100</f>
        <v>#REF!</v>
      </c>
      <c r="D9764" s="31" t="e">
        <f>IF(B9764&lt;1,"",VLOOKUP(B9764,$J$3:$L$102,3))</f>
        <v>#REF!</v>
      </c>
      <c r="E9764" s="31" t="e">
        <f>IF(B9764&lt;1,""," Sen ")</f>
        <v>#REF!</v>
      </c>
      <c r="J9764" s="31">
        <v>26</v>
      </c>
      <c r="K9764" s="33" t="s">
        <v>96</v>
      </c>
      <c r="L9764" s="31" t="str">
        <f t="shared" si="942"/>
        <v>Dua Puluh Enam</v>
      </c>
    </row>
    <row r="9765" spans="1:12">
      <c r="J9765" s="31">
        <v>27</v>
      </c>
      <c r="K9765" s="33" t="s">
        <v>97</v>
      </c>
      <c r="L9765" s="31" t="str">
        <f t="shared" si="942"/>
        <v>Dua Puluh Tujuh</v>
      </c>
    </row>
    <row r="9766" spans="1:12">
      <c r="J9766" s="31">
        <v>28</v>
      </c>
      <c r="K9766" s="33" t="s">
        <v>98</v>
      </c>
      <c r="L9766" s="31" t="str">
        <f t="shared" si="942"/>
        <v>Dua Puluh Delapan</v>
      </c>
    </row>
    <row r="9767" spans="1:12">
      <c r="J9767" s="31">
        <v>29</v>
      </c>
      <c r="K9767" s="33" t="s">
        <v>99</v>
      </c>
      <c r="L9767" s="31" t="str">
        <f t="shared" si="942"/>
        <v>Dua Puluh Sembilan</v>
      </c>
    </row>
    <row r="9768" spans="1:12">
      <c r="J9768" s="31">
        <v>30</v>
      </c>
      <c r="K9768" s="33" t="s">
        <v>100</v>
      </c>
      <c r="L9768" s="31" t="s">
        <v>101</v>
      </c>
    </row>
    <row r="9769" spans="1:12">
      <c r="J9769" s="31">
        <v>31</v>
      </c>
      <c r="K9769" s="33" t="s">
        <v>102</v>
      </c>
      <c r="L9769" s="31" t="str">
        <f t="shared" ref="L9769:L9777" si="943">$L$33&amp;" "&amp;L9739</f>
        <v>Tiga Puluh Satu</v>
      </c>
    </row>
    <row r="9770" spans="1:12">
      <c r="J9770" s="31">
        <v>32</v>
      </c>
      <c r="K9770" s="33" t="s">
        <v>103</v>
      </c>
      <c r="L9770" s="31" t="str">
        <f t="shared" si="943"/>
        <v>Tiga Puluh Dua</v>
      </c>
    </row>
    <row r="9771" spans="1:12">
      <c r="J9771" s="31">
        <v>33</v>
      </c>
      <c r="K9771" s="33" t="s">
        <v>104</v>
      </c>
      <c r="L9771" s="31" t="str">
        <f t="shared" si="943"/>
        <v>Tiga Puluh Tiga</v>
      </c>
    </row>
    <row r="9772" spans="1:12">
      <c r="J9772" s="31">
        <v>34</v>
      </c>
      <c r="K9772" s="33" t="s">
        <v>105</v>
      </c>
      <c r="L9772" s="31" t="str">
        <f t="shared" si="943"/>
        <v>Tiga Puluh Empat</v>
      </c>
    </row>
    <row r="9773" spans="1:12">
      <c r="J9773" s="31">
        <v>35</v>
      </c>
      <c r="K9773" s="33" t="s">
        <v>106</v>
      </c>
      <c r="L9773" s="31" t="str">
        <f t="shared" si="943"/>
        <v>Tiga Puluh Lima</v>
      </c>
    </row>
    <row r="9774" spans="1:12">
      <c r="J9774" s="31">
        <v>36</v>
      </c>
      <c r="K9774" s="33" t="s">
        <v>107</v>
      </c>
      <c r="L9774" s="31" t="str">
        <f t="shared" si="943"/>
        <v>Tiga Puluh Enam</v>
      </c>
    </row>
    <row r="9775" spans="1:12">
      <c r="J9775" s="31">
        <v>37</v>
      </c>
      <c r="K9775" s="33" t="s">
        <v>108</v>
      </c>
      <c r="L9775" s="31" t="str">
        <f t="shared" si="943"/>
        <v>Tiga Puluh Tujuh</v>
      </c>
    </row>
    <row r="9776" spans="1:12">
      <c r="J9776" s="31">
        <v>38</v>
      </c>
      <c r="K9776" s="33" t="s">
        <v>109</v>
      </c>
      <c r="L9776" s="31" t="str">
        <f t="shared" si="943"/>
        <v>Tiga Puluh Delapan</v>
      </c>
    </row>
    <row r="9777" spans="1:12">
      <c r="J9777" s="31">
        <v>39</v>
      </c>
      <c r="K9777" s="33" t="s">
        <v>110</v>
      </c>
      <c r="L9777" s="31" t="str">
        <f t="shared" si="943"/>
        <v>Tiga Puluh Sembilan</v>
      </c>
    </row>
    <row r="9778" spans="1:12">
      <c r="B9778" s="35"/>
      <c r="C9778" s="35"/>
      <c r="D9778" s="35"/>
      <c r="J9778" s="31">
        <v>40</v>
      </c>
      <c r="K9778" s="33" t="s">
        <v>111</v>
      </c>
      <c r="L9778" s="31" t="s">
        <v>112</v>
      </c>
    </row>
    <row r="9779" spans="1:12">
      <c r="A9779" s="35"/>
      <c r="B9779" s="35"/>
      <c r="C9779" s="35"/>
      <c r="D9779" s="35"/>
      <c r="J9779" s="31">
        <v>41</v>
      </c>
      <c r="K9779" s="33" t="s">
        <v>113</v>
      </c>
      <c r="L9779" s="31" t="str">
        <f t="shared" ref="L9779:L9787" si="944">$L$43&amp;" "&amp;L9739</f>
        <v>Empat Puluh Satu</v>
      </c>
    </row>
    <row r="9780" spans="1:12">
      <c r="J9780" s="31">
        <v>42</v>
      </c>
      <c r="K9780" s="33" t="s">
        <v>114</v>
      </c>
      <c r="L9780" s="31" t="str">
        <f t="shared" si="944"/>
        <v>Empat Puluh Dua</v>
      </c>
    </row>
    <row r="9781" spans="1:12">
      <c r="A9781" s="38"/>
      <c r="J9781" s="31">
        <v>43</v>
      </c>
      <c r="K9781" s="33" t="s">
        <v>115</v>
      </c>
      <c r="L9781" s="31" t="str">
        <f t="shared" si="944"/>
        <v>Empat Puluh Tiga</v>
      </c>
    </row>
    <row r="9782" spans="1:12">
      <c r="J9782" s="31">
        <v>44</v>
      </c>
      <c r="K9782" s="33" t="s">
        <v>116</v>
      </c>
      <c r="L9782" s="31" t="str">
        <f t="shared" si="944"/>
        <v>Empat Puluh Empat</v>
      </c>
    </row>
    <row r="9783" spans="1:12">
      <c r="J9783" s="31">
        <v>45</v>
      </c>
      <c r="K9783" s="33" t="s">
        <v>117</v>
      </c>
      <c r="L9783" s="31" t="str">
        <f t="shared" si="944"/>
        <v>Empat Puluh Lima</v>
      </c>
    </row>
    <row r="9784" spans="1:12">
      <c r="J9784" s="31">
        <v>46</v>
      </c>
      <c r="K9784" s="33" t="s">
        <v>118</v>
      </c>
      <c r="L9784" s="31" t="str">
        <f t="shared" si="944"/>
        <v>Empat Puluh Enam</v>
      </c>
    </row>
    <row r="9785" spans="1:12">
      <c r="J9785" s="31">
        <v>47</v>
      </c>
      <c r="K9785" s="33" t="s">
        <v>119</v>
      </c>
      <c r="L9785" s="31" t="str">
        <f t="shared" si="944"/>
        <v>Empat Puluh Tujuh</v>
      </c>
    </row>
    <row r="9786" spans="1:12">
      <c r="J9786" s="31">
        <v>48</v>
      </c>
      <c r="K9786" s="33" t="s">
        <v>120</v>
      </c>
      <c r="L9786" s="31" t="str">
        <f t="shared" si="944"/>
        <v>Empat Puluh Delapan</v>
      </c>
    </row>
    <row r="9787" spans="1:12">
      <c r="J9787" s="31">
        <v>49</v>
      </c>
      <c r="K9787" s="33" t="s">
        <v>121</v>
      </c>
      <c r="L9787" s="31" t="str">
        <f t="shared" si="944"/>
        <v>Empat Puluh Sembilan</v>
      </c>
    </row>
    <row r="9788" spans="1:12">
      <c r="J9788" s="31">
        <v>50</v>
      </c>
      <c r="K9788" s="33" t="s">
        <v>122</v>
      </c>
      <c r="L9788" s="31" t="s">
        <v>123</v>
      </c>
    </row>
    <row r="9789" spans="1:12">
      <c r="J9789" s="31">
        <v>51</v>
      </c>
      <c r="K9789" s="33" t="s">
        <v>124</v>
      </c>
      <c r="L9789" s="31" t="str">
        <f t="shared" ref="L9789:L9797" si="945">$L$53&amp;" "&amp;L9739</f>
        <v>Lima Puluh Satu</v>
      </c>
    </row>
    <row r="9790" spans="1:12">
      <c r="J9790" s="31">
        <v>52</v>
      </c>
      <c r="K9790" s="33" t="s">
        <v>125</v>
      </c>
      <c r="L9790" s="31" t="str">
        <f t="shared" si="945"/>
        <v>Lima Puluh Dua</v>
      </c>
    </row>
    <row r="9791" spans="1:12">
      <c r="J9791" s="31">
        <v>53</v>
      </c>
      <c r="K9791" s="33" t="s">
        <v>126</v>
      </c>
      <c r="L9791" s="31" t="str">
        <f t="shared" si="945"/>
        <v>Lima Puluh Tiga</v>
      </c>
    </row>
    <row r="9792" spans="1:12">
      <c r="J9792" s="31">
        <v>54</v>
      </c>
      <c r="K9792" s="33" t="s">
        <v>127</v>
      </c>
      <c r="L9792" s="31" t="str">
        <f t="shared" si="945"/>
        <v>Lima Puluh Empat</v>
      </c>
    </row>
    <row r="9793" spans="10:12">
      <c r="J9793" s="31">
        <v>55</v>
      </c>
      <c r="K9793" s="33" t="s">
        <v>128</v>
      </c>
      <c r="L9793" s="31" t="str">
        <f t="shared" si="945"/>
        <v>Lima Puluh Lima</v>
      </c>
    </row>
    <row r="9794" spans="10:12">
      <c r="J9794" s="31">
        <v>56</v>
      </c>
      <c r="K9794" s="33" t="s">
        <v>129</v>
      </c>
      <c r="L9794" s="31" t="str">
        <f t="shared" si="945"/>
        <v>Lima Puluh Enam</v>
      </c>
    </row>
    <row r="9795" spans="10:12">
      <c r="J9795" s="31">
        <v>57</v>
      </c>
      <c r="K9795" s="33" t="s">
        <v>130</v>
      </c>
      <c r="L9795" s="31" t="str">
        <f t="shared" si="945"/>
        <v>Lima Puluh Tujuh</v>
      </c>
    </row>
    <row r="9796" spans="10:12">
      <c r="J9796" s="31">
        <v>58</v>
      </c>
      <c r="K9796" s="33" t="s">
        <v>131</v>
      </c>
      <c r="L9796" s="31" t="str">
        <f t="shared" si="945"/>
        <v>Lima Puluh Delapan</v>
      </c>
    </row>
    <row r="9797" spans="10:12">
      <c r="J9797" s="31">
        <v>59</v>
      </c>
      <c r="K9797" s="33" t="s">
        <v>132</v>
      </c>
      <c r="L9797" s="31" t="str">
        <f t="shared" si="945"/>
        <v>Lima Puluh Sembilan</v>
      </c>
    </row>
    <row r="9798" spans="10:12">
      <c r="J9798" s="31">
        <v>60</v>
      </c>
      <c r="K9798" s="33" t="s">
        <v>133</v>
      </c>
      <c r="L9798" s="31" t="s">
        <v>134</v>
      </c>
    </row>
    <row r="9799" spans="10:12">
      <c r="J9799" s="31">
        <v>61</v>
      </c>
      <c r="K9799" s="33" t="s">
        <v>135</v>
      </c>
      <c r="L9799" s="31" t="str">
        <f t="shared" ref="L9799:L9807" si="946">$L$63&amp;" "&amp;L9739</f>
        <v>Enam Puluh Satu</v>
      </c>
    </row>
    <row r="9800" spans="10:12">
      <c r="J9800" s="31">
        <v>62</v>
      </c>
      <c r="K9800" s="33" t="s">
        <v>136</v>
      </c>
      <c r="L9800" s="31" t="str">
        <f t="shared" si="946"/>
        <v>Enam Puluh Dua</v>
      </c>
    </row>
    <row r="9801" spans="10:12">
      <c r="J9801" s="31">
        <v>63</v>
      </c>
      <c r="K9801" s="33" t="s">
        <v>137</v>
      </c>
      <c r="L9801" s="31" t="str">
        <f t="shared" si="946"/>
        <v>Enam Puluh Tiga</v>
      </c>
    </row>
    <row r="9802" spans="10:12">
      <c r="J9802" s="31">
        <v>64</v>
      </c>
      <c r="K9802" s="33" t="s">
        <v>138</v>
      </c>
      <c r="L9802" s="31" t="str">
        <f t="shared" si="946"/>
        <v>Enam Puluh Empat</v>
      </c>
    </row>
    <row r="9803" spans="10:12">
      <c r="J9803" s="31">
        <v>65</v>
      </c>
      <c r="K9803" s="33" t="s">
        <v>139</v>
      </c>
      <c r="L9803" s="31" t="str">
        <f t="shared" si="946"/>
        <v>Enam Puluh Lima</v>
      </c>
    </row>
    <row r="9804" spans="10:12">
      <c r="J9804" s="31">
        <v>66</v>
      </c>
      <c r="K9804" s="33" t="s">
        <v>140</v>
      </c>
      <c r="L9804" s="31" t="str">
        <f t="shared" si="946"/>
        <v>Enam Puluh Enam</v>
      </c>
    </row>
    <row r="9805" spans="10:12">
      <c r="J9805" s="31">
        <v>67</v>
      </c>
      <c r="K9805" s="33" t="s">
        <v>141</v>
      </c>
      <c r="L9805" s="31" t="str">
        <f t="shared" si="946"/>
        <v>Enam Puluh Tujuh</v>
      </c>
    </row>
    <row r="9806" spans="10:12">
      <c r="J9806" s="31">
        <v>68</v>
      </c>
      <c r="K9806" s="33" t="s">
        <v>142</v>
      </c>
      <c r="L9806" s="31" t="str">
        <f t="shared" si="946"/>
        <v>Enam Puluh Delapan</v>
      </c>
    </row>
    <row r="9807" spans="10:12">
      <c r="J9807" s="31">
        <v>69</v>
      </c>
      <c r="K9807" s="33" t="s">
        <v>143</v>
      </c>
      <c r="L9807" s="31" t="str">
        <f t="shared" si="946"/>
        <v>Enam Puluh Sembilan</v>
      </c>
    </row>
    <row r="9808" spans="10:12">
      <c r="J9808" s="31">
        <v>70</v>
      </c>
      <c r="K9808" s="33" t="s">
        <v>144</v>
      </c>
      <c r="L9808" s="31" t="s">
        <v>145</v>
      </c>
    </row>
    <row r="9809" spans="10:12">
      <c r="J9809" s="31">
        <v>71</v>
      </c>
      <c r="K9809" s="33" t="s">
        <v>146</v>
      </c>
      <c r="L9809" s="31" t="str">
        <f t="shared" ref="L9809:L9817" si="947">$L$73&amp;" "&amp;L9739</f>
        <v>Tujuh Puluh Satu</v>
      </c>
    </row>
    <row r="9810" spans="10:12">
      <c r="J9810" s="31">
        <v>72</v>
      </c>
      <c r="K9810" s="33" t="s">
        <v>147</v>
      </c>
      <c r="L9810" s="31" t="str">
        <f t="shared" si="947"/>
        <v>Tujuh Puluh Dua</v>
      </c>
    </row>
    <row r="9811" spans="10:12">
      <c r="J9811" s="31">
        <v>73</v>
      </c>
      <c r="K9811" s="33" t="s">
        <v>148</v>
      </c>
      <c r="L9811" s="31" t="str">
        <f t="shared" si="947"/>
        <v>Tujuh Puluh Tiga</v>
      </c>
    </row>
    <row r="9812" spans="10:12">
      <c r="J9812" s="31">
        <v>74</v>
      </c>
      <c r="K9812" s="33" t="s">
        <v>149</v>
      </c>
      <c r="L9812" s="31" t="str">
        <f t="shared" si="947"/>
        <v>Tujuh Puluh Empat</v>
      </c>
    </row>
    <row r="9813" spans="10:12">
      <c r="J9813" s="31">
        <v>75</v>
      </c>
      <c r="K9813" s="33" t="s">
        <v>150</v>
      </c>
      <c r="L9813" s="31" t="str">
        <f t="shared" si="947"/>
        <v>Tujuh Puluh Lima</v>
      </c>
    </row>
    <row r="9814" spans="10:12">
      <c r="J9814" s="31">
        <v>76</v>
      </c>
      <c r="K9814" s="33" t="s">
        <v>151</v>
      </c>
      <c r="L9814" s="31" t="str">
        <f t="shared" si="947"/>
        <v>Tujuh Puluh Enam</v>
      </c>
    </row>
    <row r="9815" spans="10:12">
      <c r="J9815" s="31">
        <v>77</v>
      </c>
      <c r="K9815" s="33" t="s">
        <v>152</v>
      </c>
      <c r="L9815" s="31" t="str">
        <f t="shared" si="947"/>
        <v>Tujuh Puluh Tujuh</v>
      </c>
    </row>
    <row r="9816" spans="10:12">
      <c r="J9816" s="31">
        <v>78</v>
      </c>
      <c r="K9816" s="33" t="s">
        <v>153</v>
      </c>
      <c r="L9816" s="31" t="str">
        <f t="shared" si="947"/>
        <v>Tujuh Puluh Delapan</v>
      </c>
    </row>
    <row r="9817" spans="10:12">
      <c r="J9817" s="31">
        <v>79</v>
      </c>
      <c r="K9817" s="33" t="s">
        <v>154</v>
      </c>
      <c r="L9817" s="31" t="str">
        <f t="shared" si="947"/>
        <v>Tujuh Puluh Sembilan</v>
      </c>
    </row>
    <row r="9818" spans="10:12">
      <c r="J9818" s="31">
        <v>80</v>
      </c>
      <c r="K9818" s="33" t="s">
        <v>155</v>
      </c>
      <c r="L9818" s="31" t="s">
        <v>156</v>
      </c>
    </row>
    <row r="9819" spans="10:12">
      <c r="J9819" s="31">
        <v>81</v>
      </c>
      <c r="K9819" s="33" t="s">
        <v>157</v>
      </c>
      <c r="L9819" s="31" t="str">
        <f t="shared" ref="L9819:L9827" si="948">$L$83&amp;" "&amp;L9739</f>
        <v>Delapan Puluh Satu</v>
      </c>
    </row>
    <row r="9820" spans="10:12">
      <c r="J9820" s="31">
        <v>82</v>
      </c>
      <c r="K9820" s="33" t="s">
        <v>158</v>
      </c>
      <c r="L9820" s="31" t="str">
        <f t="shared" si="948"/>
        <v>Delapan Puluh Dua</v>
      </c>
    </row>
    <row r="9821" spans="10:12">
      <c r="J9821" s="31">
        <v>83</v>
      </c>
      <c r="K9821" s="33" t="s">
        <v>159</v>
      </c>
      <c r="L9821" s="31" t="str">
        <f t="shared" si="948"/>
        <v>Delapan Puluh Tiga</v>
      </c>
    </row>
    <row r="9822" spans="10:12">
      <c r="J9822" s="31">
        <v>84</v>
      </c>
      <c r="K9822" s="33" t="s">
        <v>160</v>
      </c>
      <c r="L9822" s="31" t="str">
        <f t="shared" si="948"/>
        <v>Delapan Puluh Empat</v>
      </c>
    </row>
    <row r="9823" spans="10:12">
      <c r="J9823" s="31">
        <v>85</v>
      </c>
      <c r="K9823" s="33" t="s">
        <v>161</v>
      </c>
      <c r="L9823" s="31" t="str">
        <f t="shared" si="948"/>
        <v>Delapan Puluh Lima</v>
      </c>
    </row>
    <row r="9824" spans="10:12">
      <c r="J9824" s="31">
        <v>86</v>
      </c>
      <c r="K9824" s="33" t="s">
        <v>162</v>
      </c>
      <c r="L9824" s="31" t="str">
        <f t="shared" si="948"/>
        <v>Delapan Puluh Enam</v>
      </c>
    </row>
    <row r="9825" spans="1:12">
      <c r="J9825" s="31">
        <v>87</v>
      </c>
      <c r="K9825" s="33" t="s">
        <v>163</v>
      </c>
      <c r="L9825" s="31" t="str">
        <f t="shared" si="948"/>
        <v>Delapan Puluh Tujuh</v>
      </c>
    </row>
    <row r="9826" spans="1:12">
      <c r="J9826" s="31">
        <v>88</v>
      </c>
      <c r="K9826" s="33" t="s">
        <v>164</v>
      </c>
      <c r="L9826" s="31" t="str">
        <f t="shared" si="948"/>
        <v>Delapan Puluh Delapan</v>
      </c>
    </row>
    <row r="9827" spans="1:12">
      <c r="J9827" s="31">
        <v>89</v>
      </c>
      <c r="K9827" s="33" t="s">
        <v>165</v>
      </c>
      <c r="L9827" s="31" t="str">
        <f t="shared" si="948"/>
        <v>Delapan Puluh Sembilan</v>
      </c>
    </row>
    <row r="9828" spans="1:12">
      <c r="J9828" s="31">
        <v>90</v>
      </c>
      <c r="K9828" s="33" t="s">
        <v>166</v>
      </c>
      <c r="L9828" s="31" t="s">
        <v>167</v>
      </c>
    </row>
    <row r="9829" spans="1:12">
      <c r="J9829" s="31">
        <v>91</v>
      </c>
      <c r="K9829" s="33" t="s">
        <v>168</v>
      </c>
      <c r="L9829" s="31" t="str">
        <f t="shared" ref="L9829:L9837" si="949">$L$93&amp;" "&amp;L9739</f>
        <v>Sembilan Puluh Satu</v>
      </c>
    </row>
    <row r="9830" spans="1:12">
      <c r="J9830" s="31">
        <v>92</v>
      </c>
      <c r="K9830" s="33" t="s">
        <v>169</v>
      </c>
      <c r="L9830" s="31" t="str">
        <f t="shared" si="949"/>
        <v>Sembilan Puluh Dua</v>
      </c>
    </row>
    <row r="9831" spans="1:12">
      <c r="J9831" s="31">
        <v>93</v>
      </c>
      <c r="K9831" s="33" t="s">
        <v>170</v>
      </c>
      <c r="L9831" s="31" t="str">
        <f t="shared" si="949"/>
        <v>Sembilan Puluh Tiga</v>
      </c>
    </row>
    <row r="9832" spans="1:12">
      <c r="J9832" s="31">
        <v>94</v>
      </c>
      <c r="K9832" s="33" t="s">
        <v>171</v>
      </c>
      <c r="L9832" s="31" t="str">
        <f t="shared" si="949"/>
        <v>Sembilan Puluh Empat</v>
      </c>
    </row>
    <row r="9833" spans="1:12">
      <c r="J9833" s="31">
        <v>95</v>
      </c>
      <c r="K9833" s="33" t="s">
        <v>172</v>
      </c>
      <c r="L9833" s="31" t="str">
        <f t="shared" si="949"/>
        <v>Sembilan Puluh Lima</v>
      </c>
    </row>
    <row r="9834" spans="1:12">
      <c r="J9834" s="31">
        <v>96</v>
      </c>
      <c r="K9834" s="33" t="s">
        <v>173</v>
      </c>
      <c r="L9834" s="31" t="str">
        <f t="shared" si="949"/>
        <v>Sembilan Puluh Enam</v>
      </c>
    </row>
    <row r="9835" spans="1:12">
      <c r="J9835" s="31">
        <v>97</v>
      </c>
      <c r="K9835" s="33" t="s">
        <v>174</v>
      </c>
      <c r="L9835" s="31" t="str">
        <f t="shared" si="949"/>
        <v>Sembilan Puluh Tujuh</v>
      </c>
    </row>
    <row r="9836" spans="1:12">
      <c r="J9836" s="31">
        <v>98</v>
      </c>
      <c r="K9836" s="33" t="s">
        <v>175</v>
      </c>
      <c r="L9836" s="31" t="str">
        <f t="shared" si="949"/>
        <v>Sembilan Puluh Delapan</v>
      </c>
    </row>
    <row r="9837" spans="1:12">
      <c r="J9837" s="31">
        <v>99</v>
      </c>
      <c r="K9837" s="33" t="s">
        <v>176</v>
      </c>
      <c r="L9837" s="31" t="str">
        <f t="shared" si="949"/>
        <v>Sembilan Puluh Sembilan</v>
      </c>
    </row>
    <row r="9839" spans="1:12">
      <c r="A9839" s="30" t="e">
        <f>#REF!</f>
        <v>#REF!</v>
      </c>
      <c r="C9839" s="31" t="s">
        <v>307</v>
      </c>
    </row>
    <row r="9840" spans="1:12">
      <c r="A9840" s="32"/>
    </row>
    <row r="9841" spans="1:12">
      <c r="J9841" s="31">
        <v>0</v>
      </c>
      <c r="K9841" s="33" t="s">
        <v>48</v>
      </c>
      <c r="L9841" s="31" t="s">
        <v>49</v>
      </c>
    </row>
    <row r="9842" spans="1:12">
      <c r="A9842" s="34"/>
      <c r="J9842" s="31">
        <v>1</v>
      </c>
      <c r="K9842" s="33" t="s">
        <v>50</v>
      </c>
      <c r="L9842" s="31" t="s">
        <v>51</v>
      </c>
    </row>
    <row r="9843" spans="1:12">
      <c r="A9843" s="255" t="e">
        <f>TRIM(D9851&amp;E9851&amp;D9852&amp;E9852&amp;D9853&amp;E9853&amp;D9854&amp;E9854&amp;D9855&amp;E9855&amp;D9856&amp;E9856&amp;E9857&amp;D9857&amp;" Only")</f>
        <v>#REF!</v>
      </c>
      <c r="B9843" s="255"/>
      <c r="C9843" s="255"/>
      <c r="D9843" s="255"/>
      <c r="E9843" s="35"/>
      <c r="F9843" s="36"/>
      <c r="J9843" s="31">
        <v>2</v>
      </c>
      <c r="K9843" s="33" t="s">
        <v>52</v>
      </c>
      <c r="L9843" s="31" t="s">
        <v>53</v>
      </c>
    </row>
    <row r="9844" spans="1:12">
      <c r="A9844" s="37"/>
      <c r="B9844" s="37"/>
      <c r="C9844" s="37"/>
      <c r="D9844" s="37"/>
      <c r="E9844" s="35"/>
      <c r="F9844" s="36"/>
      <c r="J9844" s="31">
        <v>3</v>
      </c>
      <c r="K9844" s="33" t="s">
        <v>54</v>
      </c>
      <c r="L9844" s="31" t="s">
        <v>55</v>
      </c>
    </row>
    <row r="9845" spans="1:12">
      <c r="A9845" s="37"/>
      <c r="B9845" s="37"/>
      <c r="C9845" s="37"/>
      <c r="D9845" s="37"/>
      <c r="J9845" s="31">
        <v>4</v>
      </c>
      <c r="K9845" s="33" t="s">
        <v>56</v>
      </c>
      <c r="L9845" s="31" t="s">
        <v>57</v>
      </c>
    </row>
    <row r="9846" spans="1:12">
      <c r="A9846" s="255" t="e">
        <f>TRIM(D9861&amp;E9861&amp;D9862&amp;E9862&amp;D9863&amp;E9863&amp;D9864&amp;E9864&amp;D9865&amp;E9865&amp;D9866&amp;E9866&amp;D9867&amp;E9867&amp;" Rupiah")</f>
        <v>#REF!</v>
      </c>
      <c r="B9846" s="255"/>
      <c r="C9846" s="255"/>
      <c r="D9846" s="255"/>
      <c r="E9846" s="35"/>
      <c r="F9846" s="36"/>
      <c r="J9846" s="31">
        <v>5</v>
      </c>
      <c r="K9846" s="33" t="s">
        <v>58</v>
      </c>
      <c r="L9846" s="31" t="s">
        <v>59</v>
      </c>
    </row>
    <row r="9847" spans="1:12">
      <c r="A9847" s="35"/>
      <c r="B9847" s="35"/>
      <c r="C9847" s="35"/>
      <c r="D9847" s="35"/>
      <c r="E9847" s="35"/>
      <c r="F9847" s="36"/>
      <c r="J9847" s="31">
        <v>6</v>
      </c>
      <c r="K9847" s="33" t="s">
        <v>60</v>
      </c>
      <c r="L9847" s="31" t="s">
        <v>61</v>
      </c>
    </row>
    <row r="9848" spans="1:12">
      <c r="J9848" s="31">
        <v>7</v>
      </c>
      <c r="K9848" s="33" t="s">
        <v>62</v>
      </c>
      <c r="L9848" s="31" t="s">
        <v>63</v>
      </c>
    </row>
    <row r="9849" spans="1:12">
      <c r="J9849" s="31">
        <v>8</v>
      </c>
      <c r="K9849" s="33" t="s">
        <v>64</v>
      </c>
      <c r="L9849" s="31" t="s">
        <v>65</v>
      </c>
    </row>
    <row r="9850" spans="1:12">
      <c r="A9850" s="38" t="s">
        <v>66</v>
      </c>
      <c r="J9850" s="31">
        <v>9</v>
      </c>
      <c r="K9850" s="33" t="s">
        <v>67</v>
      </c>
      <c r="L9850" s="31" t="s">
        <v>68</v>
      </c>
    </row>
    <row r="9851" spans="1:12">
      <c r="A9851" s="31" t="s">
        <v>69</v>
      </c>
      <c r="B9851" s="39" t="e">
        <f>TRUNC(A9839/100000000)</f>
        <v>#REF!</v>
      </c>
      <c r="C9851" s="31" t="e">
        <f>B9851*100000000</f>
        <v>#REF!</v>
      </c>
      <c r="D9851" s="31" t="e">
        <f t="shared" ref="D9851:D9857" si="950">IF(B9851&lt;1,"",VLOOKUP(B9851,$J$3:$K$102,2))</f>
        <v>#REF!</v>
      </c>
      <c r="E9851" s="31" t="e">
        <f>IF(B9851&lt;1,"",IF(B9851&gt;1," Hundreds "," Hundred "))</f>
        <v>#REF!</v>
      </c>
      <c r="J9851" s="31">
        <v>10</v>
      </c>
      <c r="K9851" s="33" t="s">
        <v>70</v>
      </c>
      <c r="L9851" s="31" t="s">
        <v>71</v>
      </c>
    </row>
    <row r="9852" spans="1:12">
      <c r="A9852" s="31" t="s">
        <v>72</v>
      </c>
      <c r="B9852" s="39" t="e">
        <f>TRUNC((A9839-C9851)/1000000)</f>
        <v>#REF!</v>
      </c>
      <c r="C9852" s="31" t="e">
        <f>B9852*1000000</f>
        <v>#REF!</v>
      </c>
      <c r="D9852" s="31" t="e">
        <f t="shared" si="950"/>
        <v>#REF!</v>
      </c>
      <c r="E9852" s="31" t="e">
        <f>IF(B9851+B9852=0,"",IF(B9852=1," Million "," Millions "))</f>
        <v>#REF!</v>
      </c>
      <c r="J9852" s="31">
        <v>11</v>
      </c>
      <c r="K9852" s="33" t="s">
        <v>73</v>
      </c>
      <c r="L9852" s="31" t="s">
        <v>74</v>
      </c>
    </row>
    <row r="9853" spans="1:12">
      <c r="A9853" s="31" t="s">
        <v>75</v>
      </c>
      <c r="B9853" s="39" t="e">
        <f>TRUNC((A9839-SUM(C9851:C9852))/100000)</f>
        <v>#REF!</v>
      </c>
      <c r="C9853" s="31" t="e">
        <f>B9853*100000</f>
        <v>#REF!</v>
      </c>
      <c r="D9853" s="31" t="e">
        <f t="shared" si="950"/>
        <v>#REF!</v>
      </c>
      <c r="E9853" s="31" t="e">
        <f>IF(B9853&lt;1,"",IF(B9853&gt;1," Hundreds "," Hundred "))</f>
        <v>#REF!</v>
      </c>
      <c r="J9853" s="31">
        <v>12</v>
      </c>
      <c r="K9853" s="33" t="s">
        <v>76</v>
      </c>
      <c r="L9853" s="31" t="str">
        <f t="shared" ref="L9853:L9860" si="951">L9843&amp;" Belas"</f>
        <v>Dua Belas</v>
      </c>
    </row>
    <row r="9854" spans="1:12">
      <c r="A9854" s="33" t="s">
        <v>77</v>
      </c>
      <c r="B9854" s="40" t="e">
        <f>TRUNC((A9839-SUM(C9851:C9853))/1000)</f>
        <v>#REF!</v>
      </c>
      <c r="C9854" s="31" t="e">
        <f>B9854*1000</f>
        <v>#REF!</v>
      </c>
      <c r="D9854" s="31" t="e">
        <f t="shared" si="950"/>
        <v>#REF!</v>
      </c>
      <c r="E9854" s="31" t="e">
        <f>IF(B9853+B9854=0,"",IF(B9854=1," Thousand "," Thousands "))</f>
        <v>#REF!</v>
      </c>
      <c r="J9854" s="31">
        <v>13</v>
      </c>
      <c r="K9854" s="33" t="s">
        <v>78</v>
      </c>
      <c r="L9854" s="31" t="str">
        <f t="shared" si="951"/>
        <v>Tiga Belas</v>
      </c>
    </row>
    <row r="9855" spans="1:12">
      <c r="A9855" s="33" t="s">
        <v>79</v>
      </c>
      <c r="B9855" s="40" t="e">
        <f>TRUNC((A9839-SUM(C9851:C9854))/100)</f>
        <v>#REF!</v>
      </c>
      <c r="C9855" s="31" t="e">
        <f>B9855*100</f>
        <v>#REF!</v>
      </c>
      <c r="D9855" s="31" t="e">
        <f t="shared" si="950"/>
        <v>#REF!</v>
      </c>
      <c r="E9855" s="31" t="e">
        <f>IF(B9855&lt;1,"",IF(B9855&gt;1," Hundreds "," Hundred "))</f>
        <v>#REF!</v>
      </c>
      <c r="J9855" s="31">
        <v>14</v>
      </c>
      <c r="K9855" s="33" t="s">
        <v>80</v>
      </c>
      <c r="L9855" s="31" t="str">
        <f t="shared" si="951"/>
        <v>Empat Belas</v>
      </c>
    </row>
    <row r="9856" spans="1:12">
      <c r="A9856" s="33" t="s">
        <v>81</v>
      </c>
      <c r="B9856" s="41" t="e">
        <f>TRUNC((A9839-SUM(C9851:C9855)))</f>
        <v>#REF!</v>
      </c>
      <c r="C9856" s="42" t="e">
        <f>B9856</f>
        <v>#REF!</v>
      </c>
      <c r="D9856" s="31" t="e">
        <f t="shared" si="950"/>
        <v>#REF!</v>
      </c>
      <c r="E9856" s="31" t="e">
        <f>IF(SUM(C9851:C9856)&lt;1,"",IF(B9857&lt;1,""," And "))</f>
        <v>#REF!</v>
      </c>
      <c r="J9856" s="31">
        <v>15</v>
      </c>
      <c r="K9856" s="33" t="s">
        <v>82</v>
      </c>
      <c r="L9856" s="31" t="str">
        <f t="shared" si="951"/>
        <v>Lima Belas</v>
      </c>
    </row>
    <row r="9857" spans="1:12">
      <c r="A9857" s="33" t="s">
        <v>83</v>
      </c>
      <c r="B9857" s="40" t="e">
        <f>ROUND(A9839-SUM(C9851:C9856),2)*100</f>
        <v>#REF!</v>
      </c>
      <c r="D9857" s="43" t="e">
        <f t="shared" si="950"/>
        <v>#REF!</v>
      </c>
      <c r="E9857" s="31" t="e">
        <f>IF(B9857&lt;1,"",IF(B9857=1," Cent "," Cents "))</f>
        <v>#REF!</v>
      </c>
      <c r="J9857" s="31">
        <v>16</v>
      </c>
      <c r="K9857" s="33" t="s">
        <v>84</v>
      </c>
      <c r="L9857" s="31" t="str">
        <f t="shared" si="951"/>
        <v>Enam Belas</v>
      </c>
    </row>
    <row r="9858" spans="1:12">
      <c r="J9858" s="31">
        <v>17</v>
      </c>
      <c r="K9858" s="33" t="s">
        <v>85</v>
      </c>
      <c r="L9858" s="31" t="str">
        <f t="shared" si="951"/>
        <v>Tujuh Belas</v>
      </c>
    </row>
    <row r="9859" spans="1:12">
      <c r="A9859" s="44"/>
      <c r="J9859" s="31">
        <v>18</v>
      </c>
      <c r="K9859" s="33" t="s">
        <v>86</v>
      </c>
      <c r="L9859" s="31" t="str">
        <f t="shared" si="951"/>
        <v>Delapan Belas</v>
      </c>
    </row>
    <row r="9860" spans="1:12">
      <c r="A9860" s="38" t="s">
        <v>87</v>
      </c>
      <c r="J9860" s="31">
        <v>19</v>
      </c>
      <c r="K9860" s="33" t="s">
        <v>88</v>
      </c>
      <c r="L9860" s="31" t="str">
        <f t="shared" si="951"/>
        <v>Sembilan Belas</v>
      </c>
    </row>
    <row r="9861" spans="1:12">
      <c r="A9861" s="31" t="s">
        <v>69</v>
      </c>
      <c r="B9861" s="39" t="e">
        <f>TRUNC(A9839/100000000)</f>
        <v>#REF!</v>
      </c>
      <c r="C9861" s="31" t="e">
        <f>B9861*100000000</f>
        <v>#REF!</v>
      </c>
      <c r="D9861" s="31" t="e">
        <f>IF(B9861&lt;1,"",IF(B9861=1,"",VLOOKUP(B9861,$J$3:$L$102,3)))</f>
        <v>#REF!</v>
      </c>
      <c r="E9861" s="31" t="e">
        <f>IF(B9861&lt;1,"",IF(B9861=1,"Seratus "," Ratus "))</f>
        <v>#REF!</v>
      </c>
      <c r="J9861" s="31">
        <v>20</v>
      </c>
      <c r="K9861" s="33" t="s">
        <v>89</v>
      </c>
      <c r="L9861" s="31" t="s">
        <v>90</v>
      </c>
    </row>
    <row r="9862" spans="1:12">
      <c r="A9862" s="31" t="s">
        <v>72</v>
      </c>
      <c r="B9862" s="39" t="e">
        <f>TRUNC((A9839-C9861)/1000000)</f>
        <v>#REF!</v>
      </c>
      <c r="C9862" s="31" t="e">
        <f>B9862*1000000</f>
        <v>#REF!</v>
      </c>
      <c r="D9862" s="31" t="e">
        <f>IF(B9862&lt;1,"",VLOOKUP(B9862,$J$3:$L$102,3))</f>
        <v>#REF!</v>
      </c>
      <c r="E9862" s="31" t="e">
        <f>IF(B9861+B9862=0,""," Juta ")</f>
        <v>#REF!</v>
      </c>
      <c r="J9862" s="31">
        <v>21</v>
      </c>
      <c r="K9862" s="33" t="s">
        <v>91</v>
      </c>
      <c r="L9862" s="31" t="str">
        <f t="shared" ref="L9862:L9870" si="952">$L$23&amp;" "&amp;L9842</f>
        <v>Dua Puluh Satu</v>
      </c>
    </row>
    <row r="9863" spans="1:12">
      <c r="A9863" s="31" t="s">
        <v>75</v>
      </c>
      <c r="B9863" s="39" t="e">
        <f>TRUNC((A9839-SUM(C9861:C9862))/100000)</f>
        <v>#REF!</v>
      </c>
      <c r="C9863" s="31" t="e">
        <f>B9863*100000</f>
        <v>#REF!</v>
      </c>
      <c r="D9863" s="31" t="e">
        <f>IF(B9863&lt;1,"",IF(B9863=1,"",VLOOKUP(B9863,$J$3:$L$102,3)))</f>
        <v>#REF!</v>
      </c>
      <c r="E9863" s="31" t="e">
        <f>IF(B9863&lt;1,"",IF(B9863=1," Seratus "," Ratus "))</f>
        <v>#REF!</v>
      </c>
      <c r="J9863" s="31">
        <v>22</v>
      </c>
      <c r="K9863" s="33" t="s">
        <v>92</v>
      </c>
      <c r="L9863" s="31" t="str">
        <f t="shared" si="952"/>
        <v>Dua Puluh Dua</v>
      </c>
    </row>
    <row r="9864" spans="1:12">
      <c r="A9864" s="33" t="s">
        <v>77</v>
      </c>
      <c r="B9864" s="40" t="e">
        <f>TRUNC((A9839-SUM(C9861:C9863))/1000)</f>
        <v>#REF!</v>
      </c>
      <c r="C9864" s="31" t="e">
        <f>B9864*1000</f>
        <v>#REF!</v>
      </c>
      <c r="D9864" s="31" t="e">
        <f>IF(B9864&lt;1,"",IF(B9864=1,"",VLOOKUP(B9864,$J$3:$L$102,3)))</f>
        <v>#REF!</v>
      </c>
      <c r="E9864" s="31" t="e">
        <f>IF(B9863+B9864&lt;1,"",IF(B9864=1," Seribu "," Ribu "))</f>
        <v>#REF!</v>
      </c>
      <c r="J9864" s="31">
        <v>23</v>
      </c>
      <c r="K9864" s="33" t="s">
        <v>93</v>
      </c>
      <c r="L9864" s="31" t="str">
        <f t="shared" si="952"/>
        <v>Dua Puluh Tiga</v>
      </c>
    </row>
    <row r="9865" spans="1:12">
      <c r="A9865" s="33" t="s">
        <v>79</v>
      </c>
      <c r="B9865" s="40" t="e">
        <f>TRUNC((A9839-SUM(C9861:C9864))/100)</f>
        <v>#REF!</v>
      </c>
      <c r="C9865" s="31" t="e">
        <f>B9865*100</f>
        <v>#REF!</v>
      </c>
      <c r="D9865" s="31" t="e">
        <f>IF(B9865&lt;1,"",IF(B9865=1,"",VLOOKUP(B9865,$J$3:$L$102,3)))</f>
        <v>#REF!</v>
      </c>
      <c r="E9865" s="31" t="e">
        <f>IF(B9865&lt;1,"",IF(B9865=1," Seratus "," Ratus "))</f>
        <v>#REF!</v>
      </c>
      <c r="J9865" s="31">
        <v>24</v>
      </c>
      <c r="K9865" s="33" t="s">
        <v>94</v>
      </c>
      <c r="L9865" s="31" t="str">
        <f t="shared" si="952"/>
        <v>Dua Puluh Empat</v>
      </c>
    </row>
    <row r="9866" spans="1:12">
      <c r="A9866" s="33" t="s">
        <v>81</v>
      </c>
      <c r="B9866" s="41" t="e">
        <f>TRUNC((A9839-SUM(C9861:C9865)))</f>
        <v>#REF!</v>
      </c>
      <c r="C9866" s="42" t="e">
        <f>B9866</f>
        <v>#REF!</v>
      </c>
      <c r="D9866" s="31" t="e">
        <f>IF(B9866&lt;1,"",VLOOKUP(B9866,$J$3:$L$102,3))</f>
        <v>#REF!</v>
      </c>
      <c r="E9866" s="31" t="e">
        <f>IF(SUM(C9861:C9866)&lt;1,"",IF(B9867&lt;1,""," Dan "))</f>
        <v>#REF!</v>
      </c>
      <c r="J9866" s="31">
        <v>25</v>
      </c>
      <c r="K9866" s="33" t="s">
        <v>95</v>
      </c>
      <c r="L9866" s="31" t="str">
        <f t="shared" si="952"/>
        <v>Dua Puluh Lima</v>
      </c>
    </row>
    <row r="9867" spans="1:12">
      <c r="A9867" s="33" t="s">
        <v>83</v>
      </c>
      <c r="B9867" s="40" t="e">
        <f>ROUND(A9839-SUM(C9861:C9866),2)*100</f>
        <v>#REF!</v>
      </c>
      <c r="D9867" s="31" t="e">
        <f>IF(B9867&lt;1,"",VLOOKUP(B9867,$J$3:$L$102,3))</f>
        <v>#REF!</v>
      </c>
      <c r="E9867" s="31" t="e">
        <f>IF(B9867&lt;1,""," Sen ")</f>
        <v>#REF!</v>
      </c>
      <c r="J9867" s="31">
        <v>26</v>
      </c>
      <c r="K9867" s="33" t="s">
        <v>96</v>
      </c>
      <c r="L9867" s="31" t="str">
        <f t="shared" si="952"/>
        <v>Dua Puluh Enam</v>
      </c>
    </row>
    <row r="9868" spans="1:12">
      <c r="J9868" s="31">
        <v>27</v>
      </c>
      <c r="K9868" s="33" t="s">
        <v>97</v>
      </c>
      <c r="L9868" s="31" t="str">
        <f t="shared" si="952"/>
        <v>Dua Puluh Tujuh</v>
      </c>
    </row>
    <row r="9869" spans="1:12">
      <c r="J9869" s="31">
        <v>28</v>
      </c>
      <c r="K9869" s="33" t="s">
        <v>98</v>
      </c>
      <c r="L9869" s="31" t="str">
        <f t="shared" si="952"/>
        <v>Dua Puluh Delapan</v>
      </c>
    </row>
    <row r="9870" spans="1:12">
      <c r="J9870" s="31">
        <v>29</v>
      </c>
      <c r="K9870" s="33" t="s">
        <v>99</v>
      </c>
      <c r="L9870" s="31" t="str">
        <f t="shared" si="952"/>
        <v>Dua Puluh Sembilan</v>
      </c>
    </row>
    <row r="9871" spans="1:12">
      <c r="J9871" s="31">
        <v>30</v>
      </c>
      <c r="K9871" s="33" t="s">
        <v>100</v>
      </c>
      <c r="L9871" s="31" t="s">
        <v>101</v>
      </c>
    </row>
    <row r="9872" spans="1:12">
      <c r="J9872" s="31">
        <v>31</v>
      </c>
      <c r="K9872" s="33" t="s">
        <v>102</v>
      </c>
      <c r="L9872" s="31" t="str">
        <f t="shared" ref="L9872:L9880" si="953">$L$33&amp;" "&amp;L9842</f>
        <v>Tiga Puluh Satu</v>
      </c>
    </row>
    <row r="9873" spans="1:12">
      <c r="J9873" s="31">
        <v>32</v>
      </c>
      <c r="K9873" s="33" t="s">
        <v>103</v>
      </c>
      <c r="L9873" s="31" t="str">
        <f t="shared" si="953"/>
        <v>Tiga Puluh Dua</v>
      </c>
    </row>
    <row r="9874" spans="1:12">
      <c r="J9874" s="31">
        <v>33</v>
      </c>
      <c r="K9874" s="33" t="s">
        <v>104</v>
      </c>
      <c r="L9874" s="31" t="str">
        <f t="shared" si="953"/>
        <v>Tiga Puluh Tiga</v>
      </c>
    </row>
    <row r="9875" spans="1:12">
      <c r="J9875" s="31">
        <v>34</v>
      </c>
      <c r="K9875" s="33" t="s">
        <v>105</v>
      </c>
      <c r="L9875" s="31" t="str">
        <f t="shared" si="953"/>
        <v>Tiga Puluh Empat</v>
      </c>
    </row>
    <row r="9876" spans="1:12">
      <c r="J9876" s="31">
        <v>35</v>
      </c>
      <c r="K9876" s="33" t="s">
        <v>106</v>
      </c>
      <c r="L9876" s="31" t="str">
        <f t="shared" si="953"/>
        <v>Tiga Puluh Lima</v>
      </c>
    </row>
    <row r="9877" spans="1:12">
      <c r="J9877" s="31">
        <v>36</v>
      </c>
      <c r="K9877" s="33" t="s">
        <v>107</v>
      </c>
      <c r="L9877" s="31" t="str">
        <f t="shared" si="953"/>
        <v>Tiga Puluh Enam</v>
      </c>
    </row>
    <row r="9878" spans="1:12">
      <c r="J9878" s="31">
        <v>37</v>
      </c>
      <c r="K9878" s="33" t="s">
        <v>108</v>
      </c>
      <c r="L9878" s="31" t="str">
        <f t="shared" si="953"/>
        <v>Tiga Puluh Tujuh</v>
      </c>
    </row>
    <row r="9879" spans="1:12">
      <c r="J9879" s="31">
        <v>38</v>
      </c>
      <c r="K9879" s="33" t="s">
        <v>109</v>
      </c>
      <c r="L9879" s="31" t="str">
        <f t="shared" si="953"/>
        <v>Tiga Puluh Delapan</v>
      </c>
    </row>
    <row r="9880" spans="1:12">
      <c r="J9880" s="31">
        <v>39</v>
      </c>
      <c r="K9880" s="33" t="s">
        <v>110</v>
      </c>
      <c r="L9880" s="31" t="str">
        <f t="shared" si="953"/>
        <v>Tiga Puluh Sembilan</v>
      </c>
    </row>
    <row r="9881" spans="1:12">
      <c r="B9881" s="35"/>
      <c r="C9881" s="35"/>
      <c r="D9881" s="35"/>
      <c r="J9881" s="31">
        <v>40</v>
      </c>
      <c r="K9881" s="33" t="s">
        <v>111</v>
      </c>
      <c r="L9881" s="31" t="s">
        <v>112</v>
      </c>
    </row>
    <row r="9882" spans="1:12">
      <c r="A9882" s="35"/>
      <c r="B9882" s="35"/>
      <c r="C9882" s="35"/>
      <c r="D9882" s="35"/>
      <c r="J9882" s="31">
        <v>41</v>
      </c>
      <c r="K9882" s="33" t="s">
        <v>113</v>
      </c>
      <c r="L9882" s="31" t="str">
        <f t="shared" ref="L9882:L9890" si="954">$L$43&amp;" "&amp;L9842</f>
        <v>Empat Puluh Satu</v>
      </c>
    </row>
    <row r="9883" spans="1:12">
      <c r="J9883" s="31">
        <v>42</v>
      </c>
      <c r="K9883" s="33" t="s">
        <v>114</v>
      </c>
      <c r="L9883" s="31" t="str">
        <f t="shared" si="954"/>
        <v>Empat Puluh Dua</v>
      </c>
    </row>
    <row r="9884" spans="1:12">
      <c r="A9884" s="38"/>
      <c r="J9884" s="31">
        <v>43</v>
      </c>
      <c r="K9884" s="33" t="s">
        <v>115</v>
      </c>
      <c r="L9884" s="31" t="str">
        <f t="shared" si="954"/>
        <v>Empat Puluh Tiga</v>
      </c>
    </row>
    <row r="9885" spans="1:12">
      <c r="J9885" s="31">
        <v>44</v>
      </c>
      <c r="K9885" s="33" t="s">
        <v>116</v>
      </c>
      <c r="L9885" s="31" t="str">
        <f t="shared" si="954"/>
        <v>Empat Puluh Empat</v>
      </c>
    </row>
    <row r="9886" spans="1:12">
      <c r="J9886" s="31">
        <v>45</v>
      </c>
      <c r="K9886" s="33" t="s">
        <v>117</v>
      </c>
      <c r="L9886" s="31" t="str">
        <f t="shared" si="954"/>
        <v>Empat Puluh Lima</v>
      </c>
    </row>
    <row r="9887" spans="1:12">
      <c r="J9887" s="31">
        <v>46</v>
      </c>
      <c r="K9887" s="33" t="s">
        <v>118</v>
      </c>
      <c r="L9887" s="31" t="str">
        <f t="shared" si="954"/>
        <v>Empat Puluh Enam</v>
      </c>
    </row>
    <row r="9888" spans="1:12">
      <c r="J9888" s="31">
        <v>47</v>
      </c>
      <c r="K9888" s="33" t="s">
        <v>119</v>
      </c>
      <c r="L9888" s="31" t="str">
        <f t="shared" si="954"/>
        <v>Empat Puluh Tujuh</v>
      </c>
    </row>
    <row r="9889" spans="10:12">
      <c r="J9889" s="31">
        <v>48</v>
      </c>
      <c r="K9889" s="33" t="s">
        <v>120</v>
      </c>
      <c r="L9889" s="31" t="str">
        <f t="shared" si="954"/>
        <v>Empat Puluh Delapan</v>
      </c>
    </row>
    <row r="9890" spans="10:12">
      <c r="J9890" s="31">
        <v>49</v>
      </c>
      <c r="K9890" s="33" t="s">
        <v>121</v>
      </c>
      <c r="L9890" s="31" t="str">
        <f t="shared" si="954"/>
        <v>Empat Puluh Sembilan</v>
      </c>
    </row>
    <row r="9891" spans="10:12">
      <c r="J9891" s="31">
        <v>50</v>
      </c>
      <c r="K9891" s="33" t="s">
        <v>122</v>
      </c>
      <c r="L9891" s="31" t="s">
        <v>123</v>
      </c>
    </row>
    <row r="9892" spans="10:12">
      <c r="J9892" s="31">
        <v>51</v>
      </c>
      <c r="K9892" s="33" t="s">
        <v>124</v>
      </c>
      <c r="L9892" s="31" t="str">
        <f t="shared" ref="L9892:L9900" si="955">$L$53&amp;" "&amp;L9842</f>
        <v>Lima Puluh Satu</v>
      </c>
    </row>
    <row r="9893" spans="10:12">
      <c r="J9893" s="31">
        <v>52</v>
      </c>
      <c r="K9893" s="33" t="s">
        <v>125</v>
      </c>
      <c r="L9893" s="31" t="str">
        <f t="shared" si="955"/>
        <v>Lima Puluh Dua</v>
      </c>
    </row>
    <row r="9894" spans="10:12">
      <c r="J9894" s="31">
        <v>53</v>
      </c>
      <c r="K9894" s="33" t="s">
        <v>126</v>
      </c>
      <c r="L9894" s="31" t="str">
        <f t="shared" si="955"/>
        <v>Lima Puluh Tiga</v>
      </c>
    </row>
    <row r="9895" spans="10:12">
      <c r="J9895" s="31">
        <v>54</v>
      </c>
      <c r="K9895" s="33" t="s">
        <v>127</v>
      </c>
      <c r="L9895" s="31" t="str">
        <f t="shared" si="955"/>
        <v>Lima Puluh Empat</v>
      </c>
    </row>
    <row r="9896" spans="10:12">
      <c r="J9896" s="31">
        <v>55</v>
      </c>
      <c r="K9896" s="33" t="s">
        <v>128</v>
      </c>
      <c r="L9896" s="31" t="str">
        <f t="shared" si="955"/>
        <v>Lima Puluh Lima</v>
      </c>
    </row>
    <row r="9897" spans="10:12">
      <c r="J9897" s="31">
        <v>56</v>
      </c>
      <c r="K9897" s="33" t="s">
        <v>129</v>
      </c>
      <c r="L9897" s="31" t="str">
        <f t="shared" si="955"/>
        <v>Lima Puluh Enam</v>
      </c>
    </row>
    <row r="9898" spans="10:12">
      <c r="J9898" s="31">
        <v>57</v>
      </c>
      <c r="K9898" s="33" t="s">
        <v>130</v>
      </c>
      <c r="L9898" s="31" t="str">
        <f t="shared" si="955"/>
        <v>Lima Puluh Tujuh</v>
      </c>
    </row>
    <row r="9899" spans="10:12">
      <c r="J9899" s="31">
        <v>58</v>
      </c>
      <c r="K9899" s="33" t="s">
        <v>131</v>
      </c>
      <c r="L9899" s="31" t="str">
        <f t="shared" si="955"/>
        <v>Lima Puluh Delapan</v>
      </c>
    </row>
    <row r="9900" spans="10:12">
      <c r="J9900" s="31">
        <v>59</v>
      </c>
      <c r="K9900" s="33" t="s">
        <v>132</v>
      </c>
      <c r="L9900" s="31" t="str">
        <f t="shared" si="955"/>
        <v>Lima Puluh Sembilan</v>
      </c>
    </row>
    <row r="9901" spans="10:12">
      <c r="J9901" s="31">
        <v>60</v>
      </c>
      <c r="K9901" s="33" t="s">
        <v>133</v>
      </c>
      <c r="L9901" s="31" t="s">
        <v>134</v>
      </c>
    </row>
    <row r="9902" spans="10:12">
      <c r="J9902" s="31">
        <v>61</v>
      </c>
      <c r="K9902" s="33" t="s">
        <v>135</v>
      </c>
      <c r="L9902" s="31" t="str">
        <f t="shared" ref="L9902:L9910" si="956">$L$63&amp;" "&amp;L9842</f>
        <v>Enam Puluh Satu</v>
      </c>
    </row>
    <row r="9903" spans="10:12">
      <c r="J9903" s="31">
        <v>62</v>
      </c>
      <c r="K9903" s="33" t="s">
        <v>136</v>
      </c>
      <c r="L9903" s="31" t="str">
        <f t="shared" si="956"/>
        <v>Enam Puluh Dua</v>
      </c>
    </row>
    <row r="9904" spans="10:12">
      <c r="J9904" s="31">
        <v>63</v>
      </c>
      <c r="K9904" s="33" t="s">
        <v>137</v>
      </c>
      <c r="L9904" s="31" t="str">
        <f t="shared" si="956"/>
        <v>Enam Puluh Tiga</v>
      </c>
    </row>
    <row r="9905" spans="10:12">
      <c r="J9905" s="31">
        <v>64</v>
      </c>
      <c r="K9905" s="33" t="s">
        <v>138</v>
      </c>
      <c r="L9905" s="31" t="str">
        <f t="shared" si="956"/>
        <v>Enam Puluh Empat</v>
      </c>
    </row>
    <row r="9906" spans="10:12">
      <c r="J9906" s="31">
        <v>65</v>
      </c>
      <c r="K9906" s="33" t="s">
        <v>139</v>
      </c>
      <c r="L9906" s="31" t="str">
        <f t="shared" si="956"/>
        <v>Enam Puluh Lima</v>
      </c>
    </row>
    <row r="9907" spans="10:12">
      <c r="J9907" s="31">
        <v>66</v>
      </c>
      <c r="K9907" s="33" t="s">
        <v>140</v>
      </c>
      <c r="L9907" s="31" t="str">
        <f t="shared" si="956"/>
        <v>Enam Puluh Enam</v>
      </c>
    </row>
    <row r="9908" spans="10:12">
      <c r="J9908" s="31">
        <v>67</v>
      </c>
      <c r="K9908" s="33" t="s">
        <v>141</v>
      </c>
      <c r="L9908" s="31" t="str">
        <f t="shared" si="956"/>
        <v>Enam Puluh Tujuh</v>
      </c>
    </row>
    <row r="9909" spans="10:12">
      <c r="J9909" s="31">
        <v>68</v>
      </c>
      <c r="K9909" s="33" t="s">
        <v>142</v>
      </c>
      <c r="L9909" s="31" t="str">
        <f t="shared" si="956"/>
        <v>Enam Puluh Delapan</v>
      </c>
    </row>
    <row r="9910" spans="10:12">
      <c r="J9910" s="31">
        <v>69</v>
      </c>
      <c r="K9910" s="33" t="s">
        <v>143</v>
      </c>
      <c r="L9910" s="31" t="str">
        <f t="shared" si="956"/>
        <v>Enam Puluh Sembilan</v>
      </c>
    </row>
    <row r="9911" spans="10:12">
      <c r="J9911" s="31">
        <v>70</v>
      </c>
      <c r="K9911" s="33" t="s">
        <v>144</v>
      </c>
      <c r="L9911" s="31" t="s">
        <v>145</v>
      </c>
    </row>
    <row r="9912" spans="10:12">
      <c r="J9912" s="31">
        <v>71</v>
      </c>
      <c r="K9912" s="33" t="s">
        <v>146</v>
      </c>
      <c r="L9912" s="31" t="str">
        <f t="shared" ref="L9912:L9920" si="957">$L$73&amp;" "&amp;L9842</f>
        <v>Tujuh Puluh Satu</v>
      </c>
    </row>
    <row r="9913" spans="10:12">
      <c r="J9913" s="31">
        <v>72</v>
      </c>
      <c r="K9913" s="33" t="s">
        <v>147</v>
      </c>
      <c r="L9913" s="31" t="str">
        <f t="shared" si="957"/>
        <v>Tujuh Puluh Dua</v>
      </c>
    </row>
    <row r="9914" spans="10:12">
      <c r="J9914" s="31">
        <v>73</v>
      </c>
      <c r="K9914" s="33" t="s">
        <v>148</v>
      </c>
      <c r="L9914" s="31" t="str">
        <f t="shared" si="957"/>
        <v>Tujuh Puluh Tiga</v>
      </c>
    </row>
    <row r="9915" spans="10:12">
      <c r="J9915" s="31">
        <v>74</v>
      </c>
      <c r="K9915" s="33" t="s">
        <v>149</v>
      </c>
      <c r="L9915" s="31" t="str">
        <f t="shared" si="957"/>
        <v>Tujuh Puluh Empat</v>
      </c>
    </row>
    <row r="9916" spans="10:12">
      <c r="J9916" s="31">
        <v>75</v>
      </c>
      <c r="K9916" s="33" t="s">
        <v>150</v>
      </c>
      <c r="L9916" s="31" t="str">
        <f t="shared" si="957"/>
        <v>Tujuh Puluh Lima</v>
      </c>
    </row>
    <row r="9917" spans="10:12">
      <c r="J9917" s="31">
        <v>76</v>
      </c>
      <c r="K9917" s="33" t="s">
        <v>151</v>
      </c>
      <c r="L9917" s="31" t="str">
        <f t="shared" si="957"/>
        <v>Tujuh Puluh Enam</v>
      </c>
    </row>
    <row r="9918" spans="10:12">
      <c r="J9918" s="31">
        <v>77</v>
      </c>
      <c r="K9918" s="33" t="s">
        <v>152</v>
      </c>
      <c r="L9918" s="31" t="str">
        <f t="shared" si="957"/>
        <v>Tujuh Puluh Tujuh</v>
      </c>
    </row>
    <row r="9919" spans="10:12">
      <c r="J9919" s="31">
        <v>78</v>
      </c>
      <c r="K9919" s="33" t="s">
        <v>153</v>
      </c>
      <c r="L9919" s="31" t="str">
        <f t="shared" si="957"/>
        <v>Tujuh Puluh Delapan</v>
      </c>
    </row>
    <row r="9920" spans="10:12">
      <c r="J9920" s="31">
        <v>79</v>
      </c>
      <c r="K9920" s="33" t="s">
        <v>154</v>
      </c>
      <c r="L9920" s="31" t="str">
        <f t="shared" si="957"/>
        <v>Tujuh Puluh Sembilan</v>
      </c>
    </row>
    <row r="9921" spans="10:12">
      <c r="J9921" s="31">
        <v>80</v>
      </c>
      <c r="K9921" s="33" t="s">
        <v>155</v>
      </c>
      <c r="L9921" s="31" t="s">
        <v>156</v>
      </c>
    </row>
    <row r="9922" spans="10:12">
      <c r="J9922" s="31">
        <v>81</v>
      </c>
      <c r="K9922" s="33" t="s">
        <v>157</v>
      </c>
      <c r="L9922" s="31" t="str">
        <f t="shared" ref="L9922:L9930" si="958">$L$83&amp;" "&amp;L9842</f>
        <v>Delapan Puluh Satu</v>
      </c>
    </row>
    <row r="9923" spans="10:12">
      <c r="J9923" s="31">
        <v>82</v>
      </c>
      <c r="K9923" s="33" t="s">
        <v>158</v>
      </c>
      <c r="L9923" s="31" t="str">
        <f t="shared" si="958"/>
        <v>Delapan Puluh Dua</v>
      </c>
    </row>
    <row r="9924" spans="10:12">
      <c r="J9924" s="31">
        <v>83</v>
      </c>
      <c r="K9924" s="33" t="s">
        <v>159</v>
      </c>
      <c r="L9924" s="31" t="str">
        <f t="shared" si="958"/>
        <v>Delapan Puluh Tiga</v>
      </c>
    </row>
    <row r="9925" spans="10:12">
      <c r="J9925" s="31">
        <v>84</v>
      </c>
      <c r="K9925" s="33" t="s">
        <v>160</v>
      </c>
      <c r="L9925" s="31" t="str">
        <f t="shared" si="958"/>
        <v>Delapan Puluh Empat</v>
      </c>
    </row>
    <row r="9926" spans="10:12">
      <c r="J9926" s="31">
        <v>85</v>
      </c>
      <c r="K9926" s="33" t="s">
        <v>161</v>
      </c>
      <c r="L9926" s="31" t="str">
        <f t="shared" si="958"/>
        <v>Delapan Puluh Lima</v>
      </c>
    </row>
    <row r="9927" spans="10:12">
      <c r="J9927" s="31">
        <v>86</v>
      </c>
      <c r="K9927" s="33" t="s">
        <v>162</v>
      </c>
      <c r="L9927" s="31" t="str">
        <f t="shared" si="958"/>
        <v>Delapan Puluh Enam</v>
      </c>
    </row>
    <row r="9928" spans="10:12">
      <c r="J9928" s="31">
        <v>87</v>
      </c>
      <c r="K9928" s="33" t="s">
        <v>163</v>
      </c>
      <c r="L9928" s="31" t="str">
        <f t="shared" si="958"/>
        <v>Delapan Puluh Tujuh</v>
      </c>
    </row>
    <row r="9929" spans="10:12">
      <c r="J9929" s="31">
        <v>88</v>
      </c>
      <c r="K9929" s="33" t="s">
        <v>164</v>
      </c>
      <c r="L9929" s="31" t="str">
        <f t="shared" si="958"/>
        <v>Delapan Puluh Delapan</v>
      </c>
    </row>
    <row r="9930" spans="10:12">
      <c r="J9930" s="31">
        <v>89</v>
      </c>
      <c r="K9930" s="33" t="s">
        <v>165</v>
      </c>
      <c r="L9930" s="31" t="str">
        <f t="shared" si="958"/>
        <v>Delapan Puluh Sembilan</v>
      </c>
    </row>
    <row r="9931" spans="10:12">
      <c r="J9931" s="31">
        <v>90</v>
      </c>
      <c r="K9931" s="33" t="s">
        <v>166</v>
      </c>
      <c r="L9931" s="31" t="s">
        <v>167</v>
      </c>
    </row>
    <row r="9932" spans="10:12">
      <c r="J9932" s="31">
        <v>91</v>
      </c>
      <c r="K9932" s="33" t="s">
        <v>168</v>
      </c>
      <c r="L9932" s="31" t="str">
        <f t="shared" ref="L9932:L9940" si="959">$L$93&amp;" "&amp;L9842</f>
        <v>Sembilan Puluh Satu</v>
      </c>
    </row>
    <row r="9933" spans="10:12">
      <c r="J9933" s="31">
        <v>92</v>
      </c>
      <c r="K9933" s="33" t="s">
        <v>169</v>
      </c>
      <c r="L9933" s="31" t="str">
        <f t="shared" si="959"/>
        <v>Sembilan Puluh Dua</v>
      </c>
    </row>
    <row r="9934" spans="10:12">
      <c r="J9934" s="31">
        <v>93</v>
      </c>
      <c r="K9934" s="33" t="s">
        <v>170</v>
      </c>
      <c r="L9934" s="31" t="str">
        <f t="shared" si="959"/>
        <v>Sembilan Puluh Tiga</v>
      </c>
    </row>
    <row r="9935" spans="10:12">
      <c r="J9935" s="31">
        <v>94</v>
      </c>
      <c r="K9935" s="33" t="s">
        <v>171</v>
      </c>
      <c r="L9935" s="31" t="str">
        <f t="shared" si="959"/>
        <v>Sembilan Puluh Empat</v>
      </c>
    </row>
    <row r="9936" spans="10:12">
      <c r="J9936" s="31">
        <v>95</v>
      </c>
      <c r="K9936" s="33" t="s">
        <v>172</v>
      </c>
      <c r="L9936" s="31" t="str">
        <f t="shared" si="959"/>
        <v>Sembilan Puluh Lima</v>
      </c>
    </row>
    <row r="9937" spans="1:12">
      <c r="J9937" s="31">
        <v>96</v>
      </c>
      <c r="K9937" s="33" t="s">
        <v>173</v>
      </c>
      <c r="L9937" s="31" t="str">
        <f t="shared" si="959"/>
        <v>Sembilan Puluh Enam</v>
      </c>
    </row>
    <row r="9938" spans="1:12">
      <c r="J9938" s="31">
        <v>97</v>
      </c>
      <c r="K9938" s="33" t="s">
        <v>174</v>
      </c>
      <c r="L9938" s="31" t="str">
        <f t="shared" si="959"/>
        <v>Sembilan Puluh Tujuh</v>
      </c>
    </row>
    <row r="9939" spans="1:12">
      <c r="J9939" s="31">
        <v>98</v>
      </c>
      <c r="K9939" s="33" t="s">
        <v>175</v>
      </c>
      <c r="L9939" s="31" t="str">
        <f t="shared" si="959"/>
        <v>Sembilan Puluh Delapan</v>
      </c>
    </row>
    <row r="9940" spans="1:12">
      <c r="J9940" s="31">
        <v>99</v>
      </c>
      <c r="K9940" s="33" t="s">
        <v>176</v>
      </c>
      <c r="L9940" s="31" t="str">
        <f t="shared" si="959"/>
        <v>Sembilan Puluh Sembilan</v>
      </c>
    </row>
    <row r="9943" spans="1:12">
      <c r="A9943" s="30" t="e">
        <f>#REF!</f>
        <v>#REF!</v>
      </c>
      <c r="C9943" s="31" t="s">
        <v>308</v>
      </c>
    </row>
    <row r="9944" spans="1:12">
      <c r="A9944" s="32"/>
    </row>
    <row r="9945" spans="1:12">
      <c r="J9945" s="31">
        <v>0</v>
      </c>
      <c r="K9945" s="33" t="s">
        <v>48</v>
      </c>
      <c r="L9945" s="31" t="s">
        <v>49</v>
      </c>
    </row>
    <row r="9946" spans="1:12">
      <c r="A9946" s="34"/>
      <c r="J9946" s="31">
        <v>1</v>
      </c>
      <c r="K9946" s="33" t="s">
        <v>50</v>
      </c>
      <c r="L9946" s="31" t="s">
        <v>51</v>
      </c>
    </row>
    <row r="9947" spans="1:12">
      <c r="A9947" s="255" t="e">
        <f>TRIM(D9955&amp;E9955&amp;D9956&amp;E9956&amp;D9957&amp;E9957&amp;D9958&amp;E9958&amp;D9959&amp;E9959&amp;D9960&amp;E9960&amp;E9961&amp;D9961&amp;" Only")</f>
        <v>#REF!</v>
      </c>
      <c r="B9947" s="255"/>
      <c r="C9947" s="255"/>
      <c r="D9947" s="255"/>
      <c r="E9947" s="35"/>
      <c r="F9947" s="36"/>
      <c r="J9947" s="31">
        <v>2</v>
      </c>
      <c r="K9947" s="33" t="s">
        <v>52</v>
      </c>
      <c r="L9947" s="31" t="s">
        <v>53</v>
      </c>
    </row>
    <row r="9948" spans="1:12">
      <c r="A9948" s="37"/>
      <c r="B9948" s="37"/>
      <c r="C9948" s="37"/>
      <c r="D9948" s="37"/>
      <c r="E9948" s="35"/>
      <c r="F9948" s="36"/>
      <c r="J9948" s="31">
        <v>3</v>
      </c>
      <c r="K9948" s="33" t="s">
        <v>54</v>
      </c>
      <c r="L9948" s="31" t="s">
        <v>55</v>
      </c>
    </row>
    <row r="9949" spans="1:12">
      <c r="A9949" s="37"/>
      <c r="B9949" s="37"/>
      <c r="C9949" s="37"/>
      <c r="D9949" s="37"/>
      <c r="J9949" s="31">
        <v>4</v>
      </c>
      <c r="K9949" s="33" t="s">
        <v>56</v>
      </c>
      <c r="L9949" s="31" t="s">
        <v>57</v>
      </c>
    </row>
    <row r="9950" spans="1:12">
      <c r="A9950" s="255" t="e">
        <f>TRIM(D9965&amp;E9965&amp;D9966&amp;E9966&amp;D9967&amp;E9967&amp;D9968&amp;E9968&amp;D9969&amp;E9969&amp;D9970&amp;E9970&amp;D9971&amp;E9971&amp;" Rupiah")</f>
        <v>#REF!</v>
      </c>
      <c r="B9950" s="255"/>
      <c r="C9950" s="255"/>
      <c r="D9950" s="255"/>
      <c r="E9950" s="35"/>
      <c r="F9950" s="36"/>
      <c r="J9950" s="31">
        <v>5</v>
      </c>
      <c r="K9950" s="33" t="s">
        <v>58</v>
      </c>
      <c r="L9950" s="31" t="s">
        <v>59</v>
      </c>
    </row>
    <row r="9951" spans="1:12">
      <c r="A9951" s="35"/>
      <c r="B9951" s="35"/>
      <c r="C9951" s="35"/>
      <c r="D9951" s="35"/>
      <c r="E9951" s="35"/>
      <c r="F9951" s="36"/>
      <c r="J9951" s="31">
        <v>6</v>
      </c>
      <c r="K9951" s="33" t="s">
        <v>60</v>
      </c>
      <c r="L9951" s="31" t="s">
        <v>61</v>
      </c>
    </row>
    <row r="9952" spans="1:12">
      <c r="J9952" s="31">
        <v>7</v>
      </c>
      <c r="K9952" s="33" t="s">
        <v>62</v>
      </c>
      <c r="L9952" s="31" t="s">
        <v>63</v>
      </c>
    </row>
    <row r="9953" spans="1:12">
      <c r="J9953" s="31">
        <v>8</v>
      </c>
      <c r="K9953" s="33" t="s">
        <v>64</v>
      </c>
      <c r="L9953" s="31" t="s">
        <v>65</v>
      </c>
    </row>
    <row r="9954" spans="1:12">
      <c r="A9954" s="38" t="s">
        <v>66</v>
      </c>
      <c r="J9954" s="31">
        <v>9</v>
      </c>
      <c r="K9954" s="33" t="s">
        <v>67</v>
      </c>
      <c r="L9954" s="31" t="s">
        <v>68</v>
      </c>
    </row>
    <row r="9955" spans="1:12">
      <c r="A9955" s="31" t="s">
        <v>69</v>
      </c>
      <c r="B9955" s="39" t="e">
        <f>TRUNC(A9943/100000000)</f>
        <v>#REF!</v>
      </c>
      <c r="C9955" s="31" t="e">
        <f>B9955*100000000</f>
        <v>#REF!</v>
      </c>
      <c r="D9955" s="31" t="e">
        <f t="shared" ref="D9955:D9961" si="960">IF(B9955&lt;1,"",VLOOKUP(B9955,$J$3:$K$102,2))</f>
        <v>#REF!</v>
      </c>
      <c r="E9955" s="31" t="e">
        <f>IF(B9955&lt;1,"",IF(B9955&gt;1," Hundreds "," Hundred "))</f>
        <v>#REF!</v>
      </c>
      <c r="J9955" s="31">
        <v>10</v>
      </c>
      <c r="K9955" s="33" t="s">
        <v>70</v>
      </c>
      <c r="L9955" s="31" t="s">
        <v>71</v>
      </c>
    </row>
    <row r="9956" spans="1:12">
      <c r="A9956" s="31" t="s">
        <v>72</v>
      </c>
      <c r="B9956" s="39" t="e">
        <f>TRUNC((A9943-C9955)/1000000)</f>
        <v>#REF!</v>
      </c>
      <c r="C9956" s="31" t="e">
        <f>B9956*1000000</f>
        <v>#REF!</v>
      </c>
      <c r="D9956" s="31" t="e">
        <f t="shared" si="960"/>
        <v>#REF!</v>
      </c>
      <c r="E9956" s="31" t="e">
        <f>IF(B9955+B9956=0,"",IF(B9956=1," Million "," Millions "))</f>
        <v>#REF!</v>
      </c>
      <c r="J9956" s="31">
        <v>11</v>
      </c>
      <c r="K9956" s="33" t="s">
        <v>73</v>
      </c>
      <c r="L9956" s="31" t="s">
        <v>74</v>
      </c>
    </row>
    <row r="9957" spans="1:12">
      <c r="A9957" s="31" t="s">
        <v>75</v>
      </c>
      <c r="B9957" s="39" t="e">
        <f>TRUNC((A9943-SUM(C9955:C9956))/100000)</f>
        <v>#REF!</v>
      </c>
      <c r="C9957" s="31" t="e">
        <f>B9957*100000</f>
        <v>#REF!</v>
      </c>
      <c r="D9957" s="31" t="e">
        <f t="shared" si="960"/>
        <v>#REF!</v>
      </c>
      <c r="E9957" s="31" t="e">
        <f>IF(B9957&lt;1,"",IF(B9957&gt;1," Hundreds "," Hundred "))</f>
        <v>#REF!</v>
      </c>
      <c r="J9957" s="31">
        <v>12</v>
      </c>
      <c r="K9957" s="33" t="s">
        <v>76</v>
      </c>
      <c r="L9957" s="31" t="str">
        <f t="shared" ref="L9957:L9964" si="961">L9947&amp;" Belas"</f>
        <v>Dua Belas</v>
      </c>
    </row>
    <row r="9958" spans="1:12">
      <c r="A9958" s="33" t="s">
        <v>77</v>
      </c>
      <c r="B9958" s="40" t="e">
        <f>TRUNC((A9943-SUM(C9955:C9957))/1000)</f>
        <v>#REF!</v>
      </c>
      <c r="C9958" s="31" t="e">
        <f>B9958*1000</f>
        <v>#REF!</v>
      </c>
      <c r="D9958" s="31" t="e">
        <f t="shared" si="960"/>
        <v>#REF!</v>
      </c>
      <c r="E9958" s="31" t="e">
        <f>IF(B9957+B9958=0,"",IF(B9958=1," Thousand "," Thousands "))</f>
        <v>#REF!</v>
      </c>
      <c r="J9958" s="31">
        <v>13</v>
      </c>
      <c r="K9958" s="33" t="s">
        <v>78</v>
      </c>
      <c r="L9958" s="31" t="str">
        <f t="shared" si="961"/>
        <v>Tiga Belas</v>
      </c>
    </row>
    <row r="9959" spans="1:12">
      <c r="A9959" s="33" t="s">
        <v>79</v>
      </c>
      <c r="B9959" s="40" t="e">
        <f>TRUNC((A9943-SUM(C9955:C9958))/100)</f>
        <v>#REF!</v>
      </c>
      <c r="C9959" s="31" t="e">
        <f>B9959*100</f>
        <v>#REF!</v>
      </c>
      <c r="D9959" s="31" t="e">
        <f t="shared" si="960"/>
        <v>#REF!</v>
      </c>
      <c r="E9959" s="31" t="e">
        <f>IF(B9959&lt;1,"",IF(B9959&gt;1," Hundreds "," Hundred "))</f>
        <v>#REF!</v>
      </c>
      <c r="J9959" s="31">
        <v>14</v>
      </c>
      <c r="K9959" s="33" t="s">
        <v>80</v>
      </c>
      <c r="L9959" s="31" t="str">
        <f t="shared" si="961"/>
        <v>Empat Belas</v>
      </c>
    </row>
    <row r="9960" spans="1:12">
      <c r="A9960" s="33" t="s">
        <v>81</v>
      </c>
      <c r="B9960" s="41" t="e">
        <f>TRUNC((A9943-SUM(C9955:C9959)))</f>
        <v>#REF!</v>
      </c>
      <c r="C9960" s="42" t="e">
        <f>B9960</f>
        <v>#REF!</v>
      </c>
      <c r="D9960" s="31" t="e">
        <f t="shared" si="960"/>
        <v>#REF!</v>
      </c>
      <c r="E9960" s="31" t="e">
        <f>IF(SUM(C9955:C9960)&lt;1,"",IF(B9961&lt;1,""," And "))</f>
        <v>#REF!</v>
      </c>
      <c r="J9960" s="31">
        <v>15</v>
      </c>
      <c r="K9960" s="33" t="s">
        <v>82</v>
      </c>
      <c r="L9960" s="31" t="str">
        <f t="shared" si="961"/>
        <v>Lima Belas</v>
      </c>
    </row>
    <row r="9961" spans="1:12">
      <c r="A9961" s="33" t="s">
        <v>83</v>
      </c>
      <c r="B9961" s="40" t="e">
        <f>ROUND(A9943-SUM(C9955:C9960),2)*100</f>
        <v>#REF!</v>
      </c>
      <c r="D9961" s="43" t="e">
        <f t="shared" si="960"/>
        <v>#REF!</v>
      </c>
      <c r="E9961" s="31" t="e">
        <f>IF(B9961&lt;1,"",IF(B9961=1," Cent "," Cents "))</f>
        <v>#REF!</v>
      </c>
      <c r="J9961" s="31">
        <v>16</v>
      </c>
      <c r="K9961" s="33" t="s">
        <v>84</v>
      </c>
      <c r="L9961" s="31" t="str">
        <f t="shared" si="961"/>
        <v>Enam Belas</v>
      </c>
    </row>
    <row r="9962" spans="1:12">
      <c r="J9962" s="31">
        <v>17</v>
      </c>
      <c r="K9962" s="33" t="s">
        <v>85</v>
      </c>
      <c r="L9962" s="31" t="str">
        <f t="shared" si="961"/>
        <v>Tujuh Belas</v>
      </c>
    </row>
    <row r="9963" spans="1:12">
      <c r="A9963" s="44"/>
      <c r="J9963" s="31">
        <v>18</v>
      </c>
      <c r="K9963" s="33" t="s">
        <v>86</v>
      </c>
      <c r="L9963" s="31" t="str">
        <f t="shared" si="961"/>
        <v>Delapan Belas</v>
      </c>
    </row>
    <row r="9964" spans="1:12">
      <c r="A9964" s="38" t="s">
        <v>87</v>
      </c>
      <c r="J9964" s="31">
        <v>19</v>
      </c>
      <c r="K9964" s="33" t="s">
        <v>88</v>
      </c>
      <c r="L9964" s="31" t="str">
        <f t="shared" si="961"/>
        <v>Sembilan Belas</v>
      </c>
    </row>
    <row r="9965" spans="1:12">
      <c r="A9965" s="31" t="s">
        <v>69</v>
      </c>
      <c r="B9965" s="39" t="e">
        <f>TRUNC(A9943/100000000)</f>
        <v>#REF!</v>
      </c>
      <c r="C9965" s="31" t="e">
        <f>B9965*100000000</f>
        <v>#REF!</v>
      </c>
      <c r="D9965" s="31" t="e">
        <f>IF(B9965&lt;1,"",IF(B9965=1,"",VLOOKUP(B9965,$J$3:$L$102,3)))</f>
        <v>#REF!</v>
      </c>
      <c r="E9965" s="31" t="e">
        <f>IF(B9965&lt;1,"",IF(B9965=1,"Seratus "," Ratus "))</f>
        <v>#REF!</v>
      </c>
      <c r="J9965" s="31">
        <v>20</v>
      </c>
      <c r="K9965" s="33" t="s">
        <v>89</v>
      </c>
      <c r="L9965" s="31" t="s">
        <v>90</v>
      </c>
    </row>
    <row r="9966" spans="1:12">
      <c r="A9966" s="31" t="s">
        <v>72</v>
      </c>
      <c r="B9966" s="39" t="e">
        <f>TRUNC((A9943-C9965)/1000000)</f>
        <v>#REF!</v>
      </c>
      <c r="C9966" s="31" t="e">
        <f>B9966*1000000</f>
        <v>#REF!</v>
      </c>
      <c r="D9966" s="31" t="e">
        <f>IF(B9966&lt;1,"",VLOOKUP(B9966,$J$3:$L$102,3))</f>
        <v>#REF!</v>
      </c>
      <c r="E9966" s="31" t="e">
        <f>IF(B9965+B9966=0,""," Juta ")</f>
        <v>#REF!</v>
      </c>
      <c r="J9966" s="31">
        <v>21</v>
      </c>
      <c r="K9966" s="33" t="s">
        <v>91</v>
      </c>
      <c r="L9966" s="31" t="str">
        <f t="shared" ref="L9966:L9974" si="962">$L$23&amp;" "&amp;L9946</f>
        <v>Dua Puluh Satu</v>
      </c>
    </row>
    <row r="9967" spans="1:12">
      <c r="A9967" s="31" t="s">
        <v>75</v>
      </c>
      <c r="B9967" s="39" t="e">
        <f>TRUNC((A9943-SUM(C9965:C9966))/100000)</f>
        <v>#REF!</v>
      </c>
      <c r="C9967" s="31" t="e">
        <f>B9967*100000</f>
        <v>#REF!</v>
      </c>
      <c r="D9967" s="31" t="e">
        <f>IF(B9967&lt;1,"",IF(B9967=1,"",VLOOKUP(B9967,$J$3:$L$102,3)))</f>
        <v>#REF!</v>
      </c>
      <c r="E9967" s="31" t="e">
        <f>IF(B9967&lt;1,"",IF(B9967=1," Seratus "," Ratus "))</f>
        <v>#REF!</v>
      </c>
      <c r="J9967" s="31">
        <v>22</v>
      </c>
      <c r="K9967" s="33" t="s">
        <v>92</v>
      </c>
      <c r="L9967" s="31" t="str">
        <f t="shared" si="962"/>
        <v>Dua Puluh Dua</v>
      </c>
    </row>
    <row r="9968" spans="1:12">
      <c r="A9968" s="33" t="s">
        <v>77</v>
      </c>
      <c r="B9968" s="40" t="e">
        <f>TRUNC((A9943-SUM(C9965:C9967))/1000)</f>
        <v>#REF!</v>
      </c>
      <c r="C9968" s="31" t="e">
        <f>B9968*1000</f>
        <v>#REF!</v>
      </c>
      <c r="D9968" s="31" t="e">
        <f>IF(B9968&lt;1,"",IF(B9968=1,"",VLOOKUP(B9968,$J$3:$L$102,3)))</f>
        <v>#REF!</v>
      </c>
      <c r="E9968" s="31" t="e">
        <f>IF(B9967+B9968&lt;1,"",IF(B9968=1," Seribu "," Ribu "))</f>
        <v>#REF!</v>
      </c>
      <c r="J9968" s="31">
        <v>23</v>
      </c>
      <c r="K9968" s="33" t="s">
        <v>93</v>
      </c>
      <c r="L9968" s="31" t="str">
        <f t="shared" si="962"/>
        <v>Dua Puluh Tiga</v>
      </c>
    </row>
    <row r="9969" spans="1:12">
      <c r="A9969" s="33" t="s">
        <v>79</v>
      </c>
      <c r="B9969" s="40" t="e">
        <f>TRUNC((A9943-SUM(C9965:C9968))/100)</f>
        <v>#REF!</v>
      </c>
      <c r="C9969" s="31" t="e">
        <f>B9969*100</f>
        <v>#REF!</v>
      </c>
      <c r="D9969" s="31" t="e">
        <f>IF(B9969&lt;1,"",IF(B9969=1,"",VLOOKUP(B9969,$J$3:$L$102,3)))</f>
        <v>#REF!</v>
      </c>
      <c r="E9969" s="31" t="e">
        <f>IF(B9969&lt;1,"",IF(B9969=1," Seratus "," Ratus "))</f>
        <v>#REF!</v>
      </c>
      <c r="J9969" s="31">
        <v>24</v>
      </c>
      <c r="K9969" s="33" t="s">
        <v>94</v>
      </c>
      <c r="L9969" s="31" t="str">
        <f t="shared" si="962"/>
        <v>Dua Puluh Empat</v>
      </c>
    </row>
    <row r="9970" spans="1:12">
      <c r="A9970" s="33" t="s">
        <v>81</v>
      </c>
      <c r="B9970" s="41" t="e">
        <f>TRUNC((A9943-SUM(C9965:C9969)))</f>
        <v>#REF!</v>
      </c>
      <c r="C9970" s="42" t="e">
        <f>B9970</f>
        <v>#REF!</v>
      </c>
      <c r="D9970" s="31" t="e">
        <f>IF(B9970&lt;1,"",VLOOKUP(B9970,$J$3:$L$102,3))</f>
        <v>#REF!</v>
      </c>
      <c r="E9970" s="31" t="e">
        <f>IF(SUM(C9965:C9970)&lt;1,"",IF(B9971&lt;1,""," Dan "))</f>
        <v>#REF!</v>
      </c>
      <c r="J9970" s="31">
        <v>25</v>
      </c>
      <c r="K9970" s="33" t="s">
        <v>95</v>
      </c>
      <c r="L9970" s="31" t="str">
        <f t="shared" si="962"/>
        <v>Dua Puluh Lima</v>
      </c>
    </row>
    <row r="9971" spans="1:12">
      <c r="A9971" s="33" t="s">
        <v>83</v>
      </c>
      <c r="B9971" s="40" t="e">
        <f>ROUND(A9943-SUM(C9965:C9970),2)*100</f>
        <v>#REF!</v>
      </c>
      <c r="D9971" s="31" t="e">
        <f>IF(B9971&lt;1,"",VLOOKUP(B9971,$J$3:$L$102,3))</f>
        <v>#REF!</v>
      </c>
      <c r="E9971" s="31" t="e">
        <f>IF(B9971&lt;1,""," Sen ")</f>
        <v>#REF!</v>
      </c>
      <c r="J9971" s="31">
        <v>26</v>
      </c>
      <c r="K9971" s="33" t="s">
        <v>96</v>
      </c>
      <c r="L9971" s="31" t="str">
        <f t="shared" si="962"/>
        <v>Dua Puluh Enam</v>
      </c>
    </row>
    <row r="9972" spans="1:12">
      <c r="J9972" s="31">
        <v>27</v>
      </c>
      <c r="K9972" s="33" t="s">
        <v>97</v>
      </c>
      <c r="L9972" s="31" t="str">
        <f t="shared" si="962"/>
        <v>Dua Puluh Tujuh</v>
      </c>
    </row>
    <row r="9973" spans="1:12">
      <c r="J9973" s="31">
        <v>28</v>
      </c>
      <c r="K9973" s="33" t="s">
        <v>98</v>
      </c>
      <c r="L9973" s="31" t="str">
        <f t="shared" si="962"/>
        <v>Dua Puluh Delapan</v>
      </c>
    </row>
    <row r="9974" spans="1:12">
      <c r="J9974" s="31">
        <v>29</v>
      </c>
      <c r="K9974" s="33" t="s">
        <v>99</v>
      </c>
      <c r="L9974" s="31" t="str">
        <f t="shared" si="962"/>
        <v>Dua Puluh Sembilan</v>
      </c>
    </row>
    <row r="9975" spans="1:12">
      <c r="J9975" s="31">
        <v>30</v>
      </c>
      <c r="K9975" s="33" t="s">
        <v>100</v>
      </c>
      <c r="L9975" s="31" t="s">
        <v>101</v>
      </c>
    </row>
    <row r="9976" spans="1:12">
      <c r="J9976" s="31">
        <v>31</v>
      </c>
      <c r="K9976" s="33" t="s">
        <v>102</v>
      </c>
      <c r="L9976" s="31" t="str">
        <f t="shared" ref="L9976:L9984" si="963">$L$33&amp;" "&amp;L9946</f>
        <v>Tiga Puluh Satu</v>
      </c>
    </row>
    <row r="9977" spans="1:12">
      <c r="J9977" s="31">
        <v>32</v>
      </c>
      <c r="K9977" s="33" t="s">
        <v>103</v>
      </c>
      <c r="L9977" s="31" t="str">
        <f t="shared" si="963"/>
        <v>Tiga Puluh Dua</v>
      </c>
    </row>
    <row r="9978" spans="1:12">
      <c r="J9978" s="31">
        <v>33</v>
      </c>
      <c r="K9978" s="33" t="s">
        <v>104</v>
      </c>
      <c r="L9978" s="31" t="str">
        <f t="shared" si="963"/>
        <v>Tiga Puluh Tiga</v>
      </c>
    </row>
    <row r="9979" spans="1:12">
      <c r="J9979" s="31">
        <v>34</v>
      </c>
      <c r="K9979" s="33" t="s">
        <v>105</v>
      </c>
      <c r="L9979" s="31" t="str">
        <f t="shared" si="963"/>
        <v>Tiga Puluh Empat</v>
      </c>
    </row>
    <row r="9980" spans="1:12">
      <c r="J9980" s="31">
        <v>35</v>
      </c>
      <c r="K9980" s="33" t="s">
        <v>106</v>
      </c>
      <c r="L9980" s="31" t="str">
        <f t="shared" si="963"/>
        <v>Tiga Puluh Lima</v>
      </c>
    </row>
    <row r="9981" spans="1:12">
      <c r="J9981" s="31">
        <v>36</v>
      </c>
      <c r="K9981" s="33" t="s">
        <v>107</v>
      </c>
      <c r="L9981" s="31" t="str">
        <f t="shared" si="963"/>
        <v>Tiga Puluh Enam</v>
      </c>
    </row>
    <row r="9982" spans="1:12">
      <c r="J9982" s="31">
        <v>37</v>
      </c>
      <c r="K9982" s="33" t="s">
        <v>108</v>
      </c>
      <c r="L9982" s="31" t="str">
        <f t="shared" si="963"/>
        <v>Tiga Puluh Tujuh</v>
      </c>
    </row>
    <row r="9983" spans="1:12">
      <c r="J9983" s="31">
        <v>38</v>
      </c>
      <c r="K9983" s="33" t="s">
        <v>109</v>
      </c>
      <c r="L9983" s="31" t="str">
        <f t="shared" si="963"/>
        <v>Tiga Puluh Delapan</v>
      </c>
    </row>
    <row r="9984" spans="1:12">
      <c r="J9984" s="31">
        <v>39</v>
      </c>
      <c r="K9984" s="33" t="s">
        <v>110</v>
      </c>
      <c r="L9984" s="31" t="str">
        <f t="shared" si="963"/>
        <v>Tiga Puluh Sembilan</v>
      </c>
    </row>
    <row r="9985" spans="1:12">
      <c r="B9985" s="35"/>
      <c r="C9985" s="35"/>
      <c r="D9985" s="35"/>
      <c r="J9985" s="31">
        <v>40</v>
      </c>
      <c r="K9985" s="33" t="s">
        <v>111</v>
      </c>
      <c r="L9985" s="31" t="s">
        <v>112</v>
      </c>
    </row>
    <row r="9986" spans="1:12">
      <c r="A9986" s="35"/>
      <c r="B9986" s="35"/>
      <c r="C9986" s="35"/>
      <c r="D9986" s="35"/>
      <c r="J9986" s="31">
        <v>41</v>
      </c>
      <c r="K9986" s="33" t="s">
        <v>113</v>
      </c>
      <c r="L9986" s="31" t="str">
        <f t="shared" ref="L9986:L9994" si="964">$L$43&amp;" "&amp;L9946</f>
        <v>Empat Puluh Satu</v>
      </c>
    </row>
    <row r="9987" spans="1:12">
      <c r="J9987" s="31">
        <v>42</v>
      </c>
      <c r="K9987" s="33" t="s">
        <v>114</v>
      </c>
      <c r="L9987" s="31" t="str">
        <f t="shared" si="964"/>
        <v>Empat Puluh Dua</v>
      </c>
    </row>
    <row r="9988" spans="1:12">
      <c r="A9988" s="38"/>
      <c r="J9988" s="31">
        <v>43</v>
      </c>
      <c r="K9988" s="33" t="s">
        <v>115</v>
      </c>
      <c r="L9988" s="31" t="str">
        <f t="shared" si="964"/>
        <v>Empat Puluh Tiga</v>
      </c>
    </row>
    <row r="9989" spans="1:12">
      <c r="J9989" s="31">
        <v>44</v>
      </c>
      <c r="K9989" s="33" t="s">
        <v>116</v>
      </c>
      <c r="L9989" s="31" t="str">
        <f t="shared" si="964"/>
        <v>Empat Puluh Empat</v>
      </c>
    </row>
    <row r="9990" spans="1:12">
      <c r="J9990" s="31">
        <v>45</v>
      </c>
      <c r="K9990" s="33" t="s">
        <v>117</v>
      </c>
      <c r="L9990" s="31" t="str">
        <f t="shared" si="964"/>
        <v>Empat Puluh Lima</v>
      </c>
    </row>
    <row r="9991" spans="1:12">
      <c r="J9991" s="31">
        <v>46</v>
      </c>
      <c r="K9991" s="33" t="s">
        <v>118</v>
      </c>
      <c r="L9991" s="31" t="str">
        <f t="shared" si="964"/>
        <v>Empat Puluh Enam</v>
      </c>
    </row>
    <row r="9992" spans="1:12">
      <c r="J9992" s="31">
        <v>47</v>
      </c>
      <c r="K9992" s="33" t="s">
        <v>119</v>
      </c>
      <c r="L9992" s="31" t="str">
        <f t="shared" si="964"/>
        <v>Empat Puluh Tujuh</v>
      </c>
    </row>
    <row r="9993" spans="1:12">
      <c r="J9993" s="31">
        <v>48</v>
      </c>
      <c r="K9993" s="33" t="s">
        <v>120</v>
      </c>
      <c r="L9993" s="31" t="str">
        <f t="shared" si="964"/>
        <v>Empat Puluh Delapan</v>
      </c>
    </row>
    <row r="9994" spans="1:12">
      <c r="J9994" s="31">
        <v>49</v>
      </c>
      <c r="K9994" s="33" t="s">
        <v>121</v>
      </c>
      <c r="L9994" s="31" t="str">
        <f t="shared" si="964"/>
        <v>Empat Puluh Sembilan</v>
      </c>
    </row>
    <row r="9995" spans="1:12">
      <c r="J9995" s="31">
        <v>50</v>
      </c>
      <c r="K9995" s="33" t="s">
        <v>122</v>
      </c>
      <c r="L9995" s="31" t="s">
        <v>123</v>
      </c>
    </row>
    <row r="9996" spans="1:12">
      <c r="J9996" s="31">
        <v>51</v>
      </c>
      <c r="K9996" s="33" t="s">
        <v>124</v>
      </c>
      <c r="L9996" s="31" t="str">
        <f t="shared" ref="L9996:L10004" si="965">$L$53&amp;" "&amp;L9946</f>
        <v>Lima Puluh Satu</v>
      </c>
    </row>
    <row r="9997" spans="1:12">
      <c r="J9997" s="31">
        <v>52</v>
      </c>
      <c r="K9997" s="33" t="s">
        <v>125</v>
      </c>
      <c r="L9997" s="31" t="str">
        <f t="shared" si="965"/>
        <v>Lima Puluh Dua</v>
      </c>
    </row>
    <row r="9998" spans="1:12">
      <c r="J9998" s="31">
        <v>53</v>
      </c>
      <c r="K9998" s="33" t="s">
        <v>126</v>
      </c>
      <c r="L9998" s="31" t="str">
        <f t="shared" si="965"/>
        <v>Lima Puluh Tiga</v>
      </c>
    </row>
    <row r="9999" spans="1:12">
      <c r="J9999" s="31">
        <v>54</v>
      </c>
      <c r="K9999" s="33" t="s">
        <v>127</v>
      </c>
      <c r="L9999" s="31" t="str">
        <f t="shared" si="965"/>
        <v>Lima Puluh Empat</v>
      </c>
    </row>
    <row r="10000" spans="1:12">
      <c r="J10000" s="31">
        <v>55</v>
      </c>
      <c r="K10000" s="33" t="s">
        <v>128</v>
      </c>
      <c r="L10000" s="31" t="str">
        <f t="shared" si="965"/>
        <v>Lima Puluh Lima</v>
      </c>
    </row>
    <row r="10001" spans="10:12">
      <c r="J10001" s="31">
        <v>56</v>
      </c>
      <c r="K10001" s="33" t="s">
        <v>129</v>
      </c>
      <c r="L10001" s="31" t="str">
        <f t="shared" si="965"/>
        <v>Lima Puluh Enam</v>
      </c>
    </row>
    <row r="10002" spans="10:12">
      <c r="J10002" s="31">
        <v>57</v>
      </c>
      <c r="K10002" s="33" t="s">
        <v>130</v>
      </c>
      <c r="L10002" s="31" t="str">
        <f t="shared" si="965"/>
        <v>Lima Puluh Tujuh</v>
      </c>
    </row>
    <row r="10003" spans="10:12">
      <c r="J10003" s="31">
        <v>58</v>
      </c>
      <c r="K10003" s="33" t="s">
        <v>131</v>
      </c>
      <c r="L10003" s="31" t="str">
        <f t="shared" si="965"/>
        <v>Lima Puluh Delapan</v>
      </c>
    </row>
    <row r="10004" spans="10:12">
      <c r="J10004" s="31">
        <v>59</v>
      </c>
      <c r="K10004" s="33" t="s">
        <v>132</v>
      </c>
      <c r="L10004" s="31" t="str">
        <f t="shared" si="965"/>
        <v>Lima Puluh Sembilan</v>
      </c>
    </row>
    <row r="10005" spans="10:12">
      <c r="J10005" s="31">
        <v>60</v>
      </c>
      <c r="K10005" s="33" t="s">
        <v>133</v>
      </c>
      <c r="L10005" s="31" t="s">
        <v>134</v>
      </c>
    </row>
    <row r="10006" spans="10:12">
      <c r="J10006" s="31">
        <v>61</v>
      </c>
      <c r="K10006" s="33" t="s">
        <v>135</v>
      </c>
      <c r="L10006" s="31" t="str">
        <f t="shared" ref="L10006:L10014" si="966">$L$63&amp;" "&amp;L9946</f>
        <v>Enam Puluh Satu</v>
      </c>
    </row>
    <row r="10007" spans="10:12">
      <c r="J10007" s="31">
        <v>62</v>
      </c>
      <c r="K10007" s="33" t="s">
        <v>136</v>
      </c>
      <c r="L10007" s="31" t="str">
        <f t="shared" si="966"/>
        <v>Enam Puluh Dua</v>
      </c>
    </row>
    <row r="10008" spans="10:12">
      <c r="J10008" s="31">
        <v>63</v>
      </c>
      <c r="K10008" s="33" t="s">
        <v>137</v>
      </c>
      <c r="L10008" s="31" t="str">
        <f t="shared" si="966"/>
        <v>Enam Puluh Tiga</v>
      </c>
    </row>
    <row r="10009" spans="10:12">
      <c r="J10009" s="31">
        <v>64</v>
      </c>
      <c r="K10009" s="33" t="s">
        <v>138</v>
      </c>
      <c r="L10009" s="31" t="str">
        <f t="shared" si="966"/>
        <v>Enam Puluh Empat</v>
      </c>
    </row>
    <row r="10010" spans="10:12">
      <c r="J10010" s="31">
        <v>65</v>
      </c>
      <c r="K10010" s="33" t="s">
        <v>139</v>
      </c>
      <c r="L10010" s="31" t="str">
        <f t="shared" si="966"/>
        <v>Enam Puluh Lima</v>
      </c>
    </row>
    <row r="10011" spans="10:12">
      <c r="J10011" s="31">
        <v>66</v>
      </c>
      <c r="K10011" s="33" t="s">
        <v>140</v>
      </c>
      <c r="L10011" s="31" t="str">
        <f t="shared" si="966"/>
        <v>Enam Puluh Enam</v>
      </c>
    </row>
    <row r="10012" spans="10:12">
      <c r="J10012" s="31">
        <v>67</v>
      </c>
      <c r="K10012" s="33" t="s">
        <v>141</v>
      </c>
      <c r="L10012" s="31" t="str">
        <f t="shared" si="966"/>
        <v>Enam Puluh Tujuh</v>
      </c>
    </row>
    <row r="10013" spans="10:12">
      <c r="J10013" s="31">
        <v>68</v>
      </c>
      <c r="K10013" s="33" t="s">
        <v>142</v>
      </c>
      <c r="L10013" s="31" t="str">
        <f t="shared" si="966"/>
        <v>Enam Puluh Delapan</v>
      </c>
    </row>
    <row r="10014" spans="10:12">
      <c r="J10014" s="31">
        <v>69</v>
      </c>
      <c r="K10014" s="33" t="s">
        <v>143</v>
      </c>
      <c r="L10014" s="31" t="str">
        <f t="shared" si="966"/>
        <v>Enam Puluh Sembilan</v>
      </c>
    </row>
    <row r="10015" spans="10:12">
      <c r="J10015" s="31">
        <v>70</v>
      </c>
      <c r="K10015" s="33" t="s">
        <v>144</v>
      </c>
      <c r="L10015" s="31" t="s">
        <v>145</v>
      </c>
    </row>
    <row r="10016" spans="10:12">
      <c r="J10016" s="31">
        <v>71</v>
      </c>
      <c r="K10016" s="33" t="s">
        <v>146</v>
      </c>
      <c r="L10016" s="31" t="str">
        <f t="shared" ref="L10016:L10024" si="967">$L$73&amp;" "&amp;L9946</f>
        <v>Tujuh Puluh Satu</v>
      </c>
    </row>
    <row r="10017" spans="10:12">
      <c r="J10017" s="31">
        <v>72</v>
      </c>
      <c r="K10017" s="33" t="s">
        <v>147</v>
      </c>
      <c r="L10017" s="31" t="str">
        <f t="shared" si="967"/>
        <v>Tujuh Puluh Dua</v>
      </c>
    </row>
    <row r="10018" spans="10:12">
      <c r="J10018" s="31">
        <v>73</v>
      </c>
      <c r="K10018" s="33" t="s">
        <v>148</v>
      </c>
      <c r="L10018" s="31" t="str">
        <f t="shared" si="967"/>
        <v>Tujuh Puluh Tiga</v>
      </c>
    </row>
    <row r="10019" spans="10:12">
      <c r="J10019" s="31">
        <v>74</v>
      </c>
      <c r="K10019" s="33" t="s">
        <v>149</v>
      </c>
      <c r="L10019" s="31" t="str">
        <f t="shared" si="967"/>
        <v>Tujuh Puluh Empat</v>
      </c>
    </row>
    <row r="10020" spans="10:12">
      <c r="J10020" s="31">
        <v>75</v>
      </c>
      <c r="K10020" s="33" t="s">
        <v>150</v>
      </c>
      <c r="L10020" s="31" t="str">
        <f t="shared" si="967"/>
        <v>Tujuh Puluh Lima</v>
      </c>
    </row>
    <row r="10021" spans="10:12">
      <c r="J10021" s="31">
        <v>76</v>
      </c>
      <c r="K10021" s="33" t="s">
        <v>151</v>
      </c>
      <c r="L10021" s="31" t="str">
        <f t="shared" si="967"/>
        <v>Tujuh Puluh Enam</v>
      </c>
    </row>
    <row r="10022" spans="10:12">
      <c r="J10022" s="31">
        <v>77</v>
      </c>
      <c r="K10022" s="33" t="s">
        <v>152</v>
      </c>
      <c r="L10022" s="31" t="str">
        <f t="shared" si="967"/>
        <v>Tujuh Puluh Tujuh</v>
      </c>
    </row>
    <row r="10023" spans="10:12">
      <c r="J10023" s="31">
        <v>78</v>
      </c>
      <c r="K10023" s="33" t="s">
        <v>153</v>
      </c>
      <c r="L10023" s="31" t="str">
        <f t="shared" si="967"/>
        <v>Tujuh Puluh Delapan</v>
      </c>
    </row>
    <row r="10024" spans="10:12">
      <c r="J10024" s="31">
        <v>79</v>
      </c>
      <c r="K10024" s="33" t="s">
        <v>154</v>
      </c>
      <c r="L10024" s="31" t="str">
        <f t="shared" si="967"/>
        <v>Tujuh Puluh Sembilan</v>
      </c>
    </row>
    <row r="10025" spans="10:12">
      <c r="J10025" s="31">
        <v>80</v>
      </c>
      <c r="K10025" s="33" t="s">
        <v>155</v>
      </c>
      <c r="L10025" s="31" t="s">
        <v>156</v>
      </c>
    </row>
    <row r="10026" spans="10:12">
      <c r="J10026" s="31">
        <v>81</v>
      </c>
      <c r="K10026" s="33" t="s">
        <v>157</v>
      </c>
      <c r="L10026" s="31" t="str">
        <f t="shared" ref="L10026:L10034" si="968">$L$83&amp;" "&amp;L9946</f>
        <v>Delapan Puluh Satu</v>
      </c>
    </row>
    <row r="10027" spans="10:12">
      <c r="J10027" s="31">
        <v>82</v>
      </c>
      <c r="K10027" s="33" t="s">
        <v>158</v>
      </c>
      <c r="L10027" s="31" t="str">
        <f t="shared" si="968"/>
        <v>Delapan Puluh Dua</v>
      </c>
    </row>
    <row r="10028" spans="10:12">
      <c r="J10028" s="31">
        <v>83</v>
      </c>
      <c r="K10028" s="33" t="s">
        <v>159</v>
      </c>
      <c r="L10028" s="31" t="str">
        <f t="shared" si="968"/>
        <v>Delapan Puluh Tiga</v>
      </c>
    </row>
    <row r="10029" spans="10:12">
      <c r="J10029" s="31">
        <v>84</v>
      </c>
      <c r="K10029" s="33" t="s">
        <v>160</v>
      </c>
      <c r="L10029" s="31" t="str">
        <f t="shared" si="968"/>
        <v>Delapan Puluh Empat</v>
      </c>
    </row>
    <row r="10030" spans="10:12">
      <c r="J10030" s="31">
        <v>85</v>
      </c>
      <c r="K10030" s="33" t="s">
        <v>161</v>
      </c>
      <c r="L10030" s="31" t="str">
        <f t="shared" si="968"/>
        <v>Delapan Puluh Lima</v>
      </c>
    </row>
    <row r="10031" spans="10:12">
      <c r="J10031" s="31">
        <v>86</v>
      </c>
      <c r="K10031" s="33" t="s">
        <v>162</v>
      </c>
      <c r="L10031" s="31" t="str">
        <f t="shared" si="968"/>
        <v>Delapan Puluh Enam</v>
      </c>
    </row>
    <row r="10032" spans="10:12">
      <c r="J10032" s="31">
        <v>87</v>
      </c>
      <c r="K10032" s="33" t="s">
        <v>163</v>
      </c>
      <c r="L10032" s="31" t="str">
        <f t="shared" si="968"/>
        <v>Delapan Puluh Tujuh</v>
      </c>
    </row>
    <row r="10033" spans="1:12">
      <c r="J10033" s="31">
        <v>88</v>
      </c>
      <c r="K10033" s="33" t="s">
        <v>164</v>
      </c>
      <c r="L10033" s="31" t="str">
        <f t="shared" si="968"/>
        <v>Delapan Puluh Delapan</v>
      </c>
    </row>
    <row r="10034" spans="1:12">
      <c r="J10034" s="31">
        <v>89</v>
      </c>
      <c r="K10034" s="33" t="s">
        <v>165</v>
      </c>
      <c r="L10034" s="31" t="str">
        <f t="shared" si="968"/>
        <v>Delapan Puluh Sembilan</v>
      </c>
    </row>
    <row r="10035" spans="1:12">
      <c r="J10035" s="31">
        <v>90</v>
      </c>
      <c r="K10035" s="33" t="s">
        <v>166</v>
      </c>
      <c r="L10035" s="31" t="s">
        <v>167</v>
      </c>
    </row>
    <row r="10036" spans="1:12">
      <c r="J10036" s="31">
        <v>91</v>
      </c>
      <c r="K10036" s="33" t="s">
        <v>168</v>
      </c>
      <c r="L10036" s="31" t="str">
        <f t="shared" ref="L10036:L10044" si="969">$L$93&amp;" "&amp;L9946</f>
        <v>Sembilan Puluh Satu</v>
      </c>
    </row>
    <row r="10037" spans="1:12">
      <c r="J10037" s="31">
        <v>92</v>
      </c>
      <c r="K10037" s="33" t="s">
        <v>169</v>
      </c>
      <c r="L10037" s="31" t="str">
        <f t="shared" si="969"/>
        <v>Sembilan Puluh Dua</v>
      </c>
    </row>
    <row r="10038" spans="1:12">
      <c r="J10038" s="31">
        <v>93</v>
      </c>
      <c r="K10038" s="33" t="s">
        <v>170</v>
      </c>
      <c r="L10038" s="31" t="str">
        <f t="shared" si="969"/>
        <v>Sembilan Puluh Tiga</v>
      </c>
    </row>
    <row r="10039" spans="1:12">
      <c r="J10039" s="31">
        <v>94</v>
      </c>
      <c r="K10039" s="33" t="s">
        <v>171</v>
      </c>
      <c r="L10039" s="31" t="str">
        <f t="shared" si="969"/>
        <v>Sembilan Puluh Empat</v>
      </c>
    </row>
    <row r="10040" spans="1:12">
      <c r="J10040" s="31">
        <v>95</v>
      </c>
      <c r="K10040" s="33" t="s">
        <v>172</v>
      </c>
      <c r="L10040" s="31" t="str">
        <f t="shared" si="969"/>
        <v>Sembilan Puluh Lima</v>
      </c>
    </row>
    <row r="10041" spans="1:12">
      <c r="J10041" s="31">
        <v>96</v>
      </c>
      <c r="K10041" s="33" t="s">
        <v>173</v>
      </c>
      <c r="L10041" s="31" t="str">
        <f t="shared" si="969"/>
        <v>Sembilan Puluh Enam</v>
      </c>
    </row>
    <row r="10042" spans="1:12">
      <c r="J10042" s="31">
        <v>97</v>
      </c>
      <c r="K10042" s="33" t="s">
        <v>174</v>
      </c>
      <c r="L10042" s="31" t="str">
        <f t="shared" si="969"/>
        <v>Sembilan Puluh Tujuh</v>
      </c>
    </row>
    <row r="10043" spans="1:12">
      <c r="J10043" s="31">
        <v>98</v>
      </c>
      <c r="K10043" s="33" t="s">
        <v>175</v>
      </c>
      <c r="L10043" s="31" t="str">
        <f t="shared" si="969"/>
        <v>Sembilan Puluh Delapan</v>
      </c>
    </row>
    <row r="10044" spans="1:12">
      <c r="J10044" s="31">
        <v>99</v>
      </c>
      <c r="K10044" s="33" t="s">
        <v>176</v>
      </c>
      <c r="L10044" s="31" t="str">
        <f t="shared" si="969"/>
        <v>Sembilan Puluh Sembilan</v>
      </c>
    </row>
    <row r="10047" spans="1:12">
      <c r="A10047" s="30" t="e">
        <f>#REF!</f>
        <v>#REF!</v>
      </c>
      <c r="C10047" s="31" t="s">
        <v>309</v>
      </c>
    </row>
    <row r="10048" spans="1:12">
      <c r="A10048" s="32"/>
    </row>
    <row r="10049" spans="1:12">
      <c r="J10049" s="31">
        <v>0</v>
      </c>
      <c r="K10049" s="33" t="s">
        <v>48</v>
      </c>
      <c r="L10049" s="31" t="s">
        <v>49</v>
      </c>
    </row>
    <row r="10050" spans="1:12">
      <c r="A10050" s="34"/>
      <c r="J10050" s="31">
        <v>1</v>
      </c>
      <c r="K10050" s="33" t="s">
        <v>50</v>
      </c>
      <c r="L10050" s="31" t="s">
        <v>51</v>
      </c>
    </row>
    <row r="10051" spans="1:12">
      <c r="A10051" s="255" t="e">
        <f>TRIM(D10059&amp;E10059&amp;D10060&amp;E10060&amp;D10061&amp;E10061&amp;D10062&amp;E10062&amp;D10063&amp;E10063&amp;D10064&amp;E10064&amp;E10065&amp;D10065&amp;" Only")</f>
        <v>#REF!</v>
      </c>
      <c r="B10051" s="255"/>
      <c r="C10051" s="255"/>
      <c r="D10051" s="255"/>
      <c r="E10051" s="35"/>
      <c r="F10051" s="36"/>
      <c r="J10051" s="31">
        <v>2</v>
      </c>
      <c r="K10051" s="33" t="s">
        <v>52</v>
      </c>
      <c r="L10051" s="31" t="s">
        <v>53</v>
      </c>
    </row>
    <row r="10052" spans="1:12">
      <c r="A10052" s="37"/>
      <c r="B10052" s="37"/>
      <c r="C10052" s="37"/>
      <c r="D10052" s="37"/>
      <c r="E10052" s="35"/>
      <c r="F10052" s="36"/>
      <c r="J10052" s="31">
        <v>3</v>
      </c>
      <c r="K10052" s="33" t="s">
        <v>54</v>
      </c>
      <c r="L10052" s="31" t="s">
        <v>55</v>
      </c>
    </row>
    <row r="10053" spans="1:12">
      <c r="A10053" s="37"/>
      <c r="B10053" s="37"/>
      <c r="C10053" s="37"/>
      <c r="D10053" s="37"/>
      <c r="J10053" s="31">
        <v>4</v>
      </c>
      <c r="K10053" s="33" t="s">
        <v>56</v>
      </c>
      <c r="L10053" s="31" t="s">
        <v>57</v>
      </c>
    </row>
    <row r="10054" spans="1:12">
      <c r="A10054" s="255" t="e">
        <f>TRIM(D10069&amp;E10069&amp;D10070&amp;E10070&amp;D10071&amp;E10071&amp;D10072&amp;E10072&amp;D10073&amp;E10073&amp;D10074&amp;E10074&amp;D10075&amp;E10075&amp;" Rupiah")</f>
        <v>#REF!</v>
      </c>
      <c r="B10054" s="255"/>
      <c r="C10054" s="255"/>
      <c r="D10054" s="255"/>
      <c r="E10054" s="35"/>
      <c r="F10054" s="36"/>
      <c r="J10054" s="31">
        <v>5</v>
      </c>
      <c r="K10054" s="33" t="s">
        <v>58</v>
      </c>
      <c r="L10054" s="31" t="s">
        <v>59</v>
      </c>
    </row>
    <row r="10055" spans="1:12">
      <c r="A10055" s="35"/>
      <c r="B10055" s="35"/>
      <c r="C10055" s="35"/>
      <c r="D10055" s="35"/>
      <c r="E10055" s="35"/>
      <c r="F10055" s="36"/>
      <c r="J10055" s="31">
        <v>6</v>
      </c>
      <c r="K10055" s="33" t="s">
        <v>60</v>
      </c>
      <c r="L10055" s="31" t="s">
        <v>61</v>
      </c>
    </row>
    <row r="10056" spans="1:12">
      <c r="J10056" s="31">
        <v>7</v>
      </c>
      <c r="K10056" s="33" t="s">
        <v>62</v>
      </c>
      <c r="L10056" s="31" t="s">
        <v>63</v>
      </c>
    </row>
    <row r="10057" spans="1:12">
      <c r="J10057" s="31">
        <v>8</v>
      </c>
      <c r="K10057" s="33" t="s">
        <v>64</v>
      </c>
      <c r="L10057" s="31" t="s">
        <v>65</v>
      </c>
    </row>
    <row r="10058" spans="1:12">
      <c r="A10058" s="38" t="s">
        <v>66</v>
      </c>
      <c r="J10058" s="31">
        <v>9</v>
      </c>
      <c r="K10058" s="33" t="s">
        <v>67</v>
      </c>
      <c r="L10058" s="31" t="s">
        <v>68</v>
      </c>
    </row>
    <row r="10059" spans="1:12">
      <c r="A10059" s="31" t="s">
        <v>69</v>
      </c>
      <c r="B10059" s="39" t="e">
        <f>TRUNC(A10047/100000000)</f>
        <v>#REF!</v>
      </c>
      <c r="C10059" s="31" t="e">
        <f>B10059*100000000</f>
        <v>#REF!</v>
      </c>
      <c r="D10059" s="31" t="e">
        <f t="shared" ref="D10059:D10065" si="970">IF(B10059&lt;1,"",VLOOKUP(B10059,$J$3:$K$102,2))</f>
        <v>#REF!</v>
      </c>
      <c r="E10059" s="31" t="e">
        <f>IF(B10059&lt;1,"",IF(B10059&gt;1," Hundreds "," Hundred "))</f>
        <v>#REF!</v>
      </c>
      <c r="J10059" s="31">
        <v>10</v>
      </c>
      <c r="K10059" s="33" t="s">
        <v>70</v>
      </c>
      <c r="L10059" s="31" t="s">
        <v>71</v>
      </c>
    </row>
    <row r="10060" spans="1:12">
      <c r="A10060" s="31" t="s">
        <v>72</v>
      </c>
      <c r="B10060" s="39" t="e">
        <f>TRUNC((A10047-C10059)/1000000)</f>
        <v>#REF!</v>
      </c>
      <c r="C10060" s="31" t="e">
        <f>B10060*1000000</f>
        <v>#REF!</v>
      </c>
      <c r="D10060" s="31" t="e">
        <f t="shared" si="970"/>
        <v>#REF!</v>
      </c>
      <c r="E10060" s="31" t="e">
        <f>IF(B10059+B10060=0,"",IF(B10060=1," Million "," Millions "))</f>
        <v>#REF!</v>
      </c>
      <c r="J10060" s="31">
        <v>11</v>
      </c>
      <c r="K10060" s="33" t="s">
        <v>73</v>
      </c>
      <c r="L10060" s="31" t="s">
        <v>74</v>
      </c>
    </row>
    <row r="10061" spans="1:12">
      <c r="A10061" s="31" t="s">
        <v>75</v>
      </c>
      <c r="B10061" s="39" t="e">
        <f>TRUNC((A10047-SUM(C10059:C10060))/100000)</f>
        <v>#REF!</v>
      </c>
      <c r="C10061" s="31" t="e">
        <f>B10061*100000</f>
        <v>#REF!</v>
      </c>
      <c r="D10061" s="31" t="e">
        <f t="shared" si="970"/>
        <v>#REF!</v>
      </c>
      <c r="E10061" s="31" t="e">
        <f>IF(B10061&lt;1,"",IF(B10061&gt;1," Hundreds "," Hundred "))</f>
        <v>#REF!</v>
      </c>
      <c r="J10061" s="31">
        <v>12</v>
      </c>
      <c r="K10061" s="33" t="s">
        <v>76</v>
      </c>
      <c r="L10061" s="31" t="str">
        <f t="shared" ref="L10061:L10068" si="971">L10051&amp;" Belas"</f>
        <v>Dua Belas</v>
      </c>
    </row>
    <row r="10062" spans="1:12">
      <c r="A10062" s="33" t="s">
        <v>77</v>
      </c>
      <c r="B10062" s="40" t="e">
        <f>TRUNC((A10047-SUM(C10059:C10061))/1000)</f>
        <v>#REF!</v>
      </c>
      <c r="C10062" s="31" t="e">
        <f>B10062*1000</f>
        <v>#REF!</v>
      </c>
      <c r="D10062" s="31" t="e">
        <f t="shared" si="970"/>
        <v>#REF!</v>
      </c>
      <c r="E10062" s="31" t="e">
        <f>IF(B10061+B10062=0,"",IF(B10062=1," Thousand "," Thousands "))</f>
        <v>#REF!</v>
      </c>
      <c r="J10062" s="31">
        <v>13</v>
      </c>
      <c r="K10062" s="33" t="s">
        <v>78</v>
      </c>
      <c r="L10062" s="31" t="str">
        <f t="shared" si="971"/>
        <v>Tiga Belas</v>
      </c>
    </row>
    <row r="10063" spans="1:12">
      <c r="A10063" s="33" t="s">
        <v>79</v>
      </c>
      <c r="B10063" s="40" t="e">
        <f>TRUNC((A10047-SUM(C10059:C10062))/100)</f>
        <v>#REF!</v>
      </c>
      <c r="C10063" s="31" t="e">
        <f>B10063*100</f>
        <v>#REF!</v>
      </c>
      <c r="D10063" s="31" t="e">
        <f t="shared" si="970"/>
        <v>#REF!</v>
      </c>
      <c r="E10063" s="31" t="e">
        <f>IF(B10063&lt;1,"",IF(B10063&gt;1," Hundreds "," Hundred "))</f>
        <v>#REF!</v>
      </c>
      <c r="J10063" s="31">
        <v>14</v>
      </c>
      <c r="K10063" s="33" t="s">
        <v>80</v>
      </c>
      <c r="L10063" s="31" t="str">
        <f t="shared" si="971"/>
        <v>Empat Belas</v>
      </c>
    </row>
    <row r="10064" spans="1:12">
      <c r="A10064" s="33" t="s">
        <v>81</v>
      </c>
      <c r="B10064" s="41" t="e">
        <f>TRUNC((A10047-SUM(C10059:C10063)))</f>
        <v>#REF!</v>
      </c>
      <c r="C10064" s="42" t="e">
        <f>B10064</f>
        <v>#REF!</v>
      </c>
      <c r="D10064" s="31" t="e">
        <f t="shared" si="970"/>
        <v>#REF!</v>
      </c>
      <c r="E10064" s="31" t="e">
        <f>IF(SUM(C10059:C10064)&lt;1,"",IF(B10065&lt;1,""," And "))</f>
        <v>#REF!</v>
      </c>
      <c r="J10064" s="31">
        <v>15</v>
      </c>
      <c r="K10064" s="33" t="s">
        <v>82</v>
      </c>
      <c r="L10064" s="31" t="str">
        <f t="shared" si="971"/>
        <v>Lima Belas</v>
      </c>
    </row>
    <row r="10065" spans="1:12">
      <c r="A10065" s="33" t="s">
        <v>83</v>
      </c>
      <c r="B10065" s="40" t="e">
        <f>ROUND(A10047-SUM(C10059:C10064),2)*100</f>
        <v>#REF!</v>
      </c>
      <c r="D10065" s="43" t="e">
        <f t="shared" si="970"/>
        <v>#REF!</v>
      </c>
      <c r="E10065" s="31" t="e">
        <f>IF(B10065&lt;1,"",IF(B10065=1," Cent "," Cents "))</f>
        <v>#REF!</v>
      </c>
      <c r="J10065" s="31">
        <v>16</v>
      </c>
      <c r="K10065" s="33" t="s">
        <v>84</v>
      </c>
      <c r="L10065" s="31" t="str">
        <f t="shared" si="971"/>
        <v>Enam Belas</v>
      </c>
    </row>
    <row r="10066" spans="1:12">
      <c r="J10066" s="31">
        <v>17</v>
      </c>
      <c r="K10066" s="33" t="s">
        <v>85</v>
      </c>
      <c r="L10066" s="31" t="str">
        <f t="shared" si="971"/>
        <v>Tujuh Belas</v>
      </c>
    </row>
    <row r="10067" spans="1:12">
      <c r="A10067" s="44"/>
      <c r="J10067" s="31">
        <v>18</v>
      </c>
      <c r="K10067" s="33" t="s">
        <v>86</v>
      </c>
      <c r="L10067" s="31" t="str">
        <f t="shared" si="971"/>
        <v>Delapan Belas</v>
      </c>
    </row>
    <row r="10068" spans="1:12">
      <c r="A10068" s="38" t="s">
        <v>87</v>
      </c>
      <c r="J10068" s="31">
        <v>19</v>
      </c>
      <c r="K10068" s="33" t="s">
        <v>88</v>
      </c>
      <c r="L10068" s="31" t="str">
        <f t="shared" si="971"/>
        <v>Sembilan Belas</v>
      </c>
    </row>
    <row r="10069" spans="1:12">
      <c r="A10069" s="31" t="s">
        <v>69</v>
      </c>
      <c r="B10069" s="39" t="e">
        <f>TRUNC(A10047/100000000)</f>
        <v>#REF!</v>
      </c>
      <c r="C10069" s="31" t="e">
        <f>B10069*100000000</f>
        <v>#REF!</v>
      </c>
      <c r="D10069" s="31" t="e">
        <f>IF(B10069&lt;1,"",IF(B10069=1,"",VLOOKUP(B10069,$J$3:$L$102,3)))</f>
        <v>#REF!</v>
      </c>
      <c r="E10069" s="31" t="e">
        <f>IF(B10069&lt;1,"",IF(B10069=1,"Seratus "," Ratus "))</f>
        <v>#REF!</v>
      </c>
      <c r="J10069" s="31">
        <v>20</v>
      </c>
      <c r="K10069" s="33" t="s">
        <v>89</v>
      </c>
      <c r="L10069" s="31" t="s">
        <v>90</v>
      </c>
    </row>
    <row r="10070" spans="1:12">
      <c r="A10070" s="31" t="s">
        <v>72</v>
      </c>
      <c r="B10070" s="39" t="e">
        <f>TRUNC((A10047-C10069)/1000000)</f>
        <v>#REF!</v>
      </c>
      <c r="C10070" s="31" t="e">
        <f>B10070*1000000</f>
        <v>#REF!</v>
      </c>
      <c r="D10070" s="31" t="e">
        <f>IF(B10070&lt;1,"",VLOOKUP(B10070,$J$3:$L$102,3))</f>
        <v>#REF!</v>
      </c>
      <c r="E10070" s="31" t="e">
        <f>IF(B10069+B10070=0,""," Juta ")</f>
        <v>#REF!</v>
      </c>
      <c r="J10070" s="31">
        <v>21</v>
      </c>
      <c r="K10070" s="33" t="s">
        <v>91</v>
      </c>
      <c r="L10070" s="31" t="str">
        <f t="shared" ref="L10070:L10078" si="972">$L$23&amp;" "&amp;L10050</f>
        <v>Dua Puluh Satu</v>
      </c>
    </row>
    <row r="10071" spans="1:12">
      <c r="A10071" s="31" t="s">
        <v>75</v>
      </c>
      <c r="B10071" s="39" t="e">
        <f>TRUNC((A10047-SUM(C10069:C10070))/100000)</f>
        <v>#REF!</v>
      </c>
      <c r="C10071" s="31" t="e">
        <f>B10071*100000</f>
        <v>#REF!</v>
      </c>
      <c r="D10071" s="31" t="e">
        <f>IF(B10071&lt;1,"",IF(B10071=1,"",VLOOKUP(B10071,$J$3:$L$102,3)))</f>
        <v>#REF!</v>
      </c>
      <c r="E10071" s="31" t="e">
        <f>IF(B10071&lt;1,"",IF(B10071=1," Seratus "," Ratus "))</f>
        <v>#REF!</v>
      </c>
      <c r="J10071" s="31">
        <v>22</v>
      </c>
      <c r="K10071" s="33" t="s">
        <v>92</v>
      </c>
      <c r="L10071" s="31" t="str">
        <f t="shared" si="972"/>
        <v>Dua Puluh Dua</v>
      </c>
    </row>
    <row r="10072" spans="1:12">
      <c r="A10072" s="33" t="s">
        <v>77</v>
      </c>
      <c r="B10072" s="40" t="e">
        <f>TRUNC((A10047-SUM(C10069:C10071))/1000)</f>
        <v>#REF!</v>
      </c>
      <c r="C10072" s="31" t="e">
        <f>B10072*1000</f>
        <v>#REF!</v>
      </c>
      <c r="D10072" s="31" t="e">
        <f>IF(B10072&lt;1,"",IF(B10072=1,"",VLOOKUP(B10072,$J$3:$L$102,3)))</f>
        <v>#REF!</v>
      </c>
      <c r="E10072" s="31" t="e">
        <f>IF(B10071+B10072&lt;1,"",IF(B10072=1," Seribu "," Ribu "))</f>
        <v>#REF!</v>
      </c>
      <c r="J10072" s="31">
        <v>23</v>
      </c>
      <c r="K10072" s="33" t="s">
        <v>93</v>
      </c>
      <c r="L10072" s="31" t="str">
        <f t="shared" si="972"/>
        <v>Dua Puluh Tiga</v>
      </c>
    </row>
    <row r="10073" spans="1:12">
      <c r="A10073" s="33" t="s">
        <v>79</v>
      </c>
      <c r="B10073" s="40" t="e">
        <f>TRUNC((A10047-SUM(C10069:C10072))/100)</f>
        <v>#REF!</v>
      </c>
      <c r="C10073" s="31" t="e">
        <f>B10073*100</f>
        <v>#REF!</v>
      </c>
      <c r="D10073" s="31" t="e">
        <f>IF(B10073&lt;1,"",IF(B10073=1,"",VLOOKUP(B10073,$J$3:$L$102,3)))</f>
        <v>#REF!</v>
      </c>
      <c r="E10073" s="31" t="e">
        <f>IF(B10073&lt;1,"",IF(B10073=1," Seratus "," Ratus "))</f>
        <v>#REF!</v>
      </c>
      <c r="J10073" s="31">
        <v>24</v>
      </c>
      <c r="K10073" s="33" t="s">
        <v>94</v>
      </c>
      <c r="L10073" s="31" t="str">
        <f t="shared" si="972"/>
        <v>Dua Puluh Empat</v>
      </c>
    </row>
    <row r="10074" spans="1:12">
      <c r="A10074" s="33" t="s">
        <v>81</v>
      </c>
      <c r="B10074" s="41" t="e">
        <f>TRUNC((A10047-SUM(C10069:C10073)))</f>
        <v>#REF!</v>
      </c>
      <c r="C10074" s="42" t="e">
        <f>B10074</f>
        <v>#REF!</v>
      </c>
      <c r="D10074" s="31" t="e">
        <f>IF(B10074&lt;1,"",VLOOKUP(B10074,$J$3:$L$102,3))</f>
        <v>#REF!</v>
      </c>
      <c r="E10074" s="31" t="e">
        <f>IF(SUM(C10069:C10074)&lt;1,"",IF(B10075&lt;1,""," Dan "))</f>
        <v>#REF!</v>
      </c>
      <c r="J10074" s="31">
        <v>25</v>
      </c>
      <c r="K10074" s="33" t="s">
        <v>95</v>
      </c>
      <c r="L10074" s="31" t="str">
        <f t="shared" si="972"/>
        <v>Dua Puluh Lima</v>
      </c>
    </row>
    <row r="10075" spans="1:12">
      <c r="A10075" s="33" t="s">
        <v>83</v>
      </c>
      <c r="B10075" s="40" t="e">
        <f>ROUND(A10047-SUM(C10069:C10074),2)*100</f>
        <v>#REF!</v>
      </c>
      <c r="D10075" s="31" t="e">
        <f>IF(B10075&lt;1,"",VLOOKUP(B10075,$J$3:$L$102,3))</f>
        <v>#REF!</v>
      </c>
      <c r="E10075" s="31" t="e">
        <f>IF(B10075&lt;1,""," Sen ")</f>
        <v>#REF!</v>
      </c>
      <c r="J10075" s="31">
        <v>26</v>
      </c>
      <c r="K10075" s="33" t="s">
        <v>96</v>
      </c>
      <c r="L10075" s="31" t="str">
        <f t="shared" si="972"/>
        <v>Dua Puluh Enam</v>
      </c>
    </row>
    <row r="10076" spans="1:12">
      <c r="J10076" s="31">
        <v>27</v>
      </c>
      <c r="K10076" s="33" t="s">
        <v>97</v>
      </c>
      <c r="L10076" s="31" t="str">
        <f t="shared" si="972"/>
        <v>Dua Puluh Tujuh</v>
      </c>
    </row>
    <row r="10077" spans="1:12">
      <c r="J10077" s="31">
        <v>28</v>
      </c>
      <c r="K10077" s="33" t="s">
        <v>98</v>
      </c>
      <c r="L10077" s="31" t="str">
        <f t="shared" si="972"/>
        <v>Dua Puluh Delapan</v>
      </c>
    </row>
    <row r="10078" spans="1:12">
      <c r="J10078" s="31">
        <v>29</v>
      </c>
      <c r="K10078" s="33" t="s">
        <v>99</v>
      </c>
      <c r="L10078" s="31" t="str">
        <f t="shared" si="972"/>
        <v>Dua Puluh Sembilan</v>
      </c>
    </row>
    <row r="10079" spans="1:12">
      <c r="J10079" s="31">
        <v>30</v>
      </c>
      <c r="K10079" s="33" t="s">
        <v>100</v>
      </c>
      <c r="L10079" s="31" t="s">
        <v>101</v>
      </c>
    </row>
    <row r="10080" spans="1:12">
      <c r="J10080" s="31">
        <v>31</v>
      </c>
      <c r="K10080" s="33" t="s">
        <v>102</v>
      </c>
      <c r="L10080" s="31" t="str">
        <f t="shared" ref="L10080:L10088" si="973">$L$33&amp;" "&amp;L10050</f>
        <v>Tiga Puluh Satu</v>
      </c>
    </row>
    <row r="10081" spans="1:12">
      <c r="J10081" s="31">
        <v>32</v>
      </c>
      <c r="K10081" s="33" t="s">
        <v>103</v>
      </c>
      <c r="L10081" s="31" t="str">
        <f t="shared" si="973"/>
        <v>Tiga Puluh Dua</v>
      </c>
    </row>
    <row r="10082" spans="1:12">
      <c r="J10082" s="31">
        <v>33</v>
      </c>
      <c r="K10082" s="33" t="s">
        <v>104</v>
      </c>
      <c r="L10082" s="31" t="str">
        <f t="shared" si="973"/>
        <v>Tiga Puluh Tiga</v>
      </c>
    </row>
    <row r="10083" spans="1:12">
      <c r="J10083" s="31">
        <v>34</v>
      </c>
      <c r="K10083" s="33" t="s">
        <v>105</v>
      </c>
      <c r="L10083" s="31" t="str">
        <f t="shared" si="973"/>
        <v>Tiga Puluh Empat</v>
      </c>
    </row>
    <row r="10084" spans="1:12">
      <c r="J10084" s="31">
        <v>35</v>
      </c>
      <c r="K10084" s="33" t="s">
        <v>106</v>
      </c>
      <c r="L10084" s="31" t="str">
        <f t="shared" si="973"/>
        <v>Tiga Puluh Lima</v>
      </c>
    </row>
    <row r="10085" spans="1:12">
      <c r="J10085" s="31">
        <v>36</v>
      </c>
      <c r="K10085" s="33" t="s">
        <v>107</v>
      </c>
      <c r="L10085" s="31" t="str">
        <f t="shared" si="973"/>
        <v>Tiga Puluh Enam</v>
      </c>
    </row>
    <row r="10086" spans="1:12">
      <c r="J10086" s="31">
        <v>37</v>
      </c>
      <c r="K10086" s="33" t="s">
        <v>108</v>
      </c>
      <c r="L10086" s="31" t="str">
        <f t="shared" si="973"/>
        <v>Tiga Puluh Tujuh</v>
      </c>
    </row>
    <row r="10087" spans="1:12">
      <c r="J10087" s="31">
        <v>38</v>
      </c>
      <c r="K10087" s="33" t="s">
        <v>109</v>
      </c>
      <c r="L10087" s="31" t="str">
        <f t="shared" si="973"/>
        <v>Tiga Puluh Delapan</v>
      </c>
    </row>
    <row r="10088" spans="1:12">
      <c r="J10088" s="31">
        <v>39</v>
      </c>
      <c r="K10088" s="33" t="s">
        <v>110</v>
      </c>
      <c r="L10088" s="31" t="str">
        <f t="shared" si="973"/>
        <v>Tiga Puluh Sembilan</v>
      </c>
    </row>
    <row r="10089" spans="1:12">
      <c r="B10089" s="35"/>
      <c r="C10089" s="35"/>
      <c r="D10089" s="35"/>
      <c r="J10089" s="31">
        <v>40</v>
      </c>
      <c r="K10089" s="33" t="s">
        <v>111</v>
      </c>
      <c r="L10089" s="31" t="s">
        <v>112</v>
      </c>
    </row>
    <row r="10090" spans="1:12">
      <c r="A10090" s="35"/>
      <c r="B10090" s="35"/>
      <c r="C10090" s="35"/>
      <c r="D10090" s="35"/>
      <c r="J10090" s="31">
        <v>41</v>
      </c>
      <c r="K10090" s="33" t="s">
        <v>113</v>
      </c>
      <c r="L10090" s="31" t="str">
        <f t="shared" ref="L10090:L10098" si="974">$L$43&amp;" "&amp;L10050</f>
        <v>Empat Puluh Satu</v>
      </c>
    </row>
    <row r="10091" spans="1:12">
      <c r="J10091" s="31">
        <v>42</v>
      </c>
      <c r="K10091" s="33" t="s">
        <v>114</v>
      </c>
      <c r="L10091" s="31" t="str">
        <f t="shared" si="974"/>
        <v>Empat Puluh Dua</v>
      </c>
    </row>
    <row r="10092" spans="1:12">
      <c r="A10092" s="38"/>
      <c r="J10092" s="31">
        <v>43</v>
      </c>
      <c r="K10092" s="33" t="s">
        <v>115</v>
      </c>
      <c r="L10092" s="31" t="str">
        <f t="shared" si="974"/>
        <v>Empat Puluh Tiga</v>
      </c>
    </row>
    <row r="10093" spans="1:12">
      <c r="J10093" s="31">
        <v>44</v>
      </c>
      <c r="K10093" s="33" t="s">
        <v>116</v>
      </c>
      <c r="L10093" s="31" t="str">
        <f t="shared" si="974"/>
        <v>Empat Puluh Empat</v>
      </c>
    </row>
    <row r="10094" spans="1:12">
      <c r="J10094" s="31">
        <v>45</v>
      </c>
      <c r="K10094" s="33" t="s">
        <v>117</v>
      </c>
      <c r="L10094" s="31" t="str">
        <f t="shared" si="974"/>
        <v>Empat Puluh Lima</v>
      </c>
    </row>
    <row r="10095" spans="1:12">
      <c r="J10095" s="31">
        <v>46</v>
      </c>
      <c r="K10095" s="33" t="s">
        <v>118</v>
      </c>
      <c r="L10095" s="31" t="str">
        <f t="shared" si="974"/>
        <v>Empat Puluh Enam</v>
      </c>
    </row>
    <row r="10096" spans="1:12">
      <c r="J10096" s="31">
        <v>47</v>
      </c>
      <c r="K10096" s="33" t="s">
        <v>119</v>
      </c>
      <c r="L10096" s="31" t="str">
        <f t="shared" si="974"/>
        <v>Empat Puluh Tujuh</v>
      </c>
    </row>
    <row r="10097" spans="10:12">
      <c r="J10097" s="31">
        <v>48</v>
      </c>
      <c r="K10097" s="33" t="s">
        <v>120</v>
      </c>
      <c r="L10097" s="31" t="str">
        <f t="shared" si="974"/>
        <v>Empat Puluh Delapan</v>
      </c>
    </row>
    <row r="10098" spans="10:12">
      <c r="J10098" s="31">
        <v>49</v>
      </c>
      <c r="K10098" s="33" t="s">
        <v>121</v>
      </c>
      <c r="L10098" s="31" t="str">
        <f t="shared" si="974"/>
        <v>Empat Puluh Sembilan</v>
      </c>
    </row>
    <row r="10099" spans="10:12">
      <c r="J10099" s="31">
        <v>50</v>
      </c>
      <c r="K10099" s="33" t="s">
        <v>122</v>
      </c>
      <c r="L10099" s="31" t="s">
        <v>123</v>
      </c>
    </row>
    <row r="10100" spans="10:12">
      <c r="J10100" s="31">
        <v>51</v>
      </c>
      <c r="K10100" s="33" t="s">
        <v>124</v>
      </c>
      <c r="L10100" s="31" t="str">
        <f t="shared" ref="L10100:L10108" si="975">$L$53&amp;" "&amp;L10050</f>
        <v>Lima Puluh Satu</v>
      </c>
    </row>
    <row r="10101" spans="10:12">
      <c r="J10101" s="31">
        <v>52</v>
      </c>
      <c r="K10101" s="33" t="s">
        <v>125</v>
      </c>
      <c r="L10101" s="31" t="str">
        <f t="shared" si="975"/>
        <v>Lima Puluh Dua</v>
      </c>
    </row>
    <row r="10102" spans="10:12">
      <c r="J10102" s="31">
        <v>53</v>
      </c>
      <c r="K10102" s="33" t="s">
        <v>126</v>
      </c>
      <c r="L10102" s="31" t="str">
        <f t="shared" si="975"/>
        <v>Lima Puluh Tiga</v>
      </c>
    </row>
    <row r="10103" spans="10:12">
      <c r="J10103" s="31">
        <v>54</v>
      </c>
      <c r="K10103" s="33" t="s">
        <v>127</v>
      </c>
      <c r="L10103" s="31" t="str">
        <f t="shared" si="975"/>
        <v>Lima Puluh Empat</v>
      </c>
    </row>
    <row r="10104" spans="10:12">
      <c r="J10104" s="31">
        <v>55</v>
      </c>
      <c r="K10104" s="33" t="s">
        <v>128</v>
      </c>
      <c r="L10104" s="31" t="str">
        <f t="shared" si="975"/>
        <v>Lima Puluh Lima</v>
      </c>
    </row>
    <row r="10105" spans="10:12">
      <c r="J10105" s="31">
        <v>56</v>
      </c>
      <c r="K10105" s="33" t="s">
        <v>129</v>
      </c>
      <c r="L10105" s="31" t="str">
        <f t="shared" si="975"/>
        <v>Lima Puluh Enam</v>
      </c>
    </row>
    <row r="10106" spans="10:12">
      <c r="J10106" s="31">
        <v>57</v>
      </c>
      <c r="K10106" s="33" t="s">
        <v>130</v>
      </c>
      <c r="L10106" s="31" t="str">
        <f t="shared" si="975"/>
        <v>Lima Puluh Tujuh</v>
      </c>
    </row>
    <row r="10107" spans="10:12">
      <c r="J10107" s="31">
        <v>58</v>
      </c>
      <c r="K10107" s="33" t="s">
        <v>131</v>
      </c>
      <c r="L10107" s="31" t="str">
        <f t="shared" si="975"/>
        <v>Lima Puluh Delapan</v>
      </c>
    </row>
    <row r="10108" spans="10:12">
      <c r="J10108" s="31">
        <v>59</v>
      </c>
      <c r="K10108" s="33" t="s">
        <v>132</v>
      </c>
      <c r="L10108" s="31" t="str">
        <f t="shared" si="975"/>
        <v>Lima Puluh Sembilan</v>
      </c>
    </row>
    <row r="10109" spans="10:12">
      <c r="J10109" s="31">
        <v>60</v>
      </c>
      <c r="K10109" s="33" t="s">
        <v>133</v>
      </c>
      <c r="L10109" s="31" t="s">
        <v>134</v>
      </c>
    </row>
    <row r="10110" spans="10:12">
      <c r="J10110" s="31">
        <v>61</v>
      </c>
      <c r="K10110" s="33" t="s">
        <v>135</v>
      </c>
      <c r="L10110" s="31" t="str">
        <f t="shared" ref="L10110:L10118" si="976">$L$63&amp;" "&amp;L10050</f>
        <v>Enam Puluh Satu</v>
      </c>
    </row>
    <row r="10111" spans="10:12">
      <c r="J10111" s="31">
        <v>62</v>
      </c>
      <c r="K10111" s="33" t="s">
        <v>136</v>
      </c>
      <c r="L10111" s="31" t="str">
        <f t="shared" si="976"/>
        <v>Enam Puluh Dua</v>
      </c>
    </row>
    <row r="10112" spans="10:12">
      <c r="J10112" s="31">
        <v>63</v>
      </c>
      <c r="K10112" s="33" t="s">
        <v>137</v>
      </c>
      <c r="L10112" s="31" t="str">
        <f t="shared" si="976"/>
        <v>Enam Puluh Tiga</v>
      </c>
    </row>
    <row r="10113" spans="10:12">
      <c r="J10113" s="31">
        <v>64</v>
      </c>
      <c r="K10113" s="33" t="s">
        <v>138</v>
      </c>
      <c r="L10113" s="31" t="str">
        <f t="shared" si="976"/>
        <v>Enam Puluh Empat</v>
      </c>
    </row>
    <row r="10114" spans="10:12">
      <c r="J10114" s="31">
        <v>65</v>
      </c>
      <c r="K10114" s="33" t="s">
        <v>139</v>
      </c>
      <c r="L10114" s="31" t="str">
        <f t="shared" si="976"/>
        <v>Enam Puluh Lima</v>
      </c>
    </row>
    <row r="10115" spans="10:12">
      <c r="J10115" s="31">
        <v>66</v>
      </c>
      <c r="K10115" s="33" t="s">
        <v>140</v>
      </c>
      <c r="L10115" s="31" t="str">
        <f t="shared" si="976"/>
        <v>Enam Puluh Enam</v>
      </c>
    </row>
    <row r="10116" spans="10:12">
      <c r="J10116" s="31">
        <v>67</v>
      </c>
      <c r="K10116" s="33" t="s">
        <v>141</v>
      </c>
      <c r="L10116" s="31" t="str">
        <f t="shared" si="976"/>
        <v>Enam Puluh Tujuh</v>
      </c>
    </row>
    <row r="10117" spans="10:12">
      <c r="J10117" s="31">
        <v>68</v>
      </c>
      <c r="K10117" s="33" t="s">
        <v>142</v>
      </c>
      <c r="L10117" s="31" t="str">
        <f t="shared" si="976"/>
        <v>Enam Puluh Delapan</v>
      </c>
    </row>
    <row r="10118" spans="10:12">
      <c r="J10118" s="31">
        <v>69</v>
      </c>
      <c r="K10118" s="33" t="s">
        <v>143</v>
      </c>
      <c r="L10118" s="31" t="str">
        <f t="shared" si="976"/>
        <v>Enam Puluh Sembilan</v>
      </c>
    </row>
    <row r="10119" spans="10:12">
      <c r="J10119" s="31">
        <v>70</v>
      </c>
      <c r="K10119" s="33" t="s">
        <v>144</v>
      </c>
      <c r="L10119" s="31" t="s">
        <v>145</v>
      </c>
    </row>
    <row r="10120" spans="10:12">
      <c r="J10120" s="31">
        <v>71</v>
      </c>
      <c r="K10120" s="33" t="s">
        <v>146</v>
      </c>
      <c r="L10120" s="31" t="str">
        <f t="shared" ref="L10120:L10128" si="977">$L$73&amp;" "&amp;L10050</f>
        <v>Tujuh Puluh Satu</v>
      </c>
    </row>
    <row r="10121" spans="10:12">
      <c r="J10121" s="31">
        <v>72</v>
      </c>
      <c r="K10121" s="33" t="s">
        <v>147</v>
      </c>
      <c r="L10121" s="31" t="str">
        <f t="shared" si="977"/>
        <v>Tujuh Puluh Dua</v>
      </c>
    </row>
    <row r="10122" spans="10:12">
      <c r="J10122" s="31">
        <v>73</v>
      </c>
      <c r="K10122" s="33" t="s">
        <v>148</v>
      </c>
      <c r="L10122" s="31" t="str">
        <f t="shared" si="977"/>
        <v>Tujuh Puluh Tiga</v>
      </c>
    </row>
    <row r="10123" spans="10:12">
      <c r="J10123" s="31">
        <v>74</v>
      </c>
      <c r="K10123" s="33" t="s">
        <v>149</v>
      </c>
      <c r="L10123" s="31" t="str">
        <f t="shared" si="977"/>
        <v>Tujuh Puluh Empat</v>
      </c>
    </row>
    <row r="10124" spans="10:12">
      <c r="J10124" s="31">
        <v>75</v>
      </c>
      <c r="K10124" s="33" t="s">
        <v>150</v>
      </c>
      <c r="L10124" s="31" t="str">
        <f t="shared" si="977"/>
        <v>Tujuh Puluh Lima</v>
      </c>
    </row>
    <row r="10125" spans="10:12">
      <c r="J10125" s="31">
        <v>76</v>
      </c>
      <c r="K10125" s="33" t="s">
        <v>151</v>
      </c>
      <c r="L10125" s="31" t="str">
        <f t="shared" si="977"/>
        <v>Tujuh Puluh Enam</v>
      </c>
    </row>
    <row r="10126" spans="10:12">
      <c r="J10126" s="31">
        <v>77</v>
      </c>
      <c r="K10126" s="33" t="s">
        <v>152</v>
      </c>
      <c r="L10126" s="31" t="str">
        <f t="shared" si="977"/>
        <v>Tujuh Puluh Tujuh</v>
      </c>
    </row>
    <row r="10127" spans="10:12">
      <c r="J10127" s="31">
        <v>78</v>
      </c>
      <c r="K10127" s="33" t="s">
        <v>153</v>
      </c>
      <c r="L10127" s="31" t="str">
        <f t="shared" si="977"/>
        <v>Tujuh Puluh Delapan</v>
      </c>
    </row>
    <row r="10128" spans="10:12">
      <c r="J10128" s="31">
        <v>79</v>
      </c>
      <c r="K10128" s="33" t="s">
        <v>154</v>
      </c>
      <c r="L10128" s="31" t="str">
        <f t="shared" si="977"/>
        <v>Tujuh Puluh Sembilan</v>
      </c>
    </row>
    <row r="10129" spans="10:12">
      <c r="J10129" s="31">
        <v>80</v>
      </c>
      <c r="K10129" s="33" t="s">
        <v>155</v>
      </c>
      <c r="L10129" s="31" t="s">
        <v>156</v>
      </c>
    </row>
    <row r="10130" spans="10:12">
      <c r="J10130" s="31">
        <v>81</v>
      </c>
      <c r="K10130" s="33" t="s">
        <v>157</v>
      </c>
      <c r="L10130" s="31" t="str">
        <f t="shared" ref="L10130:L10138" si="978">$L$83&amp;" "&amp;L10050</f>
        <v>Delapan Puluh Satu</v>
      </c>
    </row>
    <row r="10131" spans="10:12">
      <c r="J10131" s="31">
        <v>82</v>
      </c>
      <c r="K10131" s="33" t="s">
        <v>158</v>
      </c>
      <c r="L10131" s="31" t="str">
        <f t="shared" si="978"/>
        <v>Delapan Puluh Dua</v>
      </c>
    </row>
    <row r="10132" spans="10:12">
      <c r="J10132" s="31">
        <v>83</v>
      </c>
      <c r="K10132" s="33" t="s">
        <v>159</v>
      </c>
      <c r="L10132" s="31" t="str">
        <f t="shared" si="978"/>
        <v>Delapan Puluh Tiga</v>
      </c>
    </row>
    <row r="10133" spans="10:12">
      <c r="J10133" s="31">
        <v>84</v>
      </c>
      <c r="K10133" s="33" t="s">
        <v>160</v>
      </c>
      <c r="L10133" s="31" t="str">
        <f t="shared" si="978"/>
        <v>Delapan Puluh Empat</v>
      </c>
    </row>
    <row r="10134" spans="10:12">
      <c r="J10134" s="31">
        <v>85</v>
      </c>
      <c r="K10134" s="33" t="s">
        <v>161</v>
      </c>
      <c r="L10134" s="31" t="str">
        <f t="shared" si="978"/>
        <v>Delapan Puluh Lima</v>
      </c>
    </row>
    <row r="10135" spans="10:12">
      <c r="J10135" s="31">
        <v>86</v>
      </c>
      <c r="K10135" s="33" t="s">
        <v>162</v>
      </c>
      <c r="L10135" s="31" t="str">
        <f t="shared" si="978"/>
        <v>Delapan Puluh Enam</v>
      </c>
    </row>
    <row r="10136" spans="10:12">
      <c r="J10136" s="31">
        <v>87</v>
      </c>
      <c r="K10136" s="33" t="s">
        <v>163</v>
      </c>
      <c r="L10136" s="31" t="str">
        <f t="shared" si="978"/>
        <v>Delapan Puluh Tujuh</v>
      </c>
    </row>
    <row r="10137" spans="10:12">
      <c r="J10137" s="31">
        <v>88</v>
      </c>
      <c r="K10137" s="33" t="s">
        <v>164</v>
      </c>
      <c r="L10137" s="31" t="str">
        <f t="shared" si="978"/>
        <v>Delapan Puluh Delapan</v>
      </c>
    </row>
    <row r="10138" spans="10:12">
      <c r="J10138" s="31">
        <v>89</v>
      </c>
      <c r="K10138" s="33" t="s">
        <v>165</v>
      </c>
      <c r="L10138" s="31" t="str">
        <f t="shared" si="978"/>
        <v>Delapan Puluh Sembilan</v>
      </c>
    </row>
    <row r="10139" spans="10:12">
      <c r="J10139" s="31">
        <v>90</v>
      </c>
      <c r="K10139" s="33" t="s">
        <v>166</v>
      </c>
      <c r="L10139" s="31" t="s">
        <v>167</v>
      </c>
    </row>
    <row r="10140" spans="10:12">
      <c r="J10140" s="31">
        <v>91</v>
      </c>
      <c r="K10140" s="33" t="s">
        <v>168</v>
      </c>
      <c r="L10140" s="31" t="str">
        <f t="shared" ref="L10140:L10148" si="979">$L$93&amp;" "&amp;L10050</f>
        <v>Sembilan Puluh Satu</v>
      </c>
    </row>
    <row r="10141" spans="10:12">
      <c r="J10141" s="31">
        <v>92</v>
      </c>
      <c r="K10141" s="33" t="s">
        <v>169</v>
      </c>
      <c r="L10141" s="31" t="str">
        <f t="shared" si="979"/>
        <v>Sembilan Puluh Dua</v>
      </c>
    </row>
    <row r="10142" spans="10:12">
      <c r="J10142" s="31">
        <v>93</v>
      </c>
      <c r="K10142" s="33" t="s">
        <v>170</v>
      </c>
      <c r="L10142" s="31" t="str">
        <f t="shared" si="979"/>
        <v>Sembilan Puluh Tiga</v>
      </c>
    </row>
    <row r="10143" spans="10:12">
      <c r="J10143" s="31">
        <v>94</v>
      </c>
      <c r="K10143" s="33" t="s">
        <v>171</v>
      </c>
      <c r="L10143" s="31" t="str">
        <f t="shared" si="979"/>
        <v>Sembilan Puluh Empat</v>
      </c>
    </row>
    <row r="10144" spans="10:12">
      <c r="J10144" s="31">
        <v>95</v>
      </c>
      <c r="K10144" s="33" t="s">
        <v>172</v>
      </c>
      <c r="L10144" s="31" t="str">
        <f t="shared" si="979"/>
        <v>Sembilan Puluh Lima</v>
      </c>
    </row>
    <row r="10145" spans="1:12">
      <c r="J10145" s="31">
        <v>96</v>
      </c>
      <c r="K10145" s="33" t="s">
        <v>173</v>
      </c>
      <c r="L10145" s="31" t="str">
        <f t="shared" si="979"/>
        <v>Sembilan Puluh Enam</v>
      </c>
    </row>
    <row r="10146" spans="1:12">
      <c r="J10146" s="31">
        <v>97</v>
      </c>
      <c r="K10146" s="33" t="s">
        <v>174</v>
      </c>
      <c r="L10146" s="31" t="str">
        <f t="shared" si="979"/>
        <v>Sembilan Puluh Tujuh</v>
      </c>
    </row>
    <row r="10147" spans="1:12">
      <c r="J10147" s="31">
        <v>98</v>
      </c>
      <c r="K10147" s="33" t="s">
        <v>175</v>
      </c>
      <c r="L10147" s="31" t="str">
        <f t="shared" si="979"/>
        <v>Sembilan Puluh Delapan</v>
      </c>
    </row>
    <row r="10148" spans="1:12">
      <c r="J10148" s="31">
        <v>99</v>
      </c>
      <c r="K10148" s="33" t="s">
        <v>176</v>
      </c>
      <c r="L10148" s="31" t="str">
        <f t="shared" si="979"/>
        <v>Sembilan Puluh Sembilan</v>
      </c>
    </row>
    <row r="10151" spans="1:12">
      <c r="A10151" s="30" t="e">
        <f>#REF!</f>
        <v>#REF!</v>
      </c>
      <c r="C10151" s="31" t="s">
        <v>310</v>
      </c>
    </row>
    <row r="10152" spans="1:12">
      <c r="A10152" s="32"/>
    </row>
    <row r="10153" spans="1:12">
      <c r="J10153" s="31">
        <v>0</v>
      </c>
      <c r="K10153" s="33" t="s">
        <v>48</v>
      </c>
      <c r="L10153" s="31" t="s">
        <v>49</v>
      </c>
    </row>
    <row r="10154" spans="1:12">
      <c r="A10154" s="34"/>
      <c r="J10154" s="31">
        <v>1</v>
      </c>
      <c r="K10154" s="33" t="s">
        <v>50</v>
      </c>
      <c r="L10154" s="31" t="s">
        <v>51</v>
      </c>
    </row>
    <row r="10155" spans="1:12">
      <c r="A10155" s="255" t="e">
        <f>TRIM(D10163&amp;E10163&amp;D10164&amp;E10164&amp;D10165&amp;E10165&amp;D10166&amp;E10166&amp;D10167&amp;E10167&amp;D10168&amp;E10168&amp;E10169&amp;D10169&amp;" Only")</f>
        <v>#REF!</v>
      </c>
      <c r="B10155" s="255"/>
      <c r="C10155" s="255"/>
      <c r="D10155" s="255"/>
      <c r="E10155" s="35"/>
      <c r="F10155" s="36"/>
      <c r="J10155" s="31">
        <v>2</v>
      </c>
      <c r="K10155" s="33" t="s">
        <v>52</v>
      </c>
      <c r="L10155" s="31" t="s">
        <v>53</v>
      </c>
    </row>
    <row r="10156" spans="1:12">
      <c r="A10156" s="37"/>
      <c r="B10156" s="37"/>
      <c r="C10156" s="37"/>
      <c r="D10156" s="37"/>
      <c r="E10156" s="35"/>
      <c r="F10156" s="36"/>
      <c r="J10156" s="31">
        <v>3</v>
      </c>
      <c r="K10156" s="33" t="s">
        <v>54</v>
      </c>
      <c r="L10156" s="31" t="s">
        <v>55</v>
      </c>
    </row>
    <row r="10157" spans="1:12">
      <c r="A10157" s="37"/>
      <c r="B10157" s="37"/>
      <c r="C10157" s="37"/>
      <c r="D10157" s="37"/>
      <c r="J10157" s="31">
        <v>4</v>
      </c>
      <c r="K10157" s="33" t="s">
        <v>56</v>
      </c>
      <c r="L10157" s="31" t="s">
        <v>57</v>
      </c>
    </row>
    <row r="10158" spans="1:12">
      <c r="A10158" s="255" t="e">
        <f>TRIM(D10173&amp;E10173&amp;D10174&amp;E10174&amp;D10175&amp;E10175&amp;D10176&amp;E10176&amp;D10177&amp;E10177&amp;D10178&amp;E10178&amp;D10179&amp;E10179&amp;" Rupiah")</f>
        <v>#REF!</v>
      </c>
      <c r="B10158" s="255"/>
      <c r="C10158" s="255"/>
      <c r="D10158" s="255"/>
      <c r="E10158" s="35"/>
      <c r="F10158" s="36"/>
      <c r="J10158" s="31">
        <v>5</v>
      </c>
      <c r="K10158" s="33" t="s">
        <v>58</v>
      </c>
      <c r="L10158" s="31" t="s">
        <v>59</v>
      </c>
    </row>
    <row r="10159" spans="1:12">
      <c r="A10159" s="35"/>
      <c r="B10159" s="35"/>
      <c r="C10159" s="35"/>
      <c r="D10159" s="35"/>
      <c r="E10159" s="35"/>
      <c r="F10159" s="36"/>
      <c r="J10159" s="31">
        <v>6</v>
      </c>
      <c r="K10159" s="33" t="s">
        <v>60</v>
      </c>
      <c r="L10159" s="31" t="s">
        <v>61</v>
      </c>
    </row>
    <row r="10160" spans="1:12">
      <c r="J10160" s="31">
        <v>7</v>
      </c>
      <c r="K10160" s="33" t="s">
        <v>62</v>
      </c>
      <c r="L10160" s="31" t="s">
        <v>63</v>
      </c>
    </row>
    <row r="10161" spans="1:12">
      <c r="J10161" s="31">
        <v>8</v>
      </c>
      <c r="K10161" s="33" t="s">
        <v>64</v>
      </c>
      <c r="L10161" s="31" t="s">
        <v>65</v>
      </c>
    </row>
    <row r="10162" spans="1:12">
      <c r="A10162" s="38" t="s">
        <v>66</v>
      </c>
      <c r="J10162" s="31">
        <v>9</v>
      </c>
      <c r="K10162" s="33" t="s">
        <v>67</v>
      </c>
      <c r="L10162" s="31" t="s">
        <v>68</v>
      </c>
    </row>
    <row r="10163" spans="1:12">
      <c r="A10163" s="31" t="s">
        <v>69</v>
      </c>
      <c r="B10163" s="39" t="e">
        <f>TRUNC(A10151/100000000)</f>
        <v>#REF!</v>
      </c>
      <c r="C10163" s="31" t="e">
        <f>B10163*100000000</f>
        <v>#REF!</v>
      </c>
      <c r="D10163" s="31" t="e">
        <f t="shared" ref="D10163:D10169" si="980">IF(B10163&lt;1,"",VLOOKUP(B10163,$J$3:$K$102,2))</f>
        <v>#REF!</v>
      </c>
      <c r="E10163" s="31" t="e">
        <f>IF(B10163&lt;1,"",IF(B10163&gt;1," Hundreds "," Hundred "))</f>
        <v>#REF!</v>
      </c>
      <c r="J10163" s="31">
        <v>10</v>
      </c>
      <c r="K10163" s="33" t="s">
        <v>70</v>
      </c>
      <c r="L10163" s="31" t="s">
        <v>71</v>
      </c>
    </row>
    <row r="10164" spans="1:12">
      <c r="A10164" s="31" t="s">
        <v>72</v>
      </c>
      <c r="B10164" s="39" t="e">
        <f>TRUNC((A10151-C10163)/1000000)</f>
        <v>#REF!</v>
      </c>
      <c r="C10164" s="31" t="e">
        <f>B10164*1000000</f>
        <v>#REF!</v>
      </c>
      <c r="D10164" s="31" t="e">
        <f t="shared" si="980"/>
        <v>#REF!</v>
      </c>
      <c r="E10164" s="31" t="e">
        <f>IF(B10163+B10164=0,"",IF(B10164=1," Million "," Millions "))</f>
        <v>#REF!</v>
      </c>
      <c r="J10164" s="31">
        <v>11</v>
      </c>
      <c r="K10164" s="33" t="s">
        <v>73</v>
      </c>
      <c r="L10164" s="31" t="s">
        <v>74</v>
      </c>
    </row>
    <row r="10165" spans="1:12">
      <c r="A10165" s="31" t="s">
        <v>75</v>
      </c>
      <c r="B10165" s="39" t="e">
        <f>TRUNC((A10151-SUM(C10163:C10164))/100000)</f>
        <v>#REF!</v>
      </c>
      <c r="C10165" s="31" t="e">
        <f>B10165*100000</f>
        <v>#REF!</v>
      </c>
      <c r="D10165" s="31" t="e">
        <f t="shared" si="980"/>
        <v>#REF!</v>
      </c>
      <c r="E10165" s="31" t="e">
        <f>IF(B10165&lt;1,"",IF(B10165&gt;1," Hundreds "," Hundred "))</f>
        <v>#REF!</v>
      </c>
      <c r="J10165" s="31">
        <v>12</v>
      </c>
      <c r="K10165" s="33" t="s">
        <v>76</v>
      </c>
      <c r="L10165" s="31" t="str">
        <f t="shared" ref="L10165:L10172" si="981">L10155&amp;" Belas"</f>
        <v>Dua Belas</v>
      </c>
    </row>
    <row r="10166" spans="1:12">
      <c r="A10166" s="33" t="s">
        <v>77</v>
      </c>
      <c r="B10166" s="40" t="e">
        <f>TRUNC((A10151-SUM(C10163:C10165))/1000)</f>
        <v>#REF!</v>
      </c>
      <c r="C10166" s="31" t="e">
        <f>B10166*1000</f>
        <v>#REF!</v>
      </c>
      <c r="D10166" s="31" t="e">
        <f t="shared" si="980"/>
        <v>#REF!</v>
      </c>
      <c r="E10166" s="31" t="e">
        <f>IF(B10165+B10166=0,"",IF(B10166=1," Thousand "," Thousands "))</f>
        <v>#REF!</v>
      </c>
      <c r="J10166" s="31">
        <v>13</v>
      </c>
      <c r="K10166" s="33" t="s">
        <v>78</v>
      </c>
      <c r="L10166" s="31" t="str">
        <f t="shared" si="981"/>
        <v>Tiga Belas</v>
      </c>
    </row>
    <row r="10167" spans="1:12">
      <c r="A10167" s="33" t="s">
        <v>79</v>
      </c>
      <c r="B10167" s="40" t="e">
        <f>TRUNC((A10151-SUM(C10163:C10166))/100)</f>
        <v>#REF!</v>
      </c>
      <c r="C10167" s="31" t="e">
        <f>B10167*100</f>
        <v>#REF!</v>
      </c>
      <c r="D10167" s="31" t="e">
        <f t="shared" si="980"/>
        <v>#REF!</v>
      </c>
      <c r="E10167" s="31" t="e">
        <f>IF(B10167&lt;1,"",IF(B10167&gt;1," Hundreds "," Hundred "))</f>
        <v>#REF!</v>
      </c>
      <c r="J10167" s="31">
        <v>14</v>
      </c>
      <c r="K10167" s="33" t="s">
        <v>80</v>
      </c>
      <c r="L10167" s="31" t="str">
        <f t="shared" si="981"/>
        <v>Empat Belas</v>
      </c>
    </row>
    <row r="10168" spans="1:12">
      <c r="A10168" s="33" t="s">
        <v>81</v>
      </c>
      <c r="B10168" s="41" t="e">
        <f>TRUNC((A10151-SUM(C10163:C10167)))</f>
        <v>#REF!</v>
      </c>
      <c r="C10168" s="42" t="e">
        <f>B10168</f>
        <v>#REF!</v>
      </c>
      <c r="D10168" s="31" t="e">
        <f t="shared" si="980"/>
        <v>#REF!</v>
      </c>
      <c r="E10168" s="31" t="e">
        <f>IF(SUM(C10163:C10168)&lt;1,"",IF(B10169&lt;1,""," And "))</f>
        <v>#REF!</v>
      </c>
      <c r="J10168" s="31">
        <v>15</v>
      </c>
      <c r="K10168" s="33" t="s">
        <v>82</v>
      </c>
      <c r="L10168" s="31" t="str">
        <f t="shared" si="981"/>
        <v>Lima Belas</v>
      </c>
    </row>
    <row r="10169" spans="1:12">
      <c r="A10169" s="33" t="s">
        <v>83</v>
      </c>
      <c r="B10169" s="40" t="e">
        <f>ROUND(A10151-SUM(C10163:C10168),2)*100</f>
        <v>#REF!</v>
      </c>
      <c r="D10169" s="43" t="e">
        <f t="shared" si="980"/>
        <v>#REF!</v>
      </c>
      <c r="E10169" s="31" t="e">
        <f>IF(B10169&lt;1,"",IF(B10169=1," Cent "," Cents "))</f>
        <v>#REF!</v>
      </c>
      <c r="J10169" s="31">
        <v>16</v>
      </c>
      <c r="K10169" s="33" t="s">
        <v>84</v>
      </c>
      <c r="L10169" s="31" t="str">
        <f t="shared" si="981"/>
        <v>Enam Belas</v>
      </c>
    </row>
    <row r="10170" spans="1:12">
      <c r="J10170" s="31">
        <v>17</v>
      </c>
      <c r="K10170" s="33" t="s">
        <v>85</v>
      </c>
      <c r="L10170" s="31" t="str">
        <f t="shared" si="981"/>
        <v>Tujuh Belas</v>
      </c>
    </row>
    <row r="10171" spans="1:12">
      <c r="A10171" s="44"/>
      <c r="J10171" s="31">
        <v>18</v>
      </c>
      <c r="K10171" s="33" t="s">
        <v>86</v>
      </c>
      <c r="L10171" s="31" t="str">
        <f t="shared" si="981"/>
        <v>Delapan Belas</v>
      </c>
    </row>
    <row r="10172" spans="1:12">
      <c r="A10172" s="38" t="s">
        <v>87</v>
      </c>
      <c r="J10172" s="31">
        <v>19</v>
      </c>
      <c r="K10172" s="33" t="s">
        <v>88</v>
      </c>
      <c r="L10172" s="31" t="str">
        <f t="shared" si="981"/>
        <v>Sembilan Belas</v>
      </c>
    </row>
    <row r="10173" spans="1:12">
      <c r="A10173" s="31" t="s">
        <v>69</v>
      </c>
      <c r="B10173" s="39" t="e">
        <f>TRUNC(A10151/100000000)</f>
        <v>#REF!</v>
      </c>
      <c r="C10173" s="31" t="e">
        <f>B10173*100000000</f>
        <v>#REF!</v>
      </c>
      <c r="D10173" s="31" t="e">
        <f>IF(B10173&lt;1,"",IF(B10173=1,"",VLOOKUP(B10173,$J$3:$L$102,3)))</f>
        <v>#REF!</v>
      </c>
      <c r="E10173" s="31" t="e">
        <f>IF(B10173&lt;1,"",IF(B10173=1,"Seratus "," Ratus "))</f>
        <v>#REF!</v>
      </c>
      <c r="J10173" s="31">
        <v>20</v>
      </c>
      <c r="K10173" s="33" t="s">
        <v>89</v>
      </c>
      <c r="L10173" s="31" t="s">
        <v>90</v>
      </c>
    </row>
    <row r="10174" spans="1:12">
      <c r="A10174" s="31" t="s">
        <v>72</v>
      </c>
      <c r="B10174" s="39" t="e">
        <f>TRUNC((A10151-C10173)/1000000)</f>
        <v>#REF!</v>
      </c>
      <c r="C10174" s="31" t="e">
        <f>B10174*1000000</f>
        <v>#REF!</v>
      </c>
      <c r="D10174" s="31" t="e">
        <f>IF(B10174&lt;1,"",VLOOKUP(B10174,$J$3:$L$102,3))</f>
        <v>#REF!</v>
      </c>
      <c r="E10174" s="31" t="e">
        <f>IF(B10173+B10174=0,""," Juta ")</f>
        <v>#REF!</v>
      </c>
      <c r="J10174" s="31">
        <v>21</v>
      </c>
      <c r="K10174" s="33" t="s">
        <v>91</v>
      </c>
      <c r="L10174" s="31" t="str">
        <f t="shared" ref="L10174:L10182" si="982">$L$23&amp;" "&amp;L10154</f>
        <v>Dua Puluh Satu</v>
      </c>
    </row>
    <row r="10175" spans="1:12">
      <c r="A10175" s="31" t="s">
        <v>75</v>
      </c>
      <c r="B10175" s="39" t="e">
        <f>TRUNC((A10151-SUM(C10173:C10174))/100000)</f>
        <v>#REF!</v>
      </c>
      <c r="C10175" s="31" t="e">
        <f>B10175*100000</f>
        <v>#REF!</v>
      </c>
      <c r="D10175" s="31" t="e">
        <f>IF(B10175&lt;1,"",IF(B10175=1,"",VLOOKUP(B10175,$J$3:$L$102,3)))</f>
        <v>#REF!</v>
      </c>
      <c r="E10175" s="31" t="e">
        <f>IF(B10175&lt;1,"",IF(B10175=1," Seratus "," Ratus "))</f>
        <v>#REF!</v>
      </c>
      <c r="J10175" s="31">
        <v>22</v>
      </c>
      <c r="K10175" s="33" t="s">
        <v>92</v>
      </c>
      <c r="L10175" s="31" t="str">
        <f t="shared" si="982"/>
        <v>Dua Puluh Dua</v>
      </c>
    </row>
    <row r="10176" spans="1:12">
      <c r="A10176" s="33" t="s">
        <v>77</v>
      </c>
      <c r="B10176" s="40" t="e">
        <f>TRUNC((A10151-SUM(C10173:C10175))/1000)</f>
        <v>#REF!</v>
      </c>
      <c r="C10176" s="31" t="e">
        <f>B10176*1000</f>
        <v>#REF!</v>
      </c>
      <c r="D10176" s="31" t="e">
        <f>IF(B10176&lt;1,"",IF(B10176=1,"",VLOOKUP(B10176,$J$3:$L$102,3)))</f>
        <v>#REF!</v>
      </c>
      <c r="E10176" s="31" t="e">
        <f>IF(B10175+B10176&lt;1,"",IF(B10176=1," Seribu "," Ribu "))</f>
        <v>#REF!</v>
      </c>
      <c r="J10176" s="31">
        <v>23</v>
      </c>
      <c r="K10176" s="33" t="s">
        <v>93</v>
      </c>
      <c r="L10176" s="31" t="str">
        <f t="shared" si="982"/>
        <v>Dua Puluh Tiga</v>
      </c>
    </row>
    <row r="10177" spans="1:12">
      <c r="A10177" s="33" t="s">
        <v>79</v>
      </c>
      <c r="B10177" s="40" t="e">
        <f>TRUNC((A10151-SUM(C10173:C10176))/100)</f>
        <v>#REF!</v>
      </c>
      <c r="C10177" s="31" t="e">
        <f>B10177*100</f>
        <v>#REF!</v>
      </c>
      <c r="D10177" s="31" t="e">
        <f>IF(B10177&lt;1,"",IF(B10177=1,"",VLOOKUP(B10177,$J$3:$L$102,3)))</f>
        <v>#REF!</v>
      </c>
      <c r="E10177" s="31" t="e">
        <f>IF(B10177&lt;1,"",IF(B10177=1," Seratus "," Ratus "))</f>
        <v>#REF!</v>
      </c>
      <c r="J10177" s="31">
        <v>24</v>
      </c>
      <c r="K10177" s="33" t="s">
        <v>94</v>
      </c>
      <c r="L10177" s="31" t="str">
        <f t="shared" si="982"/>
        <v>Dua Puluh Empat</v>
      </c>
    </row>
    <row r="10178" spans="1:12">
      <c r="A10178" s="33" t="s">
        <v>81</v>
      </c>
      <c r="B10178" s="41" t="e">
        <f>TRUNC((A10151-SUM(C10173:C10177)))</f>
        <v>#REF!</v>
      </c>
      <c r="C10178" s="42" t="e">
        <f>B10178</f>
        <v>#REF!</v>
      </c>
      <c r="D10178" s="31" t="e">
        <f>IF(B10178&lt;1,"",VLOOKUP(B10178,$J$3:$L$102,3))</f>
        <v>#REF!</v>
      </c>
      <c r="E10178" s="31" t="e">
        <f>IF(SUM(C10173:C10178)&lt;1,"",IF(B10179&lt;1,""," Dan "))</f>
        <v>#REF!</v>
      </c>
      <c r="J10178" s="31">
        <v>25</v>
      </c>
      <c r="K10178" s="33" t="s">
        <v>95</v>
      </c>
      <c r="L10178" s="31" t="str">
        <f t="shared" si="982"/>
        <v>Dua Puluh Lima</v>
      </c>
    </row>
    <row r="10179" spans="1:12">
      <c r="A10179" s="33" t="s">
        <v>83</v>
      </c>
      <c r="B10179" s="40" t="e">
        <f>ROUND(A10151-SUM(C10173:C10178),2)*100</f>
        <v>#REF!</v>
      </c>
      <c r="D10179" s="31" t="e">
        <f>IF(B10179&lt;1,"",VLOOKUP(B10179,$J$3:$L$102,3))</f>
        <v>#REF!</v>
      </c>
      <c r="E10179" s="31" t="e">
        <f>IF(B10179&lt;1,""," Sen ")</f>
        <v>#REF!</v>
      </c>
      <c r="J10179" s="31">
        <v>26</v>
      </c>
      <c r="K10179" s="33" t="s">
        <v>96</v>
      </c>
      <c r="L10179" s="31" t="str">
        <f t="shared" si="982"/>
        <v>Dua Puluh Enam</v>
      </c>
    </row>
    <row r="10180" spans="1:12">
      <c r="J10180" s="31">
        <v>27</v>
      </c>
      <c r="K10180" s="33" t="s">
        <v>97</v>
      </c>
      <c r="L10180" s="31" t="str">
        <f t="shared" si="982"/>
        <v>Dua Puluh Tujuh</v>
      </c>
    </row>
    <row r="10181" spans="1:12">
      <c r="J10181" s="31">
        <v>28</v>
      </c>
      <c r="K10181" s="33" t="s">
        <v>98</v>
      </c>
      <c r="L10181" s="31" t="str">
        <f t="shared" si="982"/>
        <v>Dua Puluh Delapan</v>
      </c>
    </row>
    <row r="10182" spans="1:12">
      <c r="J10182" s="31">
        <v>29</v>
      </c>
      <c r="K10182" s="33" t="s">
        <v>99</v>
      </c>
      <c r="L10182" s="31" t="str">
        <f t="shared" si="982"/>
        <v>Dua Puluh Sembilan</v>
      </c>
    </row>
    <row r="10183" spans="1:12">
      <c r="J10183" s="31">
        <v>30</v>
      </c>
      <c r="K10183" s="33" t="s">
        <v>100</v>
      </c>
      <c r="L10183" s="31" t="s">
        <v>101</v>
      </c>
    </row>
    <row r="10184" spans="1:12">
      <c r="J10184" s="31">
        <v>31</v>
      </c>
      <c r="K10184" s="33" t="s">
        <v>102</v>
      </c>
      <c r="L10184" s="31" t="str">
        <f t="shared" ref="L10184:L10192" si="983">$L$33&amp;" "&amp;L10154</f>
        <v>Tiga Puluh Satu</v>
      </c>
    </row>
    <row r="10185" spans="1:12">
      <c r="J10185" s="31">
        <v>32</v>
      </c>
      <c r="K10185" s="33" t="s">
        <v>103</v>
      </c>
      <c r="L10185" s="31" t="str">
        <f t="shared" si="983"/>
        <v>Tiga Puluh Dua</v>
      </c>
    </row>
    <row r="10186" spans="1:12">
      <c r="J10186" s="31">
        <v>33</v>
      </c>
      <c r="K10186" s="33" t="s">
        <v>104</v>
      </c>
      <c r="L10186" s="31" t="str">
        <f t="shared" si="983"/>
        <v>Tiga Puluh Tiga</v>
      </c>
    </row>
    <row r="10187" spans="1:12">
      <c r="J10187" s="31">
        <v>34</v>
      </c>
      <c r="K10187" s="33" t="s">
        <v>105</v>
      </c>
      <c r="L10187" s="31" t="str">
        <f t="shared" si="983"/>
        <v>Tiga Puluh Empat</v>
      </c>
    </row>
    <row r="10188" spans="1:12">
      <c r="J10188" s="31">
        <v>35</v>
      </c>
      <c r="K10188" s="33" t="s">
        <v>106</v>
      </c>
      <c r="L10188" s="31" t="str">
        <f t="shared" si="983"/>
        <v>Tiga Puluh Lima</v>
      </c>
    </row>
    <row r="10189" spans="1:12">
      <c r="J10189" s="31">
        <v>36</v>
      </c>
      <c r="K10189" s="33" t="s">
        <v>107</v>
      </c>
      <c r="L10189" s="31" t="str">
        <f t="shared" si="983"/>
        <v>Tiga Puluh Enam</v>
      </c>
    </row>
    <row r="10190" spans="1:12">
      <c r="J10190" s="31">
        <v>37</v>
      </c>
      <c r="K10190" s="33" t="s">
        <v>108</v>
      </c>
      <c r="L10190" s="31" t="str">
        <f t="shared" si="983"/>
        <v>Tiga Puluh Tujuh</v>
      </c>
    </row>
    <row r="10191" spans="1:12">
      <c r="J10191" s="31">
        <v>38</v>
      </c>
      <c r="K10191" s="33" t="s">
        <v>109</v>
      </c>
      <c r="L10191" s="31" t="str">
        <f t="shared" si="983"/>
        <v>Tiga Puluh Delapan</v>
      </c>
    </row>
    <row r="10192" spans="1:12">
      <c r="J10192" s="31">
        <v>39</v>
      </c>
      <c r="K10192" s="33" t="s">
        <v>110</v>
      </c>
      <c r="L10192" s="31" t="str">
        <f t="shared" si="983"/>
        <v>Tiga Puluh Sembilan</v>
      </c>
    </row>
    <row r="10193" spans="1:12">
      <c r="B10193" s="35"/>
      <c r="C10193" s="35"/>
      <c r="D10193" s="35"/>
      <c r="J10193" s="31">
        <v>40</v>
      </c>
      <c r="K10193" s="33" t="s">
        <v>111</v>
      </c>
      <c r="L10193" s="31" t="s">
        <v>112</v>
      </c>
    </row>
    <row r="10194" spans="1:12">
      <c r="A10194" s="35"/>
      <c r="B10194" s="35"/>
      <c r="C10194" s="35"/>
      <c r="D10194" s="35"/>
      <c r="J10194" s="31">
        <v>41</v>
      </c>
      <c r="K10194" s="33" t="s">
        <v>113</v>
      </c>
      <c r="L10194" s="31" t="str">
        <f t="shared" ref="L10194:L10202" si="984">$L$43&amp;" "&amp;L10154</f>
        <v>Empat Puluh Satu</v>
      </c>
    </row>
    <row r="10195" spans="1:12">
      <c r="J10195" s="31">
        <v>42</v>
      </c>
      <c r="K10195" s="33" t="s">
        <v>114</v>
      </c>
      <c r="L10195" s="31" t="str">
        <f t="shared" si="984"/>
        <v>Empat Puluh Dua</v>
      </c>
    </row>
    <row r="10196" spans="1:12">
      <c r="A10196" s="38"/>
      <c r="J10196" s="31">
        <v>43</v>
      </c>
      <c r="K10196" s="33" t="s">
        <v>115</v>
      </c>
      <c r="L10196" s="31" t="str">
        <f t="shared" si="984"/>
        <v>Empat Puluh Tiga</v>
      </c>
    </row>
    <row r="10197" spans="1:12">
      <c r="J10197" s="31">
        <v>44</v>
      </c>
      <c r="K10197" s="33" t="s">
        <v>116</v>
      </c>
      <c r="L10197" s="31" t="str">
        <f t="shared" si="984"/>
        <v>Empat Puluh Empat</v>
      </c>
    </row>
    <row r="10198" spans="1:12">
      <c r="J10198" s="31">
        <v>45</v>
      </c>
      <c r="K10198" s="33" t="s">
        <v>117</v>
      </c>
      <c r="L10198" s="31" t="str">
        <f t="shared" si="984"/>
        <v>Empat Puluh Lima</v>
      </c>
    </row>
    <row r="10199" spans="1:12">
      <c r="J10199" s="31">
        <v>46</v>
      </c>
      <c r="K10199" s="33" t="s">
        <v>118</v>
      </c>
      <c r="L10199" s="31" t="str">
        <f t="shared" si="984"/>
        <v>Empat Puluh Enam</v>
      </c>
    </row>
    <row r="10200" spans="1:12">
      <c r="J10200" s="31">
        <v>47</v>
      </c>
      <c r="K10200" s="33" t="s">
        <v>119</v>
      </c>
      <c r="L10200" s="31" t="str">
        <f t="shared" si="984"/>
        <v>Empat Puluh Tujuh</v>
      </c>
    </row>
    <row r="10201" spans="1:12">
      <c r="J10201" s="31">
        <v>48</v>
      </c>
      <c r="K10201" s="33" t="s">
        <v>120</v>
      </c>
      <c r="L10201" s="31" t="str">
        <f t="shared" si="984"/>
        <v>Empat Puluh Delapan</v>
      </c>
    </row>
    <row r="10202" spans="1:12">
      <c r="J10202" s="31">
        <v>49</v>
      </c>
      <c r="K10202" s="33" t="s">
        <v>121</v>
      </c>
      <c r="L10202" s="31" t="str">
        <f t="shared" si="984"/>
        <v>Empat Puluh Sembilan</v>
      </c>
    </row>
    <row r="10203" spans="1:12">
      <c r="J10203" s="31">
        <v>50</v>
      </c>
      <c r="K10203" s="33" t="s">
        <v>122</v>
      </c>
      <c r="L10203" s="31" t="s">
        <v>123</v>
      </c>
    </row>
    <row r="10204" spans="1:12">
      <c r="J10204" s="31">
        <v>51</v>
      </c>
      <c r="K10204" s="33" t="s">
        <v>124</v>
      </c>
      <c r="L10204" s="31" t="str">
        <f t="shared" ref="L10204:L10212" si="985">$L$53&amp;" "&amp;L10154</f>
        <v>Lima Puluh Satu</v>
      </c>
    </row>
    <row r="10205" spans="1:12">
      <c r="J10205" s="31">
        <v>52</v>
      </c>
      <c r="K10205" s="33" t="s">
        <v>125</v>
      </c>
      <c r="L10205" s="31" t="str">
        <f t="shared" si="985"/>
        <v>Lima Puluh Dua</v>
      </c>
    </row>
    <row r="10206" spans="1:12">
      <c r="J10206" s="31">
        <v>53</v>
      </c>
      <c r="K10206" s="33" t="s">
        <v>126</v>
      </c>
      <c r="L10206" s="31" t="str">
        <f t="shared" si="985"/>
        <v>Lima Puluh Tiga</v>
      </c>
    </row>
    <row r="10207" spans="1:12">
      <c r="J10207" s="31">
        <v>54</v>
      </c>
      <c r="K10207" s="33" t="s">
        <v>127</v>
      </c>
      <c r="L10207" s="31" t="str">
        <f t="shared" si="985"/>
        <v>Lima Puluh Empat</v>
      </c>
    </row>
    <row r="10208" spans="1:12">
      <c r="J10208" s="31">
        <v>55</v>
      </c>
      <c r="K10208" s="33" t="s">
        <v>128</v>
      </c>
      <c r="L10208" s="31" t="str">
        <f t="shared" si="985"/>
        <v>Lima Puluh Lima</v>
      </c>
    </row>
    <row r="10209" spans="10:12">
      <c r="J10209" s="31">
        <v>56</v>
      </c>
      <c r="K10209" s="33" t="s">
        <v>129</v>
      </c>
      <c r="L10209" s="31" t="str">
        <f t="shared" si="985"/>
        <v>Lima Puluh Enam</v>
      </c>
    </row>
    <row r="10210" spans="10:12">
      <c r="J10210" s="31">
        <v>57</v>
      </c>
      <c r="K10210" s="33" t="s">
        <v>130</v>
      </c>
      <c r="L10210" s="31" t="str">
        <f t="shared" si="985"/>
        <v>Lima Puluh Tujuh</v>
      </c>
    </row>
    <row r="10211" spans="10:12">
      <c r="J10211" s="31">
        <v>58</v>
      </c>
      <c r="K10211" s="33" t="s">
        <v>131</v>
      </c>
      <c r="L10211" s="31" t="str">
        <f t="shared" si="985"/>
        <v>Lima Puluh Delapan</v>
      </c>
    </row>
    <row r="10212" spans="10:12">
      <c r="J10212" s="31">
        <v>59</v>
      </c>
      <c r="K10212" s="33" t="s">
        <v>132</v>
      </c>
      <c r="L10212" s="31" t="str">
        <f t="shared" si="985"/>
        <v>Lima Puluh Sembilan</v>
      </c>
    </row>
    <row r="10213" spans="10:12">
      <c r="J10213" s="31">
        <v>60</v>
      </c>
      <c r="K10213" s="33" t="s">
        <v>133</v>
      </c>
      <c r="L10213" s="31" t="s">
        <v>134</v>
      </c>
    </row>
    <row r="10214" spans="10:12">
      <c r="J10214" s="31">
        <v>61</v>
      </c>
      <c r="K10214" s="33" t="s">
        <v>135</v>
      </c>
      <c r="L10214" s="31" t="str">
        <f t="shared" ref="L10214:L10222" si="986">$L$63&amp;" "&amp;L10154</f>
        <v>Enam Puluh Satu</v>
      </c>
    </row>
    <row r="10215" spans="10:12">
      <c r="J10215" s="31">
        <v>62</v>
      </c>
      <c r="K10215" s="33" t="s">
        <v>136</v>
      </c>
      <c r="L10215" s="31" t="str">
        <f t="shared" si="986"/>
        <v>Enam Puluh Dua</v>
      </c>
    </row>
    <row r="10216" spans="10:12">
      <c r="J10216" s="31">
        <v>63</v>
      </c>
      <c r="K10216" s="33" t="s">
        <v>137</v>
      </c>
      <c r="L10216" s="31" t="str">
        <f t="shared" si="986"/>
        <v>Enam Puluh Tiga</v>
      </c>
    </row>
    <row r="10217" spans="10:12">
      <c r="J10217" s="31">
        <v>64</v>
      </c>
      <c r="K10217" s="33" t="s">
        <v>138</v>
      </c>
      <c r="L10217" s="31" t="str">
        <f t="shared" si="986"/>
        <v>Enam Puluh Empat</v>
      </c>
    </row>
    <row r="10218" spans="10:12">
      <c r="J10218" s="31">
        <v>65</v>
      </c>
      <c r="K10218" s="33" t="s">
        <v>139</v>
      </c>
      <c r="L10218" s="31" t="str">
        <f t="shared" si="986"/>
        <v>Enam Puluh Lima</v>
      </c>
    </row>
    <row r="10219" spans="10:12">
      <c r="J10219" s="31">
        <v>66</v>
      </c>
      <c r="K10219" s="33" t="s">
        <v>140</v>
      </c>
      <c r="L10219" s="31" t="str">
        <f t="shared" si="986"/>
        <v>Enam Puluh Enam</v>
      </c>
    </row>
    <row r="10220" spans="10:12">
      <c r="J10220" s="31">
        <v>67</v>
      </c>
      <c r="K10220" s="33" t="s">
        <v>141</v>
      </c>
      <c r="L10220" s="31" t="str">
        <f t="shared" si="986"/>
        <v>Enam Puluh Tujuh</v>
      </c>
    </row>
    <row r="10221" spans="10:12">
      <c r="J10221" s="31">
        <v>68</v>
      </c>
      <c r="K10221" s="33" t="s">
        <v>142</v>
      </c>
      <c r="L10221" s="31" t="str">
        <f t="shared" si="986"/>
        <v>Enam Puluh Delapan</v>
      </c>
    </row>
    <row r="10222" spans="10:12">
      <c r="J10222" s="31">
        <v>69</v>
      </c>
      <c r="K10222" s="33" t="s">
        <v>143</v>
      </c>
      <c r="L10222" s="31" t="str">
        <f t="shared" si="986"/>
        <v>Enam Puluh Sembilan</v>
      </c>
    </row>
    <row r="10223" spans="10:12">
      <c r="J10223" s="31">
        <v>70</v>
      </c>
      <c r="K10223" s="33" t="s">
        <v>144</v>
      </c>
      <c r="L10223" s="31" t="s">
        <v>145</v>
      </c>
    </row>
    <row r="10224" spans="10:12">
      <c r="J10224" s="31">
        <v>71</v>
      </c>
      <c r="K10224" s="33" t="s">
        <v>146</v>
      </c>
      <c r="L10224" s="31" t="str">
        <f t="shared" ref="L10224:L10232" si="987">$L$73&amp;" "&amp;L10154</f>
        <v>Tujuh Puluh Satu</v>
      </c>
    </row>
    <row r="10225" spans="10:12">
      <c r="J10225" s="31">
        <v>72</v>
      </c>
      <c r="K10225" s="33" t="s">
        <v>147</v>
      </c>
      <c r="L10225" s="31" t="str">
        <f t="shared" si="987"/>
        <v>Tujuh Puluh Dua</v>
      </c>
    </row>
    <row r="10226" spans="10:12">
      <c r="J10226" s="31">
        <v>73</v>
      </c>
      <c r="K10226" s="33" t="s">
        <v>148</v>
      </c>
      <c r="L10226" s="31" t="str">
        <f t="shared" si="987"/>
        <v>Tujuh Puluh Tiga</v>
      </c>
    </row>
    <row r="10227" spans="10:12">
      <c r="J10227" s="31">
        <v>74</v>
      </c>
      <c r="K10227" s="33" t="s">
        <v>149</v>
      </c>
      <c r="L10227" s="31" t="str">
        <f t="shared" si="987"/>
        <v>Tujuh Puluh Empat</v>
      </c>
    </row>
    <row r="10228" spans="10:12">
      <c r="J10228" s="31">
        <v>75</v>
      </c>
      <c r="K10228" s="33" t="s">
        <v>150</v>
      </c>
      <c r="L10228" s="31" t="str">
        <f t="shared" si="987"/>
        <v>Tujuh Puluh Lima</v>
      </c>
    </row>
    <row r="10229" spans="10:12">
      <c r="J10229" s="31">
        <v>76</v>
      </c>
      <c r="K10229" s="33" t="s">
        <v>151</v>
      </c>
      <c r="L10229" s="31" t="str">
        <f t="shared" si="987"/>
        <v>Tujuh Puluh Enam</v>
      </c>
    </row>
    <row r="10230" spans="10:12">
      <c r="J10230" s="31">
        <v>77</v>
      </c>
      <c r="K10230" s="33" t="s">
        <v>152</v>
      </c>
      <c r="L10230" s="31" t="str">
        <f t="shared" si="987"/>
        <v>Tujuh Puluh Tujuh</v>
      </c>
    </row>
    <row r="10231" spans="10:12">
      <c r="J10231" s="31">
        <v>78</v>
      </c>
      <c r="K10231" s="33" t="s">
        <v>153</v>
      </c>
      <c r="L10231" s="31" t="str">
        <f t="shared" si="987"/>
        <v>Tujuh Puluh Delapan</v>
      </c>
    </row>
    <row r="10232" spans="10:12">
      <c r="J10232" s="31">
        <v>79</v>
      </c>
      <c r="K10232" s="33" t="s">
        <v>154</v>
      </c>
      <c r="L10232" s="31" t="str">
        <f t="shared" si="987"/>
        <v>Tujuh Puluh Sembilan</v>
      </c>
    </row>
    <row r="10233" spans="10:12">
      <c r="J10233" s="31">
        <v>80</v>
      </c>
      <c r="K10233" s="33" t="s">
        <v>155</v>
      </c>
      <c r="L10233" s="31" t="s">
        <v>156</v>
      </c>
    </row>
    <row r="10234" spans="10:12">
      <c r="J10234" s="31">
        <v>81</v>
      </c>
      <c r="K10234" s="33" t="s">
        <v>157</v>
      </c>
      <c r="L10234" s="31" t="str">
        <f t="shared" ref="L10234:L10242" si="988">$L$83&amp;" "&amp;L10154</f>
        <v>Delapan Puluh Satu</v>
      </c>
    </row>
    <row r="10235" spans="10:12">
      <c r="J10235" s="31">
        <v>82</v>
      </c>
      <c r="K10235" s="33" t="s">
        <v>158</v>
      </c>
      <c r="L10235" s="31" t="str">
        <f t="shared" si="988"/>
        <v>Delapan Puluh Dua</v>
      </c>
    </row>
    <row r="10236" spans="10:12">
      <c r="J10236" s="31">
        <v>83</v>
      </c>
      <c r="K10236" s="33" t="s">
        <v>159</v>
      </c>
      <c r="L10236" s="31" t="str">
        <f t="shared" si="988"/>
        <v>Delapan Puluh Tiga</v>
      </c>
    </row>
    <row r="10237" spans="10:12">
      <c r="J10237" s="31">
        <v>84</v>
      </c>
      <c r="K10237" s="33" t="s">
        <v>160</v>
      </c>
      <c r="L10237" s="31" t="str">
        <f t="shared" si="988"/>
        <v>Delapan Puluh Empat</v>
      </c>
    </row>
    <row r="10238" spans="10:12">
      <c r="J10238" s="31">
        <v>85</v>
      </c>
      <c r="K10238" s="33" t="s">
        <v>161</v>
      </c>
      <c r="L10238" s="31" t="str">
        <f t="shared" si="988"/>
        <v>Delapan Puluh Lima</v>
      </c>
    </row>
    <row r="10239" spans="10:12">
      <c r="J10239" s="31">
        <v>86</v>
      </c>
      <c r="K10239" s="33" t="s">
        <v>162</v>
      </c>
      <c r="L10239" s="31" t="str">
        <f t="shared" si="988"/>
        <v>Delapan Puluh Enam</v>
      </c>
    </row>
    <row r="10240" spans="10:12">
      <c r="J10240" s="31">
        <v>87</v>
      </c>
      <c r="K10240" s="33" t="s">
        <v>163</v>
      </c>
      <c r="L10240" s="31" t="str">
        <f t="shared" si="988"/>
        <v>Delapan Puluh Tujuh</v>
      </c>
    </row>
    <row r="10241" spans="1:12">
      <c r="J10241" s="31">
        <v>88</v>
      </c>
      <c r="K10241" s="33" t="s">
        <v>164</v>
      </c>
      <c r="L10241" s="31" t="str">
        <f t="shared" si="988"/>
        <v>Delapan Puluh Delapan</v>
      </c>
    </row>
    <row r="10242" spans="1:12">
      <c r="J10242" s="31">
        <v>89</v>
      </c>
      <c r="K10242" s="33" t="s">
        <v>165</v>
      </c>
      <c r="L10242" s="31" t="str">
        <f t="shared" si="988"/>
        <v>Delapan Puluh Sembilan</v>
      </c>
    </row>
    <row r="10243" spans="1:12">
      <c r="J10243" s="31">
        <v>90</v>
      </c>
      <c r="K10243" s="33" t="s">
        <v>166</v>
      </c>
      <c r="L10243" s="31" t="s">
        <v>167</v>
      </c>
    </row>
    <row r="10244" spans="1:12">
      <c r="J10244" s="31">
        <v>91</v>
      </c>
      <c r="K10244" s="33" t="s">
        <v>168</v>
      </c>
      <c r="L10244" s="31" t="str">
        <f t="shared" ref="L10244:L10252" si="989">$L$93&amp;" "&amp;L10154</f>
        <v>Sembilan Puluh Satu</v>
      </c>
    </row>
    <row r="10245" spans="1:12">
      <c r="J10245" s="31">
        <v>92</v>
      </c>
      <c r="K10245" s="33" t="s">
        <v>169</v>
      </c>
      <c r="L10245" s="31" t="str">
        <f t="shared" si="989"/>
        <v>Sembilan Puluh Dua</v>
      </c>
    </row>
    <row r="10246" spans="1:12">
      <c r="J10246" s="31">
        <v>93</v>
      </c>
      <c r="K10246" s="33" t="s">
        <v>170</v>
      </c>
      <c r="L10246" s="31" t="str">
        <f t="shared" si="989"/>
        <v>Sembilan Puluh Tiga</v>
      </c>
    </row>
    <row r="10247" spans="1:12">
      <c r="J10247" s="31">
        <v>94</v>
      </c>
      <c r="K10247" s="33" t="s">
        <v>171</v>
      </c>
      <c r="L10247" s="31" t="str">
        <f t="shared" si="989"/>
        <v>Sembilan Puluh Empat</v>
      </c>
    </row>
    <row r="10248" spans="1:12">
      <c r="J10248" s="31">
        <v>95</v>
      </c>
      <c r="K10248" s="33" t="s">
        <v>172</v>
      </c>
      <c r="L10248" s="31" t="str">
        <f t="shared" si="989"/>
        <v>Sembilan Puluh Lima</v>
      </c>
    </row>
    <row r="10249" spans="1:12">
      <c r="J10249" s="31">
        <v>96</v>
      </c>
      <c r="K10249" s="33" t="s">
        <v>173</v>
      </c>
      <c r="L10249" s="31" t="str">
        <f t="shared" si="989"/>
        <v>Sembilan Puluh Enam</v>
      </c>
    </row>
    <row r="10250" spans="1:12">
      <c r="J10250" s="31">
        <v>97</v>
      </c>
      <c r="K10250" s="33" t="s">
        <v>174</v>
      </c>
      <c r="L10250" s="31" t="str">
        <f t="shared" si="989"/>
        <v>Sembilan Puluh Tujuh</v>
      </c>
    </row>
    <row r="10251" spans="1:12">
      <c r="J10251" s="31">
        <v>98</v>
      </c>
      <c r="K10251" s="33" t="s">
        <v>175</v>
      </c>
      <c r="L10251" s="31" t="str">
        <f t="shared" si="989"/>
        <v>Sembilan Puluh Delapan</v>
      </c>
    </row>
    <row r="10252" spans="1:12">
      <c r="J10252" s="31">
        <v>99</v>
      </c>
      <c r="K10252" s="33" t="s">
        <v>176</v>
      </c>
      <c r="L10252" s="31" t="str">
        <f t="shared" si="989"/>
        <v>Sembilan Puluh Sembilan</v>
      </c>
    </row>
    <row r="10256" spans="1:12">
      <c r="A10256" s="30" t="e">
        <f>#REF!</f>
        <v>#REF!</v>
      </c>
      <c r="C10256" s="31" t="s">
        <v>311</v>
      </c>
    </row>
    <row r="10257" spans="1:12">
      <c r="A10257" s="32"/>
    </row>
    <row r="10258" spans="1:12">
      <c r="J10258" s="31">
        <v>0</v>
      </c>
      <c r="K10258" s="33" t="s">
        <v>48</v>
      </c>
      <c r="L10258" s="31" t="s">
        <v>49</v>
      </c>
    </row>
    <row r="10259" spans="1:12">
      <c r="A10259" s="34"/>
      <c r="J10259" s="31">
        <v>1</v>
      </c>
      <c r="K10259" s="33" t="s">
        <v>50</v>
      </c>
      <c r="L10259" s="31" t="s">
        <v>51</v>
      </c>
    </row>
    <row r="10260" spans="1:12">
      <c r="A10260" s="255" t="e">
        <f>TRIM(D10268&amp;E10268&amp;D10269&amp;E10269&amp;D10270&amp;E10270&amp;D10271&amp;E10271&amp;D10272&amp;E10272&amp;D10273&amp;E10273&amp;E10274&amp;D10274&amp;" Only")</f>
        <v>#REF!</v>
      </c>
      <c r="B10260" s="255"/>
      <c r="C10260" s="255"/>
      <c r="D10260" s="255"/>
      <c r="E10260" s="35"/>
      <c r="F10260" s="36"/>
      <c r="J10260" s="31">
        <v>2</v>
      </c>
      <c r="K10260" s="33" t="s">
        <v>52</v>
      </c>
      <c r="L10260" s="31" t="s">
        <v>53</v>
      </c>
    </row>
    <row r="10261" spans="1:12">
      <c r="A10261" s="37"/>
      <c r="B10261" s="37"/>
      <c r="C10261" s="37"/>
      <c r="D10261" s="37"/>
      <c r="E10261" s="35"/>
      <c r="F10261" s="36"/>
      <c r="J10261" s="31">
        <v>3</v>
      </c>
      <c r="K10261" s="33" t="s">
        <v>54</v>
      </c>
      <c r="L10261" s="31" t="s">
        <v>55</v>
      </c>
    </row>
    <row r="10262" spans="1:12">
      <c r="A10262" s="37"/>
      <c r="B10262" s="37"/>
      <c r="C10262" s="37"/>
      <c r="D10262" s="37"/>
      <c r="J10262" s="31">
        <v>4</v>
      </c>
      <c r="K10262" s="33" t="s">
        <v>56</v>
      </c>
      <c r="L10262" s="31" t="s">
        <v>57</v>
      </c>
    </row>
    <row r="10263" spans="1:12">
      <c r="A10263" s="255" t="e">
        <f>TRIM(D10278&amp;E10278&amp;D10279&amp;E10279&amp;D10280&amp;E10280&amp;D10281&amp;E10281&amp;D10282&amp;E10282&amp;D10283&amp;E10283&amp;D10284&amp;E10284&amp;" Rupiah")</f>
        <v>#REF!</v>
      </c>
      <c r="B10263" s="255"/>
      <c r="C10263" s="255"/>
      <c r="D10263" s="255"/>
      <c r="E10263" s="35"/>
      <c r="F10263" s="36"/>
      <c r="J10263" s="31">
        <v>5</v>
      </c>
      <c r="K10263" s="33" t="s">
        <v>58</v>
      </c>
      <c r="L10263" s="31" t="s">
        <v>59</v>
      </c>
    </row>
    <row r="10264" spans="1:12">
      <c r="A10264" s="35"/>
      <c r="B10264" s="35"/>
      <c r="C10264" s="35"/>
      <c r="D10264" s="35"/>
      <c r="E10264" s="35"/>
      <c r="F10264" s="36"/>
      <c r="J10264" s="31">
        <v>6</v>
      </c>
      <c r="K10264" s="33" t="s">
        <v>60</v>
      </c>
      <c r="L10264" s="31" t="s">
        <v>61</v>
      </c>
    </row>
    <row r="10265" spans="1:12">
      <c r="J10265" s="31">
        <v>7</v>
      </c>
      <c r="K10265" s="33" t="s">
        <v>62</v>
      </c>
      <c r="L10265" s="31" t="s">
        <v>63</v>
      </c>
    </row>
    <row r="10266" spans="1:12">
      <c r="J10266" s="31">
        <v>8</v>
      </c>
      <c r="K10266" s="33" t="s">
        <v>64</v>
      </c>
      <c r="L10266" s="31" t="s">
        <v>65</v>
      </c>
    </row>
    <row r="10267" spans="1:12">
      <c r="A10267" s="38" t="s">
        <v>66</v>
      </c>
      <c r="J10267" s="31">
        <v>9</v>
      </c>
      <c r="K10267" s="33" t="s">
        <v>67</v>
      </c>
      <c r="L10267" s="31" t="s">
        <v>68</v>
      </c>
    </row>
    <row r="10268" spans="1:12">
      <c r="A10268" s="31" t="s">
        <v>69</v>
      </c>
      <c r="B10268" s="39" t="e">
        <f>TRUNC(A10256/100000000)</f>
        <v>#REF!</v>
      </c>
      <c r="C10268" s="31" t="e">
        <f>B10268*100000000</f>
        <v>#REF!</v>
      </c>
      <c r="D10268" s="31" t="e">
        <f t="shared" ref="D10268:D10274" si="990">IF(B10268&lt;1,"",VLOOKUP(B10268,$J$3:$K$102,2))</f>
        <v>#REF!</v>
      </c>
      <c r="E10268" s="31" t="e">
        <f>IF(B10268&lt;1,"",IF(B10268&gt;1," Hundreds "," Hundred "))</f>
        <v>#REF!</v>
      </c>
      <c r="J10268" s="31">
        <v>10</v>
      </c>
      <c r="K10268" s="33" t="s">
        <v>70</v>
      </c>
      <c r="L10268" s="31" t="s">
        <v>71</v>
      </c>
    </row>
    <row r="10269" spans="1:12">
      <c r="A10269" s="31" t="s">
        <v>72</v>
      </c>
      <c r="B10269" s="39" t="e">
        <f>TRUNC((A10256-C10268)/1000000)</f>
        <v>#REF!</v>
      </c>
      <c r="C10269" s="31" t="e">
        <f>B10269*1000000</f>
        <v>#REF!</v>
      </c>
      <c r="D10269" s="31" t="e">
        <f t="shared" si="990"/>
        <v>#REF!</v>
      </c>
      <c r="E10269" s="31" t="e">
        <f>IF(B10268+B10269=0,"",IF(B10269=1," Million "," Millions "))</f>
        <v>#REF!</v>
      </c>
      <c r="J10269" s="31">
        <v>11</v>
      </c>
      <c r="K10269" s="33" t="s">
        <v>73</v>
      </c>
      <c r="L10269" s="31" t="s">
        <v>74</v>
      </c>
    </row>
    <row r="10270" spans="1:12">
      <c r="A10270" s="31" t="s">
        <v>75</v>
      </c>
      <c r="B10270" s="39" t="e">
        <f>TRUNC((A10256-SUM(C10268:C10269))/100000)</f>
        <v>#REF!</v>
      </c>
      <c r="C10270" s="31" t="e">
        <f>B10270*100000</f>
        <v>#REF!</v>
      </c>
      <c r="D10270" s="31" t="e">
        <f t="shared" si="990"/>
        <v>#REF!</v>
      </c>
      <c r="E10270" s="31" t="e">
        <f>IF(B10270&lt;1,"",IF(B10270&gt;1," Hundreds "," Hundred "))</f>
        <v>#REF!</v>
      </c>
      <c r="J10270" s="31">
        <v>12</v>
      </c>
      <c r="K10270" s="33" t="s">
        <v>76</v>
      </c>
      <c r="L10270" s="31" t="str">
        <f t="shared" ref="L10270:L10277" si="991">L10260&amp;" Belas"</f>
        <v>Dua Belas</v>
      </c>
    </row>
    <row r="10271" spans="1:12">
      <c r="A10271" s="33" t="s">
        <v>77</v>
      </c>
      <c r="B10271" s="40" t="e">
        <f>TRUNC((A10256-SUM(C10268:C10270))/1000)</f>
        <v>#REF!</v>
      </c>
      <c r="C10271" s="31" t="e">
        <f>B10271*1000</f>
        <v>#REF!</v>
      </c>
      <c r="D10271" s="31" t="e">
        <f t="shared" si="990"/>
        <v>#REF!</v>
      </c>
      <c r="E10271" s="31" t="e">
        <f>IF(B10270+B10271=0,"",IF(B10271=1," Thousand "," Thousands "))</f>
        <v>#REF!</v>
      </c>
      <c r="J10271" s="31">
        <v>13</v>
      </c>
      <c r="K10271" s="33" t="s">
        <v>78</v>
      </c>
      <c r="L10271" s="31" t="str">
        <f t="shared" si="991"/>
        <v>Tiga Belas</v>
      </c>
    </row>
    <row r="10272" spans="1:12">
      <c r="A10272" s="33" t="s">
        <v>79</v>
      </c>
      <c r="B10272" s="40" t="e">
        <f>TRUNC((A10256-SUM(C10268:C10271))/100)</f>
        <v>#REF!</v>
      </c>
      <c r="C10272" s="31" t="e">
        <f>B10272*100</f>
        <v>#REF!</v>
      </c>
      <c r="D10272" s="31" t="e">
        <f t="shared" si="990"/>
        <v>#REF!</v>
      </c>
      <c r="E10272" s="31" t="e">
        <f>IF(B10272&lt;1,"",IF(B10272&gt;1," Hundreds "," Hundred "))</f>
        <v>#REF!</v>
      </c>
      <c r="J10272" s="31">
        <v>14</v>
      </c>
      <c r="K10272" s="33" t="s">
        <v>80</v>
      </c>
      <c r="L10272" s="31" t="str">
        <f t="shared" si="991"/>
        <v>Empat Belas</v>
      </c>
    </row>
    <row r="10273" spans="1:12">
      <c r="A10273" s="33" t="s">
        <v>81</v>
      </c>
      <c r="B10273" s="41" t="e">
        <f>TRUNC((A10256-SUM(C10268:C10272)))</f>
        <v>#REF!</v>
      </c>
      <c r="C10273" s="42" t="e">
        <f>B10273</f>
        <v>#REF!</v>
      </c>
      <c r="D10273" s="31" t="e">
        <f t="shared" si="990"/>
        <v>#REF!</v>
      </c>
      <c r="E10273" s="31" t="e">
        <f>IF(SUM(C10268:C10273)&lt;1,"",IF(B10274&lt;1,""," And "))</f>
        <v>#REF!</v>
      </c>
      <c r="J10273" s="31">
        <v>15</v>
      </c>
      <c r="K10273" s="33" t="s">
        <v>82</v>
      </c>
      <c r="L10273" s="31" t="str">
        <f t="shared" si="991"/>
        <v>Lima Belas</v>
      </c>
    </row>
    <row r="10274" spans="1:12">
      <c r="A10274" s="33" t="s">
        <v>83</v>
      </c>
      <c r="B10274" s="40" t="e">
        <f>ROUND(A10256-SUM(C10268:C10273),2)*100</f>
        <v>#REF!</v>
      </c>
      <c r="D10274" s="43" t="e">
        <f t="shared" si="990"/>
        <v>#REF!</v>
      </c>
      <c r="E10274" s="31" t="e">
        <f>IF(B10274&lt;1,"",IF(B10274=1," Cent "," Cents "))</f>
        <v>#REF!</v>
      </c>
      <c r="J10274" s="31">
        <v>16</v>
      </c>
      <c r="K10274" s="33" t="s">
        <v>84</v>
      </c>
      <c r="L10274" s="31" t="str">
        <f t="shared" si="991"/>
        <v>Enam Belas</v>
      </c>
    </row>
    <row r="10275" spans="1:12">
      <c r="J10275" s="31">
        <v>17</v>
      </c>
      <c r="K10275" s="33" t="s">
        <v>85</v>
      </c>
      <c r="L10275" s="31" t="str">
        <f t="shared" si="991"/>
        <v>Tujuh Belas</v>
      </c>
    </row>
    <row r="10276" spans="1:12">
      <c r="A10276" s="44"/>
      <c r="J10276" s="31">
        <v>18</v>
      </c>
      <c r="K10276" s="33" t="s">
        <v>86</v>
      </c>
      <c r="L10276" s="31" t="str">
        <f t="shared" si="991"/>
        <v>Delapan Belas</v>
      </c>
    </row>
    <row r="10277" spans="1:12">
      <c r="A10277" s="38" t="s">
        <v>87</v>
      </c>
      <c r="J10277" s="31">
        <v>19</v>
      </c>
      <c r="K10277" s="33" t="s">
        <v>88</v>
      </c>
      <c r="L10277" s="31" t="str">
        <f t="shared" si="991"/>
        <v>Sembilan Belas</v>
      </c>
    </row>
    <row r="10278" spans="1:12">
      <c r="A10278" s="31" t="s">
        <v>69</v>
      </c>
      <c r="B10278" s="39" t="e">
        <f>TRUNC(A10256/100000000)</f>
        <v>#REF!</v>
      </c>
      <c r="C10278" s="31" t="e">
        <f>B10278*100000000</f>
        <v>#REF!</v>
      </c>
      <c r="D10278" s="31" t="e">
        <f>IF(B10278&lt;1,"",IF(B10278=1,"",VLOOKUP(B10278,$J$3:$L$102,3)))</f>
        <v>#REF!</v>
      </c>
      <c r="E10278" s="31" t="e">
        <f>IF(B10278&lt;1,"",IF(B10278=1,"Seratus "," Ratus "))</f>
        <v>#REF!</v>
      </c>
      <c r="J10278" s="31">
        <v>20</v>
      </c>
      <c r="K10278" s="33" t="s">
        <v>89</v>
      </c>
      <c r="L10278" s="31" t="s">
        <v>90</v>
      </c>
    </row>
    <row r="10279" spans="1:12">
      <c r="A10279" s="31" t="s">
        <v>72</v>
      </c>
      <c r="B10279" s="39" t="e">
        <f>TRUNC((A10256-C10278)/1000000)</f>
        <v>#REF!</v>
      </c>
      <c r="C10279" s="31" t="e">
        <f>B10279*1000000</f>
        <v>#REF!</v>
      </c>
      <c r="D10279" s="31" t="e">
        <f>IF(B10279&lt;1,"",VLOOKUP(B10279,$J$3:$L$102,3))</f>
        <v>#REF!</v>
      </c>
      <c r="E10279" s="31" t="e">
        <f>IF(B10278+B10279=0,""," Juta ")</f>
        <v>#REF!</v>
      </c>
      <c r="J10279" s="31">
        <v>21</v>
      </c>
      <c r="K10279" s="33" t="s">
        <v>91</v>
      </c>
      <c r="L10279" s="31" t="str">
        <f t="shared" ref="L10279:L10287" si="992">$L$23&amp;" "&amp;L10259</f>
        <v>Dua Puluh Satu</v>
      </c>
    </row>
    <row r="10280" spans="1:12">
      <c r="A10280" s="31" t="s">
        <v>75</v>
      </c>
      <c r="B10280" s="39" t="e">
        <f>TRUNC((A10256-SUM(C10278:C10279))/100000)</f>
        <v>#REF!</v>
      </c>
      <c r="C10280" s="31" t="e">
        <f>B10280*100000</f>
        <v>#REF!</v>
      </c>
      <c r="D10280" s="31" t="e">
        <f>IF(B10280&lt;1,"",IF(B10280=1,"",VLOOKUP(B10280,$J$3:$L$102,3)))</f>
        <v>#REF!</v>
      </c>
      <c r="E10280" s="31" t="e">
        <f>IF(B10280&lt;1,"",IF(B10280=1," Seratus "," Ratus "))</f>
        <v>#REF!</v>
      </c>
      <c r="J10280" s="31">
        <v>22</v>
      </c>
      <c r="K10280" s="33" t="s">
        <v>92</v>
      </c>
      <c r="L10280" s="31" t="str">
        <f t="shared" si="992"/>
        <v>Dua Puluh Dua</v>
      </c>
    </row>
    <row r="10281" spans="1:12">
      <c r="A10281" s="33" t="s">
        <v>77</v>
      </c>
      <c r="B10281" s="40" t="e">
        <f>TRUNC((A10256-SUM(C10278:C10280))/1000)</f>
        <v>#REF!</v>
      </c>
      <c r="C10281" s="31" t="e">
        <f>B10281*1000</f>
        <v>#REF!</v>
      </c>
      <c r="D10281" s="31" t="e">
        <f>IF(B10281&lt;1,"",IF(B10281=1,"",VLOOKUP(B10281,$J$3:$L$102,3)))</f>
        <v>#REF!</v>
      </c>
      <c r="E10281" s="31" t="e">
        <f>IF(B10280+B10281&lt;1,"",IF(B10281=1," Seribu "," Ribu "))</f>
        <v>#REF!</v>
      </c>
      <c r="J10281" s="31">
        <v>23</v>
      </c>
      <c r="K10281" s="33" t="s">
        <v>93</v>
      </c>
      <c r="L10281" s="31" t="str">
        <f t="shared" si="992"/>
        <v>Dua Puluh Tiga</v>
      </c>
    </row>
    <row r="10282" spans="1:12">
      <c r="A10282" s="33" t="s">
        <v>79</v>
      </c>
      <c r="B10282" s="40" t="e">
        <f>TRUNC((A10256-SUM(C10278:C10281))/100)</f>
        <v>#REF!</v>
      </c>
      <c r="C10282" s="31" t="e">
        <f>B10282*100</f>
        <v>#REF!</v>
      </c>
      <c r="D10282" s="31" t="e">
        <f>IF(B10282&lt;1,"",IF(B10282=1,"",VLOOKUP(B10282,$J$3:$L$102,3)))</f>
        <v>#REF!</v>
      </c>
      <c r="E10282" s="31" t="e">
        <f>IF(B10282&lt;1,"",IF(B10282=1," Seratus "," Ratus "))</f>
        <v>#REF!</v>
      </c>
      <c r="J10282" s="31">
        <v>24</v>
      </c>
      <c r="K10282" s="33" t="s">
        <v>94</v>
      </c>
      <c r="L10282" s="31" t="str">
        <f t="shared" si="992"/>
        <v>Dua Puluh Empat</v>
      </c>
    </row>
    <row r="10283" spans="1:12">
      <c r="A10283" s="33" t="s">
        <v>81</v>
      </c>
      <c r="B10283" s="41" t="e">
        <f>TRUNC((A10256-SUM(C10278:C10282)))</f>
        <v>#REF!</v>
      </c>
      <c r="C10283" s="42" t="e">
        <f>B10283</f>
        <v>#REF!</v>
      </c>
      <c r="D10283" s="31" t="e">
        <f>IF(B10283&lt;1,"",VLOOKUP(B10283,$J$3:$L$102,3))</f>
        <v>#REF!</v>
      </c>
      <c r="E10283" s="31" t="e">
        <f>IF(SUM(C10278:C10283)&lt;1,"",IF(B10284&lt;1,""," Dan "))</f>
        <v>#REF!</v>
      </c>
      <c r="J10283" s="31">
        <v>25</v>
      </c>
      <c r="K10283" s="33" t="s">
        <v>95</v>
      </c>
      <c r="L10283" s="31" t="str">
        <f t="shared" si="992"/>
        <v>Dua Puluh Lima</v>
      </c>
    </row>
    <row r="10284" spans="1:12">
      <c r="A10284" s="33" t="s">
        <v>83</v>
      </c>
      <c r="B10284" s="40" t="e">
        <f>ROUND(A10256-SUM(C10278:C10283),2)*100</f>
        <v>#REF!</v>
      </c>
      <c r="D10284" s="31" t="e">
        <f>IF(B10284&lt;1,"",VLOOKUP(B10284,$J$3:$L$102,3))</f>
        <v>#REF!</v>
      </c>
      <c r="E10284" s="31" t="e">
        <f>IF(B10284&lt;1,""," Sen ")</f>
        <v>#REF!</v>
      </c>
      <c r="J10284" s="31">
        <v>26</v>
      </c>
      <c r="K10284" s="33" t="s">
        <v>96</v>
      </c>
      <c r="L10284" s="31" t="str">
        <f t="shared" si="992"/>
        <v>Dua Puluh Enam</v>
      </c>
    </row>
    <row r="10285" spans="1:12">
      <c r="J10285" s="31">
        <v>27</v>
      </c>
      <c r="K10285" s="33" t="s">
        <v>97</v>
      </c>
      <c r="L10285" s="31" t="str">
        <f t="shared" si="992"/>
        <v>Dua Puluh Tujuh</v>
      </c>
    </row>
    <row r="10286" spans="1:12">
      <c r="J10286" s="31">
        <v>28</v>
      </c>
      <c r="K10286" s="33" t="s">
        <v>98</v>
      </c>
      <c r="L10286" s="31" t="str">
        <f t="shared" si="992"/>
        <v>Dua Puluh Delapan</v>
      </c>
    </row>
    <row r="10287" spans="1:12">
      <c r="J10287" s="31">
        <v>29</v>
      </c>
      <c r="K10287" s="33" t="s">
        <v>99</v>
      </c>
      <c r="L10287" s="31" t="str">
        <f t="shared" si="992"/>
        <v>Dua Puluh Sembilan</v>
      </c>
    </row>
    <row r="10288" spans="1:12">
      <c r="J10288" s="31">
        <v>30</v>
      </c>
      <c r="K10288" s="33" t="s">
        <v>100</v>
      </c>
      <c r="L10288" s="31" t="s">
        <v>101</v>
      </c>
    </row>
    <row r="10289" spans="1:12">
      <c r="J10289" s="31">
        <v>31</v>
      </c>
      <c r="K10289" s="33" t="s">
        <v>102</v>
      </c>
      <c r="L10289" s="31" t="str">
        <f t="shared" ref="L10289:L10297" si="993">$L$33&amp;" "&amp;L10259</f>
        <v>Tiga Puluh Satu</v>
      </c>
    </row>
    <row r="10290" spans="1:12">
      <c r="J10290" s="31">
        <v>32</v>
      </c>
      <c r="K10290" s="33" t="s">
        <v>103</v>
      </c>
      <c r="L10290" s="31" t="str">
        <f t="shared" si="993"/>
        <v>Tiga Puluh Dua</v>
      </c>
    </row>
    <row r="10291" spans="1:12">
      <c r="J10291" s="31">
        <v>33</v>
      </c>
      <c r="K10291" s="33" t="s">
        <v>104</v>
      </c>
      <c r="L10291" s="31" t="str">
        <f t="shared" si="993"/>
        <v>Tiga Puluh Tiga</v>
      </c>
    </row>
    <row r="10292" spans="1:12">
      <c r="J10292" s="31">
        <v>34</v>
      </c>
      <c r="K10292" s="33" t="s">
        <v>105</v>
      </c>
      <c r="L10292" s="31" t="str">
        <f t="shared" si="993"/>
        <v>Tiga Puluh Empat</v>
      </c>
    </row>
    <row r="10293" spans="1:12">
      <c r="J10293" s="31">
        <v>35</v>
      </c>
      <c r="K10293" s="33" t="s">
        <v>106</v>
      </c>
      <c r="L10293" s="31" t="str">
        <f t="shared" si="993"/>
        <v>Tiga Puluh Lima</v>
      </c>
    </row>
    <row r="10294" spans="1:12">
      <c r="J10294" s="31">
        <v>36</v>
      </c>
      <c r="K10294" s="33" t="s">
        <v>107</v>
      </c>
      <c r="L10294" s="31" t="str">
        <f t="shared" si="993"/>
        <v>Tiga Puluh Enam</v>
      </c>
    </row>
    <row r="10295" spans="1:12">
      <c r="J10295" s="31">
        <v>37</v>
      </c>
      <c r="K10295" s="33" t="s">
        <v>108</v>
      </c>
      <c r="L10295" s="31" t="str">
        <f t="shared" si="993"/>
        <v>Tiga Puluh Tujuh</v>
      </c>
    </row>
    <row r="10296" spans="1:12">
      <c r="J10296" s="31">
        <v>38</v>
      </c>
      <c r="K10296" s="33" t="s">
        <v>109</v>
      </c>
      <c r="L10296" s="31" t="str">
        <f t="shared" si="993"/>
        <v>Tiga Puluh Delapan</v>
      </c>
    </row>
    <row r="10297" spans="1:12">
      <c r="J10297" s="31">
        <v>39</v>
      </c>
      <c r="K10297" s="33" t="s">
        <v>110</v>
      </c>
      <c r="L10297" s="31" t="str">
        <f t="shared" si="993"/>
        <v>Tiga Puluh Sembilan</v>
      </c>
    </row>
    <row r="10298" spans="1:12">
      <c r="B10298" s="35"/>
      <c r="C10298" s="35"/>
      <c r="D10298" s="35"/>
      <c r="J10298" s="31">
        <v>40</v>
      </c>
      <c r="K10298" s="33" t="s">
        <v>111</v>
      </c>
      <c r="L10298" s="31" t="s">
        <v>112</v>
      </c>
    </row>
    <row r="10299" spans="1:12">
      <c r="A10299" s="35"/>
      <c r="B10299" s="35"/>
      <c r="C10299" s="35"/>
      <c r="D10299" s="35"/>
      <c r="J10299" s="31">
        <v>41</v>
      </c>
      <c r="K10299" s="33" t="s">
        <v>113</v>
      </c>
      <c r="L10299" s="31" t="str">
        <f t="shared" ref="L10299:L10307" si="994">$L$43&amp;" "&amp;L10259</f>
        <v>Empat Puluh Satu</v>
      </c>
    </row>
    <row r="10300" spans="1:12">
      <c r="J10300" s="31">
        <v>42</v>
      </c>
      <c r="K10300" s="33" t="s">
        <v>114</v>
      </c>
      <c r="L10300" s="31" t="str">
        <f t="shared" si="994"/>
        <v>Empat Puluh Dua</v>
      </c>
    </row>
    <row r="10301" spans="1:12">
      <c r="A10301" s="38"/>
      <c r="J10301" s="31">
        <v>43</v>
      </c>
      <c r="K10301" s="33" t="s">
        <v>115</v>
      </c>
      <c r="L10301" s="31" t="str">
        <f t="shared" si="994"/>
        <v>Empat Puluh Tiga</v>
      </c>
    </row>
    <row r="10302" spans="1:12">
      <c r="J10302" s="31">
        <v>44</v>
      </c>
      <c r="K10302" s="33" t="s">
        <v>116</v>
      </c>
      <c r="L10302" s="31" t="str">
        <f t="shared" si="994"/>
        <v>Empat Puluh Empat</v>
      </c>
    </row>
    <row r="10303" spans="1:12">
      <c r="J10303" s="31">
        <v>45</v>
      </c>
      <c r="K10303" s="33" t="s">
        <v>117</v>
      </c>
      <c r="L10303" s="31" t="str">
        <f t="shared" si="994"/>
        <v>Empat Puluh Lima</v>
      </c>
    </row>
    <row r="10304" spans="1:12">
      <c r="J10304" s="31">
        <v>46</v>
      </c>
      <c r="K10304" s="33" t="s">
        <v>118</v>
      </c>
      <c r="L10304" s="31" t="str">
        <f t="shared" si="994"/>
        <v>Empat Puluh Enam</v>
      </c>
    </row>
    <row r="10305" spans="10:12">
      <c r="J10305" s="31">
        <v>47</v>
      </c>
      <c r="K10305" s="33" t="s">
        <v>119</v>
      </c>
      <c r="L10305" s="31" t="str">
        <f t="shared" si="994"/>
        <v>Empat Puluh Tujuh</v>
      </c>
    </row>
    <row r="10306" spans="10:12">
      <c r="J10306" s="31">
        <v>48</v>
      </c>
      <c r="K10306" s="33" t="s">
        <v>120</v>
      </c>
      <c r="L10306" s="31" t="str">
        <f t="shared" si="994"/>
        <v>Empat Puluh Delapan</v>
      </c>
    </row>
    <row r="10307" spans="10:12">
      <c r="J10307" s="31">
        <v>49</v>
      </c>
      <c r="K10307" s="33" t="s">
        <v>121</v>
      </c>
      <c r="L10307" s="31" t="str">
        <f t="shared" si="994"/>
        <v>Empat Puluh Sembilan</v>
      </c>
    </row>
    <row r="10308" spans="10:12">
      <c r="J10308" s="31">
        <v>50</v>
      </c>
      <c r="K10308" s="33" t="s">
        <v>122</v>
      </c>
      <c r="L10308" s="31" t="s">
        <v>123</v>
      </c>
    </row>
    <row r="10309" spans="10:12">
      <c r="J10309" s="31">
        <v>51</v>
      </c>
      <c r="K10309" s="33" t="s">
        <v>124</v>
      </c>
      <c r="L10309" s="31" t="str">
        <f t="shared" ref="L10309:L10317" si="995">$L$53&amp;" "&amp;L10259</f>
        <v>Lima Puluh Satu</v>
      </c>
    </row>
    <row r="10310" spans="10:12">
      <c r="J10310" s="31">
        <v>52</v>
      </c>
      <c r="K10310" s="33" t="s">
        <v>125</v>
      </c>
      <c r="L10310" s="31" t="str">
        <f t="shared" si="995"/>
        <v>Lima Puluh Dua</v>
      </c>
    </row>
    <row r="10311" spans="10:12">
      <c r="J10311" s="31">
        <v>53</v>
      </c>
      <c r="K10311" s="33" t="s">
        <v>126</v>
      </c>
      <c r="L10311" s="31" t="str">
        <f t="shared" si="995"/>
        <v>Lima Puluh Tiga</v>
      </c>
    </row>
    <row r="10312" spans="10:12">
      <c r="J10312" s="31">
        <v>54</v>
      </c>
      <c r="K10312" s="33" t="s">
        <v>127</v>
      </c>
      <c r="L10312" s="31" t="str">
        <f t="shared" si="995"/>
        <v>Lima Puluh Empat</v>
      </c>
    </row>
    <row r="10313" spans="10:12">
      <c r="J10313" s="31">
        <v>55</v>
      </c>
      <c r="K10313" s="33" t="s">
        <v>128</v>
      </c>
      <c r="L10313" s="31" t="str">
        <f t="shared" si="995"/>
        <v>Lima Puluh Lima</v>
      </c>
    </row>
    <row r="10314" spans="10:12">
      <c r="J10314" s="31">
        <v>56</v>
      </c>
      <c r="K10314" s="33" t="s">
        <v>129</v>
      </c>
      <c r="L10314" s="31" t="str">
        <f t="shared" si="995"/>
        <v>Lima Puluh Enam</v>
      </c>
    </row>
    <row r="10315" spans="10:12">
      <c r="J10315" s="31">
        <v>57</v>
      </c>
      <c r="K10315" s="33" t="s">
        <v>130</v>
      </c>
      <c r="L10315" s="31" t="str">
        <f t="shared" si="995"/>
        <v>Lima Puluh Tujuh</v>
      </c>
    </row>
    <row r="10316" spans="10:12">
      <c r="J10316" s="31">
        <v>58</v>
      </c>
      <c r="K10316" s="33" t="s">
        <v>131</v>
      </c>
      <c r="L10316" s="31" t="str">
        <f t="shared" si="995"/>
        <v>Lima Puluh Delapan</v>
      </c>
    </row>
    <row r="10317" spans="10:12">
      <c r="J10317" s="31">
        <v>59</v>
      </c>
      <c r="K10317" s="33" t="s">
        <v>132</v>
      </c>
      <c r="L10317" s="31" t="str">
        <f t="shared" si="995"/>
        <v>Lima Puluh Sembilan</v>
      </c>
    </row>
    <row r="10318" spans="10:12">
      <c r="J10318" s="31">
        <v>60</v>
      </c>
      <c r="K10318" s="33" t="s">
        <v>133</v>
      </c>
      <c r="L10318" s="31" t="s">
        <v>134</v>
      </c>
    </row>
    <row r="10319" spans="10:12">
      <c r="J10319" s="31">
        <v>61</v>
      </c>
      <c r="K10319" s="33" t="s">
        <v>135</v>
      </c>
      <c r="L10319" s="31" t="str">
        <f t="shared" ref="L10319:L10327" si="996">$L$63&amp;" "&amp;L10259</f>
        <v>Enam Puluh Satu</v>
      </c>
    </row>
    <row r="10320" spans="10:12">
      <c r="J10320" s="31">
        <v>62</v>
      </c>
      <c r="K10320" s="33" t="s">
        <v>136</v>
      </c>
      <c r="L10320" s="31" t="str">
        <f t="shared" si="996"/>
        <v>Enam Puluh Dua</v>
      </c>
    </row>
    <row r="10321" spans="10:12">
      <c r="J10321" s="31">
        <v>63</v>
      </c>
      <c r="K10321" s="33" t="s">
        <v>137</v>
      </c>
      <c r="L10321" s="31" t="str">
        <f t="shared" si="996"/>
        <v>Enam Puluh Tiga</v>
      </c>
    </row>
    <row r="10322" spans="10:12">
      <c r="J10322" s="31">
        <v>64</v>
      </c>
      <c r="K10322" s="33" t="s">
        <v>138</v>
      </c>
      <c r="L10322" s="31" t="str">
        <f t="shared" si="996"/>
        <v>Enam Puluh Empat</v>
      </c>
    </row>
    <row r="10323" spans="10:12">
      <c r="J10323" s="31">
        <v>65</v>
      </c>
      <c r="K10323" s="33" t="s">
        <v>139</v>
      </c>
      <c r="L10323" s="31" t="str">
        <f t="shared" si="996"/>
        <v>Enam Puluh Lima</v>
      </c>
    </row>
    <row r="10324" spans="10:12">
      <c r="J10324" s="31">
        <v>66</v>
      </c>
      <c r="K10324" s="33" t="s">
        <v>140</v>
      </c>
      <c r="L10324" s="31" t="str">
        <f t="shared" si="996"/>
        <v>Enam Puluh Enam</v>
      </c>
    </row>
    <row r="10325" spans="10:12">
      <c r="J10325" s="31">
        <v>67</v>
      </c>
      <c r="K10325" s="33" t="s">
        <v>141</v>
      </c>
      <c r="L10325" s="31" t="str">
        <f t="shared" si="996"/>
        <v>Enam Puluh Tujuh</v>
      </c>
    </row>
    <row r="10326" spans="10:12">
      <c r="J10326" s="31">
        <v>68</v>
      </c>
      <c r="K10326" s="33" t="s">
        <v>142</v>
      </c>
      <c r="L10326" s="31" t="str">
        <f t="shared" si="996"/>
        <v>Enam Puluh Delapan</v>
      </c>
    </row>
    <row r="10327" spans="10:12">
      <c r="J10327" s="31">
        <v>69</v>
      </c>
      <c r="K10327" s="33" t="s">
        <v>143</v>
      </c>
      <c r="L10327" s="31" t="str">
        <f t="shared" si="996"/>
        <v>Enam Puluh Sembilan</v>
      </c>
    </row>
    <row r="10328" spans="10:12">
      <c r="J10328" s="31">
        <v>70</v>
      </c>
      <c r="K10328" s="33" t="s">
        <v>144</v>
      </c>
      <c r="L10328" s="31" t="s">
        <v>145</v>
      </c>
    </row>
    <row r="10329" spans="10:12">
      <c r="J10329" s="31">
        <v>71</v>
      </c>
      <c r="K10329" s="33" t="s">
        <v>146</v>
      </c>
      <c r="L10329" s="31" t="str">
        <f t="shared" ref="L10329:L10337" si="997">$L$73&amp;" "&amp;L10259</f>
        <v>Tujuh Puluh Satu</v>
      </c>
    </row>
    <row r="10330" spans="10:12">
      <c r="J10330" s="31">
        <v>72</v>
      </c>
      <c r="K10330" s="33" t="s">
        <v>147</v>
      </c>
      <c r="L10330" s="31" t="str">
        <f t="shared" si="997"/>
        <v>Tujuh Puluh Dua</v>
      </c>
    </row>
    <row r="10331" spans="10:12">
      <c r="J10331" s="31">
        <v>73</v>
      </c>
      <c r="K10331" s="33" t="s">
        <v>148</v>
      </c>
      <c r="L10331" s="31" t="str">
        <f t="shared" si="997"/>
        <v>Tujuh Puluh Tiga</v>
      </c>
    </row>
    <row r="10332" spans="10:12">
      <c r="J10332" s="31">
        <v>74</v>
      </c>
      <c r="K10332" s="33" t="s">
        <v>149</v>
      </c>
      <c r="L10332" s="31" t="str">
        <f t="shared" si="997"/>
        <v>Tujuh Puluh Empat</v>
      </c>
    </row>
    <row r="10333" spans="10:12">
      <c r="J10333" s="31">
        <v>75</v>
      </c>
      <c r="K10333" s="33" t="s">
        <v>150</v>
      </c>
      <c r="L10333" s="31" t="str">
        <f t="shared" si="997"/>
        <v>Tujuh Puluh Lima</v>
      </c>
    </row>
    <row r="10334" spans="10:12">
      <c r="J10334" s="31">
        <v>76</v>
      </c>
      <c r="K10334" s="33" t="s">
        <v>151</v>
      </c>
      <c r="L10334" s="31" t="str">
        <f t="shared" si="997"/>
        <v>Tujuh Puluh Enam</v>
      </c>
    </row>
    <row r="10335" spans="10:12">
      <c r="J10335" s="31">
        <v>77</v>
      </c>
      <c r="K10335" s="33" t="s">
        <v>152</v>
      </c>
      <c r="L10335" s="31" t="str">
        <f t="shared" si="997"/>
        <v>Tujuh Puluh Tujuh</v>
      </c>
    </row>
    <row r="10336" spans="10:12">
      <c r="J10336" s="31">
        <v>78</v>
      </c>
      <c r="K10336" s="33" t="s">
        <v>153</v>
      </c>
      <c r="L10336" s="31" t="str">
        <f t="shared" si="997"/>
        <v>Tujuh Puluh Delapan</v>
      </c>
    </row>
    <row r="10337" spans="10:12">
      <c r="J10337" s="31">
        <v>79</v>
      </c>
      <c r="K10337" s="33" t="s">
        <v>154</v>
      </c>
      <c r="L10337" s="31" t="str">
        <f t="shared" si="997"/>
        <v>Tujuh Puluh Sembilan</v>
      </c>
    </row>
    <row r="10338" spans="10:12">
      <c r="J10338" s="31">
        <v>80</v>
      </c>
      <c r="K10338" s="33" t="s">
        <v>155</v>
      </c>
      <c r="L10338" s="31" t="s">
        <v>156</v>
      </c>
    </row>
    <row r="10339" spans="10:12">
      <c r="J10339" s="31">
        <v>81</v>
      </c>
      <c r="K10339" s="33" t="s">
        <v>157</v>
      </c>
      <c r="L10339" s="31" t="str">
        <f t="shared" ref="L10339:L10347" si="998">$L$83&amp;" "&amp;L10259</f>
        <v>Delapan Puluh Satu</v>
      </c>
    </row>
    <row r="10340" spans="10:12">
      <c r="J10340" s="31">
        <v>82</v>
      </c>
      <c r="K10340" s="33" t="s">
        <v>158</v>
      </c>
      <c r="L10340" s="31" t="str">
        <f t="shared" si="998"/>
        <v>Delapan Puluh Dua</v>
      </c>
    </row>
    <row r="10341" spans="10:12">
      <c r="J10341" s="31">
        <v>83</v>
      </c>
      <c r="K10341" s="33" t="s">
        <v>159</v>
      </c>
      <c r="L10341" s="31" t="str">
        <f t="shared" si="998"/>
        <v>Delapan Puluh Tiga</v>
      </c>
    </row>
    <row r="10342" spans="10:12">
      <c r="J10342" s="31">
        <v>84</v>
      </c>
      <c r="K10342" s="33" t="s">
        <v>160</v>
      </c>
      <c r="L10342" s="31" t="str">
        <f t="shared" si="998"/>
        <v>Delapan Puluh Empat</v>
      </c>
    </row>
    <row r="10343" spans="10:12">
      <c r="J10343" s="31">
        <v>85</v>
      </c>
      <c r="K10343" s="33" t="s">
        <v>161</v>
      </c>
      <c r="L10343" s="31" t="str">
        <f t="shared" si="998"/>
        <v>Delapan Puluh Lima</v>
      </c>
    </row>
    <row r="10344" spans="10:12">
      <c r="J10344" s="31">
        <v>86</v>
      </c>
      <c r="K10344" s="33" t="s">
        <v>162</v>
      </c>
      <c r="L10344" s="31" t="str">
        <f t="shared" si="998"/>
        <v>Delapan Puluh Enam</v>
      </c>
    </row>
    <row r="10345" spans="10:12">
      <c r="J10345" s="31">
        <v>87</v>
      </c>
      <c r="K10345" s="33" t="s">
        <v>163</v>
      </c>
      <c r="L10345" s="31" t="str">
        <f t="shared" si="998"/>
        <v>Delapan Puluh Tujuh</v>
      </c>
    </row>
    <row r="10346" spans="10:12">
      <c r="J10346" s="31">
        <v>88</v>
      </c>
      <c r="K10346" s="33" t="s">
        <v>164</v>
      </c>
      <c r="L10346" s="31" t="str">
        <f t="shared" si="998"/>
        <v>Delapan Puluh Delapan</v>
      </c>
    </row>
    <row r="10347" spans="10:12">
      <c r="J10347" s="31">
        <v>89</v>
      </c>
      <c r="K10347" s="33" t="s">
        <v>165</v>
      </c>
      <c r="L10347" s="31" t="str">
        <f t="shared" si="998"/>
        <v>Delapan Puluh Sembilan</v>
      </c>
    </row>
    <row r="10348" spans="10:12">
      <c r="J10348" s="31">
        <v>90</v>
      </c>
      <c r="K10348" s="33" t="s">
        <v>166</v>
      </c>
      <c r="L10348" s="31" t="s">
        <v>167</v>
      </c>
    </row>
    <row r="10349" spans="10:12">
      <c r="J10349" s="31">
        <v>91</v>
      </c>
      <c r="K10349" s="33" t="s">
        <v>168</v>
      </c>
      <c r="L10349" s="31" t="str">
        <f t="shared" ref="L10349:L10357" si="999">$L$93&amp;" "&amp;L10259</f>
        <v>Sembilan Puluh Satu</v>
      </c>
    </row>
    <row r="10350" spans="10:12">
      <c r="J10350" s="31">
        <v>92</v>
      </c>
      <c r="K10350" s="33" t="s">
        <v>169</v>
      </c>
      <c r="L10350" s="31" t="str">
        <f t="shared" si="999"/>
        <v>Sembilan Puluh Dua</v>
      </c>
    </row>
    <row r="10351" spans="10:12">
      <c r="J10351" s="31">
        <v>93</v>
      </c>
      <c r="K10351" s="33" t="s">
        <v>170</v>
      </c>
      <c r="L10351" s="31" t="str">
        <f t="shared" si="999"/>
        <v>Sembilan Puluh Tiga</v>
      </c>
    </row>
    <row r="10352" spans="10:12">
      <c r="J10352" s="31">
        <v>94</v>
      </c>
      <c r="K10352" s="33" t="s">
        <v>171</v>
      </c>
      <c r="L10352" s="31" t="str">
        <f t="shared" si="999"/>
        <v>Sembilan Puluh Empat</v>
      </c>
    </row>
    <row r="10353" spans="1:12">
      <c r="J10353" s="31">
        <v>95</v>
      </c>
      <c r="K10353" s="33" t="s">
        <v>172</v>
      </c>
      <c r="L10353" s="31" t="str">
        <f t="shared" si="999"/>
        <v>Sembilan Puluh Lima</v>
      </c>
    </row>
    <row r="10354" spans="1:12">
      <c r="J10354" s="31">
        <v>96</v>
      </c>
      <c r="K10354" s="33" t="s">
        <v>173</v>
      </c>
      <c r="L10354" s="31" t="str">
        <f t="shared" si="999"/>
        <v>Sembilan Puluh Enam</v>
      </c>
    </row>
    <row r="10355" spans="1:12">
      <c r="J10355" s="31">
        <v>97</v>
      </c>
      <c r="K10355" s="33" t="s">
        <v>174</v>
      </c>
      <c r="L10355" s="31" t="str">
        <f t="shared" si="999"/>
        <v>Sembilan Puluh Tujuh</v>
      </c>
    </row>
    <row r="10356" spans="1:12">
      <c r="J10356" s="31">
        <v>98</v>
      </c>
      <c r="K10356" s="33" t="s">
        <v>175</v>
      </c>
      <c r="L10356" s="31" t="str">
        <f t="shared" si="999"/>
        <v>Sembilan Puluh Delapan</v>
      </c>
    </row>
    <row r="10357" spans="1:12">
      <c r="J10357" s="31">
        <v>99</v>
      </c>
      <c r="K10357" s="33" t="s">
        <v>176</v>
      </c>
      <c r="L10357" s="31" t="str">
        <f t="shared" si="999"/>
        <v>Sembilan Puluh Sembilan</v>
      </c>
    </row>
    <row r="10360" spans="1:12">
      <c r="A10360" s="30" t="e">
        <f>#REF!</f>
        <v>#REF!</v>
      </c>
      <c r="C10360" s="31" t="s">
        <v>304</v>
      </c>
    </row>
    <row r="10361" spans="1:12">
      <c r="A10361" s="32"/>
    </row>
    <row r="10362" spans="1:12">
      <c r="J10362" s="31">
        <v>0</v>
      </c>
      <c r="K10362" s="33" t="s">
        <v>48</v>
      </c>
      <c r="L10362" s="31" t="s">
        <v>49</v>
      </c>
    </row>
    <row r="10363" spans="1:12">
      <c r="A10363" s="34"/>
      <c r="J10363" s="31">
        <v>1</v>
      </c>
      <c r="K10363" s="33" t="s">
        <v>50</v>
      </c>
      <c r="L10363" s="31" t="s">
        <v>51</v>
      </c>
    </row>
    <row r="10364" spans="1:12">
      <c r="A10364" s="255" t="e">
        <f>TRIM(D10372&amp;E10372&amp;D10373&amp;E10373&amp;D10374&amp;E10374&amp;D10375&amp;E10375&amp;D10376&amp;E10376&amp;D10377&amp;E10377&amp;E10378&amp;D10378&amp;" Only")</f>
        <v>#REF!</v>
      </c>
      <c r="B10364" s="255"/>
      <c r="C10364" s="255"/>
      <c r="D10364" s="255"/>
      <c r="E10364" s="35"/>
      <c r="F10364" s="36"/>
      <c r="J10364" s="31">
        <v>2</v>
      </c>
      <c r="K10364" s="33" t="s">
        <v>52</v>
      </c>
      <c r="L10364" s="31" t="s">
        <v>53</v>
      </c>
    </row>
    <row r="10365" spans="1:12">
      <c r="A10365" s="37"/>
      <c r="B10365" s="37"/>
      <c r="C10365" s="37"/>
      <c r="D10365" s="37"/>
      <c r="E10365" s="35"/>
      <c r="F10365" s="36"/>
      <c r="J10365" s="31">
        <v>3</v>
      </c>
      <c r="K10365" s="33" t="s">
        <v>54</v>
      </c>
      <c r="L10365" s="31" t="s">
        <v>55</v>
      </c>
    </row>
    <row r="10366" spans="1:12">
      <c r="A10366" s="37"/>
      <c r="B10366" s="37"/>
      <c r="C10366" s="37"/>
      <c r="D10366" s="37"/>
      <c r="J10366" s="31">
        <v>4</v>
      </c>
      <c r="K10366" s="33" t="s">
        <v>56</v>
      </c>
      <c r="L10366" s="31" t="s">
        <v>57</v>
      </c>
    </row>
    <row r="10367" spans="1:12">
      <c r="A10367" s="255" t="e">
        <f>TRIM(D10382&amp;E10382&amp;D10383&amp;E10383&amp;D10384&amp;E10384&amp;D10385&amp;E10385&amp;D10386&amp;E10386&amp;D10387&amp;E10387&amp;D10388&amp;E10388&amp;" Rupiah")</f>
        <v>#REF!</v>
      </c>
      <c r="B10367" s="255"/>
      <c r="C10367" s="255"/>
      <c r="D10367" s="255"/>
      <c r="E10367" s="35"/>
      <c r="F10367" s="36"/>
      <c r="J10367" s="31">
        <v>5</v>
      </c>
      <c r="K10367" s="33" t="s">
        <v>58</v>
      </c>
      <c r="L10367" s="31" t="s">
        <v>59</v>
      </c>
    </row>
    <row r="10368" spans="1:12">
      <c r="A10368" s="35"/>
      <c r="B10368" s="35"/>
      <c r="C10368" s="35"/>
      <c r="D10368" s="35"/>
      <c r="E10368" s="35"/>
      <c r="F10368" s="36"/>
      <c r="J10368" s="31">
        <v>6</v>
      </c>
      <c r="K10368" s="33" t="s">
        <v>60</v>
      </c>
      <c r="L10368" s="31" t="s">
        <v>61</v>
      </c>
    </row>
    <row r="10369" spans="1:12">
      <c r="J10369" s="31">
        <v>7</v>
      </c>
      <c r="K10369" s="33" t="s">
        <v>62</v>
      </c>
      <c r="L10369" s="31" t="s">
        <v>63</v>
      </c>
    </row>
    <row r="10370" spans="1:12">
      <c r="J10370" s="31">
        <v>8</v>
      </c>
      <c r="K10370" s="33" t="s">
        <v>64</v>
      </c>
      <c r="L10370" s="31" t="s">
        <v>65</v>
      </c>
    </row>
    <row r="10371" spans="1:12">
      <c r="A10371" s="38" t="s">
        <v>66</v>
      </c>
      <c r="J10371" s="31">
        <v>9</v>
      </c>
      <c r="K10371" s="33" t="s">
        <v>67</v>
      </c>
      <c r="L10371" s="31" t="s">
        <v>68</v>
      </c>
    </row>
    <row r="10372" spans="1:12">
      <c r="A10372" s="31" t="s">
        <v>69</v>
      </c>
      <c r="B10372" s="39" t="e">
        <f>TRUNC(A10360/100000000)</f>
        <v>#REF!</v>
      </c>
      <c r="C10372" s="31" t="e">
        <f>B10372*100000000</f>
        <v>#REF!</v>
      </c>
      <c r="D10372" s="31" t="e">
        <f t="shared" ref="D10372:D10378" si="1000">IF(B10372&lt;1,"",VLOOKUP(B10372,$J$3:$K$102,2))</f>
        <v>#REF!</v>
      </c>
      <c r="E10372" s="31" t="e">
        <f>IF(B10372&lt;1,"",IF(B10372&gt;1," Hundreds "," Hundred "))</f>
        <v>#REF!</v>
      </c>
      <c r="J10372" s="31">
        <v>10</v>
      </c>
      <c r="K10372" s="33" t="s">
        <v>70</v>
      </c>
      <c r="L10372" s="31" t="s">
        <v>71</v>
      </c>
    </row>
    <row r="10373" spans="1:12">
      <c r="A10373" s="31" t="s">
        <v>72</v>
      </c>
      <c r="B10373" s="39" t="e">
        <f>TRUNC((A10360-C10372)/1000000)</f>
        <v>#REF!</v>
      </c>
      <c r="C10373" s="31" t="e">
        <f>B10373*1000000</f>
        <v>#REF!</v>
      </c>
      <c r="D10373" s="31" t="e">
        <f t="shared" si="1000"/>
        <v>#REF!</v>
      </c>
      <c r="E10373" s="31" t="e">
        <f>IF(B10372+B10373=0,"",IF(B10373=1," Million "," Millions "))</f>
        <v>#REF!</v>
      </c>
      <c r="J10373" s="31">
        <v>11</v>
      </c>
      <c r="K10373" s="33" t="s">
        <v>73</v>
      </c>
      <c r="L10373" s="31" t="s">
        <v>74</v>
      </c>
    </row>
    <row r="10374" spans="1:12">
      <c r="A10374" s="31" t="s">
        <v>75</v>
      </c>
      <c r="B10374" s="39" t="e">
        <f>TRUNC((A10360-SUM(C10372:C10373))/100000)</f>
        <v>#REF!</v>
      </c>
      <c r="C10374" s="31" t="e">
        <f>B10374*100000</f>
        <v>#REF!</v>
      </c>
      <c r="D10374" s="31" t="e">
        <f t="shared" si="1000"/>
        <v>#REF!</v>
      </c>
      <c r="E10374" s="31" t="e">
        <f>IF(B10374&lt;1,"",IF(B10374&gt;1," Hundreds "," Hundred "))</f>
        <v>#REF!</v>
      </c>
      <c r="J10374" s="31">
        <v>12</v>
      </c>
      <c r="K10374" s="33" t="s">
        <v>76</v>
      </c>
      <c r="L10374" s="31" t="str">
        <f t="shared" ref="L10374:L10381" si="1001">L10364&amp;" Belas"</f>
        <v>Dua Belas</v>
      </c>
    </row>
    <row r="10375" spans="1:12">
      <c r="A10375" s="33" t="s">
        <v>77</v>
      </c>
      <c r="B10375" s="40" t="e">
        <f>TRUNC((A10360-SUM(C10372:C10374))/1000)</f>
        <v>#REF!</v>
      </c>
      <c r="C10375" s="31" t="e">
        <f>B10375*1000</f>
        <v>#REF!</v>
      </c>
      <c r="D10375" s="31" t="e">
        <f t="shared" si="1000"/>
        <v>#REF!</v>
      </c>
      <c r="E10375" s="31" t="e">
        <f>IF(B10374+B10375=0,"",IF(B10375=1," Thousand "," Thousands "))</f>
        <v>#REF!</v>
      </c>
      <c r="J10375" s="31">
        <v>13</v>
      </c>
      <c r="K10375" s="33" t="s">
        <v>78</v>
      </c>
      <c r="L10375" s="31" t="str">
        <f t="shared" si="1001"/>
        <v>Tiga Belas</v>
      </c>
    </row>
    <row r="10376" spans="1:12">
      <c r="A10376" s="33" t="s">
        <v>79</v>
      </c>
      <c r="B10376" s="40" t="e">
        <f>TRUNC((A10360-SUM(C10372:C10375))/100)</f>
        <v>#REF!</v>
      </c>
      <c r="C10376" s="31" t="e">
        <f>B10376*100</f>
        <v>#REF!</v>
      </c>
      <c r="D10376" s="31" t="e">
        <f t="shared" si="1000"/>
        <v>#REF!</v>
      </c>
      <c r="E10376" s="31" t="e">
        <f>IF(B10376&lt;1,"",IF(B10376&gt;1," Hundreds "," Hundred "))</f>
        <v>#REF!</v>
      </c>
      <c r="J10376" s="31">
        <v>14</v>
      </c>
      <c r="K10376" s="33" t="s">
        <v>80</v>
      </c>
      <c r="L10376" s="31" t="str">
        <f t="shared" si="1001"/>
        <v>Empat Belas</v>
      </c>
    </row>
    <row r="10377" spans="1:12">
      <c r="A10377" s="33" t="s">
        <v>81</v>
      </c>
      <c r="B10377" s="41" t="e">
        <f>TRUNC((A10360-SUM(C10372:C10376)))</f>
        <v>#REF!</v>
      </c>
      <c r="C10377" s="42" t="e">
        <f>B10377</f>
        <v>#REF!</v>
      </c>
      <c r="D10377" s="31" t="e">
        <f t="shared" si="1000"/>
        <v>#REF!</v>
      </c>
      <c r="E10377" s="31" t="e">
        <f>IF(SUM(C10372:C10377)&lt;1,"",IF(B10378&lt;1,""," And "))</f>
        <v>#REF!</v>
      </c>
      <c r="J10377" s="31">
        <v>15</v>
      </c>
      <c r="K10377" s="33" t="s">
        <v>82</v>
      </c>
      <c r="L10377" s="31" t="str">
        <f t="shared" si="1001"/>
        <v>Lima Belas</v>
      </c>
    </row>
    <row r="10378" spans="1:12">
      <c r="A10378" s="33" t="s">
        <v>83</v>
      </c>
      <c r="B10378" s="40" t="e">
        <f>ROUND(A10360-SUM(C10372:C10377),2)*100</f>
        <v>#REF!</v>
      </c>
      <c r="D10378" s="43" t="e">
        <f t="shared" si="1000"/>
        <v>#REF!</v>
      </c>
      <c r="E10378" s="31" t="e">
        <f>IF(B10378&lt;1,"",IF(B10378=1," Cent "," Cents "))</f>
        <v>#REF!</v>
      </c>
      <c r="J10378" s="31">
        <v>16</v>
      </c>
      <c r="K10378" s="33" t="s">
        <v>84</v>
      </c>
      <c r="L10378" s="31" t="str">
        <f t="shared" si="1001"/>
        <v>Enam Belas</v>
      </c>
    </row>
    <row r="10379" spans="1:12">
      <c r="J10379" s="31">
        <v>17</v>
      </c>
      <c r="K10379" s="33" t="s">
        <v>85</v>
      </c>
      <c r="L10379" s="31" t="str">
        <f t="shared" si="1001"/>
        <v>Tujuh Belas</v>
      </c>
    </row>
    <row r="10380" spans="1:12">
      <c r="A10380" s="44"/>
      <c r="J10380" s="31">
        <v>18</v>
      </c>
      <c r="K10380" s="33" t="s">
        <v>86</v>
      </c>
      <c r="L10380" s="31" t="str">
        <f t="shared" si="1001"/>
        <v>Delapan Belas</v>
      </c>
    </row>
    <row r="10381" spans="1:12">
      <c r="A10381" s="38" t="s">
        <v>87</v>
      </c>
      <c r="J10381" s="31">
        <v>19</v>
      </c>
      <c r="K10381" s="33" t="s">
        <v>88</v>
      </c>
      <c r="L10381" s="31" t="str">
        <f t="shared" si="1001"/>
        <v>Sembilan Belas</v>
      </c>
    </row>
    <row r="10382" spans="1:12">
      <c r="A10382" s="31" t="s">
        <v>69</v>
      </c>
      <c r="B10382" s="39" t="e">
        <f>TRUNC(A10360/100000000)</f>
        <v>#REF!</v>
      </c>
      <c r="C10382" s="31" t="e">
        <f>B10382*100000000</f>
        <v>#REF!</v>
      </c>
      <c r="D10382" s="31" t="e">
        <f>IF(B10382&lt;1,"",IF(B10382=1,"",VLOOKUP(B10382,$J$3:$L$102,3)))</f>
        <v>#REF!</v>
      </c>
      <c r="E10382" s="31" t="e">
        <f>IF(B10382&lt;1,"",IF(B10382=1,"Seratus "," Ratus "))</f>
        <v>#REF!</v>
      </c>
      <c r="J10382" s="31">
        <v>20</v>
      </c>
      <c r="K10382" s="33" t="s">
        <v>89</v>
      </c>
      <c r="L10382" s="31" t="s">
        <v>90</v>
      </c>
    </row>
    <row r="10383" spans="1:12">
      <c r="A10383" s="31" t="s">
        <v>72</v>
      </c>
      <c r="B10383" s="39" t="e">
        <f>TRUNC((A10360-C10382)/1000000)</f>
        <v>#REF!</v>
      </c>
      <c r="C10383" s="31" t="e">
        <f>B10383*1000000</f>
        <v>#REF!</v>
      </c>
      <c r="D10383" s="31" t="e">
        <f>IF(B10383&lt;1,"",VLOOKUP(B10383,$J$3:$L$102,3))</f>
        <v>#REF!</v>
      </c>
      <c r="E10383" s="31" t="e">
        <f>IF(B10382+B10383=0,""," Juta ")</f>
        <v>#REF!</v>
      </c>
      <c r="J10383" s="31">
        <v>21</v>
      </c>
      <c r="K10383" s="33" t="s">
        <v>91</v>
      </c>
      <c r="L10383" s="31" t="str">
        <f t="shared" ref="L10383:L10391" si="1002">$L$23&amp;" "&amp;L10363</f>
        <v>Dua Puluh Satu</v>
      </c>
    </row>
    <row r="10384" spans="1:12">
      <c r="A10384" s="31" t="s">
        <v>75</v>
      </c>
      <c r="B10384" s="39" t="e">
        <f>TRUNC((A10360-SUM(C10382:C10383))/100000)</f>
        <v>#REF!</v>
      </c>
      <c r="C10384" s="31" t="e">
        <f>B10384*100000</f>
        <v>#REF!</v>
      </c>
      <c r="D10384" s="31" t="e">
        <f>IF(B10384&lt;1,"",IF(B10384=1,"",VLOOKUP(B10384,$J$3:$L$102,3)))</f>
        <v>#REF!</v>
      </c>
      <c r="E10384" s="31" t="e">
        <f>IF(B10384&lt;1,"",IF(B10384=1," Seratus "," Ratus "))</f>
        <v>#REF!</v>
      </c>
      <c r="J10384" s="31">
        <v>22</v>
      </c>
      <c r="K10384" s="33" t="s">
        <v>92</v>
      </c>
      <c r="L10384" s="31" t="str">
        <f t="shared" si="1002"/>
        <v>Dua Puluh Dua</v>
      </c>
    </row>
    <row r="10385" spans="1:12">
      <c r="A10385" s="33" t="s">
        <v>77</v>
      </c>
      <c r="B10385" s="40" t="e">
        <f>TRUNC((A10360-SUM(C10382:C10384))/1000)</f>
        <v>#REF!</v>
      </c>
      <c r="C10385" s="31" t="e">
        <f>B10385*1000</f>
        <v>#REF!</v>
      </c>
      <c r="D10385" s="31" t="e">
        <f>IF(B10385&lt;1,"",IF(B10385=1,"",VLOOKUP(B10385,$J$3:$L$102,3)))</f>
        <v>#REF!</v>
      </c>
      <c r="E10385" s="31" t="e">
        <f>IF(B10384+B10385&lt;1,"",IF(B10385=1," Seribu "," Ribu "))</f>
        <v>#REF!</v>
      </c>
      <c r="J10385" s="31">
        <v>23</v>
      </c>
      <c r="K10385" s="33" t="s">
        <v>93</v>
      </c>
      <c r="L10385" s="31" t="str">
        <f t="shared" si="1002"/>
        <v>Dua Puluh Tiga</v>
      </c>
    </row>
    <row r="10386" spans="1:12">
      <c r="A10386" s="33" t="s">
        <v>79</v>
      </c>
      <c r="B10386" s="40" t="e">
        <f>TRUNC((A10360-SUM(C10382:C10385))/100)</f>
        <v>#REF!</v>
      </c>
      <c r="C10386" s="31" t="e">
        <f>B10386*100</f>
        <v>#REF!</v>
      </c>
      <c r="D10386" s="31" t="e">
        <f>IF(B10386&lt;1,"",IF(B10386=1,"",VLOOKUP(B10386,$J$3:$L$102,3)))</f>
        <v>#REF!</v>
      </c>
      <c r="E10386" s="31" t="e">
        <f>IF(B10386&lt;1,"",IF(B10386=1," Seratus "," Ratus "))</f>
        <v>#REF!</v>
      </c>
      <c r="J10386" s="31">
        <v>24</v>
      </c>
      <c r="K10386" s="33" t="s">
        <v>94</v>
      </c>
      <c r="L10386" s="31" t="str">
        <f t="shared" si="1002"/>
        <v>Dua Puluh Empat</v>
      </c>
    </row>
    <row r="10387" spans="1:12">
      <c r="A10387" s="33" t="s">
        <v>81</v>
      </c>
      <c r="B10387" s="41" t="e">
        <f>TRUNC((A10360-SUM(C10382:C10386)))</f>
        <v>#REF!</v>
      </c>
      <c r="C10387" s="42" t="e">
        <f>B10387</f>
        <v>#REF!</v>
      </c>
      <c r="D10387" s="31" t="e">
        <f>IF(B10387&lt;1,"",VLOOKUP(B10387,$J$3:$L$102,3))</f>
        <v>#REF!</v>
      </c>
      <c r="E10387" s="31" t="e">
        <f>IF(SUM(C10382:C10387)&lt;1,"",IF(B10388&lt;1,""," Dan "))</f>
        <v>#REF!</v>
      </c>
      <c r="J10387" s="31">
        <v>25</v>
      </c>
      <c r="K10387" s="33" t="s">
        <v>95</v>
      </c>
      <c r="L10387" s="31" t="str">
        <f t="shared" si="1002"/>
        <v>Dua Puluh Lima</v>
      </c>
    </row>
    <row r="10388" spans="1:12">
      <c r="A10388" s="33" t="s">
        <v>83</v>
      </c>
      <c r="B10388" s="40" t="e">
        <f>ROUND(A10360-SUM(C10382:C10387),2)*100</f>
        <v>#REF!</v>
      </c>
      <c r="D10388" s="31" t="e">
        <f>IF(B10388&lt;1,"",VLOOKUP(B10388,$J$3:$L$102,3))</f>
        <v>#REF!</v>
      </c>
      <c r="E10388" s="31" t="e">
        <f>IF(B10388&lt;1,""," Sen ")</f>
        <v>#REF!</v>
      </c>
      <c r="J10388" s="31">
        <v>26</v>
      </c>
      <c r="K10388" s="33" t="s">
        <v>96</v>
      </c>
      <c r="L10388" s="31" t="str">
        <f t="shared" si="1002"/>
        <v>Dua Puluh Enam</v>
      </c>
    </row>
    <row r="10389" spans="1:12">
      <c r="J10389" s="31">
        <v>27</v>
      </c>
      <c r="K10389" s="33" t="s">
        <v>97</v>
      </c>
      <c r="L10389" s="31" t="str">
        <f t="shared" si="1002"/>
        <v>Dua Puluh Tujuh</v>
      </c>
    </row>
    <row r="10390" spans="1:12">
      <c r="J10390" s="31">
        <v>28</v>
      </c>
      <c r="K10390" s="33" t="s">
        <v>98</v>
      </c>
      <c r="L10390" s="31" t="str">
        <f t="shared" si="1002"/>
        <v>Dua Puluh Delapan</v>
      </c>
    </row>
    <row r="10391" spans="1:12">
      <c r="J10391" s="31">
        <v>29</v>
      </c>
      <c r="K10391" s="33" t="s">
        <v>99</v>
      </c>
      <c r="L10391" s="31" t="str">
        <f t="shared" si="1002"/>
        <v>Dua Puluh Sembilan</v>
      </c>
    </row>
    <row r="10392" spans="1:12">
      <c r="J10392" s="31">
        <v>30</v>
      </c>
      <c r="K10392" s="33" t="s">
        <v>100</v>
      </c>
      <c r="L10392" s="31" t="s">
        <v>101</v>
      </c>
    </row>
    <row r="10393" spans="1:12">
      <c r="J10393" s="31">
        <v>31</v>
      </c>
      <c r="K10393" s="33" t="s">
        <v>102</v>
      </c>
      <c r="L10393" s="31" t="str">
        <f t="shared" ref="L10393:L10401" si="1003">$L$33&amp;" "&amp;L10363</f>
        <v>Tiga Puluh Satu</v>
      </c>
    </row>
    <row r="10394" spans="1:12">
      <c r="J10394" s="31">
        <v>32</v>
      </c>
      <c r="K10394" s="33" t="s">
        <v>103</v>
      </c>
      <c r="L10394" s="31" t="str">
        <f t="shared" si="1003"/>
        <v>Tiga Puluh Dua</v>
      </c>
    </row>
    <row r="10395" spans="1:12">
      <c r="J10395" s="31">
        <v>33</v>
      </c>
      <c r="K10395" s="33" t="s">
        <v>104</v>
      </c>
      <c r="L10395" s="31" t="str">
        <f t="shared" si="1003"/>
        <v>Tiga Puluh Tiga</v>
      </c>
    </row>
    <row r="10396" spans="1:12">
      <c r="J10396" s="31">
        <v>34</v>
      </c>
      <c r="K10396" s="33" t="s">
        <v>105</v>
      </c>
      <c r="L10396" s="31" t="str">
        <f t="shared" si="1003"/>
        <v>Tiga Puluh Empat</v>
      </c>
    </row>
    <row r="10397" spans="1:12">
      <c r="J10397" s="31">
        <v>35</v>
      </c>
      <c r="K10397" s="33" t="s">
        <v>106</v>
      </c>
      <c r="L10397" s="31" t="str">
        <f t="shared" si="1003"/>
        <v>Tiga Puluh Lima</v>
      </c>
    </row>
    <row r="10398" spans="1:12">
      <c r="J10398" s="31">
        <v>36</v>
      </c>
      <c r="K10398" s="33" t="s">
        <v>107</v>
      </c>
      <c r="L10398" s="31" t="str">
        <f t="shared" si="1003"/>
        <v>Tiga Puluh Enam</v>
      </c>
    </row>
    <row r="10399" spans="1:12">
      <c r="J10399" s="31">
        <v>37</v>
      </c>
      <c r="K10399" s="33" t="s">
        <v>108</v>
      </c>
      <c r="L10399" s="31" t="str">
        <f t="shared" si="1003"/>
        <v>Tiga Puluh Tujuh</v>
      </c>
    </row>
    <row r="10400" spans="1:12">
      <c r="J10400" s="31">
        <v>38</v>
      </c>
      <c r="K10400" s="33" t="s">
        <v>109</v>
      </c>
      <c r="L10400" s="31" t="str">
        <f t="shared" si="1003"/>
        <v>Tiga Puluh Delapan</v>
      </c>
    </row>
    <row r="10401" spans="1:12">
      <c r="J10401" s="31">
        <v>39</v>
      </c>
      <c r="K10401" s="33" t="s">
        <v>110</v>
      </c>
      <c r="L10401" s="31" t="str">
        <f t="shared" si="1003"/>
        <v>Tiga Puluh Sembilan</v>
      </c>
    </row>
    <row r="10402" spans="1:12">
      <c r="B10402" s="35"/>
      <c r="C10402" s="35"/>
      <c r="D10402" s="35"/>
      <c r="J10402" s="31">
        <v>40</v>
      </c>
      <c r="K10402" s="33" t="s">
        <v>111</v>
      </c>
      <c r="L10402" s="31" t="s">
        <v>112</v>
      </c>
    </row>
    <row r="10403" spans="1:12">
      <c r="A10403" s="35"/>
      <c r="B10403" s="35"/>
      <c r="C10403" s="35"/>
      <c r="D10403" s="35"/>
      <c r="J10403" s="31">
        <v>41</v>
      </c>
      <c r="K10403" s="33" t="s">
        <v>113</v>
      </c>
      <c r="L10403" s="31" t="str">
        <f t="shared" ref="L10403:L10411" si="1004">$L$43&amp;" "&amp;L10363</f>
        <v>Empat Puluh Satu</v>
      </c>
    </row>
    <row r="10404" spans="1:12">
      <c r="J10404" s="31">
        <v>42</v>
      </c>
      <c r="K10404" s="33" t="s">
        <v>114</v>
      </c>
      <c r="L10404" s="31" t="str">
        <f t="shared" si="1004"/>
        <v>Empat Puluh Dua</v>
      </c>
    </row>
    <row r="10405" spans="1:12">
      <c r="A10405" s="38"/>
      <c r="J10405" s="31">
        <v>43</v>
      </c>
      <c r="K10405" s="33" t="s">
        <v>115</v>
      </c>
      <c r="L10405" s="31" t="str">
        <f t="shared" si="1004"/>
        <v>Empat Puluh Tiga</v>
      </c>
    </row>
    <row r="10406" spans="1:12">
      <c r="J10406" s="31">
        <v>44</v>
      </c>
      <c r="K10406" s="33" t="s">
        <v>116</v>
      </c>
      <c r="L10406" s="31" t="str">
        <f t="shared" si="1004"/>
        <v>Empat Puluh Empat</v>
      </c>
    </row>
    <row r="10407" spans="1:12">
      <c r="J10407" s="31">
        <v>45</v>
      </c>
      <c r="K10407" s="33" t="s">
        <v>117</v>
      </c>
      <c r="L10407" s="31" t="str">
        <f t="shared" si="1004"/>
        <v>Empat Puluh Lima</v>
      </c>
    </row>
    <row r="10408" spans="1:12">
      <c r="J10408" s="31">
        <v>46</v>
      </c>
      <c r="K10408" s="33" t="s">
        <v>118</v>
      </c>
      <c r="L10408" s="31" t="str">
        <f t="shared" si="1004"/>
        <v>Empat Puluh Enam</v>
      </c>
    </row>
    <row r="10409" spans="1:12">
      <c r="J10409" s="31">
        <v>47</v>
      </c>
      <c r="K10409" s="33" t="s">
        <v>119</v>
      </c>
      <c r="L10409" s="31" t="str">
        <f t="shared" si="1004"/>
        <v>Empat Puluh Tujuh</v>
      </c>
    </row>
    <row r="10410" spans="1:12">
      <c r="J10410" s="31">
        <v>48</v>
      </c>
      <c r="K10410" s="33" t="s">
        <v>120</v>
      </c>
      <c r="L10410" s="31" t="str">
        <f t="shared" si="1004"/>
        <v>Empat Puluh Delapan</v>
      </c>
    </row>
    <row r="10411" spans="1:12">
      <c r="J10411" s="31">
        <v>49</v>
      </c>
      <c r="K10411" s="33" t="s">
        <v>121</v>
      </c>
      <c r="L10411" s="31" t="str">
        <f t="shared" si="1004"/>
        <v>Empat Puluh Sembilan</v>
      </c>
    </row>
    <row r="10412" spans="1:12">
      <c r="J10412" s="31">
        <v>50</v>
      </c>
      <c r="K10412" s="33" t="s">
        <v>122</v>
      </c>
      <c r="L10412" s="31" t="s">
        <v>123</v>
      </c>
    </row>
    <row r="10413" spans="1:12">
      <c r="J10413" s="31">
        <v>51</v>
      </c>
      <c r="K10413" s="33" t="s">
        <v>124</v>
      </c>
      <c r="L10413" s="31" t="str">
        <f t="shared" ref="L10413:L10421" si="1005">$L$53&amp;" "&amp;L10363</f>
        <v>Lima Puluh Satu</v>
      </c>
    </row>
    <row r="10414" spans="1:12">
      <c r="J10414" s="31">
        <v>52</v>
      </c>
      <c r="K10414" s="33" t="s">
        <v>125</v>
      </c>
      <c r="L10414" s="31" t="str">
        <f t="shared" si="1005"/>
        <v>Lima Puluh Dua</v>
      </c>
    </row>
    <row r="10415" spans="1:12">
      <c r="J10415" s="31">
        <v>53</v>
      </c>
      <c r="K10415" s="33" t="s">
        <v>126</v>
      </c>
      <c r="L10415" s="31" t="str">
        <f t="shared" si="1005"/>
        <v>Lima Puluh Tiga</v>
      </c>
    </row>
    <row r="10416" spans="1:12">
      <c r="J10416" s="31">
        <v>54</v>
      </c>
      <c r="K10416" s="33" t="s">
        <v>127</v>
      </c>
      <c r="L10416" s="31" t="str">
        <f t="shared" si="1005"/>
        <v>Lima Puluh Empat</v>
      </c>
    </row>
    <row r="10417" spans="10:12">
      <c r="J10417" s="31">
        <v>55</v>
      </c>
      <c r="K10417" s="33" t="s">
        <v>128</v>
      </c>
      <c r="L10417" s="31" t="str">
        <f t="shared" si="1005"/>
        <v>Lima Puluh Lima</v>
      </c>
    </row>
    <row r="10418" spans="10:12">
      <c r="J10418" s="31">
        <v>56</v>
      </c>
      <c r="K10418" s="33" t="s">
        <v>129</v>
      </c>
      <c r="L10418" s="31" t="str">
        <f t="shared" si="1005"/>
        <v>Lima Puluh Enam</v>
      </c>
    </row>
    <row r="10419" spans="10:12">
      <c r="J10419" s="31">
        <v>57</v>
      </c>
      <c r="K10419" s="33" t="s">
        <v>130</v>
      </c>
      <c r="L10419" s="31" t="str">
        <f t="shared" si="1005"/>
        <v>Lima Puluh Tujuh</v>
      </c>
    </row>
    <row r="10420" spans="10:12">
      <c r="J10420" s="31">
        <v>58</v>
      </c>
      <c r="K10420" s="33" t="s">
        <v>131</v>
      </c>
      <c r="L10420" s="31" t="str">
        <f t="shared" si="1005"/>
        <v>Lima Puluh Delapan</v>
      </c>
    </row>
    <row r="10421" spans="10:12">
      <c r="J10421" s="31">
        <v>59</v>
      </c>
      <c r="K10421" s="33" t="s">
        <v>132</v>
      </c>
      <c r="L10421" s="31" t="str">
        <f t="shared" si="1005"/>
        <v>Lima Puluh Sembilan</v>
      </c>
    </row>
    <row r="10422" spans="10:12">
      <c r="J10422" s="31">
        <v>60</v>
      </c>
      <c r="K10422" s="33" t="s">
        <v>133</v>
      </c>
      <c r="L10422" s="31" t="s">
        <v>134</v>
      </c>
    </row>
    <row r="10423" spans="10:12">
      <c r="J10423" s="31">
        <v>61</v>
      </c>
      <c r="K10423" s="33" t="s">
        <v>135</v>
      </c>
      <c r="L10423" s="31" t="str">
        <f t="shared" ref="L10423:L10431" si="1006">$L$63&amp;" "&amp;L10363</f>
        <v>Enam Puluh Satu</v>
      </c>
    </row>
    <row r="10424" spans="10:12">
      <c r="J10424" s="31">
        <v>62</v>
      </c>
      <c r="K10424" s="33" t="s">
        <v>136</v>
      </c>
      <c r="L10424" s="31" t="str">
        <f t="shared" si="1006"/>
        <v>Enam Puluh Dua</v>
      </c>
    </row>
    <row r="10425" spans="10:12">
      <c r="J10425" s="31">
        <v>63</v>
      </c>
      <c r="K10425" s="33" t="s">
        <v>137</v>
      </c>
      <c r="L10425" s="31" t="str">
        <f t="shared" si="1006"/>
        <v>Enam Puluh Tiga</v>
      </c>
    </row>
    <row r="10426" spans="10:12">
      <c r="J10426" s="31">
        <v>64</v>
      </c>
      <c r="K10426" s="33" t="s">
        <v>138</v>
      </c>
      <c r="L10426" s="31" t="str">
        <f t="shared" si="1006"/>
        <v>Enam Puluh Empat</v>
      </c>
    </row>
    <row r="10427" spans="10:12">
      <c r="J10427" s="31">
        <v>65</v>
      </c>
      <c r="K10427" s="33" t="s">
        <v>139</v>
      </c>
      <c r="L10427" s="31" t="str">
        <f t="shared" si="1006"/>
        <v>Enam Puluh Lima</v>
      </c>
    </row>
    <row r="10428" spans="10:12">
      <c r="J10428" s="31">
        <v>66</v>
      </c>
      <c r="K10428" s="33" t="s">
        <v>140</v>
      </c>
      <c r="L10428" s="31" t="str">
        <f t="shared" si="1006"/>
        <v>Enam Puluh Enam</v>
      </c>
    </row>
    <row r="10429" spans="10:12">
      <c r="J10429" s="31">
        <v>67</v>
      </c>
      <c r="K10429" s="33" t="s">
        <v>141</v>
      </c>
      <c r="L10429" s="31" t="str">
        <f t="shared" si="1006"/>
        <v>Enam Puluh Tujuh</v>
      </c>
    </row>
    <row r="10430" spans="10:12">
      <c r="J10430" s="31">
        <v>68</v>
      </c>
      <c r="K10430" s="33" t="s">
        <v>142</v>
      </c>
      <c r="L10430" s="31" t="str">
        <f t="shared" si="1006"/>
        <v>Enam Puluh Delapan</v>
      </c>
    </row>
    <row r="10431" spans="10:12">
      <c r="J10431" s="31">
        <v>69</v>
      </c>
      <c r="K10431" s="33" t="s">
        <v>143</v>
      </c>
      <c r="L10431" s="31" t="str">
        <f t="shared" si="1006"/>
        <v>Enam Puluh Sembilan</v>
      </c>
    </row>
    <row r="10432" spans="10:12">
      <c r="J10432" s="31">
        <v>70</v>
      </c>
      <c r="K10432" s="33" t="s">
        <v>144</v>
      </c>
      <c r="L10432" s="31" t="s">
        <v>145</v>
      </c>
    </row>
    <row r="10433" spans="10:12">
      <c r="J10433" s="31">
        <v>71</v>
      </c>
      <c r="K10433" s="33" t="s">
        <v>146</v>
      </c>
      <c r="L10433" s="31" t="str">
        <f t="shared" ref="L10433:L10441" si="1007">$L$73&amp;" "&amp;L10363</f>
        <v>Tujuh Puluh Satu</v>
      </c>
    </row>
    <row r="10434" spans="10:12">
      <c r="J10434" s="31">
        <v>72</v>
      </c>
      <c r="K10434" s="33" t="s">
        <v>147</v>
      </c>
      <c r="L10434" s="31" t="str">
        <f t="shared" si="1007"/>
        <v>Tujuh Puluh Dua</v>
      </c>
    </row>
    <row r="10435" spans="10:12">
      <c r="J10435" s="31">
        <v>73</v>
      </c>
      <c r="K10435" s="33" t="s">
        <v>148</v>
      </c>
      <c r="L10435" s="31" t="str">
        <f t="shared" si="1007"/>
        <v>Tujuh Puluh Tiga</v>
      </c>
    </row>
    <row r="10436" spans="10:12">
      <c r="J10436" s="31">
        <v>74</v>
      </c>
      <c r="K10436" s="33" t="s">
        <v>149</v>
      </c>
      <c r="L10436" s="31" t="str">
        <f t="shared" si="1007"/>
        <v>Tujuh Puluh Empat</v>
      </c>
    </row>
    <row r="10437" spans="10:12">
      <c r="J10437" s="31">
        <v>75</v>
      </c>
      <c r="K10437" s="33" t="s">
        <v>150</v>
      </c>
      <c r="L10437" s="31" t="str">
        <f t="shared" si="1007"/>
        <v>Tujuh Puluh Lima</v>
      </c>
    </row>
    <row r="10438" spans="10:12">
      <c r="J10438" s="31">
        <v>76</v>
      </c>
      <c r="K10438" s="33" t="s">
        <v>151</v>
      </c>
      <c r="L10438" s="31" t="str">
        <f t="shared" si="1007"/>
        <v>Tujuh Puluh Enam</v>
      </c>
    </row>
    <row r="10439" spans="10:12">
      <c r="J10439" s="31">
        <v>77</v>
      </c>
      <c r="K10439" s="33" t="s">
        <v>152</v>
      </c>
      <c r="L10439" s="31" t="str">
        <f t="shared" si="1007"/>
        <v>Tujuh Puluh Tujuh</v>
      </c>
    </row>
    <row r="10440" spans="10:12">
      <c r="J10440" s="31">
        <v>78</v>
      </c>
      <c r="K10440" s="33" t="s">
        <v>153</v>
      </c>
      <c r="L10440" s="31" t="str">
        <f t="shared" si="1007"/>
        <v>Tujuh Puluh Delapan</v>
      </c>
    </row>
    <row r="10441" spans="10:12">
      <c r="J10441" s="31">
        <v>79</v>
      </c>
      <c r="K10441" s="33" t="s">
        <v>154</v>
      </c>
      <c r="L10441" s="31" t="str">
        <f t="shared" si="1007"/>
        <v>Tujuh Puluh Sembilan</v>
      </c>
    </row>
    <row r="10442" spans="10:12">
      <c r="J10442" s="31">
        <v>80</v>
      </c>
      <c r="K10442" s="33" t="s">
        <v>155</v>
      </c>
      <c r="L10442" s="31" t="s">
        <v>156</v>
      </c>
    </row>
    <row r="10443" spans="10:12">
      <c r="J10443" s="31">
        <v>81</v>
      </c>
      <c r="K10443" s="33" t="s">
        <v>157</v>
      </c>
      <c r="L10443" s="31" t="str">
        <f t="shared" ref="L10443:L10451" si="1008">$L$83&amp;" "&amp;L10363</f>
        <v>Delapan Puluh Satu</v>
      </c>
    </row>
    <row r="10444" spans="10:12">
      <c r="J10444" s="31">
        <v>82</v>
      </c>
      <c r="K10444" s="33" t="s">
        <v>158</v>
      </c>
      <c r="L10444" s="31" t="str">
        <f t="shared" si="1008"/>
        <v>Delapan Puluh Dua</v>
      </c>
    </row>
    <row r="10445" spans="10:12">
      <c r="J10445" s="31">
        <v>83</v>
      </c>
      <c r="K10445" s="33" t="s">
        <v>159</v>
      </c>
      <c r="L10445" s="31" t="str">
        <f t="shared" si="1008"/>
        <v>Delapan Puluh Tiga</v>
      </c>
    </row>
    <row r="10446" spans="10:12">
      <c r="J10446" s="31">
        <v>84</v>
      </c>
      <c r="K10446" s="33" t="s">
        <v>160</v>
      </c>
      <c r="L10446" s="31" t="str">
        <f t="shared" si="1008"/>
        <v>Delapan Puluh Empat</v>
      </c>
    </row>
    <row r="10447" spans="10:12">
      <c r="J10447" s="31">
        <v>85</v>
      </c>
      <c r="K10447" s="33" t="s">
        <v>161</v>
      </c>
      <c r="L10447" s="31" t="str">
        <f t="shared" si="1008"/>
        <v>Delapan Puluh Lima</v>
      </c>
    </row>
    <row r="10448" spans="10:12">
      <c r="J10448" s="31">
        <v>86</v>
      </c>
      <c r="K10448" s="33" t="s">
        <v>162</v>
      </c>
      <c r="L10448" s="31" t="str">
        <f t="shared" si="1008"/>
        <v>Delapan Puluh Enam</v>
      </c>
    </row>
    <row r="10449" spans="1:12">
      <c r="J10449" s="31">
        <v>87</v>
      </c>
      <c r="K10449" s="33" t="s">
        <v>163</v>
      </c>
      <c r="L10449" s="31" t="str">
        <f t="shared" si="1008"/>
        <v>Delapan Puluh Tujuh</v>
      </c>
    </row>
    <row r="10450" spans="1:12">
      <c r="J10450" s="31">
        <v>88</v>
      </c>
      <c r="K10450" s="33" t="s">
        <v>164</v>
      </c>
      <c r="L10450" s="31" t="str">
        <f t="shared" si="1008"/>
        <v>Delapan Puluh Delapan</v>
      </c>
    </row>
    <row r="10451" spans="1:12">
      <c r="J10451" s="31">
        <v>89</v>
      </c>
      <c r="K10451" s="33" t="s">
        <v>165</v>
      </c>
      <c r="L10451" s="31" t="str">
        <f t="shared" si="1008"/>
        <v>Delapan Puluh Sembilan</v>
      </c>
    </row>
    <row r="10452" spans="1:12">
      <c r="J10452" s="31">
        <v>90</v>
      </c>
      <c r="K10452" s="33" t="s">
        <v>166</v>
      </c>
      <c r="L10452" s="31" t="s">
        <v>167</v>
      </c>
    </row>
    <row r="10453" spans="1:12">
      <c r="J10453" s="31">
        <v>91</v>
      </c>
      <c r="K10453" s="33" t="s">
        <v>168</v>
      </c>
      <c r="L10453" s="31" t="str">
        <f t="shared" ref="L10453:L10461" si="1009">$L$93&amp;" "&amp;L10363</f>
        <v>Sembilan Puluh Satu</v>
      </c>
    </row>
    <row r="10454" spans="1:12">
      <c r="J10454" s="31">
        <v>92</v>
      </c>
      <c r="K10454" s="33" t="s">
        <v>169</v>
      </c>
      <c r="L10454" s="31" t="str">
        <f t="shared" si="1009"/>
        <v>Sembilan Puluh Dua</v>
      </c>
    </row>
    <row r="10455" spans="1:12">
      <c r="J10455" s="31">
        <v>93</v>
      </c>
      <c r="K10455" s="33" t="s">
        <v>170</v>
      </c>
      <c r="L10455" s="31" t="str">
        <f t="shared" si="1009"/>
        <v>Sembilan Puluh Tiga</v>
      </c>
    </row>
    <row r="10456" spans="1:12">
      <c r="J10456" s="31">
        <v>94</v>
      </c>
      <c r="K10456" s="33" t="s">
        <v>171</v>
      </c>
      <c r="L10456" s="31" t="str">
        <f t="shared" si="1009"/>
        <v>Sembilan Puluh Empat</v>
      </c>
    </row>
    <row r="10457" spans="1:12">
      <c r="J10457" s="31">
        <v>95</v>
      </c>
      <c r="K10457" s="33" t="s">
        <v>172</v>
      </c>
      <c r="L10457" s="31" t="str">
        <f t="shared" si="1009"/>
        <v>Sembilan Puluh Lima</v>
      </c>
    </row>
    <row r="10458" spans="1:12">
      <c r="J10458" s="31">
        <v>96</v>
      </c>
      <c r="K10458" s="33" t="s">
        <v>173</v>
      </c>
      <c r="L10458" s="31" t="str">
        <f t="shared" si="1009"/>
        <v>Sembilan Puluh Enam</v>
      </c>
    </row>
    <row r="10459" spans="1:12">
      <c r="J10459" s="31">
        <v>97</v>
      </c>
      <c r="K10459" s="33" t="s">
        <v>174</v>
      </c>
      <c r="L10459" s="31" t="str">
        <f t="shared" si="1009"/>
        <v>Sembilan Puluh Tujuh</v>
      </c>
    </row>
    <row r="10460" spans="1:12">
      <c r="J10460" s="31">
        <v>98</v>
      </c>
      <c r="K10460" s="33" t="s">
        <v>175</v>
      </c>
      <c r="L10460" s="31" t="str">
        <f t="shared" si="1009"/>
        <v>Sembilan Puluh Delapan</v>
      </c>
    </row>
    <row r="10461" spans="1:12">
      <c r="J10461" s="31">
        <v>99</v>
      </c>
      <c r="K10461" s="33" t="s">
        <v>176</v>
      </c>
      <c r="L10461" s="31" t="str">
        <f t="shared" si="1009"/>
        <v>Sembilan Puluh Sembilan</v>
      </c>
    </row>
    <row r="10464" spans="1:12">
      <c r="A10464" s="30" t="e">
        <f>#REF!</f>
        <v>#REF!</v>
      </c>
      <c r="C10464" s="31" t="s">
        <v>312</v>
      </c>
    </row>
    <row r="10465" spans="1:12">
      <c r="A10465" s="32"/>
    </row>
    <row r="10466" spans="1:12">
      <c r="J10466" s="31">
        <v>0</v>
      </c>
      <c r="K10466" s="33" t="s">
        <v>48</v>
      </c>
      <c r="L10466" s="31" t="s">
        <v>49</v>
      </c>
    </row>
    <row r="10467" spans="1:12">
      <c r="A10467" s="34"/>
      <c r="J10467" s="31">
        <v>1</v>
      </c>
      <c r="K10467" s="33" t="s">
        <v>50</v>
      </c>
      <c r="L10467" s="31" t="s">
        <v>51</v>
      </c>
    </row>
    <row r="10468" spans="1:12">
      <c r="A10468" s="255" t="e">
        <f>TRIM(D10476&amp;E10476&amp;D10477&amp;E10477&amp;D10478&amp;E10478&amp;D10479&amp;E10479&amp;D10480&amp;E10480&amp;D10481&amp;E10481&amp;E10482&amp;D10482&amp;" Only")</f>
        <v>#REF!</v>
      </c>
      <c r="B10468" s="255"/>
      <c r="C10468" s="255"/>
      <c r="D10468" s="255"/>
      <c r="E10468" s="35"/>
      <c r="F10468" s="36"/>
      <c r="J10468" s="31">
        <v>2</v>
      </c>
      <c r="K10468" s="33" t="s">
        <v>52</v>
      </c>
      <c r="L10468" s="31" t="s">
        <v>53</v>
      </c>
    </row>
    <row r="10469" spans="1:12">
      <c r="A10469" s="37"/>
      <c r="B10469" s="37"/>
      <c r="C10469" s="37"/>
      <c r="D10469" s="37"/>
      <c r="E10469" s="35"/>
      <c r="F10469" s="36"/>
      <c r="J10469" s="31">
        <v>3</v>
      </c>
      <c r="K10469" s="33" t="s">
        <v>54</v>
      </c>
      <c r="L10469" s="31" t="s">
        <v>55</v>
      </c>
    </row>
    <row r="10470" spans="1:12">
      <c r="A10470" s="37"/>
      <c r="B10470" s="37"/>
      <c r="C10470" s="37"/>
      <c r="D10470" s="37"/>
      <c r="J10470" s="31">
        <v>4</v>
      </c>
      <c r="K10470" s="33" t="s">
        <v>56</v>
      </c>
      <c r="L10470" s="31" t="s">
        <v>57</v>
      </c>
    </row>
    <row r="10471" spans="1:12">
      <c r="A10471" s="255" t="e">
        <f>TRIM(D10486&amp;E10486&amp;D10487&amp;E10487&amp;D10488&amp;E10488&amp;D10489&amp;E10489&amp;D10490&amp;E10490&amp;D10491&amp;E10491&amp;D10492&amp;E10492&amp;" Rupiah")</f>
        <v>#REF!</v>
      </c>
      <c r="B10471" s="255"/>
      <c r="C10471" s="255"/>
      <c r="D10471" s="255"/>
      <c r="E10471" s="35"/>
      <c r="F10471" s="36"/>
      <c r="J10471" s="31">
        <v>5</v>
      </c>
      <c r="K10471" s="33" t="s">
        <v>58</v>
      </c>
      <c r="L10471" s="31" t="s">
        <v>59</v>
      </c>
    </row>
    <row r="10472" spans="1:12">
      <c r="A10472" s="35"/>
      <c r="B10472" s="35"/>
      <c r="C10472" s="35"/>
      <c r="D10472" s="35"/>
      <c r="E10472" s="35"/>
      <c r="F10472" s="36"/>
      <c r="J10472" s="31">
        <v>6</v>
      </c>
      <c r="K10472" s="33" t="s">
        <v>60</v>
      </c>
      <c r="L10472" s="31" t="s">
        <v>61</v>
      </c>
    </row>
    <row r="10473" spans="1:12">
      <c r="J10473" s="31">
        <v>7</v>
      </c>
      <c r="K10473" s="33" t="s">
        <v>62</v>
      </c>
      <c r="L10473" s="31" t="s">
        <v>63</v>
      </c>
    </row>
    <row r="10474" spans="1:12">
      <c r="J10474" s="31">
        <v>8</v>
      </c>
      <c r="K10474" s="33" t="s">
        <v>64</v>
      </c>
      <c r="L10474" s="31" t="s">
        <v>65</v>
      </c>
    </row>
    <row r="10475" spans="1:12">
      <c r="A10475" s="38" t="s">
        <v>66</v>
      </c>
      <c r="J10475" s="31">
        <v>9</v>
      </c>
      <c r="K10475" s="33" t="s">
        <v>67</v>
      </c>
      <c r="L10475" s="31" t="s">
        <v>68</v>
      </c>
    </row>
    <row r="10476" spans="1:12">
      <c r="A10476" s="31" t="s">
        <v>69</v>
      </c>
      <c r="B10476" s="39" t="e">
        <f>TRUNC(A10464/100000000)</f>
        <v>#REF!</v>
      </c>
      <c r="C10476" s="31" t="e">
        <f>B10476*100000000</f>
        <v>#REF!</v>
      </c>
      <c r="D10476" s="31" t="e">
        <f t="shared" ref="D10476:D10482" si="1010">IF(B10476&lt;1,"",VLOOKUP(B10476,$J$3:$K$102,2))</f>
        <v>#REF!</v>
      </c>
      <c r="E10476" s="31" t="e">
        <f>IF(B10476&lt;1,"",IF(B10476&gt;1," Hundreds "," Hundred "))</f>
        <v>#REF!</v>
      </c>
      <c r="J10476" s="31">
        <v>10</v>
      </c>
      <c r="K10476" s="33" t="s">
        <v>70</v>
      </c>
      <c r="L10476" s="31" t="s">
        <v>71</v>
      </c>
    </row>
    <row r="10477" spans="1:12">
      <c r="A10477" s="31" t="s">
        <v>72</v>
      </c>
      <c r="B10477" s="39" t="e">
        <f>TRUNC((A10464-C10476)/1000000)</f>
        <v>#REF!</v>
      </c>
      <c r="C10477" s="31" t="e">
        <f>B10477*1000000</f>
        <v>#REF!</v>
      </c>
      <c r="D10477" s="31" t="e">
        <f t="shared" si="1010"/>
        <v>#REF!</v>
      </c>
      <c r="E10477" s="31" t="e">
        <f>IF(B10476+B10477=0,"",IF(B10477=1," Million "," Millions "))</f>
        <v>#REF!</v>
      </c>
      <c r="J10477" s="31">
        <v>11</v>
      </c>
      <c r="K10477" s="33" t="s">
        <v>73</v>
      </c>
      <c r="L10477" s="31" t="s">
        <v>74</v>
      </c>
    </row>
    <row r="10478" spans="1:12">
      <c r="A10478" s="31" t="s">
        <v>75</v>
      </c>
      <c r="B10478" s="39" t="e">
        <f>TRUNC((A10464-SUM(C10476:C10477))/100000)</f>
        <v>#REF!</v>
      </c>
      <c r="C10478" s="31" t="e">
        <f>B10478*100000</f>
        <v>#REF!</v>
      </c>
      <c r="D10478" s="31" t="e">
        <f t="shared" si="1010"/>
        <v>#REF!</v>
      </c>
      <c r="E10478" s="31" t="e">
        <f>IF(B10478&lt;1,"",IF(B10478&gt;1," Hundreds "," Hundred "))</f>
        <v>#REF!</v>
      </c>
      <c r="J10478" s="31">
        <v>12</v>
      </c>
      <c r="K10478" s="33" t="s">
        <v>76</v>
      </c>
      <c r="L10478" s="31" t="str">
        <f t="shared" ref="L10478:L10485" si="1011">L10468&amp;" Belas"</f>
        <v>Dua Belas</v>
      </c>
    </row>
    <row r="10479" spans="1:12">
      <c r="A10479" s="33" t="s">
        <v>77</v>
      </c>
      <c r="B10479" s="40" t="e">
        <f>TRUNC((A10464-SUM(C10476:C10478))/1000)</f>
        <v>#REF!</v>
      </c>
      <c r="C10479" s="31" t="e">
        <f>B10479*1000</f>
        <v>#REF!</v>
      </c>
      <c r="D10479" s="31" t="e">
        <f t="shared" si="1010"/>
        <v>#REF!</v>
      </c>
      <c r="E10479" s="31" t="e">
        <f>IF(B10478+B10479=0,"",IF(B10479=1," Thousand "," Thousands "))</f>
        <v>#REF!</v>
      </c>
      <c r="J10479" s="31">
        <v>13</v>
      </c>
      <c r="K10479" s="33" t="s">
        <v>78</v>
      </c>
      <c r="L10479" s="31" t="str">
        <f t="shared" si="1011"/>
        <v>Tiga Belas</v>
      </c>
    </row>
    <row r="10480" spans="1:12">
      <c r="A10480" s="33" t="s">
        <v>79</v>
      </c>
      <c r="B10480" s="40" t="e">
        <f>TRUNC((A10464-SUM(C10476:C10479))/100)</f>
        <v>#REF!</v>
      </c>
      <c r="C10480" s="31" t="e">
        <f>B10480*100</f>
        <v>#REF!</v>
      </c>
      <c r="D10480" s="31" t="e">
        <f t="shared" si="1010"/>
        <v>#REF!</v>
      </c>
      <c r="E10480" s="31" t="e">
        <f>IF(B10480&lt;1,"",IF(B10480&gt;1," Hundreds "," Hundred "))</f>
        <v>#REF!</v>
      </c>
      <c r="J10480" s="31">
        <v>14</v>
      </c>
      <c r="K10480" s="33" t="s">
        <v>80</v>
      </c>
      <c r="L10480" s="31" t="str">
        <f t="shared" si="1011"/>
        <v>Empat Belas</v>
      </c>
    </row>
    <row r="10481" spans="1:12">
      <c r="A10481" s="33" t="s">
        <v>81</v>
      </c>
      <c r="B10481" s="41" t="e">
        <f>TRUNC((A10464-SUM(C10476:C10480)))</f>
        <v>#REF!</v>
      </c>
      <c r="C10481" s="42" t="e">
        <f>B10481</f>
        <v>#REF!</v>
      </c>
      <c r="D10481" s="31" t="e">
        <f t="shared" si="1010"/>
        <v>#REF!</v>
      </c>
      <c r="E10481" s="31" t="e">
        <f>IF(SUM(C10476:C10481)&lt;1,"",IF(B10482&lt;1,""," And "))</f>
        <v>#REF!</v>
      </c>
      <c r="J10481" s="31">
        <v>15</v>
      </c>
      <c r="K10481" s="33" t="s">
        <v>82</v>
      </c>
      <c r="L10481" s="31" t="str">
        <f t="shared" si="1011"/>
        <v>Lima Belas</v>
      </c>
    </row>
    <row r="10482" spans="1:12">
      <c r="A10482" s="33" t="s">
        <v>83</v>
      </c>
      <c r="B10482" s="40" t="e">
        <f>ROUND(A10464-SUM(C10476:C10481),2)*100</f>
        <v>#REF!</v>
      </c>
      <c r="D10482" s="43" t="e">
        <f t="shared" si="1010"/>
        <v>#REF!</v>
      </c>
      <c r="E10482" s="31" t="e">
        <f>IF(B10482&lt;1,"",IF(B10482=1," Cent "," Cents "))</f>
        <v>#REF!</v>
      </c>
      <c r="J10482" s="31">
        <v>16</v>
      </c>
      <c r="K10482" s="33" t="s">
        <v>84</v>
      </c>
      <c r="L10482" s="31" t="str">
        <f t="shared" si="1011"/>
        <v>Enam Belas</v>
      </c>
    </row>
    <row r="10483" spans="1:12">
      <c r="J10483" s="31">
        <v>17</v>
      </c>
      <c r="K10483" s="33" t="s">
        <v>85</v>
      </c>
      <c r="L10483" s="31" t="str">
        <f t="shared" si="1011"/>
        <v>Tujuh Belas</v>
      </c>
    </row>
    <row r="10484" spans="1:12">
      <c r="A10484" s="44"/>
      <c r="J10484" s="31">
        <v>18</v>
      </c>
      <c r="K10484" s="33" t="s">
        <v>86</v>
      </c>
      <c r="L10484" s="31" t="str">
        <f t="shared" si="1011"/>
        <v>Delapan Belas</v>
      </c>
    </row>
    <row r="10485" spans="1:12">
      <c r="A10485" s="38" t="s">
        <v>87</v>
      </c>
      <c r="J10485" s="31">
        <v>19</v>
      </c>
      <c r="K10485" s="33" t="s">
        <v>88</v>
      </c>
      <c r="L10485" s="31" t="str">
        <f t="shared" si="1011"/>
        <v>Sembilan Belas</v>
      </c>
    </row>
    <row r="10486" spans="1:12">
      <c r="A10486" s="31" t="s">
        <v>69</v>
      </c>
      <c r="B10486" s="39" t="e">
        <f>TRUNC(A10464/100000000)</f>
        <v>#REF!</v>
      </c>
      <c r="C10486" s="31" t="e">
        <f>B10486*100000000</f>
        <v>#REF!</v>
      </c>
      <c r="D10486" s="31" t="e">
        <f>IF(B10486&lt;1,"",IF(B10486=1,"",VLOOKUP(B10486,$J$3:$L$102,3)))</f>
        <v>#REF!</v>
      </c>
      <c r="E10486" s="31" t="e">
        <f>IF(B10486&lt;1,"",IF(B10486=1,"Seratus "," Ratus "))</f>
        <v>#REF!</v>
      </c>
      <c r="J10486" s="31">
        <v>20</v>
      </c>
      <c r="K10486" s="33" t="s">
        <v>89</v>
      </c>
      <c r="L10486" s="31" t="s">
        <v>90</v>
      </c>
    </row>
    <row r="10487" spans="1:12">
      <c r="A10487" s="31" t="s">
        <v>72</v>
      </c>
      <c r="B10487" s="39" t="e">
        <f>TRUNC((A10464-C10486)/1000000)</f>
        <v>#REF!</v>
      </c>
      <c r="C10487" s="31" t="e">
        <f>B10487*1000000</f>
        <v>#REF!</v>
      </c>
      <c r="D10487" s="31" t="e">
        <f>IF(B10487&lt;1,"",VLOOKUP(B10487,$J$3:$L$102,3))</f>
        <v>#REF!</v>
      </c>
      <c r="E10487" s="31" t="e">
        <f>IF(B10486+B10487=0,""," Juta ")</f>
        <v>#REF!</v>
      </c>
      <c r="J10487" s="31">
        <v>21</v>
      </c>
      <c r="K10487" s="33" t="s">
        <v>91</v>
      </c>
      <c r="L10487" s="31" t="str">
        <f t="shared" ref="L10487:L10495" si="1012">$L$23&amp;" "&amp;L10467</f>
        <v>Dua Puluh Satu</v>
      </c>
    </row>
    <row r="10488" spans="1:12">
      <c r="A10488" s="31" t="s">
        <v>75</v>
      </c>
      <c r="B10488" s="39" t="e">
        <f>TRUNC((A10464-SUM(C10486:C10487))/100000)</f>
        <v>#REF!</v>
      </c>
      <c r="C10488" s="31" t="e">
        <f>B10488*100000</f>
        <v>#REF!</v>
      </c>
      <c r="D10488" s="31" t="e">
        <f>IF(B10488&lt;1,"",IF(B10488=1,"",VLOOKUP(B10488,$J$3:$L$102,3)))</f>
        <v>#REF!</v>
      </c>
      <c r="E10488" s="31" t="e">
        <f>IF(B10488&lt;1,"",IF(B10488=1," Seratus "," Ratus "))</f>
        <v>#REF!</v>
      </c>
      <c r="J10488" s="31">
        <v>22</v>
      </c>
      <c r="K10488" s="33" t="s">
        <v>92</v>
      </c>
      <c r="L10488" s="31" t="str">
        <f t="shared" si="1012"/>
        <v>Dua Puluh Dua</v>
      </c>
    </row>
    <row r="10489" spans="1:12">
      <c r="A10489" s="33" t="s">
        <v>77</v>
      </c>
      <c r="B10489" s="40" t="e">
        <f>TRUNC((A10464-SUM(C10486:C10488))/1000)</f>
        <v>#REF!</v>
      </c>
      <c r="C10489" s="31" t="e">
        <f>B10489*1000</f>
        <v>#REF!</v>
      </c>
      <c r="D10489" s="31" t="e">
        <f>IF(B10489&lt;1,"",IF(B10489=1,"",VLOOKUP(B10489,$J$3:$L$102,3)))</f>
        <v>#REF!</v>
      </c>
      <c r="E10489" s="31" t="e">
        <f>IF(B10488+B10489&lt;1,"",IF(B10489=1," Seribu "," Ribu "))</f>
        <v>#REF!</v>
      </c>
      <c r="J10489" s="31">
        <v>23</v>
      </c>
      <c r="K10489" s="33" t="s">
        <v>93</v>
      </c>
      <c r="L10489" s="31" t="str">
        <f t="shared" si="1012"/>
        <v>Dua Puluh Tiga</v>
      </c>
    </row>
    <row r="10490" spans="1:12">
      <c r="A10490" s="33" t="s">
        <v>79</v>
      </c>
      <c r="B10490" s="40" t="e">
        <f>TRUNC((A10464-SUM(C10486:C10489))/100)</f>
        <v>#REF!</v>
      </c>
      <c r="C10490" s="31" t="e">
        <f>B10490*100</f>
        <v>#REF!</v>
      </c>
      <c r="D10490" s="31" t="e">
        <f>IF(B10490&lt;1,"",IF(B10490=1,"",VLOOKUP(B10490,$J$3:$L$102,3)))</f>
        <v>#REF!</v>
      </c>
      <c r="E10490" s="31" t="e">
        <f>IF(B10490&lt;1,"",IF(B10490=1," Seratus "," Ratus "))</f>
        <v>#REF!</v>
      </c>
      <c r="J10490" s="31">
        <v>24</v>
      </c>
      <c r="K10490" s="33" t="s">
        <v>94</v>
      </c>
      <c r="L10490" s="31" t="str">
        <f t="shared" si="1012"/>
        <v>Dua Puluh Empat</v>
      </c>
    </row>
    <row r="10491" spans="1:12">
      <c r="A10491" s="33" t="s">
        <v>81</v>
      </c>
      <c r="B10491" s="41" t="e">
        <f>TRUNC((A10464-SUM(C10486:C10490)))</f>
        <v>#REF!</v>
      </c>
      <c r="C10491" s="42" t="e">
        <f>B10491</f>
        <v>#REF!</v>
      </c>
      <c r="D10491" s="31" t="e">
        <f>IF(B10491&lt;1,"",VLOOKUP(B10491,$J$3:$L$102,3))</f>
        <v>#REF!</v>
      </c>
      <c r="E10491" s="31" t="e">
        <f>IF(SUM(C10486:C10491)&lt;1,"",IF(B10492&lt;1,""," Dan "))</f>
        <v>#REF!</v>
      </c>
      <c r="J10491" s="31">
        <v>25</v>
      </c>
      <c r="K10491" s="33" t="s">
        <v>95</v>
      </c>
      <c r="L10491" s="31" t="str">
        <f t="shared" si="1012"/>
        <v>Dua Puluh Lima</v>
      </c>
    </row>
    <row r="10492" spans="1:12">
      <c r="A10492" s="33" t="s">
        <v>83</v>
      </c>
      <c r="B10492" s="40" t="e">
        <f>ROUND(A10464-SUM(C10486:C10491),2)*100</f>
        <v>#REF!</v>
      </c>
      <c r="D10492" s="31" t="e">
        <f>IF(B10492&lt;1,"",VLOOKUP(B10492,$J$3:$L$102,3))</f>
        <v>#REF!</v>
      </c>
      <c r="E10492" s="31" t="e">
        <f>IF(B10492&lt;1,""," Sen ")</f>
        <v>#REF!</v>
      </c>
      <c r="J10492" s="31">
        <v>26</v>
      </c>
      <c r="K10492" s="33" t="s">
        <v>96</v>
      </c>
      <c r="L10492" s="31" t="str">
        <f t="shared" si="1012"/>
        <v>Dua Puluh Enam</v>
      </c>
    </row>
    <row r="10493" spans="1:12">
      <c r="J10493" s="31">
        <v>27</v>
      </c>
      <c r="K10493" s="33" t="s">
        <v>97</v>
      </c>
      <c r="L10493" s="31" t="str">
        <f t="shared" si="1012"/>
        <v>Dua Puluh Tujuh</v>
      </c>
    </row>
    <row r="10494" spans="1:12">
      <c r="J10494" s="31">
        <v>28</v>
      </c>
      <c r="K10494" s="33" t="s">
        <v>98</v>
      </c>
      <c r="L10494" s="31" t="str">
        <f t="shared" si="1012"/>
        <v>Dua Puluh Delapan</v>
      </c>
    </row>
    <row r="10495" spans="1:12">
      <c r="J10495" s="31">
        <v>29</v>
      </c>
      <c r="K10495" s="33" t="s">
        <v>99</v>
      </c>
      <c r="L10495" s="31" t="str">
        <f t="shared" si="1012"/>
        <v>Dua Puluh Sembilan</v>
      </c>
    </row>
    <row r="10496" spans="1:12">
      <c r="J10496" s="31">
        <v>30</v>
      </c>
      <c r="K10496" s="33" t="s">
        <v>100</v>
      </c>
      <c r="L10496" s="31" t="s">
        <v>101</v>
      </c>
    </row>
    <row r="10497" spans="1:12">
      <c r="J10497" s="31">
        <v>31</v>
      </c>
      <c r="K10497" s="33" t="s">
        <v>102</v>
      </c>
      <c r="L10497" s="31" t="str">
        <f t="shared" ref="L10497:L10505" si="1013">$L$33&amp;" "&amp;L10467</f>
        <v>Tiga Puluh Satu</v>
      </c>
    </row>
    <row r="10498" spans="1:12">
      <c r="J10498" s="31">
        <v>32</v>
      </c>
      <c r="K10498" s="33" t="s">
        <v>103</v>
      </c>
      <c r="L10498" s="31" t="str">
        <f t="shared" si="1013"/>
        <v>Tiga Puluh Dua</v>
      </c>
    </row>
    <row r="10499" spans="1:12">
      <c r="J10499" s="31">
        <v>33</v>
      </c>
      <c r="K10499" s="33" t="s">
        <v>104</v>
      </c>
      <c r="L10499" s="31" t="str">
        <f t="shared" si="1013"/>
        <v>Tiga Puluh Tiga</v>
      </c>
    </row>
    <row r="10500" spans="1:12">
      <c r="J10500" s="31">
        <v>34</v>
      </c>
      <c r="K10500" s="33" t="s">
        <v>105</v>
      </c>
      <c r="L10500" s="31" t="str">
        <f t="shared" si="1013"/>
        <v>Tiga Puluh Empat</v>
      </c>
    </row>
    <row r="10501" spans="1:12">
      <c r="J10501" s="31">
        <v>35</v>
      </c>
      <c r="K10501" s="33" t="s">
        <v>106</v>
      </c>
      <c r="L10501" s="31" t="str">
        <f t="shared" si="1013"/>
        <v>Tiga Puluh Lima</v>
      </c>
    </row>
    <row r="10502" spans="1:12">
      <c r="J10502" s="31">
        <v>36</v>
      </c>
      <c r="K10502" s="33" t="s">
        <v>107</v>
      </c>
      <c r="L10502" s="31" t="str">
        <f t="shared" si="1013"/>
        <v>Tiga Puluh Enam</v>
      </c>
    </row>
    <row r="10503" spans="1:12">
      <c r="J10503" s="31">
        <v>37</v>
      </c>
      <c r="K10503" s="33" t="s">
        <v>108</v>
      </c>
      <c r="L10503" s="31" t="str">
        <f t="shared" si="1013"/>
        <v>Tiga Puluh Tujuh</v>
      </c>
    </row>
    <row r="10504" spans="1:12">
      <c r="J10504" s="31">
        <v>38</v>
      </c>
      <c r="K10504" s="33" t="s">
        <v>109</v>
      </c>
      <c r="L10504" s="31" t="str">
        <f t="shared" si="1013"/>
        <v>Tiga Puluh Delapan</v>
      </c>
    </row>
    <row r="10505" spans="1:12">
      <c r="J10505" s="31">
        <v>39</v>
      </c>
      <c r="K10505" s="33" t="s">
        <v>110</v>
      </c>
      <c r="L10505" s="31" t="str">
        <f t="shared" si="1013"/>
        <v>Tiga Puluh Sembilan</v>
      </c>
    </row>
    <row r="10506" spans="1:12">
      <c r="B10506" s="35"/>
      <c r="C10506" s="35"/>
      <c r="D10506" s="35"/>
      <c r="J10506" s="31">
        <v>40</v>
      </c>
      <c r="K10506" s="33" t="s">
        <v>111</v>
      </c>
      <c r="L10506" s="31" t="s">
        <v>112</v>
      </c>
    </row>
    <row r="10507" spans="1:12">
      <c r="A10507" s="35"/>
      <c r="B10507" s="35"/>
      <c r="C10507" s="35"/>
      <c r="D10507" s="35"/>
      <c r="J10507" s="31">
        <v>41</v>
      </c>
      <c r="K10507" s="33" t="s">
        <v>113</v>
      </c>
      <c r="L10507" s="31" t="str">
        <f t="shared" ref="L10507:L10515" si="1014">$L$43&amp;" "&amp;L10467</f>
        <v>Empat Puluh Satu</v>
      </c>
    </row>
    <row r="10508" spans="1:12">
      <c r="J10508" s="31">
        <v>42</v>
      </c>
      <c r="K10508" s="33" t="s">
        <v>114</v>
      </c>
      <c r="L10508" s="31" t="str">
        <f t="shared" si="1014"/>
        <v>Empat Puluh Dua</v>
      </c>
    </row>
    <row r="10509" spans="1:12">
      <c r="A10509" s="38"/>
      <c r="J10509" s="31">
        <v>43</v>
      </c>
      <c r="K10509" s="33" t="s">
        <v>115</v>
      </c>
      <c r="L10509" s="31" t="str">
        <f t="shared" si="1014"/>
        <v>Empat Puluh Tiga</v>
      </c>
    </row>
    <row r="10510" spans="1:12">
      <c r="J10510" s="31">
        <v>44</v>
      </c>
      <c r="K10510" s="33" t="s">
        <v>116</v>
      </c>
      <c r="L10510" s="31" t="str">
        <f t="shared" si="1014"/>
        <v>Empat Puluh Empat</v>
      </c>
    </row>
    <row r="10511" spans="1:12">
      <c r="J10511" s="31">
        <v>45</v>
      </c>
      <c r="K10511" s="33" t="s">
        <v>117</v>
      </c>
      <c r="L10511" s="31" t="str">
        <f t="shared" si="1014"/>
        <v>Empat Puluh Lima</v>
      </c>
    </row>
    <row r="10512" spans="1:12">
      <c r="J10512" s="31">
        <v>46</v>
      </c>
      <c r="K10512" s="33" t="s">
        <v>118</v>
      </c>
      <c r="L10512" s="31" t="str">
        <f t="shared" si="1014"/>
        <v>Empat Puluh Enam</v>
      </c>
    </row>
    <row r="10513" spans="10:12">
      <c r="J10513" s="31">
        <v>47</v>
      </c>
      <c r="K10513" s="33" t="s">
        <v>119</v>
      </c>
      <c r="L10513" s="31" t="str">
        <f t="shared" si="1014"/>
        <v>Empat Puluh Tujuh</v>
      </c>
    </row>
    <row r="10514" spans="10:12">
      <c r="J10514" s="31">
        <v>48</v>
      </c>
      <c r="K10514" s="33" t="s">
        <v>120</v>
      </c>
      <c r="L10514" s="31" t="str">
        <f t="shared" si="1014"/>
        <v>Empat Puluh Delapan</v>
      </c>
    </row>
    <row r="10515" spans="10:12">
      <c r="J10515" s="31">
        <v>49</v>
      </c>
      <c r="K10515" s="33" t="s">
        <v>121</v>
      </c>
      <c r="L10515" s="31" t="str">
        <f t="shared" si="1014"/>
        <v>Empat Puluh Sembilan</v>
      </c>
    </row>
    <row r="10516" spans="10:12">
      <c r="J10516" s="31">
        <v>50</v>
      </c>
      <c r="K10516" s="33" t="s">
        <v>122</v>
      </c>
      <c r="L10516" s="31" t="s">
        <v>123</v>
      </c>
    </row>
    <row r="10517" spans="10:12">
      <c r="J10517" s="31">
        <v>51</v>
      </c>
      <c r="K10517" s="33" t="s">
        <v>124</v>
      </c>
      <c r="L10517" s="31" t="str">
        <f t="shared" ref="L10517:L10525" si="1015">$L$53&amp;" "&amp;L10467</f>
        <v>Lima Puluh Satu</v>
      </c>
    </row>
    <row r="10518" spans="10:12">
      <c r="J10518" s="31">
        <v>52</v>
      </c>
      <c r="K10518" s="33" t="s">
        <v>125</v>
      </c>
      <c r="L10518" s="31" t="str">
        <f t="shared" si="1015"/>
        <v>Lima Puluh Dua</v>
      </c>
    </row>
    <row r="10519" spans="10:12">
      <c r="J10519" s="31">
        <v>53</v>
      </c>
      <c r="K10519" s="33" t="s">
        <v>126</v>
      </c>
      <c r="L10519" s="31" t="str">
        <f t="shared" si="1015"/>
        <v>Lima Puluh Tiga</v>
      </c>
    </row>
    <row r="10520" spans="10:12">
      <c r="J10520" s="31">
        <v>54</v>
      </c>
      <c r="K10520" s="33" t="s">
        <v>127</v>
      </c>
      <c r="L10520" s="31" t="str">
        <f t="shared" si="1015"/>
        <v>Lima Puluh Empat</v>
      </c>
    </row>
    <row r="10521" spans="10:12">
      <c r="J10521" s="31">
        <v>55</v>
      </c>
      <c r="K10521" s="33" t="s">
        <v>128</v>
      </c>
      <c r="L10521" s="31" t="str">
        <f t="shared" si="1015"/>
        <v>Lima Puluh Lima</v>
      </c>
    </row>
    <row r="10522" spans="10:12">
      <c r="J10522" s="31">
        <v>56</v>
      </c>
      <c r="K10522" s="33" t="s">
        <v>129</v>
      </c>
      <c r="L10522" s="31" t="str">
        <f t="shared" si="1015"/>
        <v>Lima Puluh Enam</v>
      </c>
    </row>
    <row r="10523" spans="10:12">
      <c r="J10523" s="31">
        <v>57</v>
      </c>
      <c r="K10523" s="33" t="s">
        <v>130</v>
      </c>
      <c r="L10523" s="31" t="str">
        <f t="shared" si="1015"/>
        <v>Lima Puluh Tujuh</v>
      </c>
    </row>
    <row r="10524" spans="10:12">
      <c r="J10524" s="31">
        <v>58</v>
      </c>
      <c r="K10524" s="33" t="s">
        <v>131</v>
      </c>
      <c r="L10524" s="31" t="str">
        <f t="shared" si="1015"/>
        <v>Lima Puluh Delapan</v>
      </c>
    </row>
    <row r="10525" spans="10:12">
      <c r="J10525" s="31">
        <v>59</v>
      </c>
      <c r="K10525" s="33" t="s">
        <v>132</v>
      </c>
      <c r="L10525" s="31" t="str">
        <f t="shared" si="1015"/>
        <v>Lima Puluh Sembilan</v>
      </c>
    </row>
    <row r="10526" spans="10:12">
      <c r="J10526" s="31">
        <v>60</v>
      </c>
      <c r="K10526" s="33" t="s">
        <v>133</v>
      </c>
      <c r="L10526" s="31" t="s">
        <v>134</v>
      </c>
    </row>
    <row r="10527" spans="10:12">
      <c r="J10527" s="31">
        <v>61</v>
      </c>
      <c r="K10527" s="33" t="s">
        <v>135</v>
      </c>
      <c r="L10527" s="31" t="str">
        <f t="shared" ref="L10527:L10535" si="1016">$L$63&amp;" "&amp;L10467</f>
        <v>Enam Puluh Satu</v>
      </c>
    </row>
    <row r="10528" spans="10:12">
      <c r="J10528" s="31">
        <v>62</v>
      </c>
      <c r="K10528" s="33" t="s">
        <v>136</v>
      </c>
      <c r="L10528" s="31" t="str">
        <f t="shared" si="1016"/>
        <v>Enam Puluh Dua</v>
      </c>
    </row>
    <row r="10529" spans="10:12">
      <c r="J10529" s="31">
        <v>63</v>
      </c>
      <c r="K10529" s="33" t="s">
        <v>137</v>
      </c>
      <c r="L10529" s="31" t="str">
        <f t="shared" si="1016"/>
        <v>Enam Puluh Tiga</v>
      </c>
    </row>
    <row r="10530" spans="10:12">
      <c r="J10530" s="31">
        <v>64</v>
      </c>
      <c r="K10530" s="33" t="s">
        <v>138</v>
      </c>
      <c r="L10530" s="31" t="str">
        <f t="shared" si="1016"/>
        <v>Enam Puluh Empat</v>
      </c>
    </row>
    <row r="10531" spans="10:12">
      <c r="J10531" s="31">
        <v>65</v>
      </c>
      <c r="K10531" s="33" t="s">
        <v>139</v>
      </c>
      <c r="L10531" s="31" t="str">
        <f t="shared" si="1016"/>
        <v>Enam Puluh Lima</v>
      </c>
    </row>
    <row r="10532" spans="10:12">
      <c r="J10532" s="31">
        <v>66</v>
      </c>
      <c r="K10532" s="33" t="s">
        <v>140</v>
      </c>
      <c r="L10532" s="31" t="str">
        <f t="shared" si="1016"/>
        <v>Enam Puluh Enam</v>
      </c>
    </row>
    <row r="10533" spans="10:12">
      <c r="J10533" s="31">
        <v>67</v>
      </c>
      <c r="K10533" s="33" t="s">
        <v>141</v>
      </c>
      <c r="L10533" s="31" t="str">
        <f t="shared" si="1016"/>
        <v>Enam Puluh Tujuh</v>
      </c>
    </row>
    <row r="10534" spans="10:12">
      <c r="J10534" s="31">
        <v>68</v>
      </c>
      <c r="K10534" s="33" t="s">
        <v>142</v>
      </c>
      <c r="L10534" s="31" t="str">
        <f t="shared" si="1016"/>
        <v>Enam Puluh Delapan</v>
      </c>
    </row>
    <row r="10535" spans="10:12">
      <c r="J10535" s="31">
        <v>69</v>
      </c>
      <c r="K10535" s="33" t="s">
        <v>143</v>
      </c>
      <c r="L10535" s="31" t="str">
        <f t="shared" si="1016"/>
        <v>Enam Puluh Sembilan</v>
      </c>
    </row>
    <row r="10536" spans="10:12">
      <c r="J10536" s="31">
        <v>70</v>
      </c>
      <c r="K10536" s="33" t="s">
        <v>144</v>
      </c>
      <c r="L10536" s="31" t="s">
        <v>145</v>
      </c>
    </row>
    <row r="10537" spans="10:12">
      <c r="J10537" s="31">
        <v>71</v>
      </c>
      <c r="K10537" s="33" t="s">
        <v>146</v>
      </c>
      <c r="L10537" s="31" t="str">
        <f t="shared" ref="L10537:L10545" si="1017">$L$73&amp;" "&amp;L10467</f>
        <v>Tujuh Puluh Satu</v>
      </c>
    </row>
    <row r="10538" spans="10:12">
      <c r="J10538" s="31">
        <v>72</v>
      </c>
      <c r="K10538" s="33" t="s">
        <v>147</v>
      </c>
      <c r="L10538" s="31" t="str">
        <f t="shared" si="1017"/>
        <v>Tujuh Puluh Dua</v>
      </c>
    </row>
    <row r="10539" spans="10:12">
      <c r="J10539" s="31">
        <v>73</v>
      </c>
      <c r="K10539" s="33" t="s">
        <v>148</v>
      </c>
      <c r="L10539" s="31" t="str">
        <f t="shared" si="1017"/>
        <v>Tujuh Puluh Tiga</v>
      </c>
    </row>
    <row r="10540" spans="10:12">
      <c r="J10540" s="31">
        <v>74</v>
      </c>
      <c r="K10540" s="33" t="s">
        <v>149</v>
      </c>
      <c r="L10540" s="31" t="str">
        <f t="shared" si="1017"/>
        <v>Tujuh Puluh Empat</v>
      </c>
    </row>
    <row r="10541" spans="10:12">
      <c r="J10541" s="31">
        <v>75</v>
      </c>
      <c r="K10541" s="33" t="s">
        <v>150</v>
      </c>
      <c r="L10541" s="31" t="str">
        <f t="shared" si="1017"/>
        <v>Tujuh Puluh Lima</v>
      </c>
    </row>
    <row r="10542" spans="10:12">
      <c r="J10542" s="31">
        <v>76</v>
      </c>
      <c r="K10542" s="33" t="s">
        <v>151</v>
      </c>
      <c r="L10542" s="31" t="str">
        <f t="shared" si="1017"/>
        <v>Tujuh Puluh Enam</v>
      </c>
    </row>
    <row r="10543" spans="10:12">
      <c r="J10543" s="31">
        <v>77</v>
      </c>
      <c r="K10543" s="33" t="s">
        <v>152</v>
      </c>
      <c r="L10543" s="31" t="str">
        <f t="shared" si="1017"/>
        <v>Tujuh Puluh Tujuh</v>
      </c>
    </row>
    <row r="10544" spans="10:12">
      <c r="J10544" s="31">
        <v>78</v>
      </c>
      <c r="K10544" s="33" t="s">
        <v>153</v>
      </c>
      <c r="L10544" s="31" t="str">
        <f t="shared" si="1017"/>
        <v>Tujuh Puluh Delapan</v>
      </c>
    </row>
    <row r="10545" spans="10:12">
      <c r="J10545" s="31">
        <v>79</v>
      </c>
      <c r="K10545" s="33" t="s">
        <v>154</v>
      </c>
      <c r="L10545" s="31" t="str">
        <f t="shared" si="1017"/>
        <v>Tujuh Puluh Sembilan</v>
      </c>
    </row>
    <row r="10546" spans="10:12">
      <c r="J10546" s="31">
        <v>80</v>
      </c>
      <c r="K10546" s="33" t="s">
        <v>155</v>
      </c>
      <c r="L10546" s="31" t="s">
        <v>156</v>
      </c>
    </row>
    <row r="10547" spans="10:12">
      <c r="J10547" s="31">
        <v>81</v>
      </c>
      <c r="K10547" s="33" t="s">
        <v>157</v>
      </c>
      <c r="L10547" s="31" t="str">
        <f t="shared" ref="L10547:L10555" si="1018">$L$83&amp;" "&amp;L10467</f>
        <v>Delapan Puluh Satu</v>
      </c>
    </row>
    <row r="10548" spans="10:12">
      <c r="J10548" s="31">
        <v>82</v>
      </c>
      <c r="K10548" s="33" t="s">
        <v>158</v>
      </c>
      <c r="L10548" s="31" t="str">
        <f t="shared" si="1018"/>
        <v>Delapan Puluh Dua</v>
      </c>
    </row>
    <row r="10549" spans="10:12">
      <c r="J10549" s="31">
        <v>83</v>
      </c>
      <c r="K10549" s="33" t="s">
        <v>159</v>
      </c>
      <c r="L10549" s="31" t="str">
        <f t="shared" si="1018"/>
        <v>Delapan Puluh Tiga</v>
      </c>
    </row>
    <row r="10550" spans="10:12">
      <c r="J10550" s="31">
        <v>84</v>
      </c>
      <c r="K10550" s="33" t="s">
        <v>160</v>
      </c>
      <c r="L10550" s="31" t="str">
        <f t="shared" si="1018"/>
        <v>Delapan Puluh Empat</v>
      </c>
    </row>
    <row r="10551" spans="10:12">
      <c r="J10551" s="31">
        <v>85</v>
      </c>
      <c r="K10551" s="33" t="s">
        <v>161</v>
      </c>
      <c r="L10551" s="31" t="str">
        <f t="shared" si="1018"/>
        <v>Delapan Puluh Lima</v>
      </c>
    </row>
    <row r="10552" spans="10:12">
      <c r="J10552" s="31">
        <v>86</v>
      </c>
      <c r="K10552" s="33" t="s">
        <v>162</v>
      </c>
      <c r="L10552" s="31" t="str">
        <f t="shared" si="1018"/>
        <v>Delapan Puluh Enam</v>
      </c>
    </row>
    <row r="10553" spans="10:12">
      <c r="J10553" s="31">
        <v>87</v>
      </c>
      <c r="K10553" s="33" t="s">
        <v>163</v>
      </c>
      <c r="L10553" s="31" t="str">
        <f t="shared" si="1018"/>
        <v>Delapan Puluh Tujuh</v>
      </c>
    </row>
    <row r="10554" spans="10:12">
      <c r="J10554" s="31">
        <v>88</v>
      </c>
      <c r="K10554" s="33" t="s">
        <v>164</v>
      </c>
      <c r="L10554" s="31" t="str">
        <f t="shared" si="1018"/>
        <v>Delapan Puluh Delapan</v>
      </c>
    </row>
    <row r="10555" spans="10:12">
      <c r="J10555" s="31">
        <v>89</v>
      </c>
      <c r="K10555" s="33" t="s">
        <v>165</v>
      </c>
      <c r="L10555" s="31" t="str">
        <f t="shared" si="1018"/>
        <v>Delapan Puluh Sembilan</v>
      </c>
    </row>
    <row r="10556" spans="10:12">
      <c r="J10556" s="31">
        <v>90</v>
      </c>
      <c r="K10556" s="33" t="s">
        <v>166</v>
      </c>
      <c r="L10556" s="31" t="s">
        <v>167</v>
      </c>
    </row>
    <row r="10557" spans="10:12">
      <c r="J10557" s="31">
        <v>91</v>
      </c>
      <c r="K10557" s="33" t="s">
        <v>168</v>
      </c>
      <c r="L10557" s="31" t="str">
        <f t="shared" ref="L10557:L10565" si="1019">$L$93&amp;" "&amp;L10467</f>
        <v>Sembilan Puluh Satu</v>
      </c>
    </row>
    <row r="10558" spans="10:12">
      <c r="J10558" s="31">
        <v>92</v>
      </c>
      <c r="K10558" s="33" t="s">
        <v>169</v>
      </c>
      <c r="L10558" s="31" t="str">
        <f t="shared" si="1019"/>
        <v>Sembilan Puluh Dua</v>
      </c>
    </row>
    <row r="10559" spans="10:12">
      <c r="J10559" s="31">
        <v>93</v>
      </c>
      <c r="K10559" s="33" t="s">
        <v>170</v>
      </c>
      <c r="L10559" s="31" t="str">
        <f t="shared" si="1019"/>
        <v>Sembilan Puluh Tiga</v>
      </c>
    </row>
    <row r="10560" spans="10:12">
      <c r="J10560" s="31">
        <v>94</v>
      </c>
      <c r="K10560" s="33" t="s">
        <v>171</v>
      </c>
      <c r="L10560" s="31" t="str">
        <f t="shared" si="1019"/>
        <v>Sembilan Puluh Empat</v>
      </c>
    </row>
    <row r="10561" spans="1:12">
      <c r="J10561" s="31">
        <v>95</v>
      </c>
      <c r="K10561" s="33" t="s">
        <v>172</v>
      </c>
      <c r="L10561" s="31" t="str">
        <f t="shared" si="1019"/>
        <v>Sembilan Puluh Lima</v>
      </c>
    </row>
    <row r="10562" spans="1:12">
      <c r="J10562" s="31">
        <v>96</v>
      </c>
      <c r="K10562" s="33" t="s">
        <v>173</v>
      </c>
      <c r="L10562" s="31" t="str">
        <f t="shared" si="1019"/>
        <v>Sembilan Puluh Enam</v>
      </c>
    </row>
    <row r="10563" spans="1:12">
      <c r="J10563" s="31">
        <v>97</v>
      </c>
      <c r="K10563" s="33" t="s">
        <v>174</v>
      </c>
      <c r="L10563" s="31" t="str">
        <f t="shared" si="1019"/>
        <v>Sembilan Puluh Tujuh</v>
      </c>
    </row>
    <row r="10564" spans="1:12">
      <c r="J10564" s="31">
        <v>98</v>
      </c>
      <c r="K10564" s="33" t="s">
        <v>175</v>
      </c>
      <c r="L10564" s="31" t="str">
        <f t="shared" si="1019"/>
        <v>Sembilan Puluh Delapan</v>
      </c>
    </row>
    <row r="10565" spans="1:12">
      <c r="J10565" s="31">
        <v>99</v>
      </c>
      <c r="K10565" s="33" t="s">
        <v>176</v>
      </c>
      <c r="L10565" s="31" t="str">
        <f t="shared" si="1019"/>
        <v>Sembilan Puluh Sembilan</v>
      </c>
    </row>
    <row r="10568" spans="1:12">
      <c r="A10568" s="30" t="e">
        <f>#REF!</f>
        <v>#REF!</v>
      </c>
      <c r="C10568" s="31" t="s">
        <v>335</v>
      </c>
    </row>
    <row r="10569" spans="1:12">
      <c r="A10569" s="32"/>
    </row>
    <row r="10570" spans="1:12">
      <c r="J10570" s="31">
        <v>0</v>
      </c>
      <c r="K10570" s="33" t="s">
        <v>48</v>
      </c>
      <c r="L10570" s="31" t="s">
        <v>49</v>
      </c>
    </row>
    <row r="10571" spans="1:12">
      <c r="A10571" s="34"/>
      <c r="J10571" s="31">
        <v>1</v>
      </c>
      <c r="K10571" s="33" t="s">
        <v>50</v>
      </c>
      <c r="L10571" s="31" t="s">
        <v>51</v>
      </c>
    </row>
    <row r="10572" spans="1:12">
      <c r="A10572" s="255" t="e">
        <f>TRIM(D10580&amp;E10580&amp;D10581&amp;E10581&amp;D10582&amp;E10582&amp;D10583&amp;E10583&amp;D10584&amp;E10584&amp;D10585&amp;E10585&amp;E10586&amp;D10586&amp;" Only")</f>
        <v>#REF!</v>
      </c>
      <c r="B10572" s="255"/>
      <c r="C10572" s="255"/>
      <c r="D10572" s="255"/>
      <c r="E10572" s="35"/>
      <c r="F10572" s="36"/>
      <c r="J10572" s="31">
        <v>2</v>
      </c>
      <c r="K10572" s="33" t="s">
        <v>52</v>
      </c>
      <c r="L10572" s="31" t="s">
        <v>53</v>
      </c>
    </row>
    <row r="10573" spans="1:12">
      <c r="A10573" s="37"/>
      <c r="B10573" s="37"/>
      <c r="C10573" s="37"/>
      <c r="D10573" s="37"/>
      <c r="E10573" s="35"/>
      <c r="F10573" s="36"/>
      <c r="J10573" s="31">
        <v>3</v>
      </c>
      <c r="K10573" s="33" t="s">
        <v>54</v>
      </c>
      <c r="L10573" s="31" t="s">
        <v>55</v>
      </c>
    </row>
    <row r="10574" spans="1:12">
      <c r="A10574" s="37"/>
      <c r="B10574" s="37"/>
      <c r="C10574" s="37"/>
      <c r="D10574" s="37"/>
      <c r="J10574" s="31">
        <v>4</v>
      </c>
      <c r="K10574" s="33" t="s">
        <v>56</v>
      </c>
      <c r="L10574" s="31" t="s">
        <v>57</v>
      </c>
    </row>
    <row r="10575" spans="1:12">
      <c r="A10575" s="255" t="e">
        <f>TRIM(D10590&amp;E10590&amp;D10591&amp;E10591&amp;D10592&amp;E10592&amp;D10593&amp;E10593&amp;D10594&amp;E10594&amp;D10595&amp;E10595&amp;D10596&amp;E10596&amp;" Rupiah")</f>
        <v>#REF!</v>
      </c>
      <c r="B10575" s="255"/>
      <c r="C10575" s="255"/>
      <c r="D10575" s="255"/>
      <c r="E10575" s="35"/>
      <c r="F10575" s="36"/>
      <c r="J10575" s="31">
        <v>5</v>
      </c>
      <c r="K10575" s="33" t="s">
        <v>58</v>
      </c>
      <c r="L10575" s="31" t="s">
        <v>59</v>
      </c>
    </row>
    <row r="10576" spans="1:12">
      <c r="A10576" s="35"/>
      <c r="B10576" s="35"/>
      <c r="C10576" s="35"/>
      <c r="D10576" s="35"/>
      <c r="E10576" s="35"/>
      <c r="F10576" s="36"/>
      <c r="J10576" s="31">
        <v>6</v>
      </c>
      <c r="K10576" s="33" t="s">
        <v>60</v>
      </c>
      <c r="L10576" s="31" t="s">
        <v>61</v>
      </c>
    </row>
    <row r="10577" spans="1:12">
      <c r="J10577" s="31">
        <v>7</v>
      </c>
      <c r="K10577" s="33" t="s">
        <v>62</v>
      </c>
      <c r="L10577" s="31" t="s">
        <v>63</v>
      </c>
    </row>
    <row r="10578" spans="1:12">
      <c r="J10578" s="31">
        <v>8</v>
      </c>
      <c r="K10578" s="33" t="s">
        <v>64</v>
      </c>
      <c r="L10578" s="31" t="s">
        <v>65</v>
      </c>
    </row>
    <row r="10579" spans="1:12">
      <c r="A10579" s="38" t="s">
        <v>66</v>
      </c>
      <c r="J10579" s="31">
        <v>9</v>
      </c>
      <c r="K10579" s="33" t="s">
        <v>67</v>
      </c>
      <c r="L10579" s="31" t="s">
        <v>68</v>
      </c>
    </row>
    <row r="10580" spans="1:12">
      <c r="A10580" s="31" t="s">
        <v>69</v>
      </c>
      <c r="B10580" s="39" t="e">
        <f>TRUNC(A10568/100000000)</f>
        <v>#REF!</v>
      </c>
      <c r="C10580" s="31" t="e">
        <f>B10580*100000000</f>
        <v>#REF!</v>
      </c>
      <c r="D10580" s="31" t="e">
        <f t="shared" ref="D10580:D10586" si="1020">IF(B10580&lt;1,"",VLOOKUP(B10580,$J$3:$K$102,2))</f>
        <v>#REF!</v>
      </c>
      <c r="E10580" s="31" t="e">
        <f>IF(B10580&lt;1,"",IF(B10580&gt;1," Hundreds "," Hundred "))</f>
        <v>#REF!</v>
      </c>
      <c r="J10580" s="31">
        <v>10</v>
      </c>
      <c r="K10580" s="33" t="s">
        <v>70</v>
      </c>
      <c r="L10580" s="31" t="s">
        <v>71</v>
      </c>
    </row>
    <row r="10581" spans="1:12">
      <c r="A10581" s="31" t="s">
        <v>72</v>
      </c>
      <c r="B10581" s="39" t="e">
        <f>TRUNC((A10568-C10580)/1000000)</f>
        <v>#REF!</v>
      </c>
      <c r="C10581" s="31" t="e">
        <f>B10581*1000000</f>
        <v>#REF!</v>
      </c>
      <c r="D10581" s="31" t="e">
        <f t="shared" si="1020"/>
        <v>#REF!</v>
      </c>
      <c r="E10581" s="31" t="e">
        <f>IF(B10580+B10581=0,"",IF(B10581=1," Million "," Millions "))</f>
        <v>#REF!</v>
      </c>
      <c r="J10581" s="31">
        <v>11</v>
      </c>
      <c r="K10581" s="33" t="s">
        <v>73</v>
      </c>
      <c r="L10581" s="31" t="s">
        <v>74</v>
      </c>
    </row>
    <row r="10582" spans="1:12">
      <c r="A10582" s="31" t="s">
        <v>75</v>
      </c>
      <c r="B10582" s="39" t="e">
        <f>TRUNC((A10568-SUM(C10580:C10581))/100000)</f>
        <v>#REF!</v>
      </c>
      <c r="C10582" s="31" t="e">
        <f>B10582*100000</f>
        <v>#REF!</v>
      </c>
      <c r="D10582" s="31" t="e">
        <f t="shared" si="1020"/>
        <v>#REF!</v>
      </c>
      <c r="E10582" s="31" t="e">
        <f>IF(B10582&lt;1,"",IF(B10582&gt;1," Hundreds "," Hundred "))</f>
        <v>#REF!</v>
      </c>
      <c r="J10582" s="31">
        <v>12</v>
      </c>
      <c r="K10582" s="33" t="s">
        <v>76</v>
      </c>
      <c r="L10582" s="31" t="str">
        <f t="shared" ref="L10582:L10589" si="1021">L10572&amp;" Belas"</f>
        <v>Dua Belas</v>
      </c>
    </row>
    <row r="10583" spans="1:12">
      <c r="A10583" s="33" t="s">
        <v>77</v>
      </c>
      <c r="B10583" s="40" t="e">
        <f>TRUNC((A10568-SUM(C10580:C10582))/1000)</f>
        <v>#REF!</v>
      </c>
      <c r="C10583" s="31" t="e">
        <f>B10583*1000</f>
        <v>#REF!</v>
      </c>
      <c r="D10583" s="31" t="e">
        <f t="shared" si="1020"/>
        <v>#REF!</v>
      </c>
      <c r="E10583" s="31" t="e">
        <f>IF(B10582+B10583=0,"",IF(B10583=1," Thousand "," Thousands "))</f>
        <v>#REF!</v>
      </c>
      <c r="J10583" s="31">
        <v>13</v>
      </c>
      <c r="K10583" s="33" t="s">
        <v>78</v>
      </c>
      <c r="L10583" s="31" t="str">
        <f t="shared" si="1021"/>
        <v>Tiga Belas</v>
      </c>
    </row>
    <row r="10584" spans="1:12">
      <c r="A10584" s="33" t="s">
        <v>79</v>
      </c>
      <c r="B10584" s="40" t="e">
        <f>TRUNC((A10568-SUM(C10580:C10583))/100)</f>
        <v>#REF!</v>
      </c>
      <c r="C10584" s="31" t="e">
        <f>B10584*100</f>
        <v>#REF!</v>
      </c>
      <c r="D10584" s="31" t="e">
        <f t="shared" si="1020"/>
        <v>#REF!</v>
      </c>
      <c r="E10584" s="31" t="e">
        <f>IF(B10584&lt;1,"",IF(B10584&gt;1," Hundreds "," Hundred "))</f>
        <v>#REF!</v>
      </c>
      <c r="J10584" s="31">
        <v>14</v>
      </c>
      <c r="K10584" s="33" t="s">
        <v>80</v>
      </c>
      <c r="L10584" s="31" t="str">
        <f t="shared" si="1021"/>
        <v>Empat Belas</v>
      </c>
    </row>
    <row r="10585" spans="1:12">
      <c r="A10585" s="33" t="s">
        <v>81</v>
      </c>
      <c r="B10585" s="41" t="e">
        <f>TRUNC((A10568-SUM(C10580:C10584)))</f>
        <v>#REF!</v>
      </c>
      <c r="C10585" s="42" t="e">
        <f>B10585</f>
        <v>#REF!</v>
      </c>
      <c r="D10585" s="31" t="e">
        <f t="shared" si="1020"/>
        <v>#REF!</v>
      </c>
      <c r="E10585" s="31" t="e">
        <f>IF(SUM(C10580:C10585)&lt;1,"",IF(B10586&lt;1,""," And "))</f>
        <v>#REF!</v>
      </c>
      <c r="J10585" s="31">
        <v>15</v>
      </c>
      <c r="K10585" s="33" t="s">
        <v>82</v>
      </c>
      <c r="L10585" s="31" t="str">
        <f t="shared" si="1021"/>
        <v>Lima Belas</v>
      </c>
    </row>
    <row r="10586" spans="1:12">
      <c r="A10586" s="33" t="s">
        <v>83</v>
      </c>
      <c r="B10586" s="40" t="e">
        <f>ROUND(A10568-SUM(C10580:C10585),2)*100</f>
        <v>#REF!</v>
      </c>
      <c r="D10586" s="43" t="e">
        <f t="shared" si="1020"/>
        <v>#REF!</v>
      </c>
      <c r="E10586" s="31" t="e">
        <f>IF(B10586&lt;1,"",IF(B10586=1," Cent "," Cents "))</f>
        <v>#REF!</v>
      </c>
      <c r="J10586" s="31">
        <v>16</v>
      </c>
      <c r="K10586" s="33" t="s">
        <v>84</v>
      </c>
      <c r="L10586" s="31" t="str">
        <f t="shared" si="1021"/>
        <v>Enam Belas</v>
      </c>
    </row>
    <row r="10587" spans="1:12">
      <c r="J10587" s="31">
        <v>17</v>
      </c>
      <c r="K10587" s="33" t="s">
        <v>85</v>
      </c>
      <c r="L10587" s="31" t="str">
        <f t="shared" si="1021"/>
        <v>Tujuh Belas</v>
      </c>
    </row>
    <row r="10588" spans="1:12">
      <c r="A10588" s="44"/>
      <c r="J10588" s="31">
        <v>18</v>
      </c>
      <c r="K10588" s="33" t="s">
        <v>86</v>
      </c>
      <c r="L10588" s="31" t="str">
        <f t="shared" si="1021"/>
        <v>Delapan Belas</v>
      </c>
    </row>
    <row r="10589" spans="1:12">
      <c r="A10589" s="38" t="s">
        <v>87</v>
      </c>
      <c r="J10589" s="31">
        <v>19</v>
      </c>
      <c r="K10589" s="33" t="s">
        <v>88</v>
      </c>
      <c r="L10589" s="31" t="str">
        <f t="shared" si="1021"/>
        <v>Sembilan Belas</v>
      </c>
    </row>
    <row r="10590" spans="1:12">
      <c r="A10590" s="31" t="s">
        <v>69</v>
      </c>
      <c r="B10590" s="39" t="e">
        <f>TRUNC(A10568/100000000)</f>
        <v>#REF!</v>
      </c>
      <c r="C10590" s="31" t="e">
        <f>B10590*100000000</f>
        <v>#REF!</v>
      </c>
      <c r="D10590" s="31" t="e">
        <f>IF(B10590&lt;1,"",IF(B10590=1,"",VLOOKUP(B10590,$J$3:$L$102,3)))</f>
        <v>#REF!</v>
      </c>
      <c r="E10590" s="31" t="e">
        <f>IF(B10590&lt;1,"",IF(B10590=1,"Seratus "," Ratus "))</f>
        <v>#REF!</v>
      </c>
      <c r="J10590" s="31">
        <v>20</v>
      </c>
      <c r="K10590" s="33" t="s">
        <v>89</v>
      </c>
      <c r="L10590" s="31" t="s">
        <v>90</v>
      </c>
    </row>
    <row r="10591" spans="1:12">
      <c r="A10591" s="31" t="s">
        <v>72</v>
      </c>
      <c r="B10591" s="39" t="e">
        <f>TRUNC((A10568-C10590)/1000000)</f>
        <v>#REF!</v>
      </c>
      <c r="C10591" s="31" t="e">
        <f>B10591*1000000</f>
        <v>#REF!</v>
      </c>
      <c r="D10591" s="31" t="e">
        <f>IF(B10591&lt;1,"",VLOOKUP(B10591,$J$3:$L$102,3))</f>
        <v>#REF!</v>
      </c>
      <c r="E10591" s="31" t="e">
        <f>IF(B10590+B10591=0,""," Juta ")</f>
        <v>#REF!</v>
      </c>
      <c r="J10591" s="31">
        <v>21</v>
      </c>
      <c r="K10591" s="33" t="s">
        <v>91</v>
      </c>
      <c r="L10591" s="31" t="str">
        <f t="shared" ref="L10591:L10599" si="1022">$L$23&amp;" "&amp;L10571</f>
        <v>Dua Puluh Satu</v>
      </c>
    </row>
    <row r="10592" spans="1:12">
      <c r="A10592" s="31" t="s">
        <v>75</v>
      </c>
      <c r="B10592" s="39" t="e">
        <f>TRUNC((A10568-SUM(C10590:C10591))/100000)</f>
        <v>#REF!</v>
      </c>
      <c r="C10592" s="31" t="e">
        <f>B10592*100000</f>
        <v>#REF!</v>
      </c>
      <c r="D10592" s="31" t="e">
        <f>IF(B10592&lt;1,"",IF(B10592=1,"",VLOOKUP(B10592,$J$3:$L$102,3)))</f>
        <v>#REF!</v>
      </c>
      <c r="E10592" s="31" t="e">
        <f>IF(B10592&lt;1,"",IF(B10592=1," Seratus "," Ratus "))</f>
        <v>#REF!</v>
      </c>
      <c r="J10592" s="31">
        <v>22</v>
      </c>
      <c r="K10592" s="33" t="s">
        <v>92</v>
      </c>
      <c r="L10592" s="31" t="str">
        <f t="shared" si="1022"/>
        <v>Dua Puluh Dua</v>
      </c>
    </row>
    <row r="10593" spans="1:12">
      <c r="A10593" s="33" t="s">
        <v>77</v>
      </c>
      <c r="B10593" s="40" t="e">
        <f>TRUNC((A10568-SUM(C10590:C10592))/1000)</f>
        <v>#REF!</v>
      </c>
      <c r="C10593" s="31" t="e">
        <f>B10593*1000</f>
        <v>#REF!</v>
      </c>
      <c r="D10593" s="31" t="e">
        <f>IF(B10593&lt;1,"",IF(B10593=1,"",VLOOKUP(B10593,$J$3:$L$102,3)))</f>
        <v>#REF!</v>
      </c>
      <c r="E10593" s="31" t="e">
        <f>IF(B10592+B10593&lt;1,"",IF(B10593=1," Seribu "," Ribu "))</f>
        <v>#REF!</v>
      </c>
      <c r="J10593" s="31">
        <v>23</v>
      </c>
      <c r="K10593" s="33" t="s">
        <v>93</v>
      </c>
      <c r="L10593" s="31" t="str">
        <f t="shared" si="1022"/>
        <v>Dua Puluh Tiga</v>
      </c>
    </row>
    <row r="10594" spans="1:12">
      <c r="A10594" s="33" t="s">
        <v>79</v>
      </c>
      <c r="B10594" s="40" t="e">
        <f>TRUNC((A10568-SUM(C10590:C10593))/100)</f>
        <v>#REF!</v>
      </c>
      <c r="C10594" s="31" t="e">
        <f>B10594*100</f>
        <v>#REF!</v>
      </c>
      <c r="D10594" s="31" t="e">
        <f>IF(B10594&lt;1,"",IF(B10594=1,"",VLOOKUP(B10594,$J$3:$L$102,3)))</f>
        <v>#REF!</v>
      </c>
      <c r="E10594" s="31" t="e">
        <f>IF(B10594&lt;1,"",IF(B10594=1," Seratus "," Ratus "))</f>
        <v>#REF!</v>
      </c>
      <c r="J10594" s="31">
        <v>24</v>
      </c>
      <c r="K10594" s="33" t="s">
        <v>94</v>
      </c>
      <c r="L10594" s="31" t="str">
        <f t="shared" si="1022"/>
        <v>Dua Puluh Empat</v>
      </c>
    </row>
    <row r="10595" spans="1:12">
      <c r="A10595" s="33" t="s">
        <v>81</v>
      </c>
      <c r="B10595" s="41" t="e">
        <f>TRUNC((A10568-SUM(C10590:C10594)))</f>
        <v>#REF!</v>
      </c>
      <c r="C10595" s="42" t="e">
        <f>B10595</f>
        <v>#REF!</v>
      </c>
      <c r="D10595" s="31" t="e">
        <f>IF(B10595&lt;1,"",VLOOKUP(B10595,$J$3:$L$102,3))</f>
        <v>#REF!</v>
      </c>
      <c r="E10595" s="31" t="e">
        <f>IF(SUM(C10590:C10595)&lt;1,"",IF(B10596&lt;1,""," Dan "))</f>
        <v>#REF!</v>
      </c>
      <c r="J10595" s="31">
        <v>25</v>
      </c>
      <c r="K10595" s="33" t="s">
        <v>95</v>
      </c>
      <c r="L10595" s="31" t="str">
        <f t="shared" si="1022"/>
        <v>Dua Puluh Lima</v>
      </c>
    </row>
    <row r="10596" spans="1:12">
      <c r="A10596" s="33" t="s">
        <v>83</v>
      </c>
      <c r="B10596" s="40" t="e">
        <f>ROUND(A10568-SUM(C10590:C10595),2)*100</f>
        <v>#REF!</v>
      </c>
      <c r="D10596" s="31" t="e">
        <f>IF(B10596&lt;1,"",VLOOKUP(B10596,$J$3:$L$102,3))</f>
        <v>#REF!</v>
      </c>
      <c r="E10596" s="31" t="e">
        <f>IF(B10596&lt;1,""," Sen ")</f>
        <v>#REF!</v>
      </c>
      <c r="J10596" s="31">
        <v>26</v>
      </c>
      <c r="K10596" s="33" t="s">
        <v>96</v>
      </c>
      <c r="L10596" s="31" t="str">
        <f t="shared" si="1022"/>
        <v>Dua Puluh Enam</v>
      </c>
    </row>
    <row r="10597" spans="1:12">
      <c r="J10597" s="31">
        <v>27</v>
      </c>
      <c r="K10597" s="33" t="s">
        <v>97</v>
      </c>
      <c r="L10597" s="31" t="str">
        <f t="shared" si="1022"/>
        <v>Dua Puluh Tujuh</v>
      </c>
    </row>
    <row r="10598" spans="1:12">
      <c r="J10598" s="31">
        <v>28</v>
      </c>
      <c r="K10598" s="33" t="s">
        <v>98</v>
      </c>
      <c r="L10598" s="31" t="str">
        <f t="shared" si="1022"/>
        <v>Dua Puluh Delapan</v>
      </c>
    </row>
    <row r="10599" spans="1:12">
      <c r="J10599" s="31">
        <v>29</v>
      </c>
      <c r="K10599" s="33" t="s">
        <v>99</v>
      </c>
      <c r="L10599" s="31" t="str">
        <f t="shared" si="1022"/>
        <v>Dua Puluh Sembilan</v>
      </c>
    </row>
    <row r="10600" spans="1:12">
      <c r="J10600" s="31">
        <v>30</v>
      </c>
      <c r="K10600" s="33" t="s">
        <v>100</v>
      </c>
      <c r="L10600" s="31" t="s">
        <v>101</v>
      </c>
    </row>
    <row r="10601" spans="1:12">
      <c r="J10601" s="31">
        <v>31</v>
      </c>
      <c r="K10601" s="33" t="s">
        <v>102</v>
      </c>
      <c r="L10601" s="31" t="str">
        <f t="shared" ref="L10601:L10609" si="1023">$L$33&amp;" "&amp;L10571</f>
        <v>Tiga Puluh Satu</v>
      </c>
    </row>
    <row r="10602" spans="1:12">
      <c r="J10602" s="31">
        <v>32</v>
      </c>
      <c r="K10602" s="33" t="s">
        <v>103</v>
      </c>
      <c r="L10602" s="31" t="str">
        <f t="shared" si="1023"/>
        <v>Tiga Puluh Dua</v>
      </c>
    </row>
    <row r="10603" spans="1:12">
      <c r="J10603" s="31">
        <v>33</v>
      </c>
      <c r="K10603" s="33" t="s">
        <v>104</v>
      </c>
      <c r="L10603" s="31" t="str">
        <f t="shared" si="1023"/>
        <v>Tiga Puluh Tiga</v>
      </c>
    </row>
    <row r="10604" spans="1:12">
      <c r="J10604" s="31">
        <v>34</v>
      </c>
      <c r="K10604" s="33" t="s">
        <v>105</v>
      </c>
      <c r="L10604" s="31" t="str">
        <f t="shared" si="1023"/>
        <v>Tiga Puluh Empat</v>
      </c>
    </row>
    <row r="10605" spans="1:12">
      <c r="J10605" s="31">
        <v>35</v>
      </c>
      <c r="K10605" s="33" t="s">
        <v>106</v>
      </c>
      <c r="L10605" s="31" t="str">
        <f t="shared" si="1023"/>
        <v>Tiga Puluh Lima</v>
      </c>
    </row>
    <row r="10606" spans="1:12">
      <c r="J10606" s="31">
        <v>36</v>
      </c>
      <c r="K10606" s="33" t="s">
        <v>107</v>
      </c>
      <c r="L10606" s="31" t="str">
        <f t="shared" si="1023"/>
        <v>Tiga Puluh Enam</v>
      </c>
    </row>
    <row r="10607" spans="1:12">
      <c r="J10607" s="31">
        <v>37</v>
      </c>
      <c r="K10607" s="33" t="s">
        <v>108</v>
      </c>
      <c r="L10607" s="31" t="str">
        <f t="shared" si="1023"/>
        <v>Tiga Puluh Tujuh</v>
      </c>
    </row>
    <row r="10608" spans="1:12">
      <c r="J10608" s="31">
        <v>38</v>
      </c>
      <c r="K10608" s="33" t="s">
        <v>109</v>
      </c>
      <c r="L10608" s="31" t="str">
        <f t="shared" si="1023"/>
        <v>Tiga Puluh Delapan</v>
      </c>
    </row>
    <row r="10609" spans="1:12">
      <c r="J10609" s="31">
        <v>39</v>
      </c>
      <c r="K10609" s="33" t="s">
        <v>110</v>
      </c>
      <c r="L10609" s="31" t="str">
        <f t="shared" si="1023"/>
        <v>Tiga Puluh Sembilan</v>
      </c>
    </row>
    <row r="10610" spans="1:12">
      <c r="B10610" s="35"/>
      <c r="C10610" s="35"/>
      <c r="D10610" s="35"/>
      <c r="J10610" s="31">
        <v>40</v>
      </c>
      <c r="K10610" s="33" t="s">
        <v>111</v>
      </c>
      <c r="L10610" s="31" t="s">
        <v>112</v>
      </c>
    </row>
    <row r="10611" spans="1:12">
      <c r="A10611" s="35"/>
      <c r="B10611" s="35"/>
      <c r="C10611" s="35"/>
      <c r="D10611" s="35"/>
      <c r="J10611" s="31">
        <v>41</v>
      </c>
      <c r="K10611" s="33" t="s">
        <v>113</v>
      </c>
      <c r="L10611" s="31" t="str">
        <f t="shared" ref="L10611:L10619" si="1024">$L$43&amp;" "&amp;L10571</f>
        <v>Empat Puluh Satu</v>
      </c>
    </row>
    <row r="10612" spans="1:12">
      <c r="J10612" s="31">
        <v>42</v>
      </c>
      <c r="K10612" s="33" t="s">
        <v>114</v>
      </c>
      <c r="L10612" s="31" t="str">
        <f t="shared" si="1024"/>
        <v>Empat Puluh Dua</v>
      </c>
    </row>
    <row r="10613" spans="1:12">
      <c r="A10613" s="38"/>
      <c r="J10613" s="31">
        <v>43</v>
      </c>
      <c r="K10613" s="33" t="s">
        <v>115</v>
      </c>
      <c r="L10613" s="31" t="str">
        <f t="shared" si="1024"/>
        <v>Empat Puluh Tiga</v>
      </c>
    </row>
    <row r="10614" spans="1:12">
      <c r="J10614" s="31">
        <v>44</v>
      </c>
      <c r="K10614" s="33" t="s">
        <v>116</v>
      </c>
      <c r="L10614" s="31" t="str">
        <f t="shared" si="1024"/>
        <v>Empat Puluh Empat</v>
      </c>
    </row>
    <row r="10615" spans="1:12">
      <c r="J10615" s="31">
        <v>45</v>
      </c>
      <c r="K10615" s="33" t="s">
        <v>117</v>
      </c>
      <c r="L10615" s="31" t="str">
        <f t="shared" si="1024"/>
        <v>Empat Puluh Lima</v>
      </c>
    </row>
    <row r="10616" spans="1:12">
      <c r="J10616" s="31">
        <v>46</v>
      </c>
      <c r="K10616" s="33" t="s">
        <v>118</v>
      </c>
      <c r="L10616" s="31" t="str">
        <f t="shared" si="1024"/>
        <v>Empat Puluh Enam</v>
      </c>
    </row>
    <row r="10617" spans="1:12">
      <c r="J10617" s="31">
        <v>47</v>
      </c>
      <c r="K10617" s="33" t="s">
        <v>119</v>
      </c>
      <c r="L10617" s="31" t="str">
        <f t="shared" si="1024"/>
        <v>Empat Puluh Tujuh</v>
      </c>
    </row>
    <row r="10618" spans="1:12">
      <c r="J10618" s="31">
        <v>48</v>
      </c>
      <c r="K10618" s="33" t="s">
        <v>120</v>
      </c>
      <c r="L10618" s="31" t="str">
        <f t="shared" si="1024"/>
        <v>Empat Puluh Delapan</v>
      </c>
    </row>
    <row r="10619" spans="1:12">
      <c r="J10619" s="31">
        <v>49</v>
      </c>
      <c r="K10619" s="33" t="s">
        <v>121</v>
      </c>
      <c r="L10619" s="31" t="str">
        <f t="shared" si="1024"/>
        <v>Empat Puluh Sembilan</v>
      </c>
    </row>
    <row r="10620" spans="1:12">
      <c r="J10620" s="31">
        <v>50</v>
      </c>
      <c r="K10620" s="33" t="s">
        <v>122</v>
      </c>
      <c r="L10620" s="31" t="s">
        <v>123</v>
      </c>
    </row>
    <row r="10621" spans="1:12">
      <c r="J10621" s="31">
        <v>51</v>
      </c>
      <c r="K10621" s="33" t="s">
        <v>124</v>
      </c>
      <c r="L10621" s="31" t="str">
        <f t="shared" ref="L10621:L10629" si="1025">$L$53&amp;" "&amp;L10571</f>
        <v>Lima Puluh Satu</v>
      </c>
    </row>
    <row r="10622" spans="1:12">
      <c r="J10622" s="31">
        <v>52</v>
      </c>
      <c r="K10622" s="33" t="s">
        <v>125</v>
      </c>
      <c r="L10622" s="31" t="str">
        <f t="shared" si="1025"/>
        <v>Lima Puluh Dua</v>
      </c>
    </row>
    <row r="10623" spans="1:12">
      <c r="J10623" s="31">
        <v>53</v>
      </c>
      <c r="K10623" s="33" t="s">
        <v>126</v>
      </c>
      <c r="L10623" s="31" t="str">
        <f t="shared" si="1025"/>
        <v>Lima Puluh Tiga</v>
      </c>
    </row>
    <row r="10624" spans="1:12">
      <c r="J10624" s="31">
        <v>54</v>
      </c>
      <c r="K10624" s="33" t="s">
        <v>127</v>
      </c>
      <c r="L10624" s="31" t="str">
        <f t="shared" si="1025"/>
        <v>Lima Puluh Empat</v>
      </c>
    </row>
    <row r="10625" spans="10:12">
      <c r="J10625" s="31">
        <v>55</v>
      </c>
      <c r="K10625" s="33" t="s">
        <v>128</v>
      </c>
      <c r="L10625" s="31" t="str">
        <f t="shared" si="1025"/>
        <v>Lima Puluh Lima</v>
      </c>
    </row>
    <row r="10626" spans="10:12">
      <c r="J10626" s="31">
        <v>56</v>
      </c>
      <c r="K10626" s="33" t="s">
        <v>129</v>
      </c>
      <c r="L10626" s="31" t="str">
        <f t="shared" si="1025"/>
        <v>Lima Puluh Enam</v>
      </c>
    </row>
    <row r="10627" spans="10:12">
      <c r="J10627" s="31">
        <v>57</v>
      </c>
      <c r="K10627" s="33" t="s">
        <v>130</v>
      </c>
      <c r="L10627" s="31" t="str">
        <f t="shared" si="1025"/>
        <v>Lima Puluh Tujuh</v>
      </c>
    </row>
    <row r="10628" spans="10:12">
      <c r="J10628" s="31">
        <v>58</v>
      </c>
      <c r="K10628" s="33" t="s">
        <v>131</v>
      </c>
      <c r="L10628" s="31" t="str">
        <f t="shared" si="1025"/>
        <v>Lima Puluh Delapan</v>
      </c>
    </row>
    <row r="10629" spans="10:12">
      <c r="J10629" s="31">
        <v>59</v>
      </c>
      <c r="K10629" s="33" t="s">
        <v>132</v>
      </c>
      <c r="L10629" s="31" t="str">
        <f t="shared" si="1025"/>
        <v>Lima Puluh Sembilan</v>
      </c>
    </row>
    <row r="10630" spans="10:12">
      <c r="J10630" s="31">
        <v>60</v>
      </c>
      <c r="K10630" s="33" t="s">
        <v>133</v>
      </c>
      <c r="L10630" s="31" t="s">
        <v>134</v>
      </c>
    </row>
    <row r="10631" spans="10:12">
      <c r="J10631" s="31">
        <v>61</v>
      </c>
      <c r="K10631" s="33" t="s">
        <v>135</v>
      </c>
      <c r="L10631" s="31" t="str">
        <f t="shared" ref="L10631:L10639" si="1026">$L$63&amp;" "&amp;L10571</f>
        <v>Enam Puluh Satu</v>
      </c>
    </row>
    <row r="10632" spans="10:12">
      <c r="J10632" s="31">
        <v>62</v>
      </c>
      <c r="K10632" s="33" t="s">
        <v>136</v>
      </c>
      <c r="L10632" s="31" t="str">
        <f t="shared" si="1026"/>
        <v>Enam Puluh Dua</v>
      </c>
    </row>
    <row r="10633" spans="10:12">
      <c r="J10633" s="31">
        <v>63</v>
      </c>
      <c r="K10633" s="33" t="s">
        <v>137</v>
      </c>
      <c r="L10633" s="31" t="str">
        <f t="shared" si="1026"/>
        <v>Enam Puluh Tiga</v>
      </c>
    </row>
    <row r="10634" spans="10:12">
      <c r="J10634" s="31">
        <v>64</v>
      </c>
      <c r="K10634" s="33" t="s">
        <v>138</v>
      </c>
      <c r="L10634" s="31" t="str">
        <f t="shared" si="1026"/>
        <v>Enam Puluh Empat</v>
      </c>
    </row>
    <row r="10635" spans="10:12">
      <c r="J10635" s="31">
        <v>65</v>
      </c>
      <c r="K10635" s="33" t="s">
        <v>139</v>
      </c>
      <c r="L10635" s="31" t="str">
        <f t="shared" si="1026"/>
        <v>Enam Puluh Lima</v>
      </c>
    </row>
    <row r="10636" spans="10:12">
      <c r="J10636" s="31">
        <v>66</v>
      </c>
      <c r="K10636" s="33" t="s">
        <v>140</v>
      </c>
      <c r="L10636" s="31" t="str">
        <f t="shared" si="1026"/>
        <v>Enam Puluh Enam</v>
      </c>
    </row>
    <row r="10637" spans="10:12">
      <c r="J10637" s="31">
        <v>67</v>
      </c>
      <c r="K10637" s="33" t="s">
        <v>141</v>
      </c>
      <c r="L10637" s="31" t="str">
        <f t="shared" si="1026"/>
        <v>Enam Puluh Tujuh</v>
      </c>
    </row>
    <row r="10638" spans="10:12">
      <c r="J10638" s="31">
        <v>68</v>
      </c>
      <c r="K10638" s="33" t="s">
        <v>142</v>
      </c>
      <c r="L10638" s="31" t="str">
        <f t="shared" si="1026"/>
        <v>Enam Puluh Delapan</v>
      </c>
    </row>
    <row r="10639" spans="10:12">
      <c r="J10639" s="31">
        <v>69</v>
      </c>
      <c r="K10639" s="33" t="s">
        <v>143</v>
      </c>
      <c r="L10639" s="31" t="str">
        <f t="shared" si="1026"/>
        <v>Enam Puluh Sembilan</v>
      </c>
    </row>
    <row r="10640" spans="10:12">
      <c r="J10640" s="31">
        <v>70</v>
      </c>
      <c r="K10640" s="33" t="s">
        <v>144</v>
      </c>
      <c r="L10640" s="31" t="s">
        <v>145</v>
      </c>
    </row>
    <row r="10641" spans="10:12">
      <c r="J10641" s="31">
        <v>71</v>
      </c>
      <c r="K10641" s="33" t="s">
        <v>146</v>
      </c>
      <c r="L10641" s="31" t="str">
        <f t="shared" ref="L10641:L10649" si="1027">$L$73&amp;" "&amp;L10571</f>
        <v>Tujuh Puluh Satu</v>
      </c>
    </row>
    <row r="10642" spans="10:12">
      <c r="J10642" s="31">
        <v>72</v>
      </c>
      <c r="K10642" s="33" t="s">
        <v>147</v>
      </c>
      <c r="L10642" s="31" t="str">
        <f t="shared" si="1027"/>
        <v>Tujuh Puluh Dua</v>
      </c>
    </row>
    <row r="10643" spans="10:12">
      <c r="J10643" s="31">
        <v>73</v>
      </c>
      <c r="K10643" s="33" t="s">
        <v>148</v>
      </c>
      <c r="L10643" s="31" t="str">
        <f t="shared" si="1027"/>
        <v>Tujuh Puluh Tiga</v>
      </c>
    </row>
    <row r="10644" spans="10:12">
      <c r="J10644" s="31">
        <v>74</v>
      </c>
      <c r="K10644" s="33" t="s">
        <v>149</v>
      </c>
      <c r="L10644" s="31" t="str">
        <f t="shared" si="1027"/>
        <v>Tujuh Puluh Empat</v>
      </c>
    </row>
    <row r="10645" spans="10:12">
      <c r="J10645" s="31">
        <v>75</v>
      </c>
      <c r="K10645" s="33" t="s">
        <v>150</v>
      </c>
      <c r="L10645" s="31" t="str">
        <f t="shared" si="1027"/>
        <v>Tujuh Puluh Lima</v>
      </c>
    </row>
    <row r="10646" spans="10:12">
      <c r="J10646" s="31">
        <v>76</v>
      </c>
      <c r="K10646" s="33" t="s">
        <v>151</v>
      </c>
      <c r="L10646" s="31" t="str">
        <f t="shared" si="1027"/>
        <v>Tujuh Puluh Enam</v>
      </c>
    </row>
    <row r="10647" spans="10:12">
      <c r="J10647" s="31">
        <v>77</v>
      </c>
      <c r="K10647" s="33" t="s">
        <v>152</v>
      </c>
      <c r="L10647" s="31" t="str">
        <f t="shared" si="1027"/>
        <v>Tujuh Puluh Tujuh</v>
      </c>
    </row>
    <row r="10648" spans="10:12">
      <c r="J10648" s="31">
        <v>78</v>
      </c>
      <c r="K10648" s="33" t="s">
        <v>153</v>
      </c>
      <c r="L10648" s="31" t="str">
        <f t="shared" si="1027"/>
        <v>Tujuh Puluh Delapan</v>
      </c>
    </row>
    <row r="10649" spans="10:12">
      <c r="J10649" s="31">
        <v>79</v>
      </c>
      <c r="K10649" s="33" t="s">
        <v>154</v>
      </c>
      <c r="L10649" s="31" t="str">
        <f t="shared" si="1027"/>
        <v>Tujuh Puluh Sembilan</v>
      </c>
    </row>
    <row r="10650" spans="10:12">
      <c r="J10650" s="31">
        <v>80</v>
      </c>
      <c r="K10650" s="33" t="s">
        <v>155</v>
      </c>
      <c r="L10650" s="31" t="s">
        <v>156</v>
      </c>
    </row>
    <row r="10651" spans="10:12">
      <c r="J10651" s="31">
        <v>81</v>
      </c>
      <c r="K10651" s="33" t="s">
        <v>157</v>
      </c>
      <c r="L10651" s="31" t="str">
        <f t="shared" ref="L10651:L10659" si="1028">$L$83&amp;" "&amp;L10571</f>
        <v>Delapan Puluh Satu</v>
      </c>
    </row>
    <row r="10652" spans="10:12">
      <c r="J10652" s="31">
        <v>82</v>
      </c>
      <c r="K10652" s="33" t="s">
        <v>158</v>
      </c>
      <c r="L10652" s="31" t="str">
        <f t="shared" si="1028"/>
        <v>Delapan Puluh Dua</v>
      </c>
    </row>
    <row r="10653" spans="10:12">
      <c r="J10653" s="31">
        <v>83</v>
      </c>
      <c r="K10653" s="33" t="s">
        <v>159</v>
      </c>
      <c r="L10653" s="31" t="str">
        <f t="shared" si="1028"/>
        <v>Delapan Puluh Tiga</v>
      </c>
    </row>
    <row r="10654" spans="10:12">
      <c r="J10654" s="31">
        <v>84</v>
      </c>
      <c r="K10654" s="33" t="s">
        <v>160</v>
      </c>
      <c r="L10654" s="31" t="str">
        <f t="shared" si="1028"/>
        <v>Delapan Puluh Empat</v>
      </c>
    </row>
    <row r="10655" spans="10:12">
      <c r="J10655" s="31">
        <v>85</v>
      </c>
      <c r="K10655" s="33" t="s">
        <v>161</v>
      </c>
      <c r="L10655" s="31" t="str">
        <f t="shared" si="1028"/>
        <v>Delapan Puluh Lima</v>
      </c>
    </row>
    <row r="10656" spans="10:12">
      <c r="J10656" s="31">
        <v>86</v>
      </c>
      <c r="K10656" s="33" t="s">
        <v>162</v>
      </c>
      <c r="L10656" s="31" t="str">
        <f t="shared" si="1028"/>
        <v>Delapan Puluh Enam</v>
      </c>
    </row>
    <row r="10657" spans="1:12">
      <c r="J10657" s="31">
        <v>87</v>
      </c>
      <c r="K10657" s="33" t="s">
        <v>163</v>
      </c>
      <c r="L10657" s="31" t="str">
        <f t="shared" si="1028"/>
        <v>Delapan Puluh Tujuh</v>
      </c>
    </row>
    <row r="10658" spans="1:12">
      <c r="J10658" s="31">
        <v>88</v>
      </c>
      <c r="K10658" s="33" t="s">
        <v>164</v>
      </c>
      <c r="L10658" s="31" t="str">
        <f t="shared" si="1028"/>
        <v>Delapan Puluh Delapan</v>
      </c>
    </row>
    <row r="10659" spans="1:12">
      <c r="J10659" s="31">
        <v>89</v>
      </c>
      <c r="K10659" s="33" t="s">
        <v>165</v>
      </c>
      <c r="L10659" s="31" t="str">
        <f t="shared" si="1028"/>
        <v>Delapan Puluh Sembilan</v>
      </c>
    </row>
    <row r="10660" spans="1:12">
      <c r="J10660" s="31">
        <v>90</v>
      </c>
      <c r="K10660" s="33" t="s">
        <v>166</v>
      </c>
      <c r="L10660" s="31" t="s">
        <v>167</v>
      </c>
    </row>
    <row r="10661" spans="1:12">
      <c r="J10661" s="31">
        <v>91</v>
      </c>
      <c r="K10661" s="33" t="s">
        <v>168</v>
      </c>
      <c r="L10661" s="31" t="str">
        <f t="shared" ref="L10661:L10669" si="1029">$L$93&amp;" "&amp;L10571</f>
        <v>Sembilan Puluh Satu</v>
      </c>
    </row>
    <row r="10662" spans="1:12">
      <c r="J10662" s="31">
        <v>92</v>
      </c>
      <c r="K10662" s="33" t="s">
        <v>169</v>
      </c>
      <c r="L10662" s="31" t="str">
        <f t="shared" si="1029"/>
        <v>Sembilan Puluh Dua</v>
      </c>
    </row>
    <row r="10663" spans="1:12">
      <c r="J10663" s="31">
        <v>93</v>
      </c>
      <c r="K10663" s="33" t="s">
        <v>170</v>
      </c>
      <c r="L10663" s="31" t="str">
        <f t="shared" si="1029"/>
        <v>Sembilan Puluh Tiga</v>
      </c>
    </row>
    <row r="10664" spans="1:12">
      <c r="J10664" s="31">
        <v>94</v>
      </c>
      <c r="K10664" s="33" t="s">
        <v>171</v>
      </c>
      <c r="L10664" s="31" t="str">
        <f t="shared" si="1029"/>
        <v>Sembilan Puluh Empat</v>
      </c>
    </row>
    <row r="10665" spans="1:12">
      <c r="J10665" s="31">
        <v>95</v>
      </c>
      <c r="K10665" s="33" t="s">
        <v>172</v>
      </c>
      <c r="L10665" s="31" t="str">
        <f t="shared" si="1029"/>
        <v>Sembilan Puluh Lima</v>
      </c>
    </row>
    <row r="10666" spans="1:12">
      <c r="J10666" s="31">
        <v>96</v>
      </c>
      <c r="K10666" s="33" t="s">
        <v>173</v>
      </c>
      <c r="L10666" s="31" t="str">
        <f t="shared" si="1029"/>
        <v>Sembilan Puluh Enam</v>
      </c>
    </row>
    <row r="10667" spans="1:12">
      <c r="J10667" s="31">
        <v>97</v>
      </c>
      <c r="K10667" s="33" t="s">
        <v>174</v>
      </c>
      <c r="L10667" s="31" t="str">
        <f t="shared" si="1029"/>
        <v>Sembilan Puluh Tujuh</v>
      </c>
    </row>
    <row r="10668" spans="1:12">
      <c r="J10668" s="31">
        <v>98</v>
      </c>
      <c r="K10668" s="33" t="s">
        <v>175</v>
      </c>
      <c r="L10668" s="31" t="str">
        <f t="shared" si="1029"/>
        <v>Sembilan Puluh Delapan</v>
      </c>
    </row>
    <row r="10669" spans="1:12">
      <c r="J10669" s="31">
        <v>99</v>
      </c>
      <c r="K10669" s="33" t="s">
        <v>176</v>
      </c>
      <c r="L10669" s="31" t="str">
        <f t="shared" si="1029"/>
        <v>Sembilan Puluh Sembilan</v>
      </c>
    </row>
    <row r="10672" spans="1:12">
      <c r="A10672" s="30" t="e">
        <f>#REF!</f>
        <v>#REF!</v>
      </c>
      <c r="C10672" s="31" t="s">
        <v>336</v>
      </c>
    </row>
    <row r="10673" spans="1:12">
      <c r="A10673" s="32"/>
    </row>
    <row r="10674" spans="1:12">
      <c r="J10674" s="31">
        <v>0</v>
      </c>
      <c r="K10674" s="33" t="s">
        <v>48</v>
      </c>
      <c r="L10674" s="31" t="s">
        <v>49</v>
      </c>
    </row>
    <row r="10675" spans="1:12">
      <c r="A10675" s="34"/>
      <c r="J10675" s="31">
        <v>1</v>
      </c>
      <c r="K10675" s="33" t="s">
        <v>50</v>
      </c>
      <c r="L10675" s="31" t="s">
        <v>51</v>
      </c>
    </row>
    <row r="10676" spans="1:12">
      <c r="A10676" s="255" t="e">
        <f>TRIM(D10684&amp;E10684&amp;D10685&amp;E10685&amp;D10686&amp;E10686&amp;D10687&amp;E10687&amp;D10688&amp;E10688&amp;D10689&amp;E10689&amp;E10690&amp;D10690&amp;" Only")</f>
        <v>#REF!</v>
      </c>
      <c r="B10676" s="255"/>
      <c r="C10676" s="255"/>
      <c r="D10676" s="255"/>
      <c r="E10676" s="35"/>
      <c r="F10676" s="36"/>
      <c r="J10676" s="31">
        <v>2</v>
      </c>
      <c r="K10676" s="33" t="s">
        <v>52</v>
      </c>
      <c r="L10676" s="31" t="s">
        <v>53</v>
      </c>
    </row>
    <row r="10677" spans="1:12">
      <c r="A10677" s="37"/>
      <c r="B10677" s="37"/>
      <c r="C10677" s="37"/>
      <c r="D10677" s="37"/>
      <c r="E10677" s="35"/>
      <c r="F10677" s="36"/>
      <c r="J10677" s="31">
        <v>3</v>
      </c>
      <c r="K10677" s="33" t="s">
        <v>54</v>
      </c>
      <c r="L10677" s="31" t="s">
        <v>55</v>
      </c>
    </row>
    <row r="10678" spans="1:12">
      <c r="A10678" s="37"/>
      <c r="B10678" s="37"/>
      <c r="C10678" s="37"/>
      <c r="D10678" s="37"/>
      <c r="J10678" s="31">
        <v>4</v>
      </c>
      <c r="K10678" s="33" t="s">
        <v>56</v>
      </c>
      <c r="L10678" s="31" t="s">
        <v>57</v>
      </c>
    </row>
    <row r="10679" spans="1:12">
      <c r="A10679" s="255" t="e">
        <f>TRIM(D10694&amp;E10694&amp;D10695&amp;E10695&amp;D10696&amp;E10696&amp;D10697&amp;E10697&amp;D10698&amp;E10698&amp;D10699&amp;E10699&amp;D10700&amp;E10700&amp;" Rupiah")</f>
        <v>#REF!</v>
      </c>
      <c r="B10679" s="255"/>
      <c r="C10679" s="255"/>
      <c r="D10679" s="255"/>
      <c r="E10679" s="35"/>
      <c r="F10679" s="36"/>
      <c r="J10679" s="31">
        <v>5</v>
      </c>
      <c r="K10679" s="33" t="s">
        <v>58</v>
      </c>
      <c r="L10679" s="31" t="s">
        <v>59</v>
      </c>
    </row>
    <row r="10680" spans="1:12">
      <c r="A10680" s="35"/>
      <c r="B10680" s="35"/>
      <c r="C10680" s="35"/>
      <c r="D10680" s="35"/>
      <c r="E10680" s="35"/>
      <c r="F10680" s="36"/>
      <c r="J10680" s="31">
        <v>6</v>
      </c>
      <c r="K10680" s="33" t="s">
        <v>60</v>
      </c>
      <c r="L10680" s="31" t="s">
        <v>61</v>
      </c>
    </row>
    <row r="10681" spans="1:12">
      <c r="J10681" s="31">
        <v>7</v>
      </c>
      <c r="K10681" s="33" t="s">
        <v>62</v>
      </c>
      <c r="L10681" s="31" t="s">
        <v>63</v>
      </c>
    </row>
    <row r="10682" spans="1:12">
      <c r="J10682" s="31">
        <v>8</v>
      </c>
      <c r="K10682" s="33" t="s">
        <v>64</v>
      </c>
      <c r="L10682" s="31" t="s">
        <v>65</v>
      </c>
    </row>
    <row r="10683" spans="1:12">
      <c r="A10683" s="38" t="s">
        <v>66</v>
      </c>
      <c r="J10683" s="31">
        <v>9</v>
      </c>
      <c r="K10683" s="33" t="s">
        <v>67</v>
      </c>
      <c r="L10683" s="31" t="s">
        <v>68</v>
      </c>
    </row>
    <row r="10684" spans="1:12">
      <c r="A10684" s="31" t="s">
        <v>69</v>
      </c>
      <c r="B10684" s="39" t="e">
        <f>TRUNC(A10672/100000000)</f>
        <v>#REF!</v>
      </c>
      <c r="C10684" s="31" t="e">
        <f>B10684*100000000</f>
        <v>#REF!</v>
      </c>
      <c r="D10684" s="31" t="e">
        <f t="shared" ref="D10684:D10690" si="1030">IF(B10684&lt;1,"",VLOOKUP(B10684,$J$3:$K$102,2))</f>
        <v>#REF!</v>
      </c>
      <c r="E10684" s="31" t="e">
        <f>IF(B10684&lt;1,"",IF(B10684&gt;1," Hundreds "," Hundred "))</f>
        <v>#REF!</v>
      </c>
      <c r="J10684" s="31">
        <v>10</v>
      </c>
      <c r="K10684" s="33" t="s">
        <v>70</v>
      </c>
      <c r="L10684" s="31" t="s">
        <v>71</v>
      </c>
    </row>
    <row r="10685" spans="1:12">
      <c r="A10685" s="31" t="s">
        <v>72</v>
      </c>
      <c r="B10685" s="39" t="e">
        <f>TRUNC((A10672-C10684)/1000000)</f>
        <v>#REF!</v>
      </c>
      <c r="C10685" s="31" t="e">
        <f>B10685*1000000</f>
        <v>#REF!</v>
      </c>
      <c r="D10685" s="31" t="e">
        <f t="shared" si="1030"/>
        <v>#REF!</v>
      </c>
      <c r="E10685" s="31" t="e">
        <f>IF(B10684+B10685=0,"",IF(B10685=1," Million "," Millions "))</f>
        <v>#REF!</v>
      </c>
      <c r="J10685" s="31">
        <v>11</v>
      </c>
      <c r="K10685" s="33" t="s">
        <v>73</v>
      </c>
      <c r="L10685" s="31" t="s">
        <v>74</v>
      </c>
    </row>
    <row r="10686" spans="1:12">
      <c r="A10686" s="31" t="s">
        <v>75</v>
      </c>
      <c r="B10686" s="39" t="e">
        <f>TRUNC((A10672-SUM(C10684:C10685))/100000)</f>
        <v>#REF!</v>
      </c>
      <c r="C10686" s="31" t="e">
        <f>B10686*100000</f>
        <v>#REF!</v>
      </c>
      <c r="D10686" s="31" t="e">
        <f t="shared" si="1030"/>
        <v>#REF!</v>
      </c>
      <c r="E10686" s="31" t="e">
        <f>IF(B10686&lt;1,"",IF(B10686&gt;1," Hundreds "," Hundred "))</f>
        <v>#REF!</v>
      </c>
      <c r="J10686" s="31">
        <v>12</v>
      </c>
      <c r="K10686" s="33" t="s">
        <v>76</v>
      </c>
      <c r="L10686" s="31" t="str">
        <f t="shared" ref="L10686:L10693" si="1031">L10676&amp;" Belas"</f>
        <v>Dua Belas</v>
      </c>
    </row>
    <row r="10687" spans="1:12">
      <c r="A10687" s="33" t="s">
        <v>77</v>
      </c>
      <c r="B10687" s="40" t="e">
        <f>TRUNC((A10672-SUM(C10684:C10686))/1000)</f>
        <v>#REF!</v>
      </c>
      <c r="C10687" s="31" t="e">
        <f>B10687*1000</f>
        <v>#REF!</v>
      </c>
      <c r="D10687" s="31" t="e">
        <f t="shared" si="1030"/>
        <v>#REF!</v>
      </c>
      <c r="E10687" s="31" t="e">
        <f>IF(B10686+B10687=0,"",IF(B10687=1," Thousand "," Thousands "))</f>
        <v>#REF!</v>
      </c>
      <c r="J10687" s="31">
        <v>13</v>
      </c>
      <c r="K10687" s="33" t="s">
        <v>78</v>
      </c>
      <c r="L10687" s="31" t="str">
        <f t="shared" si="1031"/>
        <v>Tiga Belas</v>
      </c>
    </row>
    <row r="10688" spans="1:12">
      <c r="A10688" s="33" t="s">
        <v>79</v>
      </c>
      <c r="B10688" s="40" t="e">
        <f>TRUNC((A10672-SUM(C10684:C10687))/100)</f>
        <v>#REF!</v>
      </c>
      <c r="C10688" s="31" t="e">
        <f>B10688*100</f>
        <v>#REF!</v>
      </c>
      <c r="D10688" s="31" t="e">
        <f t="shared" si="1030"/>
        <v>#REF!</v>
      </c>
      <c r="E10688" s="31" t="e">
        <f>IF(B10688&lt;1,"",IF(B10688&gt;1," Hundreds "," Hundred "))</f>
        <v>#REF!</v>
      </c>
      <c r="J10688" s="31">
        <v>14</v>
      </c>
      <c r="K10688" s="33" t="s">
        <v>80</v>
      </c>
      <c r="L10688" s="31" t="str">
        <f t="shared" si="1031"/>
        <v>Empat Belas</v>
      </c>
    </row>
    <row r="10689" spans="1:12">
      <c r="A10689" s="33" t="s">
        <v>81</v>
      </c>
      <c r="B10689" s="41" t="e">
        <f>TRUNC((A10672-SUM(C10684:C10688)))</f>
        <v>#REF!</v>
      </c>
      <c r="C10689" s="42" t="e">
        <f>B10689</f>
        <v>#REF!</v>
      </c>
      <c r="D10689" s="31" t="e">
        <f t="shared" si="1030"/>
        <v>#REF!</v>
      </c>
      <c r="E10689" s="31" t="e">
        <f>IF(SUM(C10684:C10689)&lt;1,"",IF(B10690&lt;1,""," And "))</f>
        <v>#REF!</v>
      </c>
      <c r="J10689" s="31">
        <v>15</v>
      </c>
      <c r="K10689" s="33" t="s">
        <v>82</v>
      </c>
      <c r="L10689" s="31" t="str">
        <f t="shared" si="1031"/>
        <v>Lima Belas</v>
      </c>
    </row>
    <row r="10690" spans="1:12">
      <c r="A10690" s="33" t="s">
        <v>83</v>
      </c>
      <c r="B10690" s="40" t="e">
        <f>ROUND(A10672-SUM(C10684:C10689),2)*100</f>
        <v>#REF!</v>
      </c>
      <c r="D10690" s="43" t="e">
        <f t="shared" si="1030"/>
        <v>#REF!</v>
      </c>
      <c r="E10690" s="31" t="e">
        <f>IF(B10690&lt;1,"",IF(B10690=1," Cent "," Cents "))</f>
        <v>#REF!</v>
      </c>
      <c r="J10690" s="31">
        <v>16</v>
      </c>
      <c r="K10690" s="33" t="s">
        <v>84</v>
      </c>
      <c r="L10690" s="31" t="str">
        <f t="shared" si="1031"/>
        <v>Enam Belas</v>
      </c>
    </row>
    <row r="10691" spans="1:12">
      <c r="J10691" s="31">
        <v>17</v>
      </c>
      <c r="K10691" s="33" t="s">
        <v>85</v>
      </c>
      <c r="L10691" s="31" t="str">
        <f t="shared" si="1031"/>
        <v>Tujuh Belas</v>
      </c>
    </row>
    <row r="10692" spans="1:12">
      <c r="A10692" s="44"/>
      <c r="J10692" s="31">
        <v>18</v>
      </c>
      <c r="K10692" s="33" t="s">
        <v>86</v>
      </c>
      <c r="L10692" s="31" t="str">
        <f t="shared" si="1031"/>
        <v>Delapan Belas</v>
      </c>
    </row>
    <row r="10693" spans="1:12">
      <c r="A10693" s="38" t="s">
        <v>87</v>
      </c>
      <c r="J10693" s="31">
        <v>19</v>
      </c>
      <c r="K10693" s="33" t="s">
        <v>88</v>
      </c>
      <c r="L10693" s="31" t="str">
        <f t="shared" si="1031"/>
        <v>Sembilan Belas</v>
      </c>
    </row>
    <row r="10694" spans="1:12">
      <c r="A10694" s="31" t="s">
        <v>69</v>
      </c>
      <c r="B10694" s="39" t="e">
        <f>TRUNC(A10672/100000000)</f>
        <v>#REF!</v>
      </c>
      <c r="C10694" s="31" t="e">
        <f>B10694*100000000</f>
        <v>#REF!</v>
      </c>
      <c r="D10694" s="31" t="e">
        <f>IF(B10694&lt;1,"",IF(B10694=1,"",VLOOKUP(B10694,$J$3:$L$102,3)))</f>
        <v>#REF!</v>
      </c>
      <c r="E10694" s="31" t="e">
        <f>IF(B10694&lt;1,"",IF(B10694=1,"Seratus "," Ratus "))</f>
        <v>#REF!</v>
      </c>
      <c r="J10694" s="31">
        <v>20</v>
      </c>
      <c r="K10694" s="33" t="s">
        <v>89</v>
      </c>
      <c r="L10694" s="31" t="s">
        <v>90</v>
      </c>
    </row>
    <row r="10695" spans="1:12">
      <c r="A10695" s="31" t="s">
        <v>72</v>
      </c>
      <c r="B10695" s="39" t="e">
        <f>TRUNC((A10672-C10694)/1000000)</f>
        <v>#REF!</v>
      </c>
      <c r="C10695" s="31" t="e">
        <f>B10695*1000000</f>
        <v>#REF!</v>
      </c>
      <c r="D10695" s="31" t="e">
        <f>IF(B10695&lt;1,"",VLOOKUP(B10695,$J$3:$L$102,3))</f>
        <v>#REF!</v>
      </c>
      <c r="E10695" s="31" t="e">
        <f>IF(B10694+B10695=0,""," Juta ")</f>
        <v>#REF!</v>
      </c>
      <c r="J10695" s="31">
        <v>21</v>
      </c>
      <c r="K10695" s="33" t="s">
        <v>91</v>
      </c>
      <c r="L10695" s="31" t="str">
        <f t="shared" ref="L10695:L10703" si="1032">$L$23&amp;" "&amp;L10675</f>
        <v>Dua Puluh Satu</v>
      </c>
    </row>
    <row r="10696" spans="1:12">
      <c r="A10696" s="31" t="s">
        <v>75</v>
      </c>
      <c r="B10696" s="39" t="e">
        <f>TRUNC((A10672-SUM(C10694:C10695))/100000)</f>
        <v>#REF!</v>
      </c>
      <c r="C10696" s="31" t="e">
        <f>B10696*100000</f>
        <v>#REF!</v>
      </c>
      <c r="D10696" s="31" t="e">
        <f>IF(B10696&lt;1,"",IF(B10696=1,"",VLOOKUP(B10696,$J$3:$L$102,3)))</f>
        <v>#REF!</v>
      </c>
      <c r="E10696" s="31" t="e">
        <f>IF(B10696&lt;1,"",IF(B10696=1," Seratus "," Ratus "))</f>
        <v>#REF!</v>
      </c>
      <c r="J10696" s="31">
        <v>22</v>
      </c>
      <c r="K10696" s="33" t="s">
        <v>92</v>
      </c>
      <c r="L10696" s="31" t="str">
        <f t="shared" si="1032"/>
        <v>Dua Puluh Dua</v>
      </c>
    </row>
    <row r="10697" spans="1:12">
      <c r="A10697" s="33" t="s">
        <v>77</v>
      </c>
      <c r="B10697" s="40" t="e">
        <f>TRUNC((A10672-SUM(C10694:C10696))/1000)</f>
        <v>#REF!</v>
      </c>
      <c r="C10697" s="31" t="e">
        <f>B10697*1000</f>
        <v>#REF!</v>
      </c>
      <c r="D10697" s="31" t="e">
        <f>IF(B10697&lt;1,"",IF(B10697=1,"",VLOOKUP(B10697,$J$3:$L$102,3)))</f>
        <v>#REF!</v>
      </c>
      <c r="E10697" s="31" t="e">
        <f>IF(B10696+B10697&lt;1,"",IF(B10697=1," Seribu "," Ribu "))</f>
        <v>#REF!</v>
      </c>
      <c r="J10697" s="31">
        <v>23</v>
      </c>
      <c r="K10697" s="33" t="s">
        <v>93</v>
      </c>
      <c r="L10697" s="31" t="str">
        <f t="shared" si="1032"/>
        <v>Dua Puluh Tiga</v>
      </c>
    </row>
    <row r="10698" spans="1:12">
      <c r="A10698" s="33" t="s">
        <v>79</v>
      </c>
      <c r="B10698" s="40" t="e">
        <f>TRUNC((A10672-SUM(C10694:C10697))/100)</f>
        <v>#REF!</v>
      </c>
      <c r="C10698" s="31" t="e">
        <f>B10698*100</f>
        <v>#REF!</v>
      </c>
      <c r="D10698" s="31" t="e">
        <f>IF(B10698&lt;1,"",IF(B10698=1,"",VLOOKUP(B10698,$J$3:$L$102,3)))</f>
        <v>#REF!</v>
      </c>
      <c r="E10698" s="31" t="e">
        <f>IF(B10698&lt;1,"",IF(B10698=1," Seratus "," Ratus "))</f>
        <v>#REF!</v>
      </c>
      <c r="J10698" s="31">
        <v>24</v>
      </c>
      <c r="K10698" s="33" t="s">
        <v>94</v>
      </c>
      <c r="L10698" s="31" t="str">
        <f t="shared" si="1032"/>
        <v>Dua Puluh Empat</v>
      </c>
    </row>
    <row r="10699" spans="1:12">
      <c r="A10699" s="33" t="s">
        <v>81</v>
      </c>
      <c r="B10699" s="41" t="e">
        <f>TRUNC((A10672-SUM(C10694:C10698)))</f>
        <v>#REF!</v>
      </c>
      <c r="C10699" s="42" t="e">
        <f>B10699</f>
        <v>#REF!</v>
      </c>
      <c r="D10699" s="31" t="e">
        <f>IF(B10699&lt;1,"",VLOOKUP(B10699,$J$3:$L$102,3))</f>
        <v>#REF!</v>
      </c>
      <c r="E10699" s="31" t="e">
        <f>IF(SUM(C10694:C10699)&lt;1,"",IF(B10700&lt;1,""," Dan "))</f>
        <v>#REF!</v>
      </c>
      <c r="J10699" s="31">
        <v>25</v>
      </c>
      <c r="K10699" s="33" t="s">
        <v>95</v>
      </c>
      <c r="L10699" s="31" t="str">
        <f t="shared" si="1032"/>
        <v>Dua Puluh Lima</v>
      </c>
    </row>
    <row r="10700" spans="1:12">
      <c r="A10700" s="33" t="s">
        <v>83</v>
      </c>
      <c r="B10700" s="40" t="e">
        <f>ROUND(A10672-SUM(C10694:C10699),2)*100</f>
        <v>#REF!</v>
      </c>
      <c r="D10700" s="31" t="e">
        <f>IF(B10700&lt;1,"",VLOOKUP(B10700,$J$3:$L$102,3))</f>
        <v>#REF!</v>
      </c>
      <c r="E10700" s="31" t="e">
        <f>IF(B10700&lt;1,""," Sen ")</f>
        <v>#REF!</v>
      </c>
      <c r="J10700" s="31">
        <v>26</v>
      </c>
      <c r="K10700" s="33" t="s">
        <v>96</v>
      </c>
      <c r="L10700" s="31" t="str">
        <f t="shared" si="1032"/>
        <v>Dua Puluh Enam</v>
      </c>
    </row>
    <row r="10701" spans="1:12">
      <c r="J10701" s="31">
        <v>27</v>
      </c>
      <c r="K10701" s="33" t="s">
        <v>97</v>
      </c>
      <c r="L10701" s="31" t="str">
        <f t="shared" si="1032"/>
        <v>Dua Puluh Tujuh</v>
      </c>
    </row>
    <row r="10702" spans="1:12">
      <c r="J10702" s="31">
        <v>28</v>
      </c>
      <c r="K10702" s="33" t="s">
        <v>98</v>
      </c>
      <c r="L10702" s="31" t="str">
        <f t="shared" si="1032"/>
        <v>Dua Puluh Delapan</v>
      </c>
    </row>
    <row r="10703" spans="1:12">
      <c r="J10703" s="31">
        <v>29</v>
      </c>
      <c r="K10703" s="33" t="s">
        <v>99</v>
      </c>
      <c r="L10703" s="31" t="str">
        <f t="shared" si="1032"/>
        <v>Dua Puluh Sembilan</v>
      </c>
    </row>
    <row r="10704" spans="1:12">
      <c r="J10704" s="31">
        <v>30</v>
      </c>
      <c r="K10704" s="33" t="s">
        <v>100</v>
      </c>
      <c r="L10704" s="31" t="s">
        <v>101</v>
      </c>
    </row>
    <row r="10705" spans="1:12">
      <c r="J10705" s="31">
        <v>31</v>
      </c>
      <c r="K10705" s="33" t="s">
        <v>102</v>
      </c>
      <c r="L10705" s="31" t="str">
        <f t="shared" ref="L10705:L10713" si="1033">$L$33&amp;" "&amp;L10675</f>
        <v>Tiga Puluh Satu</v>
      </c>
    </row>
    <row r="10706" spans="1:12">
      <c r="J10706" s="31">
        <v>32</v>
      </c>
      <c r="K10706" s="33" t="s">
        <v>103</v>
      </c>
      <c r="L10706" s="31" t="str">
        <f t="shared" si="1033"/>
        <v>Tiga Puluh Dua</v>
      </c>
    </row>
    <row r="10707" spans="1:12">
      <c r="J10707" s="31">
        <v>33</v>
      </c>
      <c r="K10707" s="33" t="s">
        <v>104</v>
      </c>
      <c r="L10707" s="31" t="str">
        <f t="shared" si="1033"/>
        <v>Tiga Puluh Tiga</v>
      </c>
    </row>
    <row r="10708" spans="1:12">
      <c r="J10708" s="31">
        <v>34</v>
      </c>
      <c r="K10708" s="33" t="s">
        <v>105</v>
      </c>
      <c r="L10708" s="31" t="str">
        <f t="shared" si="1033"/>
        <v>Tiga Puluh Empat</v>
      </c>
    </row>
    <row r="10709" spans="1:12">
      <c r="J10709" s="31">
        <v>35</v>
      </c>
      <c r="K10709" s="33" t="s">
        <v>106</v>
      </c>
      <c r="L10709" s="31" t="str">
        <f t="shared" si="1033"/>
        <v>Tiga Puluh Lima</v>
      </c>
    </row>
    <row r="10710" spans="1:12">
      <c r="J10710" s="31">
        <v>36</v>
      </c>
      <c r="K10710" s="33" t="s">
        <v>107</v>
      </c>
      <c r="L10710" s="31" t="str">
        <f t="shared" si="1033"/>
        <v>Tiga Puluh Enam</v>
      </c>
    </row>
    <row r="10711" spans="1:12">
      <c r="J10711" s="31">
        <v>37</v>
      </c>
      <c r="K10711" s="33" t="s">
        <v>108</v>
      </c>
      <c r="L10711" s="31" t="str">
        <f t="shared" si="1033"/>
        <v>Tiga Puluh Tujuh</v>
      </c>
    </row>
    <row r="10712" spans="1:12">
      <c r="J10712" s="31">
        <v>38</v>
      </c>
      <c r="K10712" s="33" t="s">
        <v>109</v>
      </c>
      <c r="L10712" s="31" t="str">
        <f t="shared" si="1033"/>
        <v>Tiga Puluh Delapan</v>
      </c>
    </row>
    <row r="10713" spans="1:12">
      <c r="J10713" s="31">
        <v>39</v>
      </c>
      <c r="K10713" s="33" t="s">
        <v>110</v>
      </c>
      <c r="L10713" s="31" t="str">
        <f t="shared" si="1033"/>
        <v>Tiga Puluh Sembilan</v>
      </c>
    </row>
    <row r="10714" spans="1:12">
      <c r="B10714" s="35"/>
      <c r="C10714" s="35"/>
      <c r="D10714" s="35"/>
      <c r="J10714" s="31">
        <v>40</v>
      </c>
      <c r="K10714" s="33" t="s">
        <v>111</v>
      </c>
      <c r="L10714" s="31" t="s">
        <v>112</v>
      </c>
    </row>
    <row r="10715" spans="1:12">
      <c r="A10715" s="35"/>
      <c r="B10715" s="35"/>
      <c r="C10715" s="35"/>
      <c r="D10715" s="35"/>
      <c r="J10715" s="31">
        <v>41</v>
      </c>
      <c r="K10715" s="33" t="s">
        <v>113</v>
      </c>
      <c r="L10715" s="31" t="str">
        <f t="shared" ref="L10715:L10723" si="1034">$L$43&amp;" "&amp;L10675</f>
        <v>Empat Puluh Satu</v>
      </c>
    </row>
    <row r="10716" spans="1:12">
      <c r="J10716" s="31">
        <v>42</v>
      </c>
      <c r="K10716" s="33" t="s">
        <v>114</v>
      </c>
      <c r="L10716" s="31" t="str">
        <f t="shared" si="1034"/>
        <v>Empat Puluh Dua</v>
      </c>
    </row>
    <row r="10717" spans="1:12">
      <c r="A10717" s="38"/>
      <c r="J10717" s="31">
        <v>43</v>
      </c>
      <c r="K10717" s="33" t="s">
        <v>115</v>
      </c>
      <c r="L10717" s="31" t="str">
        <f t="shared" si="1034"/>
        <v>Empat Puluh Tiga</v>
      </c>
    </row>
    <row r="10718" spans="1:12">
      <c r="J10718" s="31">
        <v>44</v>
      </c>
      <c r="K10718" s="33" t="s">
        <v>116</v>
      </c>
      <c r="L10718" s="31" t="str">
        <f t="shared" si="1034"/>
        <v>Empat Puluh Empat</v>
      </c>
    </row>
    <row r="10719" spans="1:12">
      <c r="J10719" s="31">
        <v>45</v>
      </c>
      <c r="K10719" s="33" t="s">
        <v>117</v>
      </c>
      <c r="L10719" s="31" t="str">
        <f t="shared" si="1034"/>
        <v>Empat Puluh Lima</v>
      </c>
    </row>
    <row r="10720" spans="1:12">
      <c r="J10720" s="31">
        <v>46</v>
      </c>
      <c r="K10720" s="33" t="s">
        <v>118</v>
      </c>
      <c r="L10720" s="31" t="str">
        <f t="shared" si="1034"/>
        <v>Empat Puluh Enam</v>
      </c>
    </row>
    <row r="10721" spans="10:12">
      <c r="J10721" s="31">
        <v>47</v>
      </c>
      <c r="K10721" s="33" t="s">
        <v>119</v>
      </c>
      <c r="L10721" s="31" t="str">
        <f t="shared" si="1034"/>
        <v>Empat Puluh Tujuh</v>
      </c>
    </row>
    <row r="10722" spans="10:12">
      <c r="J10722" s="31">
        <v>48</v>
      </c>
      <c r="K10722" s="33" t="s">
        <v>120</v>
      </c>
      <c r="L10722" s="31" t="str">
        <f t="shared" si="1034"/>
        <v>Empat Puluh Delapan</v>
      </c>
    </row>
    <row r="10723" spans="10:12">
      <c r="J10723" s="31">
        <v>49</v>
      </c>
      <c r="K10723" s="33" t="s">
        <v>121</v>
      </c>
      <c r="L10723" s="31" t="str">
        <f t="shared" si="1034"/>
        <v>Empat Puluh Sembilan</v>
      </c>
    </row>
    <row r="10724" spans="10:12">
      <c r="J10724" s="31">
        <v>50</v>
      </c>
      <c r="K10724" s="33" t="s">
        <v>122</v>
      </c>
      <c r="L10724" s="31" t="s">
        <v>123</v>
      </c>
    </row>
    <row r="10725" spans="10:12">
      <c r="J10725" s="31">
        <v>51</v>
      </c>
      <c r="K10725" s="33" t="s">
        <v>124</v>
      </c>
      <c r="L10725" s="31" t="str">
        <f t="shared" ref="L10725:L10733" si="1035">$L$53&amp;" "&amp;L10675</f>
        <v>Lima Puluh Satu</v>
      </c>
    </row>
    <row r="10726" spans="10:12">
      <c r="J10726" s="31">
        <v>52</v>
      </c>
      <c r="K10726" s="33" t="s">
        <v>125</v>
      </c>
      <c r="L10726" s="31" t="str">
        <f t="shared" si="1035"/>
        <v>Lima Puluh Dua</v>
      </c>
    </row>
    <row r="10727" spans="10:12">
      <c r="J10727" s="31">
        <v>53</v>
      </c>
      <c r="K10727" s="33" t="s">
        <v>126</v>
      </c>
      <c r="L10727" s="31" t="str">
        <f t="shared" si="1035"/>
        <v>Lima Puluh Tiga</v>
      </c>
    </row>
    <row r="10728" spans="10:12">
      <c r="J10728" s="31">
        <v>54</v>
      </c>
      <c r="K10728" s="33" t="s">
        <v>127</v>
      </c>
      <c r="L10728" s="31" t="str">
        <f t="shared" si="1035"/>
        <v>Lima Puluh Empat</v>
      </c>
    </row>
    <row r="10729" spans="10:12">
      <c r="J10729" s="31">
        <v>55</v>
      </c>
      <c r="K10729" s="33" t="s">
        <v>128</v>
      </c>
      <c r="L10729" s="31" t="str">
        <f t="shared" si="1035"/>
        <v>Lima Puluh Lima</v>
      </c>
    </row>
    <row r="10730" spans="10:12">
      <c r="J10730" s="31">
        <v>56</v>
      </c>
      <c r="K10730" s="33" t="s">
        <v>129</v>
      </c>
      <c r="L10730" s="31" t="str">
        <f t="shared" si="1035"/>
        <v>Lima Puluh Enam</v>
      </c>
    </row>
    <row r="10731" spans="10:12">
      <c r="J10731" s="31">
        <v>57</v>
      </c>
      <c r="K10731" s="33" t="s">
        <v>130</v>
      </c>
      <c r="L10731" s="31" t="str">
        <f t="shared" si="1035"/>
        <v>Lima Puluh Tujuh</v>
      </c>
    </row>
    <row r="10732" spans="10:12">
      <c r="J10732" s="31">
        <v>58</v>
      </c>
      <c r="K10732" s="33" t="s">
        <v>131</v>
      </c>
      <c r="L10732" s="31" t="str">
        <f t="shared" si="1035"/>
        <v>Lima Puluh Delapan</v>
      </c>
    </row>
    <row r="10733" spans="10:12">
      <c r="J10733" s="31">
        <v>59</v>
      </c>
      <c r="K10733" s="33" t="s">
        <v>132</v>
      </c>
      <c r="L10733" s="31" t="str">
        <f t="shared" si="1035"/>
        <v>Lima Puluh Sembilan</v>
      </c>
    </row>
    <row r="10734" spans="10:12">
      <c r="J10734" s="31">
        <v>60</v>
      </c>
      <c r="K10734" s="33" t="s">
        <v>133</v>
      </c>
      <c r="L10734" s="31" t="s">
        <v>134</v>
      </c>
    </row>
    <row r="10735" spans="10:12">
      <c r="J10735" s="31">
        <v>61</v>
      </c>
      <c r="K10735" s="33" t="s">
        <v>135</v>
      </c>
      <c r="L10735" s="31" t="str">
        <f t="shared" ref="L10735:L10743" si="1036">$L$63&amp;" "&amp;L10675</f>
        <v>Enam Puluh Satu</v>
      </c>
    </row>
    <row r="10736" spans="10:12">
      <c r="J10736" s="31">
        <v>62</v>
      </c>
      <c r="K10736" s="33" t="s">
        <v>136</v>
      </c>
      <c r="L10736" s="31" t="str">
        <f t="shared" si="1036"/>
        <v>Enam Puluh Dua</v>
      </c>
    </row>
    <row r="10737" spans="10:12">
      <c r="J10737" s="31">
        <v>63</v>
      </c>
      <c r="K10737" s="33" t="s">
        <v>137</v>
      </c>
      <c r="L10737" s="31" t="str">
        <f t="shared" si="1036"/>
        <v>Enam Puluh Tiga</v>
      </c>
    </row>
    <row r="10738" spans="10:12">
      <c r="J10738" s="31">
        <v>64</v>
      </c>
      <c r="K10738" s="33" t="s">
        <v>138</v>
      </c>
      <c r="L10738" s="31" t="str">
        <f t="shared" si="1036"/>
        <v>Enam Puluh Empat</v>
      </c>
    </row>
    <row r="10739" spans="10:12">
      <c r="J10739" s="31">
        <v>65</v>
      </c>
      <c r="K10739" s="33" t="s">
        <v>139</v>
      </c>
      <c r="L10739" s="31" t="str">
        <f t="shared" si="1036"/>
        <v>Enam Puluh Lima</v>
      </c>
    </row>
    <row r="10740" spans="10:12">
      <c r="J10740" s="31">
        <v>66</v>
      </c>
      <c r="K10740" s="33" t="s">
        <v>140</v>
      </c>
      <c r="L10740" s="31" t="str">
        <f t="shared" si="1036"/>
        <v>Enam Puluh Enam</v>
      </c>
    </row>
    <row r="10741" spans="10:12">
      <c r="J10741" s="31">
        <v>67</v>
      </c>
      <c r="K10741" s="33" t="s">
        <v>141</v>
      </c>
      <c r="L10741" s="31" t="str">
        <f t="shared" si="1036"/>
        <v>Enam Puluh Tujuh</v>
      </c>
    </row>
    <row r="10742" spans="10:12">
      <c r="J10742" s="31">
        <v>68</v>
      </c>
      <c r="K10742" s="33" t="s">
        <v>142</v>
      </c>
      <c r="L10742" s="31" t="str">
        <f t="shared" si="1036"/>
        <v>Enam Puluh Delapan</v>
      </c>
    </row>
    <row r="10743" spans="10:12">
      <c r="J10743" s="31">
        <v>69</v>
      </c>
      <c r="K10743" s="33" t="s">
        <v>143</v>
      </c>
      <c r="L10743" s="31" t="str">
        <f t="shared" si="1036"/>
        <v>Enam Puluh Sembilan</v>
      </c>
    </row>
    <row r="10744" spans="10:12">
      <c r="J10744" s="31">
        <v>70</v>
      </c>
      <c r="K10744" s="33" t="s">
        <v>144</v>
      </c>
      <c r="L10744" s="31" t="s">
        <v>145</v>
      </c>
    </row>
    <row r="10745" spans="10:12">
      <c r="J10745" s="31">
        <v>71</v>
      </c>
      <c r="K10745" s="33" t="s">
        <v>146</v>
      </c>
      <c r="L10745" s="31" t="str">
        <f t="shared" ref="L10745:L10753" si="1037">$L$73&amp;" "&amp;L10675</f>
        <v>Tujuh Puluh Satu</v>
      </c>
    </row>
    <row r="10746" spans="10:12">
      <c r="J10746" s="31">
        <v>72</v>
      </c>
      <c r="K10746" s="33" t="s">
        <v>147</v>
      </c>
      <c r="L10746" s="31" t="str">
        <f t="shared" si="1037"/>
        <v>Tujuh Puluh Dua</v>
      </c>
    </row>
    <row r="10747" spans="10:12">
      <c r="J10747" s="31">
        <v>73</v>
      </c>
      <c r="K10747" s="33" t="s">
        <v>148</v>
      </c>
      <c r="L10747" s="31" t="str">
        <f t="shared" si="1037"/>
        <v>Tujuh Puluh Tiga</v>
      </c>
    </row>
    <row r="10748" spans="10:12">
      <c r="J10748" s="31">
        <v>74</v>
      </c>
      <c r="K10748" s="33" t="s">
        <v>149</v>
      </c>
      <c r="L10748" s="31" t="str">
        <f t="shared" si="1037"/>
        <v>Tujuh Puluh Empat</v>
      </c>
    </row>
    <row r="10749" spans="10:12">
      <c r="J10749" s="31">
        <v>75</v>
      </c>
      <c r="K10749" s="33" t="s">
        <v>150</v>
      </c>
      <c r="L10749" s="31" t="str">
        <f t="shared" si="1037"/>
        <v>Tujuh Puluh Lima</v>
      </c>
    </row>
    <row r="10750" spans="10:12">
      <c r="J10750" s="31">
        <v>76</v>
      </c>
      <c r="K10750" s="33" t="s">
        <v>151</v>
      </c>
      <c r="L10750" s="31" t="str">
        <f t="shared" si="1037"/>
        <v>Tujuh Puluh Enam</v>
      </c>
    </row>
    <row r="10751" spans="10:12">
      <c r="J10751" s="31">
        <v>77</v>
      </c>
      <c r="K10751" s="33" t="s">
        <v>152</v>
      </c>
      <c r="L10751" s="31" t="str">
        <f t="shared" si="1037"/>
        <v>Tujuh Puluh Tujuh</v>
      </c>
    </row>
    <row r="10752" spans="10:12">
      <c r="J10752" s="31">
        <v>78</v>
      </c>
      <c r="K10752" s="33" t="s">
        <v>153</v>
      </c>
      <c r="L10752" s="31" t="str">
        <f t="shared" si="1037"/>
        <v>Tujuh Puluh Delapan</v>
      </c>
    </row>
    <row r="10753" spans="10:12">
      <c r="J10753" s="31">
        <v>79</v>
      </c>
      <c r="K10753" s="33" t="s">
        <v>154</v>
      </c>
      <c r="L10753" s="31" t="str">
        <f t="shared" si="1037"/>
        <v>Tujuh Puluh Sembilan</v>
      </c>
    </row>
    <row r="10754" spans="10:12">
      <c r="J10754" s="31">
        <v>80</v>
      </c>
      <c r="K10754" s="33" t="s">
        <v>155</v>
      </c>
      <c r="L10754" s="31" t="s">
        <v>156</v>
      </c>
    </row>
    <row r="10755" spans="10:12">
      <c r="J10755" s="31">
        <v>81</v>
      </c>
      <c r="K10755" s="33" t="s">
        <v>157</v>
      </c>
      <c r="L10755" s="31" t="str">
        <f t="shared" ref="L10755:L10763" si="1038">$L$83&amp;" "&amp;L10675</f>
        <v>Delapan Puluh Satu</v>
      </c>
    </row>
    <row r="10756" spans="10:12">
      <c r="J10756" s="31">
        <v>82</v>
      </c>
      <c r="K10756" s="33" t="s">
        <v>158</v>
      </c>
      <c r="L10756" s="31" t="str">
        <f t="shared" si="1038"/>
        <v>Delapan Puluh Dua</v>
      </c>
    </row>
    <row r="10757" spans="10:12">
      <c r="J10757" s="31">
        <v>83</v>
      </c>
      <c r="K10757" s="33" t="s">
        <v>159</v>
      </c>
      <c r="L10757" s="31" t="str">
        <f t="shared" si="1038"/>
        <v>Delapan Puluh Tiga</v>
      </c>
    </row>
    <row r="10758" spans="10:12">
      <c r="J10758" s="31">
        <v>84</v>
      </c>
      <c r="K10758" s="33" t="s">
        <v>160</v>
      </c>
      <c r="L10758" s="31" t="str">
        <f t="shared" si="1038"/>
        <v>Delapan Puluh Empat</v>
      </c>
    </row>
    <row r="10759" spans="10:12">
      <c r="J10759" s="31">
        <v>85</v>
      </c>
      <c r="K10759" s="33" t="s">
        <v>161</v>
      </c>
      <c r="L10759" s="31" t="str">
        <f t="shared" si="1038"/>
        <v>Delapan Puluh Lima</v>
      </c>
    </row>
    <row r="10760" spans="10:12">
      <c r="J10760" s="31">
        <v>86</v>
      </c>
      <c r="K10760" s="33" t="s">
        <v>162</v>
      </c>
      <c r="L10760" s="31" t="str">
        <f t="shared" si="1038"/>
        <v>Delapan Puluh Enam</v>
      </c>
    </row>
    <row r="10761" spans="10:12">
      <c r="J10761" s="31">
        <v>87</v>
      </c>
      <c r="K10761" s="33" t="s">
        <v>163</v>
      </c>
      <c r="L10761" s="31" t="str">
        <f t="shared" si="1038"/>
        <v>Delapan Puluh Tujuh</v>
      </c>
    </row>
    <row r="10762" spans="10:12">
      <c r="J10762" s="31">
        <v>88</v>
      </c>
      <c r="K10762" s="33" t="s">
        <v>164</v>
      </c>
      <c r="L10762" s="31" t="str">
        <f t="shared" si="1038"/>
        <v>Delapan Puluh Delapan</v>
      </c>
    </row>
    <row r="10763" spans="10:12">
      <c r="J10763" s="31">
        <v>89</v>
      </c>
      <c r="K10763" s="33" t="s">
        <v>165</v>
      </c>
      <c r="L10763" s="31" t="str">
        <f t="shared" si="1038"/>
        <v>Delapan Puluh Sembilan</v>
      </c>
    </row>
    <row r="10764" spans="10:12">
      <c r="J10764" s="31">
        <v>90</v>
      </c>
      <c r="K10764" s="33" t="s">
        <v>166</v>
      </c>
      <c r="L10764" s="31" t="s">
        <v>167</v>
      </c>
    </row>
    <row r="10765" spans="10:12">
      <c r="J10765" s="31">
        <v>91</v>
      </c>
      <c r="K10765" s="33" t="s">
        <v>168</v>
      </c>
      <c r="L10765" s="31" t="str">
        <f t="shared" ref="L10765:L10773" si="1039">$L$93&amp;" "&amp;L10675</f>
        <v>Sembilan Puluh Satu</v>
      </c>
    </row>
    <row r="10766" spans="10:12">
      <c r="J10766" s="31">
        <v>92</v>
      </c>
      <c r="K10766" s="33" t="s">
        <v>169</v>
      </c>
      <c r="L10766" s="31" t="str">
        <f t="shared" si="1039"/>
        <v>Sembilan Puluh Dua</v>
      </c>
    </row>
    <row r="10767" spans="10:12">
      <c r="J10767" s="31">
        <v>93</v>
      </c>
      <c r="K10767" s="33" t="s">
        <v>170</v>
      </c>
      <c r="L10767" s="31" t="str">
        <f t="shared" si="1039"/>
        <v>Sembilan Puluh Tiga</v>
      </c>
    </row>
    <row r="10768" spans="10:12">
      <c r="J10768" s="31">
        <v>94</v>
      </c>
      <c r="K10768" s="33" t="s">
        <v>171</v>
      </c>
      <c r="L10768" s="31" t="str">
        <f t="shared" si="1039"/>
        <v>Sembilan Puluh Empat</v>
      </c>
    </row>
    <row r="10769" spans="1:12">
      <c r="J10769" s="31">
        <v>95</v>
      </c>
      <c r="K10769" s="33" t="s">
        <v>172</v>
      </c>
      <c r="L10769" s="31" t="str">
        <f t="shared" si="1039"/>
        <v>Sembilan Puluh Lima</v>
      </c>
    </row>
    <row r="10770" spans="1:12">
      <c r="J10770" s="31">
        <v>96</v>
      </c>
      <c r="K10770" s="33" t="s">
        <v>173</v>
      </c>
      <c r="L10770" s="31" t="str">
        <f t="shared" si="1039"/>
        <v>Sembilan Puluh Enam</v>
      </c>
    </row>
    <row r="10771" spans="1:12">
      <c r="J10771" s="31">
        <v>97</v>
      </c>
      <c r="K10771" s="33" t="s">
        <v>174</v>
      </c>
      <c r="L10771" s="31" t="str">
        <f t="shared" si="1039"/>
        <v>Sembilan Puluh Tujuh</v>
      </c>
    </row>
    <row r="10772" spans="1:12">
      <c r="J10772" s="31">
        <v>98</v>
      </c>
      <c r="K10772" s="33" t="s">
        <v>175</v>
      </c>
      <c r="L10772" s="31" t="str">
        <f t="shared" si="1039"/>
        <v>Sembilan Puluh Delapan</v>
      </c>
    </row>
    <row r="10773" spans="1:12">
      <c r="J10773" s="31">
        <v>99</v>
      </c>
      <c r="K10773" s="33" t="s">
        <v>176</v>
      </c>
      <c r="L10773" s="31" t="str">
        <f t="shared" si="1039"/>
        <v>Sembilan Puluh Sembilan</v>
      </c>
    </row>
    <row r="10776" spans="1:12">
      <c r="A10776" s="30" t="e">
        <f>#REF!</f>
        <v>#REF!</v>
      </c>
      <c r="C10776" s="31" t="s">
        <v>337</v>
      </c>
    </row>
    <row r="10777" spans="1:12">
      <c r="A10777" s="32"/>
    </row>
    <row r="10778" spans="1:12">
      <c r="J10778" s="31">
        <v>0</v>
      </c>
      <c r="K10778" s="33" t="s">
        <v>48</v>
      </c>
      <c r="L10778" s="31" t="s">
        <v>49</v>
      </c>
    </row>
    <row r="10779" spans="1:12">
      <c r="A10779" s="34"/>
      <c r="J10779" s="31">
        <v>1</v>
      </c>
      <c r="K10779" s="33" t="s">
        <v>50</v>
      </c>
      <c r="L10779" s="31" t="s">
        <v>51</v>
      </c>
    </row>
    <row r="10780" spans="1:12">
      <c r="A10780" s="255" t="e">
        <f>TRIM(D10788&amp;E10788&amp;D10789&amp;E10789&amp;D10790&amp;E10790&amp;D10791&amp;E10791&amp;D10792&amp;E10792&amp;D10793&amp;E10793&amp;E10794&amp;D10794&amp;" Only")</f>
        <v>#REF!</v>
      </c>
      <c r="B10780" s="255"/>
      <c r="C10780" s="255"/>
      <c r="D10780" s="255"/>
      <c r="E10780" s="35"/>
      <c r="F10780" s="36"/>
      <c r="J10780" s="31">
        <v>2</v>
      </c>
      <c r="K10780" s="33" t="s">
        <v>52</v>
      </c>
      <c r="L10780" s="31" t="s">
        <v>53</v>
      </c>
    </row>
    <row r="10781" spans="1:12">
      <c r="A10781" s="37"/>
      <c r="B10781" s="37"/>
      <c r="C10781" s="37"/>
      <c r="D10781" s="37"/>
      <c r="E10781" s="35"/>
      <c r="F10781" s="36"/>
      <c r="J10781" s="31">
        <v>3</v>
      </c>
      <c r="K10781" s="33" t="s">
        <v>54</v>
      </c>
      <c r="L10781" s="31" t="s">
        <v>55</v>
      </c>
    </row>
    <row r="10782" spans="1:12">
      <c r="A10782" s="37"/>
      <c r="B10782" s="37"/>
      <c r="C10782" s="37"/>
      <c r="D10782" s="37"/>
      <c r="J10782" s="31">
        <v>4</v>
      </c>
      <c r="K10782" s="33" t="s">
        <v>56</v>
      </c>
      <c r="L10782" s="31" t="s">
        <v>57</v>
      </c>
    </row>
    <row r="10783" spans="1:12">
      <c r="A10783" s="255" t="e">
        <f>TRIM(D10798&amp;E10798&amp;D10799&amp;E10799&amp;D10800&amp;E10800&amp;D10801&amp;E10801&amp;D10802&amp;E10802&amp;D10803&amp;E10803&amp;D10804&amp;E10804&amp;" Rupiah")</f>
        <v>#REF!</v>
      </c>
      <c r="B10783" s="255"/>
      <c r="C10783" s="255"/>
      <c r="D10783" s="255"/>
      <c r="E10783" s="35"/>
      <c r="F10783" s="36"/>
      <c r="J10783" s="31">
        <v>5</v>
      </c>
      <c r="K10783" s="33" t="s">
        <v>58</v>
      </c>
      <c r="L10783" s="31" t="s">
        <v>59</v>
      </c>
    </row>
    <row r="10784" spans="1:12">
      <c r="A10784" s="35"/>
      <c r="B10784" s="35"/>
      <c r="C10784" s="35"/>
      <c r="D10784" s="35"/>
      <c r="E10784" s="35"/>
      <c r="F10784" s="36"/>
      <c r="J10784" s="31">
        <v>6</v>
      </c>
      <c r="K10784" s="33" t="s">
        <v>60</v>
      </c>
      <c r="L10784" s="31" t="s">
        <v>61</v>
      </c>
    </row>
    <row r="10785" spans="1:12">
      <c r="J10785" s="31">
        <v>7</v>
      </c>
      <c r="K10785" s="33" t="s">
        <v>62</v>
      </c>
      <c r="L10785" s="31" t="s">
        <v>63</v>
      </c>
    </row>
    <row r="10786" spans="1:12">
      <c r="J10786" s="31">
        <v>8</v>
      </c>
      <c r="K10786" s="33" t="s">
        <v>64</v>
      </c>
      <c r="L10786" s="31" t="s">
        <v>65</v>
      </c>
    </row>
    <row r="10787" spans="1:12">
      <c r="A10787" s="38" t="s">
        <v>66</v>
      </c>
      <c r="J10787" s="31">
        <v>9</v>
      </c>
      <c r="K10787" s="33" t="s">
        <v>67</v>
      </c>
      <c r="L10787" s="31" t="s">
        <v>68</v>
      </c>
    </row>
    <row r="10788" spans="1:12">
      <c r="A10788" s="31" t="s">
        <v>69</v>
      </c>
      <c r="B10788" s="39" t="e">
        <f>TRUNC(A10776/100000000)</f>
        <v>#REF!</v>
      </c>
      <c r="C10788" s="31" t="e">
        <f>B10788*100000000</f>
        <v>#REF!</v>
      </c>
      <c r="D10788" s="31" t="e">
        <f t="shared" ref="D10788:D10794" si="1040">IF(B10788&lt;1,"",VLOOKUP(B10788,$J$3:$K$102,2))</f>
        <v>#REF!</v>
      </c>
      <c r="E10788" s="31" t="e">
        <f>IF(B10788&lt;1,"",IF(B10788&gt;1," Hundreds "," Hundred "))</f>
        <v>#REF!</v>
      </c>
      <c r="J10788" s="31">
        <v>10</v>
      </c>
      <c r="K10788" s="33" t="s">
        <v>70</v>
      </c>
      <c r="L10788" s="31" t="s">
        <v>71</v>
      </c>
    </row>
    <row r="10789" spans="1:12">
      <c r="A10789" s="31" t="s">
        <v>72</v>
      </c>
      <c r="B10789" s="39" t="e">
        <f>TRUNC((A10776-C10788)/1000000)</f>
        <v>#REF!</v>
      </c>
      <c r="C10789" s="31" t="e">
        <f>B10789*1000000</f>
        <v>#REF!</v>
      </c>
      <c r="D10789" s="31" t="e">
        <f t="shared" si="1040"/>
        <v>#REF!</v>
      </c>
      <c r="E10789" s="31" t="e">
        <f>IF(B10788+B10789=0,"",IF(B10789=1," Million "," Millions "))</f>
        <v>#REF!</v>
      </c>
      <c r="J10789" s="31">
        <v>11</v>
      </c>
      <c r="K10789" s="33" t="s">
        <v>73</v>
      </c>
      <c r="L10789" s="31" t="s">
        <v>74</v>
      </c>
    </row>
    <row r="10790" spans="1:12">
      <c r="A10790" s="31" t="s">
        <v>75</v>
      </c>
      <c r="B10790" s="39" t="e">
        <f>TRUNC((A10776-SUM(C10788:C10789))/100000)</f>
        <v>#REF!</v>
      </c>
      <c r="C10790" s="31" t="e">
        <f>B10790*100000</f>
        <v>#REF!</v>
      </c>
      <c r="D10790" s="31" t="e">
        <f t="shared" si="1040"/>
        <v>#REF!</v>
      </c>
      <c r="E10790" s="31" t="e">
        <f>IF(B10790&lt;1,"",IF(B10790&gt;1," Hundreds "," Hundred "))</f>
        <v>#REF!</v>
      </c>
      <c r="J10790" s="31">
        <v>12</v>
      </c>
      <c r="K10790" s="33" t="s">
        <v>76</v>
      </c>
      <c r="L10790" s="31" t="str">
        <f t="shared" ref="L10790:L10797" si="1041">L10780&amp;" Belas"</f>
        <v>Dua Belas</v>
      </c>
    </row>
    <row r="10791" spans="1:12">
      <c r="A10791" s="33" t="s">
        <v>77</v>
      </c>
      <c r="B10791" s="40" t="e">
        <f>TRUNC((A10776-SUM(C10788:C10790))/1000)</f>
        <v>#REF!</v>
      </c>
      <c r="C10791" s="31" t="e">
        <f>B10791*1000</f>
        <v>#REF!</v>
      </c>
      <c r="D10791" s="31" t="e">
        <f t="shared" si="1040"/>
        <v>#REF!</v>
      </c>
      <c r="E10791" s="31" t="e">
        <f>IF(B10790+B10791=0,"",IF(B10791=1," Thousand "," Thousands "))</f>
        <v>#REF!</v>
      </c>
      <c r="J10791" s="31">
        <v>13</v>
      </c>
      <c r="K10791" s="33" t="s">
        <v>78</v>
      </c>
      <c r="L10791" s="31" t="str">
        <f t="shared" si="1041"/>
        <v>Tiga Belas</v>
      </c>
    </row>
    <row r="10792" spans="1:12">
      <c r="A10792" s="33" t="s">
        <v>79</v>
      </c>
      <c r="B10792" s="40" t="e">
        <f>TRUNC((A10776-SUM(C10788:C10791))/100)</f>
        <v>#REF!</v>
      </c>
      <c r="C10792" s="31" t="e">
        <f>B10792*100</f>
        <v>#REF!</v>
      </c>
      <c r="D10792" s="31" t="e">
        <f t="shared" si="1040"/>
        <v>#REF!</v>
      </c>
      <c r="E10792" s="31" t="e">
        <f>IF(B10792&lt;1,"",IF(B10792&gt;1," Hundreds "," Hundred "))</f>
        <v>#REF!</v>
      </c>
      <c r="J10792" s="31">
        <v>14</v>
      </c>
      <c r="K10792" s="33" t="s">
        <v>80</v>
      </c>
      <c r="L10792" s="31" t="str">
        <f t="shared" si="1041"/>
        <v>Empat Belas</v>
      </c>
    </row>
    <row r="10793" spans="1:12">
      <c r="A10793" s="33" t="s">
        <v>81</v>
      </c>
      <c r="B10793" s="41" t="e">
        <f>TRUNC((A10776-SUM(C10788:C10792)))</f>
        <v>#REF!</v>
      </c>
      <c r="C10793" s="42" t="e">
        <f>B10793</f>
        <v>#REF!</v>
      </c>
      <c r="D10793" s="31" t="e">
        <f t="shared" si="1040"/>
        <v>#REF!</v>
      </c>
      <c r="E10793" s="31" t="e">
        <f>IF(SUM(C10788:C10793)&lt;1,"",IF(B10794&lt;1,""," And "))</f>
        <v>#REF!</v>
      </c>
      <c r="J10793" s="31">
        <v>15</v>
      </c>
      <c r="K10793" s="33" t="s">
        <v>82</v>
      </c>
      <c r="L10793" s="31" t="str">
        <f t="shared" si="1041"/>
        <v>Lima Belas</v>
      </c>
    </row>
    <row r="10794" spans="1:12">
      <c r="A10794" s="33" t="s">
        <v>83</v>
      </c>
      <c r="B10794" s="40" t="e">
        <f>ROUND(A10776-SUM(C10788:C10793),2)*100</f>
        <v>#REF!</v>
      </c>
      <c r="D10794" s="43" t="e">
        <f t="shared" si="1040"/>
        <v>#REF!</v>
      </c>
      <c r="E10794" s="31" t="e">
        <f>IF(B10794&lt;1,"",IF(B10794=1," Cent "," Cents "))</f>
        <v>#REF!</v>
      </c>
      <c r="J10794" s="31">
        <v>16</v>
      </c>
      <c r="K10794" s="33" t="s">
        <v>84</v>
      </c>
      <c r="L10794" s="31" t="str">
        <f t="shared" si="1041"/>
        <v>Enam Belas</v>
      </c>
    </row>
    <row r="10795" spans="1:12">
      <c r="J10795" s="31">
        <v>17</v>
      </c>
      <c r="K10795" s="33" t="s">
        <v>85</v>
      </c>
      <c r="L10795" s="31" t="str">
        <f t="shared" si="1041"/>
        <v>Tujuh Belas</v>
      </c>
    </row>
    <row r="10796" spans="1:12">
      <c r="A10796" s="44"/>
      <c r="J10796" s="31">
        <v>18</v>
      </c>
      <c r="K10796" s="33" t="s">
        <v>86</v>
      </c>
      <c r="L10796" s="31" t="str">
        <f t="shared" si="1041"/>
        <v>Delapan Belas</v>
      </c>
    </row>
    <row r="10797" spans="1:12">
      <c r="A10797" s="38" t="s">
        <v>87</v>
      </c>
      <c r="J10797" s="31">
        <v>19</v>
      </c>
      <c r="K10797" s="33" t="s">
        <v>88</v>
      </c>
      <c r="L10797" s="31" t="str">
        <f t="shared" si="1041"/>
        <v>Sembilan Belas</v>
      </c>
    </row>
    <row r="10798" spans="1:12">
      <c r="A10798" s="31" t="s">
        <v>69</v>
      </c>
      <c r="B10798" s="39" t="e">
        <f>TRUNC(A10776/100000000)</f>
        <v>#REF!</v>
      </c>
      <c r="C10798" s="31" t="e">
        <f>B10798*100000000</f>
        <v>#REF!</v>
      </c>
      <c r="D10798" s="31" t="e">
        <f>IF(B10798&lt;1,"",IF(B10798=1,"",VLOOKUP(B10798,$J$3:$L$102,3)))</f>
        <v>#REF!</v>
      </c>
      <c r="E10798" s="31" t="e">
        <f>IF(B10798&lt;1,"",IF(B10798=1,"Seratus "," Ratus "))</f>
        <v>#REF!</v>
      </c>
      <c r="J10798" s="31">
        <v>20</v>
      </c>
      <c r="K10798" s="33" t="s">
        <v>89</v>
      </c>
      <c r="L10798" s="31" t="s">
        <v>90</v>
      </c>
    </row>
    <row r="10799" spans="1:12">
      <c r="A10799" s="31" t="s">
        <v>72</v>
      </c>
      <c r="B10799" s="39" t="e">
        <f>TRUNC((A10776-C10798)/1000000)</f>
        <v>#REF!</v>
      </c>
      <c r="C10799" s="31" t="e">
        <f>B10799*1000000</f>
        <v>#REF!</v>
      </c>
      <c r="D10799" s="31" t="e">
        <f>IF(B10799&lt;1,"",VLOOKUP(B10799,$J$3:$L$102,3))</f>
        <v>#REF!</v>
      </c>
      <c r="E10799" s="31" t="e">
        <f>IF(B10798+B10799=0,""," Juta ")</f>
        <v>#REF!</v>
      </c>
      <c r="J10799" s="31">
        <v>21</v>
      </c>
      <c r="K10799" s="33" t="s">
        <v>91</v>
      </c>
      <c r="L10799" s="31" t="str">
        <f t="shared" ref="L10799:L10807" si="1042">$L$23&amp;" "&amp;L10779</f>
        <v>Dua Puluh Satu</v>
      </c>
    </row>
    <row r="10800" spans="1:12">
      <c r="A10800" s="31" t="s">
        <v>75</v>
      </c>
      <c r="B10800" s="39" t="e">
        <f>TRUNC((A10776-SUM(C10798:C10799))/100000)</f>
        <v>#REF!</v>
      </c>
      <c r="C10800" s="31" t="e">
        <f>B10800*100000</f>
        <v>#REF!</v>
      </c>
      <c r="D10800" s="31" t="e">
        <f>IF(B10800&lt;1,"",IF(B10800=1,"",VLOOKUP(B10800,$J$3:$L$102,3)))</f>
        <v>#REF!</v>
      </c>
      <c r="E10800" s="31" t="e">
        <f>IF(B10800&lt;1,"",IF(B10800=1," Seratus "," Ratus "))</f>
        <v>#REF!</v>
      </c>
      <c r="J10800" s="31">
        <v>22</v>
      </c>
      <c r="K10800" s="33" t="s">
        <v>92</v>
      </c>
      <c r="L10800" s="31" t="str">
        <f t="shared" si="1042"/>
        <v>Dua Puluh Dua</v>
      </c>
    </row>
    <row r="10801" spans="1:12">
      <c r="A10801" s="33" t="s">
        <v>77</v>
      </c>
      <c r="B10801" s="40" t="e">
        <f>TRUNC((A10776-SUM(C10798:C10800))/1000)</f>
        <v>#REF!</v>
      </c>
      <c r="C10801" s="31" t="e">
        <f>B10801*1000</f>
        <v>#REF!</v>
      </c>
      <c r="D10801" s="31" t="e">
        <f>IF(B10801&lt;1,"",IF(B10801=1,"",VLOOKUP(B10801,$J$3:$L$102,3)))</f>
        <v>#REF!</v>
      </c>
      <c r="E10801" s="31" t="e">
        <f>IF(B10800+B10801&lt;1,"",IF(B10801=1," Seribu "," Ribu "))</f>
        <v>#REF!</v>
      </c>
      <c r="J10801" s="31">
        <v>23</v>
      </c>
      <c r="K10801" s="33" t="s">
        <v>93</v>
      </c>
      <c r="L10801" s="31" t="str">
        <f t="shared" si="1042"/>
        <v>Dua Puluh Tiga</v>
      </c>
    </row>
    <row r="10802" spans="1:12">
      <c r="A10802" s="33" t="s">
        <v>79</v>
      </c>
      <c r="B10802" s="40" t="e">
        <f>TRUNC((A10776-SUM(C10798:C10801))/100)</f>
        <v>#REF!</v>
      </c>
      <c r="C10802" s="31" t="e">
        <f>B10802*100</f>
        <v>#REF!</v>
      </c>
      <c r="D10802" s="31" t="e">
        <f>IF(B10802&lt;1,"",IF(B10802=1,"",VLOOKUP(B10802,$J$3:$L$102,3)))</f>
        <v>#REF!</v>
      </c>
      <c r="E10802" s="31" t="e">
        <f>IF(B10802&lt;1,"",IF(B10802=1," Seratus "," Ratus "))</f>
        <v>#REF!</v>
      </c>
      <c r="J10802" s="31">
        <v>24</v>
      </c>
      <c r="K10802" s="33" t="s">
        <v>94</v>
      </c>
      <c r="L10802" s="31" t="str">
        <f t="shared" si="1042"/>
        <v>Dua Puluh Empat</v>
      </c>
    </row>
    <row r="10803" spans="1:12">
      <c r="A10803" s="33" t="s">
        <v>81</v>
      </c>
      <c r="B10803" s="41" t="e">
        <f>TRUNC((A10776-SUM(C10798:C10802)))</f>
        <v>#REF!</v>
      </c>
      <c r="C10803" s="42" t="e">
        <f>B10803</f>
        <v>#REF!</v>
      </c>
      <c r="D10803" s="31" t="e">
        <f>IF(B10803&lt;1,"",VLOOKUP(B10803,$J$3:$L$102,3))</f>
        <v>#REF!</v>
      </c>
      <c r="E10803" s="31" t="e">
        <f>IF(SUM(C10798:C10803)&lt;1,"",IF(B10804&lt;1,""," Dan "))</f>
        <v>#REF!</v>
      </c>
      <c r="J10803" s="31">
        <v>25</v>
      </c>
      <c r="K10803" s="33" t="s">
        <v>95</v>
      </c>
      <c r="L10803" s="31" t="str">
        <f t="shared" si="1042"/>
        <v>Dua Puluh Lima</v>
      </c>
    </row>
    <row r="10804" spans="1:12">
      <c r="A10804" s="33" t="s">
        <v>83</v>
      </c>
      <c r="B10804" s="40" t="e">
        <f>ROUND(A10776-SUM(C10798:C10803),2)*100</f>
        <v>#REF!</v>
      </c>
      <c r="D10804" s="31" t="e">
        <f>IF(B10804&lt;1,"",VLOOKUP(B10804,$J$3:$L$102,3))</f>
        <v>#REF!</v>
      </c>
      <c r="E10804" s="31" t="e">
        <f>IF(B10804&lt;1,""," Sen ")</f>
        <v>#REF!</v>
      </c>
      <c r="J10804" s="31">
        <v>26</v>
      </c>
      <c r="K10804" s="33" t="s">
        <v>96</v>
      </c>
      <c r="L10804" s="31" t="str">
        <f t="shared" si="1042"/>
        <v>Dua Puluh Enam</v>
      </c>
    </row>
    <row r="10805" spans="1:12">
      <c r="J10805" s="31">
        <v>27</v>
      </c>
      <c r="K10805" s="33" t="s">
        <v>97</v>
      </c>
      <c r="L10805" s="31" t="str">
        <f t="shared" si="1042"/>
        <v>Dua Puluh Tujuh</v>
      </c>
    </row>
    <row r="10806" spans="1:12">
      <c r="J10806" s="31">
        <v>28</v>
      </c>
      <c r="K10806" s="33" t="s">
        <v>98</v>
      </c>
      <c r="L10806" s="31" t="str">
        <f t="shared" si="1042"/>
        <v>Dua Puluh Delapan</v>
      </c>
    </row>
    <row r="10807" spans="1:12">
      <c r="J10807" s="31">
        <v>29</v>
      </c>
      <c r="K10807" s="33" t="s">
        <v>99</v>
      </c>
      <c r="L10807" s="31" t="str">
        <f t="shared" si="1042"/>
        <v>Dua Puluh Sembilan</v>
      </c>
    </row>
    <row r="10808" spans="1:12">
      <c r="J10808" s="31">
        <v>30</v>
      </c>
      <c r="K10808" s="33" t="s">
        <v>100</v>
      </c>
      <c r="L10808" s="31" t="s">
        <v>101</v>
      </c>
    </row>
    <row r="10809" spans="1:12">
      <c r="J10809" s="31">
        <v>31</v>
      </c>
      <c r="K10809" s="33" t="s">
        <v>102</v>
      </c>
      <c r="L10809" s="31" t="str">
        <f t="shared" ref="L10809:L10817" si="1043">$L$33&amp;" "&amp;L10779</f>
        <v>Tiga Puluh Satu</v>
      </c>
    </row>
    <row r="10810" spans="1:12">
      <c r="J10810" s="31">
        <v>32</v>
      </c>
      <c r="K10810" s="33" t="s">
        <v>103</v>
      </c>
      <c r="L10810" s="31" t="str">
        <f t="shared" si="1043"/>
        <v>Tiga Puluh Dua</v>
      </c>
    </row>
    <row r="10811" spans="1:12">
      <c r="J10811" s="31">
        <v>33</v>
      </c>
      <c r="K10811" s="33" t="s">
        <v>104</v>
      </c>
      <c r="L10811" s="31" t="str">
        <f t="shared" si="1043"/>
        <v>Tiga Puluh Tiga</v>
      </c>
    </row>
    <row r="10812" spans="1:12">
      <c r="J10812" s="31">
        <v>34</v>
      </c>
      <c r="K10812" s="33" t="s">
        <v>105</v>
      </c>
      <c r="L10812" s="31" t="str">
        <f t="shared" si="1043"/>
        <v>Tiga Puluh Empat</v>
      </c>
    </row>
    <row r="10813" spans="1:12">
      <c r="J10813" s="31">
        <v>35</v>
      </c>
      <c r="K10813" s="33" t="s">
        <v>106</v>
      </c>
      <c r="L10813" s="31" t="str">
        <f t="shared" si="1043"/>
        <v>Tiga Puluh Lima</v>
      </c>
    </row>
    <row r="10814" spans="1:12">
      <c r="J10814" s="31">
        <v>36</v>
      </c>
      <c r="K10814" s="33" t="s">
        <v>107</v>
      </c>
      <c r="L10814" s="31" t="str">
        <f t="shared" si="1043"/>
        <v>Tiga Puluh Enam</v>
      </c>
    </row>
    <row r="10815" spans="1:12">
      <c r="J10815" s="31">
        <v>37</v>
      </c>
      <c r="K10815" s="33" t="s">
        <v>108</v>
      </c>
      <c r="L10815" s="31" t="str">
        <f t="shared" si="1043"/>
        <v>Tiga Puluh Tujuh</v>
      </c>
    </row>
    <row r="10816" spans="1:12">
      <c r="J10816" s="31">
        <v>38</v>
      </c>
      <c r="K10816" s="33" t="s">
        <v>109</v>
      </c>
      <c r="L10816" s="31" t="str">
        <f t="shared" si="1043"/>
        <v>Tiga Puluh Delapan</v>
      </c>
    </row>
    <row r="10817" spans="1:12">
      <c r="J10817" s="31">
        <v>39</v>
      </c>
      <c r="K10817" s="33" t="s">
        <v>110</v>
      </c>
      <c r="L10817" s="31" t="str">
        <f t="shared" si="1043"/>
        <v>Tiga Puluh Sembilan</v>
      </c>
    </row>
    <row r="10818" spans="1:12">
      <c r="B10818" s="35"/>
      <c r="C10818" s="35"/>
      <c r="D10818" s="35"/>
      <c r="J10818" s="31">
        <v>40</v>
      </c>
      <c r="K10818" s="33" t="s">
        <v>111</v>
      </c>
      <c r="L10818" s="31" t="s">
        <v>112</v>
      </c>
    </row>
    <row r="10819" spans="1:12">
      <c r="A10819" s="35"/>
      <c r="B10819" s="35"/>
      <c r="C10819" s="35"/>
      <c r="D10819" s="35"/>
      <c r="J10819" s="31">
        <v>41</v>
      </c>
      <c r="K10819" s="33" t="s">
        <v>113</v>
      </c>
      <c r="L10819" s="31" t="str">
        <f t="shared" ref="L10819:L10827" si="1044">$L$43&amp;" "&amp;L10779</f>
        <v>Empat Puluh Satu</v>
      </c>
    </row>
    <row r="10820" spans="1:12">
      <c r="J10820" s="31">
        <v>42</v>
      </c>
      <c r="K10820" s="33" t="s">
        <v>114</v>
      </c>
      <c r="L10820" s="31" t="str">
        <f t="shared" si="1044"/>
        <v>Empat Puluh Dua</v>
      </c>
    </row>
    <row r="10821" spans="1:12">
      <c r="A10821" s="38"/>
      <c r="J10821" s="31">
        <v>43</v>
      </c>
      <c r="K10821" s="33" t="s">
        <v>115</v>
      </c>
      <c r="L10821" s="31" t="str">
        <f t="shared" si="1044"/>
        <v>Empat Puluh Tiga</v>
      </c>
    </row>
    <row r="10822" spans="1:12">
      <c r="J10822" s="31">
        <v>44</v>
      </c>
      <c r="K10822" s="33" t="s">
        <v>116</v>
      </c>
      <c r="L10822" s="31" t="str">
        <f t="shared" si="1044"/>
        <v>Empat Puluh Empat</v>
      </c>
    </row>
    <row r="10823" spans="1:12">
      <c r="J10823" s="31">
        <v>45</v>
      </c>
      <c r="K10823" s="33" t="s">
        <v>117</v>
      </c>
      <c r="L10823" s="31" t="str">
        <f t="shared" si="1044"/>
        <v>Empat Puluh Lima</v>
      </c>
    </row>
    <row r="10824" spans="1:12">
      <c r="J10824" s="31">
        <v>46</v>
      </c>
      <c r="K10824" s="33" t="s">
        <v>118</v>
      </c>
      <c r="L10824" s="31" t="str">
        <f t="shared" si="1044"/>
        <v>Empat Puluh Enam</v>
      </c>
    </row>
    <row r="10825" spans="1:12">
      <c r="J10825" s="31">
        <v>47</v>
      </c>
      <c r="K10825" s="33" t="s">
        <v>119</v>
      </c>
      <c r="L10825" s="31" t="str">
        <f t="shared" si="1044"/>
        <v>Empat Puluh Tujuh</v>
      </c>
    </row>
    <row r="10826" spans="1:12">
      <c r="J10826" s="31">
        <v>48</v>
      </c>
      <c r="K10826" s="33" t="s">
        <v>120</v>
      </c>
      <c r="L10826" s="31" t="str">
        <f t="shared" si="1044"/>
        <v>Empat Puluh Delapan</v>
      </c>
    </row>
    <row r="10827" spans="1:12">
      <c r="J10827" s="31">
        <v>49</v>
      </c>
      <c r="K10827" s="33" t="s">
        <v>121</v>
      </c>
      <c r="L10827" s="31" t="str">
        <f t="shared" si="1044"/>
        <v>Empat Puluh Sembilan</v>
      </c>
    </row>
    <row r="10828" spans="1:12">
      <c r="J10828" s="31">
        <v>50</v>
      </c>
      <c r="K10828" s="33" t="s">
        <v>122</v>
      </c>
      <c r="L10828" s="31" t="s">
        <v>123</v>
      </c>
    </row>
    <row r="10829" spans="1:12">
      <c r="J10829" s="31">
        <v>51</v>
      </c>
      <c r="K10829" s="33" t="s">
        <v>124</v>
      </c>
      <c r="L10829" s="31" t="str">
        <f t="shared" ref="L10829:L10837" si="1045">$L$53&amp;" "&amp;L10779</f>
        <v>Lima Puluh Satu</v>
      </c>
    </row>
    <row r="10830" spans="1:12">
      <c r="J10830" s="31">
        <v>52</v>
      </c>
      <c r="K10830" s="33" t="s">
        <v>125</v>
      </c>
      <c r="L10830" s="31" t="str">
        <f t="shared" si="1045"/>
        <v>Lima Puluh Dua</v>
      </c>
    </row>
    <row r="10831" spans="1:12">
      <c r="J10831" s="31">
        <v>53</v>
      </c>
      <c r="K10831" s="33" t="s">
        <v>126</v>
      </c>
      <c r="L10831" s="31" t="str">
        <f t="shared" si="1045"/>
        <v>Lima Puluh Tiga</v>
      </c>
    </row>
    <row r="10832" spans="1:12">
      <c r="J10832" s="31">
        <v>54</v>
      </c>
      <c r="K10832" s="33" t="s">
        <v>127</v>
      </c>
      <c r="L10832" s="31" t="str">
        <f t="shared" si="1045"/>
        <v>Lima Puluh Empat</v>
      </c>
    </row>
    <row r="10833" spans="10:12">
      <c r="J10833" s="31">
        <v>55</v>
      </c>
      <c r="K10833" s="33" t="s">
        <v>128</v>
      </c>
      <c r="L10833" s="31" t="str">
        <f t="shared" si="1045"/>
        <v>Lima Puluh Lima</v>
      </c>
    </row>
    <row r="10834" spans="10:12">
      <c r="J10834" s="31">
        <v>56</v>
      </c>
      <c r="K10834" s="33" t="s">
        <v>129</v>
      </c>
      <c r="L10834" s="31" t="str">
        <f t="shared" si="1045"/>
        <v>Lima Puluh Enam</v>
      </c>
    </row>
    <row r="10835" spans="10:12">
      <c r="J10835" s="31">
        <v>57</v>
      </c>
      <c r="K10835" s="33" t="s">
        <v>130</v>
      </c>
      <c r="L10835" s="31" t="str">
        <f t="shared" si="1045"/>
        <v>Lima Puluh Tujuh</v>
      </c>
    </row>
    <row r="10836" spans="10:12">
      <c r="J10836" s="31">
        <v>58</v>
      </c>
      <c r="K10836" s="33" t="s">
        <v>131</v>
      </c>
      <c r="L10836" s="31" t="str">
        <f t="shared" si="1045"/>
        <v>Lima Puluh Delapan</v>
      </c>
    </row>
    <row r="10837" spans="10:12">
      <c r="J10837" s="31">
        <v>59</v>
      </c>
      <c r="K10837" s="33" t="s">
        <v>132</v>
      </c>
      <c r="L10837" s="31" t="str">
        <f t="shared" si="1045"/>
        <v>Lima Puluh Sembilan</v>
      </c>
    </row>
    <row r="10838" spans="10:12">
      <c r="J10838" s="31">
        <v>60</v>
      </c>
      <c r="K10838" s="33" t="s">
        <v>133</v>
      </c>
      <c r="L10838" s="31" t="s">
        <v>134</v>
      </c>
    </row>
    <row r="10839" spans="10:12">
      <c r="J10839" s="31">
        <v>61</v>
      </c>
      <c r="K10839" s="33" t="s">
        <v>135</v>
      </c>
      <c r="L10839" s="31" t="str">
        <f t="shared" ref="L10839:L10847" si="1046">$L$63&amp;" "&amp;L10779</f>
        <v>Enam Puluh Satu</v>
      </c>
    </row>
    <row r="10840" spans="10:12">
      <c r="J10840" s="31">
        <v>62</v>
      </c>
      <c r="K10840" s="33" t="s">
        <v>136</v>
      </c>
      <c r="L10840" s="31" t="str">
        <f t="shared" si="1046"/>
        <v>Enam Puluh Dua</v>
      </c>
    </row>
    <row r="10841" spans="10:12">
      <c r="J10841" s="31">
        <v>63</v>
      </c>
      <c r="K10841" s="33" t="s">
        <v>137</v>
      </c>
      <c r="L10841" s="31" t="str">
        <f t="shared" si="1046"/>
        <v>Enam Puluh Tiga</v>
      </c>
    </row>
    <row r="10842" spans="10:12">
      <c r="J10842" s="31">
        <v>64</v>
      </c>
      <c r="K10842" s="33" t="s">
        <v>138</v>
      </c>
      <c r="L10842" s="31" t="str">
        <f t="shared" si="1046"/>
        <v>Enam Puluh Empat</v>
      </c>
    </row>
    <row r="10843" spans="10:12">
      <c r="J10843" s="31">
        <v>65</v>
      </c>
      <c r="K10843" s="33" t="s">
        <v>139</v>
      </c>
      <c r="L10843" s="31" t="str">
        <f t="shared" si="1046"/>
        <v>Enam Puluh Lima</v>
      </c>
    </row>
    <row r="10844" spans="10:12">
      <c r="J10844" s="31">
        <v>66</v>
      </c>
      <c r="K10844" s="33" t="s">
        <v>140</v>
      </c>
      <c r="L10844" s="31" t="str">
        <f t="shared" si="1046"/>
        <v>Enam Puluh Enam</v>
      </c>
    </row>
    <row r="10845" spans="10:12">
      <c r="J10845" s="31">
        <v>67</v>
      </c>
      <c r="K10845" s="33" t="s">
        <v>141</v>
      </c>
      <c r="L10845" s="31" t="str">
        <f t="shared" si="1046"/>
        <v>Enam Puluh Tujuh</v>
      </c>
    </row>
    <row r="10846" spans="10:12">
      <c r="J10846" s="31">
        <v>68</v>
      </c>
      <c r="K10846" s="33" t="s">
        <v>142</v>
      </c>
      <c r="L10846" s="31" t="str">
        <f t="shared" si="1046"/>
        <v>Enam Puluh Delapan</v>
      </c>
    </row>
    <row r="10847" spans="10:12">
      <c r="J10847" s="31">
        <v>69</v>
      </c>
      <c r="K10847" s="33" t="s">
        <v>143</v>
      </c>
      <c r="L10847" s="31" t="str">
        <f t="shared" si="1046"/>
        <v>Enam Puluh Sembilan</v>
      </c>
    </row>
    <row r="10848" spans="10:12">
      <c r="J10848" s="31">
        <v>70</v>
      </c>
      <c r="K10848" s="33" t="s">
        <v>144</v>
      </c>
      <c r="L10848" s="31" t="s">
        <v>145</v>
      </c>
    </row>
    <row r="10849" spans="10:12">
      <c r="J10849" s="31">
        <v>71</v>
      </c>
      <c r="K10849" s="33" t="s">
        <v>146</v>
      </c>
      <c r="L10849" s="31" t="str">
        <f t="shared" ref="L10849:L10857" si="1047">$L$73&amp;" "&amp;L10779</f>
        <v>Tujuh Puluh Satu</v>
      </c>
    </row>
    <row r="10850" spans="10:12">
      <c r="J10850" s="31">
        <v>72</v>
      </c>
      <c r="K10850" s="33" t="s">
        <v>147</v>
      </c>
      <c r="L10850" s="31" t="str">
        <f t="shared" si="1047"/>
        <v>Tujuh Puluh Dua</v>
      </c>
    </row>
    <row r="10851" spans="10:12">
      <c r="J10851" s="31">
        <v>73</v>
      </c>
      <c r="K10851" s="33" t="s">
        <v>148</v>
      </c>
      <c r="L10851" s="31" t="str">
        <f t="shared" si="1047"/>
        <v>Tujuh Puluh Tiga</v>
      </c>
    </row>
    <row r="10852" spans="10:12">
      <c r="J10852" s="31">
        <v>74</v>
      </c>
      <c r="K10852" s="33" t="s">
        <v>149</v>
      </c>
      <c r="L10852" s="31" t="str">
        <f t="shared" si="1047"/>
        <v>Tujuh Puluh Empat</v>
      </c>
    </row>
    <row r="10853" spans="10:12">
      <c r="J10853" s="31">
        <v>75</v>
      </c>
      <c r="K10853" s="33" t="s">
        <v>150</v>
      </c>
      <c r="L10853" s="31" t="str">
        <f t="shared" si="1047"/>
        <v>Tujuh Puluh Lima</v>
      </c>
    </row>
    <row r="10854" spans="10:12">
      <c r="J10854" s="31">
        <v>76</v>
      </c>
      <c r="K10854" s="33" t="s">
        <v>151</v>
      </c>
      <c r="L10854" s="31" t="str">
        <f t="shared" si="1047"/>
        <v>Tujuh Puluh Enam</v>
      </c>
    </row>
    <row r="10855" spans="10:12">
      <c r="J10855" s="31">
        <v>77</v>
      </c>
      <c r="K10855" s="33" t="s">
        <v>152</v>
      </c>
      <c r="L10855" s="31" t="str">
        <f t="shared" si="1047"/>
        <v>Tujuh Puluh Tujuh</v>
      </c>
    </row>
    <row r="10856" spans="10:12">
      <c r="J10856" s="31">
        <v>78</v>
      </c>
      <c r="K10856" s="33" t="s">
        <v>153</v>
      </c>
      <c r="L10856" s="31" t="str">
        <f t="shared" si="1047"/>
        <v>Tujuh Puluh Delapan</v>
      </c>
    </row>
    <row r="10857" spans="10:12">
      <c r="J10857" s="31">
        <v>79</v>
      </c>
      <c r="K10857" s="33" t="s">
        <v>154</v>
      </c>
      <c r="L10857" s="31" t="str">
        <f t="shared" si="1047"/>
        <v>Tujuh Puluh Sembilan</v>
      </c>
    </row>
    <row r="10858" spans="10:12">
      <c r="J10858" s="31">
        <v>80</v>
      </c>
      <c r="K10858" s="33" t="s">
        <v>155</v>
      </c>
      <c r="L10858" s="31" t="s">
        <v>156</v>
      </c>
    </row>
    <row r="10859" spans="10:12">
      <c r="J10859" s="31">
        <v>81</v>
      </c>
      <c r="K10859" s="33" t="s">
        <v>157</v>
      </c>
      <c r="L10859" s="31" t="str">
        <f t="shared" ref="L10859:L10867" si="1048">$L$83&amp;" "&amp;L10779</f>
        <v>Delapan Puluh Satu</v>
      </c>
    </row>
    <row r="10860" spans="10:12">
      <c r="J10860" s="31">
        <v>82</v>
      </c>
      <c r="K10860" s="33" t="s">
        <v>158</v>
      </c>
      <c r="L10860" s="31" t="str">
        <f t="shared" si="1048"/>
        <v>Delapan Puluh Dua</v>
      </c>
    </row>
    <row r="10861" spans="10:12">
      <c r="J10861" s="31">
        <v>83</v>
      </c>
      <c r="K10861" s="33" t="s">
        <v>159</v>
      </c>
      <c r="L10861" s="31" t="str">
        <f t="shared" si="1048"/>
        <v>Delapan Puluh Tiga</v>
      </c>
    </row>
    <row r="10862" spans="10:12">
      <c r="J10862" s="31">
        <v>84</v>
      </c>
      <c r="K10862" s="33" t="s">
        <v>160</v>
      </c>
      <c r="L10862" s="31" t="str">
        <f t="shared" si="1048"/>
        <v>Delapan Puluh Empat</v>
      </c>
    </row>
    <row r="10863" spans="10:12">
      <c r="J10863" s="31">
        <v>85</v>
      </c>
      <c r="K10863" s="33" t="s">
        <v>161</v>
      </c>
      <c r="L10863" s="31" t="str">
        <f t="shared" si="1048"/>
        <v>Delapan Puluh Lima</v>
      </c>
    </row>
    <row r="10864" spans="10:12">
      <c r="J10864" s="31">
        <v>86</v>
      </c>
      <c r="K10864" s="33" t="s">
        <v>162</v>
      </c>
      <c r="L10864" s="31" t="str">
        <f t="shared" si="1048"/>
        <v>Delapan Puluh Enam</v>
      </c>
    </row>
    <row r="10865" spans="1:12">
      <c r="J10865" s="31">
        <v>87</v>
      </c>
      <c r="K10865" s="33" t="s">
        <v>163</v>
      </c>
      <c r="L10865" s="31" t="str">
        <f t="shared" si="1048"/>
        <v>Delapan Puluh Tujuh</v>
      </c>
    </row>
    <row r="10866" spans="1:12">
      <c r="J10866" s="31">
        <v>88</v>
      </c>
      <c r="K10866" s="33" t="s">
        <v>164</v>
      </c>
      <c r="L10866" s="31" t="str">
        <f t="shared" si="1048"/>
        <v>Delapan Puluh Delapan</v>
      </c>
    </row>
    <row r="10867" spans="1:12">
      <c r="J10867" s="31">
        <v>89</v>
      </c>
      <c r="K10867" s="33" t="s">
        <v>165</v>
      </c>
      <c r="L10867" s="31" t="str">
        <f t="shared" si="1048"/>
        <v>Delapan Puluh Sembilan</v>
      </c>
    </row>
    <row r="10868" spans="1:12">
      <c r="J10868" s="31">
        <v>90</v>
      </c>
      <c r="K10868" s="33" t="s">
        <v>166</v>
      </c>
      <c r="L10868" s="31" t="s">
        <v>167</v>
      </c>
    </row>
    <row r="10869" spans="1:12">
      <c r="J10869" s="31">
        <v>91</v>
      </c>
      <c r="K10869" s="33" t="s">
        <v>168</v>
      </c>
      <c r="L10869" s="31" t="str">
        <f t="shared" ref="L10869:L10877" si="1049">$L$93&amp;" "&amp;L10779</f>
        <v>Sembilan Puluh Satu</v>
      </c>
    </row>
    <row r="10870" spans="1:12">
      <c r="J10870" s="31">
        <v>92</v>
      </c>
      <c r="K10870" s="33" t="s">
        <v>169</v>
      </c>
      <c r="L10870" s="31" t="str">
        <f t="shared" si="1049"/>
        <v>Sembilan Puluh Dua</v>
      </c>
    </row>
    <row r="10871" spans="1:12">
      <c r="J10871" s="31">
        <v>93</v>
      </c>
      <c r="K10871" s="33" t="s">
        <v>170</v>
      </c>
      <c r="L10871" s="31" t="str">
        <f t="shared" si="1049"/>
        <v>Sembilan Puluh Tiga</v>
      </c>
    </row>
    <row r="10872" spans="1:12">
      <c r="J10872" s="31">
        <v>94</v>
      </c>
      <c r="K10872" s="33" t="s">
        <v>171</v>
      </c>
      <c r="L10872" s="31" t="str">
        <f t="shared" si="1049"/>
        <v>Sembilan Puluh Empat</v>
      </c>
    </row>
    <row r="10873" spans="1:12">
      <c r="J10873" s="31">
        <v>95</v>
      </c>
      <c r="K10873" s="33" t="s">
        <v>172</v>
      </c>
      <c r="L10873" s="31" t="str">
        <f t="shared" si="1049"/>
        <v>Sembilan Puluh Lima</v>
      </c>
    </row>
    <row r="10874" spans="1:12">
      <c r="J10874" s="31">
        <v>96</v>
      </c>
      <c r="K10874" s="33" t="s">
        <v>173</v>
      </c>
      <c r="L10874" s="31" t="str">
        <f t="shared" si="1049"/>
        <v>Sembilan Puluh Enam</v>
      </c>
    </row>
    <row r="10875" spans="1:12">
      <c r="J10875" s="31">
        <v>97</v>
      </c>
      <c r="K10875" s="33" t="s">
        <v>174</v>
      </c>
      <c r="L10875" s="31" t="str">
        <f t="shared" si="1049"/>
        <v>Sembilan Puluh Tujuh</v>
      </c>
    </row>
    <row r="10876" spans="1:12">
      <c r="J10876" s="31">
        <v>98</v>
      </c>
      <c r="K10876" s="33" t="s">
        <v>175</v>
      </c>
      <c r="L10876" s="31" t="str">
        <f t="shared" si="1049"/>
        <v>Sembilan Puluh Delapan</v>
      </c>
    </row>
    <row r="10877" spans="1:12">
      <c r="J10877" s="31">
        <v>99</v>
      </c>
      <c r="K10877" s="33" t="s">
        <v>176</v>
      </c>
      <c r="L10877" s="31" t="str">
        <f t="shared" si="1049"/>
        <v>Sembilan Puluh Sembilan</v>
      </c>
    </row>
    <row r="10880" spans="1:12">
      <c r="A10880" s="30" t="e">
        <f>#REF!</f>
        <v>#REF!</v>
      </c>
      <c r="C10880" s="31" t="s">
        <v>338</v>
      </c>
    </row>
    <row r="10881" spans="1:12">
      <c r="A10881" s="32"/>
    </row>
    <row r="10882" spans="1:12">
      <c r="J10882" s="31">
        <v>0</v>
      </c>
      <c r="K10882" s="33" t="s">
        <v>48</v>
      </c>
      <c r="L10882" s="31" t="s">
        <v>49</v>
      </c>
    </row>
    <row r="10883" spans="1:12">
      <c r="A10883" s="34"/>
      <c r="J10883" s="31">
        <v>1</v>
      </c>
      <c r="K10883" s="33" t="s">
        <v>50</v>
      </c>
      <c r="L10883" s="31" t="s">
        <v>51</v>
      </c>
    </row>
    <row r="10884" spans="1:12">
      <c r="A10884" s="255" t="e">
        <f>TRIM(D10892&amp;E10892&amp;D10893&amp;E10893&amp;D10894&amp;E10894&amp;D10895&amp;E10895&amp;D10896&amp;E10896&amp;D10897&amp;E10897&amp;E10898&amp;D10898&amp;" Only")</f>
        <v>#REF!</v>
      </c>
      <c r="B10884" s="255"/>
      <c r="C10884" s="255"/>
      <c r="D10884" s="255"/>
      <c r="E10884" s="35"/>
      <c r="F10884" s="36"/>
      <c r="J10884" s="31">
        <v>2</v>
      </c>
      <c r="K10884" s="33" t="s">
        <v>52</v>
      </c>
      <c r="L10884" s="31" t="s">
        <v>53</v>
      </c>
    </row>
    <row r="10885" spans="1:12">
      <c r="A10885" s="37"/>
      <c r="B10885" s="37"/>
      <c r="C10885" s="37"/>
      <c r="D10885" s="37"/>
      <c r="E10885" s="35"/>
      <c r="F10885" s="36"/>
      <c r="J10885" s="31">
        <v>3</v>
      </c>
      <c r="K10885" s="33" t="s">
        <v>54</v>
      </c>
      <c r="L10885" s="31" t="s">
        <v>55</v>
      </c>
    </row>
    <row r="10886" spans="1:12">
      <c r="A10886" s="37"/>
      <c r="B10886" s="37"/>
      <c r="C10886" s="37"/>
      <c r="D10886" s="37"/>
      <c r="J10886" s="31">
        <v>4</v>
      </c>
      <c r="K10886" s="33" t="s">
        <v>56</v>
      </c>
      <c r="L10886" s="31" t="s">
        <v>57</v>
      </c>
    </row>
    <row r="10887" spans="1:12">
      <c r="A10887" s="255" t="e">
        <f>TRIM(D10902&amp;E10902&amp;D10903&amp;E10903&amp;D10904&amp;E10904&amp;D10905&amp;E10905&amp;D10906&amp;E10906&amp;D10907&amp;E10907&amp;D10908&amp;E10908&amp;" Rupiah")</f>
        <v>#REF!</v>
      </c>
      <c r="B10887" s="255"/>
      <c r="C10887" s="255"/>
      <c r="D10887" s="255"/>
      <c r="E10887" s="35"/>
      <c r="F10887" s="36"/>
      <c r="J10887" s="31">
        <v>5</v>
      </c>
      <c r="K10887" s="33" t="s">
        <v>58</v>
      </c>
      <c r="L10887" s="31" t="s">
        <v>59</v>
      </c>
    </row>
    <row r="10888" spans="1:12">
      <c r="A10888" s="35"/>
      <c r="B10888" s="35"/>
      <c r="C10888" s="35"/>
      <c r="D10888" s="35"/>
      <c r="E10888" s="35"/>
      <c r="F10888" s="36"/>
      <c r="J10888" s="31">
        <v>6</v>
      </c>
      <c r="K10888" s="33" t="s">
        <v>60</v>
      </c>
      <c r="L10888" s="31" t="s">
        <v>61</v>
      </c>
    </row>
    <row r="10889" spans="1:12">
      <c r="J10889" s="31">
        <v>7</v>
      </c>
      <c r="K10889" s="33" t="s">
        <v>62</v>
      </c>
      <c r="L10889" s="31" t="s">
        <v>63</v>
      </c>
    </row>
    <row r="10890" spans="1:12">
      <c r="J10890" s="31">
        <v>8</v>
      </c>
      <c r="K10890" s="33" t="s">
        <v>64</v>
      </c>
      <c r="L10890" s="31" t="s">
        <v>65</v>
      </c>
    </row>
    <row r="10891" spans="1:12">
      <c r="A10891" s="38" t="s">
        <v>66</v>
      </c>
      <c r="J10891" s="31">
        <v>9</v>
      </c>
      <c r="K10891" s="33" t="s">
        <v>67</v>
      </c>
      <c r="L10891" s="31" t="s">
        <v>68</v>
      </c>
    </row>
    <row r="10892" spans="1:12">
      <c r="A10892" s="31" t="s">
        <v>69</v>
      </c>
      <c r="B10892" s="39" t="e">
        <f>TRUNC(A10880/100000000)</f>
        <v>#REF!</v>
      </c>
      <c r="C10892" s="31" t="e">
        <f>B10892*100000000</f>
        <v>#REF!</v>
      </c>
      <c r="D10892" s="31" t="e">
        <f t="shared" ref="D10892:D10898" si="1050">IF(B10892&lt;1,"",VLOOKUP(B10892,$J$3:$K$102,2))</f>
        <v>#REF!</v>
      </c>
      <c r="E10892" s="31" t="e">
        <f>IF(B10892&lt;1,"",IF(B10892&gt;1," Hundreds "," Hundred "))</f>
        <v>#REF!</v>
      </c>
      <c r="J10892" s="31">
        <v>10</v>
      </c>
      <c r="K10892" s="33" t="s">
        <v>70</v>
      </c>
      <c r="L10892" s="31" t="s">
        <v>71</v>
      </c>
    </row>
    <row r="10893" spans="1:12">
      <c r="A10893" s="31" t="s">
        <v>72</v>
      </c>
      <c r="B10893" s="39" t="e">
        <f>TRUNC((A10880-C10892)/1000000)</f>
        <v>#REF!</v>
      </c>
      <c r="C10893" s="31" t="e">
        <f>B10893*1000000</f>
        <v>#REF!</v>
      </c>
      <c r="D10893" s="31" t="e">
        <f t="shared" si="1050"/>
        <v>#REF!</v>
      </c>
      <c r="E10893" s="31" t="e">
        <f>IF(B10892+B10893=0,"",IF(B10893=1," Million "," Millions "))</f>
        <v>#REF!</v>
      </c>
      <c r="J10893" s="31">
        <v>11</v>
      </c>
      <c r="K10893" s="33" t="s">
        <v>73</v>
      </c>
      <c r="L10893" s="31" t="s">
        <v>74</v>
      </c>
    </row>
    <row r="10894" spans="1:12">
      <c r="A10894" s="31" t="s">
        <v>75</v>
      </c>
      <c r="B10894" s="39" t="e">
        <f>TRUNC((A10880-SUM(C10892:C10893))/100000)</f>
        <v>#REF!</v>
      </c>
      <c r="C10894" s="31" t="e">
        <f>B10894*100000</f>
        <v>#REF!</v>
      </c>
      <c r="D10894" s="31" t="e">
        <f t="shared" si="1050"/>
        <v>#REF!</v>
      </c>
      <c r="E10894" s="31" t="e">
        <f>IF(B10894&lt;1,"",IF(B10894&gt;1," Hundreds "," Hundred "))</f>
        <v>#REF!</v>
      </c>
      <c r="J10894" s="31">
        <v>12</v>
      </c>
      <c r="K10894" s="33" t="s">
        <v>76</v>
      </c>
      <c r="L10894" s="31" t="str">
        <f t="shared" ref="L10894:L10901" si="1051">L10884&amp;" Belas"</f>
        <v>Dua Belas</v>
      </c>
    </row>
    <row r="10895" spans="1:12">
      <c r="A10895" s="33" t="s">
        <v>77</v>
      </c>
      <c r="B10895" s="40" t="e">
        <f>TRUNC((A10880-SUM(C10892:C10894))/1000)</f>
        <v>#REF!</v>
      </c>
      <c r="C10895" s="31" t="e">
        <f>B10895*1000</f>
        <v>#REF!</v>
      </c>
      <c r="D10895" s="31" t="e">
        <f t="shared" si="1050"/>
        <v>#REF!</v>
      </c>
      <c r="E10895" s="31" t="e">
        <f>IF(B10894+B10895=0,"",IF(B10895=1," Thousand "," Thousands "))</f>
        <v>#REF!</v>
      </c>
      <c r="J10895" s="31">
        <v>13</v>
      </c>
      <c r="K10895" s="33" t="s">
        <v>78</v>
      </c>
      <c r="L10895" s="31" t="str">
        <f t="shared" si="1051"/>
        <v>Tiga Belas</v>
      </c>
    </row>
    <row r="10896" spans="1:12">
      <c r="A10896" s="33" t="s">
        <v>79</v>
      </c>
      <c r="B10896" s="40" t="e">
        <f>TRUNC((A10880-SUM(C10892:C10895))/100)</f>
        <v>#REF!</v>
      </c>
      <c r="C10896" s="31" t="e">
        <f>B10896*100</f>
        <v>#REF!</v>
      </c>
      <c r="D10896" s="31" t="e">
        <f t="shared" si="1050"/>
        <v>#REF!</v>
      </c>
      <c r="E10896" s="31" t="e">
        <f>IF(B10896&lt;1,"",IF(B10896&gt;1," Hundreds "," Hundred "))</f>
        <v>#REF!</v>
      </c>
      <c r="J10896" s="31">
        <v>14</v>
      </c>
      <c r="K10896" s="33" t="s">
        <v>80</v>
      </c>
      <c r="L10896" s="31" t="str">
        <f t="shared" si="1051"/>
        <v>Empat Belas</v>
      </c>
    </row>
    <row r="10897" spans="1:12">
      <c r="A10897" s="33" t="s">
        <v>81</v>
      </c>
      <c r="B10897" s="41" t="e">
        <f>TRUNC((A10880-SUM(C10892:C10896)))</f>
        <v>#REF!</v>
      </c>
      <c r="C10897" s="42" t="e">
        <f>B10897</f>
        <v>#REF!</v>
      </c>
      <c r="D10897" s="31" t="e">
        <f t="shared" si="1050"/>
        <v>#REF!</v>
      </c>
      <c r="E10897" s="31" t="e">
        <f>IF(SUM(C10892:C10897)&lt;1,"",IF(B10898&lt;1,""," And "))</f>
        <v>#REF!</v>
      </c>
      <c r="J10897" s="31">
        <v>15</v>
      </c>
      <c r="K10897" s="33" t="s">
        <v>82</v>
      </c>
      <c r="L10897" s="31" t="str">
        <f t="shared" si="1051"/>
        <v>Lima Belas</v>
      </c>
    </row>
    <row r="10898" spans="1:12">
      <c r="A10898" s="33" t="s">
        <v>83</v>
      </c>
      <c r="B10898" s="40" t="e">
        <f>ROUND(A10880-SUM(C10892:C10897),2)*100</f>
        <v>#REF!</v>
      </c>
      <c r="D10898" s="43" t="e">
        <f t="shared" si="1050"/>
        <v>#REF!</v>
      </c>
      <c r="E10898" s="31" t="e">
        <f>IF(B10898&lt;1,"",IF(B10898=1," Cent "," Cents "))</f>
        <v>#REF!</v>
      </c>
      <c r="J10898" s="31">
        <v>16</v>
      </c>
      <c r="K10898" s="33" t="s">
        <v>84</v>
      </c>
      <c r="L10898" s="31" t="str">
        <f t="shared" si="1051"/>
        <v>Enam Belas</v>
      </c>
    </row>
    <row r="10899" spans="1:12">
      <c r="J10899" s="31">
        <v>17</v>
      </c>
      <c r="K10899" s="33" t="s">
        <v>85</v>
      </c>
      <c r="L10899" s="31" t="str">
        <f t="shared" si="1051"/>
        <v>Tujuh Belas</v>
      </c>
    </row>
    <row r="10900" spans="1:12">
      <c r="A10900" s="44"/>
      <c r="J10900" s="31">
        <v>18</v>
      </c>
      <c r="K10900" s="33" t="s">
        <v>86</v>
      </c>
      <c r="L10900" s="31" t="str">
        <f t="shared" si="1051"/>
        <v>Delapan Belas</v>
      </c>
    </row>
    <row r="10901" spans="1:12">
      <c r="A10901" s="38" t="s">
        <v>87</v>
      </c>
      <c r="J10901" s="31">
        <v>19</v>
      </c>
      <c r="K10901" s="33" t="s">
        <v>88</v>
      </c>
      <c r="L10901" s="31" t="str">
        <f t="shared" si="1051"/>
        <v>Sembilan Belas</v>
      </c>
    </row>
    <row r="10902" spans="1:12">
      <c r="A10902" s="31" t="s">
        <v>69</v>
      </c>
      <c r="B10902" s="39" t="e">
        <f>TRUNC(A10880/100000000)</f>
        <v>#REF!</v>
      </c>
      <c r="C10902" s="31" t="e">
        <f>B10902*100000000</f>
        <v>#REF!</v>
      </c>
      <c r="D10902" s="31" t="e">
        <f>IF(B10902&lt;1,"",IF(B10902=1,"",VLOOKUP(B10902,$J$3:$L$102,3)))</f>
        <v>#REF!</v>
      </c>
      <c r="E10902" s="31" t="e">
        <f>IF(B10902&lt;1,"",IF(B10902=1,"Seratus "," Ratus "))</f>
        <v>#REF!</v>
      </c>
      <c r="J10902" s="31">
        <v>20</v>
      </c>
      <c r="K10902" s="33" t="s">
        <v>89</v>
      </c>
      <c r="L10902" s="31" t="s">
        <v>90</v>
      </c>
    </row>
    <row r="10903" spans="1:12">
      <c r="A10903" s="31" t="s">
        <v>72</v>
      </c>
      <c r="B10903" s="39" t="e">
        <f>TRUNC((A10880-C10902)/1000000)</f>
        <v>#REF!</v>
      </c>
      <c r="C10903" s="31" t="e">
        <f>B10903*1000000</f>
        <v>#REF!</v>
      </c>
      <c r="D10903" s="31" t="e">
        <f>IF(B10903&lt;1,"",VLOOKUP(B10903,$J$3:$L$102,3))</f>
        <v>#REF!</v>
      </c>
      <c r="E10903" s="31" t="e">
        <f>IF(B10902+B10903=0,""," Juta ")</f>
        <v>#REF!</v>
      </c>
      <c r="J10903" s="31">
        <v>21</v>
      </c>
      <c r="K10903" s="33" t="s">
        <v>91</v>
      </c>
      <c r="L10903" s="31" t="str">
        <f t="shared" ref="L10903:L10911" si="1052">$L$23&amp;" "&amp;L10883</f>
        <v>Dua Puluh Satu</v>
      </c>
    </row>
    <row r="10904" spans="1:12">
      <c r="A10904" s="31" t="s">
        <v>75</v>
      </c>
      <c r="B10904" s="39" t="e">
        <f>TRUNC((A10880-SUM(C10902:C10903))/100000)</f>
        <v>#REF!</v>
      </c>
      <c r="C10904" s="31" t="e">
        <f>B10904*100000</f>
        <v>#REF!</v>
      </c>
      <c r="D10904" s="31" t="e">
        <f>IF(B10904&lt;1,"",IF(B10904=1,"",VLOOKUP(B10904,$J$3:$L$102,3)))</f>
        <v>#REF!</v>
      </c>
      <c r="E10904" s="31" t="e">
        <f>IF(B10904&lt;1,"",IF(B10904=1," Seratus "," Ratus "))</f>
        <v>#REF!</v>
      </c>
      <c r="J10904" s="31">
        <v>22</v>
      </c>
      <c r="K10904" s="33" t="s">
        <v>92</v>
      </c>
      <c r="L10904" s="31" t="str">
        <f t="shared" si="1052"/>
        <v>Dua Puluh Dua</v>
      </c>
    </row>
    <row r="10905" spans="1:12">
      <c r="A10905" s="33" t="s">
        <v>77</v>
      </c>
      <c r="B10905" s="40" t="e">
        <f>TRUNC((A10880-SUM(C10902:C10904))/1000)</f>
        <v>#REF!</v>
      </c>
      <c r="C10905" s="31" t="e">
        <f>B10905*1000</f>
        <v>#REF!</v>
      </c>
      <c r="D10905" s="31" t="e">
        <f>IF(B10905&lt;1,"",IF(B10905=1,"",VLOOKUP(B10905,$J$3:$L$102,3)))</f>
        <v>#REF!</v>
      </c>
      <c r="E10905" s="31" t="e">
        <f>IF(B10904+B10905&lt;1,"",IF(B10905=1," Seribu "," Ribu "))</f>
        <v>#REF!</v>
      </c>
      <c r="J10905" s="31">
        <v>23</v>
      </c>
      <c r="K10905" s="33" t="s">
        <v>93</v>
      </c>
      <c r="L10905" s="31" t="str">
        <f t="shared" si="1052"/>
        <v>Dua Puluh Tiga</v>
      </c>
    </row>
    <row r="10906" spans="1:12">
      <c r="A10906" s="33" t="s">
        <v>79</v>
      </c>
      <c r="B10906" s="40" t="e">
        <f>TRUNC((A10880-SUM(C10902:C10905))/100)</f>
        <v>#REF!</v>
      </c>
      <c r="C10906" s="31" t="e">
        <f>B10906*100</f>
        <v>#REF!</v>
      </c>
      <c r="D10906" s="31" t="e">
        <f>IF(B10906&lt;1,"",IF(B10906=1,"",VLOOKUP(B10906,$J$3:$L$102,3)))</f>
        <v>#REF!</v>
      </c>
      <c r="E10906" s="31" t="e">
        <f>IF(B10906&lt;1,"",IF(B10906=1," Seratus "," Ratus "))</f>
        <v>#REF!</v>
      </c>
      <c r="J10906" s="31">
        <v>24</v>
      </c>
      <c r="K10906" s="33" t="s">
        <v>94</v>
      </c>
      <c r="L10906" s="31" t="str">
        <f t="shared" si="1052"/>
        <v>Dua Puluh Empat</v>
      </c>
    </row>
    <row r="10907" spans="1:12">
      <c r="A10907" s="33" t="s">
        <v>81</v>
      </c>
      <c r="B10907" s="41" t="e">
        <f>TRUNC((A10880-SUM(C10902:C10906)))</f>
        <v>#REF!</v>
      </c>
      <c r="C10907" s="42" t="e">
        <f>B10907</f>
        <v>#REF!</v>
      </c>
      <c r="D10907" s="31" t="e">
        <f>IF(B10907&lt;1,"",VLOOKUP(B10907,$J$3:$L$102,3))</f>
        <v>#REF!</v>
      </c>
      <c r="E10907" s="31" t="e">
        <f>IF(SUM(C10902:C10907)&lt;1,"",IF(B10908&lt;1,""," Dan "))</f>
        <v>#REF!</v>
      </c>
      <c r="J10907" s="31">
        <v>25</v>
      </c>
      <c r="K10907" s="33" t="s">
        <v>95</v>
      </c>
      <c r="L10907" s="31" t="str">
        <f t="shared" si="1052"/>
        <v>Dua Puluh Lima</v>
      </c>
    </row>
    <row r="10908" spans="1:12">
      <c r="A10908" s="33" t="s">
        <v>83</v>
      </c>
      <c r="B10908" s="40" t="e">
        <f>ROUND(A10880-SUM(C10902:C10907),2)*100</f>
        <v>#REF!</v>
      </c>
      <c r="D10908" s="31" t="e">
        <f>IF(B10908&lt;1,"",VLOOKUP(B10908,$J$3:$L$102,3))</f>
        <v>#REF!</v>
      </c>
      <c r="E10908" s="31" t="e">
        <f>IF(B10908&lt;1,""," Sen ")</f>
        <v>#REF!</v>
      </c>
      <c r="J10908" s="31">
        <v>26</v>
      </c>
      <c r="K10908" s="33" t="s">
        <v>96</v>
      </c>
      <c r="L10908" s="31" t="str">
        <f t="shared" si="1052"/>
        <v>Dua Puluh Enam</v>
      </c>
    </row>
    <row r="10909" spans="1:12">
      <c r="J10909" s="31">
        <v>27</v>
      </c>
      <c r="K10909" s="33" t="s">
        <v>97</v>
      </c>
      <c r="L10909" s="31" t="str">
        <f t="shared" si="1052"/>
        <v>Dua Puluh Tujuh</v>
      </c>
    </row>
    <row r="10910" spans="1:12">
      <c r="J10910" s="31">
        <v>28</v>
      </c>
      <c r="K10910" s="33" t="s">
        <v>98</v>
      </c>
      <c r="L10910" s="31" t="str">
        <f t="shared" si="1052"/>
        <v>Dua Puluh Delapan</v>
      </c>
    </row>
    <row r="10911" spans="1:12">
      <c r="J10911" s="31">
        <v>29</v>
      </c>
      <c r="K10911" s="33" t="s">
        <v>99</v>
      </c>
      <c r="L10911" s="31" t="str">
        <f t="shared" si="1052"/>
        <v>Dua Puluh Sembilan</v>
      </c>
    </row>
    <row r="10912" spans="1:12">
      <c r="J10912" s="31">
        <v>30</v>
      </c>
      <c r="K10912" s="33" t="s">
        <v>100</v>
      </c>
      <c r="L10912" s="31" t="s">
        <v>101</v>
      </c>
    </row>
    <row r="10913" spans="1:12">
      <c r="J10913" s="31">
        <v>31</v>
      </c>
      <c r="K10913" s="33" t="s">
        <v>102</v>
      </c>
      <c r="L10913" s="31" t="str">
        <f t="shared" ref="L10913:L10921" si="1053">$L$33&amp;" "&amp;L10883</f>
        <v>Tiga Puluh Satu</v>
      </c>
    </row>
    <row r="10914" spans="1:12">
      <c r="J10914" s="31">
        <v>32</v>
      </c>
      <c r="K10914" s="33" t="s">
        <v>103</v>
      </c>
      <c r="L10914" s="31" t="str">
        <f t="shared" si="1053"/>
        <v>Tiga Puluh Dua</v>
      </c>
    </row>
    <row r="10915" spans="1:12">
      <c r="J10915" s="31">
        <v>33</v>
      </c>
      <c r="K10915" s="33" t="s">
        <v>104</v>
      </c>
      <c r="L10915" s="31" t="str">
        <f t="shared" si="1053"/>
        <v>Tiga Puluh Tiga</v>
      </c>
    </row>
    <row r="10916" spans="1:12">
      <c r="J10916" s="31">
        <v>34</v>
      </c>
      <c r="K10916" s="33" t="s">
        <v>105</v>
      </c>
      <c r="L10916" s="31" t="str">
        <f t="shared" si="1053"/>
        <v>Tiga Puluh Empat</v>
      </c>
    </row>
    <row r="10917" spans="1:12">
      <c r="J10917" s="31">
        <v>35</v>
      </c>
      <c r="K10917" s="33" t="s">
        <v>106</v>
      </c>
      <c r="L10917" s="31" t="str">
        <f t="shared" si="1053"/>
        <v>Tiga Puluh Lima</v>
      </c>
    </row>
    <row r="10918" spans="1:12">
      <c r="J10918" s="31">
        <v>36</v>
      </c>
      <c r="K10918" s="33" t="s">
        <v>107</v>
      </c>
      <c r="L10918" s="31" t="str">
        <f t="shared" si="1053"/>
        <v>Tiga Puluh Enam</v>
      </c>
    </row>
    <row r="10919" spans="1:12">
      <c r="J10919" s="31">
        <v>37</v>
      </c>
      <c r="K10919" s="33" t="s">
        <v>108</v>
      </c>
      <c r="L10919" s="31" t="str">
        <f t="shared" si="1053"/>
        <v>Tiga Puluh Tujuh</v>
      </c>
    </row>
    <row r="10920" spans="1:12">
      <c r="J10920" s="31">
        <v>38</v>
      </c>
      <c r="K10920" s="33" t="s">
        <v>109</v>
      </c>
      <c r="L10920" s="31" t="str">
        <f t="shared" si="1053"/>
        <v>Tiga Puluh Delapan</v>
      </c>
    </row>
    <row r="10921" spans="1:12">
      <c r="J10921" s="31">
        <v>39</v>
      </c>
      <c r="K10921" s="33" t="s">
        <v>110</v>
      </c>
      <c r="L10921" s="31" t="str">
        <f t="shared" si="1053"/>
        <v>Tiga Puluh Sembilan</v>
      </c>
    </row>
    <row r="10922" spans="1:12">
      <c r="B10922" s="35"/>
      <c r="C10922" s="35"/>
      <c r="D10922" s="35"/>
      <c r="J10922" s="31">
        <v>40</v>
      </c>
      <c r="K10922" s="33" t="s">
        <v>111</v>
      </c>
      <c r="L10922" s="31" t="s">
        <v>112</v>
      </c>
    </row>
    <row r="10923" spans="1:12">
      <c r="A10923" s="35"/>
      <c r="B10923" s="35"/>
      <c r="C10923" s="35"/>
      <c r="D10923" s="35"/>
      <c r="J10923" s="31">
        <v>41</v>
      </c>
      <c r="K10923" s="33" t="s">
        <v>113</v>
      </c>
      <c r="L10923" s="31" t="str">
        <f t="shared" ref="L10923:L10931" si="1054">$L$43&amp;" "&amp;L10883</f>
        <v>Empat Puluh Satu</v>
      </c>
    </row>
    <row r="10924" spans="1:12">
      <c r="J10924" s="31">
        <v>42</v>
      </c>
      <c r="K10924" s="33" t="s">
        <v>114</v>
      </c>
      <c r="L10924" s="31" t="str">
        <f t="shared" si="1054"/>
        <v>Empat Puluh Dua</v>
      </c>
    </row>
    <row r="10925" spans="1:12">
      <c r="A10925" s="38"/>
      <c r="J10925" s="31">
        <v>43</v>
      </c>
      <c r="K10925" s="33" t="s">
        <v>115</v>
      </c>
      <c r="L10925" s="31" t="str">
        <f t="shared" si="1054"/>
        <v>Empat Puluh Tiga</v>
      </c>
    </row>
    <row r="10926" spans="1:12">
      <c r="J10926" s="31">
        <v>44</v>
      </c>
      <c r="K10926" s="33" t="s">
        <v>116</v>
      </c>
      <c r="L10926" s="31" t="str">
        <f t="shared" si="1054"/>
        <v>Empat Puluh Empat</v>
      </c>
    </row>
    <row r="10927" spans="1:12">
      <c r="J10927" s="31">
        <v>45</v>
      </c>
      <c r="K10927" s="33" t="s">
        <v>117</v>
      </c>
      <c r="L10927" s="31" t="str">
        <f t="shared" si="1054"/>
        <v>Empat Puluh Lima</v>
      </c>
    </row>
    <row r="10928" spans="1:12">
      <c r="J10928" s="31">
        <v>46</v>
      </c>
      <c r="K10928" s="33" t="s">
        <v>118</v>
      </c>
      <c r="L10928" s="31" t="str">
        <f t="shared" si="1054"/>
        <v>Empat Puluh Enam</v>
      </c>
    </row>
    <row r="10929" spans="10:12">
      <c r="J10929" s="31">
        <v>47</v>
      </c>
      <c r="K10929" s="33" t="s">
        <v>119</v>
      </c>
      <c r="L10929" s="31" t="str">
        <f t="shared" si="1054"/>
        <v>Empat Puluh Tujuh</v>
      </c>
    </row>
    <row r="10930" spans="10:12">
      <c r="J10930" s="31">
        <v>48</v>
      </c>
      <c r="K10930" s="33" t="s">
        <v>120</v>
      </c>
      <c r="L10930" s="31" t="str">
        <f t="shared" si="1054"/>
        <v>Empat Puluh Delapan</v>
      </c>
    </row>
    <row r="10931" spans="10:12">
      <c r="J10931" s="31">
        <v>49</v>
      </c>
      <c r="K10931" s="33" t="s">
        <v>121</v>
      </c>
      <c r="L10931" s="31" t="str">
        <f t="shared" si="1054"/>
        <v>Empat Puluh Sembilan</v>
      </c>
    </row>
    <row r="10932" spans="10:12">
      <c r="J10932" s="31">
        <v>50</v>
      </c>
      <c r="K10932" s="33" t="s">
        <v>122</v>
      </c>
      <c r="L10932" s="31" t="s">
        <v>123</v>
      </c>
    </row>
    <row r="10933" spans="10:12">
      <c r="J10933" s="31">
        <v>51</v>
      </c>
      <c r="K10933" s="33" t="s">
        <v>124</v>
      </c>
      <c r="L10933" s="31" t="str">
        <f t="shared" ref="L10933:L10941" si="1055">$L$53&amp;" "&amp;L10883</f>
        <v>Lima Puluh Satu</v>
      </c>
    </row>
    <row r="10934" spans="10:12">
      <c r="J10934" s="31">
        <v>52</v>
      </c>
      <c r="K10934" s="33" t="s">
        <v>125</v>
      </c>
      <c r="L10934" s="31" t="str">
        <f t="shared" si="1055"/>
        <v>Lima Puluh Dua</v>
      </c>
    </row>
    <row r="10935" spans="10:12">
      <c r="J10935" s="31">
        <v>53</v>
      </c>
      <c r="K10935" s="33" t="s">
        <v>126</v>
      </c>
      <c r="L10935" s="31" t="str">
        <f t="shared" si="1055"/>
        <v>Lima Puluh Tiga</v>
      </c>
    </row>
    <row r="10936" spans="10:12">
      <c r="J10936" s="31">
        <v>54</v>
      </c>
      <c r="K10936" s="33" t="s">
        <v>127</v>
      </c>
      <c r="L10936" s="31" t="str">
        <f t="shared" si="1055"/>
        <v>Lima Puluh Empat</v>
      </c>
    </row>
    <row r="10937" spans="10:12">
      <c r="J10937" s="31">
        <v>55</v>
      </c>
      <c r="K10937" s="33" t="s">
        <v>128</v>
      </c>
      <c r="L10937" s="31" t="str">
        <f t="shared" si="1055"/>
        <v>Lima Puluh Lima</v>
      </c>
    </row>
    <row r="10938" spans="10:12">
      <c r="J10938" s="31">
        <v>56</v>
      </c>
      <c r="K10938" s="33" t="s">
        <v>129</v>
      </c>
      <c r="L10938" s="31" t="str">
        <f t="shared" si="1055"/>
        <v>Lima Puluh Enam</v>
      </c>
    </row>
    <row r="10939" spans="10:12">
      <c r="J10939" s="31">
        <v>57</v>
      </c>
      <c r="K10939" s="33" t="s">
        <v>130</v>
      </c>
      <c r="L10939" s="31" t="str">
        <f t="shared" si="1055"/>
        <v>Lima Puluh Tujuh</v>
      </c>
    </row>
    <row r="10940" spans="10:12">
      <c r="J10940" s="31">
        <v>58</v>
      </c>
      <c r="K10940" s="33" t="s">
        <v>131</v>
      </c>
      <c r="L10940" s="31" t="str">
        <f t="shared" si="1055"/>
        <v>Lima Puluh Delapan</v>
      </c>
    </row>
    <row r="10941" spans="10:12">
      <c r="J10941" s="31">
        <v>59</v>
      </c>
      <c r="K10941" s="33" t="s">
        <v>132</v>
      </c>
      <c r="L10941" s="31" t="str">
        <f t="shared" si="1055"/>
        <v>Lima Puluh Sembilan</v>
      </c>
    </row>
    <row r="10942" spans="10:12">
      <c r="J10942" s="31">
        <v>60</v>
      </c>
      <c r="K10942" s="33" t="s">
        <v>133</v>
      </c>
      <c r="L10942" s="31" t="s">
        <v>134</v>
      </c>
    </row>
    <row r="10943" spans="10:12">
      <c r="J10943" s="31">
        <v>61</v>
      </c>
      <c r="K10943" s="33" t="s">
        <v>135</v>
      </c>
      <c r="L10943" s="31" t="str">
        <f t="shared" ref="L10943:L10951" si="1056">$L$63&amp;" "&amp;L10883</f>
        <v>Enam Puluh Satu</v>
      </c>
    </row>
    <row r="10944" spans="10:12">
      <c r="J10944" s="31">
        <v>62</v>
      </c>
      <c r="K10944" s="33" t="s">
        <v>136</v>
      </c>
      <c r="L10944" s="31" t="str">
        <f t="shared" si="1056"/>
        <v>Enam Puluh Dua</v>
      </c>
    </row>
    <row r="10945" spans="10:12">
      <c r="J10945" s="31">
        <v>63</v>
      </c>
      <c r="K10945" s="33" t="s">
        <v>137</v>
      </c>
      <c r="L10945" s="31" t="str">
        <f t="shared" si="1056"/>
        <v>Enam Puluh Tiga</v>
      </c>
    </row>
    <row r="10946" spans="10:12">
      <c r="J10946" s="31">
        <v>64</v>
      </c>
      <c r="K10946" s="33" t="s">
        <v>138</v>
      </c>
      <c r="L10946" s="31" t="str">
        <f t="shared" si="1056"/>
        <v>Enam Puluh Empat</v>
      </c>
    </row>
    <row r="10947" spans="10:12">
      <c r="J10947" s="31">
        <v>65</v>
      </c>
      <c r="K10947" s="33" t="s">
        <v>139</v>
      </c>
      <c r="L10947" s="31" t="str">
        <f t="shared" si="1056"/>
        <v>Enam Puluh Lima</v>
      </c>
    </row>
    <row r="10948" spans="10:12">
      <c r="J10948" s="31">
        <v>66</v>
      </c>
      <c r="K10948" s="33" t="s">
        <v>140</v>
      </c>
      <c r="L10948" s="31" t="str">
        <f t="shared" si="1056"/>
        <v>Enam Puluh Enam</v>
      </c>
    </row>
    <row r="10949" spans="10:12">
      <c r="J10949" s="31">
        <v>67</v>
      </c>
      <c r="K10949" s="33" t="s">
        <v>141</v>
      </c>
      <c r="L10949" s="31" t="str">
        <f t="shared" si="1056"/>
        <v>Enam Puluh Tujuh</v>
      </c>
    </row>
    <row r="10950" spans="10:12">
      <c r="J10950" s="31">
        <v>68</v>
      </c>
      <c r="K10950" s="33" t="s">
        <v>142</v>
      </c>
      <c r="L10950" s="31" t="str">
        <f t="shared" si="1056"/>
        <v>Enam Puluh Delapan</v>
      </c>
    </row>
    <row r="10951" spans="10:12">
      <c r="J10951" s="31">
        <v>69</v>
      </c>
      <c r="K10951" s="33" t="s">
        <v>143</v>
      </c>
      <c r="L10951" s="31" t="str">
        <f t="shared" si="1056"/>
        <v>Enam Puluh Sembilan</v>
      </c>
    </row>
    <row r="10952" spans="10:12">
      <c r="J10952" s="31">
        <v>70</v>
      </c>
      <c r="K10952" s="33" t="s">
        <v>144</v>
      </c>
      <c r="L10952" s="31" t="s">
        <v>145</v>
      </c>
    </row>
    <row r="10953" spans="10:12">
      <c r="J10953" s="31">
        <v>71</v>
      </c>
      <c r="K10953" s="33" t="s">
        <v>146</v>
      </c>
      <c r="L10953" s="31" t="str">
        <f t="shared" ref="L10953:L10961" si="1057">$L$73&amp;" "&amp;L10883</f>
        <v>Tujuh Puluh Satu</v>
      </c>
    </row>
    <row r="10954" spans="10:12">
      <c r="J10954" s="31">
        <v>72</v>
      </c>
      <c r="K10954" s="33" t="s">
        <v>147</v>
      </c>
      <c r="L10954" s="31" t="str">
        <f t="shared" si="1057"/>
        <v>Tujuh Puluh Dua</v>
      </c>
    </row>
    <row r="10955" spans="10:12">
      <c r="J10955" s="31">
        <v>73</v>
      </c>
      <c r="K10955" s="33" t="s">
        <v>148</v>
      </c>
      <c r="L10955" s="31" t="str">
        <f t="shared" si="1057"/>
        <v>Tujuh Puluh Tiga</v>
      </c>
    </row>
    <row r="10956" spans="10:12">
      <c r="J10956" s="31">
        <v>74</v>
      </c>
      <c r="K10956" s="33" t="s">
        <v>149</v>
      </c>
      <c r="L10956" s="31" t="str">
        <f t="shared" si="1057"/>
        <v>Tujuh Puluh Empat</v>
      </c>
    </row>
    <row r="10957" spans="10:12">
      <c r="J10957" s="31">
        <v>75</v>
      </c>
      <c r="K10957" s="33" t="s">
        <v>150</v>
      </c>
      <c r="L10957" s="31" t="str">
        <f t="shared" si="1057"/>
        <v>Tujuh Puluh Lima</v>
      </c>
    </row>
    <row r="10958" spans="10:12">
      <c r="J10958" s="31">
        <v>76</v>
      </c>
      <c r="K10958" s="33" t="s">
        <v>151</v>
      </c>
      <c r="L10958" s="31" t="str">
        <f t="shared" si="1057"/>
        <v>Tujuh Puluh Enam</v>
      </c>
    </row>
    <row r="10959" spans="10:12">
      <c r="J10959" s="31">
        <v>77</v>
      </c>
      <c r="K10959" s="33" t="s">
        <v>152</v>
      </c>
      <c r="L10959" s="31" t="str">
        <f t="shared" si="1057"/>
        <v>Tujuh Puluh Tujuh</v>
      </c>
    </row>
    <row r="10960" spans="10:12">
      <c r="J10960" s="31">
        <v>78</v>
      </c>
      <c r="K10960" s="33" t="s">
        <v>153</v>
      </c>
      <c r="L10960" s="31" t="str">
        <f t="shared" si="1057"/>
        <v>Tujuh Puluh Delapan</v>
      </c>
    </row>
    <row r="10961" spans="10:12">
      <c r="J10961" s="31">
        <v>79</v>
      </c>
      <c r="K10961" s="33" t="s">
        <v>154</v>
      </c>
      <c r="L10961" s="31" t="str">
        <f t="shared" si="1057"/>
        <v>Tujuh Puluh Sembilan</v>
      </c>
    </row>
    <row r="10962" spans="10:12">
      <c r="J10962" s="31">
        <v>80</v>
      </c>
      <c r="K10962" s="33" t="s">
        <v>155</v>
      </c>
      <c r="L10962" s="31" t="s">
        <v>156</v>
      </c>
    </row>
    <row r="10963" spans="10:12">
      <c r="J10963" s="31">
        <v>81</v>
      </c>
      <c r="K10963" s="33" t="s">
        <v>157</v>
      </c>
      <c r="L10963" s="31" t="str">
        <f t="shared" ref="L10963:L10971" si="1058">$L$83&amp;" "&amp;L10883</f>
        <v>Delapan Puluh Satu</v>
      </c>
    </row>
    <row r="10964" spans="10:12">
      <c r="J10964" s="31">
        <v>82</v>
      </c>
      <c r="K10964" s="33" t="s">
        <v>158</v>
      </c>
      <c r="L10964" s="31" t="str">
        <f t="shared" si="1058"/>
        <v>Delapan Puluh Dua</v>
      </c>
    </row>
    <row r="10965" spans="10:12">
      <c r="J10965" s="31">
        <v>83</v>
      </c>
      <c r="K10965" s="33" t="s">
        <v>159</v>
      </c>
      <c r="L10965" s="31" t="str">
        <f t="shared" si="1058"/>
        <v>Delapan Puluh Tiga</v>
      </c>
    </row>
    <row r="10966" spans="10:12">
      <c r="J10966" s="31">
        <v>84</v>
      </c>
      <c r="K10966" s="33" t="s">
        <v>160</v>
      </c>
      <c r="L10966" s="31" t="str">
        <f t="shared" si="1058"/>
        <v>Delapan Puluh Empat</v>
      </c>
    </row>
    <row r="10967" spans="10:12">
      <c r="J10967" s="31">
        <v>85</v>
      </c>
      <c r="K10967" s="33" t="s">
        <v>161</v>
      </c>
      <c r="L10967" s="31" t="str">
        <f t="shared" si="1058"/>
        <v>Delapan Puluh Lima</v>
      </c>
    </row>
    <row r="10968" spans="10:12">
      <c r="J10968" s="31">
        <v>86</v>
      </c>
      <c r="K10968" s="33" t="s">
        <v>162</v>
      </c>
      <c r="L10968" s="31" t="str">
        <f t="shared" si="1058"/>
        <v>Delapan Puluh Enam</v>
      </c>
    </row>
    <row r="10969" spans="10:12">
      <c r="J10969" s="31">
        <v>87</v>
      </c>
      <c r="K10969" s="33" t="s">
        <v>163</v>
      </c>
      <c r="L10969" s="31" t="str">
        <f t="shared" si="1058"/>
        <v>Delapan Puluh Tujuh</v>
      </c>
    </row>
    <row r="10970" spans="10:12">
      <c r="J10970" s="31">
        <v>88</v>
      </c>
      <c r="K10970" s="33" t="s">
        <v>164</v>
      </c>
      <c r="L10970" s="31" t="str">
        <f t="shared" si="1058"/>
        <v>Delapan Puluh Delapan</v>
      </c>
    </row>
    <row r="10971" spans="10:12">
      <c r="J10971" s="31">
        <v>89</v>
      </c>
      <c r="K10971" s="33" t="s">
        <v>165</v>
      </c>
      <c r="L10971" s="31" t="str">
        <f t="shared" si="1058"/>
        <v>Delapan Puluh Sembilan</v>
      </c>
    </row>
    <row r="10972" spans="10:12">
      <c r="J10972" s="31">
        <v>90</v>
      </c>
      <c r="K10972" s="33" t="s">
        <v>166</v>
      </c>
      <c r="L10972" s="31" t="s">
        <v>167</v>
      </c>
    </row>
    <row r="10973" spans="10:12">
      <c r="J10973" s="31">
        <v>91</v>
      </c>
      <c r="K10973" s="33" t="s">
        <v>168</v>
      </c>
      <c r="L10973" s="31" t="str">
        <f t="shared" ref="L10973:L10981" si="1059">$L$93&amp;" "&amp;L10883</f>
        <v>Sembilan Puluh Satu</v>
      </c>
    </row>
    <row r="10974" spans="10:12">
      <c r="J10974" s="31">
        <v>92</v>
      </c>
      <c r="K10974" s="33" t="s">
        <v>169</v>
      </c>
      <c r="L10974" s="31" t="str">
        <f t="shared" si="1059"/>
        <v>Sembilan Puluh Dua</v>
      </c>
    </row>
    <row r="10975" spans="10:12">
      <c r="J10975" s="31">
        <v>93</v>
      </c>
      <c r="K10975" s="33" t="s">
        <v>170</v>
      </c>
      <c r="L10975" s="31" t="str">
        <f t="shared" si="1059"/>
        <v>Sembilan Puluh Tiga</v>
      </c>
    </row>
    <row r="10976" spans="10:12">
      <c r="J10976" s="31">
        <v>94</v>
      </c>
      <c r="K10976" s="33" t="s">
        <v>171</v>
      </c>
      <c r="L10976" s="31" t="str">
        <f t="shared" si="1059"/>
        <v>Sembilan Puluh Empat</v>
      </c>
    </row>
    <row r="10977" spans="1:12">
      <c r="J10977" s="31">
        <v>95</v>
      </c>
      <c r="K10977" s="33" t="s">
        <v>172</v>
      </c>
      <c r="L10977" s="31" t="str">
        <f t="shared" si="1059"/>
        <v>Sembilan Puluh Lima</v>
      </c>
    </row>
    <row r="10978" spans="1:12">
      <c r="J10978" s="31">
        <v>96</v>
      </c>
      <c r="K10978" s="33" t="s">
        <v>173</v>
      </c>
      <c r="L10978" s="31" t="str">
        <f t="shared" si="1059"/>
        <v>Sembilan Puluh Enam</v>
      </c>
    </row>
    <row r="10979" spans="1:12">
      <c r="J10979" s="31">
        <v>97</v>
      </c>
      <c r="K10979" s="33" t="s">
        <v>174</v>
      </c>
      <c r="L10979" s="31" t="str">
        <f t="shared" si="1059"/>
        <v>Sembilan Puluh Tujuh</v>
      </c>
    </row>
    <row r="10980" spans="1:12">
      <c r="J10980" s="31">
        <v>98</v>
      </c>
      <c r="K10980" s="33" t="s">
        <v>175</v>
      </c>
      <c r="L10980" s="31" t="str">
        <f t="shared" si="1059"/>
        <v>Sembilan Puluh Delapan</v>
      </c>
    </row>
    <row r="10981" spans="1:12">
      <c r="J10981" s="31">
        <v>99</v>
      </c>
      <c r="K10981" s="33" t="s">
        <v>176</v>
      </c>
      <c r="L10981" s="31" t="str">
        <f t="shared" si="1059"/>
        <v>Sembilan Puluh Sembilan</v>
      </c>
    </row>
    <row r="10983" spans="1:12">
      <c r="A10983" s="30" t="e">
        <f>#REF!</f>
        <v>#REF!</v>
      </c>
      <c r="C10983" s="31" t="s">
        <v>341</v>
      </c>
    </row>
    <row r="10984" spans="1:12">
      <c r="A10984" s="32"/>
    </row>
    <row r="10985" spans="1:12">
      <c r="J10985" s="31">
        <v>0</v>
      </c>
      <c r="K10985" s="33" t="s">
        <v>48</v>
      </c>
      <c r="L10985" s="31" t="s">
        <v>49</v>
      </c>
    </row>
    <row r="10986" spans="1:12">
      <c r="A10986" s="34"/>
      <c r="J10986" s="31">
        <v>1</v>
      </c>
      <c r="K10986" s="33" t="s">
        <v>50</v>
      </c>
      <c r="L10986" s="31" t="s">
        <v>51</v>
      </c>
    </row>
    <row r="10987" spans="1:12">
      <c r="A10987" s="255" t="e">
        <f>TRIM(D10995&amp;E10995&amp;D10996&amp;E10996&amp;D10997&amp;E10997&amp;D10998&amp;E10998&amp;D10999&amp;E10999&amp;D11000&amp;E11000&amp;E11001&amp;D11001&amp;" Only")</f>
        <v>#REF!</v>
      </c>
      <c r="B10987" s="255"/>
      <c r="C10987" s="255"/>
      <c r="D10987" s="255"/>
      <c r="E10987" s="35"/>
      <c r="F10987" s="36"/>
      <c r="J10987" s="31">
        <v>2</v>
      </c>
      <c r="K10987" s="33" t="s">
        <v>52</v>
      </c>
      <c r="L10987" s="31" t="s">
        <v>53</v>
      </c>
    </row>
    <row r="10988" spans="1:12">
      <c r="A10988" s="37"/>
      <c r="B10988" s="37"/>
      <c r="C10988" s="37"/>
      <c r="D10988" s="37"/>
      <c r="E10988" s="35"/>
      <c r="F10988" s="36"/>
      <c r="J10988" s="31">
        <v>3</v>
      </c>
      <c r="K10988" s="33" t="s">
        <v>54</v>
      </c>
      <c r="L10988" s="31" t="s">
        <v>55</v>
      </c>
    </row>
    <row r="10989" spans="1:12">
      <c r="A10989" s="37"/>
      <c r="B10989" s="37"/>
      <c r="C10989" s="37"/>
      <c r="D10989" s="37"/>
      <c r="J10989" s="31">
        <v>4</v>
      </c>
      <c r="K10989" s="33" t="s">
        <v>56</v>
      </c>
      <c r="L10989" s="31" t="s">
        <v>57</v>
      </c>
    </row>
    <row r="10990" spans="1:12">
      <c r="A10990" s="255" t="e">
        <f>TRIM(D11005&amp;E11005&amp;D11006&amp;E11006&amp;D11007&amp;E11007&amp;D11008&amp;E11008&amp;D11009&amp;E11009&amp;D11010&amp;E11010&amp;D11011&amp;E11011&amp;" Rupiah")</f>
        <v>#REF!</v>
      </c>
      <c r="B10990" s="255"/>
      <c r="C10990" s="255"/>
      <c r="D10990" s="255"/>
      <c r="E10990" s="35"/>
      <c r="F10990" s="36"/>
      <c r="J10990" s="31">
        <v>5</v>
      </c>
      <c r="K10990" s="33" t="s">
        <v>58</v>
      </c>
      <c r="L10990" s="31" t="s">
        <v>59</v>
      </c>
    </row>
    <row r="10991" spans="1:12">
      <c r="A10991" s="35"/>
      <c r="B10991" s="35"/>
      <c r="C10991" s="35"/>
      <c r="D10991" s="35"/>
      <c r="E10991" s="35"/>
      <c r="F10991" s="36"/>
      <c r="J10991" s="31">
        <v>6</v>
      </c>
      <c r="K10991" s="33" t="s">
        <v>60</v>
      </c>
      <c r="L10991" s="31" t="s">
        <v>61</v>
      </c>
    </row>
    <row r="10992" spans="1:12">
      <c r="J10992" s="31">
        <v>7</v>
      </c>
      <c r="K10992" s="33" t="s">
        <v>62</v>
      </c>
      <c r="L10992" s="31" t="s">
        <v>63</v>
      </c>
    </row>
    <row r="10993" spans="1:12">
      <c r="J10993" s="31">
        <v>8</v>
      </c>
      <c r="K10993" s="33" t="s">
        <v>64</v>
      </c>
      <c r="L10993" s="31" t="s">
        <v>65</v>
      </c>
    </row>
    <row r="10994" spans="1:12">
      <c r="A10994" s="38" t="s">
        <v>66</v>
      </c>
      <c r="J10994" s="31">
        <v>9</v>
      </c>
      <c r="K10994" s="33" t="s">
        <v>67</v>
      </c>
      <c r="L10994" s="31" t="s">
        <v>68</v>
      </c>
    </row>
    <row r="10995" spans="1:12">
      <c r="A10995" s="31" t="s">
        <v>69</v>
      </c>
      <c r="B10995" s="39" t="e">
        <f>TRUNC(A10983/100000000)</f>
        <v>#REF!</v>
      </c>
      <c r="C10995" s="31" t="e">
        <f>B10995*100000000</f>
        <v>#REF!</v>
      </c>
      <c r="D10995" s="31" t="e">
        <f t="shared" ref="D10995:D11001" si="1060">IF(B10995&lt;1,"",VLOOKUP(B10995,$J$3:$K$102,2))</f>
        <v>#REF!</v>
      </c>
      <c r="E10995" s="31" t="e">
        <f>IF(B10995&lt;1,"",IF(B10995&gt;1," Hundreds "," Hundred "))</f>
        <v>#REF!</v>
      </c>
      <c r="J10995" s="31">
        <v>10</v>
      </c>
      <c r="K10995" s="33" t="s">
        <v>70</v>
      </c>
      <c r="L10995" s="31" t="s">
        <v>71</v>
      </c>
    </row>
    <row r="10996" spans="1:12">
      <c r="A10996" s="31" t="s">
        <v>72</v>
      </c>
      <c r="B10996" s="39" t="e">
        <f>TRUNC((A10983-C10995)/1000000)</f>
        <v>#REF!</v>
      </c>
      <c r="C10996" s="31" t="e">
        <f>B10996*1000000</f>
        <v>#REF!</v>
      </c>
      <c r="D10996" s="31" t="e">
        <f t="shared" si="1060"/>
        <v>#REF!</v>
      </c>
      <c r="E10996" s="31" t="e">
        <f>IF(B10995+B10996=0,"",IF(B10996=1," Million "," Millions "))</f>
        <v>#REF!</v>
      </c>
      <c r="J10996" s="31">
        <v>11</v>
      </c>
      <c r="K10996" s="33" t="s">
        <v>73</v>
      </c>
      <c r="L10996" s="31" t="s">
        <v>74</v>
      </c>
    </row>
    <row r="10997" spans="1:12">
      <c r="A10997" s="31" t="s">
        <v>75</v>
      </c>
      <c r="B10997" s="39" t="e">
        <f>TRUNC((A10983-SUM(C10995:C10996))/100000)</f>
        <v>#REF!</v>
      </c>
      <c r="C10997" s="31" t="e">
        <f>B10997*100000</f>
        <v>#REF!</v>
      </c>
      <c r="D10997" s="31" t="e">
        <f t="shared" si="1060"/>
        <v>#REF!</v>
      </c>
      <c r="E10997" s="31" t="e">
        <f>IF(B10997&lt;1,"",IF(B10997&gt;1," Hundreds "," Hundred "))</f>
        <v>#REF!</v>
      </c>
      <c r="J10997" s="31">
        <v>12</v>
      </c>
      <c r="K10997" s="33" t="s">
        <v>76</v>
      </c>
      <c r="L10997" s="31" t="str">
        <f t="shared" ref="L10997:L11004" si="1061">L10987&amp;" Belas"</f>
        <v>Dua Belas</v>
      </c>
    </row>
    <row r="10998" spans="1:12">
      <c r="A10998" s="33" t="s">
        <v>77</v>
      </c>
      <c r="B10998" s="40" t="e">
        <f>TRUNC((A10983-SUM(C10995:C10997))/1000)</f>
        <v>#REF!</v>
      </c>
      <c r="C10998" s="31" t="e">
        <f>B10998*1000</f>
        <v>#REF!</v>
      </c>
      <c r="D10998" s="31" t="e">
        <f t="shared" si="1060"/>
        <v>#REF!</v>
      </c>
      <c r="E10998" s="31" t="e">
        <f>IF(B10997+B10998=0,"",IF(B10998=1," Thousand "," Thousands "))</f>
        <v>#REF!</v>
      </c>
      <c r="J10998" s="31">
        <v>13</v>
      </c>
      <c r="K10998" s="33" t="s">
        <v>78</v>
      </c>
      <c r="L10998" s="31" t="str">
        <f t="shared" si="1061"/>
        <v>Tiga Belas</v>
      </c>
    </row>
    <row r="10999" spans="1:12">
      <c r="A10999" s="33" t="s">
        <v>79</v>
      </c>
      <c r="B10999" s="40" t="e">
        <f>TRUNC((A10983-SUM(C10995:C10998))/100)</f>
        <v>#REF!</v>
      </c>
      <c r="C10999" s="31" t="e">
        <f>B10999*100</f>
        <v>#REF!</v>
      </c>
      <c r="D10999" s="31" t="e">
        <f t="shared" si="1060"/>
        <v>#REF!</v>
      </c>
      <c r="E10999" s="31" t="e">
        <f>IF(B10999&lt;1,"",IF(B10999&gt;1," Hundreds "," Hundred "))</f>
        <v>#REF!</v>
      </c>
      <c r="J10999" s="31">
        <v>14</v>
      </c>
      <c r="K10999" s="33" t="s">
        <v>80</v>
      </c>
      <c r="L10999" s="31" t="str">
        <f t="shared" si="1061"/>
        <v>Empat Belas</v>
      </c>
    </row>
    <row r="11000" spans="1:12">
      <c r="A11000" s="33" t="s">
        <v>81</v>
      </c>
      <c r="B11000" s="41" t="e">
        <f>TRUNC((A10983-SUM(C10995:C10999)))</f>
        <v>#REF!</v>
      </c>
      <c r="C11000" s="42" t="e">
        <f>B11000</f>
        <v>#REF!</v>
      </c>
      <c r="D11000" s="31" t="e">
        <f t="shared" si="1060"/>
        <v>#REF!</v>
      </c>
      <c r="E11000" s="31" t="e">
        <f>IF(SUM(C10995:C11000)&lt;1,"",IF(B11001&lt;1,""," And "))</f>
        <v>#REF!</v>
      </c>
      <c r="J11000" s="31">
        <v>15</v>
      </c>
      <c r="K11000" s="33" t="s">
        <v>82</v>
      </c>
      <c r="L11000" s="31" t="str">
        <f t="shared" si="1061"/>
        <v>Lima Belas</v>
      </c>
    </row>
    <row r="11001" spans="1:12">
      <c r="A11001" s="33" t="s">
        <v>83</v>
      </c>
      <c r="B11001" s="40" t="e">
        <f>ROUND(A10983-SUM(C10995:C11000),2)*100</f>
        <v>#REF!</v>
      </c>
      <c r="D11001" s="43" t="e">
        <f t="shared" si="1060"/>
        <v>#REF!</v>
      </c>
      <c r="E11001" s="31" t="e">
        <f>IF(B11001&lt;1,"",IF(B11001=1," Cent "," Cents "))</f>
        <v>#REF!</v>
      </c>
      <c r="J11001" s="31">
        <v>16</v>
      </c>
      <c r="K11001" s="33" t="s">
        <v>84</v>
      </c>
      <c r="L11001" s="31" t="str">
        <f t="shared" si="1061"/>
        <v>Enam Belas</v>
      </c>
    </row>
    <row r="11002" spans="1:12">
      <c r="J11002" s="31">
        <v>17</v>
      </c>
      <c r="K11002" s="33" t="s">
        <v>85</v>
      </c>
      <c r="L11002" s="31" t="str">
        <f t="shared" si="1061"/>
        <v>Tujuh Belas</v>
      </c>
    </row>
    <row r="11003" spans="1:12">
      <c r="A11003" s="44"/>
      <c r="J11003" s="31">
        <v>18</v>
      </c>
      <c r="K11003" s="33" t="s">
        <v>86</v>
      </c>
      <c r="L11003" s="31" t="str">
        <f t="shared" si="1061"/>
        <v>Delapan Belas</v>
      </c>
    </row>
    <row r="11004" spans="1:12">
      <c r="A11004" s="38" t="s">
        <v>87</v>
      </c>
      <c r="J11004" s="31">
        <v>19</v>
      </c>
      <c r="K11004" s="33" t="s">
        <v>88</v>
      </c>
      <c r="L11004" s="31" t="str">
        <f t="shared" si="1061"/>
        <v>Sembilan Belas</v>
      </c>
    </row>
    <row r="11005" spans="1:12">
      <c r="A11005" s="31" t="s">
        <v>69</v>
      </c>
      <c r="B11005" s="39" t="e">
        <f>TRUNC(A10983/100000000)</f>
        <v>#REF!</v>
      </c>
      <c r="C11005" s="31" t="e">
        <f>B11005*100000000</f>
        <v>#REF!</v>
      </c>
      <c r="D11005" s="31" t="e">
        <f>IF(B11005&lt;1,"",IF(B11005=1,"",VLOOKUP(B11005,$J$3:$L$102,3)))</f>
        <v>#REF!</v>
      </c>
      <c r="E11005" s="31" t="e">
        <f>IF(B11005&lt;1,"",IF(B11005=1,"Seratus "," Ratus "))</f>
        <v>#REF!</v>
      </c>
      <c r="J11005" s="31">
        <v>20</v>
      </c>
      <c r="K11005" s="33" t="s">
        <v>89</v>
      </c>
      <c r="L11005" s="31" t="s">
        <v>90</v>
      </c>
    </row>
    <row r="11006" spans="1:12">
      <c r="A11006" s="31" t="s">
        <v>72</v>
      </c>
      <c r="B11006" s="39" t="e">
        <f>TRUNC((A10983-C11005)/1000000)</f>
        <v>#REF!</v>
      </c>
      <c r="C11006" s="31" t="e">
        <f>B11006*1000000</f>
        <v>#REF!</v>
      </c>
      <c r="D11006" s="31" t="e">
        <f>IF(B11006&lt;1,"",VLOOKUP(B11006,$J$3:$L$102,3))</f>
        <v>#REF!</v>
      </c>
      <c r="E11006" s="31" t="e">
        <f>IF(B11005+B11006=0,""," Juta ")</f>
        <v>#REF!</v>
      </c>
      <c r="J11006" s="31">
        <v>21</v>
      </c>
      <c r="K11006" s="33" t="s">
        <v>91</v>
      </c>
      <c r="L11006" s="31" t="str">
        <f t="shared" ref="L11006:L11014" si="1062">$L$23&amp;" "&amp;L10986</f>
        <v>Dua Puluh Satu</v>
      </c>
    </row>
    <row r="11007" spans="1:12">
      <c r="A11007" s="31" t="s">
        <v>75</v>
      </c>
      <c r="B11007" s="39" t="e">
        <f>TRUNC((A10983-SUM(C11005:C11006))/100000)</f>
        <v>#REF!</v>
      </c>
      <c r="C11007" s="31" t="e">
        <f>B11007*100000</f>
        <v>#REF!</v>
      </c>
      <c r="D11007" s="31" t="e">
        <f>IF(B11007&lt;1,"",IF(B11007=1,"",VLOOKUP(B11007,$J$3:$L$102,3)))</f>
        <v>#REF!</v>
      </c>
      <c r="E11007" s="31" t="e">
        <f>IF(B11007&lt;1,"",IF(B11007=1," Seratus "," Ratus "))</f>
        <v>#REF!</v>
      </c>
      <c r="J11007" s="31">
        <v>22</v>
      </c>
      <c r="K11007" s="33" t="s">
        <v>92</v>
      </c>
      <c r="L11007" s="31" t="str">
        <f t="shared" si="1062"/>
        <v>Dua Puluh Dua</v>
      </c>
    </row>
    <row r="11008" spans="1:12">
      <c r="A11008" s="33" t="s">
        <v>77</v>
      </c>
      <c r="B11008" s="40" t="e">
        <f>TRUNC((A10983-SUM(C11005:C11007))/1000)</f>
        <v>#REF!</v>
      </c>
      <c r="C11008" s="31" t="e">
        <f>B11008*1000</f>
        <v>#REF!</v>
      </c>
      <c r="D11008" s="31" t="e">
        <f>IF(B11008&lt;1,"",IF(B11008=1,"",VLOOKUP(B11008,$J$3:$L$102,3)))</f>
        <v>#REF!</v>
      </c>
      <c r="E11008" s="31" t="e">
        <f>IF(B11007+B11008&lt;1,"",IF(B11008=1," Seribu "," Ribu "))</f>
        <v>#REF!</v>
      </c>
      <c r="J11008" s="31">
        <v>23</v>
      </c>
      <c r="K11008" s="33" t="s">
        <v>93</v>
      </c>
      <c r="L11008" s="31" t="str">
        <f t="shared" si="1062"/>
        <v>Dua Puluh Tiga</v>
      </c>
    </row>
    <row r="11009" spans="1:12">
      <c r="A11009" s="33" t="s">
        <v>79</v>
      </c>
      <c r="B11009" s="40" t="e">
        <f>TRUNC((A10983-SUM(C11005:C11008))/100)</f>
        <v>#REF!</v>
      </c>
      <c r="C11009" s="31" t="e">
        <f>B11009*100</f>
        <v>#REF!</v>
      </c>
      <c r="D11009" s="31" t="e">
        <f>IF(B11009&lt;1,"",IF(B11009=1,"",VLOOKUP(B11009,$J$3:$L$102,3)))</f>
        <v>#REF!</v>
      </c>
      <c r="E11009" s="31" t="e">
        <f>IF(B11009&lt;1,"",IF(B11009=1," Seratus "," Ratus "))</f>
        <v>#REF!</v>
      </c>
      <c r="J11009" s="31">
        <v>24</v>
      </c>
      <c r="K11009" s="33" t="s">
        <v>94</v>
      </c>
      <c r="L11009" s="31" t="str">
        <f t="shared" si="1062"/>
        <v>Dua Puluh Empat</v>
      </c>
    </row>
    <row r="11010" spans="1:12">
      <c r="A11010" s="33" t="s">
        <v>81</v>
      </c>
      <c r="B11010" s="41" t="e">
        <f>TRUNC((A10983-SUM(C11005:C11009)))</f>
        <v>#REF!</v>
      </c>
      <c r="C11010" s="42" t="e">
        <f>B11010</f>
        <v>#REF!</v>
      </c>
      <c r="D11010" s="31" t="e">
        <f>IF(B11010&lt;1,"",VLOOKUP(B11010,$J$3:$L$102,3))</f>
        <v>#REF!</v>
      </c>
      <c r="E11010" s="31" t="e">
        <f>IF(SUM(C11005:C11010)&lt;1,"",IF(B11011&lt;1,""," Dan "))</f>
        <v>#REF!</v>
      </c>
      <c r="J11010" s="31">
        <v>25</v>
      </c>
      <c r="K11010" s="33" t="s">
        <v>95</v>
      </c>
      <c r="L11010" s="31" t="str">
        <f t="shared" si="1062"/>
        <v>Dua Puluh Lima</v>
      </c>
    </row>
    <row r="11011" spans="1:12">
      <c r="A11011" s="33" t="s">
        <v>83</v>
      </c>
      <c r="B11011" s="40" t="e">
        <f>ROUND(A10983-SUM(C11005:C11010),2)*100</f>
        <v>#REF!</v>
      </c>
      <c r="D11011" s="31" t="e">
        <f>IF(B11011&lt;1,"",VLOOKUP(B11011,$J$3:$L$102,3))</f>
        <v>#REF!</v>
      </c>
      <c r="E11011" s="31" t="e">
        <f>IF(B11011&lt;1,""," Sen ")</f>
        <v>#REF!</v>
      </c>
      <c r="J11011" s="31">
        <v>26</v>
      </c>
      <c r="K11011" s="33" t="s">
        <v>96</v>
      </c>
      <c r="L11011" s="31" t="str">
        <f t="shared" si="1062"/>
        <v>Dua Puluh Enam</v>
      </c>
    </row>
    <row r="11012" spans="1:12">
      <c r="J11012" s="31">
        <v>27</v>
      </c>
      <c r="K11012" s="33" t="s">
        <v>97</v>
      </c>
      <c r="L11012" s="31" t="str">
        <f t="shared" si="1062"/>
        <v>Dua Puluh Tujuh</v>
      </c>
    </row>
    <row r="11013" spans="1:12">
      <c r="J11013" s="31">
        <v>28</v>
      </c>
      <c r="K11013" s="33" t="s">
        <v>98</v>
      </c>
      <c r="L11013" s="31" t="str">
        <f t="shared" si="1062"/>
        <v>Dua Puluh Delapan</v>
      </c>
    </row>
    <row r="11014" spans="1:12">
      <c r="J11014" s="31">
        <v>29</v>
      </c>
      <c r="K11014" s="33" t="s">
        <v>99</v>
      </c>
      <c r="L11014" s="31" t="str">
        <f t="shared" si="1062"/>
        <v>Dua Puluh Sembilan</v>
      </c>
    </row>
    <row r="11015" spans="1:12">
      <c r="J11015" s="31">
        <v>30</v>
      </c>
      <c r="K11015" s="33" t="s">
        <v>100</v>
      </c>
      <c r="L11015" s="31" t="s">
        <v>101</v>
      </c>
    </row>
    <row r="11016" spans="1:12">
      <c r="J11016" s="31">
        <v>31</v>
      </c>
      <c r="K11016" s="33" t="s">
        <v>102</v>
      </c>
      <c r="L11016" s="31" t="str">
        <f t="shared" ref="L11016:L11024" si="1063">$L$33&amp;" "&amp;L10986</f>
        <v>Tiga Puluh Satu</v>
      </c>
    </row>
    <row r="11017" spans="1:12">
      <c r="J11017" s="31">
        <v>32</v>
      </c>
      <c r="K11017" s="33" t="s">
        <v>103</v>
      </c>
      <c r="L11017" s="31" t="str">
        <f t="shared" si="1063"/>
        <v>Tiga Puluh Dua</v>
      </c>
    </row>
    <row r="11018" spans="1:12">
      <c r="J11018" s="31">
        <v>33</v>
      </c>
      <c r="K11018" s="33" t="s">
        <v>104</v>
      </c>
      <c r="L11018" s="31" t="str">
        <f t="shared" si="1063"/>
        <v>Tiga Puluh Tiga</v>
      </c>
    </row>
    <row r="11019" spans="1:12">
      <c r="J11019" s="31">
        <v>34</v>
      </c>
      <c r="K11019" s="33" t="s">
        <v>105</v>
      </c>
      <c r="L11019" s="31" t="str">
        <f t="shared" si="1063"/>
        <v>Tiga Puluh Empat</v>
      </c>
    </row>
    <row r="11020" spans="1:12">
      <c r="J11020" s="31">
        <v>35</v>
      </c>
      <c r="K11020" s="33" t="s">
        <v>106</v>
      </c>
      <c r="L11020" s="31" t="str">
        <f t="shared" si="1063"/>
        <v>Tiga Puluh Lima</v>
      </c>
    </row>
    <row r="11021" spans="1:12">
      <c r="J11021" s="31">
        <v>36</v>
      </c>
      <c r="K11021" s="33" t="s">
        <v>107</v>
      </c>
      <c r="L11021" s="31" t="str">
        <f t="shared" si="1063"/>
        <v>Tiga Puluh Enam</v>
      </c>
    </row>
    <row r="11022" spans="1:12">
      <c r="J11022" s="31">
        <v>37</v>
      </c>
      <c r="K11022" s="33" t="s">
        <v>108</v>
      </c>
      <c r="L11022" s="31" t="str">
        <f t="shared" si="1063"/>
        <v>Tiga Puluh Tujuh</v>
      </c>
    </row>
    <row r="11023" spans="1:12">
      <c r="J11023" s="31">
        <v>38</v>
      </c>
      <c r="K11023" s="33" t="s">
        <v>109</v>
      </c>
      <c r="L11023" s="31" t="str">
        <f t="shared" si="1063"/>
        <v>Tiga Puluh Delapan</v>
      </c>
    </row>
    <row r="11024" spans="1:12">
      <c r="J11024" s="31">
        <v>39</v>
      </c>
      <c r="K11024" s="33" t="s">
        <v>110</v>
      </c>
      <c r="L11024" s="31" t="str">
        <f t="shared" si="1063"/>
        <v>Tiga Puluh Sembilan</v>
      </c>
    </row>
    <row r="11025" spans="1:12">
      <c r="B11025" s="35"/>
      <c r="C11025" s="35"/>
      <c r="D11025" s="35"/>
      <c r="J11025" s="31">
        <v>40</v>
      </c>
      <c r="K11025" s="33" t="s">
        <v>111</v>
      </c>
      <c r="L11025" s="31" t="s">
        <v>112</v>
      </c>
    </row>
    <row r="11026" spans="1:12">
      <c r="A11026" s="35"/>
      <c r="B11026" s="35"/>
      <c r="C11026" s="35"/>
      <c r="D11026" s="35"/>
      <c r="J11026" s="31">
        <v>41</v>
      </c>
      <c r="K11026" s="33" t="s">
        <v>113</v>
      </c>
      <c r="L11026" s="31" t="str">
        <f t="shared" ref="L11026:L11034" si="1064">$L$43&amp;" "&amp;L10986</f>
        <v>Empat Puluh Satu</v>
      </c>
    </row>
    <row r="11027" spans="1:12">
      <c r="J11027" s="31">
        <v>42</v>
      </c>
      <c r="K11027" s="33" t="s">
        <v>114</v>
      </c>
      <c r="L11027" s="31" t="str">
        <f t="shared" si="1064"/>
        <v>Empat Puluh Dua</v>
      </c>
    </row>
    <row r="11028" spans="1:12">
      <c r="A11028" s="38"/>
      <c r="J11028" s="31">
        <v>43</v>
      </c>
      <c r="K11028" s="33" t="s">
        <v>115</v>
      </c>
      <c r="L11028" s="31" t="str">
        <f t="shared" si="1064"/>
        <v>Empat Puluh Tiga</v>
      </c>
    </row>
    <row r="11029" spans="1:12">
      <c r="J11029" s="31">
        <v>44</v>
      </c>
      <c r="K11029" s="33" t="s">
        <v>116</v>
      </c>
      <c r="L11029" s="31" t="str">
        <f t="shared" si="1064"/>
        <v>Empat Puluh Empat</v>
      </c>
    </row>
    <row r="11030" spans="1:12">
      <c r="J11030" s="31">
        <v>45</v>
      </c>
      <c r="K11030" s="33" t="s">
        <v>117</v>
      </c>
      <c r="L11030" s="31" t="str">
        <f t="shared" si="1064"/>
        <v>Empat Puluh Lima</v>
      </c>
    </row>
    <row r="11031" spans="1:12">
      <c r="J11031" s="31">
        <v>46</v>
      </c>
      <c r="K11031" s="33" t="s">
        <v>118</v>
      </c>
      <c r="L11031" s="31" t="str">
        <f t="shared" si="1064"/>
        <v>Empat Puluh Enam</v>
      </c>
    </row>
    <row r="11032" spans="1:12">
      <c r="J11032" s="31">
        <v>47</v>
      </c>
      <c r="K11032" s="33" t="s">
        <v>119</v>
      </c>
      <c r="L11032" s="31" t="str">
        <f t="shared" si="1064"/>
        <v>Empat Puluh Tujuh</v>
      </c>
    </row>
    <row r="11033" spans="1:12">
      <c r="J11033" s="31">
        <v>48</v>
      </c>
      <c r="K11033" s="33" t="s">
        <v>120</v>
      </c>
      <c r="L11033" s="31" t="str">
        <f t="shared" si="1064"/>
        <v>Empat Puluh Delapan</v>
      </c>
    </row>
    <row r="11034" spans="1:12">
      <c r="J11034" s="31">
        <v>49</v>
      </c>
      <c r="K11034" s="33" t="s">
        <v>121</v>
      </c>
      <c r="L11034" s="31" t="str">
        <f t="shared" si="1064"/>
        <v>Empat Puluh Sembilan</v>
      </c>
    </row>
    <row r="11035" spans="1:12">
      <c r="J11035" s="31">
        <v>50</v>
      </c>
      <c r="K11035" s="33" t="s">
        <v>122</v>
      </c>
      <c r="L11035" s="31" t="s">
        <v>123</v>
      </c>
    </row>
    <row r="11036" spans="1:12">
      <c r="J11036" s="31">
        <v>51</v>
      </c>
      <c r="K11036" s="33" t="s">
        <v>124</v>
      </c>
      <c r="L11036" s="31" t="str">
        <f t="shared" ref="L11036:L11044" si="1065">$L$53&amp;" "&amp;L10986</f>
        <v>Lima Puluh Satu</v>
      </c>
    </row>
    <row r="11037" spans="1:12">
      <c r="J11037" s="31">
        <v>52</v>
      </c>
      <c r="K11037" s="33" t="s">
        <v>125</v>
      </c>
      <c r="L11037" s="31" t="str">
        <f t="shared" si="1065"/>
        <v>Lima Puluh Dua</v>
      </c>
    </row>
    <row r="11038" spans="1:12">
      <c r="J11038" s="31">
        <v>53</v>
      </c>
      <c r="K11038" s="33" t="s">
        <v>126</v>
      </c>
      <c r="L11038" s="31" t="str">
        <f t="shared" si="1065"/>
        <v>Lima Puluh Tiga</v>
      </c>
    </row>
    <row r="11039" spans="1:12">
      <c r="J11039" s="31">
        <v>54</v>
      </c>
      <c r="K11039" s="33" t="s">
        <v>127</v>
      </c>
      <c r="L11039" s="31" t="str">
        <f t="shared" si="1065"/>
        <v>Lima Puluh Empat</v>
      </c>
    </row>
    <row r="11040" spans="1:12">
      <c r="J11040" s="31">
        <v>55</v>
      </c>
      <c r="K11040" s="33" t="s">
        <v>128</v>
      </c>
      <c r="L11040" s="31" t="str">
        <f t="shared" si="1065"/>
        <v>Lima Puluh Lima</v>
      </c>
    </row>
    <row r="11041" spans="10:12">
      <c r="J11041" s="31">
        <v>56</v>
      </c>
      <c r="K11041" s="33" t="s">
        <v>129</v>
      </c>
      <c r="L11041" s="31" t="str">
        <f t="shared" si="1065"/>
        <v>Lima Puluh Enam</v>
      </c>
    </row>
    <row r="11042" spans="10:12">
      <c r="J11042" s="31">
        <v>57</v>
      </c>
      <c r="K11042" s="33" t="s">
        <v>130</v>
      </c>
      <c r="L11042" s="31" t="str">
        <f t="shared" si="1065"/>
        <v>Lima Puluh Tujuh</v>
      </c>
    </row>
    <row r="11043" spans="10:12">
      <c r="J11043" s="31">
        <v>58</v>
      </c>
      <c r="K11043" s="33" t="s">
        <v>131</v>
      </c>
      <c r="L11043" s="31" t="str">
        <f t="shared" si="1065"/>
        <v>Lima Puluh Delapan</v>
      </c>
    </row>
    <row r="11044" spans="10:12">
      <c r="J11044" s="31">
        <v>59</v>
      </c>
      <c r="K11044" s="33" t="s">
        <v>132</v>
      </c>
      <c r="L11044" s="31" t="str">
        <f t="shared" si="1065"/>
        <v>Lima Puluh Sembilan</v>
      </c>
    </row>
    <row r="11045" spans="10:12">
      <c r="J11045" s="31">
        <v>60</v>
      </c>
      <c r="K11045" s="33" t="s">
        <v>133</v>
      </c>
      <c r="L11045" s="31" t="s">
        <v>134</v>
      </c>
    </row>
    <row r="11046" spans="10:12">
      <c r="J11046" s="31">
        <v>61</v>
      </c>
      <c r="K11046" s="33" t="s">
        <v>135</v>
      </c>
      <c r="L11046" s="31" t="str">
        <f t="shared" ref="L11046:L11054" si="1066">$L$63&amp;" "&amp;L10986</f>
        <v>Enam Puluh Satu</v>
      </c>
    </row>
    <row r="11047" spans="10:12">
      <c r="J11047" s="31">
        <v>62</v>
      </c>
      <c r="K11047" s="33" t="s">
        <v>136</v>
      </c>
      <c r="L11047" s="31" t="str">
        <f t="shared" si="1066"/>
        <v>Enam Puluh Dua</v>
      </c>
    </row>
    <row r="11048" spans="10:12">
      <c r="J11048" s="31">
        <v>63</v>
      </c>
      <c r="K11048" s="33" t="s">
        <v>137</v>
      </c>
      <c r="L11048" s="31" t="str">
        <f t="shared" si="1066"/>
        <v>Enam Puluh Tiga</v>
      </c>
    </row>
    <row r="11049" spans="10:12">
      <c r="J11049" s="31">
        <v>64</v>
      </c>
      <c r="K11049" s="33" t="s">
        <v>138</v>
      </c>
      <c r="L11049" s="31" t="str">
        <f t="shared" si="1066"/>
        <v>Enam Puluh Empat</v>
      </c>
    </row>
    <row r="11050" spans="10:12">
      <c r="J11050" s="31">
        <v>65</v>
      </c>
      <c r="K11050" s="33" t="s">
        <v>139</v>
      </c>
      <c r="L11050" s="31" t="str">
        <f t="shared" si="1066"/>
        <v>Enam Puluh Lima</v>
      </c>
    </row>
    <row r="11051" spans="10:12">
      <c r="J11051" s="31">
        <v>66</v>
      </c>
      <c r="K11051" s="33" t="s">
        <v>140</v>
      </c>
      <c r="L11051" s="31" t="str">
        <f t="shared" si="1066"/>
        <v>Enam Puluh Enam</v>
      </c>
    </row>
    <row r="11052" spans="10:12">
      <c r="J11052" s="31">
        <v>67</v>
      </c>
      <c r="K11052" s="33" t="s">
        <v>141</v>
      </c>
      <c r="L11052" s="31" t="str">
        <f t="shared" si="1066"/>
        <v>Enam Puluh Tujuh</v>
      </c>
    </row>
    <row r="11053" spans="10:12">
      <c r="J11053" s="31">
        <v>68</v>
      </c>
      <c r="K11053" s="33" t="s">
        <v>142</v>
      </c>
      <c r="L11053" s="31" t="str">
        <f t="shared" si="1066"/>
        <v>Enam Puluh Delapan</v>
      </c>
    </row>
    <row r="11054" spans="10:12">
      <c r="J11054" s="31">
        <v>69</v>
      </c>
      <c r="K11054" s="33" t="s">
        <v>143</v>
      </c>
      <c r="L11054" s="31" t="str">
        <f t="shared" si="1066"/>
        <v>Enam Puluh Sembilan</v>
      </c>
    </row>
    <row r="11055" spans="10:12">
      <c r="J11055" s="31">
        <v>70</v>
      </c>
      <c r="K11055" s="33" t="s">
        <v>144</v>
      </c>
      <c r="L11055" s="31" t="s">
        <v>145</v>
      </c>
    </row>
    <row r="11056" spans="10:12">
      <c r="J11056" s="31">
        <v>71</v>
      </c>
      <c r="K11056" s="33" t="s">
        <v>146</v>
      </c>
      <c r="L11056" s="31" t="str">
        <f t="shared" ref="L11056:L11064" si="1067">$L$73&amp;" "&amp;L10986</f>
        <v>Tujuh Puluh Satu</v>
      </c>
    </row>
    <row r="11057" spans="10:12">
      <c r="J11057" s="31">
        <v>72</v>
      </c>
      <c r="K11057" s="33" t="s">
        <v>147</v>
      </c>
      <c r="L11057" s="31" t="str">
        <f t="shared" si="1067"/>
        <v>Tujuh Puluh Dua</v>
      </c>
    </row>
    <row r="11058" spans="10:12">
      <c r="J11058" s="31">
        <v>73</v>
      </c>
      <c r="K11058" s="33" t="s">
        <v>148</v>
      </c>
      <c r="L11058" s="31" t="str">
        <f t="shared" si="1067"/>
        <v>Tujuh Puluh Tiga</v>
      </c>
    </row>
    <row r="11059" spans="10:12">
      <c r="J11059" s="31">
        <v>74</v>
      </c>
      <c r="K11059" s="33" t="s">
        <v>149</v>
      </c>
      <c r="L11059" s="31" t="str">
        <f t="shared" si="1067"/>
        <v>Tujuh Puluh Empat</v>
      </c>
    </row>
    <row r="11060" spans="10:12">
      <c r="J11060" s="31">
        <v>75</v>
      </c>
      <c r="K11060" s="33" t="s">
        <v>150</v>
      </c>
      <c r="L11060" s="31" t="str">
        <f t="shared" si="1067"/>
        <v>Tujuh Puluh Lima</v>
      </c>
    </row>
    <row r="11061" spans="10:12">
      <c r="J11061" s="31">
        <v>76</v>
      </c>
      <c r="K11061" s="33" t="s">
        <v>151</v>
      </c>
      <c r="L11061" s="31" t="str">
        <f t="shared" si="1067"/>
        <v>Tujuh Puluh Enam</v>
      </c>
    </row>
    <row r="11062" spans="10:12">
      <c r="J11062" s="31">
        <v>77</v>
      </c>
      <c r="K11062" s="33" t="s">
        <v>152</v>
      </c>
      <c r="L11062" s="31" t="str">
        <f t="shared" si="1067"/>
        <v>Tujuh Puluh Tujuh</v>
      </c>
    </row>
    <row r="11063" spans="10:12">
      <c r="J11063" s="31">
        <v>78</v>
      </c>
      <c r="K11063" s="33" t="s">
        <v>153</v>
      </c>
      <c r="L11063" s="31" t="str">
        <f t="shared" si="1067"/>
        <v>Tujuh Puluh Delapan</v>
      </c>
    </row>
    <row r="11064" spans="10:12">
      <c r="J11064" s="31">
        <v>79</v>
      </c>
      <c r="K11064" s="33" t="s">
        <v>154</v>
      </c>
      <c r="L11064" s="31" t="str">
        <f t="shared" si="1067"/>
        <v>Tujuh Puluh Sembilan</v>
      </c>
    </row>
    <row r="11065" spans="10:12">
      <c r="J11065" s="31">
        <v>80</v>
      </c>
      <c r="K11065" s="33" t="s">
        <v>155</v>
      </c>
      <c r="L11065" s="31" t="s">
        <v>156</v>
      </c>
    </row>
    <row r="11066" spans="10:12">
      <c r="J11066" s="31">
        <v>81</v>
      </c>
      <c r="K11066" s="33" t="s">
        <v>157</v>
      </c>
      <c r="L11066" s="31" t="str">
        <f t="shared" ref="L11066:L11074" si="1068">$L$83&amp;" "&amp;L10986</f>
        <v>Delapan Puluh Satu</v>
      </c>
    </row>
    <row r="11067" spans="10:12">
      <c r="J11067" s="31">
        <v>82</v>
      </c>
      <c r="K11067" s="33" t="s">
        <v>158</v>
      </c>
      <c r="L11067" s="31" t="str">
        <f t="shared" si="1068"/>
        <v>Delapan Puluh Dua</v>
      </c>
    </row>
    <row r="11068" spans="10:12">
      <c r="J11068" s="31">
        <v>83</v>
      </c>
      <c r="K11068" s="33" t="s">
        <v>159</v>
      </c>
      <c r="L11068" s="31" t="str">
        <f t="shared" si="1068"/>
        <v>Delapan Puluh Tiga</v>
      </c>
    </row>
    <row r="11069" spans="10:12">
      <c r="J11069" s="31">
        <v>84</v>
      </c>
      <c r="K11069" s="33" t="s">
        <v>160</v>
      </c>
      <c r="L11069" s="31" t="str">
        <f t="shared" si="1068"/>
        <v>Delapan Puluh Empat</v>
      </c>
    </row>
    <row r="11070" spans="10:12">
      <c r="J11070" s="31">
        <v>85</v>
      </c>
      <c r="K11070" s="33" t="s">
        <v>161</v>
      </c>
      <c r="L11070" s="31" t="str">
        <f t="shared" si="1068"/>
        <v>Delapan Puluh Lima</v>
      </c>
    </row>
    <row r="11071" spans="10:12">
      <c r="J11071" s="31">
        <v>86</v>
      </c>
      <c r="K11071" s="33" t="s">
        <v>162</v>
      </c>
      <c r="L11071" s="31" t="str">
        <f t="shared" si="1068"/>
        <v>Delapan Puluh Enam</v>
      </c>
    </row>
    <row r="11072" spans="10:12">
      <c r="J11072" s="31">
        <v>87</v>
      </c>
      <c r="K11072" s="33" t="s">
        <v>163</v>
      </c>
      <c r="L11072" s="31" t="str">
        <f t="shared" si="1068"/>
        <v>Delapan Puluh Tujuh</v>
      </c>
    </row>
    <row r="11073" spans="1:12">
      <c r="J11073" s="31">
        <v>88</v>
      </c>
      <c r="K11073" s="33" t="s">
        <v>164</v>
      </c>
      <c r="L11073" s="31" t="str">
        <f t="shared" si="1068"/>
        <v>Delapan Puluh Delapan</v>
      </c>
    </row>
    <row r="11074" spans="1:12">
      <c r="J11074" s="31">
        <v>89</v>
      </c>
      <c r="K11074" s="33" t="s">
        <v>165</v>
      </c>
      <c r="L11074" s="31" t="str">
        <f t="shared" si="1068"/>
        <v>Delapan Puluh Sembilan</v>
      </c>
    </row>
    <row r="11075" spans="1:12">
      <c r="J11075" s="31">
        <v>90</v>
      </c>
      <c r="K11075" s="33" t="s">
        <v>166</v>
      </c>
      <c r="L11075" s="31" t="s">
        <v>167</v>
      </c>
    </row>
    <row r="11076" spans="1:12">
      <c r="J11076" s="31">
        <v>91</v>
      </c>
      <c r="K11076" s="33" t="s">
        <v>168</v>
      </c>
      <c r="L11076" s="31" t="str">
        <f t="shared" ref="L11076:L11084" si="1069">$L$93&amp;" "&amp;L10986</f>
        <v>Sembilan Puluh Satu</v>
      </c>
    </row>
    <row r="11077" spans="1:12">
      <c r="J11077" s="31">
        <v>92</v>
      </c>
      <c r="K11077" s="33" t="s">
        <v>169</v>
      </c>
      <c r="L11077" s="31" t="str">
        <f t="shared" si="1069"/>
        <v>Sembilan Puluh Dua</v>
      </c>
    </row>
    <row r="11078" spans="1:12">
      <c r="J11078" s="31">
        <v>93</v>
      </c>
      <c r="K11078" s="33" t="s">
        <v>170</v>
      </c>
      <c r="L11078" s="31" t="str">
        <f t="shared" si="1069"/>
        <v>Sembilan Puluh Tiga</v>
      </c>
    </row>
    <row r="11079" spans="1:12">
      <c r="J11079" s="31">
        <v>94</v>
      </c>
      <c r="K11079" s="33" t="s">
        <v>171</v>
      </c>
      <c r="L11079" s="31" t="str">
        <f t="shared" si="1069"/>
        <v>Sembilan Puluh Empat</v>
      </c>
    </row>
    <row r="11080" spans="1:12">
      <c r="J11080" s="31">
        <v>95</v>
      </c>
      <c r="K11080" s="33" t="s">
        <v>172</v>
      </c>
      <c r="L11080" s="31" t="str">
        <f t="shared" si="1069"/>
        <v>Sembilan Puluh Lima</v>
      </c>
    </row>
    <row r="11081" spans="1:12">
      <c r="J11081" s="31">
        <v>96</v>
      </c>
      <c r="K11081" s="33" t="s">
        <v>173</v>
      </c>
      <c r="L11081" s="31" t="str">
        <f t="shared" si="1069"/>
        <v>Sembilan Puluh Enam</v>
      </c>
    </row>
    <row r="11082" spans="1:12">
      <c r="J11082" s="31">
        <v>97</v>
      </c>
      <c r="K11082" s="33" t="s">
        <v>174</v>
      </c>
      <c r="L11082" s="31" t="str">
        <f t="shared" si="1069"/>
        <v>Sembilan Puluh Tujuh</v>
      </c>
    </row>
    <row r="11083" spans="1:12">
      <c r="J11083" s="31">
        <v>98</v>
      </c>
      <c r="K11083" s="33" t="s">
        <v>175</v>
      </c>
      <c r="L11083" s="31" t="str">
        <f t="shared" si="1069"/>
        <v>Sembilan Puluh Delapan</v>
      </c>
    </row>
    <row r="11084" spans="1:12">
      <c r="J11084" s="31">
        <v>99</v>
      </c>
      <c r="K11084" s="33" t="s">
        <v>176</v>
      </c>
      <c r="L11084" s="31" t="str">
        <f t="shared" si="1069"/>
        <v>Sembilan Puluh Sembilan</v>
      </c>
    </row>
    <row r="11086" spans="1:12">
      <c r="A11086" s="30" t="e">
        <f>#REF!</f>
        <v>#REF!</v>
      </c>
      <c r="C11086" s="31" t="s">
        <v>342</v>
      </c>
    </row>
    <row r="11087" spans="1:12">
      <c r="A11087" s="32"/>
    </row>
    <row r="11088" spans="1:12">
      <c r="J11088" s="31">
        <v>0</v>
      </c>
      <c r="K11088" s="33" t="s">
        <v>48</v>
      </c>
      <c r="L11088" s="31" t="s">
        <v>49</v>
      </c>
    </row>
    <row r="11089" spans="1:12">
      <c r="A11089" s="34"/>
      <c r="J11089" s="31">
        <v>1</v>
      </c>
      <c r="K11089" s="33" t="s">
        <v>50</v>
      </c>
      <c r="L11089" s="31" t="s">
        <v>51</v>
      </c>
    </row>
    <row r="11090" spans="1:12">
      <c r="A11090" s="255" t="e">
        <f>TRIM(D11098&amp;E11098&amp;D11099&amp;E11099&amp;D11100&amp;E11100&amp;D11101&amp;E11101&amp;D11102&amp;E11102&amp;D11103&amp;E11103&amp;E11104&amp;D11104&amp;" Only")</f>
        <v>#REF!</v>
      </c>
      <c r="B11090" s="255"/>
      <c r="C11090" s="255"/>
      <c r="D11090" s="255"/>
      <c r="E11090" s="35"/>
      <c r="F11090" s="36"/>
      <c r="J11090" s="31">
        <v>2</v>
      </c>
      <c r="K11090" s="33" t="s">
        <v>52</v>
      </c>
      <c r="L11090" s="31" t="s">
        <v>53</v>
      </c>
    </row>
    <row r="11091" spans="1:12">
      <c r="A11091" s="37"/>
      <c r="B11091" s="37"/>
      <c r="C11091" s="37"/>
      <c r="D11091" s="37"/>
      <c r="E11091" s="35"/>
      <c r="F11091" s="36"/>
      <c r="J11091" s="31">
        <v>3</v>
      </c>
      <c r="K11091" s="33" t="s">
        <v>54</v>
      </c>
      <c r="L11091" s="31" t="s">
        <v>55</v>
      </c>
    </row>
    <row r="11092" spans="1:12">
      <c r="A11092" s="37"/>
      <c r="B11092" s="37"/>
      <c r="C11092" s="37"/>
      <c r="D11092" s="37"/>
      <c r="J11092" s="31">
        <v>4</v>
      </c>
      <c r="K11092" s="33" t="s">
        <v>56</v>
      </c>
      <c r="L11092" s="31" t="s">
        <v>57</v>
      </c>
    </row>
    <row r="11093" spans="1:12">
      <c r="A11093" s="255" t="e">
        <f>TRIM(D11108&amp;E11108&amp;D11109&amp;E11109&amp;D11110&amp;E11110&amp;D11111&amp;E11111&amp;D11112&amp;E11112&amp;D11113&amp;E11113&amp;D11114&amp;E11114&amp;" Rupiah")</f>
        <v>#REF!</v>
      </c>
      <c r="B11093" s="255"/>
      <c r="C11093" s="255"/>
      <c r="D11093" s="255"/>
      <c r="E11093" s="35"/>
      <c r="F11093" s="36"/>
      <c r="J11093" s="31">
        <v>5</v>
      </c>
      <c r="K11093" s="33" t="s">
        <v>58</v>
      </c>
      <c r="L11093" s="31" t="s">
        <v>59</v>
      </c>
    </row>
    <row r="11094" spans="1:12">
      <c r="A11094" s="35"/>
      <c r="B11094" s="35"/>
      <c r="C11094" s="35"/>
      <c r="D11094" s="35"/>
      <c r="E11094" s="35"/>
      <c r="F11094" s="36"/>
      <c r="J11094" s="31">
        <v>6</v>
      </c>
      <c r="K11094" s="33" t="s">
        <v>60</v>
      </c>
      <c r="L11094" s="31" t="s">
        <v>61</v>
      </c>
    </row>
    <row r="11095" spans="1:12">
      <c r="J11095" s="31">
        <v>7</v>
      </c>
      <c r="K11095" s="33" t="s">
        <v>62</v>
      </c>
      <c r="L11095" s="31" t="s">
        <v>63</v>
      </c>
    </row>
    <row r="11096" spans="1:12">
      <c r="J11096" s="31">
        <v>8</v>
      </c>
      <c r="K11096" s="33" t="s">
        <v>64</v>
      </c>
      <c r="L11096" s="31" t="s">
        <v>65</v>
      </c>
    </row>
    <row r="11097" spans="1:12">
      <c r="A11097" s="38" t="s">
        <v>66</v>
      </c>
      <c r="J11097" s="31">
        <v>9</v>
      </c>
      <c r="K11097" s="33" t="s">
        <v>67</v>
      </c>
      <c r="L11097" s="31" t="s">
        <v>68</v>
      </c>
    </row>
    <row r="11098" spans="1:12">
      <c r="A11098" s="31" t="s">
        <v>69</v>
      </c>
      <c r="B11098" s="39" t="e">
        <f>TRUNC(A11086/100000000)</f>
        <v>#REF!</v>
      </c>
      <c r="C11098" s="31" t="e">
        <f>B11098*100000000</f>
        <v>#REF!</v>
      </c>
      <c r="D11098" s="31" t="e">
        <f t="shared" ref="D11098:D11104" si="1070">IF(B11098&lt;1,"",VLOOKUP(B11098,$J$3:$K$102,2))</f>
        <v>#REF!</v>
      </c>
      <c r="E11098" s="31" t="e">
        <f>IF(B11098&lt;1,"",IF(B11098&gt;1," Hundreds "," Hundred "))</f>
        <v>#REF!</v>
      </c>
      <c r="J11098" s="31">
        <v>10</v>
      </c>
      <c r="K11098" s="33" t="s">
        <v>70</v>
      </c>
      <c r="L11098" s="31" t="s">
        <v>71</v>
      </c>
    </row>
    <row r="11099" spans="1:12">
      <c r="A11099" s="31" t="s">
        <v>72</v>
      </c>
      <c r="B11099" s="39" t="e">
        <f>TRUNC((A11086-C11098)/1000000)</f>
        <v>#REF!</v>
      </c>
      <c r="C11099" s="31" t="e">
        <f>B11099*1000000</f>
        <v>#REF!</v>
      </c>
      <c r="D11099" s="31" t="e">
        <f t="shared" si="1070"/>
        <v>#REF!</v>
      </c>
      <c r="E11099" s="31" t="e">
        <f>IF(B11098+B11099=0,"",IF(B11099=1," Million "," Millions "))</f>
        <v>#REF!</v>
      </c>
      <c r="J11099" s="31">
        <v>11</v>
      </c>
      <c r="K11099" s="33" t="s">
        <v>73</v>
      </c>
      <c r="L11099" s="31" t="s">
        <v>74</v>
      </c>
    </row>
    <row r="11100" spans="1:12">
      <c r="A11100" s="31" t="s">
        <v>75</v>
      </c>
      <c r="B11100" s="39" t="e">
        <f>TRUNC((A11086-SUM(C11098:C11099))/100000)</f>
        <v>#REF!</v>
      </c>
      <c r="C11100" s="31" t="e">
        <f>B11100*100000</f>
        <v>#REF!</v>
      </c>
      <c r="D11100" s="31" t="e">
        <f t="shared" si="1070"/>
        <v>#REF!</v>
      </c>
      <c r="E11100" s="31" t="e">
        <f>IF(B11100&lt;1,"",IF(B11100&gt;1," Hundreds "," Hundred "))</f>
        <v>#REF!</v>
      </c>
      <c r="J11100" s="31">
        <v>12</v>
      </c>
      <c r="K11100" s="33" t="s">
        <v>76</v>
      </c>
      <c r="L11100" s="31" t="str">
        <f t="shared" ref="L11100:L11107" si="1071">L11090&amp;" Belas"</f>
        <v>Dua Belas</v>
      </c>
    </row>
    <row r="11101" spans="1:12">
      <c r="A11101" s="33" t="s">
        <v>77</v>
      </c>
      <c r="B11101" s="40" t="e">
        <f>TRUNC((A11086-SUM(C11098:C11100))/1000)</f>
        <v>#REF!</v>
      </c>
      <c r="C11101" s="31" t="e">
        <f>B11101*1000</f>
        <v>#REF!</v>
      </c>
      <c r="D11101" s="31" t="e">
        <f t="shared" si="1070"/>
        <v>#REF!</v>
      </c>
      <c r="E11101" s="31" t="e">
        <f>IF(B11100+B11101=0,"",IF(B11101=1," Thousand "," Thousands "))</f>
        <v>#REF!</v>
      </c>
      <c r="J11101" s="31">
        <v>13</v>
      </c>
      <c r="K11101" s="33" t="s">
        <v>78</v>
      </c>
      <c r="L11101" s="31" t="str">
        <f t="shared" si="1071"/>
        <v>Tiga Belas</v>
      </c>
    </row>
    <row r="11102" spans="1:12">
      <c r="A11102" s="33" t="s">
        <v>79</v>
      </c>
      <c r="B11102" s="40" t="e">
        <f>TRUNC((A11086-SUM(C11098:C11101))/100)</f>
        <v>#REF!</v>
      </c>
      <c r="C11102" s="31" t="e">
        <f>B11102*100</f>
        <v>#REF!</v>
      </c>
      <c r="D11102" s="31" t="e">
        <f t="shared" si="1070"/>
        <v>#REF!</v>
      </c>
      <c r="E11102" s="31" t="e">
        <f>IF(B11102&lt;1,"",IF(B11102&gt;1," Hundreds "," Hundred "))</f>
        <v>#REF!</v>
      </c>
      <c r="J11102" s="31">
        <v>14</v>
      </c>
      <c r="K11102" s="33" t="s">
        <v>80</v>
      </c>
      <c r="L11102" s="31" t="str">
        <f t="shared" si="1071"/>
        <v>Empat Belas</v>
      </c>
    </row>
    <row r="11103" spans="1:12">
      <c r="A11103" s="33" t="s">
        <v>81</v>
      </c>
      <c r="B11103" s="41" t="e">
        <f>TRUNC((A11086-SUM(C11098:C11102)))</f>
        <v>#REF!</v>
      </c>
      <c r="C11103" s="42" t="e">
        <f>B11103</f>
        <v>#REF!</v>
      </c>
      <c r="D11103" s="31" t="e">
        <f t="shared" si="1070"/>
        <v>#REF!</v>
      </c>
      <c r="E11103" s="31" t="e">
        <f>IF(SUM(C11098:C11103)&lt;1,"",IF(B11104&lt;1,""," And "))</f>
        <v>#REF!</v>
      </c>
      <c r="J11103" s="31">
        <v>15</v>
      </c>
      <c r="K11103" s="33" t="s">
        <v>82</v>
      </c>
      <c r="L11103" s="31" t="str">
        <f t="shared" si="1071"/>
        <v>Lima Belas</v>
      </c>
    </row>
    <row r="11104" spans="1:12">
      <c r="A11104" s="33" t="s">
        <v>83</v>
      </c>
      <c r="B11104" s="40" t="e">
        <f>ROUND(A11086-SUM(C11098:C11103),2)*100</f>
        <v>#REF!</v>
      </c>
      <c r="D11104" s="43" t="e">
        <f t="shared" si="1070"/>
        <v>#REF!</v>
      </c>
      <c r="E11104" s="31" t="e">
        <f>IF(B11104&lt;1,"",IF(B11104=1," Cent "," Cents "))</f>
        <v>#REF!</v>
      </c>
      <c r="J11104" s="31">
        <v>16</v>
      </c>
      <c r="K11104" s="33" t="s">
        <v>84</v>
      </c>
      <c r="L11104" s="31" t="str">
        <f t="shared" si="1071"/>
        <v>Enam Belas</v>
      </c>
    </row>
    <row r="11105" spans="1:12">
      <c r="J11105" s="31">
        <v>17</v>
      </c>
      <c r="K11105" s="33" t="s">
        <v>85</v>
      </c>
      <c r="L11105" s="31" t="str">
        <f t="shared" si="1071"/>
        <v>Tujuh Belas</v>
      </c>
    </row>
    <row r="11106" spans="1:12">
      <c r="A11106" s="44"/>
      <c r="J11106" s="31">
        <v>18</v>
      </c>
      <c r="K11106" s="33" t="s">
        <v>86</v>
      </c>
      <c r="L11106" s="31" t="str">
        <f t="shared" si="1071"/>
        <v>Delapan Belas</v>
      </c>
    </row>
    <row r="11107" spans="1:12">
      <c r="A11107" s="38" t="s">
        <v>87</v>
      </c>
      <c r="J11107" s="31">
        <v>19</v>
      </c>
      <c r="K11107" s="33" t="s">
        <v>88</v>
      </c>
      <c r="L11107" s="31" t="str">
        <f t="shared" si="1071"/>
        <v>Sembilan Belas</v>
      </c>
    </row>
    <row r="11108" spans="1:12">
      <c r="A11108" s="31" t="s">
        <v>69</v>
      </c>
      <c r="B11108" s="39" t="e">
        <f>TRUNC(A11086/100000000)</f>
        <v>#REF!</v>
      </c>
      <c r="C11108" s="31" t="e">
        <f>B11108*100000000</f>
        <v>#REF!</v>
      </c>
      <c r="D11108" s="31" t="e">
        <f>IF(B11108&lt;1,"",IF(B11108=1,"",VLOOKUP(B11108,$J$3:$L$102,3)))</f>
        <v>#REF!</v>
      </c>
      <c r="E11108" s="31" t="e">
        <f>IF(B11108&lt;1,"",IF(B11108=1,"Seratus "," Ratus "))</f>
        <v>#REF!</v>
      </c>
      <c r="J11108" s="31">
        <v>20</v>
      </c>
      <c r="K11108" s="33" t="s">
        <v>89</v>
      </c>
      <c r="L11108" s="31" t="s">
        <v>90</v>
      </c>
    </row>
    <row r="11109" spans="1:12">
      <c r="A11109" s="31" t="s">
        <v>72</v>
      </c>
      <c r="B11109" s="39" t="e">
        <f>TRUNC((A11086-C11108)/1000000)</f>
        <v>#REF!</v>
      </c>
      <c r="C11109" s="31" t="e">
        <f>B11109*1000000</f>
        <v>#REF!</v>
      </c>
      <c r="D11109" s="31" t="e">
        <f>IF(B11109&lt;1,"",VLOOKUP(B11109,$J$3:$L$102,3))</f>
        <v>#REF!</v>
      </c>
      <c r="E11109" s="31" t="e">
        <f>IF(B11108+B11109=0,""," Juta ")</f>
        <v>#REF!</v>
      </c>
      <c r="J11109" s="31">
        <v>21</v>
      </c>
      <c r="K11109" s="33" t="s">
        <v>91</v>
      </c>
      <c r="L11109" s="31" t="str">
        <f t="shared" ref="L11109:L11117" si="1072">$L$23&amp;" "&amp;L11089</f>
        <v>Dua Puluh Satu</v>
      </c>
    </row>
    <row r="11110" spans="1:12">
      <c r="A11110" s="31" t="s">
        <v>75</v>
      </c>
      <c r="B11110" s="39" t="e">
        <f>TRUNC((A11086-SUM(C11108:C11109))/100000)</f>
        <v>#REF!</v>
      </c>
      <c r="C11110" s="31" t="e">
        <f>B11110*100000</f>
        <v>#REF!</v>
      </c>
      <c r="D11110" s="31" t="e">
        <f>IF(B11110&lt;1,"",IF(B11110=1,"",VLOOKUP(B11110,$J$3:$L$102,3)))</f>
        <v>#REF!</v>
      </c>
      <c r="E11110" s="31" t="e">
        <f>IF(B11110&lt;1,"",IF(B11110=1," Seratus "," Ratus "))</f>
        <v>#REF!</v>
      </c>
      <c r="J11110" s="31">
        <v>22</v>
      </c>
      <c r="K11110" s="33" t="s">
        <v>92</v>
      </c>
      <c r="L11110" s="31" t="str">
        <f t="shared" si="1072"/>
        <v>Dua Puluh Dua</v>
      </c>
    </row>
    <row r="11111" spans="1:12">
      <c r="A11111" s="33" t="s">
        <v>77</v>
      </c>
      <c r="B11111" s="40" t="e">
        <f>TRUNC((A11086-SUM(C11108:C11110))/1000)</f>
        <v>#REF!</v>
      </c>
      <c r="C11111" s="31" t="e">
        <f>B11111*1000</f>
        <v>#REF!</v>
      </c>
      <c r="D11111" s="31" t="e">
        <f>IF(B11111&lt;1,"",IF(B11111=1,"",VLOOKUP(B11111,$J$3:$L$102,3)))</f>
        <v>#REF!</v>
      </c>
      <c r="E11111" s="31" t="e">
        <f>IF(B11110+B11111&lt;1,"",IF(B11111=1," Seribu "," Ribu "))</f>
        <v>#REF!</v>
      </c>
      <c r="J11111" s="31">
        <v>23</v>
      </c>
      <c r="K11111" s="33" t="s">
        <v>93</v>
      </c>
      <c r="L11111" s="31" t="str">
        <f t="shared" si="1072"/>
        <v>Dua Puluh Tiga</v>
      </c>
    </row>
    <row r="11112" spans="1:12">
      <c r="A11112" s="33" t="s">
        <v>79</v>
      </c>
      <c r="B11112" s="40" t="e">
        <f>TRUNC((A11086-SUM(C11108:C11111))/100)</f>
        <v>#REF!</v>
      </c>
      <c r="C11112" s="31" t="e">
        <f>B11112*100</f>
        <v>#REF!</v>
      </c>
      <c r="D11112" s="31" t="e">
        <f>IF(B11112&lt;1,"",IF(B11112=1,"",VLOOKUP(B11112,$J$3:$L$102,3)))</f>
        <v>#REF!</v>
      </c>
      <c r="E11112" s="31" t="e">
        <f>IF(B11112&lt;1,"",IF(B11112=1," Seratus "," Ratus "))</f>
        <v>#REF!</v>
      </c>
      <c r="J11112" s="31">
        <v>24</v>
      </c>
      <c r="K11112" s="33" t="s">
        <v>94</v>
      </c>
      <c r="L11112" s="31" t="str">
        <f t="shared" si="1072"/>
        <v>Dua Puluh Empat</v>
      </c>
    </row>
    <row r="11113" spans="1:12">
      <c r="A11113" s="33" t="s">
        <v>81</v>
      </c>
      <c r="B11113" s="41" t="e">
        <f>TRUNC((A11086-SUM(C11108:C11112)))</f>
        <v>#REF!</v>
      </c>
      <c r="C11113" s="42" t="e">
        <f>B11113</f>
        <v>#REF!</v>
      </c>
      <c r="D11113" s="31" t="e">
        <f>IF(B11113&lt;1,"",VLOOKUP(B11113,$J$3:$L$102,3))</f>
        <v>#REF!</v>
      </c>
      <c r="E11113" s="31" t="e">
        <f>IF(SUM(C11108:C11113)&lt;1,"",IF(B11114&lt;1,""," Dan "))</f>
        <v>#REF!</v>
      </c>
      <c r="J11113" s="31">
        <v>25</v>
      </c>
      <c r="K11113" s="33" t="s">
        <v>95</v>
      </c>
      <c r="L11113" s="31" t="str">
        <f t="shared" si="1072"/>
        <v>Dua Puluh Lima</v>
      </c>
    </row>
    <row r="11114" spans="1:12">
      <c r="A11114" s="33" t="s">
        <v>83</v>
      </c>
      <c r="B11114" s="40" t="e">
        <f>ROUND(A11086-SUM(C11108:C11113),2)*100</f>
        <v>#REF!</v>
      </c>
      <c r="D11114" s="31" t="e">
        <f>IF(B11114&lt;1,"",VLOOKUP(B11114,$J$3:$L$102,3))</f>
        <v>#REF!</v>
      </c>
      <c r="E11114" s="31" t="e">
        <f>IF(B11114&lt;1,""," Sen ")</f>
        <v>#REF!</v>
      </c>
      <c r="J11114" s="31">
        <v>26</v>
      </c>
      <c r="K11114" s="33" t="s">
        <v>96</v>
      </c>
      <c r="L11114" s="31" t="str">
        <f t="shared" si="1072"/>
        <v>Dua Puluh Enam</v>
      </c>
    </row>
    <row r="11115" spans="1:12">
      <c r="J11115" s="31">
        <v>27</v>
      </c>
      <c r="K11115" s="33" t="s">
        <v>97</v>
      </c>
      <c r="L11115" s="31" t="str">
        <f t="shared" si="1072"/>
        <v>Dua Puluh Tujuh</v>
      </c>
    </row>
    <row r="11116" spans="1:12">
      <c r="J11116" s="31">
        <v>28</v>
      </c>
      <c r="K11116" s="33" t="s">
        <v>98</v>
      </c>
      <c r="L11116" s="31" t="str">
        <f t="shared" si="1072"/>
        <v>Dua Puluh Delapan</v>
      </c>
    </row>
    <row r="11117" spans="1:12">
      <c r="J11117" s="31">
        <v>29</v>
      </c>
      <c r="K11117" s="33" t="s">
        <v>99</v>
      </c>
      <c r="L11117" s="31" t="str">
        <f t="shared" si="1072"/>
        <v>Dua Puluh Sembilan</v>
      </c>
    </row>
    <row r="11118" spans="1:12">
      <c r="J11118" s="31">
        <v>30</v>
      </c>
      <c r="K11118" s="33" t="s">
        <v>100</v>
      </c>
      <c r="L11118" s="31" t="s">
        <v>101</v>
      </c>
    </row>
    <row r="11119" spans="1:12">
      <c r="J11119" s="31">
        <v>31</v>
      </c>
      <c r="K11119" s="33" t="s">
        <v>102</v>
      </c>
      <c r="L11119" s="31" t="str">
        <f t="shared" ref="L11119:L11127" si="1073">$L$33&amp;" "&amp;L11089</f>
        <v>Tiga Puluh Satu</v>
      </c>
    </row>
    <row r="11120" spans="1:12">
      <c r="J11120" s="31">
        <v>32</v>
      </c>
      <c r="K11120" s="33" t="s">
        <v>103</v>
      </c>
      <c r="L11120" s="31" t="str">
        <f t="shared" si="1073"/>
        <v>Tiga Puluh Dua</v>
      </c>
    </row>
    <row r="11121" spans="1:12">
      <c r="J11121" s="31">
        <v>33</v>
      </c>
      <c r="K11121" s="33" t="s">
        <v>104</v>
      </c>
      <c r="L11121" s="31" t="str">
        <f t="shared" si="1073"/>
        <v>Tiga Puluh Tiga</v>
      </c>
    </row>
    <row r="11122" spans="1:12">
      <c r="J11122" s="31">
        <v>34</v>
      </c>
      <c r="K11122" s="33" t="s">
        <v>105</v>
      </c>
      <c r="L11122" s="31" t="str">
        <f t="shared" si="1073"/>
        <v>Tiga Puluh Empat</v>
      </c>
    </row>
    <row r="11123" spans="1:12">
      <c r="J11123" s="31">
        <v>35</v>
      </c>
      <c r="K11123" s="33" t="s">
        <v>106</v>
      </c>
      <c r="L11123" s="31" t="str">
        <f t="shared" si="1073"/>
        <v>Tiga Puluh Lima</v>
      </c>
    </row>
    <row r="11124" spans="1:12">
      <c r="J11124" s="31">
        <v>36</v>
      </c>
      <c r="K11124" s="33" t="s">
        <v>107</v>
      </c>
      <c r="L11124" s="31" t="str">
        <f t="shared" si="1073"/>
        <v>Tiga Puluh Enam</v>
      </c>
    </row>
    <row r="11125" spans="1:12">
      <c r="J11125" s="31">
        <v>37</v>
      </c>
      <c r="K11125" s="33" t="s">
        <v>108</v>
      </c>
      <c r="L11125" s="31" t="str">
        <f t="shared" si="1073"/>
        <v>Tiga Puluh Tujuh</v>
      </c>
    </row>
    <row r="11126" spans="1:12">
      <c r="J11126" s="31">
        <v>38</v>
      </c>
      <c r="K11126" s="33" t="s">
        <v>109</v>
      </c>
      <c r="L11126" s="31" t="str">
        <f t="shared" si="1073"/>
        <v>Tiga Puluh Delapan</v>
      </c>
    </row>
    <row r="11127" spans="1:12">
      <c r="J11127" s="31">
        <v>39</v>
      </c>
      <c r="K11127" s="33" t="s">
        <v>110</v>
      </c>
      <c r="L11127" s="31" t="str">
        <f t="shared" si="1073"/>
        <v>Tiga Puluh Sembilan</v>
      </c>
    </row>
    <row r="11128" spans="1:12">
      <c r="B11128" s="35"/>
      <c r="C11128" s="35"/>
      <c r="D11128" s="35"/>
      <c r="J11128" s="31">
        <v>40</v>
      </c>
      <c r="K11128" s="33" t="s">
        <v>111</v>
      </c>
      <c r="L11128" s="31" t="s">
        <v>112</v>
      </c>
    </row>
    <row r="11129" spans="1:12">
      <c r="A11129" s="35"/>
      <c r="B11129" s="35"/>
      <c r="C11129" s="35"/>
      <c r="D11129" s="35"/>
      <c r="J11129" s="31">
        <v>41</v>
      </c>
      <c r="K11129" s="33" t="s">
        <v>113</v>
      </c>
      <c r="L11129" s="31" t="str">
        <f t="shared" ref="L11129:L11137" si="1074">$L$43&amp;" "&amp;L11089</f>
        <v>Empat Puluh Satu</v>
      </c>
    </row>
    <row r="11130" spans="1:12">
      <c r="J11130" s="31">
        <v>42</v>
      </c>
      <c r="K11130" s="33" t="s">
        <v>114</v>
      </c>
      <c r="L11130" s="31" t="str">
        <f t="shared" si="1074"/>
        <v>Empat Puluh Dua</v>
      </c>
    </row>
    <row r="11131" spans="1:12">
      <c r="A11131" s="38"/>
      <c r="J11131" s="31">
        <v>43</v>
      </c>
      <c r="K11131" s="33" t="s">
        <v>115</v>
      </c>
      <c r="L11131" s="31" t="str">
        <f t="shared" si="1074"/>
        <v>Empat Puluh Tiga</v>
      </c>
    </row>
    <row r="11132" spans="1:12">
      <c r="J11132" s="31">
        <v>44</v>
      </c>
      <c r="K11132" s="33" t="s">
        <v>116</v>
      </c>
      <c r="L11132" s="31" t="str">
        <f t="shared" si="1074"/>
        <v>Empat Puluh Empat</v>
      </c>
    </row>
    <row r="11133" spans="1:12">
      <c r="J11133" s="31">
        <v>45</v>
      </c>
      <c r="K11133" s="33" t="s">
        <v>117</v>
      </c>
      <c r="L11133" s="31" t="str">
        <f t="shared" si="1074"/>
        <v>Empat Puluh Lima</v>
      </c>
    </row>
    <row r="11134" spans="1:12">
      <c r="J11134" s="31">
        <v>46</v>
      </c>
      <c r="K11134" s="33" t="s">
        <v>118</v>
      </c>
      <c r="L11134" s="31" t="str">
        <f t="shared" si="1074"/>
        <v>Empat Puluh Enam</v>
      </c>
    </row>
    <row r="11135" spans="1:12">
      <c r="J11135" s="31">
        <v>47</v>
      </c>
      <c r="K11135" s="33" t="s">
        <v>119</v>
      </c>
      <c r="L11135" s="31" t="str">
        <f t="shared" si="1074"/>
        <v>Empat Puluh Tujuh</v>
      </c>
    </row>
    <row r="11136" spans="1:12">
      <c r="J11136" s="31">
        <v>48</v>
      </c>
      <c r="K11136" s="33" t="s">
        <v>120</v>
      </c>
      <c r="L11136" s="31" t="str">
        <f t="shared" si="1074"/>
        <v>Empat Puluh Delapan</v>
      </c>
    </row>
    <row r="11137" spans="10:12">
      <c r="J11137" s="31">
        <v>49</v>
      </c>
      <c r="K11137" s="33" t="s">
        <v>121</v>
      </c>
      <c r="L11137" s="31" t="str">
        <f t="shared" si="1074"/>
        <v>Empat Puluh Sembilan</v>
      </c>
    </row>
    <row r="11138" spans="10:12">
      <c r="J11138" s="31">
        <v>50</v>
      </c>
      <c r="K11138" s="33" t="s">
        <v>122</v>
      </c>
      <c r="L11138" s="31" t="s">
        <v>123</v>
      </c>
    </row>
    <row r="11139" spans="10:12">
      <c r="J11139" s="31">
        <v>51</v>
      </c>
      <c r="K11139" s="33" t="s">
        <v>124</v>
      </c>
      <c r="L11139" s="31" t="str">
        <f t="shared" ref="L11139:L11147" si="1075">$L$53&amp;" "&amp;L11089</f>
        <v>Lima Puluh Satu</v>
      </c>
    </row>
    <row r="11140" spans="10:12">
      <c r="J11140" s="31">
        <v>52</v>
      </c>
      <c r="K11140" s="33" t="s">
        <v>125</v>
      </c>
      <c r="L11140" s="31" t="str">
        <f t="shared" si="1075"/>
        <v>Lima Puluh Dua</v>
      </c>
    </row>
    <row r="11141" spans="10:12">
      <c r="J11141" s="31">
        <v>53</v>
      </c>
      <c r="K11141" s="33" t="s">
        <v>126</v>
      </c>
      <c r="L11141" s="31" t="str">
        <f t="shared" si="1075"/>
        <v>Lima Puluh Tiga</v>
      </c>
    </row>
    <row r="11142" spans="10:12">
      <c r="J11142" s="31">
        <v>54</v>
      </c>
      <c r="K11142" s="33" t="s">
        <v>127</v>
      </c>
      <c r="L11142" s="31" t="str">
        <f t="shared" si="1075"/>
        <v>Lima Puluh Empat</v>
      </c>
    </row>
    <row r="11143" spans="10:12">
      <c r="J11143" s="31">
        <v>55</v>
      </c>
      <c r="K11143" s="33" t="s">
        <v>128</v>
      </c>
      <c r="L11143" s="31" t="str">
        <f t="shared" si="1075"/>
        <v>Lima Puluh Lima</v>
      </c>
    </row>
    <row r="11144" spans="10:12">
      <c r="J11144" s="31">
        <v>56</v>
      </c>
      <c r="K11144" s="33" t="s">
        <v>129</v>
      </c>
      <c r="L11144" s="31" t="str">
        <f t="shared" si="1075"/>
        <v>Lima Puluh Enam</v>
      </c>
    </row>
    <row r="11145" spans="10:12">
      <c r="J11145" s="31">
        <v>57</v>
      </c>
      <c r="K11145" s="33" t="s">
        <v>130</v>
      </c>
      <c r="L11145" s="31" t="str">
        <f t="shared" si="1075"/>
        <v>Lima Puluh Tujuh</v>
      </c>
    </row>
    <row r="11146" spans="10:12">
      <c r="J11146" s="31">
        <v>58</v>
      </c>
      <c r="K11146" s="33" t="s">
        <v>131</v>
      </c>
      <c r="L11146" s="31" t="str">
        <f t="shared" si="1075"/>
        <v>Lima Puluh Delapan</v>
      </c>
    </row>
    <row r="11147" spans="10:12">
      <c r="J11147" s="31">
        <v>59</v>
      </c>
      <c r="K11147" s="33" t="s">
        <v>132</v>
      </c>
      <c r="L11147" s="31" t="str">
        <f t="shared" si="1075"/>
        <v>Lima Puluh Sembilan</v>
      </c>
    </row>
    <row r="11148" spans="10:12">
      <c r="J11148" s="31">
        <v>60</v>
      </c>
      <c r="K11148" s="33" t="s">
        <v>133</v>
      </c>
      <c r="L11148" s="31" t="s">
        <v>134</v>
      </c>
    </row>
    <row r="11149" spans="10:12">
      <c r="J11149" s="31">
        <v>61</v>
      </c>
      <c r="K11149" s="33" t="s">
        <v>135</v>
      </c>
      <c r="L11149" s="31" t="str">
        <f t="shared" ref="L11149:L11157" si="1076">$L$63&amp;" "&amp;L11089</f>
        <v>Enam Puluh Satu</v>
      </c>
    </row>
    <row r="11150" spans="10:12">
      <c r="J11150" s="31">
        <v>62</v>
      </c>
      <c r="K11150" s="33" t="s">
        <v>136</v>
      </c>
      <c r="L11150" s="31" t="str">
        <f t="shared" si="1076"/>
        <v>Enam Puluh Dua</v>
      </c>
    </row>
    <row r="11151" spans="10:12">
      <c r="J11151" s="31">
        <v>63</v>
      </c>
      <c r="K11151" s="33" t="s">
        <v>137</v>
      </c>
      <c r="L11151" s="31" t="str">
        <f t="shared" si="1076"/>
        <v>Enam Puluh Tiga</v>
      </c>
    </row>
    <row r="11152" spans="10:12">
      <c r="J11152" s="31">
        <v>64</v>
      </c>
      <c r="K11152" s="33" t="s">
        <v>138</v>
      </c>
      <c r="L11152" s="31" t="str">
        <f t="shared" si="1076"/>
        <v>Enam Puluh Empat</v>
      </c>
    </row>
    <row r="11153" spans="10:12">
      <c r="J11153" s="31">
        <v>65</v>
      </c>
      <c r="K11153" s="33" t="s">
        <v>139</v>
      </c>
      <c r="L11153" s="31" t="str">
        <f t="shared" si="1076"/>
        <v>Enam Puluh Lima</v>
      </c>
    </row>
    <row r="11154" spans="10:12">
      <c r="J11154" s="31">
        <v>66</v>
      </c>
      <c r="K11154" s="33" t="s">
        <v>140</v>
      </c>
      <c r="L11154" s="31" t="str">
        <f t="shared" si="1076"/>
        <v>Enam Puluh Enam</v>
      </c>
    </row>
    <row r="11155" spans="10:12">
      <c r="J11155" s="31">
        <v>67</v>
      </c>
      <c r="K11155" s="33" t="s">
        <v>141</v>
      </c>
      <c r="L11155" s="31" t="str">
        <f t="shared" si="1076"/>
        <v>Enam Puluh Tujuh</v>
      </c>
    </row>
    <row r="11156" spans="10:12">
      <c r="J11156" s="31">
        <v>68</v>
      </c>
      <c r="K11156" s="33" t="s">
        <v>142</v>
      </c>
      <c r="L11156" s="31" t="str">
        <f t="shared" si="1076"/>
        <v>Enam Puluh Delapan</v>
      </c>
    </row>
    <row r="11157" spans="10:12">
      <c r="J11157" s="31">
        <v>69</v>
      </c>
      <c r="K11157" s="33" t="s">
        <v>143</v>
      </c>
      <c r="L11157" s="31" t="str">
        <f t="shared" si="1076"/>
        <v>Enam Puluh Sembilan</v>
      </c>
    </row>
    <row r="11158" spans="10:12">
      <c r="J11158" s="31">
        <v>70</v>
      </c>
      <c r="K11158" s="33" t="s">
        <v>144</v>
      </c>
      <c r="L11158" s="31" t="s">
        <v>145</v>
      </c>
    </row>
    <row r="11159" spans="10:12">
      <c r="J11159" s="31">
        <v>71</v>
      </c>
      <c r="K11159" s="33" t="s">
        <v>146</v>
      </c>
      <c r="L11159" s="31" t="str">
        <f t="shared" ref="L11159:L11167" si="1077">$L$73&amp;" "&amp;L11089</f>
        <v>Tujuh Puluh Satu</v>
      </c>
    </row>
    <row r="11160" spans="10:12">
      <c r="J11160" s="31">
        <v>72</v>
      </c>
      <c r="K11160" s="33" t="s">
        <v>147</v>
      </c>
      <c r="L11160" s="31" t="str">
        <f t="shared" si="1077"/>
        <v>Tujuh Puluh Dua</v>
      </c>
    </row>
    <row r="11161" spans="10:12">
      <c r="J11161" s="31">
        <v>73</v>
      </c>
      <c r="K11161" s="33" t="s">
        <v>148</v>
      </c>
      <c r="L11161" s="31" t="str">
        <f t="shared" si="1077"/>
        <v>Tujuh Puluh Tiga</v>
      </c>
    </row>
    <row r="11162" spans="10:12">
      <c r="J11162" s="31">
        <v>74</v>
      </c>
      <c r="K11162" s="33" t="s">
        <v>149</v>
      </c>
      <c r="L11162" s="31" t="str">
        <f t="shared" si="1077"/>
        <v>Tujuh Puluh Empat</v>
      </c>
    </row>
    <row r="11163" spans="10:12">
      <c r="J11163" s="31">
        <v>75</v>
      </c>
      <c r="K11163" s="33" t="s">
        <v>150</v>
      </c>
      <c r="L11163" s="31" t="str">
        <f t="shared" si="1077"/>
        <v>Tujuh Puluh Lima</v>
      </c>
    </row>
    <row r="11164" spans="10:12">
      <c r="J11164" s="31">
        <v>76</v>
      </c>
      <c r="K11164" s="33" t="s">
        <v>151</v>
      </c>
      <c r="L11164" s="31" t="str">
        <f t="shared" si="1077"/>
        <v>Tujuh Puluh Enam</v>
      </c>
    </row>
    <row r="11165" spans="10:12">
      <c r="J11165" s="31">
        <v>77</v>
      </c>
      <c r="K11165" s="33" t="s">
        <v>152</v>
      </c>
      <c r="L11165" s="31" t="str">
        <f t="shared" si="1077"/>
        <v>Tujuh Puluh Tujuh</v>
      </c>
    </row>
    <row r="11166" spans="10:12">
      <c r="J11166" s="31">
        <v>78</v>
      </c>
      <c r="K11166" s="33" t="s">
        <v>153</v>
      </c>
      <c r="L11166" s="31" t="str">
        <f t="shared" si="1077"/>
        <v>Tujuh Puluh Delapan</v>
      </c>
    </row>
    <row r="11167" spans="10:12">
      <c r="J11167" s="31">
        <v>79</v>
      </c>
      <c r="K11167" s="33" t="s">
        <v>154</v>
      </c>
      <c r="L11167" s="31" t="str">
        <f t="shared" si="1077"/>
        <v>Tujuh Puluh Sembilan</v>
      </c>
    </row>
    <row r="11168" spans="10:12">
      <c r="J11168" s="31">
        <v>80</v>
      </c>
      <c r="K11168" s="33" t="s">
        <v>155</v>
      </c>
      <c r="L11168" s="31" t="s">
        <v>156</v>
      </c>
    </row>
    <row r="11169" spans="10:12">
      <c r="J11169" s="31">
        <v>81</v>
      </c>
      <c r="K11169" s="33" t="s">
        <v>157</v>
      </c>
      <c r="L11169" s="31" t="str">
        <f t="shared" ref="L11169:L11177" si="1078">$L$83&amp;" "&amp;L11089</f>
        <v>Delapan Puluh Satu</v>
      </c>
    </row>
    <row r="11170" spans="10:12">
      <c r="J11170" s="31">
        <v>82</v>
      </c>
      <c r="K11170" s="33" t="s">
        <v>158</v>
      </c>
      <c r="L11170" s="31" t="str">
        <f t="shared" si="1078"/>
        <v>Delapan Puluh Dua</v>
      </c>
    </row>
    <row r="11171" spans="10:12">
      <c r="J11171" s="31">
        <v>83</v>
      </c>
      <c r="K11171" s="33" t="s">
        <v>159</v>
      </c>
      <c r="L11171" s="31" t="str">
        <f t="shared" si="1078"/>
        <v>Delapan Puluh Tiga</v>
      </c>
    </row>
    <row r="11172" spans="10:12">
      <c r="J11172" s="31">
        <v>84</v>
      </c>
      <c r="K11172" s="33" t="s">
        <v>160</v>
      </c>
      <c r="L11172" s="31" t="str">
        <f t="shared" si="1078"/>
        <v>Delapan Puluh Empat</v>
      </c>
    </row>
    <row r="11173" spans="10:12">
      <c r="J11173" s="31">
        <v>85</v>
      </c>
      <c r="K11173" s="33" t="s">
        <v>161</v>
      </c>
      <c r="L11173" s="31" t="str">
        <f t="shared" si="1078"/>
        <v>Delapan Puluh Lima</v>
      </c>
    </row>
    <row r="11174" spans="10:12">
      <c r="J11174" s="31">
        <v>86</v>
      </c>
      <c r="K11174" s="33" t="s">
        <v>162</v>
      </c>
      <c r="L11174" s="31" t="str">
        <f t="shared" si="1078"/>
        <v>Delapan Puluh Enam</v>
      </c>
    </row>
    <row r="11175" spans="10:12">
      <c r="J11175" s="31">
        <v>87</v>
      </c>
      <c r="K11175" s="33" t="s">
        <v>163</v>
      </c>
      <c r="L11175" s="31" t="str">
        <f t="shared" si="1078"/>
        <v>Delapan Puluh Tujuh</v>
      </c>
    </row>
    <row r="11176" spans="10:12">
      <c r="J11176" s="31">
        <v>88</v>
      </c>
      <c r="K11176" s="33" t="s">
        <v>164</v>
      </c>
      <c r="L11176" s="31" t="str">
        <f t="shared" si="1078"/>
        <v>Delapan Puluh Delapan</v>
      </c>
    </row>
    <row r="11177" spans="10:12">
      <c r="J11177" s="31">
        <v>89</v>
      </c>
      <c r="K11177" s="33" t="s">
        <v>165</v>
      </c>
      <c r="L11177" s="31" t="str">
        <f t="shared" si="1078"/>
        <v>Delapan Puluh Sembilan</v>
      </c>
    </row>
    <row r="11178" spans="10:12">
      <c r="J11178" s="31">
        <v>90</v>
      </c>
      <c r="K11178" s="33" t="s">
        <v>166</v>
      </c>
      <c r="L11178" s="31" t="s">
        <v>167</v>
      </c>
    </row>
    <row r="11179" spans="10:12">
      <c r="J11179" s="31">
        <v>91</v>
      </c>
      <c r="K11179" s="33" t="s">
        <v>168</v>
      </c>
      <c r="L11179" s="31" t="str">
        <f t="shared" ref="L11179:L11187" si="1079">$L$93&amp;" "&amp;L11089</f>
        <v>Sembilan Puluh Satu</v>
      </c>
    </row>
    <row r="11180" spans="10:12">
      <c r="J11180" s="31">
        <v>92</v>
      </c>
      <c r="K11180" s="33" t="s">
        <v>169</v>
      </c>
      <c r="L11180" s="31" t="str">
        <f t="shared" si="1079"/>
        <v>Sembilan Puluh Dua</v>
      </c>
    </row>
    <row r="11181" spans="10:12">
      <c r="J11181" s="31">
        <v>93</v>
      </c>
      <c r="K11181" s="33" t="s">
        <v>170</v>
      </c>
      <c r="L11181" s="31" t="str">
        <f t="shared" si="1079"/>
        <v>Sembilan Puluh Tiga</v>
      </c>
    </row>
    <row r="11182" spans="10:12">
      <c r="J11182" s="31">
        <v>94</v>
      </c>
      <c r="K11182" s="33" t="s">
        <v>171</v>
      </c>
      <c r="L11182" s="31" t="str">
        <f t="shared" si="1079"/>
        <v>Sembilan Puluh Empat</v>
      </c>
    </row>
    <row r="11183" spans="10:12">
      <c r="J11183" s="31">
        <v>95</v>
      </c>
      <c r="K11183" s="33" t="s">
        <v>172</v>
      </c>
      <c r="L11183" s="31" t="str">
        <f t="shared" si="1079"/>
        <v>Sembilan Puluh Lima</v>
      </c>
    </row>
    <row r="11184" spans="10:12">
      <c r="J11184" s="31">
        <v>96</v>
      </c>
      <c r="K11184" s="33" t="s">
        <v>173</v>
      </c>
      <c r="L11184" s="31" t="str">
        <f t="shared" si="1079"/>
        <v>Sembilan Puluh Enam</v>
      </c>
    </row>
    <row r="11185" spans="1:12">
      <c r="J11185" s="31">
        <v>97</v>
      </c>
      <c r="K11185" s="33" t="s">
        <v>174</v>
      </c>
      <c r="L11185" s="31" t="str">
        <f t="shared" si="1079"/>
        <v>Sembilan Puluh Tujuh</v>
      </c>
    </row>
    <row r="11186" spans="1:12">
      <c r="J11186" s="31">
        <v>98</v>
      </c>
      <c r="K11186" s="33" t="s">
        <v>175</v>
      </c>
      <c r="L11186" s="31" t="str">
        <f t="shared" si="1079"/>
        <v>Sembilan Puluh Delapan</v>
      </c>
    </row>
    <row r="11187" spans="1:12">
      <c r="J11187" s="31">
        <v>99</v>
      </c>
      <c r="K11187" s="33" t="s">
        <v>176</v>
      </c>
      <c r="L11187" s="31" t="str">
        <f t="shared" si="1079"/>
        <v>Sembilan Puluh Sembilan</v>
      </c>
    </row>
    <row r="11189" spans="1:12">
      <c r="A11189" s="30" t="e">
        <f>#REF!</f>
        <v>#REF!</v>
      </c>
      <c r="C11189" s="31" t="s">
        <v>340</v>
      </c>
    </row>
    <row r="11190" spans="1:12">
      <c r="A11190" s="32"/>
    </row>
    <row r="11191" spans="1:12">
      <c r="J11191" s="31">
        <v>0</v>
      </c>
      <c r="K11191" s="33" t="s">
        <v>48</v>
      </c>
      <c r="L11191" s="31" t="s">
        <v>49</v>
      </c>
    </row>
    <row r="11192" spans="1:12">
      <c r="A11192" s="34"/>
      <c r="J11192" s="31">
        <v>1</v>
      </c>
      <c r="K11192" s="33" t="s">
        <v>50</v>
      </c>
      <c r="L11192" s="31" t="s">
        <v>51</v>
      </c>
    </row>
    <row r="11193" spans="1:12">
      <c r="A11193" s="255" t="e">
        <f>TRIM(D11201&amp;E11201&amp;D11202&amp;E11202&amp;D11203&amp;E11203&amp;D11204&amp;E11204&amp;D11205&amp;E11205&amp;D11206&amp;E11206&amp;E11207&amp;D11207&amp;" Only")</f>
        <v>#REF!</v>
      </c>
      <c r="B11193" s="255"/>
      <c r="C11193" s="255"/>
      <c r="D11193" s="255"/>
      <c r="E11193" s="35"/>
      <c r="F11193" s="36"/>
      <c r="J11193" s="31">
        <v>2</v>
      </c>
      <c r="K11193" s="33" t="s">
        <v>52</v>
      </c>
      <c r="L11193" s="31" t="s">
        <v>53</v>
      </c>
    </row>
    <row r="11194" spans="1:12">
      <c r="A11194" s="37"/>
      <c r="B11194" s="37"/>
      <c r="C11194" s="37"/>
      <c r="D11194" s="37"/>
      <c r="E11194" s="35"/>
      <c r="F11194" s="36"/>
      <c r="J11194" s="31">
        <v>3</v>
      </c>
      <c r="K11194" s="33" t="s">
        <v>54</v>
      </c>
      <c r="L11194" s="31" t="s">
        <v>55</v>
      </c>
    </row>
    <row r="11195" spans="1:12">
      <c r="A11195" s="37"/>
      <c r="B11195" s="37"/>
      <c r="C11195" s="37"/>
      <c r="D11195" s="37"/>
      <c r="J11195" s="31">
        <v>4</v>
      </c>
      <c r="K11195" s="33" t="s">
        <v>56</v>
      </c>
      <c r="L11195" s="31" t="s">
        <v>57</v>
      </c>
    </row>
    <row r="11196" spans="1:12">
      <c r="A11196" s="255" t="e">
        <f>TRIM(D11211&amp;E11211&amp;D11212&amp;E11212&amp;D11213&amp;E11213&amp;D11214&amp;E11214&amp;D11215&amp;E11215&amp;D11216&amp;E11216&amp;D11217&amp;E11217&amp;" Rupiah")</f>
        <v>#REF!</v>
      </c>
      <c r="B11196" s="255"/>
      <c r="C11196" s="255"/>
      <c r="D11196" s="255"/>
      <c r="E11196" s="35"/>
      <c r="F11196" s="36"/>
      <c r="J11196" s="31">
        <v>5</v>
      </c>
      <c r="K11196" s="33" t="s">
        <v>58</v>
      </c>
      <c r="L11196" s="31" t="s">
        <v>59</v>
      </c>
    </row>
    <row r="11197" spans="1:12">
      <c r="A11197" s="35"/>
      <c r="B11197" s="35"/>
      <c r="C11197" s="35"/>
      <c r="D11197" s="35"/>
      <c r="E11197" s="35"/>
      <c r="F11197" s="36"/>
      <c r="J11197" s="31">
        <v>6</v>
      </c>
      <c r="K11197" s="33" t="s">
        <v>60</v>
      </c>
      <c r="L11197" s="31" t="s">
        <v>61</v>
      </c>
    </row>
    <row r="11198" spans="1:12">
      <c r="J11198" s="31">
        <v>7</v>
      </c>
      <c r="K11198" s="33" t="s">
        <v>62</v>
      </c>
      <c r="L11198" s="31" t="s">
        <v>63</v>
      </c>
    </row>
    <row r="11199" spans="1:12">
      <c r="J11199" s="31">
        <v>8</v>
      </c>
      <c r="K11199" s="33" t="s">
        <v>64</v>
      </c>
      <c r="L11199" s="31" t="s">
        <v>65</v>
      </c>
    </row>
    <row r="11200" spans="1:12">
      <c r="A11200" s="38" t="s">
        <v>66</v>
      </c>
      <c r="J11200" s="31">
        <v>9</v>
      </c>
      <c r="K11200" s="33" t="s">
        <v>67</v>
      </c>
      <c r="L11200" s="31" t="s">
        <v>68</v>
      </c>
    </row>
    <row r="11201" spans="1:12">
      <c r="A11201" s="31" t="s">
        <v>69</v>
      </c>
      <c r="B11201" s="39" t="e">
        <f>TRUNC(A11189/100000000)</f>
        <v>#REF!</v>
      </c>
      <c r="C11201" s="31" t="e">
        <f>B11201*100000000</f>
        <v>#REF!</v>
      </c>
      <c r="D11201" s="31" t="e">
        <f t="shared" ref="D11201:D11207" si="1080">IF(B11201&lt;1,"",VLOOKUP(B11201,$J$3:$K$102,2))</f>
        <v>#REF!</v>
      </c>
      <c r="E11201" s="31" t="e">
        <f>IF(B11201&lt;1,"",IF(B11201&gt;1," Hundreds "," Hundred "))</f>
        <v>#REF!</v>
      </c>
      <c r="J11201" s="31">
        <v>10</v>
      </c>
      <c r="K11201" s="33" t="s">
        <v>70</v>
      </c>
      <c r="L11201" s="31" t="s">
        <v>71</v>
      </c>
    </row>
    <row r="11202" spans="1:12">
      <c r="A11202" s="31" t="s">
        <v>72</v>
      </c>
      <c r="B11202" s="39" t="e">
        <f>TRUNC((A11189-C11201)/1000000)</f>
        <v>#REF!</v>
      </c>
      <c r="C11202" s="31" t="e">
        <f>B11202*1000000</f>
        <v>#REF!</v>
      </c>
      <c r="D11202" s="31" t="e">
        <f t="shared" si="1080"/>
        <v>#REF!</v>
      </c>
      <c r="E11202" s="31" t="e">
        <f>IF(B11201+B11202=0,"",IF(B11202=1," Million "," Millions "))</f>
        <v>#REF!</v>
      </c>
      <c r="J11202" s="31">
        <v>11</v>
      </c>
      <c r="K11202" s="33" t="s">
        <v>73</v>
      </c>
      <c r="L11202" s="31" t="s">
        <v>74</v>
      </c>
    </row>
    <row r="11203" spans="1:12">
      <c r="A11203" s="31" t="s">
        <v>75</v>
      </c>
      <c r="B11203" s="39" t="e">
        <f>TRUNC((A11189-SUM(C11201:C11202))/100000)</f>
        <v>#REF!</v>
      </c>
      <c r="C11203" s="31" t="e">
        <f>B11203*100000</f>
        <v>#REF!</v>
      </c>
      <c r="D11203" s="31" t="e">
        <f t="shared" si="1080"/>
        <v>#REF!</v>
      </c>
      <c r="E11203" s="31" t="e">
        <f>IF(B11203&lt;1,"",IF(B11203&gt;1," Hundreds "," Hundred "))</f>
        <v>#REF!</v>
      </c>
      <c r="J11203" s="31">
        <v>12</v>
      </c>
      <c r="K11203" s="33" t="s">
        <v>76</v>
      </c>
      <c r="L11203" s="31" t="str">
        <f t="shared" ref="L11203:L11210" si="1081">L11193&amp;" Belas"</f>
        <v>Dua Belas</v>
      </c>
    </row>
    <row r="11204" spans="1:12">
      <c r="A11204" s="33" t="s">
        <v>77</v>
      </c>
      <c r="B11204" s="40" t="e">
        <f>TRUNC((A11189-SUM(C11201:C11203))/1000)</f>
        <v>#REF!</v>
      </c>
      <c r="C11204" s="31" t="e">
        <f>B11204*1000</f>
        <v>#REF!</v>
      </c>
      <c r="D11204" s="31" t="e">
        <f t="shared" si="1080"/>
        <v>#REF!</v>
      </c>
      <c r="E11204" s="31" t="e">
        <f>IF(B11203+B11204=0,"",IF(B11204=1," Thousand "," Thousands "))</f>
        <v>#REF!</v>
      </c>
      <c r="J11204" s="31">
        <v>13</v>
      </c>
      <c r="K11204" s="33" t="s">
        <v>78</v>
      </c>
      <c r="L11204" s="31" t="str">
        <f t="shared" si="1081"/>
        <v>Tiga Belas</v>
      </c>
    </row>
    <row r="11205" spans="1:12">
      <c r="A11205" s="33" t="s">
        <v>79</v>
      </c>
      <c r="B11205" s="40" t="e">
        <f>TRUNC((A11189-SUM(C11201:C11204))/100)</f>
        <v>#REF!</v>
      </c>
      <c r="C11205" s="31" t="e">
        <f>B11205*100</f>
        <v>#REF!</v>
      </c>
      <c r="D11205" s="31" t="e">
        <f t="shared" si="1080"/>
        <v>#REF!</v>
      </c>
      <c r="E11205" s="31" t="e">
        <f>IF(B11205&lt;1,"",IF(B11205&gt;1," Hundreds "," Hundred "))</f>
        <v>#REF!</v>
      </c>
      <c r="J11205" s="31">
        <v>14</v>
      </c>
      <c r="K11205" s="33" t="s">
        <v>80</v>
      </c>
      <c r="L11205" s="31" t="str">
        <f t="shared" si="1081"/>
        <v>Empat Belas</v>
      </c>
    </row>
    <row r="11206" spans="1:12">
      <c r="A11206" s="33" t="s">
        <v>81</v>
      </c>
      <c r="B11206" s="41" t="e">
        <f>TRUNC((A11189-SUM(C11201:C11205)))</f>
        <v>#REF!</v>
      </c>
      <c r="C11206" s="42" t="e">
        <f>B11206</f>
        <v>#REF!</v>
      </c>
      <c r="D11206" s="31" t="e">
        <f t="shared" si="1080"/>
        <v>#REF!</v>
      </c>
      <c r="E11206" s="31" t="e">
        <f>IF(SUM(C11201:C11206)&lt;1,"",IF(B11207&lt;1,""," And "))</f>
        <v>#REF!</v>
      </c>
      <c r="J11206" s="31">
        <v>15</v>
      </c>
      <c r="K11206" s="33" t="s">
        <v>82</v>
      </c>
      <c r="L11206" s="31" t="str">
        <f t="shared" si="1081"/>
        <v>Lima Belas</v>
      </c>
    </row>
    <row r="11207" spans="1:12">
      <c r="A11207" s="33" t="s">
        <v>83</v>
      </c>
      <c r="B11207" s="40" t="e">
        <f>ROUND(A11189-SUM(C11201:C11206),2)*100</f>
        <v>#REF!</v>
      </c>
      <c r="D11207" s="43" t="e">
        <f t="shared" si="1080"/>
        <v>#REF!</v>
      </c>
      <c r="E11207" s="31" t="e">
        <f>IF(B11207&lt;1,"",IF(B11207=1," Cent "," Cents "))</f>
        <v>#REF!</v>
      </c>
      <c r="J11207" s="31">
        <v>16</v>
      </c>
      <c r="K11207" s="33" t="s">
        <v>84</v>
      </c>
      <c r="L11207" s="31" t="str">
        <f t="shared" si="1081"/>
        <v>Enam Belas</v>
      </c>
    </row>
    <row r="11208" spans="1:12">
      <c r="J11208" s="31">
        <v>17</v>
      </c>
      <c r="K11208" s="33" t="s">
        <v>85</v>
      </c>
      <c r="L11208" s="31" t="str">
        <f t="shared" si="1081"/>
        <v>Tujuh Belas</v>
      </c>
    </row>
    <row r="11209" spans="1:12">
      <c r="A11209" s="44"/>
      <c r="J11209" s="31">
        <v>18</v>
      </c>
      <c r="K11209" s="33" t="s">
        <v>86</v>
      </c>
      <c r="L11209" s="31" t="str">
        <f t="shared" si="1081"/>
        <v>Delapan Belas</v>
      </c>
    </row>
    <row r="11210" spans="1:12">
      <c r="A11210" s="38" t="s">
        <v>87</v>
      </c>
      <c r="J11210" s="31">
        <v>19</v>
      </c>
      <c r="K11210" s="33" t="s">
        <v>88</v>
      </c>
      <c r="L11210" s="31" t="str">
        <f t="shared" si="1081"/>
        <v>Sembilan Belas</v>
      </c>
    </row>
    <row r="11211" spans="1:12">
      <c r="A11211" s="31" t="s">
        <v>69</v>
      </c>
      <c r="B11211" s="39" t="e">
        <f>TRUNC(A11189/100000000)</f>
        <v>#REF!</v>
      </c>
      <c r="C11211" s="31" t="e">
        <f>B11211*100000000</f>
        <v>#REF!</v>
      </c>
      <c r="D11211" s="31" t="e">
        <f>IF(B11211&lt;1,"",IF(B11211=1,"",VLOOKUP(B11211,$J$3:$L$102,3)))</f>
        <v>#REF!</v>
      </c>
      <c r="E11211" s="31" t="e">
        <f>IF(B11211&lt;1,"",IF(B11211=1,"Seratus "," Ratus "))</f>
        <v>#REF!</v>
      </c>
      <c r="J11211" s="31">
        <v>20</v>
      </c>
      <c r="K11211" s="33" t="s">
        <v>89</v>
      </c>
      <c r="L11211" s="31" t="s">
        <v>90</v>
      </c>
    </row>
    <row r="11212" spans="1:12">
      <c r="A11212" s="31" t="s">
        <v>72</v>
      </c>
      <c r="B11212" s="39" t="e">
        <f>TRUNC((A11189-C11211)/1000000)</f>
        <v>#REF!</v>
      </c>
      <c r="C11212" s="31" t="e">
        <f>B11212*1000000</f>
        <v>#REF!</v>
      </c>
      <c r="D11212" s="31" t="e">
        <f>IF(B11212&lt;1,"",VLOOKUP(B11212,$J$3:$L$102,3))</f>
        <v>#REF!</v>
      </c>
      <c r="E11212" s="31" t="e">
        <f>IF(B11211+B11212=0,""," Juta ")</f>
        <v>#REF!</v>
      </c>
      <c r="J11212" s="31">
        <v>21</v>
      </c>
      <c r="K11212" s="33" t="s">
        <v>91</v>
      </c>
      <c r="L11212" s="31" t="str">
        <f t="shared" ref="L11212:L11220" si="1082">$L$23&amp;" "&amp;L11192</f>
        <v>Dua Puluh Satu</v>
      </c>
    </row>
    <row r="11213" spans="1:12">
      <c r="A11213" s="31" t="s">
        <v>75</v>
      </c>
      <c r="B11213" s="39" t="e">
        <f>TRUNC((A11189-SUM(C11211:C11212))/100000)</f>
        <v>#REF!</v>
      </c>
      <c r="C11213" s="31" t="e">
        <f>B11213*100000</f>
        <v>#REF!</v>
      </c>
      <c r="D11213" s="31" t="e">
        <f>IF(B11213&lt;1,"",IF(B11213=1,"",VLOOKUP(B11213,$J$3:$L$102,3)))</f>
        <v>#REF!</v>
      </c>
      <c r="E11213" s="31" t="e">
        <f>IF(B11213&lt;1,"",IF(B11213=1," Seratus "," Ratus "))</f>
        <v>#REF!</v>
      </c>
      <c r="J11213" s="31">
        <v>22</v>
      </c>
      <c r="K11213" s="33" t="s">
        <v>92</v>
      </c>
      <c r="L11213" s="31" t="str">
        <f t="shared" si="1082"/>
        <v>Dua Puluh Dua</v>
      </c>
    </row>
    <row r="11214" spans="1:12">
      <c r="A11214" s="33" t="s">
        <v>77</v>
      </c>
      <c r="B11214" s="40" t="e">
        <f>TRUNC((A11189-SUM(C11211:C11213))/1000)</f>
        <v>#REF!</v>
      </c>
      <c r="C11214" s="31" t="e">
        <f>B11214*1000</f>
        <v>#REF!</v>
      </c>
      <c r="D11214" s="31" t="e">
        <f>IF(B11214&lt;1,"",IF(B11214=1,"",VLOOKUP(B11214,$J$3:$L$102,3)))</f>
        <v>#REF!</v>
      </c>
      <c r="E11214" s="31" t="e">
        <f>IF(B11213+B11214&lt;1,"",IF(B11214=1," Seribu "," Ribu "))</f>
        <v>#REF!</v>
      </c>
      <c r="J11214" s="31">
        <v>23</v>
      </c>
      <c r="K11214" s="33" t="s">
        <v>93</v>
      </c>
      <c r="L11214" s="31" t="str">
        <f t="shared" si="1082"/>
        <v>Dua Puluh Tiga</v>
      </c>
    </row>
    <row r="11215" spans="1:12">
      <c r="A11215" s="33" t="s">
        <v>79</v>
      </c>
      <c r="B11215" s="40" t="e">
        <f>TRUNC((A11189-SUM(C11211:C11214))/100)</f>
        <v>#REF!</v>
      </c>
      <c r="C11215" s="31" t="e">
        <f>B11215*100</f>
        <v>#REF!</v>
      </c>
      <c r="D11215" s="31" t="e">
        <f>IF(B11215&lt;1,"",IF(B11215=1,"",VLOOKUP(B11215,$J$3:$L$102,3)))</f>
        <v>#REF!</v>
      </c>
      <c r="E11215" s="31" t="e">
        <f>IF(B11215&lt;1,"",IF(B11215=1," Seratus "," Ratus "))</f>
        <v>#REF!</v>
      </c>
      <c r="J11215" s="31">
        <v>24</v>
      </c>
      <c r="K11215" s="33" t="s">
        <v>94</v>
      </c>
      <c r="L11215" s="31" t="str">
        <f t="shared" si="1082"/>
        <v>Dua Puluh Empat</v>
      </c>
    </row>
    <row r="11216" spans="1:12">
      <c r="A11216" s="33" t="s">
        <v>81</v>
      </c>
      <c r="B11216" s="41" t="e">
        <f>TRUNC((A11189-SUM(C11211:C11215)))</f>
        <v>#REF!</v>
      </c>
      <c r="C11216" s="42" t="e">
        <f>B11216</f>
        <v>#REF!</v>
      </c>
      <c r="D11216" s="31" t="e">
        <f>IF(B11216&lt;1,"",VLOOKUP(B11216,$J$3:$L$102,3))</f>
        <v>#REF!</v>
      </c>
      <c r="E11216" s="31" t="e">
        <f>IF(SUM(C11211:C11216)&lt;1,"",IF(B11217&lt;1,""," Dan "))</f>
        <v>#REF!</v>
      </c>
      <c r="J11216" s="31">
        <v>25</v>
      </c>
      <c r="K11216" s="33" t="s">
        <v>95</v>
      </c>
      <c r="L11216" s="31" t="str">
        <f t="shared" si="1082"/>
        <v>Dua Puluh Lima</v>
      </c>
    </row>
    <row r="11217" spans="1:12">
      <c r="A11217" s="33" t="s">
        <v>83</v>
      </c>
      <c r="B11217" s="40" t="e">
        <f>ROUND(A11189-SUM(C11211:C11216),2)*100</f>
        <v>#REF!</v>
      </c>
      <c r="D11217" s="31" t="e">
        <f>IF(B11217&lt;1,"",VLOOKUP(B11217,$J$3:$L$102,3))</f>
        <v>#REF!</v>
      </c>
      <c r="E11217" s="31" t="e">
        <f>IF(B11217&lt;1,""," Sen ")</f>
        <v>#REF!</v>
      </c>
      <c r="J11217" s="31">
        <v>26</v>
      </c>
      <c r="K11217" s="33" t="s">
        <v>96</v>
      </c>
      <c r="L11217" s="31" t="str">
        <f t="shared" si="1082"/>
        <v>Dua Puluh Enam</v>
      </c>
    </row>
    <row r="11218" spans="1:12">
      <c r="J11218" s="31">
        <v>27</v>
      </c>
      <c r="K11218" s="33" t="s">
        <v>97</v>
      </c>
      <c r="L11218" s="31" t="str">
        <f t="shared" si="1082"/>
        <v>Dua Puluh Tujuh</v>
      </c>
    </row>
    <row r="11219" spans="1:12">
      <c r="J11219" s="31">
        <v>28</v>
      </c>
      <c r="K11219" s="33" t="s">
        <v>98</v>
      </c>
      <c r="L11219" s="31" t="str">
        <f t="shared" si="1082"/>
        <v>Dua Puluh Delapan</v>
      </c>
    </row>
    <row r="11220" spans="1:12">
      <c r="J11220" s="31">
        <v>29</v>
      </c>
      <c r="K11220" s="33" t="s">
        <v>99</v>
      </c>
      <c r="L11220" s="31" t="str">
        <f t="shared" si="1082"/>
        <v>Dua Puluh Sembilan</v>
      </c>
    </row>
    <row r="11221" spans="1:12">
      <c r="J11221" s="31">
        <v>30</v>
      </c>
      <c r="K11221" s="33" t="s">
        <v>100</v>
      </c>
      <c r="L11221" s="31" t="s">
        <v>101</v>
      </c>
    </row>
    <row r="11222" spans="1:12">
      <c r="J11222" s="31">
        <v>31</v>
      </c>
      <c r="K11222" s="33" t="s">
        <v>102</v>
      </c>
      <c r="L11222" s="31" t="str">
        <f t="shared" ref="L11222:L11230" si="1083">$L$33&amp;" "&amp;L11192</f>
        <v>Tiga Puluh Satu</v>
      </c>
    </row>
    <row r="11223" spans="1:12">
      <c r="J11223" s="31">
        <v>32</v>
      </c>
      <c r="K11223" s="33" t="s">
        <v>103</v>
      </c>
      <c r="L11223" s="31" t="str">
        <f t="shared" si="1083"/>
        <v>Tiga Puluh Dua</v>
      </c>
    </row>
    <row r="11224" spans="1:12">
      <c r="J11224" s="31">
        <v>33</v>
      </c>
      <c r="K11224" s="33" t="s">
        <v>104</v>
      </c>
      <c r="L11224" s="31" t="str">
        <f t="shared" si="1083"/>
        <v>Tiga Puluh Tiga</v>
      </c>
    </row>
    <row r="11225" spans="1:12">
      <c r="J11225" s="31">
        <v>34</v>
      </c>
      <c r="K11225" s="33" t="s">
        <v>105</v>
      </c>
      <c r="L11225" s="31" t="str">
        <f t="shared" si="1083"/>
        <v>Tiga Puluh Empat</v>
      </c>
    </row>
    <row r="11226" spans="1:12">
      <c r="J11226" s="31">
        <v>35</v>
      </c>
      <c r="K11226" s="33" t="s">
        <v>106</v>
      </c>
      <c r="L11226" s="31" t="str">
        <f t="shared" si="1083"/>
        <v>Tiga Puluh Lima</v>
      </c>
    </row>
    <row r="11227" spans="1:12">
      <c r="J11227" s="31">
        <v>36</v>
      </c>
      <c r="K11227" s="33" t="s">
        <v>107</v>
      </c>
      <c r="L11227" s="31" t="str">
        <f t="shared" si="1083"/>
        <v>Tiga Puluh Enam</v>
      </c>
    </row>
    <row r="11228" spans="1:12">
      <c r="J11228" s="31">
        <v>37</v>
      </c>
      <c r="K11228" s="33" t="s">
        <v>108</v>
      </c>
      <c r="L11228" s="31" t="str">
        <f t="shared" si="1083"/>
        <v>Tiga Puluh Tujuh</v>
      </c>
    </row>
    <row r="11229" spans="1:12">
      <c r="J11229" s="31">
        <v>38</v>
      </c>
      <c r="K11229" s="33" t="s">
        <v>109</v>
      </c>
      <c r="L11229" s="31" t="str">
        <f t="shared" si="1083"/>
        <v>Tiga Puluh Delapan</v>
      </c>
    </row>
    <row r="11230" spans="1:12">
      <c r="J11230" s="31">
        <v>39</v>
      </c>
      <c r="K11230" s="33" t="s">
        <v>110</v>
      </c>
      <c r="L11230" s="31" t="str">
        <f t="shared" si="1083"/>
        <v>Tiga Puluh Sembilan</v>
      </c>
    </row>
    <row r="11231" spans="1:12">
      <c r="B11231" s="35"/>
      <c r="C11231" s="35"/>
      <c r="D11231" s="35"/>
      <c r="J11231" s="31">
        <v>40</v>
      </c>
      <c r="K11231" s="33" t="s">
        <v>111</v>
      </c>
      <c r="L11231" s="31" t="s">
        <v>112</v>
      </c>
    </row>
    <row r="11232" spans="1:12">
      <c r="A11232" s="35"/>
      <c r="B11232" s="35"/>
      <c r="C11232" s="35"/>
      <c r="D11232" s="35"/>
      <c r="J11232" s="31">
        <v>41</v>
      </c>
      <c r="K11232" s="33" t="s">
        <v>113</v>
      </c>
      <c r="L11232" s="31" t="str">
        <f t="shared" ref="L11232:L11240" si="1084">$L$43&amp;" "&amp;L11192</f>
        <v>Empat Puluh Satu</v>
      </c>
    </row>
    <row r="11233" spans="1:12">
      <c r="J11233" s="31">
        <v>42</v>
      </c>
      <c r="K11233" s="33" t="s">
        <v>114</v>
      </c>
      <c r="L11233" s="31" t="str">
        <f t="shared" si="1084"/>
        <v>Empat Puluh Dua</v>
      </c>
    </row>
    <row r="11234" spans="1:12">
      <c r="A11234" s="38"/>
      <c r="J11234" s="31">
        <v>43</v>
      </c>
      <c r="K11234" s="33" t="s">
        <v>115</v>
      </c>
      <c r="L11234" s="31" t="str">
        <f t="shared" si="1084"/>
        <v>Empat Puluh Tiga</v>
      </c>
    </row>
    <row r="11235" spans="1:12">
      <c r="J11235" s="31">
        <v>44</v>
      </c>
      <c r="K11235" s="33" t="s">
        <v>116</v>
      </c>
      <c r="L11235" s="31" t="str">
        <f t="shared" si="1084"/>
        <v>Empat Puluh Empat</v>
      </c>
    </row>
    <row r="11236" spans="1:12">
      <c r="J11236" s="31">
        <v>45</v>
      </c>
      <c r="K11236" s="33" t="s">
        <v>117</v>
      </c>
      <c r="L11236" s="31" t="str">
        <f t="shared" si="1084"/>
        <v>Empat Puluh Lima</v>
      </c>
    </row>
    <row r="11237" spans="1:12">
      <c r="J11237" s="31">
        <v>46</v>
      </c>
      <c r="K11237" s="33" t="s">
        <v>118</v>
      </c>
      <c r="L11237" s="31" t="str">
        <f t="shared" si="1084"/>
        <v>Empat Puluh Enam</v>
      </c>
    </row>
    <row r="11238" spans="1:12">
      <c r="J11238" s="31">
        <v>47</v>
      </c>
      <c r="K11238" s="33" t="s">
        <v>119</v>
      </c>
      <c r="L11238" s="31" t="str">
        <f t="shared" si="1084"/>
        <v>Empat Puluh Tujuh</v>
      </c>
    </row>
    <row r="11239" spans="1:12">
      <c r="J11239" s="31">
        <v>48</v>
      </c>
      <c r="K11239" s="33" t="s">
        <v>120</v>
      </c>
      <c r="L11239" s="31" t="str">
        <f t="shared" si="1084"/>
        <v>Empat Puluh Delapan</v>
      </c>
    </row>
    <row r="11240" spans="1:12">
      <c r="J11240" s="31">
        <v>49</v>
      </c>
      <c r="K11240" s="33" t="s">
        <v>121</v>
      </c>
      <c r="L11240" s="31" t="str">
        <f t="shared" si="1084"/>
        <v>Empat Puluh Sembilan</v>
      </c>
    </row>
    <row r="11241" spans="1:12">
      <c r="J11241" s="31">
        <v>50</v>
      </c>
      <c r="K11241" s="33" t="s">
        <v>122</v>
      </c>
      <c r="L11241" s="31" t="s">
        <v>123</v>
      </c>
    </row>
    <row r="11242" spans="1:12">
      <c r="J11242" s="31">
        <v>51</v>
      </c>
      <c r="K11242" s="33" t="s">
        <v>124</v>
      </c>
      <c r="L11242" s="31" t="str">
        <f t="shared" ref="L11242:L11250" si="1085">$L$53&amp;" "&amp;L11192</f>
        <v>Lima Puluh Satu</v>
      </c>
    </row>
    <row r="11243" spans="1:12">
      <c r="J11243" s="31">
        <v>52</v>
      </c>
      <c r="K11243" s="33" t="s">
        <v>125</v>
      </c>
      <c r="L11243" s="31" t="str">
        <f t="shared" si="1085"/>
        <v>Lima Puluh Dua</v>
      </c>
    </row>
    <row r="11244" spans="1:12">
      <c r="J11244" s="31">
        <v>53</v>
      </c>
      <c r="K11244" s="33" t="s">
        <v>126</v>
      </c>
      <c r="L11244" s="31" t="str">
        <f t="shared" si="1085"/>
        <v>Lima Puluh Tiga</v>
      </c>
    </row>
    <row r="11245" spans="1:12">
      <c r="J11245" s="31">
        <v>54</v>
      </c>
      <c r="K11245" s="33" t="s">
        <v>127</v>
      </c>
      <c r="L11245" s="31" t="str">
        <f t="shared" si="1085"/>
        <v>Lima Puluh Empat</v>
      </c>
    </row>
    <row r="11246" spans="1:12">
      <c r="J11246" s="31">
        <v>55</v>
      </c>
      <c r="K11246" s="33" t="s">
        <v>128</v>
      </c>
      <c r="L11246" s="31" t="str">
        <f t="shared" si="1085"/>
        <v>Lima Puluh Lima</v>
      </c>
    </row>
    <row r="11247" spans="1:12">
      <c r="J11247" s="31">
        <v>56</v>
      </c>
      <c r="K11247" s="33" t="s">
        <v>129</v>
      </c>
      <c r="L11247" s="31" t="str">
        <f t="shared" si="1085"/>
        <v>Lima Puluh Enam</v>
      </c>
    </row>
    <row r="11248" spans="1:12">
      <c r="J11248" s="31">
        <v>57</v>
      </c>
      <c r="K11248" s="33" t="s">
        <v>130</v>
      </c>
      <c r="L11248" s="31" t="str">
        <f t="shared" si="1085"/>
        <v>Lima Puluh Tujuh</v>
      </c>
    </row>
    <row r="11249" spans="10:12">
      <c r="J11249" s="31">
        <v>58</v>
      </c>
      <c r="K11249" s="33" t="s">
        <v>131</v>
      </c>
      <c r="L11249" s="31" t="str">
        <f t="shared" si="1085"/>
        <v>Lima Puluh Delapan</v>
      </c>
    </row>
    <row r="11250" spans="10:12">
      <c r="J11250" s="31">
        <v>59</v>
      </c>
      <c r="K11250" s="33" t="s">
        <v>132</v>
      </c>
      <c r="L11250" s="31" t="str">
        <f t="shared" si="1085"/>
        <v>Lima Puluh Sembilan</v>
      </c>
    </row>
    <row r="11251" spans="10:12">
      <c r="J11251" s="31">
        <v>60</v>
      </c>
      <c r="K11251" s="33" t="s">
        <v>133</v>
      </c>
      <c r="L11251" s="31" t="s">
        <v>134</v>
      </c>
    </row>
    <row r="11252" spans="10:12">
      <c r="J11252" s="31">
        <v>61</v>
      </c>
      <c r="K11252" s="33" t="s">
        <v>135</v>
      </c>
      <c r="L11252" s="31" t="str">
        <f t="shared" ref="L11252:L11260" si="1086">$L$63&amp;" "&amp;L11192</f>
        <v>Enam Puluh Satu</v>
      </c>
    </row>
    <row r="11253" spans="10:12">
      <c r="J11253" s="31">
        <v>62</v>
      </c>
      <c r="K11253" s="33" t="s">
        <v>136</v>
      </c>
      <c r="L11253" s="31" t="str">
        <f t="shared" si="1086"/>
        <v>Enam Puluh Dua</v>
      </c>
    </row>
    <row r="11254" spans="10:12">
      <c r="J11254" s="31">
        <v>63</v>
      </c>
      <c r="K11254" s="33" t="s">
        <v>137</v>
      </c>
      <c r="L11254" s="31" t="str">
        <f t="shared" si="1086"/>
        <v>Enam Puluh Tiga</v>
      </c>
    </row>
    <row r="11255" spans="10:12">
      <c r="J11255" s="31">
        <v>64</v>
      </c>
      <c r="K11255" s="33" t="s">
        <v>138</v>
      </c>
      <c r="L11255" s="31" t="str">
        <f t="shared" si="1086"/>
        <v>Enam Puluh Empat</v>
      </c>
    </row>
    <row r="11256" spans="10:12">
      <c r="J11256" s="31">
        <v>65</v>
      </c>
      <c r="K11256" s="33" t="s">
        <v>139</v>
      </c>
      <c r="L11256" s="31" t="str">
        <f t="shared" si="1086"/>
        <v>Enam Puluh Lima</v>
      </c>
    </row>
    <row r="11257" spans="10:12">
      <c r="J11257" s="31">
        <v>66</v>
      </c>
      <c r="K11257" s="33" t="s">
        <v>140</v>
      </c>
      <c r="L11257" s="31" t="str">
        <f t="shared" si="1086"/>
        <v>Enam Puluh Enam</v>
      </c>
    </row>
    <row r="11258" spans="10:12">
      <c r="J11258" s="31">
        <v>67</v>
      </c>
      <c r="K11258" s="33" t="s">
        <v>141</v>
      </c>
      <c r="L11258" s="31" t="str">
        <f t="shared" si="1086"/>
        <v>Enam Puluh Tujuh</v>
      </c>
    </row>
    <row r="11259" spans="10:12">
      <c r="J11259" s="31">
        <v>68</v>
      </c>
      <c r="K11259" s="33" t="s">
        <v>142</v>
      </c>
      <c r="L11259" s="31" t="str">
        <f t="shared" si="1086"/>
        <v>Enam Puluh Delapan</v>
      </c>
    </row>
    <row r="11260" spans="10:12">
      <c r="J11260" s="31">
        <v>69</v>
      </c>
      <c r="K11260" s="33" t="s">
        <v>143</v>
      </c>
      <c r="L11260" s="31" t="str">
        <f t="shared" si="1086"/>
        <v>Enam Puluh Sembilan</v>
      </c>
    </row>
    <row r="11261" spans="10:12">
      <c r="J11261" s="31">
        <v>70</v>
      </c>
      <c r="K11261" s="33" t="s">
        <v>144</v>
      </c>
      <c r="L11261" s="31" t="s">
        <v>145</v>
      </c>
    </row>
    <row r="11262" spans="10:12">
      <c r="J11262" s="31">
        <v>71</v>
      </c>
      <c r="K11262" s="33" t="s">
        <v>146</v>
      </c>
      <c r="L11262" s="31" t="str">
        <f t="shared" ref="L11262:L11270" si="1087">$L$73&amp;" "&amp;L11192</f>
        <v>Tujuh Puluh Satu</v>
      </c>
    </row>
    <row r="11263" spans="10:12">
      <c r="J11263" s="31">
        <v>72</v>
      </c>
      <c r="K11263" s="33" t="s">
        <v>147</v>
      </c>
      <c r="L11263" s="31" t="str">
        <f t="shared" si="1087"/>
        <v>Tujuh Puluh Dua</v>
      </c>
    </row>
    <row r="11264" spans="10:12">
      <c r="J11264" s="31">
        <v>73</v>
      </c>
      <c r="K11264" s="33" t="s">
        <v>148</v>
      </c>
      <c r="L11264" s="31" t="str">
        <f t="shared" si="1087"/>
        <v>Tujuh Puluh Tiga</v>
      </c>
    </row>
    <row r="11265" spans="10:12">
      <c r="J11265" s="31">
        <v>74</v>
      </c>
      <c r="K11265" s="33" t="s">
        <v>149</v>
      </c>
      <c r="L11265" s="31" t="str">
        <f t="shared" si="1087"/>
        <v>Tujuh Puluh Empat</v>
      </c>
    </row>
    <row r="11266" spans="10:12">
      <c r="J11266" s="31">
        <v>75</v>
      </c>
      <c r="K11266" s="33" t="s">
        <v>150</v>
      </c>
      <c r="L11266" s="31" t="str">
        <f t="shared" si="1087"/>
        <v>Tujuh Puluh Lima</v>
      </c>
    </row>
    <row r="11267" spans="10:12">
      <c r="J11267" s="31">
        <v>76</v>
      </c>
      <c r="K11267" s="33" t="s">
        <v>151</v>
      </c>
      <c r="L11267" s="31" t="str">
        <f t="shared" si="1087"/>
        <v>Tujuh Puluh Enam</v>
      </c>
    </row>
    <row r="11268" spans="10:12">
      <c r="J11268" s="31">
        <v>77</v>
      </c>
      <c r="K11268" s="33" t="s">
        <v>152</v>
      </c>
      <c r="L11268" s="31" t="str">
        <f t="shared" si="1087"/>
        <v>Tujuh Puluh Tujuh</v>
      </c>
    </row>
    <row r="11269" spans="10:12">
      <c r="J11269" s="31">
        <v>78</v>
      </c>
      <c r="K11269" s="33" t="s">
        <v>153</v>
      </c>
      <c r="L11269" s="31" t="str">
        <f t="shared" si="1087"/>
        <v>Tujuh Puluh Delapan</v>
      </c>
    </row>
    <row r="11270" spans="10:12">
      <c r="J11270" s="31">
        <v>79</v>
      </c>
      <c r="K11270" s="33" t="s">
        <v>154</v>
      </c>
      <c r="L11270" s="31" t="str">
        <f t="shared" si="1087"/>
        <v>Tujuh Puluh Sembilan</v>
      </c>
    </row>
    <row r="11271" spans="10:12">
      <c r="J11271" s="31">
        <v>80</v>
      </c>
      <c r="K11271" s="33" t="s">
        <v>155</v>
      </c>
      <c r="L11271" s="31" t="s">
        <v>156</v>
      </c>
    </row>
    <row r="11272" spans="10:12">
      <c r="J11272" s="31">
        <v>81</v>
      </c>
      <c r="K11272" s="33" t="s">
        <v>157</v>
      </c>
      <c r="L11272" s="31" t="str">
        <f t="shared" ref="L11272:L11280" si="1088">$L$83&amp;" "&amp;L11192</f>
        <v>Delapan Puluh Satu</v>
      </c>
    </row>
    <row r="11273" spans="10:12">
      <c r="J11273" s="31">
        <v>82</v>
      </c>
      <c r="K11273" s="33" t="s">
        <v>158</v>
      </c>
      <c r="L11273" s="31" t="str">
        <f t="shared" si="1088"/>
        <v>Delapan Puluh Dua</v>
      </c>
    </row>
    <row r="11274" spans="10:12">
      <c r="J11274" s="31">
        <v>83</v>
      </c>
      <c r="K11274" s="33" t="s">
        <v>159</v>
      </c>
      <c r="L11274" s="31" t="str">
        <f t="shared" si="1088"/>
        <v>Delapan Puluh Tiga</v>
      </c>
    </row>
    <row r="11275" spans="10:12">
      <c r="J11275" s="31">
        <v>84</v>
      </c>
      <c r="K11275" s="33" t="s">
        <v>160</v>
      </c>
      <c r="L11275" s="31" t="str">
        <f t="shared" si="1088"/>
        <v>Delapan Puluh Empat</v>
      </c>
    </row>
    <row r="11276" spans="10:12">
      <c r="J11276" s="31">
        <v>85</v>
      </c>
      <c r="K11276" s="33" t="s">
        <v>161</v>
      </c>
      <c r="L11276" s="31" t="str">
        <f t="shared" si="1088"/>
        <v>Delapan Puluh Lima</v>
      </c>
    </row>
    <row r="11277" spans="10:12">
      <c r="J11277" s="31">
        <v>86</v>
      </c>
      <c r="K11277" s="33" t="s">
        <v>162</v>
      </c>
      <c r="L11277" s="31" t="str">
        <f t="shared" si="1088"/>
        <v>Delapan Puluh Enam</v>
      </c>
    </row>
    <row r="11278" spans="10:12">
      <c r="J11278" s="31">
        <v>87</v>
      </c>
      <c r="K11278" s="33" t="s">
        <v>163</v>
      </c>
      <c r="L11278" s="31" t="str">
        <f t="shared" si="1088"/>
        <v>Delapan Puluh Tujuh</v>
      </c>
    </row>
    <row r="11279" spans="10:12">
      <c r="J11279" s="31">
        <v>88</v>
      </c>
      <c r="K11279" s="33" t="s">
        <v>164</v>
      </c>
      <c r="L11279" s="31" t="str">
        <f t="shared" si="1088"/>
        <v>Delapan Puluh Delapan</v>
      </c>
    </row>
    <row r="11280" spans="10:12">
      <c r="J11280" s="31">
        <v>89</v>
      </c>
      <c r="K11280" s="33" t="s">
        <v>165</v>
      </c>
      <c r="L11280" s="31" t="str">
        <f t="shared" si="1088"/>
        <v>Delapan Puluh Sembilan</v>
      </c>
    </row>
    <row r="11281" spans="1:12">
      <c r="J11281" s="31">
        <v>90</v>
      </c>
      <c r="K11281" s="33" t="s">
        <v>166</v>
      </c>
      <c r="L11281" s="31" t="s">
        <v>167</v>
      </c>
    </row>
    <row r="11282" spans="1:12">
      <c r="J11282" s="31">
        <v>91</v>
      </c>
      <c r="K11282" s="33" t="s">
        <v>168</v>
      </c>
      <c r="L11282" s="31" t="str">
        <f t="shared" ref="L11282:L11290" si="1089">$L$93&amp;" "&amp;L11192</f>
        <v>Sembilan Puluh Satu</v>
      </c>
    </row>
    <row r="11283" spans="1:12">
      <c r="J11283" s="31">
        <v>92</v>
      </c>
      <c r="K11283" s="33" t="s">
        <v>169</v>
      </c>
      <c r="L11283" s="31" t="str">
        <f t="shared" si="1089"/>
        <v>Sembilan Puluh Dua</v>
      </c>
    </row>
    <row r="11284" spans="1:12">
      <c r="J11284" s="31">
        <v>93</v>
      </c>
      <c r="K11284" s="33" t="s">
        <v>170</v>
      </c>
      <c r="L11284" s="31" t="str">
        <f t="shared" si="1089"/>
        <v>Sembilan Puluh Tiga</v>
      </c>
    </row>
    <row r="11285" spans="1:12">
      <c r="J11285" s="31">
        <v>94</v>
      </c>
      <c r="K11285" s="33" t="s">
        <v>171</v>
      </c>
      <c r="L11285" s="31" t="str">
        <f t="shared" si="1089"/>
        <v>Sembilan Puluh Empat</v>
      </c>
    </row>
    <row r="11286" spans="1:12">
      <c r="J11286" s="31">
        <v>95</v>
      </c>
      <c r="K11286" s="33" t="s">
        <v>172</v>
      </c>
      <c r="L11286" s="31" t="str">
        <f t="shared" si="1089"/>
        <v>Sembilan Puluh Lima</v>
      </c>
    </row>
    <row r="11287" spans="1:12">
      <c r="J11287" s="31">
        <v>96</v>
      </c>
      <c r="K11287" s="33" t="s">
        <v>173</v>
      </c>
      <c r="L11287" s="31" t="str">
        <f t="shared" si="1089"/>
        <v>Sembilan Puluh Enam</v>
      </c>
    </row>
    <row r="11288" spans="1:12">
      <c r="J11288" s="31">
        <v>97</v>
      </c>
      <c r="K11288" s="33" t="s">
        <v>174</v>
      </c>
      <c r="L11288" s="31" t="str">
        <f t="shared" si="1089"/>
        <v>Sembilan Puluh Tujuh</v>
      </c>
    </row>
    <row r="11289" spans="1:12">
      <c r="J11289" s="31">
        <v>98</v>
      </c>
      <c r="K11289" s="33" t="s">
        <v>175</v>
      </c>
      <c r="L11289" s="31" t="str">
        <f t="shared" si="1089"/>
        <v>Sembilan Puluh Delapan</v>
      </c>
    </row>
    <row r="11290" spans="1:12">
      <c r="J11290" s="31">
        <v>99</v>
      </c>
      <c r="K11290" s="33" t="s">
        <v>176</v>
      </c>
      <c r="L11290" s="31" t="str">
        <f t="shared" si="1089"/>
        <v>Sembilan Puluh Sembilan</v>
      </c>
    </row>
    <row r="11292" spans="1:12">
      <c r="A11292" s="30" t="e">
        <f>#REF!</f>
        <v>#REF!</v>
      </c>
      <c r="C11292" s="31" t="s">
        <v>343</v>
      </c>
    </row>
    <row r="11293" spans="1:12">
      <c r="A11293" s="32"/>
    </row>
    <row r="11294" spans="1:12">
      <c r="J11294" s="31">
        <v>0</v>
      </c>
      <c r="K11294" s="33" t="s">
        <v>48</v>
      </c>
      <c r="L11294" s="31" t="s">
        <v>49</v>
      </c>
    </row>
    <row r="11295" spans="1:12">
      <c r="A11295" s="34"/>
      <c r="J11295" s="31">
        <v>1</v>
      </c>
      <c r="K11295" s="33" t="s">
        <v>50</v>
      </c>
      <c r="L11295" s="31" t="s">
        <v>51</v>
      </c>
    </row>
    <row r="11296" spans="1:12">
      <c r="A11296" s="255" t="e">
        <f>TRIM(D11304&amp;E11304&amp;D11305&amp;E11305&amp;D11306&amp;E11306&amp;D11307&amp;E11307&amp;D11308&amp;E11308&amp;D11309&amp;E11309&amp;E11310&amp;D11310&amp;" Only")</f>
        <v>#REF!</v>
      </c>
      <c r="B11296" s="255"/>
      <c r="C11296" s="255"/>
      <c r="D11296" s="255"/>
      <c r="E11296" s="35"/>
      <c r="F11296" s="36"/>
      <c r="J11296" s="31">
        <v>2</v>
      </c>
      <c r="K11296" s="33" t="s">
        <v>52</v>
      </c>
      <c r="L11296" s="31" t="s">
        <v>53</v>
      </c>
    </row>
    <row r="11297" spans="1:12">
      <c r="A11297" s="37"/>
      <c r="B11297" s="37"/>
      <c r="C11297" s="37"/>
      <c r="D11297" s="37"/>
      <c r="E11297" s="35"/>
      <c r="F11297" s="36"/>
      <c r="J11297" s="31">
        <v>3</v>
      </c>
      <c r="K11297" s="33" t="s">
        <v>54</v>
      </c>
      <c r="L11297" s="31" t="s">
        <v>55</v>
      </c>
    </row>
    <row r="11298" spans="1:12">
      <c r="A11298" s="37"/>
      <c r="B11298" s="37"/>
      <c r="C11298" s="37"/>
      <c r="D11298" s="37"/>
      <c r="J11298" s="31">
        <v>4</v>
      </c>
      <c r="K11298" s="33" t="s">
        <v>56</v>
      </c>
      <c r="L11298" s="31" t="s">
        <v>57</v>
      </c>
    </row>
    <row r="11299" spans="1:12">
      <c r="A11299" s="255" t="e">
        <f>TRIM(D11314&amp;E11314&amp;D11315&amp;E11315&amp;D11316&amp;E11316&amp;D11317&amp;E11317&amp;D11318&amp;E11318&amp;D11319&amp;E11319&amp;D11320&amp;E11320&amp;" Rupiah")</f>
        <v>#REF!</v>
      </c>
      <c r="B11299" s="255"/>
      <c r="C11299" s="255"/>
      <c r="D11299" s="255"/>
      <c r="E11299" s="35"/>
      <c r="F11299" s="36"/>
      <c r="J11299" s="31">
        <v>5</v>
      </c>
      <c r="K11299" s="33" t="s">
        <v>58</v>
      </c>
      <c r="L11299" s="31" t="s">
        <v>59</v>
      </c>
    </row>
    <row r="11300" spans="1:12">
      <c r="A11300" s="35"/>
      <c r="B11300" s="35"/>
      <c r="C11300" s="35"/>
      <c r="D11300" s="35"/>
      <c r="E11300" s="35"/>
      <c r="F11300" s="36"/>
      <c r="J11300" s="31">
        <v>6</v>
      </c>
      <c r="K11300" s="33" t="s">
        <v>60</v>
      </c>
      <c r="L11300" s="31" t="s">
        <v>61</v>
      </c>
    </row>
    <row r="11301" spans="1:12">
      <c r="J11301" s="31">
        <v>7</v>
      </c>
      <c r="K11301" s="33" t="s">
        <v>62</v>
      </c>
      <c r="L11301" s="31" t="s">
        <v>63</v>
      </c>
    </row>
    <row r="11302" spans="1:12">
      <c r="J11302" s="31">
        <v>8</v>
      </c>
      <c r="K11302" s="33" t="s">
        <v>64</v>
      </c>
      <c r="L11302" s="31" t="s">
        <v>65</v>
      </c>
    </row>
    <row r="11303" spans="1:12">
      <c r="A11303" s="38" t="s">
        <v>66</v>
      </c>
      <c r="J11303" s="31">
        <v>9</v>
      </c>
      <c r="K11303" s="33" t="s">
        <v>67</v>
      </c>
      <c r="L11303" s="31" t="s">
        <v>68</v>
      </c>
    </row>
    <row r="11304" spans="1:12">
      <c r="A11304" s="31" t="s">
        <v>69</v>
      </c>
      <c r="B11304" s="39" t="e">
        <f>TRUNC(A11292/100000000)</f>
        <v>#REF!</v>
      </c>
      <c r="C11304" s="31" t="e">
        <f>B11304*100000000</f>
        <v>#REF!</v>
      </c>
      <c r="D11304" s="31" t="e">
        <f t="shared" ref="D11304:D11310" si="1090">IF(B11304&lt;1,"",VLOOKUP(B11304,$J$3:$K$102,2))</f>
        <v>#REF!</v>
      </c>
      <c r="E11304" s="31" t="e">
        <f>IF(B11304&lt;1,"",IF(B11304&gt;1," Hundreds "," Hundred "))</f>
        <v>#REF!</v>
      </c>
      <c r="J11304" s="31">
        <v>10</v>
      </c>
      <c r="K11304" s="33" t="s">
        <v>70</v>
      </c>
      <c r="L11304" s="31" t="s">
        <v>71</v>
      </c>
    </row>
    <row r="11305" spans="1:12">
      <c r="A11305" s="31" t="s">
        <v>72</v>
      </c>
      <c r="B11305" s="39" t="e">
        <f>TRUNC((A11292-C11304)/1000000)</f>
        <v>#REF!</v>
      </c>
      <c r="C11305" s="31" t="e">
        <f>B11305*1000000</f>
        <v>#REF!</v>
      </c>
      <c r="D11305" s="31" t="e">
        <f t="shared" si="1090"/>
        <v>#REF!</v>
      </c>
      <c r="E11305" s="31" t="e">
        <f>IF(B11304+B11305=0,"",IF(B11305=1," Million "," Millions "))</f>
        <v>#REF!</v>
      </c>
      <c r="J11305" s="31">
        <v>11</v>
      </c>
      <c r="K11305" s="33" t="s">
        <v>73</v>
      </c>
      <c r="L11305" s="31" t="s">
        <v>74</v>
      </c>
    </row>
    <row r="11306" spans="1:12">
      <c r="A11306" s="31" t="s">
        <v>75</v>
      </c>
      <c r="B11306" s="39" t="e">
        <f>TRUNC((A11292-SUM(C11304:C11305))/100000)</f>
        <v>#REF!</v>
      </c>
      <c r="C11306" s="31" t="e">
        <f>B11306*100000</f>
        <v>#REF!</v>
      </c>
      <c r="D11306" s="31" t="e">
        <f t="shared" si="1090"/>
        <v>#REF!</v>
      </c>
      <c r="E11306" s="31" t="e">
        <f>IF(B11306&lt;1,"",IF(B11306&gt;1," Hundreds "," Hundred "))</f>
        <v>#REF!</v>
      </c>
      <c r="J11306" s="31">
        <v>12</v>
      </c>
      <c r="K11306" s="33" t="s">
        <v>76</v>
      </c>
      <c r="L11306" s="31" t="str">
        <f t="shared" ref="L11306:L11313" si="1091">L11296&amp;" Belas"</f>
        <v>Dua Belas</v>
      </c>
    </row>
    <row r="11307" spans="1:12">
      <c r="A11307" s="33" t="s">
        <v>77</v>
      </c>
      <c r="B11307" s="40" t="e">
        <f>TRUNC((A11292-SUM(C11304:C11306))/1000)</f>
        <v>#REF!</v>
      </c>
      <c r="C11307" s="31" t="e">
        <f>B11307*1000</f>
        <v>#REF!</v>
      </c>
      <c r="D11307" s="31" t="e">
        <f t="shared" si="1090"/>
        <v>#REF!</v>
      </c>
      <c r="E11307" s="31" t="e">
        <f>IF(B11306+B11307=0,"",IF(B11307=1," Thousand "," Thousands "))</f>
        <v>#REF!</v>
      </c>
      <c r="J11307" s="31">
        <v>13</v>
      </c>
      <c r="K11307" s="33" t="s">
        <v>78</v>
      </c>
      <c r="L11307" s="31" t="str">
        <f t="shared" si="1091"/>
        <v>Tiga Belas</v>
      </c>
    </row>
    <row r="11308" spans="1:12">
      <c r="A11308" s="33" t="s">
        <v>79</v>
      </c>
      <c r="B11308" s="40" t="e">
        <f>TRUNC((A11292-SUM(C11304:C11307))/100)</f>
        <v>#REF!</v>
      </c>
      <c r="C11308" s="31" t="e">
        <f>B11308*100</f>
        <v>#REF!</v>
      </c>
      <c r="D11308" s="31" t="e">
        <f t="shared" si="1090"/>
        <v>#REF!</v>
      </c>
      <c r="E11308" s="31" t="e">
        <f>IF(B11308&lt;1,"",IF(B11308&gt;1," Hundreds "," Hundred "))</f>
        <v>#REF!</v>
      </c>
      <c r="J11308" s="31">
        <v>14</v>
      </c>
      <c r="K11308" s="33" t="s">
        <v>80</v>
      </c>
      <c r="L11308" s="31" t="str">
        <f t="shared" si="1091"/>
        <v>Empat Belas</v>
      </c>
    </row>
    <row r="11309" spans="1:12">
      <c r="A11309" s="33" t="s">
        <v>81</v>
      </c>
      <c r="B11309" s="41" t="e">
        <f>TRUNC((A11292-SUM(C11304:C11308)))</f>
        <v>#REF!</v>
      </c>
      <c r="C11309" s="42" t="e">
        <f>B11309</f>
        <v>#REF!</v>
      </c>
      <c r="D11309" s="31" t="e">
        <f t="shared" si="1090"/>
        <v>#REF!</v>
      </c>
      <c r="E11309" s="31" t="e">
        <f>IF(SUM(C11304:C11309)&lt;1,"",IF(B11310&lt;1,""," And "))</f>
        <v>#REF!</v>
      </c>
      <c r="J11309" s="31">
        <v>15</v>
      </c>
      <c r="K11309" s="33" t="s">
        <v>82</v>
      </c>
      <c r="L11309" s="31" t="str">
        <f t="shared" si="1091"/>
        <v>Lima Belas</v>
      </c>
    </row>
    <row r="11310" spans="1:12">
      <c r="A11310" s="33" t="s">
        <v>83</v>
      </c>
      <c r="B11310" s="40" t="e">
        <f>ROUND(A11292-SUM(C11304:C11309),2)*100</f>
        <v>#REF!</v>
      </c>
      <c r="D11310" s="43" t="e">
        <f t="shared" si="1090"/>
        <v>#REF!</v>
      </c>
      <c r="E11310" s="31" t="e">
        <f>IF(B11310&lt;1,"",IF(B11310=1," Cent "," Cents "))</f>
        <v>#REF!</v>
      </c>
      <c r="J11310" s="31">
        <v>16</v>
      </c>
      <c r="K11310" s="33" t="s">
        <v>84</v>
      </c>
      <c r="L11310" s="31" t="str">
        <f t="shared" si="1091"/>
        <v>Enam Belas</v>
      </c>
    </row>
    <row r="11311" spans="1:12">
      <c r="J11311" s="31">
        <v>17</v>
      </c>
      <c r="K11311" s="33" t="s">
        <v>85</v>
      </c>
      <c r="L11311" s="31" t="str">
        <f t="shared" si="1091"/>
        <v>Tujuh Belas</v>
      </c>
    </row>
    <row r="11312" spans="1:12">
      <c r="A11312" s="44"/>
      <c r="J11312" s="31">
        <v>18</v>
      </c>
      <c r="K11312" s="33" t="s">
        <v>86</v>
      </c>
      <c r="L11312" s="31" t="str">
        <f t="shared" si="1091"/>
        <v>Delapan Belas</v>
      </c>
    </row>
    <row r="11313" spans="1:12">
      <c r="A11313" s="38" t="s">
        <v>87</v>
      </c>
      <c r="J11313" s="31">
        <v>19</v>
      </c>
      <c r="K11313" s="33" t="s">
        <v>88</v>
      </c>
      <c r="L11313" s="31" t="str">
        <f t="shared" si="1091"/>
        <v>Sembilan Belas</v>
      </c>
    </row>
    <row r="11314" spans="1:12">
      <c r="A11314" s="31" t="s">
        <v>69</v>
      </c>
      <c r="B11314" s="39" t="e">
        <f>TRUNC(A11292/100000000)</f>
        <v>#REF!</v>
      </c>
      <c r="C11314" s="31" t="e">
        <f>B11314*100000000</f>
        <v>#REF!</v>
      </c>
      <c r="D11314" s="31" t="e">
        <f>IF(B11314&lt;1,"",IF(B11314=1,"",VLOOKUP(B11314,$J$3:$L$102,3)))</f>
        <v>#REF!</v>
      </c>
      <c r="E11314" s="31" t="e">
        <f>IF(B11314&lt;1,"",IF(B11314=1,"Seratus "," Ratus "))</f>
        <v>#REF!</v>
      </c>
      <c r="J11314" s="31">
        <v>20</v>
      </c>
      <c r="K11314" s="33" t="s">
        <v>89</v>
      </c>
      <c r="L11314" s="31" t="s">
        <v>90</v>
      </c>
    </row>
    <row r="11315" spans="1:12">
      <c r="A11315" s="31" t="s">
        <v>72</v>
      </c>
      <c r="B11315" s="39" t="e">
        <f>TRUNC((A11292-C11314)/1000000)</f>
        <v>#REF!</v>
      </c>
      <c r="C11315" s="31" t="e">
        <f>B11315*1000000</f>
        <v>#REF!</v>
      </c>
      <c r="D11315" s="31" t="e">
        <f>IF(B11315&lt;1,"",VLOOKUP(B11315,$J$3:$L$102,3))</f>
        <v>#REF!</v>
      </c>
      <c r="E11315" s="31" t="e">
        <f>IF(B11314+B11315=0,""," Juta ")</f>
        <v>#REF!</v>
      </c>
      <c r="J11315" s="31">
        <v>21</v>
      </c>
      <c r="K11315" s="33" t="s">
        <v>91</v>
      </c>
      <c r="L11315" s="31" t="str">
        <f t="shared" ref="L11315:L11323" si="1092">$L$23&amp;" "&amp;L11295</f>
        <v>Dua Puluh Satu</v>
      </c>
    </row>
    <row r="11316" spans="1:12">
      <c r="A11316" s="31" t="s">
        <v>75</v>
      </c>
      <c r="B11316" s="39" t="e">
        <f>TRUNC((A11292-SUM(C11314:C11315))/100000)</f>
        <v>#REF!</v>
      </c>
      <c r="C11316" s="31" t="e">
        <f>B11316*100000</f>
        <v>#REF!</v>
      </c>
      <c r="D11316" s="31" t="e">
        <f>IF(B11316&lt;1,"",IF(B11316=1,"",VLOOKUP(B11316,$J$3:$L$102,3)))</f>
        <v>#REF!</v>
      </c>
      <c r="E11316" s="31" t="e">
        <f>IF(B11316&lt;1,"",IF(B11316=1," Seratus "," Ratus "))</f>
        <v>#REF!</v>
      </c>
      <c r="J11316" s="31">
        <v>22</v>
      </c>
      <c r="K11316" s="33" t="s">
        <v>92</v>
      </c>
      <c r="L11316" s="31" t="str">
        <f t="shared" si="1092"/>
        <v>Dua Puluh Dua</v>
      </c>
    </row>
    <row r="11317" spans="1:12">
      <c r="A11317" s="33" t="s">
        <v>77</v>
      </c>
      <c r="B11317" s="40" t="e">
        <f>TRUNC((A11292-SUM(C11314:C11316))/1000)</f>
        <v>#REF!</v>
      </c>
      <c r="C11317" s="31" t="e">
        <f>B11317*1000</f>
        <v>#REF!</v>
      </c>
      <c r="D11317" s="31" t="e">
        <f>IF(B11317&lt;1,"",IF(B11317=1,"",VLOOKUP(B11317,$J$3:$L$102,3)))</f>
        <v>#REF!</v>
      </c>
      <c r="E11317" s="31" t="e">
        <f>IF(B11316+B11317&lt;1,"",IF(B11317=1," Seribu "," Ribu "))</f>
        <v>#REF!</v>
      </c>
      <c r="J11317" s="31">
        <v>23</v>
      </c>
      <c r="K11317" s="33" t="s">
        <v>93</v>
      </c>
      <c r="L11317" s="31" t="str">
        <f t="shared" si="1092"/>
        <v>Dua Puluh Tiga</v>
      </c>
    </row>
    <row r="11318" spans="1:12">
      <c r="A11318" s="33" t="s">
        <v>79</v>
      </c>
      <c r="B11318" s="40" t="e">
        <f>TRUNC((A11292-SUM(C11314:C11317))/100)</f>
        <v>#REF!</v>
      </c>
      <c r="C11318" s="31" t="e">
        <f>B11318*100</f>
        <v>#REF!</v>
      </c>
      <c r="D11318" s="31" t="e">
        <f>IF(B11318&lt;1,"",IF(B11318=1,"",VLOOKUP(B11318,$J$3:$L$102,3)))</f>
        <v>#REF!</v>
      </c>
      <c r="E11318" s="31" t="e">
        <f>IF(B11318&lt;1,"",IF(B11318=1," Seratus "," Ratus "))</f>
        <v>#REF!</v>
      </c>
      <c r="J11318" s="31">
        <v>24</v>
      </c>
      <c r="K11318" s="33" t="s">
        <v>94</v>
      </c>
      <c r="L11318" s="31" t="str">
        <f t="shared" si="1092"/>
        <v>Dua Puluh Empat</v>
      </c>
    </row>
    <row r="11319" spans="1:12">
      <c r="A11319" s="33" t="s">
        <v>81</v>
      </c>
      <c r="B11319" s="41" t="e">
        <f>TRUNC((A11292-SUM(C11314:C11318)))</f>
        <v>#REF!</v>
      </c>
      <c r="C11319" s="42" t="e">
        <f>B11319</f>
        <v>#REF!</v>
      </c>
      <c r="D11319" s="31" t="e">
        <f>IF(B11319&lt;1,"",VLOOKUP(B11319,$J$3:$L$102,3))</f>
        <v>#REF!</v>
      </c>
      <c r="E11319" s="31" t="e">
        <f>IF(SUM(C11314:C11319)&lt;1,"",IF(B11320&lt;1,""," Dan "))</f>
        <v>#REF!</v>
      </c>
      <c r="J11319" s="31">
        <v>25</v>
      </c>
      <c r="K11319" s="33" t="s">
        <v>95</v>
      </c>
      <c r="L11319" s="31" t="str">
        <f t="shared" si="1092"/>
        <v>Dua Puluh Lima</v>
      </c>
    </row>
    <row r="11320" spans="1:12">
      <c r="A11320" s="33" t="s">
        <v>83</v>
      </c>
      <c r="B11320" s="40" t="e">
        <f>ROUND(A11292-SUM(C11314:C11319),2)*100</f>
        <v>#REF!</v>
      </c>
      <c r="D11320" s="31" t="e">
        <f>IF(B11320&lt;1,"",VLOOKUP(B11320,$J$3:$L$102,3))</f>
        <v>#REF!</v>
      </c>
      <c r="E11320" s="31" t="e">
        <f>IF(B11320&lt;1,""," Sen ")</f>
        <v>#REF!</v>
      </c>
      <c r="J11320" s="31">
        <v>26</v>
      </c>
      <c r="K11320" s="33" t="s">
        <v>96</v>
      </c>
      <c r="L11320" s="31" t="str">
        <f t="shared" si="1092"/>
        <v>Dua Puluh Enam</v>
      </c>
    </row>
    <row r="11321" spans="1:12">
      <c r="J11321" s="31">
        <v>27</v>
      </c>
      <c r="K11321" s="33" t="s">
        <v>97</v>
      </c>
      <c r="L11321" s="31" t="str">
        <f t="shared" si="1092"/>
        <v>Dua Puluh Tujuh</v>
      </c>
    </row>
    <row r="11322" spans="1:12">
      <c r="J11322" s="31">
        <v>28</v>
      </c>
      <c r="K11322" s="33" t="s">
        <v>98</v>
      </c>
      <c r="L11322" s="31" t="str">
        <f t="shared" si="1092"/>
        <v>Dua Puluh Delapan</v>
      </c>
    </row>
    <row r="11323" spans="1:12">
      <c r="J11323" s="31">
        <v>29</v>
      </c>
      <c r="K11323" s="33" t="s">
        <v>99</v>
      </c>
      <c r="L11323" s="31" t="str">
        <f t="shared" si="1092"/>
        <v>Dua Puluh Sembilan</v>
      </c>
    </row>
    <row r="11324" spans="1:12">
      <c r="J11324" s="31">
        <v>30</v>
      </c>
      <c r="K11324" s="33" t="s">
        <v>100</v>
      </c>
      <c r="L11324" s="31" t="s">
        <v>101</v>
      </c>
    </row>
    <row r="11325" spans="1:12">
      <c r="J11325" s="31">
        <v>31</v>
      </c>
      <c r="K11325" s="33" t="s">
        <v>102</v>
      </c>
      <c r="L11325" s="31" t="str">
        <f t="shared" ref="L11325:L11333" si="1093">$L$33&amp;" "&amp;L11295</f>
        <v>Tiga Puluh Satu</v>
      </c>
    </row>
    <row r="11326" spans="1:12">
      <c r="J11326" s="31">
        <v>32</v>
      </c>
      <c r="K11326" s="33" t="s">
        <v>103</v>
      </c>
      <c r="L11326" s="31" t="str">
        <f t="shared" si="1093"/>
        <v>Tiga Puluh Dua</v>
      </c>
    </row>
    <row r="11327" spans="1:12">
      <c r="J11327" s="31">
        <v>33</v>
      </c>
      <c r="K11327" s="33" t="s">
        <v>104</v>
      </c>
      <c r="L11327" s="31" t="str">
        <f t="shared" si="1093"/>
        <v>Tiga Puluh Tiga</v>
      </c>
    </row>
    <row r="11328" spans="1:12">
      <c r="J11328" s="31">
        <v>34</v>
      </c>
      <c r="K11328" s="33" t="s">
        <v>105</v>
      </c>
      <c r="L11328" s="31" t="str">
        <f t="shared" si="1093"/>
        <v>Tiga Puluh Empat</v>
      </c>
    </row>
    <row r="11329" spans="1:12">
      <c r="J11329" s="31">
        <v>35</v>
      </c>
      <c r="K11329" s="33" t="s">
        <v>106</v>
      </c>
      <c r="L11329" s="31" t="str">
        <f t="shared" si="1093"/>
        <v>Tiga Puluh Lima</v>
      </c>
    </row>
    <row r="11330" spans="1:12">
      <c r="J11330" s="31">
        <v>36</v>
      </c>
      <c r="K11330" s="33" t="s">
        <v>107</v>
      </c>
      <c r="L11330" s="31" t="str">
        <f t="shared" si="1093"/>
        <v>Tiga Puluh Enam</v>
      </c>
    </row>
    <row r="11331" spans="1:12">
      <c r="J11331" s="31">
        <v>37</v>
      </c>
      <c r="K11331" s="33" t="s">
        <v>108</v>
      </c>
      <c r="L11331" s="31" t="str">
        <f t="shared" si="1093"/>
        <v>Tiga Puluh Tujuh</v>
      </c>
    </row>
    <row r="11332" spans="1:12">
      <c r="J11332" s="31">
        <v>38</v>
      </c>
      <c r="K11332" s="33" t="s">
        <v>109</v>
      </c>
      <c r="L11332" s="31" t="str">
        <f t="shared" si="1093"/>
        <v>Tiga Puluh Delapan</v>
      </c>
    </row>
    <row r="11333" spans="1:12">
      <c r="J11333" s="31">
        <v>39</v>
      </c>
      <c r="K11333" s="33" t="s">
        <v>110</v>
      </c>
      <c r="L11333" s="31" t="str">
        <f t="shared" si="1093"/>
        <v>Tiga Puluh Sembilan</v>
      </c>
    </row>
    <row r="11334" spans="1:12">
      <c r="B11334" s="35"/>
      <c r="C11334" s="35"/>
      <c r="D11334" s="35"/>
      <c r="J11334" s="31">
        <v>40</v>
      </c>
      <c r="K11334" s="33" t="s">
        <v>111</v>
      </c>
      <c r="L11334" s="31" t="s">
        <v>112</v>
      </c>
    </row>
    <row r="11335" spans="1:12">
      <c r="A11335" s="35"/>
      <c r="B11335" s="35"/>
      <c r="C11335" s="35"/>
      <c r="D11335" s="35"/>
      <c r="J11335" s="31">
        <v>41</v>
      </c>
      <c r="K11335" s="33" t="s">
        <v>113</v>
      </c>
      <c r="L11335" s="31" t="str">
        <f t="shared" ref="L11335:L11343" si="1094">$L$43&amp;" "&amp;L11295</f>
        <v>Empat Puluh Satu</v>
      </c>
    </row>
    <row r="11336" spans="1:12">
      <c r="J11336" s="31">
        <v>42</v>
      </c>
      <c r="K11336" s="33" t="s">
        <v>114</v>
      </c>
      <c r="L11336" s="31" t="str">
        <f t="shared" si="1094"/>
        <v>Empat Puluh Dua</v>
      </c>
    </row>
    <row r="11337" spans="1:12">
      <c r="A11337" s="38"/>
      <c r="J11337" s="31">
        <v>43</v>
      </c>
      <c r="K11337" s="33" t="s">
        <v>115</v>
      </c>
      <c r="L11337" s="31" t="str">
        <f t="shared" si="1094"/>
        <v>Empat Puluh Tiga</v>
      </c>
    </row>
    <row r="11338" spans="1:12">
      <c r="J11338" s="31">
        <v>44</v>
      </c>
      <c r="K11338" s="33" t="s">
        <v>116</v>
      </c>
      <c r="L11338" s="31" t="str">
        <f t="shared" si="1094"/>
        <v>Empat Puluh Empat</v>
      </c>
    </row>
    <row r="11339" spans="1:12">
      <c r="J11339" s="31">
        <v>45</v>
      </c>
      <c r="K11339" s="33" t="s">
        <v>117</v>
      </c>
      <c r="L11339" s="31" t="str">
        <f t="shared" si="1094"/>
        <v>Empat Puluh Lima</v>
      </c>
    </row>
    <row r="11340" spans="1:12">
      <c r="J11340" s="31">
        <v>46</v>
      </c>
      <c r="K11340" s="33" t="s">
        <v>118</v>
      </c>
      <c r="L11340" s="31" t="str">
        <f t="shared" si="1094"/>
        <v>Empat Puluh Enam</v>
      </c>
    </row>
    <row r="11341" spans="1:12">
      <c r="J11341" s="31">
        <v>47</v>
      </c>
      <c r="K11341" s="33" t="s">
        <v>119</v>
      </c>
      <c r="L11341" s="31" t="str">
        <f t="shared" si="1094"/>
        <v>Empat Puluh Tujuh</v>
      </c>
    </row>
    <row r="11342" spans="1:12">
      <c r="J11342" s="31">
        <v>48</v>
      </c>
      <c r="K11342" s="33" t="s">
        <v>120</v>
      </c>
      <c r="L11342" s="31" t="str">
        <f t="shared" si="1094"/>
        <v>Empat Puluh Delapan</v>
      </c>
    </row>
    <row r="11343" spans="1:12">
      <c r="J11343" s="31">
        <v>49</v>
      </c>
      <c r="K11343" s="33" t="s">
        <v>121</v>
      </c>
      <c r="L11343" s="31" t="str">
        <f t="shared" si="1094"/>
        <v>Empat Puluh Sembilan</v>
      </c>
    </row>
    <row r="11344" spans="1:12">
      <c r="J11344" s="31">
        <v>50</v>
      </c>
      <c r="K11344" s="33" t="s">
        <v>122</v>
      </c>
      <c r="L11344" s="31" t="s">
        <v>123</v>
      </c>
    </row>
    <row r="11345" spans="10:12">
      <c r="J11345" s="31">
        <v>51</v>
      </c>
      <c r="K11345" s="33" t="s">
        <v>124</v>
      </c>
      <c r="L11345" s="31" t="str">
        <f t="shared" ref="L11345:L11353" si="1095">$L$53&amp;" "&amp;L11295</f>
        <v>Lima Puluh Satu</v>
      </c>
    </row>
    <row r="11346" spans="10:12">
      <c r="J11346" s="31">
        <v>52</v>
      </c>
      <c r="K11346" s="33" t="s">
        <v>125</v>
      </c>
      <c r="L11346" s="31" t="str">
        <f t="shared" si="1095"/>
        <v>Lima Puluh Dua</v>
      </c>
    </row>
    <row r="11347" spans="10:12">
      <c r="J11347" s="31">
        <v>53</v>
      </c>
      <c r="K11347" s="33" t="s">
        <v>126</v>
      </c>
      <c r="L11347" s="31" t="str">
        <f t="shared" si="1095"/>
        <v>Lima Puluh Tiga</v>
      </c>
    </row>
    <row r="11348" spans="10:12">
      <c r="J11348" s="31">
        <v>54</v>
      </c>
      <c r="K11348" s="33" t="s">
        <v>127</v>
      </c>
      <c r="L11348" s="31" t="str">
        <f t="shared" si="1095"/>
        <v>Lima Puluh Empat</v>
      </c>
    </row>
    <row r="11349" spans="10:12">
      <c r="J11349" s="31">
        <v>55</v>
      </c>
      <c r="K11349" s="33" t="s">
        <v>128</v>
      </c>
      <c r="L11349" s="31" t="str">
        <f t="shared" si="1095"/>
        <v>Lima Puluh Lima</v>
      </c>
    </row>
    <row r="11350" spans="10:12">
      <c r="J11350" s="31">
        <v>56</v>
      </c>
      <c r="K11350" s="33" t="s">
        <v>129</v>
      </c>
      <c r="L11350" s="31" t="str">
        <f t="shared" si="1095"/>
        <v>Lima Puluh Enam</v>
      </c>
    </row>
    <row r="11351" spans="10:12">
      <c r="J11351" s="31">
        <v>57</v>
      </c>
      <c r="K11351" s="33" t="s">
        <v>130</v>
      </c>
      <c r="L11351" s="31" t="str">
        <f t="shared" si="1095"/>
        <v>Lima Puluh Tujuh</v>
      </c>
    </row>
    <row r="11352" spans="10:12">
      <c r="J11352" s="31">
        <v>58</v>
      </c>
      <c r="K11352" s="33" t="s">
        <v>131</v>
      </c>
      <c r="L11352" s="31" t="str">
        <f t="shared" si="1095"/>
        <v>Lima Puluh Delapan</v>
      </c>
    </row>
    <row r="11353" spans="10:12">
      <c r="J11353" s="31">
        <v>59</v>
      </c>
      <c r="K11353" s="33" t="s">
        <v>132</v>
      </c>
      <c r="L11353" s="31" t="str">
        <f t="shared" si="1095"/>
        <v>Lima Puluh Sembilan</v>
      </c>
    </row>
    <row r="11354" spans="10:12">
      <c r="J11354" s="31">
        <v>60</v>
      </c>
      <c r="K11354" s="33" t="s">
        <v>133</v>
      </c>
      <c r="L11354" s="31" t="s">
        <v>134</v>
      </c>
    </row>
    <row r="11355" spans="10:12">
      <c r="J11355" s="31">
        <v>61</v>
      </c>
      <c r="K11355" s="33" t="s">
        <v>135</v>
      </c>
      <c r="L11355" s="31" t="str">
        <f t="shared" ref="L11355:L11363" si="1096">$L$63&amp;" "&amp;L11295</f>
        <v>Enam Puluh Satu</v>
      </c>
    </row>
    <row r="11356" spans="10:12">
      <c r="J11356" s="31">
        <v>62</v>
      </c>
      <c r="K11356" s="33" t="s">
        <v>136</v>
      </c>
      <c r="L11356" s="31" t="str">
        <f t="shared" si="1096"/>
        <v>Enam Puluh Dua</v>
      </c>
    </row>
    <row r="11357" spans="10:12">
      <c r="J11357" s="31">
        <v>63</v>
      </c>
      <c r="K11357" s="33" t="s">
        <v>137</v>
      </c>
      <c r="L11357" s="31" t="str">
        <f t="shared" si="1096"/>
        <v>Enam Puluh Tiga</v>
      </c>
    </row>
    <row r="11358" spans="10:12">
      <c r="J11358" s="31">
        <v>64</v>
      </c>
      <c r="K11358" s="33" t="s">
        <v>138</v>
      </c>
      <c r="L11358" s="31" t="str">
        <f t="shared" si="1096"/>
        <v>Enam Puluh Empat</v>
      </c>
    </row>
    <row r="11359" spans="10:12">
      <c r="J11359" s="31">
        <v>65</v>
      </c>
      <c r="K11359" s="33" t="s">
        <v>139</v>
      </c>
      <c r="L11359" s="31" t="str">
        <f t="shared" si="1096"/>
        <v>Enam Puluh Lima</v>
      </c>
    </row>
    <row r="11360" spans="10:12">
      <c r="J11360" s="31">
        <v>66</v>
      </c>
      <c r="K11360" s="33" t="s">
        <v>140</v>
      </c>
      <c r="L11360" s="31" t="str">
        <f t="shared" si="1096"/>
        <v>Enam Puluh Enam</v>
      </c>
    </row>
    <row r="11361" spans="10:12">
      <c r="J11361" s="31">
        <v>67</v>
      </c>
      <c r="K11361" s="33" t="s">
        <v>141</v>
      </c>
      <c r="L11361" s="31" t="str">
        <f t="shared" si="1096"/>
        <v>Enam Puluh Tujuh</v>
      </c>
    </row>
    <row r="11362" spans="10:12">
      <c r="J11362" s="31">
        <v>68</v>
      </c>
      <c r="K11362" s="33" t="s">
        <v>142</v>
      </c>
      <c r="L11362" s="31" t="str">
        <f t="shared" si="1096"/>
        <v>Enam Puluh Delapan</v>
      </c>
    </row>
    <row r="11363" spans="10:12">
      <c r="J11363" s="31">
        <v>69</v>
      </c>
      <c r="K11363" s="33" t="s">
        <v>143</v>
      </c>
      <c r="L11363" s="31" t="str">
        <f t="shared" si="1096"/>
        <v>Enam Puluh Sembilan</v>
      </c>
    </row>
    <row r="11364" spans="10:12">
      <c r="J11364" s="31">
        <v>70</v>
      </c>
      <c r="K11364" s="33" t="s">
        <v>144</v>
      </c>
      <c r="L11364" s="31" t="s">
        <v>145</v>
      </c>
    </row>
    <row r="11365" spans="10:12">
      <c r="J11365" s="31">
        <v>71</v>
      </c>
      <c r="K11365" s="33" t="s">
        <v>146</v>
      </c>
      <c r="L11365" s="31" t="str">
        <f t="shared" ref="L11365:L11373" si="1097">$L$73&amp;" "&amp;L11295</f>
        <v>Tujuh Puluh Satu</v>
      </c>
    </row>
    <row r="11366" spans="10:12">
      <c r="J11366" s="31">
        <v>72</v>
      </c>
      <c r="K11366" s="33" t="s">
        <v>147</v>
      </c>
      <c r="L11366" s="31" t="str">
        <f t="shared" si="1097"/>
        <v>Tujuh Puluh Dua</v>
      </c>
    </row>
    <row r="11367" spans="10:12">
      <c r="J11367" s="31">
        <v>73</v>
      </c>
      <c r="K11367" s="33" t="s">
        <v>148</v>
      </c>
      <c r="L11367" s="31" t="str">
        <f t="shared" si="1097"/>
        <v>Tujuh Puluh Tiga</v>
      </c>
    </row>
    <row r="11368" spans="10:12">
      <c r="J11368" s="31">
        <v>74</v>
      </c>
      <c r="K11368" s="33" t="s">
        <v>149</v>
      </c>
      <c r="L11368" s="31" t="str">
        <f t="shared" si="1097"/>
        <v>Tujuh Puluh Empat</v>
      </c>
    </row>
    <row r="11369" spans="10:12">
      <c r="J11369" s="31">
        <v>75</v>
      </c>
      <c r="K11369" s="33" t="s">
        <v>150</v>
      </c>
      <c r="L11369" s="31" t="str">
        <f t="shared" si="1097"/>
        <v>Tujuh Puluh Lima</v>
      </c>
    </row>
    <row r="11370" spans="10:12">
      <c r="J11370" s="31">
        <v>76</v>
      </c>
      <c r="K11370" s="33" t="s">
        <v>151</v>
      </c>
      <c r="L11370" s="31" t="str">
        <f t="shared" si="1097"/>
        <v>Tujuh Puluh Enam</v>
      </c>
    </row>
    <row r="11371" spans="10:12">
      <c r="J11371" s="31">
        <v>77</v>
      </c>
      <c r="K11371" s="33" t="s">
        <v>152</v>
      </c>
      <c r="L11371" s="31" t="str">
        <f t="shared" si="1097"/>
        <v>Tujuh Puluh Tujuh</v>
      </c>
    </row>
    <row r="11372" spans="10:12">
      <c r="J11372" s="31">
        <v>78</v>
      </c>
      <c r="K11372" s="33" t="s">
        <v>153</v>
      </c>
      <c r="L11372" s="31" t="str">
        <f t="shared" si="1097"/>
        <v>Tujuh Puluh Delapan</v>
      </c>
    </row>
    <row r="11373" spans="10:12">
      <c r="J11373" s="31">
        <v>79</v>
      </c>
      <c r="K11373" s="33" t="s">
        <v>154</v>
      </c>
      <c r="L11373" s="31" t="str">
        <f t="shared" si="1097"/>
        <v>Tujuh Puluh Sembilan</v>
      </c>
    </row>
    <row r="11374" spans="10:12">
      <c r="J11374" s="31">
        <v>80</v>
      </c>
      <c r="K11374" s="33" t="s">
        <v>155</v>
      </c>
      <c r="L11374" s="31" t="s">
        <v>156</v>
      </c>
    </row>
    <row r="11375" spans="10:12">
      <c r="J11375" s="31">
        <v>81</v>
      </c>
      <c r="K11375" s="33" t="s">
        <v>157</v>
      </c>
      <c r="L11375" s="31" t="str">
        <f t="shared" ref="L11375:L11383" si="1098">$L$83&amp;" "&amp;L11295</f>
        <v>Delapan Puluh Satu</v>
      </c>
    </row>
    <row r="11376" spans="10:12">
      <c r="J11376" s="31">
        <v>82</v>
      </c>
      <c r="K11376" s="33" t="s">
        <v>158</v>
      </c>
      <c r="L11376" s="31" t="str">
        <f t="shared" si="1098"/>
        <v>Delapan Puluh Dua</v>
      </c>
    </row>
    <row r="11377" spans="10:12">
      <c r="J11377" s="31">
        <v>83</v>
      </c>
      <c r="K11377" s="33" t="s">
        <v>159</v>
      </c>
      <c r="L11377" s="31" t="str">
        <f t="shared" si="1098"/>
        <v>Delapan Puluh Tiga</v>
      </c>
    </row>
    <row r="11378" spans="10:12">
      <c r="J11378" s="31">
        <v>84</v>
      </c>
      <c r="K11378" s="33" t="s">
        <v>160</v>
      </c>
      <c r="L11378" s="31" t="str">
        <f t="shared" si="1098"/>
        <v>Delapan Puluh Empat</v>
      </c>
    </row>
    <row r="11379" spans="10:12">
      <c r="J11379" s="31">
        <v>85</v>
      </c>
      <c r="K11379" s="33" t="s">
        <v>161</v>
      </c>
      <c r="L11379" s="31" t="str">
        <f t="shared" si="1098"/>
        <v>Delapan Puluh Lima</v>
      </c>
    </row>
    <row r="11380" spans="10:12">
      <c r="J11380" s="31">
        <v>86</v>
      </c>
      <c r="K11380" s="33" t="s">
        <v>162</v>
      </c>
      <c r="L11380" s="31" t="str">
        <f t="shared" si="1098"/>
        <v>Delapan Puluh Enam</v>
      </c>
    </row>
    <row r="11381" spans="10:12">
      <c r="J11381" s="31">
        <v>87</v>
      </c>
      <c r="K11381" s="33" t="s">
        <v>163</v>
      </c>
      <c r="L11381" s="31" t="str">
        <f t="shared" si="1098"/>
        <v>Delapan Puluh Tujuh</v>
      </c>
    </row>
    <row r="11382" spans="10:12">
      <c r="J11382" s="31">
        <v>88</v>
      </c>
      <c r="K11382" s="33" t="s">
        <v>164</v>
      </c>
      <c r="L11382" s="31" t="str">
        <f t="shared" si="1098"/>
        <v>Delapan Puluh Delapan</v>
      </c>
    </row>
    <row r="11383" spans="10:12">
      <c r="J11383" s="31">
        <v>89</v>
      </c>
      <c r="K11383" s="33" t="s">
        <v>165</v>
      </c>
      <c r="L11383" s="31" t="str">
        <f t="shared" si="1098"/>
        <v>Delapan Puluh Sembilan</v>
      </c>
    </row>
    <row r="11384" spans="10:12">
      <c r="J11384" s="31">
        <v>90</v>
      </c>
      <c r="K11384" s="33" t="s">
        <v>166</v>
      </c>
      <c r="L11384" s="31" t="s">
        <v>167</v>
      </c>
    </row>
    <row r="11385" spans="10:12">
      <c r="J11385" s="31">
        <v>91</v>
      </c>
      <c r="K11385" s="33" t="s">
        <v>168</v>
      </c>
      <c r="L11385" s="31" t="str">
        <f t="shared" ref="L11385:L11393" si="1099">$L$93&amp;" "&amp;L11295</f>
        <v>Sembilan Puluh Satu</v>
      </c>
    </row>
    <row r="11386" spans="10:12">
      <c r="J11386" s="31">
        <v>92</v>
      </c>
      <c r="K11386" s="33" t="s">
        <v>169</v>
      </c>
      <c r="L11386" s="31" t="str">
        <f t="shared" si="1099"/>
        <v>Sembilan Puluh Dua</v>
      </c>
    </row>
    <row r="11387" spans="10:12">
      <c r="J11387" s="31">
        <v>93</v>
      </c>
      <c r="K11387" s="33" t="s">
        <v>170</v>
      </c>
      <c r="L11387" s="31" t="str">
        <f t="shared" si="1099"/>
        <v>Sembilan Puluh Tiga</v>
      </c>
    </row>
    <row r="11388" spans="10:12">
      <c r="J11388" s="31">
        <v>94</v>
      </c>
      <c r="K11388" s="33" t="s">
        <v>171</v>
      </c>
      <c r="L11388" s="31" t="str">
        <f t="shared" si="1099"/>
        <v>Sembilan Puluh Empat</v>
      </c>
    </row>
    <row r="11389" spans="10:12">
      <c r="J11389" s="31">
        <v>95</v>
      </c>
      <c r="K11389" s="33" t="s">
        <v>172</v>
      </c>
      <c r="L11389" s="31" t="str">
        <f t="shared" si="1099"/>
        <v>Sembilan Puluh Lima</v>
      </c>
    </row>
    <row r="11390" spans="10:12">
      <c r="J11390" s="31">
        <v>96</v>
      </c>
      <c r="K11390" s="33" t="s">
        <v>173</v>
      </c>
      <c r="L11390" s="31" t="str">
        <f t="shared" si="1099"/>
        <v>Sembilan Puluh Enam</v>
      </c>
    </row>
    <row r="11391" spans="10:12">
      <c r="J11391" s="31">
        <v>97</v>
      </c>
      <c r="K11391" s="33" t="s">
        <v>174</v>
      </c>
      <c r="L11391" s="31" t="str">
        <f t="shared" si="1099"/>
        <v>Sembilan Puluh Tujuh</v>
      </c>
    </row>
    <row r="11392" spans="10:12">
      <c r="J11392" s="31">
        <v>98</v>
      </c>
      <c r="K11392" s="33" t="s">
        <v>175</v>
      </c>
      <c r="L11392" s="31" t="str">
        <f t="shared" si="1099"/>
        <v>Sembilan Puluh Delapan</v>
      </c>
    </row>
    <row r="11393" spans="1:12">
      <c r="J11393" s="31">
        <v>99</v>
      </c>
      <c r="K11393" s="33" t="s">
        <v>176</v>
      </c>
      <c r="L11393" s="31" t="str">
        <f t="shared" si="1099"/>
        <v>Sembilan Puluh Sembilan</v>
      </c>
    </row>
    <row r="11395" spans="1:12">
      <c r="A11395" s="30" t="e">
        <f>#REF!</f>
        <v>#REF!</v>
      </c>
      <c r="C11395" s="31" t="s">
        <v>344</v>
      </c>
    </row>
    <row r="11396" spans="1:12">
      <c r="A11396" s="32"/>
    </row>
    <row r="11397" spans="1:12">
      <c r="J11397" s="31">
        <v>0</v>
      </c>
      <c r="K11397" s="33" t="s">
        <v>48</v>
      </c>
      <c r="L11397" s="31" t="s">
        <v>49</v>
      </c>
    </row>
    <row r="11398" spans="1:12">
      <c r="A11398" s="34"/>
      <c r="J11398" s="31">
        <v>1</v>
      </c>
      <c r="K11398" s="33" t="s">
        <v>50</v>
      </c>
      <c r="L11398" s="31" t="s">
        <v>51</v>
      </c>
    </row>
    <row r="11399" spans="1:12">
      <c r="A11399" s="255" t="e">
        <f>TRIM(D11407&amp;E11407&amp;D11408&amp;E11408&amp;D11409&amp;E11409&amp;D11410&amp;E11410&amp;D11411&amp;E11411&amp;D11412&amp;E11412&amp;E11413&amp;D11413&amp;" Only")</f>
        <v>#REF!</v>
      </c>
      <c r="B11399" s="255"/>
      <c r="C11399" s="255"/>
      <c r="D11399" s="255"/>
      <c r="E11399" s="35"/>
      <c r="F11399" s="36"/>
      <c r="J11399" s="31">
        <v>2</v>
      </c>
      <c r="K11399" s="33" t="s">
        <v>52</v>
      </c>
      <c r="L11399" s="31" t="s">
        <v>53</v>
      </c>
    </row>
    <row r="11400" spans="1:12">
      <c r="A11400" s="37"/>
      <c r="B11400" s="37"/>
      <c r="C11400" s="37"/>
      <c r="D11400" s="37"/>
      <c r="E11400" s="35"/>
      <c r="F11400" s="36"/>
      <c r="J11400" s="31">
        <v>3</v>
      </c>
      <c r="K11400" s="33" t="s">
        <v>54</v>
      </c>
      <c r="L11400" s="31" t="s">
        <v>55</v>
      </c>
    </row>
    <row r="11401" spans="1:12">
      <c r="A11401" s="37"/>
      <c r="B11401" s="37"/>
      <c r="C11401" s="37"/>
      <c r="D11401" s="37"/>
      <c r="J11401" s="31">
        <v>4</v>
      </c>
      <c r="K11401" s="33" t="s">
        <v>56</v>
      </c>
      <c r="L11401" s="31" t="s">
        <v>57</v>
      </c>
    </row>
    <row r="11402" spans="1:12">
      <c r="A11402" s="255" t="e">
        <f>TRIM(D11417&amp;E11417&amp;D11418&amp;E11418&amp;D11419&amp;E11419&amp;D11420&amp;E11420&amp;D11421&amp;E11421&amp;D11422&amp;E11422&amp;D11423&amp;E11423&amp;" Rupiah")</f>
        <v>#REF!</v>
      </c>
      <c r="B11402" s="255"/>
      <c r="C11402" s="255"/>
      <c r="D11402" s="255"/>
      <c r="E11402" s="35"/>
      <c r="F11402" s="36"/>
      <c r="J11402" s="31">
        <v>5</v>
      </c>
      <c r="K11402" s="33" t="s">
        <v>58</v>
      </c>
      <c r="L11402" s="31" t="s">
        <v>59</v>
      </c>
    </row>
    <row r="11403" spans="1:12">
      <c r="A11403" s="35"/>
      <c r="B11403" s="35"/>
      <c r="C11403" s="35"/>
      <c r="D11403" s="35"/>
      <c r="E11403" s="35"/>
      <c r="F11403" s="36"/>
      <c r="J11403" s="31">
        <v>6</v>
      </c>
      <c r="K11403" s="33" t="s">
        <v>60</v>
      </c>
      <c r="L11403" s="31" t="s">
        <v>61</v>
      </c>
    </row>
    <row r="11404" spans="1:12">
      <c r="J11404" s="31">
        <v>7</v>
      </c>
      <c r="K11404" s="33" t="s">
        <v>62</v>
      </c>
      <c r="L11404" s="31" t="s">
        <v>63</v>
      </c>
    </row>
    <row r="11405" spans="1:12">
      <c r="J11405" s="31">
        <v>8</v>
      </c>
      <c r="K11405" s="33" t="s">
        <v>64</v>
      </c>
      <c r="L11405" s="31" t="s">
        <v>65</v>
      </c>
    </row>
    <row r="11406" spans="1:12">
      <c r="A11406" s="38" t="s">
        <v>66</v>
      </c>
      <c r="J11406" s="31">
        <v>9</v>
      </c>
      <c r="K11406" s="33" t="s">
        <v>67</v>
      </c>
      <c r="L11406" s="31" t="s">
        <v>68</v>
      </c>
    </row>
    <row r="11407" spans="1:12">
      <c r="A11407" s="31" t="s">
        <v>69</v>
      </c>
      <c r="B11407" s="39" t="e">
        <f>TRUNC(A11395/100000000)</f>
        <v>#REF!</v>
      </c>
      <c r="C11407" s="31" t="e">
        <f>B11407*100000000</f>
        <v>#REF!</v>
      </c>
      <c r="D11407" s="31" t="e">
        <f t="shared" ref="D11407:D11413" si="1100">IF(B11407&lt;1,"",VLOOKUP(B11407,$J$3:$K$102,2))</f>
        <v>#REF!</v>
      </c>
      <c r="E11407" s="31" t="e">
        <f>IF(B11407&lt;1,"",IF(B11407&gt;1," Hundreds "," Hundred "))</f>
        <v>#REF!</v>
      </c>
      <c r="J11407" s="31">
        <v>10</v>
      </c>
      <c r="K11407" s="33" t="s">
        <v>70</v>
      </c>
      <c r="L11407" s="31" t="s">
        <v>71</v>
      </c>
    </row>
    <row r="11408" spans="1:12">
      <c r="A11408" s="31" t="s">
        <v>72</v>
      </c>
      <c r="B11408" s="39" t="e">
        <f>TRUNC((A11395-C11407)/1000000)</f>
        <v>#REF!</v>
      </c>
      <c r="C11408" s="31" t="e">
        <f>B11408*1000000</f>
        <v>#REF!</v>
      </c>
      <c r="D11408" s="31" t="e">
        <f t="shared" si="1100"/>
        <v>#REF!</v>
      </c>
      <c r="E11408" s="31" t="e">
        <f>IF(B11407+B11408=0,"",IF(B11408=1," Million "," Millions "))</f>
        <v>#REF!</v>
      </c>
      <c r="J11408" s="31">
        <v>11</v>
      </c>
      <c r="K11408" s="33" t="s">
        <v>73</v>
      </c>
      <c r="L11408" s="31" t="s">
        <v>74</v>
      </c>
    </row>
    <row r="11409" spans="1:12">
      <c r="A11409" s="31" t="s">
        <v>75</v>
      </c>
      <c r="B11409" s="39" t="e">
        <f>TRUNC((A11395-SUM(C11407:C11408))/100000)</f>
        <v>#REF!</v>
      </c>
      <c r="C11409" s="31" t="e">
        <f>B11409*100000</f>
        <v>#REF!</v>
      </c>
      <c r="D11409" s="31" t="e">
        <f t="shared" si="1100"/>
        <v>#REF!</v>
      </c>
      <c r="E11409" s="31" t="e">
        <f>IF(B11409&lt;1,"",IF(B11409&gt;1," Hundreds "," Hundred "))</f>
        <v>#REF!</v>
      </c>
      <c r="J11409" s="31">
        <v>12</v>
      </c>
      <c r="K11409" s="33" t="s">
        <v>76</v>
      </c>
      <c r="L11409" s="31" t="str">
        <f t="shared" ref="L11409:L11416" si="1101">L11399&amp;" Belas"</f>
        <v>Dua Belas</v>
      </c>
    </row>
    <row r="11410" spans="1:12">
      <c r="A11410" s="33" t="s">
        <v>77</v>
      </c>
      <c r="B11410" s="40" t="e">
        <f>TRUNC((A11395-SUM(C11407:C11409))/1000)</f>
        <v>#REF!</v>
      </c>
      <c r="C11410" s="31" t="e">
        <f>B11410*1000</f>
        <v>#REF!</v>
      </c>
      <c r="D11410" s="31" t="e">
        <f t="shared" si="1100"/>
        <v>#REF!</v>
      </c>
      <c r="E11410" s="31" t="e">
        <f>IF(B11409+B11410=0,"",IF(B11410=1," Thousand "," Thousands "))</f>
        <v>#REF!</v>
      </c>
      <c r="J11410" s="31">
        <v>13</v>
      </c>
      <c r="K11410" s="33" t="s">
        <v>78</v>
      </c>
      <c r="L11410" s="31" t="str">
        <f t="shared" si="1101"/>
        <v>Tiga Belas</v>
      </c>
    </row>
    <row r="11411" spans="1:12">
      <c r="A11411" s="33" t="s">
        <v>79</v>
      </c>
      <c r="B11411" s="40" t="e">
        <f>TRUNC((A11395-SUM(C11407:C11410))/100)</f>
        <v>#REF!</v>
      </c>
      <c r="C11411" s="31" t="e">
        <f>B11411*100</f>
        <v>#REF!</v>
      </c>
      <c r="D11411" s="31" t="e">
        <f t="shared" si="1100"/>
        <v>#REF!</v>
      </c>
      <c r="E11411" s="31" t="e">
        <f>IF(B11411&lt;1,"",IF(B11411&gt;1," Hundreds "," Hundred "))</f>
        <v>#REF!</v>
      </c>
      <c r="J11411" s="31">
        <v>14</v>
      </c>
      <c r="K11411" s="33" t="s">
        <v>80</v>
      </c>
      <c r="L11411" s="31" t="str">
        <f t="shared" si="1101"/>
        <v>Empat Belas</v>
      </c>
    </row>
    <row r="11412" spans="1:12">
      <c r="A11412" s="33" t="s">
        <v>81</v>
      </c>
      <c r="B11412" s="41" t="e">
        <f>TRUNC((A11395-SUM(C11407:C11411)))</f>
        <v>#REF!</v>
      </c>
      <c r="C11412" s="42" t="e">
        <f>B11412</f>
        <v>#REF!</v>
      </c>
      <c r="D11412" s="31" t="e">
        <f t="shared" si="1100"/>
        <v>#REF!</v>
      </c>
      <c r="E11412" s="31" t="e">
        <f>IF(SUM(C11407:C11412)&lt;1,"",IF(B11413&lt;1,""," And "))</f>
        <v>#REF!</v>
      </c>
      <c r="J11412" s="31">
        <v>15</v>
      </c>
      <c r="K11412" s="33" t="s">
        <v>82</v>
      </c>
      <c r="L11412" s="31" t="str">
        <f t="shared" si="1101"/>
        <v>Lima Belas</v>
      </c>
    </row>
    <row r="11413" spans="1:12">
      <c r="A11413" s="33" t="s">
        <v>83</v>
      </c>
      <c r="B11413" s="40" t="e">
        <f>ROUND(A11395-SUM(C11407:C11412),2)*100</f>
        <v>#REF!</v>
      </c>
      <c r="D11413" s="43" t="e">
        <f t="shared" si="1100"/>
        <v>#REF!</v>
      </c>
      <c r="E11413" s="31" t="e">
        <f>IF(B11413&lt;1,"",IF(B11413=1," Cent "," Cents "))</f>
        <v>#REF!</v>
      </c>
      <c r="J11413" s="31">
        <v>16</v>
      </c>
      <c r="K11413" s="33" t="s">
        <v>84</v>
      </c>
      <c r="L11413" s="31" t="str">
        <f t="shared" si="1101"/>
        <v>Enam Belas</v>
      </c>
    </row>
    <row r="11414" spans="1:12">
      <c r="J11414" s="31">
        <v>17</v>
      </c>
      <c r="K11414" s="33" t="s">
        <v>85</v>
      </c>
      <c r="L11414" s="31" t="str">
        <f t="shared" si="1101"/>
        <v>Tujuh Belas</v>
      </c>
    </row>
    <row r="11415" spans="1:12">
      <c r="A11415" s="44"/>
      <c r="J11415" s="31">
        <v>18</v>
      </c>
      <c r="K11415" s="33" t="s">
        <v>86</v>
      </c>
      <c r="L11415" s="31" t="str">
        <f t="shared" si="1101"/>
        <v>Delapan Belas</v>
      </c>
    </row>
    <row r="11416" spans="1:12">
      <c r="A11416" s="38" t="s">
        <v>87</v>
      </c>
      <c r="J11416" s="31">
        <v>19</v>
      </c>
      <c r="K11416" s="33" t="s">
        <v>88</v>
      </c>
      <c r="L11416" s="31" t="str">
        <f t="shared" si="1101"/>
        <v>Sembilan Belas</v>
      </c>
    </row>
    <row r="11417" spans="1:12">
      <c r="A11417" s="31" t="s">
        <v>69</v>
      </c>
      <c r="B11417" s="39" t="e">
        <f>TRUNC(A11395/100000000)</f>
        <v>#REF!</v>
      </c>
      <c r="C11417" s="31" t="e">
        <f>B11417*100000000</f>
        <v>#REF!</v>
      </c>
      <c r="D11417" s="31" t="e">
        <f>IF(B11417&lt;1,"",IF(B11417=1,"",VLOOKUP(B11417,$J$3:$L$102,3)))</f>
        <v>#REF!</v>
      </c>
      <c r="E11417" s="31" t="e">
        <f>IF(B11417&lt;1,"",IF(B11417=1,"Seratus "," Ratus "))</f>
        <v>#REF!</v>
      </c>
      <c r="J11417" s="31">
        <v>20</v>
      </c>
      <c r="K11417" s="33" t="s">
        <v>89</v>
      </c>
      <c r="L11417" s="31" t="s">
        <v>90</v>
      </c>
    </row>
    <row r="11418" spans="1:12">
      <c r="A11418" s="31" t="s">
        <v>72</v>
      </c>
      <c r="B11418" s="39" t="e">
        <f>TRUNC((A11395-C11417)/1000000)</f>
        <v>#REF!</v>
      </c>
      <c r="C11418" s="31" t="e">
        <f>B11418*1000000</f>
        <v>#REF!</v>
      </c>
      <c r="D11418" s="31" t="e">
        <f>IF(B11418&lt;1,"",VLOOKUP(B11418,$J$3:$L$102,3))</f>
        <v>#REF!</v>
      </c>
      <c r="E11418" s="31" t="e">
        <f>IF(B11417+B11418=0,""," Juta ")</f>
        <v>#REF!</v>
      </c>
      <c r="J11418" s="31">
        <v>21</v>
      </c>
      <c r="K11418" s="33" t="s">
        <v>91</v>
      </c>
      <c r="L11418" s="31" t="str">
        <f t="shared" ref="L11418:L11426" si="1102">$L$23&amp;" "&amp;L11398</f>
        <v>Dua Puluh Satu</v>
      </c>
    </row>
    <row r="11419" spans="1:12">
      <c r="A11419" s="31" t="s">
        <v>75</v>
      </c>
      <c r="B11419" s="39" t="e">
        <f>TRUNC((A11395-SUM(C11417:C11418))/100000)</f>
        <v>#REF!</v>
      </c>
      <c r="C11419" s="31" t="e">
        <f>B11419*100000</f>
        <v>#REF!</v>
      </c>
      <c r="D11419" s="31" t="e">
        <f>IF(B11419&lt;1,"",IF(B11419=1,"",VLOOKUP(B11419,$J$3:$L$102,3)))</f>
        <v>#REF!</v>
      </c>
      <c r="E11419" s="31" t="e">
        <f>IF(B11419&lt;1,"",IF(B11419=1," Seratus "," Ratus "))</f>
        <v>#REF!</v>
      </c>
      <c r="J11419" s="31">
        <v>22</v>
      </c>
      <c r="K11419" s="33" t="s">
        <v>92</v>
      </c>
      <c r="L11419" s="31" t="str">
        <f t="shared" si="1102"/>
        <v>Dua Puluh Dua</v>
      </c>
    </row>
    <row r="11420" spans="1:12">
      <c r="A11420" s="33" t="s">
        <v>77</v>
      </c>
      <c r="B11420" s="40" t="e">
        <f>TRUNC((A11395-SUM(C11417:C11419))/1000)</f>
        <v>#REF!</v>
      </c>
      <c r="C11420" s="31" t="e">
        <f>B11420*1000</f>
        <v>#REF!</v>
      </c>
      <c r="D11420" s="31" t="e">
        <f>IF(B11420&lt;1,"",IF(B11420=1,"",VLOOKUP(B11420,$J$3:$L$102,3)))</f>
        <v>#REF!</v>
      </c>
      <c r="E11420" s="31" t="e">
        <f>IF(B11419+B11420&lt;1,"",IF(B11420=1," Seribu "," Ribu "))</f>
        <v>#REF!</v>
      </c>
      <c r="J11420" s="31">
        <v>23</v>
      </c>
      <c r="K11420" s="33" t="s">
        <v>93</v>
      </c>
      <c r="L11420" s="31" t="str">
        <f t="shared" si="1102"/>
        <v>Dua Puluh Tiga</v>
      </c>
    </row>
    <row r="11421" spans="1:12">
      <c r="A11421" s="33" t="s">
        <v>79</v>
      </c>
      <c r="B11421" s="40" t="e">
        <f>TRUNC((A11395-SUM(C11417:C11420))/100)</f>
        <v>#REF!</v>
      </c>
      <c r="C11421" s="31" t="e">
        <f>B11421*100</f>
        <v>#REF!</v>
      </c>
      <c r="D11421" s="31" t="e">
        <f>IF(B11421&lt;1,"",IF(B11421=1,"",VLOOKUP(B11421,$J$3:$L$102,3)))</f>
        <v>#REF!</v>
      </c>
      <c r="E11421" s="31" t="e">
        <f>IF(B11421&lt;1,"",IF(B11421=1," Seratus "," Ratus "))</f>
        <v>#REF!</v>
      </c>
      <c r="J11421" s="31">
        <v>24</v>
      </c>
      <c r="K11421" s="33" t="s">
        <v>94</v>
      </c>
      <c r="L11421" s="31" t="str">
        <f t="shared" si="1102"/>
        <v>Dua Puluh Empat</v>
      </c>
    </row>
    <row r="11422" spans="1:12">
      <c r="A11422" s="33" t="s">
        <v>81</v>
      </c>
      <c r="B11422" s="41" t="e">
        <f>TRUNC((A11395-SUM(C11417:C11421)))</f>
        <v>#REF!</v>
      </c>
      <c r="C11422" s="42" t="e">
        <f>B11422</f>
        <v>#REF!</v>
      </c>
      <c r="D11422" s="31" t="e">
        <f>IF(B11422&lt;1,"",VLOOKUP(B11422,$J$3:$L$102,3))</f>
        <v>#REF!</v>
      </c>
      <c r="E11422" s="31" t="e">
        <f>IF(SUM(C11417:C11422)&lt;1,"",IF(B11423&lt;1,""," Dan "))</f>
        <v>#REF!</v>
      </c>
      <c r="J11422" s="31">
        <v>25</v>
      </c>
      <c r="K11422" s="33" t="s">
        <v>95</v>
      </c>
      <c r="L11422" s="31" t="str">
        <f t="shared" si="1102"/>
        <v>Dua Puluh Lima</v>
      </c>
    </row>
    <row r="11423" spans="1:12">
      <c r="A11423" s="33" t="s">
        <v>83</v>
      </c>
      <c r="B11423" s="40" t="e">
        <f>ROUND(A11395-SUM(C11417:C11422),2)*100</f>
        <v>#REF!</v>
      </c>
      <c r="D11423" s="31" t="e">
        <f>IF(B11423&lt;1,"",VLOOKUP(B11423,$J$3:$L$102,3))</f>
        <v>#REF!</v>
      </c>
      <c r="E11423" s="31" t="e">
        <f>IF(B11423&lt;1,""," Sen ")</f>
        <v>#REF!</v>
      </c>
      <c r="J11423" s="31">
        <v>26</v>
      </c>
      <c r="K11423" s="33" t="s">
        <v>96</v>
      </c>
      <c r="L11423" s="31" t="str">
        <f t="shared" si="1102"/>
        <v>Dua Puluh Enam</v>
      </c>
    </row>
    <row r="11424" spans="1:12">
      <c r="J11424" s="31">
        <v>27</v>
      </c>
      <c r="K11424" s="33" t="s">
        <v>97</v>
      </c>
      <c r="L11424" s="31" t="str">
        <f t="shared" si="1102"/>
        <v>Dua Puluh Tujuh</v>
      </c>
    </row>
    <row r="11425" spans="1:12">
      <c r="J11425" s="31">
        <v>28</v>
      </c>
      <c r="K11425" s="33" t="s">
        <v>98</v>
      </c>
      <c r="L11425" s="31" t="str">
        <f t="shared" si="1102"/>
        <v>Dua Puluh Delapan</v>
      </c>
    </row>
    <row r="11426" spans="1:12">
      <c r="J11426" s="31">
        <v>29</v>
      </c>
      <c r="K11426" s="33" t="s">
        <v>99</v>
      </c>
      <c r="L11426" s="31" t="str">
        <f t="shared" si="1102"/>
        <v>Dua Puluh Sembilan</v>
      </c>
    </row>
    <row r="11427" spans="1:12">
      <c r="J11427" s="31">
        <v>30</v>
      </c>
      <c r="K11427" s="33" t="s">
        <v>100</v>
      </c>
      <c r="L11427" s="31" t="s">
        <v>101</v>
      </c>
    </row>
    <row r="11428" spans="1:12">
      <c r="J11428" s="31">
        <v>31</v>
      </c>
      <c r="K11428" s="33" t="s">
        <v>102</v>
      </c>
      <c r="L11428" s="31" t="str">
        <f t="shared" ref="L11428:L11436" si="1103">$L$33&amp;" "&amp;L11398</f>
        <v>Tiga Puluh Satu</v>
      </c>
    </row>
    <row r="11429" spans="1:12">
      <c r="J11429" s="31">
        <v>32</v>
      </c>
      <c r="K11429" s="33" t="s">
        <v>103</v>
      </c>
      <c r="L11429" s="31" t="str">
        <f t="shared" si="1103"/>
        <v>Tiga Puluh Dua</v>
      </c>
    </row>
    <row r="11430" spans="1:12">
      <c r="J11430" s="31">
        <v>33</v>
      </c>
      <c r="K11430" s="33" t="s">
        <v>104</v>
      </c>
      <c r="L11430" s="31" t="str">
        <f t="shared" si="1103"/>
        <v>Tiga Puluh Tiga</v>
      </c>
    </row>
    <row r="11431" spans="1:12">
      <c r="J11431" s="31">
        <v>34</v>
      </c>
      <c r="K11431" s="33" t="s">
        <v>105</v>
      </c>
      <c r="L11431" s="31" t="str">
        <f t="shared" si="1103"/>
        <v>Tiga Puluh Empat</v>
      </c>
    </row>
    <row r="11432" spans="1:12">
      <c r="J11432" s="31">
        <v>35</v>
      </c>
      <c r="K11432" s="33" t="s">
        <v>106</v>
      </c>
      <c r="L11432" s="31" t="str">
        <f t="shared" si="1103"/>
        <v>Tiga Puluh Lima</v>
      </c>
    </row>
    <row r="11433" spans="1:12">
      <c r="J11433" s="31">
        <v>36</v>
      </c>
      <c r="K11433" s="33" t="s">
        <v>107</v>
      </c>
      <c r="L11433" s="31" t="str">
        <f t="shared" si="1103"/>
        <v>Tiga Puluh Enam</v>
      </c>
    </row>
    <row r="11434" spans="1:12">
      <c r="J11434" s="31">
        <v>37</v>
      </c>
      <c r="K11434" s="33" t="s">
        <v>108</v>
      </c>
      <c r="L11434" s="31" t="str">
        <f t="shared" si="1103"/>
        <v>Tiga Puluh Tujuh</v>
      </c>
    </row>
    <row r="11435" spans="1:12">
      <c r="J11435" s="31">
        <v>38</v>
      </c>
      <c r="K11435" s="33" t="s">
        <v>109</v>
      </c>
      <c r="L11435" s="31" t="str">
        <f t="shared" si="1103"/>
        <v>Tiga Puluh Delapan</v>
      </c>
    </row>
    <row r="11436" spans="1:12">
      <c r="J11436" s="31">
        <v>39</v>
      </c>
      <c r="K11436" s="33" t="s">
        <v>110</v>
      </c>
      <c r="L11436" s="31" t="str">
        <f t="shared" si="1103"/>
        <v>Tiga Puluh Sembilan</v>
      </c>
    </row>
    <row r="11437" spans="1:12">
      <c r="B11437" s="35"/>
      <c r="C11437" s="35"/>
      <c r="D11437" s="35"/>
      <c r="J11437" s="31">
        <v>40</v>
      </c>
      <c r="K11437" s="33" t="s">
        <v>111</v>
      </c>
      <c r="L11437" s="31" t="s">
        <v>112</v>
      </c>
    </row>
    <row r="11438" spans="1:12">
      <c r="A11438" s="35"/>
      <c r="B11438" s="35"/>
      <c r="C11438" s="35"/>
      <c r="D11438" s="35"/>
      <c r="J11438" s="31">
        <v>41</v>
      </c>
      <c r="K11438" s="33" t="s">
        <v>113</v>
      </c>
      <c r="L11438" s="31" t="str">
        <f t="shared" ref="L11438:L11446" si="1104">$L$43&amp;" "&amp;L11398</f>
        <v>Empat Puluh Satu</v>
      </c>
    </row>
    <row r="11439" spans="1:12">
      <c r="J11439" s="31">
        <v>42</v>
      </c>
      <c r="K11439" s="33" t="s">
        <v>114</v>
      </c>
      <c r="L11439" s="31" t="str">
        <f t="shared" si="1104"/>
        <v>Empat Puluh Dua</v>
      </c>
    </row>
    <row r="11440" spans="1:12">
      <c r="A11440" s="38"/>
      <c r="J11440" s="31">
        <v>43</v>
      </c>
      <c r="K11440" s="33" t="s">
        <v>115</v>
      </c>
      <c r="L11440" s="31" t="str">
        <f t="shared" si="1104"/>
        <v>Empat Puluh Tiga</v>
      </c>
    </row>
    <row r="11441" spans="10:12">
      <c r="J11441" s="31">
        <v>44</v>
      </c>
      <c r="K11441" s="33" t="s">
        <v>116</v>
      </c>
      <c r="L11441" s="31" t="str">
        <f t="shared" si="1104"/>
        <v>Empat Puluh Empat</v>
      </c>
    </row>
    <row r="11442" spans="10:12">
      <c r="J11442" s="31">
        <v>45</v>
      </c>
      <c r="K11442" s="33" t="s">
        <v>117</v>
      </c>
      <c r="L11442" s="31" t="str">
        <f t="shared" si="1104"/>
        <v>Empat Puluh Lima</v>
      </c>
    </row>
    <row r="11443" spans="10:12">
      <c r="J11443" s="31">
        <v>46</v>
      </c>
      <c r="K11443" s="33" t="s">
        <v>118</v>
      </c>
      <c r="L11443" s="31" t="str">
        <f t="shared" si="1104"/>
        <v>Empat Puluh Enam</v>
      </c>
    </row>
    <row r="11444" spans="10:12">
      <c r="J11444" s="31">
        <v>47</v>
      </c>
      <c r="K11444" s="33" t="s">
        <v>119</v>
      </c>
      <c r="L11444" s="31" t="str">
        <f t="shared" si="1104"/>
        <v>Empat Puluh Tujuh</v>
      </c>
    </row>
    <row r="11445" spans="10:12">
      <c r="J11445" s="31">
        <v>48</v>
      </c>
      <c r="K11445" s="33" t="s">
        <v>120</v>
      </c>
      <c r="L11445" s="31" t="str">
        <f t="shared" si="1104"/>
        <v>Empat Puluh Delapan</v>
      </c>
    </row>
    <row r="11446" spans="10:12">
      <c r="J11446" s="31">
        <v>49</v>
      </c>
      <c r="K11446" s="33" t="s">
        <v>121</v>
      </c>
      <c r="L11446" s="31" t="str">
        <f t="shared" si="1104"/>
        <v>Empat Puluh Sembilan</v>
      </c>
    </row>
    <row r="11447" spans="10:12">
      <c r="J11447" s="31">
        <v>50</v>
      </c>
      <c r="K11447" s="33" t="s">
        <v>122</v>
      </c>
      <c r="L11447" s="31" t="s">
        <v>123</v>
      </c>
    </row>
    <row r="11448" spans="10:12">
      <c r="J11448" s="31">
        <v>51</v>
      </c>
      <c r="K11448" s="33" t="s">
        <v>124</v>
      </c>
      <c r="L11448" s="31" t="str">
        <f t="shared" ref="L11448:L11456" si="1105">$L$53&amp;" "&amp;L11398</f>
        <v>Lima Puluh Satu</v>
      </c>
    </row>
    <row r="11449" spans="10:12">
      <c r="J11449" s="31">
        <v>52</v>
      </c>
      <c r="K11449" s="33" t="s">
        <v>125</v>
      </c>
      <c r="L11449" s="31" t="str">
        <f t="shared" si="1105"/>
        <v>Lima Puluh Dua</v>
      </c>
    </row>
    <row r="11450" spans="10:12">
      <c r="J11450" s="31">
        <v>53</v>
      </c>
      <c r="K11450" s="33" t="s">
        <v>126</v>
      </c>
      <c r="L11450" s="31" t="str">
        <f t="shared" si="1105"/>
        <v>Lima Puluh Tiga</v>
      </c>
    </row>
    <row r="11451" spans="10:12">
      <c r="J11451" s="31">
        <v>54</v>
      </c>
      <c r="K11451" s="33" t="s">
        <v>127</v>
      </c>
      <c r="L11451" s="31" t="str">
        <f t="shared" si="1105"/>
        <v>Lima Puluh Empat</v>
      </c>
    </row>
    <row r="11452" spans="10:12">
      <c r="J11452" s="31">
        <v>55</v>
      </c>
      <c r="K11452" s="33" t="s">
        <v>128</v>
      </c>
      <c r="L11452" s="31" t="str">
        <f t="shared" si="1105"/>
        <v>Lima Puluh Lima</v>
      </c>
    </row>
    <row r="11453" spans="10:12">
      <c r="J11453" s="31">
        <v>56</v>
      </c>
      <c r="K11453" s="33" t="s">
        <v>129</v>
      </c>
      <c r="L11453" s="31" t="str">
        <f t="shared" si="1105"/>
        <v>Lima Puluh Enam</v>
      </c>
    </row>
    <row r="11454" spans="10:12">
      <c r="J11454" s="31">
        <v>57</v>
      </c>
      <c r="K11454" s="33" t="s">
        <v>130</v>
      </c>
      <c r="L11454" s="31" t="str">
        <f t="shared" si="1105"/>
        <v>Lima Puluh Tujuh</v>
      </c>
    </row>
    <row r="11455" spans="10:12">
      <c r="J11455" s="31">
        <v>58</v>
      </c>
      <c r="K11455" s="33" t="s">
        <v>131</v>
      </c>
      <c r="L11455" s="31" t="str">
        <f t="shared" si="1105"/>
        <v>Lima Puluh Delapan</v>
      </c>
    </row>
    <row r="11456" spans="10:12">
      <c r="J11456" s="31">
        <v>59</v>
      </c>
      <c r="K11456" s="33" t="s">
        <v>132</v>
      </c>
      <c r="L11456" s="31" t="str">
        <f t="shared" si="1105"/>
        <v>Lima Puluh Sembilan</v>
      </c>
    </row>
    <row r="11457" spans="10:12">
      <c r="J11457" s="31">
        <v>60</v>
      </c>
      <c r="K11457" s="33" t="s">
        <v>133</v>
      </c>
      <c r="L11457" s="31" t="s">
        <v>134</v>
      </c>
    </row>
    <row r="11458" spans="10:12">
      <c r="J11458" s="31">
        <v>61</v>
      </c>
      <c r="K11458" s="33" t="s">
        <v>135</v>
      </c>
      <c r="L11458" s="31" t="str">
        <f t="shared" ref="L11458:L11466" si="1106">$L$63&amp;" "&amp;L11398</f>
        <v>Enam Puluh Satu</v>
      </c>
    </row>
    <row r="11459" spans="10:12">
      <c r="J11459" s="31">
        <v>62</v>
      </c>
      <c r="K11459" s="33" t="s">
        <v>136</v>
      </c>
      <c r="L11459" s="31" t="str">
        <f t="shared" si="1106"/>
        <v>Enam Puluh Dua</v>
      </c>
    </row>
    <row r="11460" spans="10:12">
      <c r="J11460" s="31">
        <v>63</v>
      </c>
      <c r="K11460" s="33" t="s">
        <v>137</v>
      </c>
      <c r="L11460" s="31" t="str">
        <f t="shared" si="1106"/>
        <v>Enam Puluh Tiga</v>
      </c>
    </row>
    <row r="11461" spans="10:12">
      <c r="J11461" s="31">
        <v>64</v>
      </c>
      <c r="K11461" s="33" t="s">
        <v>138</v>
      </c>
      <c r="L11461" s="31" t="str">
        <f t="shared" si="1106"/>
        <v>Enam Puluh Empat</v>
      </c>
    </row>
    <row r="11462" spans="10:12">
      <c r="J11462" s="31">
        <v>65</v>
      </c>
      <c r="K11462" s="33" t="s">
        <v>139</v>
      </c>
      <c r="L11462" s="31" t="str">
        <f t="shared" si="1106"/>
        <v>Enam Puluh Lima</v>
      </c>
    </row>
    <row r="11463" spans="10:12">
      <c r="J11463" s="31">
        <v>66</v>
      </c>
      <c r="K11463" s="33" t="s">
        <v>140</v>
      </c>
      <c r="L11463" s="31" t="str">
        <f t="shared" si="1106"/>
        <v>Enam Puluh Enam</v>
      </c>
    </row>
    <row r="11464" spans="10:12">
      <c r="J11464" s="31">
        <v>67</v>
      </c>
      <c r="K11464" s="33" t="s">
        <v>141</v>
      </c>
      <c r="L11464" s="31" t="str">
        <f t="shared" si="1106"/>
        <v>Enam Puluh Tujuh</v>
      </c>
    </row>
    <row r="11465" spans="10:12">
      <c r="J11465" s="31">
        <v>68</v>
      </c>
      <c r="K11465" s="33" t="s">
        <v>142</v>
      </c>
      <c r="L11465" s="31" t="str">
        <f t="shared" si="1106"/>
        <v>Enam Puluh Delapan</v>
      </c>
    </row>
    <row r="11466" spans="10:12">
      <c r="J11466" s="31">
        <v>69</v>
      </c>
      <c r="K11466" s="33" t="s">
        <v>143</v>
      </c>
      <c r="L11466" s="31" t="str">
        <f t="shared" si="1106"/>
        <v>Enam Puluh Sembilan</v>
      </c>
    </row>
    <row r="11467" spans="10:12">
      <c r="J11467" s="31">
        <v>70</v>
      </c>
      <c r="K11467" s="33" t="s">
        <v>144</v>
      </c>
      <c r="L11467" s="31" t="s">
        <v>145</v>
      </c>
    </row>
    <row r="11468" spans="10:12">
      <c r="J11468" s="31">
        <v>71</v>
      </c>
      <c r="K11468" s="33" t="s">
        <v>146</v>
      </c>
      <c r="L11468" s="31" t="str">
        <f t="shared" ref="L11468:L11476" si="1107">$L$73&amp;" "&amp;L11398</f>
        <v>Tujuh Puluh Satu</v>
      </c>
    </row>
    <row r="11469" spans="10:12">
      <c r="J11469" s="31">
        <v>72</v>
      </c>
      <c r="K11469" s="33" t="s">
        <v>147</v>
      </c>
      <c r="L11469" s="31" t="str">
        <f t="shared" si="1107"/>
        <v>Tujuh Puluh Dua</v>
      </c>
    </row>
    <row r="11470" spans="10:12">
      <c r="J11470" s="31">
        <v>73</v>
      </c>
      <c r="K11470" s="33" t="s">
        <v>148</v>
      </c>
      <c r="L11470" s="31" t="str">
        <f t="shared" si="1107"/>
        <v>Tujuh Puluh Tiga</v>
      </c>
    </row>
    <row r="11471" spans="10:12">
      <c r="J11471" s="31">
        <v>74</v>
      </c>
      <c r="K11471" s="33" t="s">
        <v>149</v>
      </c>
      <c r="L11471" s="31" t="str">
        <f t="shared" si="1107"/>
        <v>Tujuh Puluh Empat</v>
      </c>
    </row>
    <row r="11472" spans="10:12">
      <c r="J11472" s="31">
        <v>75</v>
      </c>
      <c r="K11472" s="33" t="s">
        <v>150</v>
      </c>
      <c r="L11472" s="31" t="str">
        <f t="shared" si="1107"/>
        <v>Tujuh Puluh Lima</v>
      </c>
    </row>
    <row r="11473" spans="10:12">
      <c r="J11473" s="31">
        <v>76</v>
      </c>
      <c r="K11473" s="33" t="s">
        <v>151</v>
      </c>
      <c r="L11473" s="31" t="str">
        <f t="shared" si="1107"/>
        <v>Tujuh Puluh Enam</v>
      </c>
    </row>
    <row r="11474" spans="10:12">
      <c r="J11474" s="31">
        <v>77</v>
      </c>
      <c r="K11474" s="33" t="s">
        <v>152</v>
      </c>
      <c r="L11474" s="31" t="str">
        <f t="shared" si="1107"/>
        <v>Tujuh Puluh Tujuh</v>
      </c>
    </row>
    <row r="11475" spans="10:12">
      <c r="J11475" s="31">
        <v>78</v>
      </c>
      <c r="K11475" s="33" t="s">
        <v>153</v>
      </c>
      <c r="L11475" s="31" t="str">
        <f t="shared" si="1107"/>
        <v>Tujuh Puluh Delapan</v>
      </c>
    </row>
    <row r="11476" spans="10:12">
      <c r="J11476" s="31">
        <v>79</v>
      </c>
      <c r="K11476" s="33" t="s">
        <v>154</v>
      </c>
      <c r="L11476" s="31" t="str">
        <f t="shared" si="1107"/>
        <v>Tujuh Puluh Sembilan</v>
      </c>
    </row>
    <row r="11477" spans="10:12">
      <c r="J11477" s="31">
        <v>80</v>
      </c>
      <c r="K11477" s="33" t="s">
        <v>155</v>
      </c>
      <c r="L11477" s="31" t="s">
        <v>156</v>
      </c>
    </row>
    <row r="11478" spans="10:12">
      <c r="J11478" s="31">
        <v>81</v>
      </c>
      <c r="K11478" s="33" t="s">
        <v>157</v>
      </c>
      <c r="L11478" s="31" t="str">
        <f t="shared" ref="L11478:L11486" si="1108">$L$83&amp;" "&amp;L11398</f>
        <v>Delapan Puluh Satu</v>
      </c>
    </row>
    <row r="11479" spans="10:12">
      <c r="J11479" s="31">
        <v>82</v>
      </c>
      <c r="K11479" s="33" t="s">
        <v>158</v>
      </c>
      <c r="L11479" s="31" t="str">
        <f t="shared" si="1108"/>
        <v>Delapan Puluh Dua</v>
      </c>
    </row>
    <row r="11480" spans="10:12">
      <c r="J11480" s="31">
        <v>83</v>
      </c>
      <c r="K11480" s="33" t="s">
        <v>159</v>
      </c>
      <c r="L11480" s="31" t="str">
        <f t="shared" si="1108"/>
        <v>Delapan Puluh Tiga</v>
      </c>
    </row>
    <row r="11481" spans="10:12">
      <c r="J11481" s="31">
        <v>84</v>
      </c>
      <c r="K11481" s="33" t="s">
        <v>160</v>
      </c>
      <c r="L11481" s="31" t="str">
        <f t="shared" si="1108"/>
        <v>Delapan Puluh Empat</v>
      </c>
    </row>
    <row r="11482" spans="10:12">
      <c r="J11482" s="31">
        <v>85</v>
      </c>
      <c r="K11482" s="33" t="s">
        <v>161</v>
      </c>
      <c r="L11482" s="31" t="str">
        <f t="shared" si="1108"/>
        <v>Delapan Puluh Lima</v>
      </c>
    </row>
    <row r="11483" spans="10:12">
      <c r="J11483" s="31">
        <v>86</v>
      </c>
      <c r="K11483" s="33" t="s">
        <v>162</v>
      </c>
      <c r="L11483" s="31" t="str">
        <f t="shared" si="1108"/>
        <v>Delapan Puluh Enam</v>
      </c>
    </row>
    <row r="11484" spans="10:12">
      <c r="J11484" s="31">
        <v>87</v>
      </c>
      <c r="K11484" s="33" t="s">
        <v>163</v>
      </c>
      <c r="L11484" s="31" t="str">
        <f t="shared" si="1108"/>
        <v>Delapan Puluh Tujuh</v>
      </c>
    </row>
    <row r="11485" spans="10:12">
      <c r="J11485" s="31">
        <v>88</v>
      </c>
      <c r="K11485" s="33" t="s">
        <v>164</v>
      </c>
      <c r="L11485" s="31" t="str">
        <f t="shared" si="1108"/>
        <v>Delapan Puluh Delapan</v>
      </c>
    </row>
    <row r="11486" spans="10:12">
      <c r="J11486" s="31">
        <v>89</v>
      </c>
      <c r="K11486" s="33" t="s">
        <v>165</v>
      </c>
      <c r="L11486" s="31" t="str">
        <f t="shared" si="1108"/>
        <v>Delapan Puluh Sembilan</v>
      </c>
    </row>
    <row r="11487" spans="10:12">
      <c r="J11487" s="31">
        <v>90</v>
      </c>
      <c r="K11487" s="33" t="s">
        <v>166</v>
      </c>
      <c r="L11487" s="31" t="s">
        <v>167</v>
      </c>
    </row>
    <row r="11488" spans="10:12">
      <c r="J11488" s="31">
        <v>91</v>
      </c>
      <c r="K11488" s="33" t="s">
        <v>168</v>
      </c>
      <c r="L11488" s="31" t="str">
        <f t="shared" ref="L11488:L11496" si="1109">$L$93&amp;" "&amp;L11398</f>
        <v>Sembilan Puluh Satu</v>
      </c>
    </row>
    <row r="11489" spans="1:12">
      <c r="J11489" s="31">
        <v>92</v>
      </c>
      <c r="K11489" s="33" t="s">
        <v>169</v>
      </c>
      <c r="L11489" s="31" t="str">
        <f t="shared" si="1109"/>
        <v>Sembilan Puluh Dua</v>
      </c>
    </row>
    <row r="11490" spans="1:12">
      <c r="J11490" s="31">
        <v>93</v>
      </c>
      <c r="K11490" s="33" t="s">
        <v>170</v>
      </c>
      <c r="L11490" s="31" t="str">
        <f t="shared" si="1109"/>
        <v>Sembilan Puluh Tiga</v>
      </c>
    </row>
    <row r="11491" spans="1:12">
      <c r="J11491" s="31">
        <v>94</v>
      </c>
      <c r="K11491" s="33" t="s">
        <v>171</v>
      </c>
      <c r="L11491" s="31" t="str">
        <f t="shared" si="1109"/>
        <v>Sembilan Puluh Empat</v>
      </c>
    </row>
    <row r="11492" spans="1:12">
      <c r="J11492" s="31">
        <v>95</v>
      </c>
      <c r="K11492" s="33" t="s">
        <v>172</v>
      </c>
      <c r="L11492" s="31" t="str">
        <f t="shared" si="1109"/>
        <v>Sembilan Puluh Lima</v>
      </c>
    </row>
    <row r="11493" spans="1:12">
      <c r="J11493" s="31">
        <v>96</v>
      </c>
      <c r="K11493" s="33" t="s">
        <v>173</v>
      </c>
      <c r="L11493" s="31" t="str">
        <f t="shared" si="1109"/>
        <v>Sembilan Puluh Enam</v>
      </c>
    </row>
    <row r="11494" spans="1:12">
      <c r="J11494" s="31">
        <v>97</v>
      </c>
      <c r="K11494" s="33" t="s">
        <v>174</v>
      </c>
      <c r="L11494" s="31" t="str">
        <f t="shared" si="1109"/>
        <v>Sembilan Puluh Tujuh</v>
      </c>
    </row>
    <row r="11495" spans="1:12">
      <c r="J11495" s="31">
        <v>98</v>
      </c>
      <c r="K11495" s="33" t="s">
        <v>175</v>
      </c>
      <c r="L11495" s="31" t="str">
        <f t="shared" si="1109"/>
        <v>Sembilan Puluh Delapan</v>
      </c>
    </row>
    <row r="11496" spans="1:12">
      <c r="J11496" s="31">
        <v>99</v>
      </c>
      <c r="K11496" s="33" t="s">
        <v>176</v>
      </c>
      <c r="L11496" s="31" t="str">
        <f t="shared" si="1109"/>
        <v>Sembilan Puluh Sembilan</v>
      </c>
    </row>
    <row r="11498" spans="1:12">
      <c r="A11498" s="30" t="e">
        <f>#REF!</f>
        <v>#REF!</v>
      </c>
      <c r="C11498" s="31" t="s">
        <v>345</v>
      </c>
    </row>
    <row r="11499" spans="1:12">
      <c r="A11499" s="32"/>
    </row>
    <row r="11500" spans="1:12">
      <c r="J11500" s="31">
        <v>0</v>
      </c>
      <c r="K11500" s="33" t="s">
        <v>48</v>
      </c>
      <c r="L11500" s="31" t="s">
        <v>49</v>
      </c>
    </row>
    <row r="11501" spans="1:12">
      <c r="A11501" s="34"/>
      <c r="J11501" s="31">
        <v>1</v>
      </c>
      <c r="K11501" s="33" t="s">
        <v>50</v>
      </c>
      <c r="L11501" s="31" t="s">
        <v>51</v>
      </c>
    </row>
    <row r="11502" spans="1:12">
      <c r="A11502" s="255" t="e">
        <f>TRIM(D11510&amp;E11510&amp;D11511&amp;E11511&amp;D11512&amp;E11512&amp;D11513&amp;E11513&amp;D11514&amp;E11514&amp;D11515&amp;E11515&amp;E11516&amp;D11516&amp;" Only")</f>
        <v>#REF!</v>
      </c>
      <c r="B11502" s="255"/>
      <c r="C11502" s="255"/>
      <c r="D11502" s="255"/>
      <c r="E11502" s="35"/>
      <c r="F11502" s="36"/>
      <c r="J11502" s="31">
        <v>2</v>
      </c>
      <c r="K11502" s="33" t="s">
        <v>52</v>
      </c>
      <c r="L11502" s="31" t="s">
        <v>53</v>
      </c>
    </row>
    <row r="11503" spans="1:12">
      <c r="A11503" s="37"/>
      <c r="B11503" s="37"/>
      <c r="C11503" s="37"/>
      <c r="D11503" s="37"/>
      <c r="E11503" s="35"/>
      <c r="F11503" s="36"/>
      <c r="J11503" s="31">
        <v>3</v>
      </c>
      <c r="K11503" s="33" t="s">
        <v>54</v>
      </c>
      <c r="L11503" s="31" t="s">
        <v>55</v>
      </c>
    </row>
    <row r="11504" spans="1:12">
      <c r="A11504" s="37"/>
      <c r="B11504" s="37"/>
      <c r="C11504" s="37"/>
      <c r="D11504" s="37"/>
      <c r="J11504" s="31">
        <v>4</v>
      </c>
      <c r="K11504" s="33" t="s">
        <v>56</v>
      </c>
      <c r="L11504" s="31" t="s">
        <v>57</v>
      </c>
    </row>
    <row r="11505" spans="1:12">
      <c r="A11505" s="255" t="e">
        <f>TRIM(D11520&amp;E11520&amp;D11521&amp;E11521&amp;D11522&amp;E11522&amp;D11523&amp;E11523&amp;D11524&amp;E11524&amp;D11525&amp;E11525&amp;D11526&amp;E11526&amp;" Rupiah")</f>
        <v>#REF!</v>
      </c>
      <c r="B11505" s="255"/>
      <c r="C11505" s="255"/>
      <c r="D11505" s="255"/>
      <c r="E11505" s="35"/>
      <c r="F11505" s="36"/>
      <c r="J11505" s="31">
        <v>5</v>
      </c>
      <c r="K11505" s="33" t="s">
        <v>58</v>
      </c>
      <c r="L11505" s="31" t="s">
        <v>59</v>
      </c>
    </row>
    <row r="11506" spans="1:12">
      <c r="A11506" s="35"/>
      <c r="B11506" s="35"/>
      <c r="C11506" s="35"/>
      <c r="D11506" s="35"/>
      <c r="E11506" s="35"/>
      <c r="F11506" s="36"/>
      <c r="J11506" s="31">
        <v>6</v>
      </c>
      <c r="K11506" s="33" t="s">
        <v>60</v>
      </c>
      <c r="L11506" s="31" t="s">
        <v>61</v>
      </c>
    </row>
    <row r="11507" spans="1:12">
      <c r="J11507" s="31">
        <v>7</v>
      </c>
      <c r="K11507" s="33" t="s">
        <v>62</v>
      </c>
      <c r="L11507" s="31" t="s">
        <v>63</v>
      </c>
    </row>
    <row r="11508" spans="1:12">
      <c r="J11508" s="31">
        <v>8</v>
      </c>
      <c r="K11508" s="33" t="s">
        <v>64</v>
      </c>
      <c r="L11508" s="31" t="s">
        <v>65</v>
      </c>
    </row>
    <row r="11509" spans="1:12">
      <c r="A11509" s="38" t="s">
        <v>66</v>
      </c>
      <c r="J11509" s="31">
        <v>9</v>
      </c>
      <c r="K11509" s="33" t="s">
        <v>67</v>
      </c>
      <c r="L11509" s="31" t="s">
        <v>68</v>
      </c>
    </row>
    <row r="11510" spans="1:12">
      <c r="A11510" s="31" t="s">
        <v>69</v>
      </c>
      <c r="B11510" s="39" t="e">
        <f>TRUNC(A11498/100000000)</f>
        <v>#REF!</v>
      </c>
      <c r="C11510" s="31" t="e">
        <f>B11510*100000000</f>
        <v>#REF!</v>
      </c>
      <c r="D11510" s="31" t="e">
        <f t="shared" ref="D11510:D11516" si="1110">IF(B11510&lt;1,"",VLOOKUP(B11510,$J$3:$K$102,2))</f>
        <v>#REF!</v>
      </c>
      <c r="E11510" s="31" t="e">
        <f>IF(B11510&lt;1,"",IF(B11510&gt;1," Hundreds "," Hundred "))</f>
        <v>#REF!</v>
      </c>
      <c r="J11510" s="31">
        <v>10</v>
      </c>
      <c r="K11510" s="33" t="s">
        <v>70</v>
      </c>
      <c r="L11510" s="31" t="s">
        <v>71</v>
      </c>
    </row>
    <row r="11511" spans="1:12">
      <c r="A11511" s="31" t="s">
        <v>72</v>
      </c>
      <c r="B11511" s="39" t="e">
        <f>TRUNC((A11498-C11510)/1000000)</f>
        <v>#REF!</v>
      </c>
      <c r="C11511" s="31" t="e">
        <f>B11511*1000000</f>
        <v>#REF!</v>
      </c>
      <c r="D11511" s="31" t="e">
        <f t="shared" si="1110"/>
        <v>#REF!</v>
      </c>
      <c r="E11511" s="31" t="e">
        <f>IF(B11510+B11511=0,"",IF(B11511=1," Million "," Millions "))</f>
        <v>#REF!</v>
      </c>
      <c r="J11511" s="31">
        <v>11</v>
      </c>
      <c r="K11511" s="33" t="s">
        <v>73</v>
      </c>
      <c r="L11511" s="31" t="s">
        <v>74</v>
      </c>
    </row>
    <row r="11512" spans="1:12">
      <c r="A11512" s="31" t="s">
        <v>75</v>
      </c>
      <c r="B11512" s="39" t="e">
        <f>TRUNC((A11498-SUM(C11510:C11511))/100000)</f>
        <v>#REF!</v>
      </c>
      <c r="C11512" s="31" t="e">
        <f>B11512*100000</f>
        <v>#REF!</v>
      </c>
      <c r="D11512" s="31" t="e">
        <f t="shared" si="1110"/>
        <v>#REF!</v>
      </c>
      <c r="E11512" s="31" t="e">
        <f>IF(B11512&lt;1,"",IF(B11512&gt;1," Hundreds "," Hundred "))</f>
        <v>#REF!</v>
      </c>
      <c r="J11512" s="31">
        <v>12</v>
      </c>
      <c r="K11512" s="33" t="s">
        <v>76</v>
      </c>
      <c r="L11512" s="31" t="str">
        <f t="shared" ref="L11512:L11519" si="1111">L11502&amp;" Belas"</f>
        <v>Dua Belas</v>
      </c>
    </row>
    <row r="11513" spans="1:12">
      <c r="A11513" s="33" t="s">
        <v>77</v>
      </c>
      <c r="B11513" s="40" t="e">
        <f>TRUNC((A11498-SUM(C11510:C11512))/1000)</f>
        <v>#REF!</v>
      </c>
      <c r="C11513" s="31" t="e">
        <f>B11513*1000</f>
        <v>#REF!</v>
      </c>
      <c r="D11513" s="31" t="e">
        <f t="shared" si="1110"/>
        <v>#REF!</v>
      </c>
      <c r="E11513" s="31" t="e">
        <f>IF(B11512+B11513=0,"",IF(B11513=1," Thousand "," Thousands "))</f>
        <v>#REF!</v>
      </c>
      <c r="J11513" s="31">
        <v>13</v>
      </c>
      <c r="K11513" s="33" t="s">
        <v>78</v>
      </c>
      <c r="L11513" s="31" t="str">
        <f t="shared" si="1111"/>
        <v>Tiga Belas</v>
      </c>
    </row>
    <row r="11514" spans="1:12">
      <c r="A11514" s="33" t="s">
        <v>79</v>
      </c>
      <c r="B11514" s="40" t="e">
        <f>TRUNC((A11498-SUM(C11510:C11513))/100)</f>
        <v>#REF!</v>
      </c>
      <c r="C11514" s="31" t="e">
        <f>B11514*100</f>
        <v>#REF!</v>
      </c>
      <c r="D11514" s="31" t="e">
        <f t="shared" si="1110"/>
        <v>#REF!</v>
      </c>
      <c r="E11514" s="31" t="e">
        <f>IF(B11514&lt;1,"",IF(B11514&gt;1," Hundreds "," Hundred "))</f>
        <v>#REF!</v>
      </c>
      <c r="J11514" s="31">
        <v>14</v>
      </c>
      <c r="K11514" s="33" t="s">
        <v>80</v>
      </c>
      <c r="L11514" s="31" t="str">
        <f t="shared" si="1111"/>
        <v>Empat Belas</v>
      </c>
    </row>
    <row r="11515" spans="1:12">
      <c r="A11515" s="33" t="s">
        <v>81</v>
      </c>
      <c r="B11515" s="41" t="e">
        <f>TRUNC((A11498-SUM(C11510:C11514)))</f>
        <v>#REF!</v>
      </c>
      <c r="C11515" s="42" t="e">
        <f>B11515</f>
        <v>#REF!</v>
      </c>
      <c r="D11515" s="31" t="e">
        <f t="shared" si="1110"/>
        <v>#REF!</v>
      </c>
      <c r="E11515" s="31" t="e">
        <f>IF(SUM(C11510:C11515)&lt;1,"",IF(B11516&lt;1,""," And "))</f>
        <v>#REF!</v>
      </c>
      <c r="J11515" s="31">
        <v>15</v>
      </c>
      <c r="K11515" s="33" t="s">
        <v>82</v>
      </c>
      <c r="L11515" s="31" t="str">
        <f t="shared" si="1111"/>
        <v>Lima Belas</v>
      </c>
    </row>
    <row r="11516" spans="1:12">
      <c r="A11516" s="33" t="s">
        <v>83</v>
      </c>
      <c r="B11516" s="40" t="e">
        <f>ROUND(A11498-SUM(C11510:C11515),2)*100</f>
        <v>#REF!</v>
      </c>
      <c r="D11516" s="43" t="e">
        <f t="shared" si="1110"/>
        <v>#REF!</v>
      </c>
      <c r="E11516" s="31" t="e">
        <f>IF(B11516&lt;1,"",IF(B11516=1," Cent "," Cents "))</f>
        <v>#REF!</v>
      </c>
      <c r="J11516" s="31">
        <v>16</v>
      </c>
      <c r="K11516" s="33" t="s">
        <v>84</v>
      </c>
      <c r="L11516" s="31" t="str">
        <f t="shared" si="1111"/>
        <v>Enam Belas</v>
      </c>
    </row>
    <row r="11517" spans="1:12">
      <c r="J11517" s="31">
        <v>17</v>
      </c>
      <c r="K11517" s="33" t="s">
        <v>85</v>
      </c>
      <c r="L11517" s="31" t="str">
        <f t="shared" si="1111"/>
        <v>Tujuh Belas</v>
      </c>
    </row>
    <row r="11518" spans="1:12">
      <c r="A11518" s="44"/>
      <c r="J11518" s="31">
        <v>18</v>
      </c>
      <c r="K11518" s="33" t="s">
        <v>86</v>
      </c>
      <c r="L11518" s="31" t="str">
        <f t="shared" si="1111"/>
        <v>Delapan Belas</v>
      </c>
    </row>
    <row r="11519" spans="1:12">
      <c r="A11519" s="38" t="s">
        <v>87</v>
      </c>
      <c r="J11519" s="31">
        <v>19</v>
      </c>
      <c r="K11519" s="33" t="s">
        <v>88</v>
      </c>
      <c r="L11519" s="31" t="str">
        <f t="shared" si="1111"/>
        <v>Sembilan Belas</v>
      </c>
    </row>
    <row r="11520" spans="1:12">
      <c r="A11520" s="31" t="s">
        <v>69</v>
      </c>
      <c r="B11520" s="39" t="e">
        <f>TRUNC(A11498/100000000)</f>
        <v>#REF!</v>
      </c>
      <c r="C11520" s="31" t="e">
        <f>B11520*100000000</f>
        <v>#REF!</v>
      </c>
      <c r="D11520" s="31" t="e">
        <f>IF(B11520&lt;1,"",IF(B11520=1,"",VLOOKUP(B11520,$J$3:$L$102,3)))</f>
        <v>#REF!</v>
      </c>
      <c r="E11520" s="31" t="e">
        <f>IF(B11520&lt;1,"",IF(B11520=1,"Seratus "," Ratus "))</f>
        <v>#REF!</v>
      </c>
      <c r="J11520" s="31">
        <v>20</v>
      </c>
      <c r="K11520" s="33" t="s">
        <v>89</v>
      </c>
      <c r="L11520" s="31" t="s">
        <v>90</v>
      </c>
    </row>
    <row r="11521" spans="1:12">
      <c r="A11521" s="31" t="s">
        <v>72</v>
      </c>
      <c r="B11521" s="39" t="e">
        <f>TRUNC((A11498-C11520)/1000000)</f>
        <v>#REF!</v>
      </c>
      <c r="C11521" s="31" t="e">
        <f>B11521*1000000</f>
        <v>#REF!</v>
      </c>
      <c r="D11521" s="31" t="e">
        <f>IF(B11521&lt;1,"",VLOOKUP(B11521,$J$3:$L$102,3))</f>
        <v>#REF!</v>
      </c>
      <c r="E11521" s="31" t="e">
        <f>IF(B11520+B11521=0,""," Juta ")</f>
        <v>#REF!</v>
      </c>
      <c r="J11521" s="31">
        <v>21</v>
      </c>
      <c r="K11521" s="33" t="s">
        <v>91</v>
      </c>
      <c r="L11521" s="31" t="str">
        <f t="shared" ref="L11521:L11529" si="1112">$L$23&amp;" "&amp;L11501</f>
        <v>Dua Puluh Satu</v>
      </c>
    </row>
    <row r="11522" spans="1:12">
      <c r="A11522" s="31" t="s">
        <v>75</v>
      </c>
      <c r="B11522" s="39" t="e">
        <f>TRUNC((A11498-SUM(C11520:C11521))/100000)</f>
        <v>#REF!</v>
      </c>
      <c r="C11522" s="31" t="e">
        <f>B11522*100000</f>
        <v>#REF!</v>
      </c>
      <c r="D11522" s="31" t="e">
        <f>IF(B11522&lt;1,"",IF(B11522=1,"",VLOOKUP(B11522,$J$3:$L$102,3)))</f>
        <v>#REF!</v>
      </c>
      <c r="E11522" s="31" t="e">
        <f>IF(B11522&lt;1,"",IF(B11522=1," Seratus "," Ratus "))</f>
        <v>#REF!</v>
      </c>
      <c r="J11522" s="31">
        <v>22</v>
      </c>
      <c r="K11522" s="33" t="s">
        <v>92</v>
      </c>
      <c r="L11522" s="31" t="str">
        <f t="shared" si="1112"/>
        <v>Dua Puluh Dua</v>
      </c>
    </row>
    <row r="11523" spans="1:12">
      <c r="A11523" s="33" t="s">
        <v>77</v>
      </c>
      <c r="B11523" s="40" t="e">
        <f>TRUNC((A11498-SUM(C11520:C11522))/1000)</f>
        <v>#REF!</v>
      </c>
      <c r="C11523" s="31" t="e">
        <f>B11523*1000</f>
        <v>#REF!</v>
      </c>
      <c r="D11523" s="31" t="e">
        <f>IF(B11523&lt;1,"",IF(B11523=1,"",VLOOKUP(B11523,$J$3:$L$102,3)))</f>
        <v>#REF!</v>
      </c>
      <c r="E11523" s="31" t="e">
        <f>IF(B11522+B11523&lt;1,"",IF(B11523=1," Seribu "," Ribu "))</f>
        <v>#REF!</v>
      </c>
      <c r="J11523" s="31">
        <v>23</v>
      </c>
      <c r="K11523" s="33" t="s">
        <v>93</v>
      </c>
      <c r="L11523" s="31" t="str">
        <f t="shared" si="1112"/>
        <v>Dua Puluh Tiga</v>
      </c>
    </row>
    <row r="11524" spans="1:12">
      <c r="A11524" s="33" t="s">
        <v>79</v>
      </c>
      <c r="B11524" s="40" t="e">
        <f>TRUNC((A11498-SUM(C11520:C11523))/100)</f>
        <v>#REF!</v>
      </c>
      <c r="C11524" s="31" t="e">
        <f>B11524*100</f>
        <v>#REF!</v>
      </c>
      <c r="D11524" s="31" t="e">
        <f>IF(B11524&lt;1,"",IF(B11524=1,"",VLOOKUP(B11524,$J$3:$L$102,3)))</f>
        <v>#REF!</v>
      </c>
      <c r="E11524" s="31" t="e">
        <f>IF(B11524&lt;1,"",IF(B11524=1," Seratus "," Ratus "))</f>
        <v>#REF!</v>
      </c>
      <c r="J11524" s="31">
        <v>24</v>
      </c>
      <c r="K11524" s="33" t="s">
        <v>94</v>
      </c>
      <c r="L11524" s="31" t="str">
        <f t="shared" si="1112"/>
        <v>Dua Puluh Empat</v>
      </c>
    </row>
    <row r="11525" spans="1:12">
      <c r="A11525" s="33" t="s">
        <v>81</v>
      </c>
      <c r="B11525" s="41" t="e">
        <f>TRUNC((A11498-SUM(C11520:C11524)))</f>
        <v>#REF!</v>
      </c>
      <c r="C11525" s="42" t="e">
        <f>B11525</f>
        <v>#REF!</v>
      </c>
      <c r="D11525" s="31" t="e">
        <f>IF(B11525&lt;1,"",VLOOKUP(B11525,$J$3:$L$102,3))</f>
        <v>#REF!</v>
      </c>
      <c r="E11525" s="31" t="e">
        <f>IF(SUM(C11520:C11525)&lt;1,"",IF(B11526&lt;1,""," Dan "))</f>
        <v>#REF!</v>
      </c>
      <c r="J11525" s="31">
        <v>25</v>
      </c>
      <c r="K11525" s="33" t="s">
        <v>95</v>
      </c>
      <c r="L11525" s="31" t="str">
        <f t="shared" si="1112"/>
        <v>Dua Puluh Lima</v>
      </c>
    </row>
    <row r="11526" spans="1:12">
      <c r="A11526" s="33" t="s">
        <v>83</v>
      </c>
      <c r="B11526" s="40" t="e">
        <f>ROUND(A11498-SUM(C11520:C11525),2)*100</f>
        <v>#REF!</v>
      </c>
      <c r="D11526" s="31" t="e">
        <f>IF(B11526&lt;1,"",VLOOKUP(B11526,$J$3:$L$102,3))</f>
        <v>#REF!</v>
      </c>
      <c r="E11526" s="31" t="e">
        <f>IF(B11526&lt;1,""," Sen ")</f>
        <v>#REF!</v>
      </c>
      <c r="J11526" s="31">
        <v>26</v>
      </c>
      <c r="K11526" s="33" t="s">
        <v>96</v>
      </c>
      <c r="L11526" s="31" t="str">
        <f t="shared" si="1112"/>
        <v>Dua Puluh Enam</v>
      </c>
    </row>
    <row r="11527" spans="1:12">
      <c r="J11527" s="31">
        <v>27</v>
      </c>
      <c r="K11527" s="33" t="s">
        <v>97</v>
      </c>
      <c r="L11527" s="31" t="str">
        <f t="shared" si="1112"/>
        <v>Dua Puluh Tujuh</v>
      </c>
    </row>
    <row r="11528" spans="1:12">
      <c r="J11528" s="31">
        <v>28</v>
      </c>
      <c r="K11528" s="33" t="s">
        <v>98</v>
      </c>
      <c r="L11528" s="31" t="str">
        <f t="shared" si="1112"/>
        <v>Dua Puluh Delapan</v>
      </c>
    </row>
    <row r="11529" spans="1:12">
      <c r="J11529" s="31">
        <v>29</v>
      </c>
      <c r="K11529" s="33" t="s">
        <v>99</v>
      </c>
      <c r="L11529" s="31" t="str">
        <f t="shared" si="1112"/>
        <v>Dua Puluh Sembilan</v>
      </c>
    </row>
    <row r="11530" spans="1:12">
      <c r="J11530" s="31">
        <v>30</v>
      </c>
      <c r="K11530" s="33" t="s">
        <v>100</v>
      </c>
      <c r="L11530" s="31" t="s">
        <v>101</v>
      </c>
    </row>
    <row r="11531" spans="1:12">
      <c r="J11531" s="31">
        <v>31</v>
      </c>
      <c r="K11531" s="33" t="s">
        <v>102</v>
      </c>
      <c r="L11531" s="31" t="str">
        <f t="shared" ref="L11531:L11539" si="1113">$L$33&amp;" "&amp;L11501</f>
        <v>Tiga Puluh Satu</v>
      </c>
    </row>
    <row r="11532" spans="1:12">
      <c r="J11532" s="31">
        <v>32</v>
      </c>
      <c r="K11532" s="33" t="s">
        <v>103</v>
      </c>
      <c r="L11532" s="31" t="str">
        <f t="shared" si="1113"/>
        <v>Tiga Puluh Dua</v>
      </c>
    </row>
    <row r="11533" spans="1:12">
      <c r="J11533" s="31">
        <v>33</v>
      </c>
      <c r="K11533" s="33" t="s">
        <v>104</v>
      </c>
      <c r="L11533" s="31" t="str">
        <f t="shared" si="1113"/>
        <v>Tiga Puluh Tiga</v>
      </c>
    </row>
    <row r="11534" spans="1:12">
      <c r="J11534" s="31">
        <v>34</v>
      </c>
      <c r="K11534" s="33" t="s">
        <v>105</v>
      </c>
      <c r="L11534" s="31" t="str">
        <f t="shared" si="1113"/>
        <v>Tiga Puluh Empat</v>
      </c>
    </row>
    <row r="11535" spans="1:12">
      <c r="J11535" s="31">
        <v>35</v>
      </c>
      <c r="K11535" s="33" t="s">
        <v>106</v>
      </c>
      <c r="L11535" s="31" t="str">
        <f t="shared" si="1113"/>
        <v>Tiga Puluh Lima</v>
      </c>
    </row>
    <row r="11536" spans="1:12">
      <c r="J11536" s="31">
        <v>36</v>
      </c>
      <c r="K11536" s="33" t="s">
        <v>107</v>
      </c>
      <c r="L11536" s="31" t="str">
        <f t="shared" si="1113"/>
        <v>Tiga Puluh Enam</v>
      </c>
    </row>
    <row r="11537" spans="1:12">
      <c r="J11537" s="31">
        <v>37</v>
      </c>
      <c r="K11537" s="33" t="s">
        <v>108</v>
      </c>
      <c r="L11537" s="31" t="str">
        <f t="shared" si="1113"/>
        <v>Tiga Puluh Tujuh</v>
      </c>
    </row>
    <row r="11538" spans="1:12">
      <c r="J11538" s="31">
        <v>38</v>
      </c>
      <c r="K11538" s="33" t="s">
        <v>109</v>
      </c>
      <c r="L11538" s="31" t="str">
        <f t="shared" si="1113"/>
        <v>Tiga Puluh Delapan</v>
      </c>
    </row>
    <row r="11539" spans="1:12">
      <c r="J11539" s="31">
        <v>39</v>
      </c>
      <c r="K11539" s="33" t="s">
        <v>110</v>
      </c>
      <c r="L11539" s="31" t="str">
        <f t="shared" si="1113"/>
        <v>Tiga Puluh Sembilan</v>
      </c>
    </row>
    <row r="11540" spans="1:12">
      <c r="B11540" s="35"/>
      <c r="C11540" s="35"/>
      <c r="D11540" s="35"/>
      <c r="J11540" s="31">
        <v>40</v>
      </c>
      <c r="K11540" s="33" t="s">
        <v>111</v>
      </c>
      <c r="L11540" s="31" t="s">
        <v>112</v>
      </c>
    </row>
    <row r="11541" spans="1:12">
      <c r="A11541" s="35"/>
      <c r="B11541" s="35"/>
      <c r="C11541" s="35"/>
      <c r="D11541" s="35"/>
      <c r="J11541" s="31">
        <v>41</v>
      </c>
      <c r="K11541" s="33" t="s">
        <v>113</v>
      </c>
      <c r="L11541" s="31" t="str">
        <f t="shared" ref="L11541:L11549" si="1114">$L$43&amp;" "&amp;L11501</f>
        <v>Empat Puluh Satu</v>
      </c>
    </row>
    <row r="11542" spans="1:12">
      <c r="J11542" s="31">
        <v>42</v>
      </c>
      <c r="K11542" s="33" t="s">
        <v>114</v>
      </c>
      <c r="L11542" s="31" t="str">
        <f t="shared" si="1114"/>
        <v>Empat Puluh Dua</v>
      </c>
    </row>
    <row r="11543" spans="1:12">
      <c r="A11543" s="38"/>
      <c r="J11543" s="31">
        <v>43</v>
      </c>
      <c r="K11543" s="33" t="s">
        <v>115</v>
      </c>
      <c r="L11543" s="31" t="str">
        <f t="shared" si="1114"/>
        <v>Empat Puluh Tiga</v>
      </c>
    </row>
    <row r="11544" spans="1:12">
      <c r="J11544" s="31">
        <v>44</v>
      </c>
      <c r="K11544" s="33" t="s">
        <v>116</v>
      </c>
      <c r="L11544" s="31" t="str">
        <f t="shared" si="1114"/>
        <v>Empat Puluh Empat</v>
      </c>
    </row>
    <row r="11545" spans="1:12">
      <c r="J11545" s="31">
        <v>45</v>
      </c>
      <c r="K11545" s="33" t="s">
        <v>117</v>
      </c>
      <c r="L11545" s="31" t="str">
        <f t="shared" si="1114"/>
        <v>Empat Puluh Lima</v>
      </c>
    </row>
    <row r="11546" spans="1:12">
      <c r="J11546" s="31">
        <v>46</v>
      </c>
      <c r="K11546" s="33" t="s">
        <v>118</v>
      </c>
      <c r="L11546" s="31" t="str">
        <f t="shared" si="1114"/>
        <v>Empat Puluh Enam</v>
      </c>
    </row>
    <row r="11547" spans="1:12">
      <c r="J11547" s="31">
        <v>47</v>
      </c>
      <c r="K11547" s="33" t="s">
        <v>119</v>
      </c>
      <c r="L11547" s="31" t="str">
        <f t="shared" si="1114"/>
        <v>Empat Puluh Tujuh</v>
      </c>
    </row>
    <row r="11548" spans="1:12">
      <c r="J11548" s="31">
        <v>48</v>
      </c>
      <c r="K11548" s="33" t="s">
        <v>120</v>
      </c>
      <c r="L11548" s="31" t="str">
        <f t="shared" si="1114"/>
        <v>Empat Puluh Delapan</v>
      </c>
    </row>
    <row r="11549" spans="1:12">
      <c r="J11549" s="31">
        <v>49</v>
      </c>
      <c r="K11549" s="33" t="s">
        <v>121</v>
      </c>
      <c r="L11549" s="31" t="str">
        <f t="shared" si="1114"/>
        <v>Empat Puluh Sembilan</v>
      </c>
    </row>
    <row r="11550" spans="1:12">
      <c r="J11550" s="31">
        <v>50</v>
      </c>
      <c r="K11550" s="33" t="s">
        <v>122</v>
      </c>
      <c r="L11550" s="31" t="s">
        <v>123</v>
      </c>
    </row>
    <row r="11551" spans="1:12">
      <c r="J11551" s="31">
        <v>51</v>
      </c>
      <c r="K11551" s="33" t="s">
        <v>124</v>
      </c>
      <c r="L11551" s="31" t="str">
        <f t="shared" ref="L11551:L11559" si="1115">$L$53&amp;" "&amp;L11501</f>
        <v>Lima Puluh Satu</v>
      </c>
    </row>
    <row r="11552" spans="1:12">
      <c r="J11552" s="31">
        <v>52</v>
      </c>
      <c r="K11552" s="33" t="s">
        <v>125</v>
      </c>
      <c r="L11552" s="31" t="str">
        <f t="shared" si="1115"/>
        <v>Lima Puluh Dua</v>
      </c>
    </row>
    <row r="11553" spans="10:12">
      <c r="J11553" s="31">
        <v>53</v>
      </c>
      <c r="K11553" s="33" t="s">
        <v>126</v>
      </c>
      <c r="L11553" s="31" t="str">
        <f t="shared" si="1115"/>
        <v>Lima Puluh Tiga</v>
      </c>
    </row>
    <row r="11554" spans="10:12">
      <c r="J11554" s="31">
        <v>54</v>
      </c>
      <c r="K11554" s="33" t="s">
        <v>127</v>
      </c>
      <c r="L11554" s="31" t="str">
        <f t="shared" si="1115"/>
        <v>Lima Puluh Empat</v>
      </c>
    </row>
    <row r="11555" spans="10:12">
      <c r="J11555" s="31">
        <v>55</v>
      </c>
      <c r="K11555" s="33" t="s">
        <v>128</v>
      </c>
      <c r="L11555" s="31" t="str">
        <f t="shared" si="1115"/>
        <v>Lima Puluh Lima</v>
      </c>
    </row>
    <row r="11556" spans="10:12">
      <c r="J11556" s="31">
        <v>56</v>
      </c>
      <c r="K11556" s="33" t="s">
        <v>129</v>
      </c>
      <c r="L11556" s="31" t="str">
        <f t="shared" si="1115"/>
        <v>Lima Puluh Enam</v>
      </c>
    </row>
    <row r="11557" spans="10:12">
      <c r="J11557" s="31">
        <v>57</v>
      </c>
      <c r="K11557" s="33" t="s">
        <v>130</v>
      </c>
      <c r="L11557" s="31" t="str">
        <f t="shared" si="1115"/>
        <v>Lima Puluh Tujuh</v>
      </c>
    </row>
    <row r="11558" spans="10:12">
      <c r="J11558" s="31">
        <v>58</v>
      </c>
      <c r="K11558" s="33" t="s">
        <v>131</v>
      </c>
      <c r="L11558" s="31" t="str">
        <f t="shared" si="1115"/>
        <v>Lima Puluh Delapan</v>
      </c>
    </row>
    <row r="11559" spans="10:12">
      <c r="J11559" s="31">
        <v>59</v>
      </c>
      <c r="K11559" s="33" t="s">
        <v>132</v>
      </c>
      <c r="L11559" s="31" t="str">
        <f t="shared" si="1115"/>
        <v>Lima Puluh Sembilan</v>
      </c>
    </row>
    <row r="11560" spans="10:12">
      <c r="J11560" s="31">
        <v>60</v>
      </c>
      <c r="K11560" s="33" t="s">
        <v>133</v>
      </c>
      <c r="L11560" s="31" t="s">
        <v>134</v>
      </c>
    </row>
    <row r="11561" spans="10:12">
      <c r="J11561" s="31">
        <v>61</v>
      </c>
      <c r="K11561" s="33" t="s">
        <v>135</v>
      </c>
      <c r="L11561" s="31" t="str">
        <f t="shared" ref="L11561:L11569" si="1116">$L$63&amp;" "&amp;L11501</f>
        <v>Enam Puluh Satu</v>
      </c>
    </row>
    <row r="11562" spans="10:12">
      <c r="J11562" s="31">
        <v>62</v>
      </c>
      <c r="K11562" s="33" t="s">
        <v>136</v>
      </c>
      <c r="L11562" s="31" t="str">
        <f t="shared" si="1116"/>
        <v>Enam Puluh Dua</v>
      </c>
    </row>
    <row r="11563" spans="10:12">
      <c r="J11563" s="31">
        <v>63</v>
      </c>
      <c r="K11563" s="33" t="s">
        <v>137</v>
      </c>
      <c r="L11563" s="31" t="str">
        <f t="shared" si="1116"/>
        <v>Enam Puluh Tiga</v>
      </c>
    </row>
    <row r="11564" spans="10:12">
      <c r="J11564" s="31">
        <v>64</v>
      </c>
      <c r="K11564" s="33" t="s">
        <v>138</v>
      </c>
      <c r="L11564" s="31" t="str">
        <f t="shared" si="1116"/>
        <v>Enam Puluh Empat</v>
      </c>
    </row>
    <row r="11565" spans="10:12">
      <c r="J11565" s="31">
        <v>65</v>
      </c>
      <c r="K11565" s="33" t="s">
        <v>139</v>
      </c>
      <c r="L11565" s="31" t="str">
        <f t="shared" si="1116"/>
        <v>Enam Puluh Lima</v>
      </c>
    </row>
    <row r="11566" spans="10:12">
      <c r="J11566" s="31">
        <v>66</v>
      </c>
      <c r="K11566" s="33" t="s">
        <v>140</v>
      </c>
      <c r="L11566" s="31" t="str">
        <f t="shared" si="1116"/>
        <v>Enam Puluh Enam</v>
      </c>
    </row>
    <row r="11567" spans="10:12">
      <c r="J11567" s="31">
        <v>67</v>
      </c>
      <c r="K11567" s="33" t="s">
        <v>141</v>
      </c>
      <c r="L11567" s="31" t="str">
        <f t="shared" si="1116"/>
        <v>Enam Puluh Tujuh</v>
      </c>
    </row>
    <row r="11568" spans="10:12">
      <c r="J11568" s="31">
        <v>68</v>
      </c>
      <c r="K11568" s="33" t="s">
        <v>142</v>
      </c>
      <c r="L11568" s="31" t="str">
        <f t="shared" si="1116"/>
        <v>Enam Puluh Delapan</v>
      </c>
    </row>
    <row r="11569" spans="10:12">
      <c r="J11569" s="31">
        <v>69</v>
      </c>
      <c r="K11569" s="33" t="s">
        <v>143</v>
      </c>
      <c r="L11569" s="31" t="str">
        <f t="shared" si="1116"/>
        <v>Enam Puluh Sembilan</v>
      </c>
    </row>
    <row r="11570" spans="10:12">
      <c r="J11570" s="31">
        <v>70</v>
      </c>
      <c r="K11570" s="33" t="s">
        <v>144</v>
      </c>
      <c r="L11570" s="31" t="s">
        <v>145</v>
      </c>
    </row>
    <row r="11571" spans="10:12">
      <c r="J11571" s="31">
        <v>71</v>
      </c>
      <c r="K11571" s="33" t="s">
        <v>146</v>
      </c>
      <c r="L11571" s="31" t="str">
        <f t="shared" ref="L11571:L11579" si="1117">$L$73&amp;" "&amp;L11501</f>
        <v>Tujuh Puluh Satu</v>
      </c>
    </row>
    <row r="11572" spans="10:12">
      <c r="J11572" s="31">
        <v>72</v>
      </c>
      <c r="K11572" s="33" t="s">
        <v>147</v>
      </c>
      <c r="L11572" s="31" t="str">
        <f t="shared" si="1117"/>
        <v>Tujuh Puluh Dua</v>
      </c>
    </row>
    <row r="11573" spans="10:12">
      <c r="J11573" s="31">
        <v>73</v>
      </c>
      <c r="K11573" s="33" t="s">
        <v>148</v>
      </c>
      <c r="L11573" s="31" t="str">
        <f t="shared" si="1117"/>
        <v>Tujuh Puluh Tiga</v>
      </c>
    </row>
    <row r="11574" spans="10:12">
      <c r="J11574" s="31">
        <v>74</v>
      </c>
      <c r="K11574" s="33" t="s">
        <v>149</v>
      </c>
      <c r="L11574" s="31" t="str">
        <f t="shared" si="1117"/>
        <v>Tujuh Puluh Empat</v>
      </c>
    </row>
    <row r="11575" spans="10:12">
      <c r="J11575" s="31">
        <v>75</v>
      </c>
      <c r="K11575" s="33" t="s">
        <v>150</v>
      </c>
      <c r="L11575" s="31" t="str">
        <f t="shared" si="1117"/>
        <v>Tujuh Puluh Lima</v>
      </c>
    </row>
    <row r="11576" spans="10:12">
      <c r="J11576" s="31">
        <v>76</v>
      </c>
      <c r="K11576" s="33" t="s">
        <v>151</v>
      </c>
      <c r="L11576" s="31" t="str">
        <f t="shared" si="1117"/>
        <v>Tujuh Puluh Enam</v>
      </c>
    </row>
    <row r="11577" spans="10:12">
      <c r="J11577" s="31">
        <v>77</v>
      </c>
      <c r="K11577" s="33" t="s">
        <v>152</v>
      </c>
      <c r="L11577" s="31" t="str">
        <f t="shared" si="1117"/>
        <v>Tujuh Puluh Tujuh</v>
      </c>
    </row>
    <row r="11578" spans="10:12">
      <c r="J11578" s="31">
        <v>78</v>
      </c>
      <c r="K11578" s="33" t="s">
        <v>153</v>
      </c>
      <c r="L11578" s="31" t="str">
        <f t="shared" si="1117"/>
        <v>Tujuh Puluh Delapan</v>
      </c>
    </row>
    <row r="11579" spans="10:12">
      <c r="J11579" s="31">
        <v>79</v>
      </c>
      <c r="K11579" s="33" t="s">
        <v>154</v>
      </c>
      <c r="L11579" s="31" t="str">
        <f t="shared" si="1117"/>
        <v>Tujuh Puluh Sembilan</v>
      </c>
    </row>
    <row r="11580" spans="10:12">
      <c r="J11580" s="31">
        <v>80</v>
      </c>
      <c r="K11580" s="33" t="s">
        <v>155</v>
      </c>
      <c r="L11580" s="31" t="s">
        <v>156</v>
      </c>
    </row>
    <row r="11581" spans="10:12">
      <c r="J11581" s="31">
        <v>81</v>
      </c>
      <c r="K11581" s="33" t="s">
        <v>157</v>
      </c>
      <c r="L11581" s="31" t="str">
        <f t="shared" ref="L11581:L11589" si="1118">$L$83&amp;" "&amp;L11501</f>
        <v>Delapan Puluh Satu</v>
      </c>
    </row>
    <row r="11582" spans="10:12">
      <c r="J11582" s="31">
        <v>82</v>
      </c>
      <c r="K11582" s="33" t="s">
        <v>158</v>
      </c>
      <c r="L11582" s="31" t="str">
        <f t="shared" si="1118"/>
        <v>Delapan Puluh Dua</v>
      </c>
    </row>
    <row r="11583" spans="10:12">
      <c r="J11583" s="31">
        <v>83</v>
      </c>
      <c r="K11583" s="33" t="s">
        <v>159</v>
      </c>
      <c r="L11583" s="31" t="str">
        <f t="shared" si="1118"/>
        <v>Delapan Puluh Tiga</v>
      </c>
    </row>
    <row r="11584" spans="10:12">
      <c r="J11584" s="31">
        <v>84</v>
      </c>
      <c r="K11584" s="33" t="s">
        <v>160</v>
      </c>
      <c r="L11584" s="31" t="str">
        <f t="shared" si="1118"/>
        <v>Delapan Puluh Empat</v>
      </c>
    </row>
    <row r="11585" spans="10:12">
      <c r="J11585" s="31">
        <v>85</v>
      </c>
      <c r="K11585" s="33" t="s">
        <v>161</v>
      </c>
      <c r="L11585" s="31" t="str">
        <f t="shared" si="1118"/>
        <v>Delapan Puluh Lima</v>
      </c>
    </row>
    <row r="11586" spans="10:12">
      <c r="J11586" s="31">
        <v>86</v>
      </c>
      <c r="K11586" s="33" t="s">
        <v>162</v>
      </c>
      <c r="L11586" s="31" t="str">
        <f t="shared" si="1118"/>
        <v>Delapan Puluh Enam</v>
      </c>
    </row>
    <row r="11587" spans="10:12">
      <c r="J11587" s="31">
        <v>87</v>
      </c>
      <c r="K11587" s="33" t="s">
        <v>163</v>
      </c>
      <c r="L11587" s="31" t="str">
        <f t="shared" si="1118"/>
        <v>Delapan Puluh Tujuh</v>
      </c>
    </row>
    <row r="11588" spans="10:12">
      <c r="J11588" s="31">
        <v>88</v>
      </c>
      <c r="K11588" s="33" t="s">
        <v>164</v>
      </c>
      <c r="L11588" s="31" t="str">
        <f t="shared" si="1118"/>
        <v>Delapan Puluh Delapan</v>
      </c>
    </row>
    <row r="11589" spans="10:12">
      <c r="J11589" s="31">
        <v>89</v>
      </c>
      <c r="K11589" s="33" t="s">
        <v>165</v>
      </c>
      <c r="L11589" s="31" t="str">
        <f t="shared" si="1118"/>
        <v>Delapan Puluh Sembilan</v>
      </c>
    </row>
    <row r="11590" spans="10:12">
      <c r="J11590" s="31">
        <v>90</v>
      </c>
      <c r="K11590" s="33" t="s">
        <v>166</v>
      </c>
      <c r="L11590" s="31" t="s">
        <v>167</v>
      </c>
    </row>
    <row r="11591" spans="10:12">
      <c r="J11591" s="31">
        <v>91</v>
      </c>
      <c r="K11591" s="33" t="s">
        <v>168</v>
      </c>
      <c r="L11591" s="31" t="str">
        <f t="shared" ref="L11591:L11599" si="1119">$L$93&amp;" "&amp;L11501</f>
        <v>Sembilan Puluh Satu</v>
      </c>
    </row>
    <row r="11592" spans="10:12">
      <c r="J11592" s="31">
        <v>92</v>
      </c>
      <c r="K11592" s="33" t="s">
        <v>169</v>
      </c>
      <c r="L11592" s="31" t="str">
        <f t="shared" si="1119"/>
        <v>Sembilan Puluh Dua</v>
      </c>
    </row>
    <row r="11593" spans="10:12">
      <c r="J11593" s="31">
        <v>93</v>
      </c>
      <c r="K11593" s="33" t="s">
        <v>170</v>
      </c>
      <c r="L11593" s="31" t="str">
        <f t="shared" si="1119"/>
        <v>Sembilan Puluh Tiga</v>
      </c>
    </row>
    <row r="11594" spans="10:12">
      <c r="J11594" s="31">
        <v>94</v>
      </c>
      <c r="K11594" s="33" t="s">
        <v>171</v>
      </c>
      <c r="L11594" s="31" t="str">
        <f t="shared" si="1119"/>
        <v>Sembilan Puluh Empat</v>
      </c>
    </row>
    <row r="11595" spans="10:12">
      <c r="J11595" s="31">
        <v>95</v>
      </c>
      <c r="K11595" s="33" t="s">
        <v>172</v>
      </c>
      <c r="L11595" s="31" t="str">
        <f t="shared" si="1119"/>
        <v>Sembilan Puluh Lima</v>
      </c>
    </row>
    <row r="11596" spans="10:12">
      <c r="J11596" s="31">
        <v>96</v>
      </c>
      <c r="K11596" s="33" t="s">
        <v>173</v>
      </c>
      <c r="L11596" s="31" t="str">
        <f t="shared" si="1119"/>
        <v>Sembilan Puluh Enam</v>
      </c>
    </row>
    <row r="11597" spans="10:12">
      <c r="J11597" s="31">
        <v>97</v>
      </c>
      <c r="K11597" s="33" t="s">
        <v>174</v>
      </c>
      <c r="L11597" s="31" t="str">
        <f t="shared" si="1119"/>
        <v>Sembilan Puluh Tujuh</v>
      </c>
    </row>
    <row r="11598" spans="10:12">
      <c r="J11598" s="31">
        <v>98</v>
      </c>
      <c r="K11598" s="33" t="s">
        <v>175</v>
      </c>
      <c r="L11598" s="31" t="str">
        <f t="shared" si="1119"/>
        <v>Sembilan Puluh Delapan</v>
      </c>
    </row>
    <row r="11599" spans="10:12">
      <c r="J11599" s="31">
        <v>99</v>
      </c>
      <c r="K11599" s="33" t="s">
        <v>176</v>
      </c>
      <c r="L11599" s="31" t="str">
        <f t="shared" si="1119"/>
        <v>Sembilan Puluh Sembilan</v>
      </c>
    </row>
    <row r="11601" spans="1:12">
      <c r="A11601" s="30" t="e">
        <f>#REF!</f>
        <v>#REF!</v>
      </c>
      <c r="C11601" s="31" t="s">
        <v>346</v>
      </c>
    </row>
    <row r="11602" spans="1:12">
      <c r="A11602" s="32"/>
    </row>
    <row r="11603" spans="1:12">
      <c r="J11603" s="31">
        <v>0</v>
      </c>
      <c r="K11603" s="33" t="s">
        <v>48</v>
      </c>
      <c r="L11603" s="31" t="s">
        <v>49</v>
      </c>
    </row>
    <row r="11604" spans="1:12">
      <c r="A11604" s="34"/>
      <c r="J11604" s="31">
        <v>1</v>
      </c>
      <c r="K11604" s="33" t="s">
        <v>50</v>
      </c>
      <c r="L11604" s="31" t="s">
        <v>51</v>
      </c>
    </row>
    <row r="11605" spans="1:12">
      <c r="A11605" s="255" t="e">
        <f>TRIM(D11613&amp;E11613&amp;D11614&amp;E11614&amp;D11615&amp;E11615&amp;D11616&amp;E11616&amp;D11617&amp;E11617&amp;D11618&amp;E11618&amp;E11619&amp;D11619&amp;" Only")</f>
        <v>#REF!</v>
      </c>
      <c r="B11605" s="255"/>
      <c r="C11605" s="255"/>
      <c r="D11605" s="255"/>
      <c r="E11605" s="35"/>
      <c r="F11605" s="36"/>
      <c r="J11605" s="31">
        <v>2</v>
      </c>
      <c r="K11605" s="33" t="s">
        <v>52</v>
      </c>
      <c r="L11605" s="31" t="s">
        <v>53</v>
      </c>
    </row>
    <row r="11606" spans="1:12">
      <c r="A11606" s="37"/>
      <c r="B11606" s="37"/>
      <c r="C11606" s="37"/>
      <c r="D11606" s="37"/>
      <c r="E11606" s="35"/>
      <c r="F11606" s="36"/>
      <c r="J11606" s="31">
        <v>3</v>
      </c>
      <c r="K11606" s="33" t="s">
        <v>54</v>
      </c>
      <c r="L11606" s="31" t="s">
        <v>55</v>
      </c>
    </row>
    <row r="11607" spans="1:12">
      <c r="A11607" s="37"/>
      <c r="B11607" s="37"/>
      <c r="C11607" s="37"/>
      <c r="D11607" s="37"/>
      <c r="J11607" s="31">
        <v>4</v>
      </c>
      <c r="K11607" s="33" t="s">
        <v>56</v>
      </c>
      <c r="L11607" s="31" t="s">
        <v>57</v>
      </c>
    </row>
    <row r="11608" spans="1:12">
      <c r="A11608" s="255" t="e">
        <f>TRIM(D11623&amp;E11623&amp;D11624&amp;E11624&amp;D11625&amp;E11625&amp;D11626&amp;E11626&amp;D11627&amp;E11627&amp;D11628&amp;E11628&amp;D11629&amp;E11629&amp;" Rupiah")</f>
        <v>#REF!</v>
      </c>
      <c r="B11608" s="255"/>
      <c r="C11608" s="255"/>
      <c r="D11608" s="255"/>
      <c r="E11608" s="35"/>
      <c r="F11608" s="36"/>
      <c r="J11608" s="31">
        <v>5</v>
      </c>
      <c r="K11608" s="33" t="s">
        <v>58</v>
      </c>
      <c r="L11608" s="31" t="s">
        <v>59</v>
      </c>
    </row>
    <row r="11609" spans="1:12">
      <c r="A11609" s="35"/>
      <c r="B11609" s="35"/>
      <c r="C11609" s="35"/>
      <c r="D11609" s="35"/>
      <c r="E11609" s="35"/>
      <c r="F11609" s="36"/>
      <c r="J11609" s="31">
        <v>6</v>
      </c>
      <c r="K11609" s="33" t="s">
        <v>60</v>
      </c>
      <c r="L11609" s="31" t="s">
        <v>61</v>
      </c>
    </row>
    <row r="11610" spans="1:12">
      <c r="J11610" s="31">
        <v>7</v>
      </c>
      <c r="K11610" s="33" t="s">
        <v>62</v>
      </c>
      <c r="L11610" s="31" t="s">
        <v>63</v>
      </c>
    </row>
    <row r="11611" spans="1:12">
      <c r="J11611" s="31">
        <v>8</v>
      </c>
      <c r="K11611" s="33" t="s">
        <v>64</v>
      </c>
      <c r="L11611" s="31" t="s">
        <v>65</v>
      </c>
    </row>
    <row r="11612" spans="1:12">
      <c r="A11612" s="38" t="s">
        <v>66</v>
      </c>
      <c r="J11612" s="31">
        <v>9</v>
      </c>
      <c r="K11612" s="33" t="s">
        <v>67</v>
      </c>
      <c r="L11612" s="31" t="s">
        <v>68</v>
      </c>
    </row>
    <row r="11613" spans="1:12">
      <c r="A11613" s="31" t="s">
        <v>69</v>
      </c>
      <c r="B11613" s="39" t="e">
        <f>TRUNC(A11601/100000000)</f>
        <v>#REF!</v>
      </c>
      <c r="C11613" s="31" t="e">
        <f>B11613*100000000</f>
        <v>#REF!</v>
      </c>
      <c r="D11613" s="31" t="e">
        <f t="shared" ref="D11613:D11619" si="1120">IF(B11613&lt;1,"",VLOOKUP(B11613,$J$3:$K$102,2))</f>
        <v>#REF!</v>
      </c>
      <c r="E11613" s="31" t="e">
        <f>IF(B11613&lt;1,"",IF(B11613&gt;1," Hundreds "," Hundred "))</f>
        <v>#REF!</v>
      </c>
      <c r="J11613" s="31">
        <v>10</v>
      </c>
      <c r="K11613" s="33" t="s">
        <v>70</v>
      </c>
      <c r="L11613" s="31" t="s">
        <v>71</v>
      </c>
    </row>
    <row r="11614" spans="1:12">
      <c r="A11614" s="31" t="s">
        <v>72</v>
      </c>
      <c r="B11614" s="39" t="e">
        <f>TRUNC((A11601-C11613)/1000000)</f>
        <v>#REF!</v>
      </c>
      <c r="C11614" s="31" t="e">
        <f>B11614*1000000</f>
        <v>#REF!</v>
      </c>
      <c r="D11614" s="31" t="e">
        <f t="shared" si="1120"/>
        <v>#REF!</v>
      </c>
      <c r="E11614" s="31" t="e">
        <f>IF(B11613+B11614=0,"",IF(B11614=1," Million "," Millions "))</f>
        <v>#REF!</v>
      </c>
      <c r="J11614" s="31">
        <v>11</v>
      </c>
      <c r="K11614" s="33" t="s">
        <v>73</v>
      </c>
      <c r="L11614" s="31" t="s">
        <v>74</v>
      </c>
    </row>
    <row r="11615" spans="1:12">
      <c r="A11615" s="31" t="s">
        <v>75</v>
      </c>
      <c r="B11615" s="39" t="e">
        <f>TRUNC((A11601-SUM(C11613:C11614))/100000)</f>
        <v>#REF!</v>
      </c>
      <c r="C11615" s="31" t="e">
        <f>B11615*100000</f>
        <v>#REF!</v>
      </c>
      <c r="D11615" s="31" t="e">
        <f t="shared" si="1120"/>
        <v>#REF!</v>
      </c>
      <c r="E11615" s="31" t="e">
        <f>IF(B11615&lt;1,"",IF(B11615&gt;1," Hundreds "," Hundred "))</f>
        <v>#REF!</v>
      </c>
      <c r="J11615" s="31">
        <v>12</v>
      </c>
      <c r="K11615" s="33" t="s">
        <v>76</v>
      </c>
      <c r="L11615" s="31" t="str">
        <f t="shared" ref="L11615:L11622" si="1121">L11605&amp;" Belas"</f>
        <v>Dua Belas</v>
      </c>
    </row>
    <row r="11616" spans="1:12">
      <c r="A11616" s="33" t="s">
        <v>77</v>
      </c>
      <c r="B11616" s="40" t="e">
        <f>TRUNC((A11601-SUM(C11613:C11615))/1000)</f>
        <v>#REF!</v>
      </c>
      <c r="C11616" s="31" t="e">
        <f>B11616*1000</f>
        <v>#REF!</v>
      </c>
      <c r="D11616" s="31" t="e">
        <f t="shared" si="1120"/>
        <v>#REF!</v>
      </c>
      <c r="E11616" s="31" t="e">
        <f>IF(B11615+B11616=0,"",IF(B11616=1," Thousand "," Thousands "))</f>
        <v>#REF!</v>
      </c>
      <c r="J11616" s="31">
        <v>13</v>
      </c>
      <c r="K11616" s="33" t="s">
        <v>78</v>
      </c>
      <c r="L11616" s="31" t="str">
        <f t="shared" si="1121"/>
        <v>Tiga Belas</v>
      </c>
    </row>
    <row r="11617" spans="1:12">
      <c r="A11617" s="33" t="s">
        <v>79</v>
      </c>
      <c r="B11617" s="40" t="e">
        <f>TRUNC((A11601-SUM(C11613:C11616))/100)</f>
        <v>#REF!</v>
      </c>
      <c r="C11617" s="31" t="e">
        <f>B11617*100</f>
        <v>#REF!</v>
      </c>
      <c r="D11617" s="31" t="e">
        <f t="shared" si="1120"/>
        <v>#REF!</v>
      </c>
      <c r="E11617" s="31" t="e">
        <f>IF(B11617&lt;1,"",IF(B11617&gt;1," Hundreds "," Hundred "))</f>
        <v>#REF!</v>
      </c>
      <c r="J11617" s="31">
        <v>14</v>
      </c>
      <c r="K11617" s="33" t="s">
        <v>80</v>
      </c>
      <c r="L11617" s="31" t="str">
        <f t="shared" si="1121"/>
        <v>Empat Belas</v>
      </c>
    </row>
    <row r="11618" spans="1:12">
      <c r="A11618" s="33" t="s">
        <v>81</v>
      </c>
      <c r="B11618" s="41" t="e">
        <f>TRUNC((A11601-SUM(C11613:C11617)))</f>
        <v>#REF!</v>
      </c>
      <c r="C11618" s="42" t="e">
        <f>B11618</f>
        <v>#REF!</v>
      </c>
      <c r="D11618" s="31" t="e">
        <f t="shared" si="1120"/>
        <v>#REF!</v>
      </c>
      <c r="E11618" s="31" t="e">
        <f>IF(SUM(C11613:C11618)&lt;1,"",IF(B11619&lt;1,""," And "))</f>
        <v>#REF!</v>
      </c>
      <c r="J11618" s="31">
        <v>15</v>
      </c>
      <c r="K11618" s="33" t="s">
        <v>82</v>
      </c>
      <c r="L11618" s="31" t="str">
        <f t="shared" si="1121"/>
        <v>Lima Belas</v>
      </c>
    </row>
    <row r="11619" spans="1:12">
      <c r="A11619" s="33" t="s">
        <v>83</v>
      </c>
      <c r="B11619" s="40" t="e">
        <f>ROUND(A11601-SUM(C11613:C11618),2)*100</f>
        <v>#REF!</v>
      </c>
      <c r="D11619" s="43" t="e">
        <f t="shared" si="1120"/>
        <v>#REF!</v>
      </c>
      <c r="E11619" s="31" t="e">
        <f>IF(B11619&lt;1,"",IF(B11619=1," Cent "," Cents "))</f>
        <v>#REF!</v>
      </c>
      <c r="J11619" s="31">
        <v>16</v>
      </c>
      <c r="K11619" s="33" t="s">
        <v>84</v>
      </c>
      <c r="L11619" s="31" t="str">
        <f t="shared" si="1121"/>
        <v>Enam Belas</v>
      </c>
    </row>
    <row r="11620" spans="1:12">
      <c r="J11620" s="31">
        <v>17</v>
      </c>
      <c r="K11620" s="33" t="s">
        <v>85</v>
      </c>
      <c r="L11620" s="31" t="str">
        <f t="shared" si="1121"/>
        <v>Tujuh Belas</v>
      </c>
    </row>
    <row r="11621" spans="1:12">
      <c r="A11621" s="44"/>
      <c r="J11621" s="31">
        <v>18</v>
      </c>
      <c r="K11621" s="33" t="s">
        <v>86</v>
      </c>
      <c r="L11621" s="31" t="str">
        <f t="shared" si="1121"/>
        <v>Delapan Belas</v>
      </c>
    </row>
    <row r="11622" spans="1:12">
      <c r="A11622" s="38" t="s">
        <v>87</v>
      </c>
      <c r="J11622" s="31">
        <v>19</v>
      </c>
      <c r="K11622" s="33" t="s">
        <v>88</v>
      </c>
      <c r="L11622" s="31" t="str">
        <f t="shared" si="1121"/>
        <v>Sembilan Belas</v>
      </c>
    </row>
    <row r="11623" spans="1:12">
      <c r="A11623" s="31" t="s">
        <v>69</v>
      </c>
      <c r="B11623" s="39" t="e">
        <f>TRUNC(A11601/100000000)</f>
        <v>#REF!</v>
      </c>
      <c r="C11623" s="31" t="e">
        <f>B11623*100000000</f>
        <v>#REF!</v>
      </c>
      <c r="D11623" s="31" t="e">
        <f>IF(B11623&lt;1,"",IF(B11623=1,"",VLOOKUP(B11623,$J$3:$L$102,3)))</f>
        <v>#REF!</v>
      </c>
      <c r="E11623" s="31" t="e">
        <f>IF(B11623&lt;1,"",IF(B11623=1,"Seratus "," Ratus "))</f>
        <v>#REF!</v>
      </c>
      <c r="J11623" s="31">
        <v>20</v>
      </c>
      <c r="K11623" s="33" t="s">
        <v>89</v>
      </c>
      <c r="L11623" s="31" t="s">
        <v>90</v>
      </c>
    </row>
    <row r="11624" spans="1:12">
      <c r="A11624" s="31" t="s">
        <v>72</v>
      </c>
      <c r="B11624" s="39" t="e">
        <f>TRUNC((A11601-C11623)/1000000)</f>
        <v>#REF!</v>
      </c>
      <c r="C11624" s="31" t="e">
        <f>B11624*1000000</f>
        <v>#REF!</v>
      </c>
      <c r="D11624" s="31" t="e">
        <f>IF(B11624&lt;1,"",VLOOKUP(B11624,$J$3:$L$102,3))</f>
        <v>#REF!</v>
      </c>
      <c r="E11624" s="31" t="e">
        <f>IF(B11623+B11624=0,""," Juta ")</f>
        <v>#REF!</v>
      </c>
      <c r="J11624" s="31">
        <v>21</v>
      </c>
      <c r="K11624" s="33" t="s">
        <v>91</v>
      </c>
      <c r="L11624" s="31" t="str">
        <f t="shared" ref="L11624:L11632" si="1122">$L$23&amp;" "&amp;L11604</f>
        <v>Dua Puluh Satu</v>
      </c>
    </row>
    <row r="11625" spans="1:12">
      <c r="A11625" s="31" t="s">
        <v>75</v>
      </c>
      <c r="B11625" s="39" t="e">
        <f>TRUNC((A11601-SUM(C11623:C11624))/100000)</f>
        <v>#REF!</v>
      </c>
      <c r="C11625" s="31" t="e">
        <f>B11625*100000</f>
        <v>#REF!</v>
      </c>
      <c r="D11625" s="31" t="e">
        <f>IF(B11625&lt;1,"",IF(B11625=1,"",VLOOKUP(B11625,$J$3:$L$102,3)))</f>
        <v>#REF!</v>
      </c>
      <c r="E11625" s="31" t="e">
        <f>IF(B11625&lt;1,"",IF(B11625=1," Seratus "," Ratus "))</f>
        <v>#REF!</v>
      </c>
      <c r="J11625" s="31">
        <v>22</v>
      </c>
      <c r="K11625" s="33" t="s">
        <v>92</v>
      </c>
      <c r="L11625" s="31" t="str">
        <f t="shared" si="1122"/>
        <v>Dua Puluh Dua</v>
      </c>
    </row>
    <row r="11626" spans="1:12">
      <c r="A11626" s="33" t="s">
        <v>77</v>
      </c>
      <c r="B11626" s="40" t="e">
        <f>TRUNC((A11601-SUM(C11623:C11625))/1000)</f>
        <v>#REF!</v>
      </c>
      <c r="C11626" s="31" t="e">
        <f>B11626*1000</f>
        <v>#REF!</v>
      </c>
      <c r="D11626" s="31" t="e">
        <f>IF(B11626&lt;1,"",IF(B11626=1,"",VLOOKUP(B11626,$J$3:$L$102,3)))</f>
        <v>#REF!</v>
      </c>
      <c r="E11626" s="31" t="e">
        <f>IF(B11625+B11626&lt;1,"",IF(B11626=1," Seribu "," Ribu "))</f>
        <v>#REF!</v>
      </c>
      <c r="J11626" s="31">
        <v>23</v>
      </c>
      <c r="K11626" s="33" t="s">
        <v>93</v>
      </c>
      <c r="L11626" s="31" t="str">
        <f t="shared" si="1122"/>
        <v>Dua Puluh Tiga</v>
      </c>
    </row>
    <row r="11627" spans="1:12">
      <c r="A11627" s="33" t="s">
        <v>79</v>
      </c>
      <c r="B11627" s="40" t="e">
        <f>TRUNC((A11601-SUM(C11623:C11626))/100)</f>
        <v>#REF!</v>
      </c>
      <c r="C11627" s="31" t="e">
        <f>B11627*100</f>
        <v>#REF!</v>
      </c>
      <c r="D11627" s="31" t="e">
        <f>IF(B11627&lt;1,"",IF(B11627=1,"",VLOOKUP(B11627,$J$3:$L$102,3)))</f>
        <v>#REF!</v>
      </c>
      <c r="E11627" s="31" t="e">
        <f>IF(B11627&lt;1,"",IF(B11627=1," Seratus "," Ratus "))</f>
        <v>#REF!</v>
      </c>
      <c r="J11627" s="31">
        <v>24</v>
      </c>
      <c r="K11627" s="33" t="s">
        <v>94</v>
      </c>
      <c r="L11627" s="31" t="str">
        <f t="shared" si="1122"/>
        <v>Dua Puluh Empat</v>
      </c>
    </row>
    <row r="11628" spans="1:12">
      <c r="A11628" s="33" t="s">
        <v>81</v>
      </c>
      <c r="B11628" s="41" t="e">
        <f>TRUNC((A11601-SUM(C11623:C11627)))</f>
        <v>#REF!</v>
      </c>
      <c r="C11628" s="42" t="e">
        <f>B11628</f>
        <v>#REF!</v>
      </c>
      <c r="D11628" s="31" t="e">
        <f>IF(B11628&lt;1,"",VLOOKUP(B11628,$J$3:$L$102,3))</f>
        <v>#REF!</v>
      </c>
      <c r="E11628" s="31" t="e">
        <f>IF(SUM(C11623:C11628)&lt;1,"",IF(B11629&lt;1,""," Dan "))</f>
        <v>#REF!</v>
      </c>
      <c r="J11628" s="31">
        <v>25</v>
      </c>
      <c r="K11628" s="33" t="s">
        <v>95</v>
      </c>
      <c r="L11628" s="31" t="str">
        <f t="shared" si="1122"/>
        <v>Dua Puluh Lima</v>
      </c>
    </row>
    <row r="11629" spans="1:12">
      <c r="A11629" s="33" t="s">
        <v>83</v>
      </c>
      <c r="B11629" s="40" t="e">
        <f>ROUND(A11601-SUM(C11623:C11628),2)*100</f>
        <v>#REF!</v>
      </c>
      <c r="D11629" s="31" t="e">
        <f>IF(B11629&lt;1,"",VLOOKUP(B11629,$J$3:$L$102,3))</f>
        <v>#REF!</v>
      </c>
      <c r="E11629" s="31" t="e">
        <f>IF(B11629&lt;1,""," Sen ")</f>
        <v>#REF!</v>
      </c>
      <c r="J11629" s="31">
        <v>26</v>
      </c>
      <c r="K11629" s="33" t="s">
        <v>96</v>
      </c>
      <c r="L11629" s="31" t="str">
        <f t="shared" si="1122"/>
        <v>Dua Puluh Enam</v>
      </c>
    </row>
    <row r="11630" spans="1:12">
      <c r="J11630" s="31">
        <v>27</v>
      </c>
      <c r="K11630" s="33" t="s">
        <v>97</v>
      </c>
      <c r="L11630" s="31" t="str">
        <f t="shared" si="1122"/>
        <v>Dua Puluh Tujuh</v>
      </c>
    </row>
    <row r="11631" spans="1:12">
      <c r="J11631" s="31">
        <v>28</v>
      </c>
      <c r="K11631" s="33" t="s">
        <v>98</v>
      </c>
      <c r="L11631" s="31" t="str">
        <f t="shared" si="1122"/>
        <v>Dua Puluh Delapan</v>
      </c>
    </row>
    <row r="11632" spans="1:12">
      <c r="J11632" s="31">
        <v>29</v>
      </c>
      <c r="K11632" s="33" t="s">
        <v>99</v>
      </c>
      <c r="L11632" s="31" t="str">
        <f t="shared" si="1122"/>
        <v>Dua Puluh Sembilan</v>
      </c>
    </row>
    <row r="11633" spans="1:12">
      <c r="J11633" s="31">
        <v>30</v>
      </c>
      <c r="K11633" s="33" t="s">
        <v>100</v>
      </c>
      <c r="L11633" s="31" t="s">
        <v>101</v>
      </c>
    </row>
    <row r="11634" spans="1:12">
      <c r="J11634" s="31">
        <v>31</v>
      </c>
      <c r="K11634" s="33" t="s">
        <v>102</v>
      </c>
      <c r="L11634" s="31" t="str">
        <f t="shared" ref="L11634:L11642" si="1123">$L$33&amp;" "&amp;L11604</f>
        <v>Tiga Puluh Satu</v>
      </c>
    </row>
    <row r="11635" spans="1:12">
      <c r="J11635" s="31">
        <v>32</v>
      </c>
      <c r="K11635" s="33" t="s">
        <v>103</v>
      </c>
      <c r="L11635" s="31" t="str">
        <f t="shared" si="1123"/>
        <v>Tiga Puluh Dua</v>
      </c>
    </row>
    <row r="11636" spans="1:12">
      <c r="J11636" s="31">
        <v>33</v>
      </c>
      <c r="K11636" s="33" t="s">
        <v>104</v>
      </c>
      <c r="L11636" s="31" t="str">
        <f t="shared" si="1123"/>
        <v>Tiga Puluh Tiga</v>
      </c>
    </row>
    <row r="11637" spans="1:12">
      <c r="J11637" s="31">
        <v>34</v>
      </c>
      <c r="K11637" s="33" t="s">
        <v>105</v>
      </c>
      <c r="L11637" s="31" t="str">
        <f t="shared" si="1123"/>
        <v>Tiga Puluh Empat</v>
      </c>
    </row>
    <row r="11638" spans="1:12">
      <c r="J11638" s="31">
        <v>35</v>
      </c>
      <c r="K11638" s="33" t="s">
        <v>106</v>
      </c>
      <c r="L11638" s="31" t="str">
        <f t="shared" si="1123"/>
        <v>Tiga Puluh Lima</v>
      </c>
    </row>
    <row r="11639" spans="1:12">
      <c r="J11639" s="31">
        <v>36</v>
      </c>
      <c r="K11639" s="33" t="s">
        <v>107</v>
      </c>
      <c r="L11639" s="31" t="str">
        <f t="shared" si="1123"/>
        <v>Tiga Puluh Enam</v>
      </c>
    </row>
    <row r="11640" spans="1:12">
      <c r="J11640" s="31">
        <v>37</v>
      </c>
      <c r="K11640" s="33" t="s">
        <v>108</v>
      </c>
      <c r="L11640" s="31" t="str">
        <f t="shared" si="1123"/>
        <v>Tiga Puluh Tujuh</v>
      </c>
    </row>
    <row r="11641" spans="1:12">
      <c r="J11641" s="31">
        <v>38</v>
      </c>
      <c r="K11641" s="33" t="s">
        <v>109</v>
      </c>
      <c r="L11641" s="31" t="str">
        <f t="shared" si="1123"/>
        <v>Tiga Puluh Delapan</v>
      </c>
    </row>
    <row r="11642" spans="1:12">
      <c r="J11642" s="31">
        <v>39</v>
      </c>
      <c r="K11642" s="33" t="s">
        <v>110</v>
      </c>
      <c r="L11642" s="31" t="str">
        <f t="shared" si="1123"/>
        <v>Tiga Puluh Sembilan</v>
      </c>
    </row>
    <row r="11643" spans="1:12">
      <c r="B11643" s="35"/>
      <c r="C11643" s="35"/>
      <c r="D11643" s="35"/>
      <c r="J11643" s="31">
        <v>40</v>
      </c>
      <c r="K11643" s="33" t="s">
        <v>111</v>
      </c>
      <c r="L11643" s="31" t="s">
        <v>112</v>
      </c>
    </row>
    <row r="11644" spans="1:12">
      <c r="A11644" s="35"/>
      <c r="B11644" s="35"/>
      <c r="C11644" s="35"/>
      <c r="D11644" s="35"/>
      <c r="J11644" s="31">
        <v>41</v>
      </c>
      <c r="K11644" s="33" t="s">
        <v>113</v>
      </c>
      <c r="L11644" s="31" t="str">
        <f t="shared" ref="L11644:L11652" si="1124">$L$43&amp;" "&amp;L11604</f>
        <v>Empat Puluh Satu</v>
      </c>
    </row>
    <row r="11645" spans="1:12">
      <c r="J11645" s="31">
        <v>42</v>
      </c>
      <c r="K11645" s="33" t="s">
        <v>114</v>
      </c>
      <c r="L11645" s="31" t="str">
        <f t="shared" si="1124"/>
        <v>Empat Puluh Dua</v>
      </c>
    </row>
    <row r="11646" spans="1:12">
      <c r="A11646" s="38"/>
      <c r="J11646" s="31">
        <v>43</v>
      </c>
      <c r="K11646" s="33" t="s">
        <v>115</v>
      </c>
      <c r="L11646" s="31" t="str">
        <f t="shared" si="1124"/>
        <v>Empat Puluh Tiga</v>
      </c>
    </row>
    <row r="11647" spans="1:12">
      <c r="J11647" s="31">
        <v>44</v>
      </c>
      <c r="K11647" s="33" t="s">
        <v>116</v>
      </c>
      <c r="L11647" s="31" t="str">
        <f t="shared" si="1124"/>
        <v>Empat Puluh Empat</v>
      </c>
    </row>
    <row r="11648" spans="1:12">
      <c r="J11648" s="31">
        <v>45</v>
      </c>
      <c r="K11648" s="33" t="s">
        <v>117</v>
      </c>
      <c r="L11648" s="31" t="str">
        <f t="shared" si="1124"/>
        <v>Empat Puluh Lima</v>
      </c>
    </row>
    <row r="11649" spans="10:12">
      <c r="J11649" s="31">
        <v>46</v>
      </c>
      <c r="K11649" s="33" t="s">
        <v>118</v>
      </c>
      <c r="L11649" s="31" t="str">
        <f t="shared" si="1124"/>
        <v>Empat Puluh Enam</v>
      </c>
    </row>
    <row r="11650" spans="10:12">
      <c r="J11650" s="31">
        <v>47</v>
      </c>
      <c r="K11650" s="33" t="s">
        <v>119</v>
      </c>
      <c r="L11650" s="31" t="str">
        <f t="shared" si="1124"/>
        <v>Empat Puluh Tujuh</v>
      </c>
    </row>
    <row r="11651" spans="10:12">
      <c r="J11651" s="31">
        <v>48</v>
      </c>
      <c r="K11651" s="33" t="s">
        <v>120</v>
      </c>
      <c r="L11651" s="31" t="str">
        <f t="shared" si="1124"/>
        <v>Empat Puluh Delapan</v>
      </c>
    </row>
    <row r="11652" spans="10:12">
      <c r="J11652" s="31">
        <v>49</v>
      </c>
      <c r="K11652" s="33" t="s">
        <v>121</v>
      </c>
      <c r="L11652" s="31" t="str">
        <f t="shared" si="1124"/>
        <v>Empat Puluh Sembilan</v>
      </c>
    </row>
    <row r="11653" spans="10:12">
      <c r="J11653" s="31">
        <v>50</v>
      </c>
      <c r="K11653" s="33" t="s">
        <v>122</v>
      </c>
      <c r="L11653" s="31" t="s">
        <v>123</v>
      </c>
    </row>
    <row r="11654" spans="10:12">
      <c r="J11654" s="31">
        <v>51</v>
      </c>
      <c r="K11654" s="33" t="s">
        <v>124</v>
      </c>
      <c r="L11654" s="31" t="str">
        <f t="shared" ref="L11654:L11662" si="1125">$L$53&amp;" "&amp;L11604</f>
        <v>Lima Puluh Satu</v>
      </c>
    </row>
    <row r="11655" spans="10:12">
      <c r="J11655" s="31">
        <v>52</v>
      </c>
      <c r="K11655" s="33" t="s">
        <v>125</v>
      </c>
      <c r="L11655" s="31" t="str">
        <f t="shared" si="1125"/>
        <v>Lima Puluh Dua</v>
      </c>
    </row>
    <row r="11656" spans="10:12">
      <c r="J11656" s="31">
        <v>53</v>
      </c>
      <c r="K11656" s="33" t="s">
        <v>126</v>
      </c>
      <c r="L11656" s="31" t="str">
        <f t="shared" si="1125"/>
        <v>Lima Puluh Tiga</v>
      </c>
    </row>
    <row r="11657" spans="10:12">
      <c r="J11657" s="31">
        <v>54</v>
      </c>
      <c r="K11657" s="33" t="s">
        <v>127</v>
      </c>
      <c r="L11657" s="31" t="str">
        <f t="shared" si="1125"/>
        <v>Lima Puluh Empat</v>
      </c>
    </row>
    <row r="11658" spans="10:12">
      <c r="J11658" s="31">
        <v>55</v>
      </c>
      <c r="K11658" s="33" t="s">
        <v>128</v>
      </c>
      <c r="L11658" s="31" t="str">
        <f t="shared" si="1125"/>
        <v>Lima Puluh Lima</v>
      </c>
    </row>
    <row r="11659" spans="10:12">
      <c r="J11659" s="31">
        <v>56</v>
      </c>
      <c r="K11659" s="33" t="s">
        <v>129</v>
      </c>
      <c r="L11659" s="31" t="str">
        <f t="shared" si="1125"/>
        <v>Lima Puluh Enam</v>
      </c>
    </row>
    <row r="11660" spans="10:12">
      <c r="J11660" s="31">
        <v>57</v>
      </c>
      <c r="K11660" s="33" t="s">
        <v>130</v>
      </c>
      <c r="L11660" s="31" t="str">
        <f t="shared" si="1125"/>
        <v>Lima Puluh Tujuh</v>
      </c>
    </row>
    <row r="11661" spans="10:12">
      <c r="J11661" s="31">
        <v>58</v>
      </c>
      <c r="K11661" s="33" t="s">
        <v>131</v>
      </c>
      <c r="L11661" s="31" t="str">
        <f t="shared" si="1125"/>
        <v>Lima Puluh Delapan</v>
      </c>
    </row>
    <row r="11662" spans="10:12">
      <c r="J11662" s="31">
        <v>59</v>
      </c>
      <c r="K11662" s="33" t="s">
        <v>132</v>
      </c>
      <c r="L11662" s="31" t="str">
        <f t="shared" si="1125"/>
        <v>Lima Puluh Sembilan</v>
      </c>
    </row>
    <row r="11663" spans="10:12">
      <c r="J11663" s="31">
        <v>60</v>
      </c>
      <c r="K11663" s="33" t="s">
        <v>133</v>
      </c>
      <c r="L11663" s="31" t="s">
        <v>134</v>
      </c>
    </row>
    <row r="11664" spans="10:12">
      <c r="J11664" s="31">
        <v>61</v>
      </c>
      <c r="K11664" s="33" t="s">
        <v>135</v>
      </c>
      <c r="L11664" s="31" t="str">
        <f t="shared" ref="L11664:L11672" si="1126">$L$63&amp;" "&amp;L11604</f>
        <v>Enam Puluh Satu</v>
      </c>
    </row>
    <row r="11665" spans="10:12">
      <c r="J11665" s="31">
        <v>62</v>
      </c>
      <c r="K11665" s="33" t="s">
        <v>136</v>
      </c>
      <c r="L11665" s="31" t="str">
        <f t="shared" si="1126"/>
        <v>Enam Puluh Dua</v>
      </c>
    </row>
    <row r="11666" spans="10:12">
      <c r="J11666" s="31">
        <v>63</v>
      </c>
      <c r="K11666" s="33" t="s">
        <v>137</v>
      </c>
      <c r="L11666" s="31" t="str">
        <f t="shared" si="1126"/>
        <v>Enam Puluh Tiga</v>
      </c>
    </row>
    <row r="11667" spans="10:12">
      <c r="J11667" s="31">
        <v>64</v>
      </c>
      <c r="K11667" s="33" t="s">
        <v>138</v>
      </c>
      <c r="L11667" s="31" t="str">
        <f t="shared" si="1126"/>
        <v>Enam Puluh Empat</v>
      </c>
    </row>
    <row r="11668" spans="10:12">
      <c r="J11668" s="31">
        <v>65</v>
      </c>
      <c r="K11668" s="33" t="s">
        <v>139</v>
      </c>
      <c r="L11668" s="31" t="str">
        <f t="shared" si="1126"/>
        <v>Enam Puluh Lima</v>
      </c>
    </row>
    <row r="11669" spans="10:12">
      <c r="J11669" s="31">
        <v>66</v>
      </c>
      <c r="K11669" s="33" t="s">
        <v>140</v>
      </c>
      <c r="L11669" s="31" t="str">
        <f t="shared" si="1126"/>
        <v>Enam Puluh Enam</v>
      </c>
    </row>
    <row r="11670" spans="10:12">
      <c r="J11670" s="31">
        <v>67</v>
      </c>
      <c r="K11670" s="33" t="s">
        <v>141</v>
      </c>
      <c r="L11670" s="31" t="str">
        <f t="shared" si="1126"/>
        <v>Enam Puluh Tujuh</v>
      </c>
    </row>
    <row r="11671" spans="10:12">
      <c r="J11671" s="31">
        <v>68</v>
      </c>
      <c r="K11671" s="33" t="s">
        <v>142</v>
      </c>
      <c r="L11671" s="31" t="str">
        <f t="shared" si="1126"/>
        <v>Enam Puluh Delapan</v>
      </c>
    </row>
    <row r="11672" spans="10:12">
      <c r="J11672" s="31">
        <v>69</v>
      </c>
      <c r="K11672" s="33" t="s">
        <v>143</v>
      </c>
      <c r="L11672" s="31" t="str">
        <f t="shared" si="1126"/>
        <v>Enam Puluh Sembilan</v>
      </c>
    </row>
    <row r="11673" spans="10:12">
      <c r="J11673" s="31">
        <v>70</v>
      </c>
      <c r="K11673" s="33" t="s">
        <v>144</v>
      </c>
      <c r="L11673" s="31" t="s">
        <v>145</v>
      </c>
    </row>
    <row r="11674" spans="10:12">
      <c r="J11674" s="31">
        <v>71</v>
      </c>
      <c r="K11674" s="33" t="s">
        <v>146</v>
      </c>
      <c r="L11674" s="31" t="str">
        <f t="shared" ref="L11674:L11682" si="1127">$L$73&amp;" "&amp;L11604</f>
        <v>Tujuh Puluh Satu</v>
      </c>
    </row>
    <row r="11675" spans="10:12">
      <c r="J11675" s="31">
        <v>72</v>
      </c>
      <c r="K11675" s="33" t="s">
        <v>147</v>
      </c>
      <c r="L11675" s="31" t="str">
        <f t="shared" si="1127"/>
        <v>Tujuh Puluh Dua</v>
      </c>
    </row>
    <row r="11676" spans="10:12">
      <c r="J11676" s="31">
        <v>73</v>
      </c>
      <c r="K11676" s="33" t="s">
        <v>148</v>
      </c>
      <c r="L11676" s="31" t="str">
        <f t="shared" si="1127"/>
        <v>Tujuh Puluh Tiga</v>
      </c>
    </row>
    <row r="11677" spans="10:12">
      <c r="J11677" s="31">
        <v>74</v>
      </c>
      <c r="K11677" s="33" t="s">
        <v>149</v>
      </c>
      <c r="L11677" s="31" t="str">
        <f t="shared" si="1127"/>
        <v>Tujuh Puluh Empat</v>
      </c>
    </row>
    <row r="11678" spans="10:12">
      <c r="J11678" s="31">
        <v>75</v>
      </c>
      <c r="K11678" s="33" t="s">
        <v>150</v>
      </c>
      <c r="L11678" s="31" t="str">
        <f t="shared" si="1127"/>
        <v>Tujuh Puluh Lima</v>
      </c>
    </row>
    <row r="11679" spans="10:12">
      <c r="J11679" s="31">
        <v>76</v>
      </c>
      <c r="K11679" s="33" t="s">
        <v>151</v>
      </c>
      <c r="L11679" s="31" t="str">
        <f t="shared" si="1127"/>
        <v>Tujuh Puluh Enam</v>
      </c>
    </row>
    <row r="11680" spans="10:12">
      <c r="J11680" s="31">
        <v>77</v>
      </c>
      <c r="K11680" s="33" t="s">
        <v>152</v>
      </c>
      <c r="L11680" s="31" t="str">
        <f t="shared" si="1127"/>
        <v>Tujuh Puluh Tujuh</v>
      </c>
    </row>
    <row r="11681" spans="10:12">
      <c r="J11681" s="31">
        <v>78</v>
      </c>
      <c r="K11681" s="33" t="s">
        <v>153</v>
      </c>
      <c r="L11681" s="31" t="str">
        <f t="shared" si="1127"/>
        <v>Tujuh Puluh Delapan</v>
      </c>
    </row>
    <row r="11682" spans="10:12">
      <c r="J11682" s="31">
        <v>79</v>
      </c>
      <c r="K11682" s="33" t="s">
        <v>154</v>
      </c>
      <c r="L11682" s="31" t="str">
        <f t="shared" si="1127"/>
        <v>Tujuh Puluh Sembilan</v>
      </c>
    </row>
    <row r="11683" spans="10:12">
      <c r="J11683" s="31">
        <v>80</v>
      </c>
      <c r="K11683" s="33" t="s">
        <v>155</v>
      </c>
      <c r="L11683" s="31" t="s">
        <v>156</v>
      </c>
    </row>
    <row r="11684" spans="10:12">
      <c r="J11684" s="31">
        <v>81</v>
      </c>
      <c r="K11684" s="33" t="s">
        <v>157</v>
      </c>
      <c r="L11684" s="31" t="str">
        <f t="shared" ref="L11684:L11692" si="1128">$L$83&amp;" "&amp;L11604</f>
        <v>Delapan Puluh Satu</v>
      </c>
    </row>
    <row r="11685" spans="10:12">
      <c r="J11685" s="31">
        <v>82</v>
      </c>
      <c r="K11685" s="33" t="s">
        <v>158</v>
      </c>
      <c r="L11685" s="31" t="str">
        <f t="shared" si="1128"/>
        <v>Delapan Puluh Dua</v>
      </c>
    </row>
    <row r="11686" spans="10:12">
      <c r="J11686" s="31">
        <v>83</v>
      </c>
      <c r="K11686" s="33" t="s">
        <v>159</v>
      </c>
      <c r="L11686" s="31" t="str">
        <f t="shared" si="1128"/>
        <v>Delapan Puluh Tiga</v>
      </c>
    </row>
    <row r="11687" spans="10:12">
      <c r="J11687" s="31">
        <v>84</v>
      </c>
      <c r="K11687" s="33" t="s">
        <v>160</v>
      </c>
      <c r="L11687" s="31" t="str">
        <f t="shared" si="1128"/>
        <v>Delapan Puluh Empat</v>
      </c>
    </row>
    <row r="11688" spans="10:12">
      <c r="J11688" s="31">
        <v>85</v>
      </c>
      <c r="K11688" s="33" t="s">
        <v>161</v>
      </c>
      <c r="L11688" s="31" t="str">
        <f t="shared" si="1128"/>
        <v>Delapan Puluh Lima</v>
      </c>
    </row>
    <row r="11689" spans="10:12">
      <c r="J11689" s="31">
        <v>86</v>
      </c>
      <c r="K11689" s="33" t="s">
        <v>162</v>
      </c>
      <c r="L11689" s="31" t="str">
        <f t="shared" si="1128"/>
        <v>Delapan Puluh Enam</v>
      </c>
    </row>
    <row r="11690" spans="10:12">
      <c r="J11690" s="31">
        <v>87</v>
      </c>
      <c r="K11690" s="33" t="s">
        <v>163</v>
      </c>
      <c r="L11690" s="31" t="str">
        <f t="shared" si="1128"/>
        <v>Delapan Puluh Tujuh</v>
      </c>
    </row>
    <row r="11691" spans="10:12">
      <c r="J11691" s="31">
        <v>88</v>
      </c>
      <c r="K11691" s="33" t="s">
        <v>164</v>
      </c>
      <c r="L11691" s="31" t="str">
        <f t="shared" si="1128"/>
        <v>Delapan Puluh Delapan</v>
      </c>
    </row>
    <row r="11692" spans="10:12">
      <c r="J11692" s="31">
        <v>89</v>
      </c>
      <c r="K11692" s="33" t="s">
        <v>165</v>
      </c>
      <c r="L11692" s="31" t="str">
        <f t="shared" si="1128"/>
        <v>Delapan Puluh Sembilan</v>
      </c>
    </row>
    <row r="11693" spans="10:12">
      <c r="J11693" s="31">
        <v>90</v>
      </c>
      <c r="K11693" s="33" t="s">
        <v>166</v>
      </c>
      <c r="L11693" s="31" t="s">
        <v>167</v>
      </c>
    </row>
    <row r="11694" spans="10:12">
      <c r="J11694" s="31">
        <v>91</v>
      </c>
      <c r="K11694" s="33" t="s">
        <v>168</v>
      </c>
      <c r="L11694" s="31" t="str">
        <f t="shared" ref="L11694:L11702" si="1129">$L$93&amp;" "&amp;L11604</f>
        <v>Sembilan Puluh Satu</v>
      </c>
    </row>
    <row r="11695" spans="10:12">
      <c r="J11695" s="31">
        <v>92</v>
      </c>
      <c r="K11695" s="33" t="s">
        <v>169</v>
      </c>
      <c r="L11695" s="31" t="str">
        <f t="shared" si="1129"/>
        <v>Sembilan Puluh Dua</v>
      </c>
    </row>
    <row r="11696" spans="10:12">
      <c r="J11696" s="31">
        <v>93</v>
      </c>
      <c r="K11696" s="33" t="s">
        <v>170</v>
      </c>
      <c r="L11696" s="31" t="str">
        <f t="shared" si="1129"/>
        <v>Sembilan Puluh Tiga</v>
      </c>
    </row>
    <row r="11697" spans="1:12">
      <c r="J11697" s="31">
        <v>94</v>
      </c>
      <c r="K11697" s="33" t="s">
        <v>171</v>
      </c>
      <c r="L11697" s="31" t="str">
        <f t="shared" si="1129"/>
        <v>Sembilan Puluh Empat</v>
      </c>
    </row>
    <row r="11698" spans="1:12">
      <c r="J11698" s="31">
        <v>95</v>
      </c>
      <c r="K11698" s="33" t="s">
        <v>172</v>
      </c>
      <c r="L11698" s="31" t="str">
        <f t="shared" si="1129"/>
        <v>Sembilan Puluh Lima</v>
      </c>
    </row>
    <row r="11699" spans="1:12">
      <c r="J11699" s="31">
        <v>96</v>
      </c>
      <c r="K11699" s="33" t="s">
        <v>173</v>
      </c>
      <c r="L11699" s="31" t="str">
        <f t="shared" si="1129"/>
        <v>Sembilan Puluh Enam</v>
      </c>
    </row>
    <row r="11700" spans="1:12">
      <c r="J11700" s="31">
        <v>97</v>
      </c>
      <c r="K11700" s="33" t="s">
        <v>174</v>
      </c>
      <c r="L11700" s="31" t="str">
        <f t="shared" si="1129"/>
        <v>Sembilan Puluh Tujuh</v>
      </c>
    </row>
    <row r="11701" spans="1:12">
      <c r="J11701" s="31">
        <v>98</v>
      </c>
      <c r="K11701" s="33" t="s">
        <v>175</v>
      </c>
      <c r="L11701" s="31" t="str">
        <f t="shared" si="1129"/>
        <v>Sembilan Puluh Delapan</v>
      </c>
    </row>
    <row r="11702" spans="1:12">
      <c r="J11702" s="31">
        <v>99</v>
      </c>
      <c r="K11702" s="33" t="s">
        <v>176</v>
      </c>
      <c r="L11702" s="31" t="str">
        <f t="shared" si="1129"/>
        <v>Sembilan Puluh Sembilan</v>
      </c>
    </row>
    <row r="11704" spans="1:12">
      <c r="A11704" s="30" t="e">
        <f>#REF!</f>
        <v>#REF!</v>
      </c>
      <c r="C11704" s="31" t="s">
        <v>347</v>
      </c>
    </row>
    <row r="11705" spans="1:12">
      <c r="A11705" s="32"/>
    </row>
    <row r="11706" spans="1:12">
      <c r="J11706" s="31">
        <v>0</v>
      </c>
      <c r="K11706" s="33" t="s">
        <v>48</v>
      </c>
      <c r="L11706" s="31" t="s">
        <v>49</v>
      </c>
    </row>
    <row r="11707" spans="1:12">
      <c r="A11707" s="34"/>
      <c r="J11707" s="31">
        <v>1</v>
      </c>
      <c r="K11707" s="33" t="s">
        <v>50</v>
      </c>
      <c r="L11707" s="31" t="s">
        <v>51</v>
      </c>
    </row>
    <row r="11708" spans="1:12">
      <c r="A11708" s="255" t="e">
        <f>TRIM(D11716&amp;E11716&amp;D11717&amp;E11717&amp;D11718&amp;E11718&amp;D11719&amp;E11719&amp;D11720&amp;E11720&amp;D11721&amp;E11721&amp;E11722&amp;D11722&amp;" Only")</f>
        <v>#REF!</v>
      </c>
      <c r="B11708" s="255"/>
      <c r="C11708" s="255"/>
      <c r="D11708" s="255"/>
      <c r="E11708" s="35"/>
      <c r="F11708" s="36"/>
      <c r="J11708" s="31">
        <v>2</v>
      </c>
      <c r="K11708" s="33" t="s">
        <v>52</v>
      </c>
      <c r="L11708" s="31" t="s">
        <v>53</v>
      </c>
    </row>
    <row r="11709" spans="1:12">
      <c r="A11709" s="37"/>
      <c r="B11709" s="37"/>
      <c r="C11709" s="37"/>
      <c r="D11709" s="37"/>
      <c r="E11709" s="35"/>
      <c r="F11709" s="36"/>
      <c r="J11709" s="31">
        <v>3</v>
      </c>
      <c r="K11709" s="33" t="s">
        <v>54</v>
      </c>
      <c r="L11709" s="31" t="s">
        <v>55</v>
      </c>
    </row>
    <row r="11710" spans="1:12">
      <c r="A11710" s="37"/>
      <c r="B11710" s="37"/>
      <c r="C11710" s="37"/>
      <c r="D11710" s="37"/>
      <c r="J11710" s="31">
        <v>4</v>
      </c>
      <c r="K11710" s="33" t="s">
        <v>56</v>
      </c>
      <c r="L11710" s="31" t="s">
        <v>57</v>
      </c>
    </row>
    <row r="11711" spans="1:12">
      <c r="A11711" s="255" t="e">
        <f>TRIM(D11726&amp;E11726&amp;D11727&amp;E11727&amp;D11728&amp;E11728&amp;D11729&amp;E11729&amp;D11730&amp;E11730&amp;D11731&amp;E11731&amp;D11732&amp;E11732&amp;" Rupiah")</f>
        <v>#REF!</v>
      </c>
      <c r="B11711" s="255"/>
      <c r="C11711" s="255"/>
      <c r="D11711" s="255"/>
      <c r="E11711" s="35"/>
      <c r="F11711" s="36"/>
      <c r="J11711" s="31">
        <v>5</v>
      </c>
      <c r="K11711" s="33" t="s">
        <v>58</v>
      </c>
      <c r="L11711" s="31" t="s">
        <v>59</v>
      </c>
    </row>
    <row r="11712" spans="1:12">
      <c r="A11712" s="35"/>
      <c r="B11712" s="35"/>
      <c r="C11712" s="35"/>
      <c r="D11712" s="35"/>
      <c r="E11712" s="35"/>
      <c r="F11712" s="36"/>
      <c r="J11712" s="31">
        <v>6</v>
      </c>
      <c r="K11712" s="33" t="s">
        <v>60</v>
      </c>
      <c r="L11712" s="31" t="s">
        <v>61</v>
      </c>
    </row>
    <row r="11713" spans="1:12">
      <c r="J11713" s="31">
        <v>7</v>
      </c>
      <c r="K11713" s="33" t="s">
        <v>62</v>
      </c>
      <c r="L11713" s="31" t="s">
        <v>63</v>
      </c>
    </row>
    <row r="11714" spans="1:12">
      <c r="J11714" s="31">
        <v>8</v>
      </c>
      <c r="K11714" s="33" t="s">
        <v>64</v>
      </c>
      <c r="L11714" s="31" t="s">
        <v>65</v>
      </c>
    </row>
    <row r="11715" spans="1:12">
      <c r="A11715" s="38" t="s">
        <v>66</v>
      </c>
      <c r="J11715" s="31">
        <v>9</v>
      </c>
      <c r="K11715" s="33" t="s">
        <v>67</v>
      </c>
      <c r="L11715" s="31" t="s">
        <v>68</v>
      </c>
    </row>
    <row r="11716" spans="1:12">
      <c r="A11716" s="31" t="s">
        <v>69</v>
      </c>
      <c r="B11716" s="39" t="e">
        <f>TRUNC(A11704/100000000)</f>
        <v>#REF!</v>
      </c>
      <c r="C11716" s="31" t="e">
        <f>B11716*100000000</f>
        <v>#REF!</v>
      </c>
      <c r="D11716" s="31" t="e">
        <f t="shared" ref="D11716:D11722" si="1130">IF(B11716&lt;1,"",VLOOKUP(B11716,$J$3:$K$102,2))</f>
        <v>#REF!</v>
      </c>
      <c r="E11716" s="31" t="e">
        <f>IF(B11716&lt;1,"",IF(B11716&gt;1," Hundreds "," Hundred "))</f>
        <v>#REF!</v>
      </c>
      <c r="J11716" s="31">
        <v>10</v>
      </c>
      <c r="K11716" s="33" t="s">
        <v>70</v>
      </c>
      <c r="L11716" s="31" t="s">
        <v>71</v>
      </c>
    </row>
    <row r="11717" spans="1:12">
      <c r="A11717" s="31" t="s">
        <v>72</v>
      </c>
      <c r="B11717" s="39" t="e">
        <f>TRUNC((A11704-C11716)/1000000)</f>
        <v>#REF!</v>
      </c>
      <c r="C11717" s="31" t="e">
        <f>B11717*1000000</f>
        <v>#REF!</v>
      </c>
      <c r="D11717" s="31" t="e">
        <f t="shared" si="1130"/>
        <v>#REF!</v>
      </c>
      <c r="E11717" s="31" t="e">
        <f>IF(B11716+B11717=0,"",IF(B11717=1," Million "," Millions "))</f>
        <v>#REF!</v>
      </c>
      <c r="J11717" s="31">
        <v>11</v>
      </c>
      <c r="K11717" s="33" t="s">
        <v>73</v>
      </c>
      <c r="L11717" s="31" t="s">
        <v>74</v>
      </c>
    </row>
    <row r="11718" spans="1:12">
      <c r="A11718" s="31" t="s">
        <v>75</v>
      </c>
      <c r="B11718" s="39" t="e">
        <f>TRUNC((A11704-SUM(C11716:C11717))/100000)</f>
        <v>#REF!</v>
      </c>
      <c r="C11718" s="31" t="e">
        <f>B11718*100000</f>
        <v>#REF!</v>
      </c>
      <c r="D11718" s="31" t="e">
        <f t="shared" si="1130"/>
        <v>#REF!</v>
      </c>
      <c r="E11718" s="31" t="e">
        <f>IF(B11718&lt;1,"",IF(B11718&gt;1," Hundreds "," Hundred "))</f>
        <v>#REF!</v>
      </c>
      <c r="J11718" s="31">
        <v>12</v>
      </c>
      <c r="K11718" s="33" t="s">
        <v>76</v>
      </c>
      <c r="L11718" s="31" t="str">
        <f t="shared" ref="L11718:L11725" si="1131">L11708&amp;" Belas"</f>
        <v>Dua Belas</v>
      </c>
    </row>
    <row r="11719" spans="1:12">
      <c r="A11719" s="33" t="s">
        <v>77</v>
      </c>
      <c r="B11719" s="40" t="e">
        <f>TRUNC((A11704-SUM(C11716:C11718))/1000)</f>
        <v>#REF!</v>
      </c>
      <c r="C11719" s="31" t="e">
        <f>B11719*1000</f>
        <v>#REF!</v>
      </c>
      <c r="D11719" s="31" t="e">
        <f t="shared" si="1130"/>
        <v>#REF!</v>
      </c>
      <c r="E11719" s="31" t="e">
        <f>IF(B11718+B11719=0,"",IF(B11719=1," Thousand "," Thousands "))</f>
        <v>#REF!</v>
      </c>
      <c r="J11719" s="31">
        <v>13</v>
      </c>
      <c r="K11719" s="33" t="s">
        <v>78</v>
      </c>
      <c r="L11719" s="31" t="str">
        <f t="shared" si="1131"/>
        <v>Tiga Belas</v>
      </c>
    </row>
    <row r="11720" spans="1:12">
      <c r="A11720" s="33" t="s">
        <v>79</v>
      </c>
      <c r="B11720" s="40" t="e">
        <f>TRUNC((A11704-SUM(C11716:C11719))/100)</f>
        <v>#REF!</v>
      </c>
      <c r="C11720" s="31" t="e">
        <f>B11720*100</f>
        <v>#REF!</v>
      </c>
      <c r="D11720" s="31" t="e">
        <f t="shared" si="1130"/>
        <v>#REF!</v>
      </c>
      <c r="E11720" s="31" t="e">
        <f>IF(B11720&lt;1,"",IF(B11720&gt;1," Hundreds "," Hundred "))</f>
        <v>#REF!</v>
      </c>
      <c r="J11720" s="31">
        <v>14</v>
      </c>
      <c r="K11720" s="33" t="s">
        <v>80</v>
      </c>
      <c r="L11720" s="31" t="str">
        <f t="shared" si="1131"/>
        <v>Empat Belas</v>
      </c>
    </row>
    <row r="11721" spans="1:12">
      <c r="A11721" s="33" t="s">
        <v>81</v>
      </c>
      <c r="B11721" s="41" t="e">
        <f>TRUNC((A11704-SUM(C11716:C11720)))</f>
        <v>#REF!</v>
      </c>
      <c r="C11721" s="42" t="e">
        <f>B11721</f>
        <v>#REF!</v>
      </c>
      <c r="D11721" s="31" t="e">
        <f t="shared" si="1130"/>
        <v>#REF!</v>
      </c>
      <c r="E11721" s="31" t="e">
        <f>IF(SUM(C11716:C11721)&lt;1,"",IF(B11722&lt;1,""," And "))</f>
        <v>#REF!</v>
      </c>
      <c r="J11721" s="31">
        <v>15</v>
      </c>
      <c r="K11721" s="33" t="s">
        <v>82</v>
      </c>
      <c r="L11721" s="31" t="str">
        <f t="shared" si="1131"/>
        <v>Lima Belas</v>
      </c>
    </row>
    <row r="11722" spans="1:12">
      <c r="A11722" s="33" t="s">
        <v>83</v>
      </c>
      <c r="B11722" s="40" t="e">
        <f>ROUND(A11704-SUM(C11716:C11721),2)*100</f>
        <v>#REF!</v>
      </c>
      <c r="D11722" s="43" t="e">
        <f t="shared" si="1130"/>
        <v>#REF!</v>
      </c>
      <c r="E11722" s="31" t="e">
        <f>IF(B11722&lt;1,"",IF(B11722=1," Cent "," Cents "))</f>
        <v>#REF!</v>
      </c>
      <c r="J11722" s="31">
        <v>16</v>
      </c>
      <c r="K11722" s="33" t="s">
        <v>84</v>
      </c>
      <c r="L11722" s="31" t="str">
        <f t="shared" si="1131"/>
        <v>Enam Belas</v>
      </c>
    </row>
    <row r="11723" spans="1:12">
      <c r="J11723" s="31">
        <v>17</v>
      </c>
      <c r="K11723" s="33" t="s">
        <v>85</v>
      </c>
      <c r="L11723" s="31" t="str">
        <f t="shared" si="1131"/>
        <v>Tujuh Belas</v>
      </c>
    </row>
    <row r="11724" spans="1:12">
      <c r="A11724" s="44"/>
      <c r="J11724" s="31">
        <v>18</v>
      </c>
      <c r="K11724" s="33" t="s">
        <v>86</v>
      </c>
      <c r="L11724" s="31" t="str">
        <f t="shared" si="1131"/>
        <v>Delapan Belas</v>
      </c>
    </row>
    <row r="11725" spans="1:12">
      <c r="A11725" s="38" t="s">
        <v>87</v>
      </c>
      <c r="J11725" s="31">
        <v>19</v>
      </c>
      <c r="K11725" s="33" t="s">
        <v>88</v>
      </c>
      <c r="L11725" s="31" t="str">
        <f t="shared" si="1131"/>
        <v>Sembilan Belas</v>
      </c>
    </row>
    <row r="11726" spans="1:12">
      <c r="A11726" s="31" t="s">
        <v>69</v>
      </c>
      <c r="B11726" s="39" t="e">
        <f>TRUNC(A11704/100000000)</f>
        <v>#REF!</v>
      </c>
      <c r="C11726" s="31" t="e">
        <f>B11726*100000000</f>
        <v>#REF!</v>
      </c>
      <c r="D11726" s="31" t="e">
        <f>IF(B11726&lt;1,"",IF(B11726=1,"",VLOOKUP(B11726,$J$3:$L$102,3)))</f>
        <v>#REF!</v>
      </c>
      <c r="E11726" s="31" t="e">
        <f>IF(B11726&lt;1,"",IF(B11726=1,"Seratus "," Ratus "))</f>
        <v>#REF!</v>
      </c>
      <c r="J11726" s="31">
        <v>20</v>
      </c>
      <c r="K11726" s="33" t="s">
        <v>89</v>
      </c>
      <c r="L11726" s="31" t="s">
        <v>90</v>
      </c>
    </row>
    <row r="11727" spans="1:12">
      <c r="A11727" s="31" t="s">
        <v>72</v>
      </c>
      <c r="B11727" s="39" t="e">
        <f>TRUNC((A11704-C11726)/1000000)</f>
        <v>#REF!</v>
      </c>
      <c r="C11727" s="31" t="e">
        <f>B11727*1000000</f>
        <v>#REF!</v>
      </c>
      <c r="D11727" s="31" t="e">
        <f>IF(B11727&lt;1,"",VLOOKUP(B11727,$J$3:$L$102,3))</f>
        <v>#REF!</v>
      </c>
      <c r="E11727" s="31" t="e">
        <f>IF(B11726+B11727=0,""," Juta ")</f>
        <v>#REF!</v>
      </c>
      <c r="J11727" s="31">
        <v>21</v>
      </c>
      <c r="K11727" s="33" t="s">
        <v>91</v>
      </c>
      <c r="L11727" s="31" t="str">
        <f t="shared" ref="L11727:L11735" si="1132">$L$23&amp;" "&amp;L11707</f>
        <v>Dua Puluh Satu</v>
      </c>
    </row>
    <row r="11728" spans="1:12">
      <c r="A11728" s="31" t="s">
        <v>75</v>
      </c>
      <c r="B11728" s="39" t="e">
        <f>TRUNC((A11704-SUM(C11726:C11727))/100000)</f>
        <v>#REF!</v>
      </c>
      <c r="C11728" s="31" t="e">
        <f>B11728*100000</f>
        <v>#REF!</v>
      </c>
      <c r="D11728" s="31" t="e">
        <f>IF(B11728&lt;1,"",IF(B11728=1,"",VLOOKUP(B11728,$J$3:$L$102,3)))</f>
        <v>#REF!</v>
      </c>
      <c r="E11728" s="31" t="e">
        <f>IF(B11728&lt;1,"",IF(B11728=1," Seratus "," Ratus "))</f>
        <v>#REF!</v>
      </c>
      <c r="J11728" s="31">
        <v>22</v>
      </c>
      <c r="K11728" s="33" t="s">
        <v>92</v>
      </c>
      <c r="L11728" s="31" t="str">
        <f t="shared" si="1132"/>
        <v>Dua Puluh Dua</v>
      </c>
    </row>
    <row r="11729" spans="1:12">
      <c r="A11729" s="33" t="s">
        <v>77</v>
      </c>
      <c r="B11729" s="40" t="e">
        <f>TRUNC((A11704-SUM(C11726:C11728))/1000)</f>
        <v>#REF!</v>
      </c>
      <c r="C11729" s="31" t="e">
        <f>B11729*1000</f>
        <v>#REF!</v>
      </c>
      <c r="D11729" s="31" t="e">
        <f>IF(B11729&lt;1,"",IF(B11729=1,"",VLOOKUP(B11729,$J$3:$L$102,3)))</f>
        <v>#REF!</v>
      </c>
      <c r="E11729" s="31" t="e">
        <f>IF(B11728+B11729&lt;1,"",IF(B11729=1," Seribu "," Ribu "))</f>
        <v>#REF!</v>
      </c>
      <c r="J11729" s="31">
        <v>23</v>
      </c>
      <c r="K11729" s="33" t="s">
        <v>93</v>
      </c>
      <c r="L11729" s="31" t="str">
        <f t="shared" si="1132"/>
        <v>Dua Puluh Tiga</v>
      </c>
    </row>
    <row r="11730" spans="1:12">
      <c r="A11730" s="33" t="s">
        <v>79</v>
      </c>
      <c r="B11730" s="40" t="e">
        <f>TRUNC((A11704-SUM(C11726:C11729))/100)</f>
        <v>#REF!</v>
      </c>
      <c r="C11730" s="31" t="e">
        <f>B11730*100</f>
        <v>#REF!</v>
      </c>
      <c r="D11730" s="31" t="e">
        <f>IF(B11730&lt;1,"",IF(B11730=1,"",VLOOKUP(B11730,$J$3:$L$102,3)))</f>
        <v>#REF!</v>
      </c>
      <c r="E11730" s="31" t="e">
        <f>IF(B11730&lt;1,"",IF(B11730=1," Seratus "," Ratus "))</f>
        <v>#REF!</v>
      </c>
      <c r="J11730" s="31">
        <v>24</v>
      </c>
      <c r="K11730" s="33" t="s">
        <v>94</v>
      </c>
      <c r="L11730" s="31" t="str">
        <f t="shared" si="1132"/>
        <v>Dua Puluh Empat</v>
      </c>
    </row>
    <row r="11731" spans="1:12">
      <c r="A11731" s="33" t="s">
        <v>81</v>
      </c>
      <c r="B11731" s="41" t="e">
        <f>TRUNC((A11704-SUM(C11726:C11730)))</f>
        <v>#REF!</v>
      </c>
      <c r="C11731" s="42" t="e">
        <f>B11731</f>
        <v>#REF!</v>
      </c>
      <c r="D11731" s="31" t="e">
        <f>IF(B11731&lt;1,"",VLOOKUP(B11731,$J$3:$L$102,3))</f>
        <v>#REF!</v>
      </c>
      <c r="E11731" s="31" t="e">
        <f>IF(SUM(C11726:C11731)&lt;1,"",IF(B11732&lt;1,""," Dan "))</f>
        <v>#REF!</v>
      </c>
      <c r="J11731" s="31">
        <v>25</v>
      </c>
      <c r="K11731" s="33" t="s">
        <v>95</v>
      </c>
      <c r="L11731" s="31" t="str">
        <f t="shared" si="1132"/>
        <v>Dua Puluh Lima</v>
      </c>
    </row>
    <row r="11732" spans="1:12">
      <c r="A11732" s="33" t="s">
        <v>83</v>
      </c>
      <c r="B11732" s="40" t="e">
        <f>ROUND(A11704-SUM(C11726:C11731),2)*100</f>
        <v>#REF!</v>
      </c>
      <c r="D11732" s="31" t="e">
        <f>IF(B11732&lt;1,"",VLOOKUP(B11732,$J$3:$L$102,3))</f>
        <v>#REF!</v>
      </c>
      <c r="E11732" s="31" t="e">
        <f>IF(B11732&lt;1,""," Sen ")</f>
        <v>#REF!</v>
      </c>
      <c r="J11732" s="31">
        <v>26</v>
      </c>
      <c r="K11732" s="33" t="s">
        <v>96</v>
      </c>
      <c r="L11732" s="31" t="str">
        <f t="shared" si="1132"/>
        <v>Dua Puluh Enam</v>
      </c>
    </row>
    <row r="11733" spans="1:12">
      <c r="J11733" s="31">
        <v>27</v>
      </c>
      <c r="K11733" s="33" t="s">
        <v>97</v>
      </c>
      <c r="L11733" s="31" t="str">
        <f t="shared" si="1132"/>
        <v>Dua Puluh Tujuh</v>
      </c>
    </row>
    <row r="11734" spans="1:12">
      <c r="J11734" s="31">
        <v>28</v>
      </c>
      <c r="K11734" s="33" t="s">
        <v>98</v>
      </c>
      <c r="L11734" s="31" t="str">
        <f t="shared" si="1132"/>
        <v>Dua Puluh Delapan</v>
      </c>
    </row>
    <row r="11735" spans="1:12">
      <c r="J11735" s="31">
        <v>29</v>
      </c>
      <c r="K11735" s="33" t="s">
        <v>99</v>
      </c>
      <c r="L11735" s="31" t="str">
        <f t="shared" si="1132"/>
        <v>Dua Puluh Sembilan</v>
      </c>
    </row>
    <row r="11736" spans="1:12">
      <c r="J11736" s="31">
        <v>30</v>
      </c>
      <c r="K11736" s="33" t="s">
        <v>100</v>
      </c>
      <c r="L11736" s="31" t="s">
        <v>101</v>
      </c>
    </row>
    <row r="11737" spans="1:12">
      <c r="J11737" s="31">
        <v>31</v>
      </c>
      <c r="K11737" s="33" t="s">
        <v>102</v>
      </c>
      <c r="L11737" s="31" t="str">
        <f t="shared" ref="L11737:L11745" si="1133">$L$33&amp;" "&amp;L11707</f>
        <v>Tiga Puluh Satu</v>
      </c>
    </row>
    <row r="11738" spans="1:12">
      <c r="J11738" s="31">
        <v>32</v>
      </c>
      <c r="K11738" s="33" t="s">
        <v>103</v>
      </c>
      <c r="L11738" s="31" t="str">
        <f t="shared" si="1133"/>
        <v>Tiga Puluh Dua</v>
      </c>
    </row>
    <row r="11739" spans="1:12">
      <c r="J11739" s="31">
        <v>33</v>
      </c>
      <c r="K11739" s="33" t="s">
        <v>104</v>
      </c>
      <c r="L11739" s="31" t="str">
        <f t="shared" si="1133"/>
        <v>Tiga Puluh Tiga</v>
      </c>
    </row>
    <row r="11740" spans="1:12">
      <c r="J11740" s="31">
        <v>34</v>
      </c>
      <c r="K11740" s="33" t="s">
        <v>105</v>
      </c>
      <c r="L11740" s="31" t="str">
        <f t="shared" si="1133"/>
        <v>Tiga Puluh Empat</v>
      </c>
    </row>
    <row r="11741" spans="1:12">
      <c r="J11741" s="31">
        <v>35</v>
      </c>
      <c r="K11741" s="33" t="s">
        <v>106</v>
      </c>
      <c r="L11741" s="31" t="str">
        <f t="shared" si="1133"/>
        <v>Tiga Puluh Lima</v>
      </c>
    </row>
    <row r="11742" spans="1:12">
      <c r="J11742" s="31">
        <v>36</v>
      </c>
      <c r="K11742" s="33" t="s">
        <v>107</v>
      </c>
      <c r="L11742" s="31" t="str">
        <f t="shared" si="1133"/>
        <v>Tiga Puluh Enam</v>
      </c>
    </row>
    <row r="11743" spans="1:12">
      <c r="J11743" s="31">
        <v>37</v>
      </c>
      <c r="K11743" s="33" t="s">
        <v>108</v>
      </c>
      <c r="L11743" s="31" t="str">
        <f t="shared" si="1133"/>
        <v>Tiga Puluh Tujuh</v>
      </c>
    </row>
    <row r="11744" spans="1:12">
      <c r="J11744" s="31">
        <v>38</v>
      </c>
      <c r="K11744" s="33" t="s">
        <v>109</v>
      </c>
      <c r="L11744" s="31" t="str">
        <f t="shared" si="1133"/>
        <v>Tiga Puluh Delapan</v>
      </c>
    </row>
    <row r="11745" spans="1:12">
      <c r="J11745" s="31">
        <v>39</v>
      </c>
      <c r="K11745" s="33" t="s">
        <v>110</v>
      </c>
      <c r="L11745" s="31" t="str">
        <f t="shared" si="1133"/>
        <v>Tiga Puluh Sembilan</v>
      </c>
    </row>
    <row r="11746" spans="1:12">
      <c r="B11746" s="35"/>
      <c r="C11746" s="35"/>
      <c r="D11746" s="35"/>
      <c r="J11746" s="31">
        <v>40</v>
      </c>
      <c r="K11746" s="33" t="s">
        <v>111</v>
      </c>
      <c r="L11746" s="31" t="s">
        <v>112</v>
      </c>
    </row>
    <row r="11747" spans="1:12">
      <c r="A11747" s="35"/>
      <c r="B11747" s="35"/>
      <c r="C11747" s="35"/>
      <c r="D11747" s="35"/>
      <c r="J11747" s="31">
        <v>41</v>
      </c>
      <c r="K11747" s="33" t="s">
        <v>113</v>
      </c>
      <c r="L11747" s="31" t="str">
        <f t="shared" ref="L11747:L11755" si="1134">$L$43&amp;" "&amp;L11707</f>
        <v>Empat Puluh Satu</v>
      </c>
    </row>
    <row r="11748" spans="1:12">
      <c r="J11748" s="31">
        <v>42</v>
      </c>
      <c r="K11748" s="33" t="s">
        <v>114</v>
      </c>
      <c r="L11748" s="31" t="str">
        <f t="shared" si="1134"/>
        <v>Empat Puluh Dua</v>
      </c>
    </row>
    <row r="11749" spans="1:12">
      <c r="A11749" s="38"/>
      <c r="J11749" s="31">
        <v>43</v>
      </c>
      <c r="K11749" s="33" t="s">
        <v>115</v>
      </c>
      <c r="L11749" s="31" t="str">
        <f t="shared" si="1134"/>
        <v>Empat Puluh Tiga</v>
      </c>
    </row>
    <row r="11750" spans="1:12">
      <c r="J11750" s="31">
        <v>44</v>
      </c>
      <c r="K11750" s="33" t="s">
        <v>116</v>
      </c>
      <c r="L11750" s="31" t="str">
        <f t="shared" si="1134"/>
        <v>Empat Puluh Empat</v>
      </c>
    </row>
    <row r="11751" spans="1:12">
      <c r="J11751" s="31">
        <v>45</v>
      </c>
      <c r="K11751" s="33" t="s">
        <v>117</v>
      </c>
      <c r="L11751" s="31" t="str">
        <f t="shared" si="1134"/>
        <v>Empat Puluh Lima</v>
      </c>
    </row>
    <row r="11752" spans="1:12">
      <c r="J11752" s="31">
        <v>46</v>
      </c>
      <c r="K11752" s="33" t="s">
        <v>118</v>
      </c>
      <c r="L11752" s="31" t="str">
        <f t="shared" si="1134"/>
        <v>Empat Puluh Enam</v>
      </c>
    </row>
    <row r="11753" spans="1:12">
      <c r="J11753" s="31">
        <v>47</v>
      </c>
      <c r="K11753" s="33" t="s">
        <v>119</v>
      </c>
      <c r="L11753" s="31" t="str">
        <f t="shared" si="1134"/>
        <v>Empat Puluh Tujuh</v>
      </c>
    </row>
    <row r="11754" spans="1:12">
      <c r="J11754" s="31">
        <v>48</v>
      </c>
      <c r="K11754" s="33" t="s">
        <v>120</v>
      </c>
      <c r="L11754" s="31" t="str">
        <f t="shared" si="1134"/>
        <v>Empat Puluh Delapan</v>
      </c>
    </row>
    <row r="11755" spans="1:12">
      <c r="J11755" s="31">
        <v>49</v>
      </c>
      <c r="K11755" s="33" t="s">
        <v>121</v>
      </c>
      <c r="L11755" s="31" t="str">
        <f t="shared" si="1134"/>
        <v>Empat Puluh Sembilan</v>
      </c>
    </row>
    <row r="11756" spans="1:12">
      <c r="J11756" s="31">
        <v>50</v>
      </c>
      <c r="K11756" s="33" t="s">
        <v>122</v>
      </c>
      <c r="L11756" s="31" t="s">
        <v>123</v>
      </c>
    </row>
    <row r="11757" spans="1:12">
      <c r="J11757" s="31">
        <v>51</v>
      </c>
      <c r="K11757" s="33" t="s">
        <v>124</v>
      </c>
      <c r="L11757" s="31" t="str">
        <f t="shared" ref="L11757:L11765" si="1135">$L$53&amp;" "&amp;L11707</f>
        <v>Lima Puluh Satu</v>
      </c>
    </row>
    <row r="11758" spans="1:12">
      <c r="J11758" s="31">
        <v>52</v>
      </c>
      <c r="K11758" s="33" t="s">
        <v>125</v>
      </c>
      <c r="L11758" s="31" t="str">
        <f t="shared" si="1135"/>
        <v>Lima Puluh Dua</v>
      </c>
    </row>
    <row r="11759" spans="1:12">
      <c r="J11759" s="31">
        <v>53</v>
      </c>
      <c r="K11759" s="33" t="s">
        <v>126</v>
      </c>
      <c r="L11759" s="31" t="str">
        <f t="shared" si="1135"/>
        <v>Lima Puluh Tiga</v>
      </c>
    </row>
    <row r="11760" spans="1:12">
      <c r="J11760" s="31">
        <v>54</v>
      </c>
      <c r="K11760" s="33" t="s">
        <v>127</v>
      </c>
      <c r="L11760" s="31" t="str">
        <f t="shared" si="1135"/>
        <v>Lima Puluh Empat</v>
      </c>
    </row>
    <row r="11761" spans="10:12">
      <c r="J11761" s="31">
        <v>55</v>
      </c>
      <c r="K11761" s="33" t="s">
        <v>128</v>
      </c>
      <c r="L11761" s="31" t="str">
        <f t="shared" si="1135"/>
        <v>Lima Puluh Lima</v>
      </c>
    </row>
    <row r="11762" spans="10:12">
      <c r="J11762" s="31">
        <v>56</v>
      </c>
      <c r="K11762" s="33" t="s">
        <v>129</v>
      </c>
      <c r="L11762" s="31" t="str">
        <f t="shared" si="1135"/>
        <v>Lima Puluh Enam</v>
      </c>
    </row>
    <row r="11763" spans="10:12">
      <c r="J11763" s="31">
        <v>57</v>
      </c>
      <c r="K11763" s="33" t="s">
        <v>130</v>
      </c>
      <c r="L11763" s="31" t="str">
        <f t="shared" si="1135"/>
        <v>Lima Puluh Tujuh</v>
      </c>
    </row>
    <row r="11764" spans="10:12">
      <c r="J11764" s="31">
        <v>58</v>
      </c>
      <c r="K11764" s="33" t="s">
        <v>131</v>
      </c>
      <c r="L11764" s="31" t="str">
        <f t="shared" si="1135"/>
        <v>Lima Puluh Delapan</v>
      </c>
    </row>
    <row r="11765" spans="10:12">
      <c r="J11765" s="31">
        <v>59</v>
      </c>
      <c r="K11765" s="33" t="s">
        <v>132</v>
      </c>
      <c r="L11765" s="31" t="str">
        <f t="shared" si="1135"/>
        <v>Lima Puluh Sembilan</v>
      </c>
    </row>
    <row r="11766" spans="10:12">
      <c r="J11766" s="31">
        <v>60</v>
      </c>
      <c r="K11766" s="33" t="s">
        <v>133</v>
      </c>
      <c r="L11766" s="31" t="s">
        <v>134</v>
      </c>
    </row>
    <row r="11767" spans="10:12">
      <c r="J11767" s="31">
        <v>61</v>
      </c>
      <c r="K11767" s="33" t="s">
        <v>135</v>
      </c>
      <c r="L11767" s="31" t="str">
        <f t="shared" ref="L11767:L11775" si="1136">$L$63&amp;" "&amp;L11707</f>
        <v>Enam Puluh Satu</v>
      </c>
    </row>
    <row r="11768" spans="10:12">
      <c r="J11768" s="31">
        <v>62</v>
      </c>
      <c r="K11768" s="33" t="s">
        <v>136</v>
      </c>
      <c r="L11768" s="31" t="str">
        <f t="shared" si="1136"/>
        <v>Enam Puluh Dua</v>
      </c>
    </row>
    <row r="11769" spans="10:12">
      <c r="J11769" s="31">
        <v>63</v>
      </c>
      <c r="K11769" s="33" t="s">
        <v>137</v>
      </c>
      <c r="L11769" s="31" t="str">
        <f t="shared" si="1136"/>
        <v>Enam Puluh Tiga</v>
      </c>
    </row>
    <row r="11770" spans="10:12">
      <c r="J11770" s="31">
        <v>64</v>
      </c>
      <c r="K11770" s="33" t="s">
        <v>138</v>
      </c>
      <c r="L11770" s="31" t="str">
        <f t="shared" si="1136"/>
        <v>Enam Puluh Empat</v>
      </c>
    </row>
    <row r="11771" spans="10:12">
      <c r="J11771" s="31">
        <v>65</v>
      </c>
      <c r="K11771" s="33" t="s">
        <v>139</v>
      </c>
      <c r="L11771" s="31" t="str">
        <f t="shared" si="1136"/>
        <v>Enam Puluh Lima</v>
      </c>
    </row>
    <row r="11772" spans="10:12">
      <c r="J11772" s="31">
        <v>66</v>
      </c>
      <c r="K11772" s="33" t="s">
        <v>140</v>
      </c>
      <c r="L11772" s="31" t="str">
        <f t="shared" si="1136"/>
        <v>Enam Puluh Enam</v>
      </c>
    </row>
    <row r="11773" spans="10:12">
      <c r="J11773" s="31">
        <v>67</v>
      </c>
      <c r="K11773" s="33" t="s">
        <v>141</v>
      </c>
      <c r="L11773" s="31" t="str">
        <f t="shared" si="1136"/>
        <v>Enam Puluh Tujuh</v>
      </c>
    </row>
    <row r="11774" spans="10:12">
      <c r="J11774" s="31">
        <v>68</v>
      </c>
      <c r="K11774" s="33" t="s">
        <v>142</v>
      </c>
      <c r="L11774" s="31" t="str">
        <f t="shared" si="1136"/>
        <v>Enam Puluh Delapan</v>
      </c>
    </row>
    <row r="11775" spans="10:12">
      <c r="J11775" s="31">
        <v>69</v>
      </c>
      <c r="K11775" s="33" t="s">
        <v>143</v>
      </c>
      <c r="L11775" s="31" t="str">
        <f t="shared" si="1136"/>
        <v>Enam Puluh Sembilan</v>
      </c>
    </row>
    <row r="11776" spans="10:12">
      <c r="J11776" s="31">
        <v>70</v>
      </c>
      <c r="K11776" s="33" t="s">
        <v>144</v>
      </c>
      <c r="L11776" s="31" t="s">
        <v>145</v>
      </c>
    </row>
    <row r="11777" spans="10:12">
      <c r="J11777" s="31">
        <v>71</v>
      </c>
      <c r="K11777" s="33" t="s">
        <v>146</v>
      </c>
      <c r="L11777" s="31" t="str">
        <f t="shared" ref="L11777:L11785" si="1137">$L$73&amp;" "&amp;L11707</f>
        <v>Tujuh Puluh Satu</v>
      </c>
    </row>
    <row r="11778" spans="10:12">
      <c r="J11778" s="31">
        <v>72</v>
      </c>
      <c r="K11778" s="33" t="s">
        <v>147</v>
      </c>
      <c r="L11778" s="31" t="str">
        <f t="shared" si="1137"/>
        <v>Tujuh Puluh Dua</v>
      </c>
    </row>
    <row r="11779" spans="10:12">
      <c r="J11779" s="31">
        <v>73</v>
      </c>
      <c r="K11779" s="33" t="s">
        <v>148</v>
      </c>
      <c r="L11779" s="31" t="str">
        <f t="shared" si="1137"/>
        <v>Tujuh Puluh Tiga</v>
      </c>
    </row>
    <row r="11780" spans="10:12">
      <c r="J11780" s="31">
        <v>74</v>
      </c>
      <c r="K11780" s="33" t="s">
        <v>149</v>
      </c>
      <c r="L11780" s="31" t="str">
        <f t="shared" si="1137"/>
        <v>Tujuh Puluh Empat</v>
      </c>
    </row>
    <row r="11781" spans="10:12">
      <c r="J11781" s="31">
        <v>75</v>
      </c>
      <c r="K11781" s="33" t="s">
        <v>150</v>
      </c>
      <c r="L11781" s="31" t="str">
        <f t="shared" si="1137"/>
        <v>Tujuh Puluh Lima</v>
      </c>
    </row>
    <row r="11782" spans="10:12">
      <c r="J11782" s="31">
        <v>76</v>
      </c>
      <c r="K11782" s="33" t="s">
        <v>151</v>
      </c>
      <c r="L11782" s="31" t="str">
        <f t="shared" si="1137"/>
        <v>Tujuh Puluh Enam</v>
      </c>
    </row>
    <row r="11783" spans="10:12">
      <c r="J11783" s="31">
        <v>77</v>
      </c>
      <c r="K11783" s="33" t="s">
        <v>152</v>
      </c>
      <c r="L11783" s="31" t="str">
        <f t="shared" si="1137"/>
        <v>Tujuh Puluh Tujuh</v>
      </c>
    </row>
    <row r="11784" spans="10:12">
      <c r="J11784" s="31">
        <v>78</v>
      </c>
      <c r="K11784" s="33" t="s">
        <v>153</v>
      </c>
      <c r="L11784" s="31" t="str">
        <f t="shared" si="1137"/>
        <v>Tujuh Puluh Delapan</v>
      </c>
    </row>
    <row r="11785" spans="10:12">
      <c r="J11785" s="31">
        <v>79</v>
      </c>
      <c r="K11785" s="33" t="s">
        <v>154</v>
      </c>
      <c r="L11785" s="31" t="str">
        <f t="shared" si="1137"/>
        <v>Tujuh Puluh Sembilan</v>
      </c>
    </row>
    <row r="11786" spans="10:12">
      <c r="J11786" s="31">
        <v>80</v>
      </c>
      <c r="K11786" s="33" t="s">
        <v>155</v>
      </c>
      <c r="L11786" s="31" t="s">
        <v>156</v>
      </c>
    </row>
    <row r="11787" spans="10:12">
      <c r="J11787" s="31">
        <v>81</v>
      </c>
      <c r="K11787" s="33" t="s">
        <v>157</v>
      </c>
      <c r="L11787" s="31" t="str">
        <f t="shared" ref="L11787:L11795" si="1138">$L$83&amp;" "&amp;L11707</f>
        <v>Delapan Puluh Satu</v>
      </c>
    </row>
    <row r="11788" spans="10:12">
      <c r="J11788" s="31">
        <v>82</v>
      </c>
      <c r="K11788" s="33" t="s">
        <v>158</v>
      </c>
      <c r="L11788" s="31" t="str">
        <f t="shared" si="1138"/>
        <v>Delapan Puluh Dua</v>
      </c>
    </row>
    <row r="11789" spans="10:12">
      <c r="J11789" s="31">
        <v>83</v>
      </c>
      <c r="K11789" s="33" t="s">
        <v>159</v>
      </c>
      <c r="L11789" s="31" t="str">
        <f t="shared" si="1138"/>
        <v>Delapan Puluh Tiga</v>
      </c>
    </row>
    <row r="11790" spans="10:12">
      <c r="J11790" s="31">
        <v>84</v>
      </c>
      <c r="K11790" s="33" t="s">
        <v>160</v>
      </c>
      <c r="L11790" s="31" t="str">
        <f t="shared" si="1138"/>
        <v>Delapan Puluh Empat</v>
      </c>
    </row>
    <row r="11791" spans="10:12">
      <c r="J11791" s="31">
        <v>85</v>
      </c>
      <c r="K11791" s="33" t="s">
        <v>161</v>
      </c>
      <c r="L11791" s="31" t="str">
        <f t="shared" si="1138"/>
        <v>Delapan Puluh Lima</v>
      </c>
    </row>
    <row r="11792" spans="10:12">
      <c r="J11792" s="31">
        <v>86</v>
      </c>
      <c r="K11792" s="33" t="s">
        <v>162</v>
      </c>
      <c r="L11792" s="31" t="str">
        <f t="shared" si="1138"/>
        <v>Delapan Puluh Enam</v>
      </c>
    </row>
    <row r="11793" spans="1:12">
      <c r="J11793" s="31">
        <v>87</v>
      </c>
      <c r="K11793" s="33" t="s">
        <v>163</v>
      </c>
      <c r="L11793" s="31" t="str">
        <f t="shared" si="1138"/>
        <v>Delapan Puluh Tujuh</v>
      </c>
    </row>
    <row r="11794" spans="1:12">
      <c r="J11794" s="31">
        <v>88</v>
      </c>
      <c r="K11794" s="33" t="s">
        <v>164</v>
      </c>
      <c r="L11794" s="31" t="str">
        <f t="shared" si="1138"/>
        <v>Delapan Puluh Delapan</v>
      </c>
    </row>
    <row r="11795" spans="1:12">
      <c r="J11795" s="31">
        <v>89</v>
      </c>
      <c r="K11795" s="33" t="s">
        <v>165</v>
      </c>
      <c r="L11795" s="31" t="str">
        <f t="shared" si="1138"/>
        <v>Delapan Puluh Sembilan</v>
      </c>
    </row>
    <row r="11796" spans="1:12">
      <c r="J11796" s="31">
        <v>90</v>
      </c>
      <c r="K11796" s="33" t="s">
        <v>166</v>
      </c>
      <c r="L11796" s="31" t="s">
        <v>167</v>
      </c>
    </row>
    <row r="11797" spans="1:12">
      <c r="J11797" s="31">
        <v>91</v>
      </c>
      <c r="K11797" s="33" t="s">
        <v>168</v>
      </c>
      <c r="L11797" s="31" t="str">
        <f t="shared" ref="L11797:L11805" si="1139">$L$93&amp;" "&amp;L11707</f>
        <v>Sembilan Puluh Satu</v>
      </c>
    </row>
    <row r="11798" spans="1:12">
      <c r="J11798" s="31">
        <v>92</v>
      </c>
      <c r="K11798" s="33" t="s">
        <v>169</v>
      </c>
      <c r="L11798" s="31" t="str">
        <f t="shared" si="1139"/>
        <v>Sembilan Puluh Dua</v>
      </c>
    </row>
    <row r="11799" spans="1:12">
      <c r="J11799" s="31">
        <v>93</v>
      </c>
      <c r="K11799" s="33" t="s">
        <v>170</v>
      </c>
      <c r="L11799" s="31" t="str">
        <f t="shared" si="1139"/>
        <v>Sembilan Puluh Tiga</v>
      </c>
    </row>
    <row r="11800" spans="1:12">
      <c r="J11800" s="31">
        <v>94</v>
      </c>
      <c r="K11800" s="33" t="s">
        <v>171</v>
      </c>
      <c r="L11800" s="31" t="str">
        <f t="shared" si="1139"/>
        <v>Sembilan Puluh Empat</v>
      </c>
    </row>
    <row r="11801" spans="1:12">
      <c r="J11801" s="31">
        <v>95</v>
      </c>
      <c r="K11801" s="33" t="s">
        <v>172</v>
      </c>
      <c r="L11801" s="31" t="str">
        <f t="shared" si="1139"/>
        <v>Sembilan Puluh Lima</v>
      </c>
    </row>
    <row r="11802" spans="1:12">
      <c r="J11802" s="31">
        <v>96</v>
      </c>
      <c r="K11802" s="33" t="s">
        <v>173</v>
      </c>
      <c r="L11802" s="31" t="str">
        <f t="shared" si="1139"/>
        <v>Sembilan Puluh Enam</v>
      </c>
    </row>
    <row r="11803" spans="1:12">
      <c r="J11803" s="31">
        <v>97</v>
      </c>
      <c r="K11803" s="33" t="s">
        <v>174</v>
      </c>
      <c r="L11803" s="31" t="str">
        <f t="shared" si="1139"/>
        <v>Sembilan Puluh Tujuh</v>
      </c>
    </row>
    <row r="11804" spans="1:12">
      <c r="J11804" s="31">
        <v>98</v>
      </c>
      <c r="K11804" s="33" t="s">
        <v>175</v>
      </c>
      <c r="L11804" s="31" t="str">
        <f t="shared" si="1139"/>
        <v>Sembilan Puluh Delapan</v>
      </c>
    </row>
    <row r="11805" spans="1:12">
      <c r="J11805" s="31">
        <v>99</v>
      </c>
      <c r="K11805" s="33" t="s">
        <v>176</v>
      </c>
      <c r="L11805" s="31" t="str">
        <f t="shared" si="1139"/>
        <v>Sembilan Puluh Sembilan</v>
      </c>
    </row>
    <row r="11807" spans="1:12">
      <c r="A11807" s="30" t="e">
        <f>#REF!</f>
        <v>#REF!</v>
      </c>
      <c r="C11807" s="31" t="s">
        <v>348</v>
      </c>
    </row>
    <row r="11808" spans="1:12">
      <c r="A11808" s="32"/>
    </row>
    <row r="11809" spans="1:12">
      <c r="J11809" s="31">
        <v>0</v>
      </c>
      <c r="K11809" s="33" t="s">
        <v>48</v>
      </c>
      <c r="L11809" s="31" t="s">
        <v>49</v>
      </c>
    </row>
    <row r="11810" spans="1:12">
      <c r="A11810" s="34"/>
      <c r="J11810" s="31">
        <v>1</v>
      </c>
      <c r="K11810" s="33" t="s">
        <v>50</v>
      </c>
      <c r="L11810" s="31" t="s">
        <v>51</v>
      </c>
    </row>
    <row r="11811" spans="1:12">
      <c r="A11811" s="255" t="e">
        <f>TRIM(D11819&amp;E11819&amp;D11820&amp;E11820&amp;D11821&amp;E11821&amp;D11822&amp;E11822&amp;D11823&amp;E11823&amp;D11824&amp;E11824&amp;E11825&amp;D11825&amp;" Only")</f>
        <v>#REF!</v>
      </c>
      <c r="B11811" s="255"/>
      <c r="C11811" s="255"/>
      <c r="D11811" s="255"/>
      <c r="E11811" s="35"/>
      <c r="F11811" s="36"/>
      <c r="J11811" s="31">
        <v>2</v>
      </c>
      <c r="K11811" s="33" t="s">
        <v>52</v>
      </c>
      <c r="L11811" s="31" t="s">
        <v>53</v>
      </c>
    </row>
    <row r="11812" spans="1:12">
      <c r="A11812" s="37"/>
      <c r="B11812" s="37"/>
      <c r="C11812" s="37"/>
      <c r="D11812" s="37"/>
      <c r="E11812" s="35"/>
      <c r="F11812" s="36"/>
      <c r="J11812" s="31">
        <v>3</v>
      </c>
      <c r="K11812" s="33" t="s">
        <v>54</v>
      </c>
      <c r="L11812" s="31" t="s">
        <v>55</v>
      </c>
    </row>
    <row r="11813" spans="1:12">
      <c r="A11813" s="37"/>
      <c r="B11813" s="37"/>
      <c r="C11813" s="37"/>
      <c r="D11813" s="37"/>
      <c r="J11813" s="31">
        <v>4</v>
      </c>
      <c r="K11813" s="33" t="s">
        <v>56</v>
      </c>
      <c r="L11813" s="31" t="s">
        <v>57</v>
      </c>
    </row>
    <row r="11814" spans="1:12">
      <c r="A11814" s="255" t="e">
        <f>TRIM(D11829&amp;E11829&amp;D11830&amp;E11830&amp;D11831&amp;E11831&amp;D11832&amp;E11832&amp;D11833&amp;E11833&amp;D11834&amp;E11834&amp;D11835&amp;E11835&amp;" Rupiah")</f>
        <v>#REF!</v>
      </c>
      <c r="B11814" s="255"/>
      <c r="C11814" s="255"/>
      <c r="D11814" s="255"/>
      <c r="E11814" s="35"/>
      <c r="F11814" s="36"/>
      <c r="J11814" s="31">
        <v>5</v>
      </c>
      <c r="K11814" s="33" t="s">
        <v>58</v>
      </c>
      <c r="L11814" s="31" t="s">
        <v>59</v>
      </c>
    </row>
    <row r="11815" spans="1:12">
      <c r="A11815" s="35"/>
      <c r="B11815" s="35"/>
      <c r="C11815" s="35"/>
      <c r="D11815" s="35"/>
      <c r="E11815" s="35"/>
      <c r="F11815" s="36"/>
      <c r="J11815" s="31">
        <v>6</v>
      </c>
      <c r="K11815" s="33" t="s">
        <v>60</v>
      </c>
      <c r="L11815" s="31" t="s">
        <v>61</v>
      </c>
    </row>
    <row r="11816" spans="1:12">
      <c r="J11816" s="31">
        <v>7</v>
      </c>
      <c r="K11816" s="33" t="s">
        <v>62</v>
      </c>
      <c r="L11816" s="31" t="s">
        <v>63</v>
      </c>
    </row>
    <row r="11817" spans="1:12">
      <c r="J11817" s="31">
        <v>8</v>
      </c>
      <c r="K11817" s="33" t="s">
        <v>64</v>
      </c>
      <c r="L11817" s="31" t="s">
        <v>65</v>
      </c>
    </row>
    <row r="11818" spans="1:12">
      <c r="A11818" s="38" t="s">
        <v>66</v>
      </c>
      <c r="J11818" s="31">
        <v>9</v>
      </c>
      <c r="K11818" s="33" t="s">
        <v>67</v>
      </c>
      <c r="L11818" s="31" t="s">
        <v>68</v>
      </c>
    </row>
    <row r="11819" spans="1:12">
      <c r="A11819" s="31" t="s">
        <v>69</v>
      </c>
      <c r="B11819" s="39" t="e">
        <f>TRUNC(A11807/100000000)</f>
        <v>#REF!</v>
      </c>
      <c r="C11819" s="31" t="e">
        <f>B11819*100000000</f>
        <v>#REF!</v>
      </c>
      <c r="D11819" s="31" t="e">
        <f t="shared" ref="D11819:D11825" si="1140">IF(B11819&lt;1,"",VLOOKUP(B11819,$J$3:$K$102,2))</f>
        <v>#REF!</v>
      </c>
      <c r="E11819" s="31" t="e">
        <f>IF(B11819&lt;1,"",IF(B11819&gt;1," Hundreds "," Hundred "))</f>
        <v>#REF!</v>
      </c>
      <c r="J11819" s="31">
        <v>10</v>
      </c>
      <c r="K11819" s="33" t="s">
        <v>70</v>
      </c>
      <c r="L11819" s="31" t="s">
        <v>71</v>
      </c>
    </row>
    <row r="11820" spans="1:12">
      <c r="A11820" s="31" t="s">
        <v>72</v>
      </c>
      <c r="B11820" s="39" t="e">
        <f>TRUNC((A11807-C11819)/1000000)</f>
        <v>#REF!</v>
      </c>
      <c r="C11820" s="31" t="e">
        <f>B11820*1000000</f>
        <v>#REF!</v>
      </c>
      <c r="D11820" s="31" t="e">
        <f t="shared" si="1140"/>
        <v>#REF!</v>
      </c>
      <c r="E11820" s="31" t="e">
        <f>IF(B11819+B11820=0,"",IF(B11820=1," Million "," Millions "))</f>
        <v>#REF!</v>
      </c>
      <c r="J11820" s="31">
        <v>11</v>
      </c>
      <c r="K11820" s="33" t="s">
        <v>73</v>
      </c>
      <c r="L11820" s="31" t="s">
        <v>74</v>
      </c>
    </row>
    <row r="11821" spans="1:12">
      <c r="A11821" s="31" t="s">
        <v>75</v>
      </c>
      <c r="B11821" s="39" t="e">
        <f>TRUNC((A11807-SUM(C11819:C11820))/100000)</f>
        <v>#REF!</v>
      </c>
      <c r="C11821" s="31" t="e">
        <f>B11821*100000</f>
        <v>#REF!</v>
      </c>
      <c r="D11821" s="31" t="e">
        <f t="shared" si="1140"/>
        <v>#REF!</v>
      </c>
      <c r="E11821" s="31" t="e">
        <f>IF(B11821&lt;1,"",IF(B11821&gt;1," Hundreds "," Hundred "))</f>
        <v>#REF!</v>
      </c>
      <c r="J11821" s="31">
        <v>12</v>
      </c>
      <c r="K11821" s="33" t="s">
        <v>76</v>
      </c>
      <c r="L11821" s="31" t="str">
        <f t="shared" ref="L11821:L11828" si="1141">L11811&amp;" Belas"</f>
        <v>Dua Belas</v>
      </c>
    </row>
    <row r="11822" spans="1:12">
      <c r="A11822" s="33" t="s">
        <v>77</v>
      </c>
      <c r="B11822" s="40" t="e">
        <f>TRUNC((A11807-SUM(C11819:C11821))/1000)</f>
        <v>#REF!</v>
      </c>
      <c r="C11822" s="31" t="e">
        <f>B11822*1000</f>
        <v>#REF!</v>
      </c>
      <c r="D11822" s="31" t="e">
        <f t="shared" si="1140"/>
        <v>#REF!</v>
      </c>
      <c r="E11822" s="31" t="e">
        <f>IF(B11821+B11822=0,"",IF(B11822=1," Thousand "," Thousands "))</f>
        <v>#REF!</v>
      </c>
      <c r="J11822" s="31">
        <v>13</v>
      </c>
      <c r="K11822" s="33" t="s">
        <v>78</v>
      </c>
      <c r="L11822" s="31" t="str">
        <f t="shared" si="1141"/>
        <v>Tiga Belas</v>
      </c>
    </row>
    <row r="11823" spans="1:12">
      <c r="A11823" s="33" t="s">
        <v>79</v>
      </c>
      <c r="B11823" s="40" t="e">
        <f>TRUNC((A11807-SUM(C11819:C11822))/100)</f>
        <v>#REF!</v>
      </c>
      <c r="C11823" s="31" t="e">
        <f>B11823*100</f>
        <v>#REF!</v>
      </c>
      <c r="D11823" s="31" t="e">
        <f t="shared" si="1140"/>
        <v>#REF!</v>
      </c>
      <c r="E11823" s="31" t="e">
        <f>IF(B11823&lt;1,"",IF(B11823&gt;1," Hundreds "," Hundred "))</f>
        <v>#REF!</v>
      </c>
      <c r="J11823" s="31">
        <v>14</v>
      </c>
      <c r="K11823" s="33" t="s">
        <v>80</v>
      </c>
      <c r="L11823" s="31" t="str">
        <f t="shared" si="1141"/>
        <v>Empat Belas</v>
      </c>
    </row>
    <row r="11824" spans="1:12">
      <c r="A11824" s="33" t="s">
        <v>81</v>
      </c>
      <c r="B11824" s="41" t="e">
        <f>TRUNC((A11807-SUM(C11819:C11823)))</f>
        <v>#REF!</v>
      </c>
      <c r="C11824" s="42" t="e">
        <f>B11824</f>
        <v>#REF!</v>
      </c>
      <c r="D11824" s="31" t="e">
        <f t="shared" si="1140"/>
        <v>#REF!</v>
      </c>
      <c r="E11824" s="31" t="e">
        <f>IF(SUM(C11819:C11824)&lt;1,"",IF(B11825&lt;1,""," And "))</f>
        <v>#REF!</v>
      </c>
      <c r="J11824" s="31">
        <v>15</v>
      </c>
      <c r="K11824" s="33" t="s">
        <v>82</v>
      </c>
      <c r="L11824" s="31" t="str">
        <f t="shared" si="1141"/>
        <v>Lima Belas</v>
      </c>
    </row>
    <row r="11825" spans="1:12">
      <c r="A11825" s="33" t="s">
        <v>83</v>
      </c>
      <c r="B11825" s="40" t="e">
        <f>ROUND(A11807-SUM(C11819:C11824),2)*100</f>
        <v>#REF!</v>
      </c>
      <c r="D11825" s="43" t="e">
        <f t="shared" si="1140"/>
        <v>#REF!</v>
      </c>
      <c r="E11825" s="31" t="e">
        <f>IF(B11825&lt;1,"",IF(B11825=1," Cent "," Cents "))</f>
        <v>#REF!</v>
      </c>
      <c r="J11825" s="31">
        <v>16</v>
      </c>
      <c r="K11825" s="33" t="s">
        <v>84</v>
      </c>
      <c r="L11825" s="31" t="str">
        <f t="shared" si="1141"/>
        <v>Enam Belas</v>
      </c>
    </row>
    <row r="11826" spans="1:12">
      <c r="J11826" s="31">
        <v>17</v>
      </c>
      <c r="K11826" s="33" t="s">
        <v>85</v>
      </c>
      <c r="L11826" s="31" t="str">
        <f t="shared" si="1141"/>
        <v>Tujuh Belas</v>
      </c>
    </row>
    <row r="11827" spans="1:12">
      <c r="A11827" s="44"/>
      <c r="J11827" s="31">
        <v>18</v>
      </c>
      <c r="K11827" s="33" t="s">
        <v>86</v>
      </c>
      <c r="L11827" s="31" t="str">
        <f t="shared" si="1141"/>
        <v>Delapan Belas</v>
      </c>
    </row>
    <row r="11828" spans="1:12">
      <c r="A11828" s="38" t="s">
        <v>87</v>
      </c>
      <c r="J11828" s="31">
        <v>19</v>
      </c>
      <c r="K11828" s="33" t="s">
        <v>88</v>
      </c>
      <c r="L11828" s="31" t="str">
        <f t="shared" si="1141"/>
        <v>Sembilan Belas</v>
      </c>
    </row>
    <row r="11829" spans="1:12">
      <c r="A11829" s="31" t="s">
        <v>69</v>
      </c>
      <c r="B11829" s="39" t="e">
        <f>TRUNC(A11807/100000000)</f>
        <v>#REF!</v>
      </c>
      <c r="C11829" s="31" t="e">
        <f>B11829*100000000</f>
        <v>#REF!</v>
      </c>
      <c r="D11829" s="31" t="e">
        <f>IF(B11829&lt;1,"",IF(B11829=1,"",VLOOKUP(B11829,$J$3:$L$102,3)))</f>
        <v>#REF!</v>
      </c>
      <c r="E11829" s="31" t="e">
        <f>IF(B11829&lt;1,"",IF(B11829=1,"Seratus "," Ratus "))</f>
        <v>#REF!</v>
      </c>
      <c r="J11829" s="31">
        <v>20</v>
      </c>
      <c r="K11829" s="33" t="s">
        <v>89</v>
      </c>
      <c r="L11829" s="31" t="s">
        <v>90</v>
      </c>
    </row>
    <row r="11830" spans="1:12">
      <c r="A11830" s="31" t="s">
        <v>72</v>
      </c>
      <c r="B11830" s="39" t="e">
        <f>TRUNC((A11807-C11829)/1000000)</f>
        <v>#REF!</v>
      </c>
      <c r="C11830" s="31" t="e">
        <f>B11830*1000000</f>
        <v>#REF!</v>
      </c>
      <c r="D11830" s="31" t="e">
        <f>IF(B11830&lt;1,"",VLOOKUP(B11830,$J$3:$L$102,3))</f>
        <v>#REF!</v>
      </c>
      <c r="E11830" s="31" t="e">
        <f>IF(B11829+B11830=0,""," Juta ")</f>
        <v>#REF!</v>
      </c>
      <c r="J11830" s="31">
        <v>21</v>
      </c>
      <c r="K11830" s="33" t="s">
        <v>91</v>
      </c>
      <c r="L11830" s="31" t="str">
        <f t="shared" ref="L11830:L11838" si="1142">$L$23&amp;" "&amp;L11810</f>
        <v>Dua Puluh Satu</v>
      </c>
    </row>
    <row r="11831" spans="1:12">
      <c r="A11831" s="31" t="s">
        <v>75</v>
      </c>
      <c r="B11831" s="39" t="e">
        <f>TRUNC((A11807-SUM(C11829:C11830))/100000)</f>
        <v>#REF!</v>
      </c>
      <c r="C11831" s="31" t="e">
        <f>B11831*100000</f>
        <v>#REF!</v>
      </c>
      <c r="D11831" s="31" t="e">
        <f>IF(B11831&lt;1,"",IF(B11831=1,"",VLOOKUP(B11831,$J$3:$L$102,3)))</f>
        <v>#REF!</v>
      </c>
      <c r="E11831" s="31" t="e">
        <f>IF(B11831&lt;1,"",IF(B11831=1," Seratus "," Ratus "))</f>
        <v>#REF!</v>
      </c>
      <c r="J11831" s="31">
        <v>22</v>
      </c>
      <c r="K11831" s="33" t="s">
        <v>92</v>
      </c>
      <c r="L11831" s="31" t="str">
        <f t="shared" si="1142"/>
        <v>Dua Puluh Dua</v>
      </c>
    </row>
    <row r="11832" spans="1:12">
      <c r="A11832" s="33" t="s">
        <v>77</v>
      </c>
      <c r="B11832" s="40" t="e">
        <f>TRUNC((A11807-SUM(C11829:C11831))/1000)</f>
        <v>#REF!</v>
      </c>
      <c r="C11832" s="31" t="e">
        <f>B11832*1000</f>
        <v>#REF!</v>
      </c>
      <c r="D11832" s="31" t="e">
        <f>IF(B11832&lt;1,"",IF(B11832=1,"",VLOOKUP(B11832,$J$3:$L$102,3)))</f>
        <v>#REF!</v>
      </c>
      <c r="E11832" s="31" t="e">
        <f>IF(B11831+B11832&lt;1,"",IF(B11832=1," Seribu "," Ribu "))</f>
        <v>#REF!</v>
      </c>
      <c r="J11832" s="31">
        <v>23</v>
      </c>
      <c r="K11832" s="33" t="s">
        <v>93</v>
      </c>
      <c r="L11832" s="31" t="str">
        <f t="shared" si="1142"/>
        <v>Dua Puluh Tiga</v>
      </c>
    </row>
    <row r="11833" spans="1:12">
      <c r="A11833" s="33" t="s">
        <v>79</v>
      </c>
      <c r="B11833" s="40" t="e">
        <f>TRUNC((A11807-SUM(C11829:C11832))/100)</f>
        <v>#REF!</v>
      </c>
      <c r="C11833" s="31" t="e">
        <f>B11833*100</f>
        <v>#REF!</v>
      </c>
      <c r="D11833" s="31" t="e">
        <f>IF(B11833&lt;1,"",IF(B11833=1,"",VLOOKUP(B11833,$J$3:$L$102,3)))</f>
        <v>#REF!</v>
      </c>
      <c r="E11833" s="31" t="e">
        <f>IF(B11833&lt;1,"",IF(B11833=1," Seratus "," Ratus "))</f>
        <v>#REF!</v>
      </c>
      <c r="J11833" s="31">
        <v>24</v>
      </c>
      <c r="K11833" s="33" t="s">
        <v>94</v>
      </c>
      <c r="L11833" s="31" t="str">
        <f t="shared" si="1142"/>
        <v>Dua Puluh Empat</v>
      </c>
    </row>
    <row r="11834" spans="1:12">
      <c r="A11834" s="33" t="s">
        <v>81</v>
      </c>
      <c r="B11834" s="41" t="e">
        <f>TRUNC((A11807-SUM(C11829:C11833)))</f>
        <v>#REF!</v>
      </c>
      <c r="C11834" s="42" t="e">
        <f>B11834</f>
        <v>#REF!</v>
      </c>
      <c r="D11834" s="31" t="e">
        <f>IF(B11834&lt;1,"",VLOOKUP(B11834,$J$3:$L$102,3))</f>
        <v>#REF!</v>
      </c>
      <c r="E11834" s="31" t="e">
        <f>IF(SUM(C11829:C11834)&lt;1,"",IF(B11835&lt;1,""," Dan "))</f>
        <v>#REF!</v>
      </c>
      <c r="J11834" s="31">
        <v>25</v>
      </c>
      <c r="K11834" s="33" t="s">
        <v>95</v>
      </c>
      <c r="L11834" s="31" t="str">
        <f t="shared" si="1142"/>
        <v>Dua Puluh Lima</v>
      </c>
    </row>
    <row r="11835" spans="1:12">
      <c r="A11835" s="33" t="s">
        <v>83</v>
      </c>
      <c r="B11835" s="40" t="e">
        <f>ROUND(A11807-SUM(C11829:C11834),2)*100</f>
        <v>#REF!</v>
      </c>
      <c r="D11835" s="31" t="e">
        <f>IF(B11835&lt;1,"",VLOOKUP(B11835,$J$3:$L$102,3))</f>
        <v>#REF!</v>
      </c>
      <c r="E11835" s="31" t="e">
        <f>IF(B11835&lt;1,""," Sen ")</f>
        <v>#REF!</v>
      </c>
      <c r="J11835" s="31">
        <v>26</v>
      </c>
      <c r="K11835" s="33" t="s">
        <v>96</v>
      </c>
      <c r="L11835" s="31" t="str">
        <f t="shared" si="1142"/>
        <v>Dua Puluh Enam</v>
      </c>
    </row>
    <row r="11836" spans="1:12">
      <c r="J11836" s="31">
        <v>27</v>
      </c>
      <c r="K11836" s="33" t="s">
        <v>97</v>
      </c>
      <c r="L11836" s="31" t="str">
        <f t="shared" si="1142"/>
        <v>Dua Puluh Tujuh</v>
      </c>
    </row>
    <row r="11837" spans="1:12">
      <c r="J11837" s="31">
        <v>28</v>
      </c>
      <c r="K11837" s="33" t="s">
        <v>98</v>
      </c>
      <c r="L11837" s="31" t="str">
        <f t="shared" si="1142"/>
        <v>Dua Puluh Delapan</v>
      </c>
    </row>
    <row r="11838" spans="1:12">
      <c r="J11838" s="31">
        <v>29</v>
      </c>
      <c r="K11838" s="33" t="s">
        <v>99</v>
      </c>
      <c r="L11838" s="31" t="str">
        <f t="shared" si="1142"/>
        <v>Dua Puluh Sembilan</v>
      </c>
    </row>
    <row r="11839" spans="1:12">
      <c r="J11839" s="31">
        <v>30</v>
      </c>
      <c r="K11839" s="33" t="s">
        <v>100</v>
      </c>
      <c r="L11839" s="31" t="s">
        <v>101</v>
      </c>
    </row>
    <row r="11840" spans="1:12">
      <c r="J11840" s="31">
        <v>31</v>
      </c>
      <c r="K11840" s="33" t="s">
        <v>102</v>
      </c>
      <c r="L11840" s="31" t="str">
        <f t="shared" ref="L11840:L11848" si="1143">$L$33&amp;" "&amp;L11810</f>
        <v>Tiga Puluh Satu</v>
      </c>
    </row>
    <row r="11841" spans="1:12">
      <c r="J11841" s="31">
        <v>32</v>
      </c>
      <c r="K11841" s="33" t="s">
        <v>103</v>
      </c>
      <c r="L11841" s="31" t="str">
        <f t="shared" si="1143"/>
        <v>Tiga Puluh Dua</v>
      </c>
    </row>
    <row r="11842" spans="1:12">
      <c r="J11842" s="31">
        <v>33</v>
      </c>
      <c r="K11842" s="33" t="s">
        <v>104</v>
      </c>
      <c r="L11842" s="31" t="str">
        <f t="shared" si="1143"/>
        <v>Tiga Puluh Tiga</v>
      </c>
    </row>
    <row r="11843" spans="1:12">
      <c r="J11843" s="31">
        <v>34</v>
      </c>
      <c r="K11843" s="33" t="s">
        <v>105</v>
      </c>
      <c r="L11843" s="31" t="str">
        <f t="shared" si="1143"/>
        <v>Tiga Puluh Empat</v>
      </c>
    </row>
    <row r="11844" spans="1:12">
      <c r="J11844" s="31">
        <v>35</v>
      </c>
      <c r="K11844" s="33" t="s">
        <v>106</v>
      </c>
      <c r="L11844" s="31" t="str">
        <f t="shared" si="1143"/>
        <v>Tiga Puluh Lima</v>
      </c>
    </row>
    <row r="11845" spans="1:12">
      <c r="J11845" s="31">
        <v>36</v>
      </c>
      <c r="K11845" s="33" t="s">
        <v>107</v>
      </c>
      <c r="L11845" s="31" t="str">
        <f t="shared" si="1143"/>
        <v>Tiga Puluh Enam</v>
      </c>
    </row>
    <row r="11846" spans="1:12">
      <c r="J11846" s="31">
        <v>37</v>
      </c>
      <c r="K11846" s="33" t="s">
        <v>108</v>
      </c>
      <c r="L11846" s="31" t="str">
        <f t="shared" si="1143"/>
        <v>Tiga Puluh Tujuh</v>
      </c>
    </row>
    <row r="11847" spans="1:12">
      <c r="J11847" s="31">
        <v>38</v>
      </c>
      <c r="K11847" s="33" t="s">
        <v>109</v>
      </c>
      <c r="L11847" s="31" t="str">
        <f t="shared" si="1143"/>
        <v>Tiga Puluh Delapan</v>
      </c>
    </row>
    <row r="11848" spans="1:12">
      <c r="J11848" s="31">
        <v>39</v>
      </c>
      <c r="K11848" s="33" t="s">
        <v>110</v>
      </c>
      <c r="L11848" s="31" t="str">
        <f t="shared" si="1143"/>
        <v>Tiga Puluh Sembilan</v>
      </c>
    </row>
    <row r="11849" spans="1:12">
      <c r="B11849" s="35"/>
      <c r="C11849" s="35"/>
      <c r="D11849" s="35"/>
      <c r="J11849" s="31">
        <v>40</v>
      </c>
      <c r="K11849" s="33" t="s">
        <v>111</v>
      </c>
      <c r="L11849" s="31" t="s">
        <v>112</v>
      </c>
    </row>
    <row r="11850" spans="1:12">
      <c r="A11850" s="35"/>
      <c r="B11850" s="35"/>
      <c r="C11850" s="35"/>
      <c r="D11850" s="35"/>
      <c r="J11850" s="31">
        <v>41</v>
      </c>
      <c r="K11850" s="33" t="s">
        <v>113</v>
      </c>
      <c r="L11850" s="31" t="str">
        <f t="shared" ref="L11850:L11858" si="1144">$L$43&amp;" "&amp;L11810</f>
        <v>Empat Puluh Satu</v>
      </c>
    </row>
    <row r="11851" spans="1:12">
      <c r="J11851" s="31">
        <v>42</v>
      </c>
      <c r="K11851" s="33" t="s">
        <v>114</v>
      </c>
      <c r="L11851" s="31" t="str">
        <f t="shared" si="1144"/>
        <v>Empat Puluh Dua</v>
      </c>
    </row>
    <row r="11852" spans="1:12">
      <c r="A11852" s="38"/>
      <c r="J11852" s="31">
        <v>43</v>
      </c>
      <c r="K11852" s="33" t="s">
        <v>115</v>
      </c>
      <c r="L11852" s="31" t="str">
        <f t="shared" si="1144"/>
        <v>Empat Puluh Tiga</v>
      </c>
    </row>
    <row r="11853" spans="1:12">
      <c r="J11853" s="31">
        <v>44</v>
      </c>
      <c r="K11853" s="33" t="s">
        <v>116</v>
      </c>
      <c r="L11853" s="31" t="str">
        <f t="shared" si="1144"/>
        <v>Empat Puluh Empat</v>
      </c>
    </row>
    <row r="11854" spans="1:12">
      <c r="J11854" s="31">
        <v>45</v>
      </c>
      <c r="K11854" s="33" t="s">
        <v>117</v>
      </c>
      <c r="L11854" s="31" t="str">
        <f t="shared" si="1144"/>
        <v>Empat Puluh Lima</v>
      </c>
    </row>
    <row r="11855" spans="1:12">
      <c r="J11855" s="31">
        <v>46</v>
      </c>
      <c r="K11855" s="33" t="s">
        <v>118</v>
      </c>
      <c r="L11855" s="31" t="str">
        <f t="shared" si="1144"/>
        <v>Empat Puluh Enam</v>
      </c>
    </row>
    <row r="11856" spans="1:12">
      <c r="J11856" s="31">
        <v>47</v>
      </c>
      <c r="K11856" s="33" t="s">
        <v>119</v>
      </c>
      <c r="L11856" s="31" t="str">
        <f t="shared" si="1144"/>
        <v>Empat Puluh Tujuh</v>
      </c>
    </row>
    <row r="11857" spans="10:12">
      <c r="J11857" s="31">
        <v>48</v>
      </c>
      <c r="K11857" s="33" t="s">
        <v>120</v>
      </c>
      <c r="L11857" s="31" t="str">
        <f t="shared" si="1144"/>
        <v>Empat Puluh Delapan</v>
      </c>
    </row>
    <row r="11858" spans="10:12">
      <c r="J11858" s="31">
        <v>49</v>
      </c>
      <c r="K11858" s="33" t="s">
        <v>121</v>
      </c>
      <c r="L11858" s="31" t="str">
        <f t="shared" si="1144"/>
        <v>Empat Puluh Sembilan</v>
      </c>
    </row>
    <row r="11859" spans="10:12">
      <c r="J11859" s="31">
        <v>50</v>
      </c>
      <c r="K11859" s="33" t="s">
        <v>122</v>
      </c>
      <c r="L11859" s="31" t="s">
        <v>123</v>
      </c>
    </row>
    <row r="11860" spans="10:12">
      <c r="J11860" s="31">
        <v>51</v>
      </c>
      <c r="K11860" s="33" t="s">
        <v>124</v>
      </c>
      <c r="L11860" s="31" t="str">
        <f t="shared" ref="L11860:L11868" si="1145">$L$53&amp;" "&amp;L11810</f>
        <v>Lima Puluh Satu</v>
      </c>
    </row>
    <row r="11861" spans="10:12">
      <c r="J11861" s="31">
        <v>52</v>
      </c>
      <c r="K11861" s="33" t="s">
        <v>125</v>
      </c>
      <c r="L11861" s="31" t="str">
        <f t="shared" si="1145"/>
        <v>Lima Puluh Dua</v>
      </c>
    </row>
    <row r="11862" spans="10:12">
      <c r="J11862" s="31">
        <v>53</v>
      </c>
      <c r="K11862" s="33" t="s">
        <v>126</v>
      </c>
      <c r="L11862" s="31" t="str">
        <f t="shared" si="1145"/>
        <v>Lima Puluh Tiga</v>
      </c>
    </row>
    <row r="11863" spans="10:12">
      <c r="J11863" s="31">
        <v>54</v>
      </c>
      <c r="K11863" s="33" t="s">
        <v>127</v>
      </c>
      <c r="L11863" s="31" t="str">
        <f t="shared" si="1145"/>
        <v>Lima Puluh Empat</v>
      </c>
    </row>
    <row r="11864" spans="10:12">
      <c r="J11864" s="31">
        <v>55</v>
      </c>
      <c r="K11864" s="33" t="s">
        <v>128</v>
      </c>
      <c r="L11864" s="31" t="str">
        <f t="shared" si="1145"/>
        <v>Lima Puluh Lima</v>
      </c>
    </row>
    <row r="11865" spans="10:12">
      <c r="J11865" s="31">
        <v>56</v>
      </c>
      <c r="K11865" s="33" t="s">
        <v>129</v>
      </c>
      <c r="L11865" s="31" t="str">
        <f t="shared" si="1145"/>
        <v>Lima Puluh Enam</v>
      </c>
    </row>
    <row r="11866" spans="10:12">
      <c r="J11866" s="31">
        <v>57</v>
      </c>
      <c r="K11866" s="33" t="s">
        <v>130</v>
      </c>
      <c r="L11866" s="31" t="str">
        <f t="shared" si="1145"/>
        <v>Lima Puluh Tujuh</v>
      </c>
    </row>
    <row r="11867" spans="10:12">
      <c r="J11867" s="31">
        <v>58</v>
      </c>
      <c r="K11867" s="33" t="s">
        <v>131</v>
      </c>
      <c r="L11867" s="31" t="str">
        <f t="shared" si="1145"/>
        <v>Lima Puluh Delapan</v>
      </c>
    </row>
    <row r="11868" spans="10:12">
      <c r="J11868" s="31">
        <v>59</v>
      </c>
      <c r="K11868" s="33" t="s">
        <v>132</v>
      </c>
      <c r="L11868" s="31" t="str">
        <f t="shared" si="1145"/>
        <v>Lima Puluh Sembilan</v>
      </c>
    </row>
    <row r="11869" spans="10:12">
      <c r="J11869" s="31">
        <v>60</v>
      </c>
      <c r="K11869" s="33" t="s">
        <v>133</v>
      </c>
      <c r="L11869" s="31" t="s">
        <v>134</v>
      </c>
    </row>
    <row r="11870" spans="10:12">
      <c r="J11870" s="31">
        <v>61</v>
      </c>
      <c r="K11870" s="33" t="s">
        <v>135</v>
      </c>
      <c r="L11870" s="31" t="str">
        <f t="shared" ref="L11870:L11878" si="1146">$L$63&amp;" "&amp;L11810</f>
        <v>Enam Puluh Satu</v>
      </c>
    </row>
    <row r="11871" spans="10:12">
      <c r="J11871" s="31">
        <v>62</v>
      </c>
      <c r="K11871" s="33" t="s">
        <v>136</v>
      </c>
      <c r="L11871" s="31" t="str">
        <f t="shared" si="1146"/>
        <v>Enam Puluh Dua</v>
      </c>
    </row>
    <row r="11872" spans="10:12">
      <c r="J11872" s="31">
        <v>63</v>
      </c>
      <c r="K11872" s="33" t="s">
        <v>137</v>
      </c>
      <c r="L11872" s="31" t="str">
        <f t="shared" si="1146"/>
        <v>Enam Puluh Tiga</v>
      </c>
    </row>
    <row r="11873" spans="10:12">
      <c r="J11873" s="31">
        <v>64</v>
      </c>
      <c r="K11873" s="33" t="s">
        <v>138</v>
      </c>
      <c r="L11873" s="31" t="str">
        <f t="shared" si="1146"/>
        <v>Enam Puluh Empat</v>
      </c>
    </row>
    <row r="11874" spans="10:12">
      <c r="J11874" s="31">
        <v>65</v>
      </c>
      <c r="K11874" s="33" t="s">
        <v>139</v>
      </c>
      <c r="L11874" s="31" t="str">
        <f t="shared" si="1146"/>
        <v>Enam Puluh Lima</v>
      </c>
    </row>
    <row r="11875" spans="10:12">
      <c r="J11875" s="31">
        <v>66</v>
      </c>
      <c r="K11875" s="33" t="s">
        <v>140</v>
      </c>
      <c r="L11875" s="31" t="str">
        <f t="shared" si="1146"/>
        <v>Enam Puluh Enam</v>
      </c>
    </row>
    <row r="11876" spans="10:12">
      <c r="J11876" s="31">
        <v>67</v>
      </c>
      <c r="K11876" s="33" t="s">
        <v>141</v>
      </c>
      <c r="L11876" s="31" t="str">
        <f t="shared" si="1146"/>
        <v>Enam Puluh Tujuh</v>
      </c>
    </row>
    <row r="11877" spans="10:12">
      <c r="J11877" s="31">
        <v>68</v>
      </c>
      <c r="K11877" s="33" t="s">
        <v>142</v>
      </c>
      <c r="L11877" s="31" t="str">
        <f t="shared" si="1146"/>
        <v>Enam Puluh Delapan</v>
      </c>
    </row>
    <row r="11878" spans="10:12">
      <c r="J11878" s="31">
        <v>69</v>
      </c>
      <c r="K11878" s="33" t="s">
        <v>143</v>
      </c>
      <c r="L11878" s="31" t="str">
        <f t="shared" si="1146"/>
        <v>Enam Puluh Sembilan</v>
      </c>
    </row>
    <row r="11879" spans="10:12">
      <c r="J11879" s="31">
        <v>70</v>
      </c>
      <c r="K11879" s="33" t="s">
        <v>144</v>
      </c>
      <c r="L11879" s="31" t="s">
        <v>145</v>
      </c>
    </row>
    <row r="11880" spans="10:12">
      <c r="J11880" s="31">
        <v>71</v>
      </c>
      <c r="K11880" s="33" t="s">
        <v>146</v>
      </c>
      <c r="L11880" s="31" t="str">
        <f t="shared" ref="L11880:L11888" si="1147">$L$73&amp;" "&amp;L11810</f>
        <v>Tujuh Puluh Satu</v>
      </c>
    </row>
    <row r="11881" spans="10:12">
      <c r="J11881" s="31">
        <v>72</v>
      </c>
      <c r="K11881" s="33" t="s">
        <v>147</v>
      </c>
      <c r="L11881" s="31" t="str">
        <f t="shared" si="1147"/>
        <v>Tujuh Puluh Dua</v>
      </c>
    </row>
    <row r="11882" spans="10:12">
      <c r="J11882" s="31">
        <v>73</v>
      </c>
      <c r="K11882" s="33" t="s">
        <v>148</v>
      </c>
      <c r="L11882" s="31" t="str">
        <f t="shared" si="1147"/>
        <v>Tujuh Puluh Tiga</v>
      </c>
    </row>
    <row r="11883" spans="10:12">
      <c r="J11883" s="31">
        <v>74</v>
      </c>
      <c r="K11883" s="33" t="s">
        <v>149</v>
      </c>
      <c r="L11883" s="31" t="str">
        <f t="shared" si="1147"/>
        <v>Tujuh Puluh Empat</v>
      </c>
    </row>
    <row r="11884" spans="10:12">
      <c r="J11884" s="31">
        <v>75</v>
      </c>
      <c r="K11884" s="33" t="s">
        <v>150</v>
      </c>
      <c r="L11884" s="31" t="str">
        <f t="shared" si="1147"/>
        <v>Tujuh Puluh Lima</v>
      </c>
    </row>
    <row r="11885" spans="10:12">
      <c r="J11885" s="31">
        <v>76</v>
      </c>
      <c r="K11885" s="33" t="s">
        <v>151</v>
      </c>
      <c r="L11885" s="31" t="str">
        <f t="shared" si="1147"/>
        <v>Tujuh Puluh Enam</v>
      </c>
    </row>
    <row r="11886" spans="10:12">
      <c r="J11886" s="31">
        <v>77</v>
      </c>
      <c r="K11886" s="33" t="s">
        <v>152</v>
      </c>
      <c r="L11886" s="31" t="str">
        <f t="shared" si="1147"/>
        <v>Tujuh Puluh Tujuh</v>
      </c>
    </row>
    <row r="11887" spans="10:12">
      <c r="J11887" s="31">
        <v>78</v>
      </c>
      <c r="K11887" s="33" t="s">
        <v>153</v>
      </c>
      <c r="L11887" s="31" t="str">
        <f t="shared" si="1147"/>
        <v>Tujuh Puluh Delapan</v>
      </c>
    </row>
    <row r="11888" spans="10:12">
      <c r="J11888" s="31">
        <v>79</v>
      </c>
      <c r="K11888" s="33" t="s">
        <v>154</v>
      </c>
      <c r="L11888" s="31" t="str">
        <f t="shared" si="1147"/>
        <v>Tujuh Puluh Sembilan</v>
      </c>
    </row>
    <row r="11889" spans="10:12">
      <c r="J11889" s="31">
        <v>80</v>
      </c>
      <c r="K11889" s="33" t="s">
        <v>155</v>
      </c>
      <c r="L11889" s="31" t="s">
        <v>156</v>
      </c>
    </row>
    <row r="11890" spans="10:12">
      <c r="J11890" s="31">
        <v>81</v>
      </c>
      <c r="K11890" s="33" t="s">
        <v>157</v>
      </c>
      <c r="L11890" s="31" t="str">
        <f t="shared" ref="L11890:L11898" si="1148">$L$83&amp;" "&amp;L11810</f>
        <v>Delapan Puluh Satu</v>
      </c>
    </row>
    <row r="11891" spans="10:12">
      <c r="J11891" s="31">
        <v>82</v>
      </c>
      <c r="K11891" s="33" t="s">
        <v>158</v>
      </c>
      <c r="L11891" s="31" t="str">
        <f t="shared" si="1148"/>
        <v>Delapan Puluh Dua</v>
      </c>
    </row>
    <row r="11892" spans="10:12">
      <c r="J11892" s="31">
        <v>83</v>
      </c>
      <c r="K11892" s="33" t="s">
        <v>159</v>
      </c>
      <c r="L11892" s="31" t="str">
        <f t="shared" si="1148"/>
        <v>Delapan Puluh Tiga</v>
      </c>
    </row>
    <row r="11893" spans="10:12">
      <c r="J11893" s="31">
        <v>84</v>
      </c>
      <c r="K11893" s="33" t="s">
        <v>160</v>
      </c>
      <c r="L11893" s="31" t="str">
        <f t="shared" si="1148"/>
        <v>Delapan Puluh Empat</v>
      </c>
    </row>
    <row r="11894" spans="10:12">
      <c r="J11894" s="31">
        <v>85</v>
      </c>
      <c r="K11894" s="33" t="s">
        <v>161</v>
      </c>
      <c r="L11894" s="31" t="str">
        <f t="shared" si="1148"/>
        <v>Delapan Puluh Lima</v>
      </c>
    </row>
    <row r="11895" spans="10:12">
      <c r="J11895" s="31">
        <v>86</v>
      </c>
      <c r="K11895" s="33" t="s">
        <v>162</v>
      </c>
      <c r="L11895" s="31" t="str">
        <f t="shared" si="1148"/>
        <v>Delapan Puluh Enam</v>
      </c>
    </row>
    <row r="11896" spans="10:12">
      <c r="J11896" s="31">
        <v>87</v>
      </c>
      <c r="K11896" s="33" t="s">
        <v>163</v>
      </c>
      <c r="L11896" s="31" t="str">
        <f t="shared" si="1148"/>
        <v>Delapan Puluh Tujuh</v>
      </c>
    </row>
    <row r="11897" spans="10:12">
      <c r="J11897" s="31">
        <v>88</v>
      </c>
      <c r="K11897" s="33" t="s">
        <v>164</v>
      </c>
      <c r="L11897" s="31" t="str">
        <f t="shared" si="1148"/>
        <v>Delapan Puluh Delapan</v>
      </c>
    </row>
    <row r="11898" spans="10:12">
      <c r="J11898" s="31">
        <v>89</v>
      </c>
      <c r="K11898" s="33" t="s">
        <v>165</v>
      </c>
      <c r="L11898" s="31" t="str">
        <f t="shared" si="1148"/>
        <v>Delapan Puluh Sembilan</v>
      </c>
    </row>
    <row r="11899" spans="10:12">
      <c r="J11899" s="31">
        <v>90</v>
      </c>
      <c r="K11899" s="33" t="s">
        <v>166</v>
      </c>
      <c r="L11899" s="31" t="s">
        <v>167</v>
      </c>
    </row>
    <row r="11900" spans="10:12">
      <c r="J11900" s="31">
        <v>91</v>
      </c>
      <c r="K11900" s="33" t="s">
        <v>168</v>
      </c>
      <c r="L11900" s="31" t="str">
        <f t="shared" ref="L11900:L11908" si="1149">$L$93&amp;" "&amp;L11810</f>
        <v>Sembilan Puluh Satu</v>
      </c>
    </row>
    <row r="11901" spans="10:12">
      <c r="J11901" s="31">
        <v>92</v>
      </c>
      <c r="K11901" s="33" t="s">
        <v>169</v>
      </c>
      <c r="L11901" s="31" t="str">
        <f t="shared" si="1149"/>
        <v>Sembilan Puluh Dua</v>
      </c>
    </row>
    <row r="11902" spans="10:12">
      <c r="J11902" s="31">
        <v>93</v>
      </c>
      <c r="K11902" s="33" t="s">
        <v>170</v>
      </c>
      <c r="L11902" s="31" t="str">
        <f t="shared" si="1149"/>
        <v>Sembilan Puluh Tiga</v>
      </c>
    </row>
    <row r="11903" spans="10:12">
      <c r="J11903" s="31">
        <v>94</v>
      </c>
      <c r="K11903" s="33" t="s">
        <v>171</v>
      </c>
      <c r="L11903" s="31" t="str">
        <f t="shared" si="1149"/>
        <v>Sembilan Puluh Empat</v>
      </c>
    </row>
    <row r="11904" spans="10:12">
      <c r="J11904" s="31">
        <v>95</v>
      </c>
      <c r="K11904" s="33" t="s">
        <v>172</v>
      </c>
      <c r="L11904" s="31" t="str">
        <f t="shared" si="1149"/>
        <v>Sembilan Puluh Lima</v>
      </c>
    </row>
    <row r="11905" spans="1:12">
      <c r="J11905" s="31">
        <v>96</v>
      </c>
      <c r="K11905" s="33" t="s">
        <v>173</v>
      </c>
      <c r="L11905" s="31" t="str">
        <f t="shared" si="1149"/>
        <v>Sembilan Puluh Enam</v>
      </c>
    </row>
    <row r="11906" spans="1:12">
      <c r="J11906" s="31">
        <v>97</v>
      </c>
      <c r="K11906" s="33" t="s">
        <v>174</v>
      </c>
      <c r="L11906" s="31" t="str">
        <f t="shared" si="1149"/>
        <v>Sembilan Puluh Tujuh</v>
      </c>
    </row>
    <row r="11907" spans="1:12">
      <c r="J11907" s="31">
        <v>98</v>
      </c>
      <c r="K11907" s="33" t="s">
        <v>175</v>
      </c>
      <c r="L11907" s="31" t="str">
        <f t="shared" si="1149"/>
        <v>Sembilan Puluh Delapan</v>
      </c>
    </row>
    <row r="11908" spans="1:12">
      <c r="J11908" s="31">
        <v>99</v>
      </c>
      <c r="K11908" s="33" t="s">
        <v>176</v>
      </c>
      <c r="L11908" s="31" t="str">
        <f t="shared" si="1149"/>
        <v>Sembilan Puluh Sembilan</v>
      </c>
    </row>
    <row r="11912" spans="1:12">
      <c r="A11912" s="30" t="e">
        <f>#REF!</f>
        <v>#REF!</v>
      </c>
      <c r="C11912" s="31" t="s">
        <v>349</v>
      </c>
    </row>
    <row r="11913" spans="1:12">
      <c r="A11913" s="32"/>
    </row>
    <row r="11914" spans="1:12">
      <c r="J11914" s="31">
        <v>0</v>
      </c>
      <c r="K11914" s="33" t="s">
        <v>48</v>
      </c>
      <c r="L11914" s="31" t="s">
        <v>49</v>
      </c>
    </row>
    <row r="11915" spans="1:12">
      <c r="A11915" s="34"/>
      <c r="J11915" s="31">
        <v>1</v>
      </c>
      <c r="K11915" s="33" t="s">
        <v>50</v>
      </c>
      <c r="L11915" s="31" t="s">
        <v>51</v>
      </c>
    </row>
    <row r="11916" spans="1:12">
      <c r="A11916" s="255" t="e">
        <f>TRIM(D11924&amp;E11924&amp;D11925&amp;E11925&amp;D11926&amp;E11926&amp;D11927&amp;E11927&amp;D11928&amp;E11928&amp;D11929&amp;E11929&amp;E11930&amp;D11930&amp;" Only")</f>
        <v>#REF!</v>
      </c>
      <c r="B11916" s="255"/>
      <c r="C11916" s="255"/>
      <c r="D11916" s="255"/>
      <c r="E11916" s="35"/>
      <c r="F11916" s="36"/>
      <c r="J11916" s="31">
        <v>2</v>
      </c>
      <c r="K11916" s="33" t="s">
        <v>52</v>
      </c>
      <c r="L11916" s="31" t="s">
        <v>53</v>
      </c>
    </row>
    <row r="11917" spans="1:12">
      <c r="A11917" s="37"/>
      <c r="B11917" s="37"/>
      <c r="C11917" s="37"/>
      <c r="D11917" s="37"/>
      <c r="E11917" s="35"/>
      <c r="F11917" s="36"/>
      <c r="J11917" s="31">
        <v>3</v>
      </c>
      <c r="K11917" s="33" t="s">
        <v>54</v>
      </c>
      <c r="L11917" s="31" t="s">
        <v>55</v>
      </c>
    </row>
    <row r="11918" spans="1:12">
      <c r="A11918" s="37"/>
      <c r="B11918" s="37"/>
      <c r="C11918" s="37"/>
      <c r="D11918" s="37"/>
      <c r="J11918" s="31">
        <v>4</v>
      </c>
      <c r="K11918" s="33" t="s">
        <v>56</v>
      </c>
      <c r="L11918" s="31" t="s">
        <v>57</v>
      </c>
    </row>
    <row r="11919" spans="1:12">
      <c r="A11919" s="255" t="e">
        <f>TRIM(D11934&amp;E11934&amp;D11935&amp;E11935&amp;D11936&amp;E11936&amp;D11937&amp;E11937&amp;D11938&amp;E11938&amp;D11939&amp;E11939&amp;D11940&amp;E11940&amp;" Rupiah")</f>
        <v>#REF!</v>
      </c>
      <c r="B11919" s="255"/>
      <c r="C11919" s="255"/>
      <c r="D11919" s="255"/>
      <c r="E11919" s="35"/>
      <c r="F11919" s="36"/>
      <c r="J11919" s="31">
        <v>5</v>
      </c>
      <c r="K11919" s="33" t="s">
        <v>58</v>
      </c>
      <c r="L11919" s="31" t="s">
        <v>59</v>
      </c>
    </row>
    <row r="11920" spans="1:12">
      <c r="A11920" s="35"/>
      <c r="B11920" s="35"/>
      <c r="C11920" s="35"/>
      <c r="D11920" s="35"/>
      <c r="E11920" s="35"/>
      <c r="F11920" s="36"/>
      <c r="J11920" s="31">
        <v>6</v>
      </c>
      <c r="K11920" s="33" t="s">
        <v>60</v>
      </c>
      <c r="L11920" s="31" t="s">
        <v>61</v>
      </c>
    </row>
    <row r="11921" spans="1:12">
      <c r="J11921" s="31">
        <v>7</v>
      </c>
      <c r="K11921" s="33" t="s">
        <v>62</v>
      </c>
      <c r="L11921" s="31" t="s">
        <v>63</v>
      </c>
    </row>
    <row r="11922" spans="1:12">
      <c r="J11922" s="31">
        <v>8</v>
      </c>
      <c r="K11922" s="33" t="s">
        <v>64</v>
      </c>
      <c r="L11922" s="31" t="s">
        <v>65</v>
      </c>
    </row>
    <row r="11923" spans="1:12">
      <c r="A11923" s="38" t="s">
        <v>66</v>
      </c>
      <c r="J11923" s="31">
        <v>9</v>
      </c>
      <c r="K11923" s="33" t="s">
        <v>67</v>
      </c>
      <c r="L11923" s="31" t="s">
        <v>68</v>
      </c>
    </row>
    <row r="11924" spans="1:12">
      <c r="A11924" s="31" t="s">
        <v>69</v>
      </c>
      <c r="B11924" s="39" t="e">
        <f>TRUNC(A11912/100000000)</f>
        <v>#REF!</v>
      </c>
      <c r="C11924" s="31" t="e">
        <f>B11924*100000000</f>
        <v>#REF!</v>
      </c>
      <c r="D11924" s="31" t="e">
        <f t="shared" ref="D11924:D11930" si="1150">IF(B11924&lt;1,"",VLOOKUP(B11924,$J$3:$K$102,2))</f>
        <v>#REF!</v>
      </c>
      <c r="E11924" s="31" t="e">
        <f>IF(B11924&lt;1,"",IF(B11924&gt;1," Hundreds "," Hundred "))</f>
        <v>#REF!</v>
      </c>
      <c r="J11924" s="31">
        <v>10</v>
      </c>
      <c r="K11924" s="33" t="s">
        <v>70</v>
      </c>
      <c r="L11924" s="31" t="s">
        <v>71</v>
      </c>
    </row>
    <row r="11925" spans="1:12">
      <c r="A11925" s="31" t="s">
        <v>72</v>
      </c>
      <c r="B11925" s="39" t="e">
        <f>TRUNC((A11912-C11924)/1000000)</f>
        <v>#REF!</v>
      </c>
      <c r="C11925" s="31" t="e">
        <f>B11925*1000000</f>
        <v>#REF!</v>
      </c>
      <c r="D11925" s="31" t="e">
        <f t="shared" si="1150"/>
        <v>#REF!</v>
      </c>
      <c r="E11925" s="31" t="e">
        <f>IF(B11924+B11925=0,"",IF(B11925=1," Million "," Millions "))</f>
        <v>#REF!</v>
      </c>
      <c r="J11925" s="31">
        <v>11</v>
      </c>
      <c r="K11925" s="33" t="s">
        <v>73</v>
      </c>
      <c r="L11925" s="31" t="s">
        <v>74</v>
      </c>
    </row>
    <row r="11926" spans="1:12">
      <c r="A11926" s="31" t="s">
        <v>75</v>
      </c>
      <c r="B11926" s="39" t="e">
        <f>TRUNC((A11912-SUM(C11924:C11925))/100000)</f>
        <v>#REF!</v>
      </c>
      <c r="C11926" s="31" t="e">
        <f>B11926*100000</f>
        <v>#REF!</v>
      </c>
      <c r="D11926" s="31" t="e">
        <f t="shared" si="1150"/>
        <v>#REF!</v>
      </c>
      <c r="E11926" s="31" t="e">
        <f>IF(B11926&lt;1,"",IF(B11926&gt;1," Hundreds "," Hundred "))</f>
        <v>#REF!</v>
      </c>
      <c r="J11926" s="31">
        <v>12</v>
      </c>
      <c r="K11926" s="33" t="s">
        <v>76</v>
      </c>
      <c r="L11926" s="31" t="str">
        <f t="shared" ref="L11926:L11933" si="1151">L11916&amp;" Belas"</f>
        <v>Dua Belas</v>
      </c>
    </row>
    <row r="11927" spans="1:12">
      <c r="A11927" s="33" t="s">
        <v>77</v>
      </c>
      <c r="B11927" s="40" t="e">
        <f>TRUNC((A11912-SUM(C11924:C11926))/1000)</f>
        <v>#REF!</v>
      </c>
      <c r="C11927" s="31" t="e">
        <f>B11927*1000</f>
        <v>#REF!</v>
      </c>
      <c r="D11927" s="31" t="e">
        <f t="shared" si="1150"/>
        <v>#REF!</v>
      </c>
      <c r="E11927" s="31" t="e">
        <f>IF(B11926+B11927=0,"",IF(B11927=1," Thousand "," Thousands "))</f>
        <v>#REF!</v>
      </c>
      <c r="J11927" s="31">
        <v>13</v>
      </c>
      <c r="K11927" s="33" t="s">
        <v>78</v>
      </c>
      <c r="L11927" s="31" t="str">
        <f t="shared" si="1151"/>
        <v>Tiga Belas</v>
      </c>
    </row>
    <row r="11928" spans="1:12">
      <c r="A11928" s="33" t="s">
        <v>79</v>
      </c>
      <c r="B11928" s="40" t="e">
        <f>TRUNC((A11912-SUM(C11924:C11927))/100)</f>
        <v>#REF!</v>
      </c>
      <c r="C11928" s="31" t="e">
        <f>B11928*100</f>
        <v>#REF!</v>
      </c>
      <c r="D11928" s="31" t="e">
        <f t="shared" si="1150"/>
        <v>#REF!</v>
      </c>
      <c r="E11928" s="31" t="e">
        <f>IF(B11928&lt;1,"",IF(B11928&gt;1," Hundreds "," Hundred "))</f>
        <v>#REF!</v>
      </c>
      <c r="J11928" s="31">
        <v>14</v>
      </c>
      <c r="K11928" s="33" t="s">
        <v>80</v>
      </c>
      <c r="L11928" s="31" t="str">
        <f t="shared" si="1151"/>
        <v>Empat Belas</v>
      </c>
    </row>
    <row r="11929" spans="1:12">
      <c r="A11929" s="33" t="s">
        <v>81</v>
      </c>
      <c r="B11929" s="41" t="e">
        <f>TRUNC((A11912-SUM(C11924:C11928)))</f>
        <v>#REF!</v>
      </c>
      <c r="C11929" s="42" t="e">
        <f>B11929</f>
        <v>#REF!</v>
      </c>
      <c r="D11929" s="31" t="e">
        <f t="shared" si="1150"/>
        <v>#REF!</v>
      </c>
      <c r="E11929" s="31" t="e">
        <f>IF(SUM(C11924:C11929)&lt;1,"",IF(B11930&lt;1,""," And "))</f>
        <v>#REF!</v>
      </c>
      <c r="J11929" s="31">
        <v>15</v>
      </c>
      <c r="K11929" s="33" t="s">
        <v>82</v>
      </c>
      <c r="L11929" s="31" t="str">
        <f t="shared" si="1151"/>
        <v>Lima Belas</v>
      </c>
    </row>
    <row r="11930" spans="1:12">
      <c r="A11930" s="33" t="s">
        <v>83</v>
      </c>
      <c r="B11930" s="40" t="e">
        <f>ROUND(A11912-SUM(C11924:C11929),2)*100</f>
        <v>#REF!</v>
      </c>
      <c r="D11930" s="43" t="e">
        <f t="shared" si="1150"/>
        <v>#REF!</v>
      </c>
      <c r="E11930" s="31" t="e">
        <f>IF(B11930&lt;1,"",IF(B11930=1," Cent "," Cents "))</f>
        <v>#REF!</v>
      </c>
      <c r="J11930" s="31">
        <v>16</v>
      </c>
      <c r="K11930" s="33" t="s">
        <v>84</v>
      </c>
      <c r="L11930" s="31" t="str">
        <f t="shared" si="1151"/>
        <v>Enam Belas</v>
      </c>
    </row>
    <row r="11931" spans="1:12">
      <c r="J11931" s="31">
        <v>17</v>
      </c>
      <c r="K11931" s="33" t="s">
        <v>85</v>
      </c>
      <c r="L11931" s="31" t="str">
        <f t="shared" si="1151"/>
        <v>Tujuh Belas</v>
      </c>
    </row>
    <row r="11932" spans="1:12">
      <c r="A11932" s="44"/>
      <c r="J11932" s="31">
        <v>18</v>
      </c>
      <c r="K11932" s="33" t="s">
        <v>86</v>
      </c>
      <c r="L11932" s="31" t="str">
        <f t="shared" si="1151"/>
        <v>Delapan Belas</v>
      </c>
    </row>
    <row r="11933" spans="1:12">
      <c r="A11933" s="38" t="s">
        <v>87</v>
      </c>
      <c r="J11933" s="31">
        <v>19</v>
      </c>
      <c r="K11933" s="33" t="s">
        <v>88</v>
      </c>
      <c r="L11933" s="31" t="str">
        <f t="shared" si="1151"/>
        <v>Sembilan Belas</v>
      </c>
    </row>
    <row r="11934" spans="1:12">
      <c r="A11934" s="31" t="s">
        <v>69</v>
      </c>
      <c r="B11934" s="39" t="e">
        <f>TRUNC(A11912/100000000)</f>
        <v>#REF!</v>
      </c>
      <c r="C11934" s="31" t="e">
        <f>B11934*100000000</f>
        <v>#REF!</v>
      </c>
      <c r="D11934" s="31" t="e">
        <f>IF(B11934&lt;1,"",IF(B11934=1,"",VLOOKUP(B11934,$J$3:$L$102,3)))</f>
        <v>#REF!</v>
      </c>
      <c r="E11934" s="31" t="e">
        <f>IF(B11934&lt;1,"",IF(B11934=1,"Seratus "," Ratus "))</f>
        <v>#REF!</v>
      </c>
      <c r="J11934" s="31">
        <v>20</v>
      </c>
      <c r="K11934" s="33" t="s">
        <v>89</v>
      </c>
      <c r="L11934" s="31" t="s">
        <v>90</v>
      </c>
    </row>
    <row r="11935" spans="1:12">
      <c r="A11935" s="31" t="s">
        <v>72</v>
      </c>
      <c r="B11935" s="39" t="e">
        <f>TRUNC((A11912-C11934)/1000000)</f>
        <v>#REF!</v>
      </c>
      <c r="C11935" s="31" t="e">
        <f>B11935*1000000</f>
        <v>#REF!</v>
      </c>
      <c r="D11935" s="31" t="e">
        <f>IF(B11935&lt;1,"",VLOOKUP(B11935,$J$3:$L$102,3))</f>
        <v>#REF!</v>
      </c>
      <c r="E11935" s="31" t="e">
        <f>IF(B11934+B11935=0,""," Juta ")</f>
        <v>#REF!</v>
      </c>
      <c r="J11935" s="31">
        <v>21</v>
      </c>
      <c r="K11935" s="33" t="s">
        <v>91</v>
      </c>
      <c r="L11935" s="31" t="str">
        <f t="shared" ref="L11935:L11943" si="1152">$L$23&amp;" "&amp;L11915</f>
        <v>Dua Puluh Satu</v>
      </c>
    </row>
    <row r="11936" spans="1:12">
      <c r="A11936" s="31" t="s">
        <v>75</v>
      </c>
      <c r="B11936" s="39" t="e">
        <f>TRUNC((A11912-SUM(C11934:C11935))/100000)</f>
        <v>#REF!</v>
      </c>
      <c r="C11936" s="31" t="e">
        <f>B11936*100000</f>
        <v>#REF!</v>
      </c>
      <c r="D11936" s="31" t="e">
        <f>IF(B11936&lt;1,"",IF(B11936=1,"",VLOOKUP(B11936,$J$3:$L$102,3)))</f>
        <v>#REF!</v>
      </c>
      <c r="E11936" s="31" t="e">
        <f>IF(B11936&lt;1,"",IF(B11936=1," Seratus "," Ratus "))</f>
        <v>#REF!</v>
      </c>
      <c r="J11936" s="31">
        <v>22</v>
      </c>
      <c r="K11936" s="33" t="s">
        <v>92</v>
      </c>
      <c r="L11936" s="31" t="str">
        <f t="shared" si="1152"/>
        <v>Dua Puluh Dua</v>
      </c>
    </row>
    <row r="11937" spans="1:12">
      <c r="A11937" s="33" t="s">
        <v>77</v>
      </c>
      <c r="B11937" s="40" t="e">
        <f>TRUNC((A11912-SUM(C11934:C11936))/1000)</f>
        <v>#REF!</v>
      </c>
      <c r="C11937" s="31" t="e">
        <f>B11937*1000</f>
        <v>#REF!</v>
      </c>
      <c r="D11937" s="31" t="e">
        <f>IF(B11937&lt;1,"",IF(B11937=1,"",VLOOKUP(B11937,$J$3:$L$102,3)))</f>
        <v>#REF!</v>
      </c>
      <c r="E11937" s="31" t="e">
        <f>IF(B11936+B11937&lt;1,"",IF(B11937=1," Seribu "," Ribu "))</f>
        <v>#REF!</v>
      </c>
      <c r="J11937" s="31">
        <v>23</v>
      </c>
      <c r="K11937" s="33" t="s">
        <v>93</v>
      </c>
      <c r="L11937" s="31" t="str">
        <f t="shared" si="1152"/>
        <v>Dua Puluh Tiga</v>
      </c>
    </row>
    <row r="11938" spans="1:12">
      <c r="A11938" s="33" t="s">
        <v>79</v>
      </c>
      <c r="B11938" s="40" t="e">
        <f>TRUNC((A11912-SUM(C11934:C11937))/100)</f>
        <v>#REF!</v>
      </c>
      <c r="C11938" s="31" t="e">
        <f>B11938*100</f>
        <v>#REF!</v>
      </c>
      <c r="D11938" s="31" t="e">
        <f>IF(B11938&lt;1,"",IF(B11938=1,"",VLOOKUP(B11938,$J$3:$L$102,3)))</f>
        <v>#REF!</v>
      </c>
      <c r="E11938" s="31" t="e">
        <f>IF(B11938&lt;1,"",IF(B11938=1," Seratus "," Ratus "))</f>
        <v>#REF!</v>
      </c>
      <c r="J11938" s="31">
        <v>24</v>
      </c>
      <c r="K11938" s="33" t="s">
        <v>94</v>
      </c>
      <c r="L11938" s="31" t="str">
        <f t="shared" si="1152"/>
        <v>Dua Puluh Empat</v>
      </c>
    </row>
    <row r="11939" spans="1:12">
      <c r="A11939" s="33" t="s">
        <v>81</v>
      </c>
      <c r="B11939" s="41" t="e">
        <f>TRUNC((A11912-SUM(C11934:C11938)))</f>
        <v>#REF!</v>
      </c>
      <c r="C11939" s="42" t="e">
        <f>B11939</f>
        <v>#REF!</v>
      </c>
      <c r="D11939" s="31" t="e">
        <f>IF(B11939&lt;1,"",VLOOKUP(B11939,$J$3:$L$102,3))</f>
        <v>#REF!</v>
      </c>
      <c r="E11939" s="31" t="e">
        <f>IF(SUM(C11934:C11939)&lt;1,"",IF(B11940&lt;1,""," Dan "))</f>
        <v>#REF!</v>
      </c>
      <c r="J11939" s="31">
        <v>25</v>
      </c>
      <c r="K11939" s="33" t="s">
        <v>95</v>
      </c>
      <c r="L11939" s="31" t="str">
        <f t="shared" si="1152"/>
        <v>Dua Puluh Lima</v>
      </c>
    </row>
    <row r="11940" spans="1:12">
      <c r="A11940" s="33" t="s">
        <v>83</v>
      </c>
      <c r="B11940" s="40" t="e">
        <f>ROUND(A11912-SUM(C11934:C11939),2)*100</f>
        <v>#REF!</v>
      </c>
      <c r="D11940" s="31" t="e">
        <f>IF(B11940&lt;1,"",VLOOKUP(B11940,$J$3:$L$102,3))</f>
        <v>#REF!</v>
      </c>
      <c r="E11940" s="31" t="e">
        <f>IF(B11940&lt;1,""," Sen ")</f>
        <v>#REF!</v>
      </c>
      <c r="J11940" s="31">
        <v>26</v>
      </c>
      <c r="K11940" s="33" t="s">
        <v>96</v>
      </c>
      <c r="L11940" s="31" t="str">
        <f t="shared" si="1152"/>
        <v>Dua Puluh Enam</v>
      </c>
    </row>
    <row r="11941" spans="1:12">
      <c r="J11941" s="31">
        <v>27</v>
      </c>
      <c r="K11941" s="33" t="s">
        <v>97</v>
      </c>
      <c r="L11941" s="31" t="str">
        <f t="shared" si="1152"/>
        <v>Dua Puluh Tujuh</v>
      </c>
    </row>
    <row r="11942" spans="1:12">
      <c r="J11942" s="31">
        <v>28</v>
      </c>
      <c r="K11942" s="33" t="s">
        <v>98</v>
      </c>
      <c r="L11942" s="31" t="str">
        <f t="shared" si="1152"/>
        <v>Dua Puluh Delapan</v>
      </c>
    </row>
    <row r="11943" spans="1:12">
      <c r="J11943" s="31">
        <v>29</v>
      </c>
      <c r="K11943" s="33" t="s">
        <v>99</v>
      </c>
      <c r="L11943" s="31" t="str">
        <f t="shared" si="1152"/>
        <v>Dua Puluh Sembilan</v>
      </c>
    </row>
    <row r="11944" spans="1:12">
      <c r="J11944" s="31">
        <v>30</v>
      </c>
      <c r="K11944" s="33" t="s">
        <v>100</v>
      </c>
      <c r="L11944" s="31" t="s">
        <v>101</v>
      </c>
    </row>
    <row r="11945" spans="1:12">
      <c r="J11945" s="31">
        <v>31</v>
      </c>
      <c r="K11945" s="33" t="s">
        <v>102</v>
      </c>
      <c r="L11945" s="31" t="str">
        <f t="shared" ref="L11945:L11953" si="1153">$L$33&amp;" "&amp;L11915</f>
        <v>Tiga Puluh Satu</v>
      </c>
    </row>
    <row r="11946" spans="1:12">
      <c r="J11946" s="31">
        <v>32</v>
      </c>
      <c r="K11946" s="33" t="s">
        <v>103</v>
      </c>
      <c r="L11946" s="31" t="str">
        <f t="shared" si="1153"/>
        <v>Tiga Puluh Dua</v>
      </c>
    </row>
    <row r="11947" spans="1:12">
      <c r="J11947" s="31">
        <v>33</v>
      </c>
      <c r="K11947" s="33" t="s">
        <v>104</v>
      </c>
      <c r="L11947" s="31" t="str">
        <f t="shared" si="1153"/>
        <v>Tiga Puluh Tiga</v>
      </c>
    </row>
    <row r="11948" spans="1:12">
      <c r="J11948" s="31">
        <v>34</v>
      </c>
      <c r="K11948" s="33" t="s">
        <v>105</v>
      </c>
      <c r="L11948" s="31" t="str">
        <f t="shared" si="1153"/>
        <v>Tiga Puluh Empat</v>
      </c>
    </row>
    <row r="11949" spans="1:12">
      <c r="J11949" s="31">
        <v>35</v>
      </c>
      <c r="K11949" s="33" t="s">
        <v>106</v>
      </c>
      <c r="L11949" s="31" t="str">
        <f t="shared" si="1153"/>
        <v>Tiga Puluh Lima</v>
      </c>
    </row>
    <row r="11950" spans="1:12">
      <c r="J11950" s="31">
        <v>36</v>
      </c>
      <c r="K11950" s="33" t="s">
        <v>107</v>
      </c>
      <c r="L11950" s="31" t="str">
        <f t="shared" si="1153"/>
        <v>Tiga Puluh Enam</v>
      </c>
    </row>
    <row r="11951" spans="1:12">
      <c r="J11951" s="31">
        <v>37</v>
      </c>
      <c r="K11951" s="33" t="s">
        <v>108</v>
      </c>
      <c r="L11951" s="31" t="str">
        <f t="shared" si="1153"/>
        <v>Tiga Puluh Tujuh</v>
      </c>
    </row>
    <row r="11952" spans="1:12">
      <c r="J11952" s="31">
        <v>38</v>
      </c>
      <c r="K11952" s="33" t="s">
        <v>109</v>
      </c>
      <c r="L11952" s="31" t="str">
        <f t="shared" si="1153"/>
        <v>Tiga Puluh Delapan</v>
      </c>
    </row>
    <row r="11953" spans="1:12">
      <c r="J11953" s="31">
        <v>39</v>
      </c>
      <c r="K11953" s="33" t="s">
        <v>110</v>
      </c>
      <c r="L11953" s="31" t="str">
        <f t="shared" si="1153"/>
        <v>Tiga Puluh Sembilan</v>
      </c>
    </row>
    <row r="11954" spans="1:12">
      <c r="B11954" s="35"/>
      <c r="C11954" s="35"/>
      <c r="D11954" s="35"/>
      <c r="J11954" s="31">
        <v>40</v>
      </c>
      <c r="K11954" s="33" t="s">
        <v>111</v>
      </c>
      <c r="L11954" s="31" t="s">
        <v>112</v>
      </c>
    </row>
    <row r="11955" spans="1:12">
      <c r="A11955" s="35"/>
      <c r="B11955" s="35"/>
      <c r="C11955" s="35"/>
      <c r="D11955" s="35"/>
      <c r="J11955" s="31">
        <v>41</v>
      </c>
      <c r="K11955" s="33" t="s">
        <v>113</v>
      </c>
      <c r="L11955" s="31" t="str">
        <f t="shared" ref="L11955:L11963" si="1154">$L$43&amp;" "&amp;L11915</f>
        <v>Empat Puluh Satu</v>
      </c>
    </row>
    <row r="11956" spans="1:12">
      <c r="J11956" s="31">
        <v>42</v>
      </c>
      <c r="K11956" s="33" t="s">
        <v>114</v>
      </c>
      <c r="L11956" s="31" t="str">
        <f t="shared" si="1154"/>
        <v>Empat Puluh Dua</v>
      </c>
    </row>
    <row r="11957" spans="1:12">
      <c r="A11957" s="38"/>
      <c r="J11957" s="31">
        <v>43</v>
      </c>
      <c r="K11957" s="33" t="s">
        <v>115</v>
      </c>
      <c r="L11957" s="31" t="str">
        <f t="shared" si="1154"/>
        <v>Empat Puluh Tiga</v>
      </c>
    </row>
    <row r="11958" spans="1:12">
      <c r="J11958" s="31">
        <v>44</v>
      </c>
      <c r="K11958" s="33" t="s">
        <v>116</v>
      </c>
      <c r="L11958" s="31" t="str">
        <f t="shared" si="1154"/>
        <v>Empat Puluh Empat</v>
      </c>
    </row>
    <row r="11959" spans="1:12">
      <c r="J11959" s="31">
        <v>45</v>
      </c>
      <c r="K11959" s="33" t="s">
        <v>117</v>
      </c>
      <c r="L11959" s="31" t="str">
        <f t="shared" si="1154"/>
        <v>Empat Puluh Lima</v>
      </c>
    </row>
    <row r="11960" spans="1:12">
      <c r="J11960" s="31">
        <v>46</v>
      </c>
      <c r="K11960" s="33" t="s">
        <v>118</v>
      </c>
      <c r="L11960" s="31" t="str">
        <f t="shared" si="1154"/>
        <v>Empat Puluh Enam</v>
      </c>
    </row>
    <row r="11961" spans="1:12">
      <c r="J11961" s="31">
        <v>47</v>
      </c>
      <c r="K11961" s="33" t="s">
        <v>119</v>
      </c>
      <c r="L11961" s="31" t="str">
        <f t="shared" si="1154"/>
        <v>Empat Puluh Tujuh</v>
      </c>
    </row>
    <row r="11962" spans="1:12">
      <c r="J11962" s="31">
        <v>48</v>
      </c>
      <c r="K11962" s="33" t="s">
        <v>120</v>
      </c>
      <c r="L11962" s="31" t="str">
        <f t="shared" si="1154"/>
        <v>Empat Puluh Delapan</v>
      </c>
    </row>
    <row r="11963" spans="1:12">
      <c r="J11963" s="31">
        <v>49</v>
      </c>
      <c r="K11963" s="33" t="s">
        <v>121</v>
      </c>
      <c r="L11963" s="31" t="str">
        <f t="shared" si="1154"/>
        <v>Empat Puluh Sembilan</v>
      </c>
    </row>
    <row r="11964" spans="1:12">
      <c r="J11964" s="31">
        <v>50</v>
      </c>
      <c r="K11964" s="33" t="s">
        <v>122</v>
      </c>
      <c r="L11964" s="31" t="s">
        <v>123</v>
      </c>
    </row>
    <row r="11965" spans="1:12">
      <c r="J11965" s="31">
        <v>51</v>
      </c>
      <c r="K11965" s="33" t="s">
        <v>124</v>
      </c>
      <c r="L11965" s="31" t="str">
        <f t="shared" ref="L11965:L11973" si="1155">$L$53&amp;" "&amp;L11915</f>
        <v>Lima Puluh Satu</v>
      </c>
    </row>
    <row r="11966" spans="1:12">
      <c r="J11966" s="31">
        <v>52</v>
      </c>
      <c r="K11966" s="33" t="s">
        <v>125</v>
      </c>
      <c r="L11966" s="31" t="str">
        <f t="shared" si="1155"/>
        <v>Lima Puluh Dua</v>
      </c>
    </row>
    <row r="11967" spans="1:12">
      <c r="J11967" s="31">
        <v>53</v>
      </c>
      <c r="K11967" s="33" t="s">
        <v>126</v>
      </c>
      <c r="L11967" s="31" t="str">
        <f t="shared" si="1155"/>
        <v>Lima Puluh Tiga</v>
      </c>
    </row>
    <row r="11968" spans="1:12">
      <c r="J11968" s="31">
        <v>54</v>
      </c>
      <c r="K11968" s="33" t="s">
        <v>127</v>
      </c>
      <c r="L11968" s="31" t="str">
        <f t="shared" si="1155"/>
        <v>Lima Puluh Empat</v>
      </c>
    </row>
    <row r="11969" spans="10:12">
      <c r="J11969" s="31">
        <v>55</v>
      </c>
      <c r="K11969" s="33" t="s">
        <v>128</v>
      </c>
      <c r="L11969" s="31" t="str">
        <f t="shared" si="1155"/>
        <v>Lima Puluh Lima</v>
      </c>
    </row>
    <row r="11970" spans="10:12">
      <c r="J11970" s="31">
        <v>56</v>
      </c>
      <c r="K11970" s="33" t="s">
        <v>129</v>
      </c>
      <c r="L11970" s="31" t="str">
        <f t="shared" si="1155"/>
        <v>Lima Puluh Enam</v>
      </c>
    </row>
    <row r="11971" spans="10:12">
      <c r="J11971" s="31">
        <v>57</v>
      </c>
      <c r="K11971" s="33" t="s">
        <v>130</v>
      </c>
      <c r="L11971" s="31" t="str">
        <f t="shared" si="1155"/>
        <v>Lima Puluh Tujuh</v>
      </c>
    </row>
    <row r="11972" spans="10:12">
      <c r="J11972" s="31">
        <v>58</v>
      </c>
      <c r="K11972" s="33" t="s">
        <v>131</v>
      </c>
      <c r="L11972" s="31" t="str">
        <f t="shared" si="1155"/>
        <v>Lima Puluh Delapan</v>
      </c>
    </row>
    <row r="11973" spans="10:12">
      <c r="J11973" s="31">
        <v>59</v>
      </c>
      <c r="K11973" s="33" t="s">
        <v>132</v>
      </c>
      <c r="L11973" s="31" t="str">
        <f t="shared" si="1155"/>
        <v>Lima Puluh Sembilan</v>
      </c>
    </row>
    <row r="11974" spans="10:12">
      <c r="J11974" s="31">
        <v>60</v>
      </c>
      <c r="K11974" s="33" t="s">
        <v>133</v>
      </c>
      <c r="L11974" s="31" t="s">
        <v>134</v>
      </c>
    </row>
    <row r="11975" spans="10:12">
      <c r="J11975" s="31">
        <v>61</v>
      </c>
      <c r="K11975" s="33" t="s">
        <v>135</v>
      </c>
      <c r="L11975" s="31" t="str">
        <f t="shared" ref="L11975:L11983" si="1156">$L$63&amp;" "&amp;L11915</f>
        <v>Enam Puluh Satu</v>
      </c>
    </row>
    <row r="11976" spans="10:12">
      <c r="J11976" s="31">
        <v>62</v>
      </c>
      <c r="K11976" s="33" t="s">
        <v>136</v>
      </c>
      <c r="L11976" s="31" t="str">
        <f t="shared" si="1156"/>
        <v>Enam Puluh Dua</v>
      </c>
    </row>
    <row r="11977" spans="10:12">
      <c r="J11977" s="31">
        <v>63</v>
      </c>
      <c r="K11977" s="33" t="s">
        <v>137</v>
      </c>
      <c r="L11977" s="31" t="str">
        <f t="shared" si="1156"/>
        <v>Enam Puluh Tiga</v>
      </c>
    </row>
    <row r="11978" spans="10:12">
      <c r="J11978" s="31">
        <v>64</v>
      </c>
      <c r="K11978" s="33" t="s">
        <v>138</v>
      </c>
      <c r="L11978" s="31" t="str">
        <f t="shared" si="1156"/>
        <v>Enam Puluh Empat</v>
      </c>
    </row>
    <row r="11979" spans="10:12">
      <c r="J11979" s="31">
        <v>65</v>
      </c>
      <c r="K11979" s="33" t="s">
        <v>139</v>
      </c>
      <c r="L11979" s="31" t="str">
        <f t="shared" si="1156"/>
        <v>Enam Puluh Lima</v>
      </c>
    </row>
    <row r="11980" spans="10:12">
      <c r="J11980" s="31">
        <v>66</v>
      </c>
      <c r="K11980" s="33" t="s">
        <v>140</v>
      </c>
      <c r="L11980" s="31" t="str">
        <f t="shared" si="1156"/>
        <v>Enam Puluh Enam</v>
      </c>
    </row>
    <row r="11981" spans="10:12">
      <c r="J11981" s="31">
        <v>67</v>
      </c>
      <c r="K11981" s="33" t="s">
        <v>141</v>
      </c>
      <c r="L11981" s="31" t="str">
        <f t="shared" si="1156"/>
        <v>Enam Puluh Tujuh</v>
      </c>
    </row>
    <row r="11982" spans="10:12">
      <c r="J11982" s="31">
        <v>68</v>
      </c>
      <c r="K11982" s="33" t="s">
        <v>142</v>
      </c>
      <c r="L11982" s="31" t="str">
        <f t="shared" si="1156"/>
        <v>Enam Puluh Delapan</v>
      </c>
    </row>
    <row r="11983" spans="10:12">
      <c r="J11983" s="31">
        <v>69</v>
      </c>
      <c r="K11983" s="33" t="s">
        <v>143</v>
      </c>
      <c r="L11983" s="31" t="str">
        <f t="shared" si="1156"/>
        <v>Enam Puluh Sembilan</v>
      </c>
    </row>
    <row r="11984" spans="10:12">
      <c r="J11984" s="31">
        <v>70</v>
      </c>
      <c r="K11984" s="33" t="s">
        <v>144</v>
      </c>
      <c r="L11984" s="31" t="s">
        <v>145</v>
      </c>
    </row>
    <row r="11985" spans="10:12">
      <c r="J11985" s="31">
        <v>71</v>
      </c>
      <c r="K11985" s="33" t="s">
        <v>146</v>
      </c>
      <c r="L11985" s="31" t="str">
        <f t="shared" ref="L11985:L11993" si="1157">$L$73&amp;" "&amp;L11915</f>
        <v>Tujuh Puluh Satu</v>
      </c>
    </row>
    <row r="11986" spans="10:12">
      <c r="J11986" s="31">
        <v>72</v>
      </c>
      <c r="K11986" s="33" t="s">
        <v>147</v>
      </c>
      <c r="L11986" s="31" t="str">
        <f t="shared" si="1157"/>
        <v>Tujuh Puluh Dua</v>
      </c>
    </row>
    <row r="11987" spans="10:12">
      <c r="J11987" s="31">
        <v>73</v>
      </c>
      <c r="K11987" s="33" t="s">
        <v>148</v>
      </c>
      <c r="L11987" s="31" t="str">
        <f t="shared" si="1157"/>
        <v>Tujuh Puluh Tiga</v>
      </c>
    </row>
    <row r="11988" spans="10:12">
      <c r="J11988" s="31">
        <v>74</v>
      </c>
      <c r="K11988" s="33" t="s">
        <v>149</v>
      </c>
      <c r="L11988" s="31" t="str">
        <f t="shared" si="1157"/>
        <v>Tujuh Puluh Empat</v>
      </c>
    </row>
    <row r="11989" spans="10:12">
      <c r="J11989" s="31">
        <v>75</v>
      </c>
      <c r="K11989" s="33" t="s">
        <v>150</v>
      </c>
      <c r="L11989" s="31" t="str">
        <f t="shared" si="1157"/>
        <v>Tujuh Puluh Lima</v>
      </c>
    </row>
    <row r="11990" spans="10:12">
      <c r="J11990" s="31">
        <v>76</v>
      </c>
      <c r="K11990" s="33" t="s">
        <v>151</v>
      </c>
      <c r="L11990" s="31" t="str">
        <f t="shared" si="1157"/>
        <v>Tujuh Puluh Enam</v>
      </c>
    </row>
    <row r="11991" spans="10:12">
      <c r="J11991" s="31">
        <v>77</v>
      </c>
      <c r="K11991" s="33" t="s">
        <v>152</v>
      </c>
      <c r="L11991" s="31" t="str">
        <f t="shared" si="1157"/>
        <v>Tujuh Puluh Tujuh</v>
      </c>
    </row>
    <row r="11992" spans="10:12">
      <c r="J11992" s="31">
        <v>78</v>
      </c>
      <c r="K11992" s="33" t="s">
        <v>153</v>
      </c>
      <c r="L11992" s="31" t="str">
        <f t="shared" si="1157"/>
        <v>Tujuh Puluh Delapan</v>
      </c>
    </row>
    <row r="11993" spans="10:12">
      <c r="J11993" s="31">
        <v>79</v>
      </c>
      <c r="K11993" s="33" t="s">
        <v>154</v>
      </c>
      <c r="L11993" s="31" t="str">
        <f t="shared" si="1157"/>
        <v>Tujuh Puluh Sembilan</v>
      </c>
    </row>
    <row r="11994" spans="10:12">
      <c r="J11994" s="31">
        <v>80</v>
      </c>
      <c r="K11994" s="33" t="s">
        <v>155</v>
      </c>
      <c r="L11994" s="31" t="s">
        <v>156</v>
      </c>
    </row>
    <row r="11995" spans="10:12">
      <c r="J11995" s="31">
        <v>81</v>
      </c>
      <c r="K11995" s="33" t="s">
        <v>157</v>
      </c>
      <c r="L11995" s="31" t="str">
        <f t="shared" ref="L11995:L12003" si="1158">$L$83&amp;" "&amp;L11915</f>
        <v>Delapan Puluh Satu</v>
      </c>
    </row>
    <row r="11996" spans="10:12">
      <c r="J11996" s="31">
        <v>82</v>
      </c>
      <c r="K11996" s="33" t="s">
        <v>158</v>
      </c>
      <c r="L11996" s="31" t="str">
        <f t="shared" si="1158"/>
        <v>Delapan Puluh Dua</v>
      </c>
    </row>
    <row r="11997" spans="10:12">
      <c r="J11997" s="31">
        <v>83</v>
      </c>
      <c r="K11997" s="33" t="s">
        <v>159</v>
      </c>
      <c r="L11997" s="31" t="str">
        <f t="shared" si="1158"/>
        <v>Delapan Puluh Tiga</v>
      </c>
    </row>
    <row r="11998" spans="10:12">
      <c r="J11998" s="31">
        <v>84</v>
      </c>
      <c r="K11998" s="33" t="s">
        <v>160</v>
      </c>
      <c r="L11998" s="31" t="str">
        <f t="shared" si="1158"/>
        <v>Delapan Puluh Empat</v>
      </c>
    </row>
    <row r="11999" spans="10:12">
      <c r="J11999" s="31">
        <v>85</v>
      </c>
      <c r="K11999" s="33" t="s">
        <v>161</v>
      </c>
      <c r="L11999" s="31" t="str">
        <f t="shared" si="1158"/>
        <v>Delapan Puluh Lima</v>
      </c>
    </row>
    <row r="12000" spans="10:12">
      <c r="J12000" s="31">
        <v>86</v>
      </c>
      <c r="K12000" s="33" t="s">
        <v>162</v>
      </c>
      <c r="L12000" s="31" t="str">
        <f t="shared" si="1158"/>
        <v>Delapan Puluh Enam</v>
      </c>
    </row>
    <row r="12001" spans="1:12">
      <c r="J12001" s="31">
        <v>87</v>
      </c>
      <c r="K12001" s="33" t="s">
        <v>163</v>
      </c>
      <c r="L12001" s="31" t="str">
        <f t="shared" si="1158"/>
        <v>Delapan Puluh Tujuh</v>
      </c>
    </row>
    <row r="12002" spans="1:12">
      <c r="J12002" s="31">
        <v>88</v>
      </c>
      <c r="K12002" s="33" t="s">
        <v>164</v>
      </c>
      <c r="L12002" s="31" t="str">
        <f t="shared" si="1158"/>
        <v>Delapan Puluh Delapan</v>
      </c>
    </row>
    <row r="12003" spans="1:12">
      <c r="J12003" s="31">
        <v>89</v>
      </c>
      <c r="K12003" s="33" t="s">
        <v>165</v>
      </c>
      <c r="L12003" s="31" t="str">
        <f t="shared" si="1158"/>
        <v>Delapan Puluh Sembilan</v>
      </c>
    </row>
    <row r="12004" spans="1:12">
      <c r="J12004" s="31">
        <v>90</v>
      </c>
      <c r="K12004" s="33" t="s">
        <v>166</v>
      </c>
      <c r="L12004" s="31" t="s">
        <v>167</v>
      </c>
    </row>
    <row r="12005" spans="1:12">
      <c r="J12005" s="31">
        <v>91</v>
      </c>
      <c r="K12005" s="33" t="s">
        <v>168</v>
      </c>
      <c r="L12005" s="31" t="str">
        <f t="shared" ref="L12005:L12013" si="1159">$L$93&amp;" "&amp;L11915</f>
        <v>Sembilan Puluh Satu</v>
      </c>
    </row>
    <row r="12006" spans="1:12">
      <c r="J12006" s="31">
        <v>92</v>
      </c>
      <c r="K12006" s="33" t="s">
        <v>169</v>
      </c>
      <c r="L12006" s="31" t="str">
        <f t="shared" si="1159"/>
        <v>Sembilan Puluh Dua</v>
      </c>
    </row>
    <row r="12007" spans="1:12">
      <c r="J12007" s="31">
        <v>93</v>
      </c>
      <c r="K12007" s="33" t="s">
        <v>170</v>
      </c>
      <c r="L12007" s="31" t="str">
        <f t="shared" si="1159"/>
        <v>Sembilan Puluh Tiga</v>
      </c>
    </row>
    <row r="12008" spans="1:12">
      <c r="J12008" s="31">
        <v>94</v>
      </c>
      <c r="K12008" s="33" t="s">
        <v>171</v>
      </c>
      <c r="L12008" s="31" t="str">
        <f t="shared" si="1159"/>
        <v>Sembilan Puluh Empat</v>
      </c>
    </row>
    <row r="12009" spans="1:12">
      <c r="J12009" s="31">
        <v>95</v>
      </c>
      <c r="K12009" s="33" t="s">
        <v>172</v>
      </c>
      <c r="L12009" s="31" t="str">
        <f t="shared" si="1159"/>
        <v>Sembilan Puluh Lima</v>
      </c>
    </row>
    <row r="12010" spans="1:12">
      <c r="J12010" s="31">
        <v>96</v>
      </c>
      <c r="K12010" s="33" t="s">
        <v>173</v>
      </c>
      <c r="L12010" s="31" t="str">
        <f t="shared" si="1159"/>
        <v>Sembilan Puluh Enam</v>
      </c>
    </row>
    <row r="12011" spans="1:12">
      <c r="J12011" s="31">
        <v>97</v>
      </c>
      <c r="K12011" s="33" t="s">
        <v>174</v>
      </c>
      <c r="L12011" s="31" t="str">
        <f t="shared" si="1159"/>
        <v>Sembilan Puluh Tujuh</v>
      </c>
    </row>
    <row r="12012" spans="1:12">
      <c r="J12012" s="31">
        <v>98</v>
      </c>
      <c r="K12012" s="33" t="s">
        <v>175</v>
      </c>
      <c r="L12012" s="31" t="str">
        <f t="shared" si="1159"/>
        <v>Sembilan Puluh Delapan</v>
      </c>
    </row>
    <row r="12013" spans="1:12">
      <c r="J12013" s="31">
        <v>99</v>
      </c>
      <c r="K12013" s="33" t="s">
        <v>176</v>
      </c>
      <c r="L12013" s="31" t="str">
        <f t="shared" si="1159"/>
        <v>Sembilan Puluh Sembilan</v>
      </c>
    </row>
    <row r="12016" spans="1:12">
      <c r="A12016" s="30" t="e">
        <f>#REF!</f>
        <v>#REF!</v>
      </c>
      <c r="C12016" s="31" t="s">
        <v>350</v>
      </c>
    </row>
    <row r="12017" spans="1:12">
      <c r="A12017" s="32"/>
    </row>
    <row r="12018" spans="1:12">
      <c r="J12018" s="31">
        <v>0</v>
      </c>
      <c r="K12018" s="33" t="s">
        <v>48</v>
      </c>
      <c r="L12018" s="31" t="s">
        <v>49</v>
      </c>
    </row>
    <row r="12019" spans="1:12">
      <c r="A12019" s="34"/>
      <c r="J12019" s="31">
        <v>1</v>
      </c>
      <c r="K12019" s="33" t="s">
        <v>50</v>
      </c>
      <c r="L12019" s="31" t="s">
        <v>51</v>
      </c>
    </row>
    <row r="12020" spans="1:12">
      <c r="A12020" s="255" t="e">
        <f>TRIM(D12028&amp;E12028&amp;D12029&amp;E12029&amp;D12030&amp;E12030&amp;D12031&amp;E12031&amp;D12032&amp;E12032&amp;D12033&amp;E12033&amp;E12034&amp;D12034&amp;" Only")</f>
        <v>#REF!</v>
      </c>
      <c r="B12020" s="255"/>
      <c r="C12020" s="255"/>
      <c r="D12020" s="255"/>
      <c r="E12020" s="35"/>
      <c r="F12020" s="36"/>
      <c r="J12020" s="31">
        <v>2</v>
      </c>
      <c r="K12020" s="33" t="s">
        <v>52</v>
      </c>
      <c r="L12020" s="31" t="s">
        <v>53</v>
      </c>
    </row>
    <row r="12021" spans="1:12">
      <c r="A12021" s="37"/>
      <c r="B12021" s="37"/>
      <c r="C12021" s="37"/>
      <c r="D12021" s="37"/>
      <c r="E12021" s="35"/>
      <c r="F12021" s="36"/>
      <c r="J12021" s="31">
        <v>3</v>
      </c>
      <c r="K12021" s="33" t="s">
        <v>54</v>
      </c>
      <c r="L12021" s="31" t="s">
        <v>55</v>
      </c>
    </row>
    <row r="12022" spans="1:12">
      <c r="A12022" s="37"/>
      <c r="B12022" s="37"/>
      <c r="C12022" s="37"/>
      <c r="D12022" s="37"/>
      <c r="J12022" s="31">
        <v>4</v>
      </c>
      <c r="K12022" s="33" t="s">
        <v>56</v>
      </c>
      <c r="L12022" s="31" t="s">
        <v>57</v>
      </c>
    </row>
    <row r="12023" spans="1:12">
      <c r="A12023" s="255" t="e">
        <f>TRIM(D12038&amp;E12038&amp;D12039&amp;E12039&amp;D12040&amp;E12040&amp;D12041&amp;E12041&amp;D12042&amp;E12042&amp;D12043&amp;E12043&amp;D12044&amp;E12044&amp;" Rupiah")</f>
        <v>#REF!</v>
      </c>
      <c r="B12023" s="255"/>
      <c r="C12023" s="255"/>
      <c r="D12023" s="255"/>
      <c r="E12023" s="35"/>
      <c r="F12023" s="36"/>
      <c r="J12023" s="31">
        <v>5</v>
      </c>
      <c r="K12023" s="33" t="s">
        <v>58</v>
      </c>
      <c r="L12023" s="31" t="s">
        <v>59</v>
      </c>
    </row>
    <row r="12024" spans="1:12">
      <c r="A12024" s="35"/>
      <c r="B12024" s="35"/>
      <c r="C12024" s="35"/>
      <c r="D12024" s="35"/>
      <c r="E12024" s="35"/>
      <c r="F12024" s="36"/>
      <c r="J12024" s="31">
        <v>6</v>
      </c>
      <c r="K12024" s="33" t="s">
        <v>60</v>
      </c>
      <c r="L12024" s="31" t="s">
        <v>61</v>
      </c>
    </row>
    <row r="12025" spans="1:12">
      <c r="J12025" s="31">
        <v>7</v>
      </c>
      <c r="K12025" s="33" t="s">
        <v>62</v>
      </c>
      <c r="L12025" s="31" t="s">
        <v>63</v>
      </c>
    </row>
    <row r="12026" spans="1:12">
      <c r="J12026" s="31">
        <v>8</v>
      </c>
      <c r="K12026" s="33" t="s">
        <v>64</v>
      </c>
      <c r="L12026" s="31" t="s">
        <v>65</v>
      </c>
    </row>
    <row r="12027" spans="1:12">
      <c r="A12027" s="38" t="s">
        <v>66</v>
      </c>
      <c r="J12027" s="31">
        <v>9</v>
      </c>
      <c r="K12027" s="33" t="s">
        <v>67</v>
      </c>
      <c r="L12027" s="31" t="s">
        <v>68</v>
      </c>
    </row>
    <row r="12028" spans="1:12">
      <c r="A12028" s="31" t="s">
        <v>69</v>
      </c>
      <c r="B12028" s="39" t="e">
        <f>TRUNC(A12016/100000000)</f>
        <v>#REF!</v>
      </c>
      <c r="C12028" s="31" t="e">
        <f>B12028*100000000</f>
        <v>#REF!</v>
      </c>
      <c r="D12028" s="31" t="e">
        <f t="shared" ref="D12028:D12034" si="1160">IF(B12028&lt;1,"",VLOOKUP(B12028,$J$3:$K$102,2))</f>
        <v>#REF!</v>
      </c>
      <c r="E12028" s="31" t="e">
        <f>IF(B12028&lt;1,"",IF(B12028&gt;1," Hundreds "," Hundred "))</f>
        <v>#REF!</v>
      </c>
      <c r="J12028" s="31">
        <v>10</v>
      </c>
      <c r="K12028" s="33" t="s">
        <v>70</v>
      </c>
      <c r="L12028" s="31" t="s">
        <v>71</v>
      </c>
    </row>
    <row r="12029" spans="1:12">
      <c r="A12029" s="31" t="s">
        <v>72</v>
      </c>
      <c r="B12029" s="39" t="e">
        <f>TRUNC((A12016-C12028)/1000000)</f>
        <v>#REF!</v>
      </c>
      <c r="C12029" s="31" t="e">
        <f>B12029*1000000</f>
        <v>#REF!</v>
      </c>
      <c r="D12029" s="31" t="e">
        <f t="shared" si="1160"/>
        <v>#REF!</v>
      </c>
      <c r="E12029" s="31" t="e">
        <f>IF(B12028+B12029=0,"",IF(B12029=1," Million "," Millions "))</f>
        <v>#REF!</v>
      </c>
      <c r="J12029" s="31">
        <v>11</v>
      </c>
      <c r="K12029" s="33" t="s">
        <v>73</v>
      </c>
      <c r="L12029" s="31" t="s">
        <v>74</v>
      </c>
    </row>
    <row r="12030" spans="1:12">
      <c r="A12030" s="31" t="s">
        <v>75</v>
      </c>
      <c r="B12030" s="39" t="e">
        <f>TRUNC((A12016-SUM(C12028:C12029))/100000)</f>
        <v>#REF!</v>
      </c>
      <c r="C12030" s="31" t="e">
        <f>B12030*100000</f>
        <v>#REF!</v>
      </c>
      <c r="D12030" s="31" t="e">
        <f t="shared" si="1160"/>
        <v>#REF!</v>
      </c>
      <c r="E12030" s="31" t="e">
        <f>IF(B12030&lt;1,"",IF(B12030&gt;1," Hundreds "," Hundred "))</f>
        <v>#REF!</v>
      </c>
      <c r="J12030" s="31">
        <v>12</v>
      </c>
      <c r="K12030" s="33" t="s">
        <v>76</v>
      </c>
      <c r="L12030" s="31" t="str">
        <f t="shared" ref="L12030:L12037" si="1161">L12020&amp;" Belas"</f>
        <v>Dua Belas</v>
      </c>
    </row>
    <row r="12031" spans="1:12">
      <c r="A12031" s="33" t="s">
        <v>77</v>
      </c>
      <c r="B12031" s="40" t="e">
        <f>TRUNC((A12016-SUM(C12028:C12030))/1000)</f>
        <v>#REF!</v>
      </c>
      <c r="C12031" s="31" t="e">
        <f>B12031*1000</f>
        <v>#REF!</v>
      </c>
      <c r="D12031" s="31" t="e">
        <f t="shared" si="1160"/>
        <v>#REF!</v>
      </c>
      <c r="E12031" s="31" t="e">
        <f>IF(B12030+B12031=0,"",IF(B12031=1," Thousand "," Thousands "))</f>
        <v>#REF!</v>
      </c>
      <c r="J12031" s="31">
        <v>13</v>
      </c>
      <c r="K12031" s="33" t="s">
        <v>78</v>
      </c>
      <c r="L12031" s="31" t="str">
        <f t="shared" si="1161"/>
        <v>Tiga Belas</v>
      </c>
    </row>
    <row r="12032" spans="1:12">
      <c r="A12032" s="33" t="s">
        <v>79</v>
      </c>
      <c r="B12032" s="40" t="e">
        <f>TRUNC((A12016-SUM(C12028:C12031))/100)</f>
        <v>#REF!</v>
      </c>
      <c r="C12032" s="31" t="e">
        <f>B12032*100</f>
        <v>#REF!</v>
      </c>
      <c r="D12032" s="31" t="e">
        <f t="shared" si="1160"/>
        <v>#REF!</v>
      </c>
      <c r="E12032" s="31" t="e">
        <f>IF(B12032&lt;1,"",IF(B12032&gt;1," Hundreds "," Hundred "))</f>
        <v>#REF!</v>
      </c>
      <c r="J12032" s="31">
        <v>14</v>
      </c>
      <c r="K12032" s="33" t="s">
        <v>80</v>
      </c>
      <c r="L12032" s="31" t="str">
        <f t="shared" si="1161"/>
        <v>Empat Belas</v>
      </c>
    </row>
    <row r="12033" spans="1:12">
      <c r="A12033" s="33" t="s">
        <v>81</v>
      </c>
      <c r="B12033" s="41" t="e">
        <f>TRUNC((A12016-SUM(C12028:C12032)))</f>
        <v>#REF!</v>
      </c>
      <c r="C12033" s="42" t="e">
        <f>B12033</f>
        <v>#REF!</v>
      </c>
      <c r="D12033" s="31" t="e">
        <f t="shared" si="1160"/>
        <v>#REF!</v>
      </c>
      <c r="E12033" s="31" t="e">
        <f>IF(SUM(C12028:C12033)&lt;1,"",IF(B12034&lt;1,""," And "))</f>
        <v>#REF!</v>
      </c>
      <c r="J12033" s="31">
        <v>15</v>
      </c>
      <c r="K12033" s="33" t="s">
        <v>82</v>
      </c>
      <c r="L12033" s="31" t="str">
        <f t="shared" si="1161"/>
        <v>Lima Belas</v>
      </c>
    </row>
    <row r="12034" spans="1:12">
      <c r="A12034" s="33" t="s">
        <v>83</v>
      </c>
      <c r="B12034" s="40" t="e">
        <f>ROUND(A12016-SUM(C12028:C12033),2)*100</f>
        <v>#REF!</v>
      </c>
      <c r="D12034" s="43" t="e">
        <f t="shared" si="1160"/>
        <v>#REF!</v>
      </c>
      <c r="E12034" s="31" t="e">
        <f>IF(B12034&lt;1,"",IF(B12034=1," Cent "," Cents "))</f>
        <v>#REF!</v>
      </c>
      <c r="J12034" s="31">
        <v>16</v>
      </c>
      <c r="K12034" s="33" t="s">
        <v>84</v>
      </c>
      <c r="L12034" s="31" t="str">
        <f t="shared" si="1161"/>
        <v>Enam Belas</v>
      </c>
    </row>
    <row r="12035" spans="1:12">
      <c r="J12035" s="31">
        <v>17</v>
      </c>
      <c r="K12035" s="33" t="s">
        <v>85</v>
      </c>
      <c r="L12035" s="31" t="str">
        <f t="shared" si="1161"/>
        <v>Tujuh Belas</v>
      </c>
    </row>
    <row r="12036" spans="1:12">
      <c r="A12036" s="44"/>
      <c r="J12036" s="31">
        <v>18</v>
      </c>
      <c r="K12036" s="33" t="s">
        <v>86</v>
      </c>
      <c r="L12036" s="31" t="str">
        <f t="shared" si="1161"/>
        <v>Delapan Belas</v>
      </c>
    </row>
    <row r="12037" spans="1:12">
      <c r="A12037" s="38" t="s">
        <v>87</v>
      </c>
      <c r="J12037" s="31">
        <v>19</v>
      </c>
      <c r="K12037" s="33" t="s">
        <v>88</v>
      </c>
      <c r="L12037" s="31" t="str">
        <f t="shared" si="1161"/>
        <v>Sembilan Belas</v>
      </c>
    </row>
    <row r="12038" spans="1:12">
      <c r="A12038" s="31" t="s">
        <v>69</v>
      </c>
      <c r="B12038" s="39" t="e">
        <f>TRUNC(A12016/100000000)</f>
        <v>#REF!</v>
      </c>
      <c r="C12038" s="31" t="e">
        <f>B12038*100000000</f>
        <v>#REF!</v>
      </c>
      <c r="D12038" s="31" t="e">
        <f>IF(B12038&lt;1,"",IF(B12038=1,"",VLOOKUP(B12038,$J$3:$L$102,3)))</f>
        <v>#REF!</v>
      </c>
      <c r="E12038" s="31" t="e">
        <f>IF(B12038&lt;1,"",IF(B12038=1,"Seratus "," Ratus "))</f>
        <v>#REF!</v>
      </c>
      <c r="J12038" s="31">
        <v>20</v>
      </c>
      <c r="K12038" s="33" t="s">
        <v>89</v>
      </c>
      <c r="L12038" s="31" t="s">
        <v>90</v>
      </c>
    </row>
    <row r="12039" spans="1:12">
      <c r="A12039" s="31" t="s">
        <v>72</v>
      </c>
      <c r="B12039" s="39" t="e">
        <f>TRUNC((A12016-C12038)/1000000)</f>
        <v>#REF!</v>
      </c>
      <c r="C12039" s="31" t="e">
        <f>B12039*1000000</f>
        <v>#REF!</v>
      </c>
      <c r="D12039" s="31" t="e">
        <f>IF(B12039&lt;1,"",VLOOKUP(B12039,$J$3:$L$102,3))</f>
        <v>#REF!</v>
      </c>
      <c r="E12039" s="31" t="e">
        <f>IF(B12038+B12039=0,""," Juta ")</f>
        <v>#REF!</v>
      </c>
      <c r="J12039" s="31">
        <v>21</v>
      </c>
      <c r="K12039" s="33" t="s">
        <v>91</v>
      </c>
      <c r="L12039" s="31" t="str">
        <f t="shared" ref="L12039:L12047" si="1162">$L$23&amp;" "&amp;L12019</f>
        <v>Dua Puluh Satu</v>
      </c>
    </row>
    <row r="12040" spans="1:12">
      <c r="A12040" s="31" t="s">
        <v>75</v>
      </c>
      <c r="B12040" s="39" t="e">
        <f>TRUNC((A12016-SUM(C12038:C12039))/100000)</f>
        <v>#REF!</v>
      </c>
      <c r="C12040" s="31" t="e">
        <f>B12040*100000</f>
        <v>#REF!</v>
      </c>
      <c r="D12040" s="31" t="e">
        <f>IF(B12040&lt;1,"",IF(B12040=1,"",VLOOKUP(B12040,$J$3:$L$102,3)))</f>
        <v>#REF!</v>
      </c>
      <c r="E12040" s="31" t="e">
        <f>IF(B12040&lt;1,"",IF(B12040=1," Seratus "," Ratus "))</f>
        <v>#REF!</v>
      </c>
      <c r="J12040" s="31">
        <v>22</v>
      </c>
      <c r="K12040" s="33" t="s">
        <v>92</v>
      </c>
      <c r="L12040" s="31" t="str">
        <f t="shared" si="1162"/>
        <v>Dua Puluh Dua</v>
      </c>
    </row>
    <row r="12041" spans="1:12">
      <c r="A12041" s="33" t="s">
        <v>77</v>
      </c>
      <c r="B12041" s="40" t="e">
        <f>TRUNC((A12016-SUM(C12038:C12040))/1000)</f>
        <v>#REF!</v>
      </c>
      <c r="C12041" s="31" t="e">
        <f>B12041*1000</f>
        <v>#REF!</v>
      </c>
      <c r="D12041" s="31" t="e">
        <f>IF(B12041&lt;1,"",IF(B12041=1,"",VLOOKUP(B12041,$J$3:$L$102,3)))</f>
        <v>#REF!</v>
      </c>
      <c r="E12041" s="31" t="e">
        <f>IF(B12040+B12041&lt;1,"",IF(B12041=1," Seribu "," Ribu "))</f>
        <v>#REF!</v>
      </c>
      <c r="J12041" s="31">
        <v>23</v>
      </c>
      <c r="K12041" s="33" t="s">
        <v>93</v>
      </c>
      <c r="L12041" s="31" t="str">
        <f t="shared" si="1162"/>
        <v>Dua Puluh Tiga</v>
      </c>
    </row>
    <row r="12042" spans="1:12">
      <c r="A12042" s="33" t="s">
        <v>79</v>
      </c>
      <c r="B12042" s="40" t="e">
        <f>TRUNC((A12016-SUM(C12038:C12041))/100)</f>
        <v>#REF!</v>
      </c>
      <c r="C12042" s="31" t="e">
        <f>B12042*100</f>
        <v>#REF!</v>
      </c>
      <c r="D12042" s="31" t="e">
        <f>IF(B12042&lt;1,"",IF(B12042=1,"",VLOOKUP(B12042,$J$3:$L$102,3)))</f>
        <v>#REF!</v>
      </c>
      <c r="E12042" s="31" t="e">
        <f>IF(B12042&lt;1,"",IF(B12042=1," Seratus "," Ratus "))</f>
        <v>#REF!</v>
      </c>
      <c r="J12042" s="31">
        <v>24</v>
      </c>
      <c r="K12042" s="33" t="s">
        <v>94</v>
      </c>
      <c r="L12042" s="31" t="str">
        <f t="shared" si="1162"/>
        <v>Dua Puluh Empat</v>
      </c>
    </row>
    <row r="12043" spans="1:12">
      <c r="A12043" s="33" t="s">
        <v>81</v>
      </c>
      <c r="B12043" s="41" t="e">
        <f>TRUNC((A12016-SUM(C12038:C12042)))</f>
        <v>#REF!</v>
      </c>
      <c r="C12043" s="42" t="e">
        <f>B12043</f>
        <v>#REF!</v>
      </c>
      <c r="D12043" s="31" t="e">
        <f>IF(B12043&lt;1,"",VLOOKUP(B12043,$J$3:$L$102,3))</f>
        <v>#REF!</v>
      </c>
      <c r="E12043" s="31" t="e">
        <f>IF(SUM(C12038:C12043)&lt;1,"",IF(B12044&lt;1,""," Dan "))</f>
        <v>#REF!</v>
      </c>
      <c r="J12043" s="31">
        <v>25</v>
      </c>
      <c r="K12043" s="33" t="s">
        <v>95</v>
      </c>
      <c r="L12043" s="31" t="str">
        <f t="shared" si="1162"/>
        <v>Dua Puluh Lima</v>
      </c>
    </row>
    <row r="12044" spans="1:12">
      <c r="A12044" s="33" t="s">
        <v>83</v>
      </c>
      <c r="B12044" s="40" t="e">
        <f>ROUND(A12016-SUM(C12038:C12043),2)*100</f>
        <v>#REF!</v>
      </c>
      <c r="D12044" s="31" t="e">
        <f>IF(B12044&lt;1,"",VLOOKUP(B12044,$J$3:$L$102,3))</f>
        <v>#REF!</v>
      </c>
      <c r="E12044" s="31" t="e">
        <f>IF(B12044&lt;1,""," Sen ")</f>
        <v>#REF!</v>
      </c>
      <c r="J12044" s="31">
        <v>26</v>
      </c>
      <c r="K12044" s="33" t="s">
        <v>96</v>
      </c>
      <c r="L12044" s="31" t="str">
        <f t="shared" si="1162"/>
        <v>Dua Puluh Enam</v>
      </c>
    </row>
    <row r="12045" spans="1:12">
      <c r="J12045" s="31">
        <v>27</v>
      </c>
      <c r="K12045" s="33" t="s">
        <v>97</v>
      </c>
      <c r="L12045" s="31" t="str">
        <f t="shared" si="1162"/>
        <v>Dua Puluh Tujuh</v>
      </c>
    </row>
    <row r="12046" spans="1:12">
      <c r="J12046" s="31">
        <v>28</v>
      </c>
      <c r="K12046" s="33" t="s">
        <v>98</v>
      </c>
      <c r="L12046" s="31" t="str">
        <f t="shared" si="1162"/>
        <v>Dua Puluh Delapan</v>
      </c>
    </row>
    <row r="12047" spans="1:12">
      <c r="J12047" s="31">
        <v>29</v>
      </c>
      <c r="K12047" s="33" t="s">
        <v>99</v>
      </c>
      <c r="L12047" s="31" t="str">
        <f t="shared" si="1162"/>
        <v>Dua Puluh Sembilan</v>
      </c>
    </row>
    <row r="12048" spans="1:12">
      <c r="J12048" s="31">
        <v>30</v>
      </c>
      <c r="K12048" s="33" t="s">
        <v>100</v>
      </c>
      <c r="L12048" s="31" t="s">
        <v>101</v>
      </c>
    </row>
    <row r="12049" spans="1:12">
      <c r="J12049" s="31">
        <v>31</v>
      </c>
      <c r="K12049" s="33" t="s">
        <v>102</v>
      </c>
      <c r="L12049" s="31" t="str">
        <f t="shared" ref="L12049:L12057" si="1163">$L$33&amp;" "&amp;L12019</f>
        <v>Tiga Puluh Satu</v>
      </c>
    </row>
    <row r="12050" spans="1:12">
      <c r="J12050" s="31">
        <v>32</v>
      </c>
      <c r="K12050" s="33" t="s">
        <v>103</v>
      </c>
      <c r="L12050" s="31" t="str">
        <f t="shared" si="1163"/>
        <v>Tiga Puluh Dua</v>
      </c>
    </row>
    <row r="12051" spans="1:12">
      <c r="J12051" s="31">
        <v>33</v>
      </c>
      <c r="K12051" s="33" t="s">
        <v>104</v>
      </c>
      <c r="L12051" s="31" t="str">
        <f t="shared" si="1163"/>
        <v>Tiga Puluh Tiga</v>
      </c>
    </row>
    <row r="12052" spans="1:12">
      <c r="J12052" s="31">
        <v>34</v>
      </c>
      <c r="K12052" s="33" t="s">
        <v>105</v>
      </c>
      <c r="L12052" s="31" t="str">
        <f t="shared" si="1163"/>
        <v>Tiga Puluh Empat</v>
      </c>
    </row>
    <row r="12053" spans="1:12">
      <c r="J12053" s="31">
        <v>35</v>
      </c>
      <c r="K12053" s="33" t="s">
        <v>106</v>
      </c>
      <c r="L12053" s="31" t="str">
        <f t="shared" si="1163"/>
        <v>Tiga Puluh Lima</v>
      </c>
    </row>
    <row r="12054" spans="1:12">
      <c r="J12054" s="31">
        <v>36</v>
      </c>
      <c r="K12054" s="33" t="s">
        <v>107</v>
      </c>
      <c r="L12054" s="31" t="str">
        <f t="shared" si="1163"/>
        <v>Tiga Puluh Enam</v>
      </c>
    </row>
    <row r="12055" spans="1:12">
      <c r="J12055" s="31">
        <v>37</v>
      </c>
      <c r="K12055" s="33" t="s">
        <v>108</v>
      </c>
      <c r="L12055" s="31" t="str">
        <f t="shared" si="1163"/>
        <v>Tiga Puluh Tujuh</v>
      </c>
    </row>
    <row r="12056" spans="1:12">
      <c r="J12056" s="31">
        <v>38</v>
      </c>
      <c r="K12056" s="33" t="s">
        <v>109</v>
      </c>
      <c r="L12056" s="31" t="str">
        <f t="shared" si="1163"/>
        <v>Tiga Puluh Delapan</v>
      </c>
    </row>
    <row r="12057" spans="1:12">
      <c r="J12057" s="31">
        <v>39</v>
      </c>
      <c r="K12057" s="33" t="s">
        <v>110</v>
      </c>
      <c r="L12057" s="31" t="str">
        <f t="shared" si="1163"/>
        <v>Tiga Puluh Sembilan</v>
      </c>
    </row>
    <row r="12058" spans="1:12">
      <c r="B12058" s="35"/>
      <c r="C12058" s="35"/>
      <c r="D12058" s="35"/>
      <c r="J12058" s="31">
        <v>40</v>
      </c>
      <c r="K12058" s="33" t="s">
        <v>111</v>
      </c>
      <c r="L12058" s="31" t="s">
        <v>112</v>
      </c>
    </row>
    <row r="12059" spans="1:12">
      <c r="A12059" s="35"/>
      <c r="B12059" s="35"/>
      <c r="C12059" s="35"/>
      <c r="D12059" s="35"/>
      <c r="J12059" s="31">
        <v>41</v>
      </c>
      <c r="K12059" s="33" t="s">
        <v>113</v>
      </c>
      <c r="L12059" s="31" t="str">
        <f t="shared" ref="L12059:L12067" si="1164">$L$43&amp;" "&amp;L12019</f>
        <v>Empat Puluh Satu</v>
      </c>
    </row>
    <row r="12060" spans="1:12">
      <c r="J12060" s="31">
        <v>42</v>
      </c>
      <c r="K12060" s="33" t="s">
        <v>114</v>
      </c>
      <c r="L12060" s="31" t="str">
        <f t="shared" si="1164"/>
        <v>Empat Puluh Dua</v>
      </c>
    </row>
    <row r="12061" spans="1:12">
      <c r="A12061" s="38"/>
      <c r="J12061" s="31">
        <v>43</v>
      </c>
      <c r="K12061" s="33" t="s">
        <v>115</v>
      </c>
      <c r="L12061" s="31" t="str">
        <f t="shared" si="1164"/>
        <v>Empat Puluh Tiga</v>
      </c>
    </row>
    <row r="12062" spans="1:12">
      <c r="J12062" s="31">
        <v>44</v>
      </c>
      <c r="K12062" s="33" t="s">
        <v>116</v>
      </c>
      <c r="L12062" s="31" t="str">
        <f t="shared" si="1164"/>
        <v>Empat Puluh Empat</v>
      </c>
    </row>
    <row r="12063" spans="1:12">
      <c r="J12063" s="31">
        <v>45</v>
      </c>
      <c r="K12063" s="33" t="s">
        <v>117</v>
      </c>
      <c r="L12063" s="31" t="str">
        <f t="shared" si="1164"/>
        <v>Empat Puluh Lima</v>
      </c>
    </row>
    <row r="12064" spans="1:12">
      <c r="J12064" s="31">
        <v>46</v>
      </c>
      <c r="K12064" s="33" t="s">
        <v>118</v>
      </c>
      <c r="L12064" s="31" t="str">
        <f t="shared" si="1164"/>
        <v>Empat Puluh Enam</v>
      </c>
    </row>
    <row r="12065" spans="10:12">
      <c r="J12065" s="31">
        <v>47</v>
      </c>
      <c r="K12065" s="33" t="s">
        <v>119</v>
      </c>
      <c r="L12065" s="31" t="str">
        <f t="shared" si="1164"/>
        <v>Empat Puluh Tujuh</v>
      </c>
    </row>
    <row r="12066" spans="10:12">
      <c r="J12066" s="31">
        <v>48</v>
      </c>
      <c r="K12066" s="33" t="s">
        <v>120</v>
      </c>
      <c r="L12066" s="31" t="str">
        <f t="shared" si="1164"/>
        <v>Empat Puluh Delapan</v>
      </c>
    </row>
    <row r="12067" spans="10:12">
      <c r="J12067" s="31">
        <v>49</v>
      </c>
      <c r="K12067" s="33" t="s">
        <v>121</v>
      </c>
      <c r="L12067" s="31" t="str">
        <f t="shared" si="1164"/>
        <v>Empat Puluh Sembilan</v>
      </c>
    </row>
    <row r="12068" spans="10:12">
      <c r="J12068" s="31">
        <v>50</v>
      </c>
      <c r="K12068" s="33" t="s">
        <v>122</v>
      </c>
      <c r="L12068" s="31" t="s">
        <v>123</v>
      </c>
    </row>
    <row r="12069" spans="10:12">
      <c r="J12069" s="31">
        <v>51</v>
      </c>
      <c r="K12069" s="33" t="s">
        <v>124</v>
      </c>
      <c r="L12069" s="31" t="str">
        <f t="shared" ref="L12069:L12077" si="1165">$L$53&amp;" "&amp;L12019</f>
        <v>Lima Puluh Satu</v>
      </c>
    </row>
    <row r="12070" spans="10:12">
      <c r="J12070" s="31">
        <v>52</v>
      </c>
      <c r="K12070" s="33" t="s">
        <v>125</v>
      </c>
      <c r="L12070" s="31" t="str">
        <f t="shared" si="1165"/>
        <v>Lima Puluh Dua</v>
      </c>
    </row>
    <row r="12071" spans="10:12">
      <c r="J12071" s="31">
        <v>53</v>
      </c>
      <c r="K12071" s="33" t="s">
        <v>126</v>
      </c>
      <c r="L12071" s="31" t="str">
        <f t="shared" si="1165"/>
        <v>Lima Puluh Tiga</v>
      </c>
    </row>
    <row r="12072" spans="10:12">
      <c r="J12072" s="31">
        <v>54</v>
      </c>
      <c r="K12072" s="33" t="s">
        <v>127</v>
      </c>
      <c r="L12072" s="31" t="str">
        <f t="shared" si="1165"/>
        <v>Lima Puluh Empat</v>
      </c>
    </row>
    <row r="12073" spans="10:12">
      <c r="J12073" s="31">
        <v>55</v>
      </c>
      <c r="K12073" s="33" t="s">
        <v>128</v>
      </c>
      <c r="L12073" s="31" t="str">
        <f t="shared" si="1165"/>
        <v>Lima Puluh Lima</v>
      </c>
    </row>
    <row r="12074" spans="10:12">
      <c r="J12074" s="31">
        <v>56</v>
      </c>
      <c r="K12074" s="33" t="s">
        <v>129</v>
      </c>
      <c r="L12074" s="31" t="str">
        <f t="shared" si="1165"/>
        <v>Lima Puluh Enam</v>
      </c>
    </row>
    <row r="12075" spans="10:12">
      <c r="J12075" s="31">
        <v>57</v>
      </c>
      <c r="K12075" s="33" t="s">
        <v>130</v>
      </c>
      <c r="L12075" s="31" t="str">
        <f t="shared" si="1165"/>
        <v>Lima Puluh Tujuh</v>
      </c>
    </row>
    <row r="12076" spans="10:12">
      <c r="J12076" s="31">
        <v>58</v>
      </c>
      <c r="K12076" s="33" t="s">
        <v>131</v>
      </c>
      <c r="L12076" s="31" t="str">
        <f t="shared" si="1165"/>
        <v>Lima Puluh Delapan</v>
      </c>
    </row>
    <row r="12077" spans="10:12">
      <c r="J12077" s="31">
        <v>59</v>
      </c>
      <c r="K12077" s="33" t="s">
        <v>132</v>
      </c>
      <c r="L12077" s="31" t="str">
        <f t="shared" si="1165"/>
        <v>Lima Puluh Sembilan</v>
      </c>
    </row>
    <row r="12078" spans="10:12">
      <c r="J12078" s="31">
        <v>60</v>
      </c>
      <c r="K12078" s="33" t="s">
        <v>133</v>
      </c>
      <c r="L12078" s="31" t="s">
        <v>134</v>
      </c>
    </row>
    <row r="12079" spans="10:12">
      <c r="J12079" s="31">
        <v>61</v>
      </c>
      <c r="K12079" s="33" t="s">
        <v>135</v>
      </c>
      <c r="L12079" s="31" t="str">
        <f t="shared" ref="L12079:L12087" si="1166">$L$63&amp;" "&amp;L12019</f>
        <v>Enam Puluh Satu</v>
      </c>
    </row>
    <row r="12080" spans="10:12">
      <c r="J12080" s="31">
        <v>62</v>
      </c>
      <c r="K12080" s="33" t="s">
        <v>136</v>
      </c>
      <c r="L12080" s="31" t="str">
        <f t="shared" si="1166"/>
        <v>Enam Puluh Dua</v>
      </c>
    </row>
    <row r="12081" spans="10:12">
      <c r="J12081" s="31">
        <v>63</v>
      </c>
      <c r="K12081" s="33" t="s">
        <v>137</v>
      </c>
      <c r="L12081" s="31" t="str">
        <f t="shared" si="1166"/>
        <v>Enam Puluh Tiga</v>
      </c>
    </row>
    <row r="12082" spans="10:12">
      <c r="J12082" s="31">
        <v>64</v>
      </c>
      <c r="K12082" s="33" t="s">
        <v>138</v>
      </c>
      <c r="L12082" s="31" t="str">
        <f t="shared" si="1166"/>
        <v>Enam Puluh Empat</v>
      </c>
    </row>
    <row r="12083" spans="10:12">
      <c r="J12083" s="31">
        <v>65</v>
      </c>
      <c r="K12083" s="33" t="s">
        <v>139</v>
      </c>
      <c r="L12083" s="31" t="str">
        <f t="shared" si="1166"/>
        <v>Enam Puluh Lima</v>
      </c>
    </row>
    <row r="12084" spans="10:12">
      <c r="J12084" s="31">
        <v>66</v>
      </c>
      <c r="K12084" s="33" t="s">
        <v>140</v>
      </c>
      <c r="L12084" s="31" t="str">
        <f t="shared" si="1166"/>
        <v>Enam Puluh Enam</v>
      </c>
    </row>
    <row r="12085" spans="10:12">
      <c r="J12085" s="31">
        <v>67</v>
      </c>
      <c r="K12085" s="33" t="s">
        <v>141</v>
      </c>
      <c r="L12085" s="31" t="str">
        <f t="shared" si="1166"/>
        <v>Enam Puluh Tujuh</v>
      </c>
    </row>
    <row r="12086" spans="10:12">
      <c r="J12086" s="31">
        <v>68</v>
      </c>
      <c r="K12086" s="33" t="s">
        <v>142</v>
      </c>
      <c r="L12086" s="31" t="str">
        <f t="shared" si="1166"/>
        <v>Enam Puluh Delapan</v>
      </c>
    </row>
    <row r="12087" spans="10:12">
      <c r="J12087" s="31">
        <v>69</v>
      </c>
      <c r="K12087" s="33" t="s">
        <v>143</v>
      </c>
      <c r="L12087" s="31" t="str">
        <f t="shared" si="1166"/>
        <v>Enam Puluh Sembilan</v>
      </c>
    </row>
    <row r="12088" spans="10:12">
      <c r="J12088" s="31">
        <v>70</v>
      </c>
      <c r="K12088" s="33" t="s">
        <v>144</v>
      </c>
      <c r="L12088" s="31" t="s">
        <v>145</v>
      </c>
    </row>
    <row r="12089" spans="10:12">
      <c r="J12089" s="31">
        <v>71</v>
      </c>
      <c r="K12089" s="33" t="s">
        <v>146</v>
      </c>
      <c r="L12089" s="31" t="str">
        <f t="shared" ref="L12089:L12097" si="1167">$L$73&amp;" "&amp;L12019</f>
        <v>Tujuh Puluh Satu</v>
      </c>
    </row>
    <row r="12090" spans="10:12">
      <c r="J12090" s="31">
        <v>72</v>
      </c>
      <c r="K12090" s="33" t="s">
        <v>147</v>
      </c>
      <c r="L12090" s="31" t="str">
        <f t="shared" si="1167"/>
        <v>Tujuh Puluh Dua</v>
      </c>
    </row>
    <row r="12091" spans="10:12">
      <c r="J12091" s="31">
        <v>73</v>
      </c>
      <c r="K12091" s="33" t="s">
        <v>148</v>
      </c>
      <c r="L12091" s="31" t="str">
        <f t="shared" si="1167"/>
        <v>Tujuh Puluh Tiga</v>
      </c>
    </row>
    <row r="12092" spans="10:12">
      <c r="J12092" s="31">
        <v>74</v>
      </c>
      <c r="K12092" s="33" t="s">
        <v>149</v>
      </c>
      <c r="L12092" s="31" t="str">
        <f t="shared" si="1167"/>
        <v>Tujuh Puluh Empat</v>
      </c>
    </row>
    <row r="12093" spans="10:12">
      <c r="J12093" s="31">
        <v>75</v>
      </c>
      <c r="K12093" s="33" t="s">
        <v>150</v>
      </c>
      <c r="L12093" s="31" t="str">
        <f t="shared" si="1167"/>
        <v>Tujuh Puluh Lima</v>
      </c>
    </row>
    <row r="12094" spans="10:12">
      <c r="J12094" s="31">
        <v>76</v>
      </c>
      <c r="K12094" s="33" t="s">
        <v>151</v>
      </c>
      <c r="L12094" s="31" t="str">
        <f t="shared" si="1167"/>
        <v>Tujuh Puluh Enam</v>
      </c>
    </row>
    <row r="12095" spans="10:12">
      <c r="J12095" s="31">
        <v>77</v>
      </c>
      <c r="K12095" s="33" t="s">
        <v>152</v>
      </c>
      <c r="L12095" s="31" t="str">
        <f t="shared" si="1167"/>
        <v>Tujuh Puluh Tujuh</v>
      </c>
    </row>
    <row r="12096" spans="10:12">
      <c r="J12096" s="31">
        <v>78</v>
      </c>
      <c r="K12096" s="33" t="s">
        <v>153</v>
      </c>
      <c r="L12096" s="31" t="str">
        <f t="shared" si="1167"/>
        <v>Tujuh Puluh Delapan</v>
      </c>
    </row>
    <row r="12097" spans="10:12">
      <c r="J12097" s="31">
        <v>79</v>
      </c>
      <c r="K12097" s="33" t="s">
        <v>154</v>
      </c>
      <c r="L12097" s="31" t="str">
        <f t="shared" si="1167"/>
        <v>Tujuh Puluh Sembilan</v>
      </c>
    </row>
    <row r="12098" spans="10:12">
      <c r="J12098" s="31">
        <v>80</v>
      </c>
      <c r="K12098" s="33" t="s">
        <v>155</v>
      </c>
      <c r="L12098" s="31" t="s">
        <v>156</v>
      </c>
    </row>
    <row r="12099" spans="10:12">
      <c r="J12099" s="31">
        <v>81</v>
      </c>
      <c r="K12099" s="33" t="s">
        <v>157</v>
      </c>
      <c r="L12099" s="31" t="str">
        <f t="shared" ref="L12099:L12107" si="1168">$L$83&amp;" "&amp;L12019</f>
        <v>Delapan Puluh Satu</v>
      </c>
    </row>
    <row r="12100" spans="10:12">
      <c r="J12100" s="31">
        <v>82</v>
      </c>
      <c r="K12100" s="33" t="s">
        <v>158</v>
      </c>
      <c r="L12100" s="31" t="str">
        <f t="shared" si="1168"/>
        <v>Delapan Puluh Dua</v>
      </c>
    </row>
    <row r="12101" spans="10:12">
      <c r="J12101" s="31">
        <v>83</v>
      </c>
      <c r="K12101" s="33" t="s">
        <v>159</v>
      </c>
      <c r="L12101" s="31" t="str">
        <f t="shared" si="1168"/>
        <v>Delapan Puluh Tiga</v>
      </c>
    </row>
    <row r="12102" spans="10:12">
      <c r="J12102" s="31">
        <v>84</v>
      </c>
      <c r="K12102" s="33" t="s">
        <v>160</v>
      </c>
      <c r="L12102" s="31" t="str">
        <f t="shared" si="1168"/>
        <v>Delapan Puluh Empat</v>
      </c>
    </row>
    <row r="12103" spans="10:12">
      <c r="J12103" s="31">
        <v>85</v>
      </c>
      <c r="K12103" s="33" t="s">
        <v>161</v>
      </c>
      <c r="L12103" s="31" t="str">
        <f t="shared" si="1168"/>
        <v>Delapan Puluh Lima</v>
      </c>
    </row>
    <row r="12104" spans="10:12">
      <c r="J12104" s="31">
        <v>86</v>
      </c>
      <c r="K12104" s="33" t="s">
        <v>162</v>
      </c>
      <c r="L12104" s="31" t="str">
        <f t="shared" si="1168"/>
        <v>Delapan Puluh Enam</v>
      </c>
    </row>
    <row r="12105" spans="10:12">
      <c r="J12105" s="31">
        <v>87</v>
      </c>
      <c r="K12105" s="33" t="s">
        <v>163</v>
      </c>
      <c r="L12105" s="31" t="str">
        <f t="shared" si="1168"/>
        <v>Delapan Puluh Tujuh</v>
      </c>
    </row>
    <row r="12106" spans="10:12">
      <c r="J12106" s="31">
        <v>88</v>
      </c>
      <c r="K12106" s="33" t="s">
        <v>164</v>
      </c>
      <c r="L12106" s="31" t="str">
        <f t="shared" si="1168"/>
        <v>Delapan Puluh Delapan</v>
      </c>
    </row>
    <row r="12107" spans="10:12">
      <c r="J12107" s="31">
        <v>89</v>
      </c>
      <c r="K12107" s="33" t="s">
        <v>165</v>
      </c>
      <c r="L12107" s="31" t="str">
        <f t="shared" si="1168"/>
        <v>Delapan Puluh Sembilan</v>
      </c>
    </row>
    <row r="12108" spans="10:12">
      <c r="J12108" s="31">
        <v>90</v>
      </c>
      <c r="K12108" s="33" t="s">
        <v>166</v>
      </c>
      <c r="L12108" s="31" t="s">
        <v>167</v>
      </c>
    </row>
    <row r="12109" spans="10:12">
      <c r="J12109" s="31">
        <v>91</v>
      </c>
      <c r="K12109" s="33" t="s">
        <v>168</v>
      </c>
      <c r="L12109" s="31" t="str">
        <f t="shared" ref="L12109:L12117" si="1169">$L$93&amp;" "&amp;L12019</f>
        <v>Sembilan Puluh Satu</v>
      </c>
    </row>
    <row r="12110" spans="10:12">
      <c r="J12110" s="31">
        <v>92</v>
      </c>
      <c r="K12110" s="33" t="s">
        <v>169</v>
      </c>
      <c r="L12110" s="31" t="str">
        <f t="shared" si="1169"/>
        <v>Sembilan Puluh Dua</v>
      </c>
    </row>
    <row r="12111" spans="10:12">
      <c r="J12111" s="31">
        <v>93</v>
      </c>
      <c r="K12111" s="33" t="s">
        <v>170</v>
      </c>
      <c r="L12111" s="31" t="str">
        <f t="shared" si="1169"/>
        <v>Sembilan Puluh Tiga</v>
      </c>
    </row>
    <row r="12112" spans="10:12">
      <c r="J12112" s="31">
        <v>94</v>
      </c>
      <c r="K12112" s="33" t="s">
        <v>171</v>
      </c>
      <c r="L12112" s="31" t="str">
        <f t="shared" si="1169"/>
        <v>Sembilan Puluh Empat</v>
      </c>
    </row>
    <row r="12113" spans="1:12">
      <c r="J12113" s="31">
        <v>95</v>
      </c>
      <c r="K12113" s="33" t="s">
        <v>172</v>
      </c>
      <c r="L12113" s="31" t="str">
        <f t="shared" si="1169"/>
        <v>Sembilan Puluh Lima</v>
      </c>
    </row>
    <row r="12114" spans="1:12">
      <c r="J12114" s="31">
        <v>96</v>
      </c>
      <c r="K12114" s="33" t="s">
        <v>173</v>
      </c>
      <c r="L12114" s="31" t="str">
        <f t="shared" si="1169"/>
        <v>Sembilan Puluh Enam</v>
      </c>
    </row>
    <row r="12115" spans="1:12">
      <c r="J12115" s="31">
        <v>97</v>
      </c>
      <c r="K12115" s="33" t="s">
        <v>174</v>
      </c>
      <c r="L12115" s="31" t="str">
        <f t="shared" si="1169"/>
        <v>Sembilan Puluh Tujuh</v>
      </c>
    </row>
    <row r="12116" spans="1:12">
      <c r="J12116" s="31">
        <v>98</v>
      </c>
      <c r="K12116" s="33" t="s">
        <v>175</v>
      </c>
      <c r="L12116" s="31" t="str">
        <f t="shared" si="1169"/>
        <v>Sembilan Puluh Delapan</v>
      </c>
    </row>
    <row r="12117" spans="1:12">
      <c r="J12117" s="31">
        <v>99</v>
      </c>
      <c r="K12117" s="33" t="s">
        <v>176</v>
      </c>
      <c r="L12117" s="31" t="str">
        <f t="shared" si="1169"/>
        <v>Sembilan Puluh Sembilan</v>
      </c>
    </row>
    <row r="12120" spans="1:12">
      <c r="A12120" s="30" t="e">
        <f>#REF!</f>
        <v>#REF!</v>
      </c>
      <c r="C12120" s="31" t="s">
        <v>351</v>
      </c>
    </row>
    <row r="12121" spans="1:12">
      <c r="A12121" s="32"/>
    </row>
    <row r="12122" spans="1:12">
      <c r="J12122" s="31">
        <v>0</v>
      </c>
      <c r="K12122" s="33" t="s">
        <v>48</v>
      </c>
      <c r="L12122" s="31" t="s">
        <v>49</v>
      </c>
    </row>
    <row r="12123" spans="1:12">
      <c r="A12123" s="34"/>
      <c r="J12123" s="31">
        <v>1</v>
      </c>
      <c r="K12123" s="33" t="s">
        <v>50</v>
      </c>
      <c r="L12123" s="31" t="s">
        <v>51</v>
      </c>
    </row>
    <row r="12124" spans="1:12">
      <c r="A12124" s="255" t="e">
        <f>TRIM(D12132&amp;E12132&amp;D12133&amp;E12133&amp;D12134&amp;E12134&amp;D12135&amp;E12135&amp;D12136&amp;E12136&amp;D12137&amp;E12137&amp;E12138&amp;D12138&amp;" Only")</f>
        <v>#REF!</v>
      </c>
      <c r="B12124" s="255"/>
      <c r="C12124" s="255"/>
      <c r="D12124" s="255"/>
      <c r="E12124" s="35"/>
      <c r="F12124" s="36"/>
      <c r="J12124" s="31">
        <v>2</v>
      </c>
      <c r="K12124" s="33" t="s">
        <v>52</v>
      </c>
      <c r="L12124" s="31" t="s">
        <v>53</v>
      </c>
    </row>
    <row r="12125" spans="1:12">
      <c r="A12125" s="37"/>
      <c r="B12125" s="37"/>
      <c r="C12125" s="37"/>
      <c r="D12125" s="37"/>
      <c r="E12125" s="35"/>
      <c r="F12125" s="36"/>
      <c r="J12125" s="31">
        <v>3</v>
      </c>
      <c r="K12125" s="33" t="s">
        <v>54</v>
      </c>
      <c r="L12125" s="31" t="s">
        <v>55</v>
      </c>
    </row>
    <row r="12126" spans="1:12">
      <c r="A12126" s="37"/>
      <c r="B12126" s="37"/>
      <c r="C12126" s="37"/>
      <c r="D12126" s="37"/>
      <c r="J12126" s="31">
        <v>4</v>
      </c>
      <c r="K12126" s="33" t="s">
        <v>56</v>
      </c>
      <c r="L12126" s="31" t="s">
        <v>57</v>
      </c>
    </row>
    <row r="12127" spans="1:12">
      <c r="A12127" s="255" t="e">
        <f>TRIM(D12142&amp;E12142&amp;D12143&amp;E12143&amp;D12144&amp;E12144&amp;D12145&amp;E12145&amp;D12146&amp;E12146&amp;D12147&amp;E12147&amp;D12148&amp;E12148&amp;" Rupiah")</f>
        <v>#REF!</v>
      </c>
      <c r="B12127" s="255"/>
      <c r="C12127" s="255"/>
      <c r="D12127" s="255"/>
      <c r="E12127" s="35"/>
      <c r="F12127" s="36"/>
      <c r="J12127" s="31">
        <v>5</v>
      </c>
      <c r="K12127" s="33" t="s">
        <v>58</v>
      </c>
      <c r="L12127" s="31" t="s">
        <v>59</v>
      </c>
    </row>
    <row r="12128" spans="1:12">
      <c r="A12128" s="35"/>
      <c r="B12128" s="35"/>
      <c r="C12128" s="35"/>
      <c r="D12128" s="35"/>
      <c r="E12128" s="35"/>
      <c r="F12128" s="36"/>
      <c r="J12128" s="31">
        <v>6</v>
      </c>
      <c r="K12128" s="33" t="s">
        <v>60</v>
      </c>
      <c r="L12128" s="31" t="s">
        <v>61</v>
      </c>
    </row>
    <row r="12129" spans="1:12">
      <c r="J12129" s="31">
        <v>7</v>
      </c>
      <c r="K12129" s="33" t="s">
        <v>62</v>
      </c>
      <c r="L12129" s="31" t="s">
        <v>63</v>
      </c>
    </row>
    <row r="12130" spans="1:12">
      <c r="J12130" s="31">
        <v>8</v>
      </c>
      <c r="K12130" s="33" t="s">
        <v>64</v>
      </c>
      <c r="L12130" s="31" t="s">
        <v>65</v>
      </c>
    </row>
    <row r="12131" spans="1:12">
      <c r="A12131" s="38" t="s">
        <v>66</v>
      </c>
      <c r="J12131" s="31">
        <v>9</v>
      </c>
      <c r="K12131" s="33" t="s">
        <v>67</v>
      </c>
      <c r="L12131" s="31" t="s">
        <v>68</v>
      </c>
    </row>
    <row r="12132" spans="1:12">
      <c r="A12132" s="31" t="s">
        <v>69</v>
      </c>
      <c r="B12132" s="39" t="e">
        <f>TRUNC(A12120/100000000)</f>
        <v>#REF!</v>
      </c>
      <c r="C12132" s="31" t="e">
        <f>B12132*100000000</f>
        <v>#REF!</v>
      </c>
      <c r="D12132" s="31" t="e">
        <f t="shared" ref="D12132:D12138" si="1170">IF(B12132&lt;1,"",VLOOKUP(B12132,$J$3:$K$102,2))</f>
        <v>#REF!</v>
      </c>
      <c r="E12132" s="31" t="e">
        <f>IF(B12132&lt;1,"",IF(B12132&gt;1," Hundreds "," Hundred "))</f>
        <v>#REF!</v>
      </c>
      <c r="J12132" s="31">
        <v>10</v>
      </c>
      <c r="K12132" s="33" t="s">
        <v>70</v>
      </c>
      <c r="L12132" s="31" t="s">
        <v>71</v>
      </c>
    </row>
    <row r="12133" spans="1:12">
      <c r="A12133" s="31" t="s">
        <v>72</v>
      </c>
      <c r="B12133" s="39" t="e">
        <f>TRUNC((A12120-C12132)/1000000)</f>
        <v>#REF!</v>
      </c>
      <c r="C12133" s="31" t="e">
        <f>B12133*1000000</f>
        <v>#REF!</v>
      </c>
      <c r="D12133" s="31" t="e">
        <f t="shared" si="1170"/>
        <v>#REF!</v>
      </c>
      <c r="E12133" s="31" t="e">
        <f>IF(B12132+B12133=0,"",IF(B12133=1," Million "," Millions "))</f>
        <v>#REF!</v>
      </c>
      <c r="J12133" s="31">
        <v>11</v>
      </c>
      <c r="K12133" s="33" t="s">
        <v>73</v>
      </c>
      <c r="L12133" s="31" t="s">
        <v>74</v>
      </c>
    </row>
    <row r="12134" spans="1:12">
      <c r="A12134" s="31" t="s">
        <v>75</v>
      </c>
      <c r="B12134" s="39" t="e">
        <f>TRUNC((A12120-SUM(C12132:C12133))/100000)</f>
        <v>#REF!</v>
      </c>
      <c r="C12134" s="31" t="e">
        <f>B12134*100000</f>
        <v>#REF!</v>
      </c>
      <c r="D12134" s="31" t="e">
        <f t="shared" si="1170"/>
        <v>#REF!</v>
      </c>
      <c r="E12134" s="31" t="e">
        <f>IF(B12134&lt;1,"",IF(B12134&gt;1," Hundreds "," Hundred "))</f>
        <v>#REF!</v>
      </c>
      <c r="J12134" s="31">
        <v>12</v>
      </c>
      <c r="K12134" s="33" t="s">
        <v>76</v>
      </c>
      <c r="L12134" s="31" t="str">
        <f t="shared" ref="L12134:L12141" si="1171">L12124&amp;" Belas"</f>
        <v>Dua Belas</v>
      </c>
    </row>
    <row r="12135" spans="1:12">
      <c r="A12135" s="33" t="s">
        <v>77</v>
      </c>
      <c r="B12135" s="40" t="e">
        <f>TRUNC((A12120-SUM(C12132:C12134))/1000)</f>
        <v>#REF!</v>
      </c>
      <c r="C12135" s="31" t="e">
        <f>B12135*1000</f>
        <v>#REF!</v>
      </c>
      <c r="D12135" s="31" t="e">
        <f t="shared" si="1170"/>
        <v>#REF!</v>
      </c>
      <c r="E12135" s="31" t="e">
        <f>IF(B12134+B12135=0,"",IF(B12135=1," Thousand "," Thousands "))</f>
        <v>#REF!</v>
      </c>
      <c r="J12135" s="31">
        <v>13</v>
      </c>
      <c r="K12135" s="33" t="s">
        <v>78</v>
      </c>
      <c r="L12135" s="31" t="str">
        <f t="shared" si="1171"/>
        <v>Tiga Belas</v>
      </c>
    </row>
    <row r="12136" spans="1:12">
      <c r="A12136" s="33" t="s">
        <v>79</v>
      </c>
      <c r="B12136" s="40" t="e">
        <f>TRUNC((A12120-SUM(C12132:C12135))/100)</f>
        <v>#REF!</v>
      </c>
      <c r="C12136" s="31" t="e">
        <f>B12136*100</f>
        <v>#REF!</v>
      </c>
      <c r="D12136" s="31" t="e">
        <f t="shared" si="1170"/>
        <v>#REF!</v>
      </c>
      <c r="E12136" s="31" t="e">
        <f>IF(B12136&lt;1,"",IF(B12136&gt;1," Hundreds "," Hundred "))</f>
        <v>#REF!</v>
      </c>
      <c r="J12136" s="31">
        <v>14</v>
      </c>
      <c r="K12136" s="33" t="s">
        <v>80</v>
      </c>
      <c r="L12136" s="31" t="str">
        <f t="shared" si="1171"/>
        <v>Empat Belas</v>
      </c>
    </row>
    <row r="12137" spans="1:12">
      <c r="A12137" s="33" t="s">
        <v>81</v>
      </c>
      <c r="B12137" s="41" t="e">
        <f>TRUNC((A12120-SUM(C12132:C12136)))</f>
        <v>#REF!</v>
      </c>
      <c r="C12137" s="42" t="e">
        <f>B12137</f>
        <v>#REF!</v>
      </c>
      <c r="D12137" s="31" t="e">
        <f t="shared" si="1170"/>
        <v>#REF!</v>
      </c>
      <c r="E12137" s="31" t="e">
        <f>IF(SUM(C12132:C12137)&lt;1,"",IF(B12138&lt;1,""," And "))</f>
        <v>#REF!</v>
      </c>
      <c r="J12137" s="31">
        <v>15</v>
      </c>
      <c r="K12137" s="33" t="s">
        <v>82</v>
      </c>
      <c r="L12137" s="31" t="str">
        <f t="shared" si="1171"/>
        <v>Lima Belas</v>
      </c>
    </row>
    <row r="12138" spans="1:12">
      <c r="A12138" s="33" t="s">
        <v>83</v>
      </c>
      <c r="B12138" s="40" t="e">
        <f>ROUND(A12120-SUM(C12132:C12137),2)*100</f>
        <v>#REF!</v>
      </c>
      <c r="D12138" s="43" t="e">
        <f t="shared" si="1170"/>
        <v>#REF!</v>
      </c>
      <c r="E12138" s="31" t="e">
        <f>IF(B12138&lt;1,"",IF(B12138=1," Cent "," Cents "))</f>
        <v>#REF!</v>
      </c>
      <c r="J12138" s="31">
        <v>16</v>
      </c>
      <c r="K12138" s="33" t="s">
        <v>84</v>
      </c>
      <c r="L12138" s="31" t="str">
        <f t="shared" si="1171"/>
        <v>Enam Belas</v>
      </c>
    </row>
    <row r="12139" spans="1:12">
      <c r="J12139" s="31">
        <v>17</v>
      </c>
      <c r="K12139" s="33" t="s">
        <v>85</v>
      </c>
      <c r="L12139" s="31" t="str">
        <f t="shared" si="1171"/>
        <v>Tujuh Belas</v>
      </c>
    </row>
    <row r="12140" spans="1:12">
      <c r="A12140" s="44"/>
      <c r="J12140" s="31">
        <v>18</v>
      </c>
      <c r="K12140" s="33" t="s">
        <v>86</v>
      </c>
      <c r="L12140" s="31" t="str">
        <f t="shared" si="1171"/>
        <v>Delapan Belas</v>
      </c>
    </row>
    <row r="12141" spans="1:12">
      <c r="A12141" s="38" t="s">
        <v>87</v>
      </c>
      <c r="J12141" s="31">
        <v>19</v>
      </c>
      <c r="K12141" s="33" t="s">
        <v>88</v>
      </c>
      <c r="L12141" s="31" t="str">
        <f t="shared" si="1171"/>
        <v>Sembilan Belas</v>
      </c>
    </row>
    <row r="12142" spans="1:12">
      <c r="A12142" s="31" t="s">
        <v>69</v>
      </c>
      <c r="B12142" s="39" t="e">
        <f>TRUNC(A12120/100000000)</f>
        <v>#REF!</v>
      </c>
      <c r="C12142" s="31" t="e">
        <f>B12142*100000000</f>
        <v>#REF!</v>
      </c>
      <c r="D12142" s="31" t="e">
        <f>IF(B12142&lt;1,"",IF(B12142=1,"",VLOOKUP(B12142,$J$3:$L$102,3)))</f>
        <v>#REF!</v>
      </c>
      <c r="E12142" s="31" t="e">
        <f>IF(B12142&lt;1,"",IF(B12142=1,"Seratus "," Ratus "))</f>
        <v>#REF!</v>
      </c>
      <c r="J12142" s="31">
        <v>20</v>
      </c>
      <c r="K12142" s="33" t="s">
        <v>89</v>
      </c>
      <c r="L12142" s="31" t="s">
        <v>90</v>
      </c>
    </row>
    <row r="12143" spans="1:12">
      <c r="A12143" s="31" t="s">
        <v>72</v>
      </c>
      <c r="B12143" s="39" t="e">
        <f>TRUNC((A12120-C12142)/1000000)</f>
        <v>#REF!</v>
      </c>
      <c r="C12143" s="31" t="e">
        <f>B12143*1000000</f>
        <v>#REF!</v>
      </c>
      <c r="D12143" s="31" t="e">
        <f>IF(B12143&lt;1,"",VLOOKUP(B12143,$J$3:$L$102,3))</f>
        <v>#REF!</v>
      </c>
      <c r="E12143" s="31" t="e">
        <f>IF(B12142+B12143=0,""," Juta ")</f>
        <v>#REF!</v>
      </c>
      <c r="J12143" s="31">
        <v>21</v>
      </c>
      <c r="K12143" s="33" t="s">
        <v>91</v>
      </c>
      <c r="L12143" s="31" t="str">
        <f t="shared" ref="L12143:L12151" si="1172">$L$23&amp;" "&amp;L12123</f>
        <v>Dua Puluh Satu</v>
      </c>
    </row>
    <row r="12144" spans="1:12">
      <c r="A12144" s="31" t="s">
        <v>75</v>
      </c>
      <c r="B12144" s="39" t="e">
        <f>TRUNC((A12120-SUM(C12142:C12143))/100000)</f>
        <v>#REF!</v>
      </c>
      <c r="C12144" s="31" t="e">
        <f>B12144*100000</f>
        <v>#REF!</v>
      </c>
      <c r="D12144" s="31" t="e">
        <f>IF(B12144&lt;1,"",IF(B12144=1,"",VLOOKUP(B12144,$J$3:$L$102,3)))</f>
        <v>#REF!</v>
      </c>
      <c r="E12144" s="31" t="e">
        <f>IF(B12144&lt;1,"",IF(B12144=1," Seratus "," Ratus "))</f>
        <v>#REF!</v>
      </c>
      <c r="J12144" s="31">
        <v>22</v>
      </c>
      <c r="K12144" s="33" t="s">
        <v>92</v>
      </c>
      <c r="L12144" s="31" t="str">
        <f t="shared" si="1172"/>
        <v>Dua Puluh Dua</v>
      </c>
    </row>
    <row r="12145" spans="1:12">
      <c r="A12145" s="33" t="s">
        <v>77</v>
      </c>
      <c r="B12145" s="40" t="e">
        <f>TRUNC((A12120-SUM(C12142:C12144))/1000)</f>
        <v>#REF!</v>
      </c>
      <c r="C12145" s="31" t="e">
        <f>B12145*1000</f>
        <v>#REF!</v>
      </c>
      <c r="D12145" s="31" t="e">
        <f>IF(B12145&lt;1,"",IF(B12145=1,"",VLOOKUP(B12145,$J$3:$L$102,3)))</f>
        <v>#REF!</v>
      </c>
      <c r="E12145" s="31" t="e">
        <f>IF(B12144+B12145&lt;1,"",IF(B12145=1," Seribu "," Ribu "))</f>
        <v>#REF!</v>
      </c>
      <c r="J12145" s="31">
        <v>23</v>
      </c>
      <c r="K12145" s="33" t="s">
        <v>93</v>
      </c>
      <c r="L12145" s="31" t="str">
        <f t="shared" si="1172"/>
        <v>Dua Puluh Tiga</v>
      </c>
    </row>
    <row r="12146" spans="1:12">
      <c r="A12146" s="33" t="s">
        <v>79</v>
      </c>
      <c r="B12146" s="40" t="e">
        <f>TRUNC((A12120-SUM(C12142:C12145))/100)</f>
        <v>#REF!</v>
      </c>
      <c r="C12146" s="31" t="e">
        <f>B12146*100</f>
        <v>#REF!</v>
      </c>
      <c r="D12146" s="31" t="e">
        <f>IF(B12146&lt;1,"",IF(B12146=1,"",VLOOKUP(B12146,$J$3:$L$102,3)))</f>
        <v>#REF!</v>
      </c>
      <c r="E12146" s="31" t="e">
        <f>IF(B12146&lt;1,"",IF(B12146=1," Seratus "," Ratus "))</f>
        <v>#REF!</v>
      </c>
      <c r="J12146" s="31">
        <v>24</v>
      </c>
      <c r="K12146" s="33" t="s">
        <v>94</v>
      </c>
      <c r="L12146" s="31" t="str">
        <f t="shared" si="1172"/>
        <v>Dua Puluh Empat</v>
      </c>
    </row>
    <row r="12147" spans="1:12">
      <c r="A12147" s="33" t="s">
        <v>81</v>
      </c>
      <c r="B12147" s="41" t="e">
        <f>TRUNC((A12120-SUM(C12142:C12146)))</f>
        <v>#REF!</v>
      </c>
      <c r="C12147" s="42" t="e">
        <f>B12147</f>
        <v>#REF!</v>
      </c>
      <c r="D12147" s="31" t="e">
        <f>IF(B12147&lt;1,"",VLOOKUP(B12147,$J$3:$L$102,3))</f>
        <v>#REF!</v>
      </c>
      <c r="E12147" s="31" t="e">
        <f>IF(SUM(C12142:C12147)&lt;1,"",IF(B12148&lt;1,""," Dan "))</f>
        <v>#REF!</v>
      </c>
      <c r="J12147" s="31">
        <v>25</v>
      </c>
      <c r="K12147" s="33" t="s">
        <v>95</v>
      </c>
      <c r="L12147" s="31" t="str">
        <f t="shared" si="1172"/>
        <v>Dua Puluh Lima</v>
      </c>
    </row>
    <row r="12148" spans="1:12">
      <c r="A12148" s="33" t="s">
        <v>83</v>
      </c>
      <c r="B12148" s="40" t="e">
        <f>ROUND(A12120-SUM(C12142:C12147),2)*100</f>
        <v>#REF!</v>
      </c>
      <c r="D12148" s="31" t="e">
        <f>IF(B12148&lt;1,"",VLOOKUP(B12148,$J$3:$L$102,3))</f>
        <v>#REF!</v>
      </c>
      <c r="E12148" s="31" t="e">
        <f>IF(B12148&lt;1,""," Sen ")</f>
        <v>#REF!</v>
      </c>
      <c r="J12148" s="31">
        <v>26</v>
      </c>
      <c r="K12148" s="33" t="s">
        <v>96</v>
      </c>
      <c r="L12148" s="31" t="str">
        <f t="shared" si="1172"/>
        <v>Dua Puluh Enam</v>
      </c>
    </row>
    <row r="12149" spans="1:12">
      <c r="J12149" s="31">
        <v>27</v>
      </c>
      <c r="K12149" s="33" t="s">
        <v>97</v>
      </c>
      <c r="L12149" s="31" t="str">
        <f t="shared" si="1172"/>
        <v>Dua Puluh Tujuh</v>
      </c>
    </row>
    <row r="12150" spans="1:12">
      <c r="J12150" s="31">
        <v>28</v>
      </c>
      <c r="K12150" s="33" t="s">
        <v>98</v>
      </c>
      <c r="L12150" s="31" t="str">
        <f t="shared" si="1172"/>
        <v>Dua Puluh Delapan</v>
      </c>
    </row>
    <row r="12151" spans="1:12">
      <c r="J12151" s="31">
        <v>29</v>
      </c>
      <c r="K12151" s="33" t="s">
        <v>99</v>
      </c>
      <c r="L12151" s="31" t="str">
        <f t="shared" si="1172"/>
        <v>Dua Puluh Sembilan</v>
      </c>
    </row>
    <row r="12152" spans="1:12">
      <c r="J12152" s="31">
        <v>30</v>
      </c>
      <c r="K12152" s="33" t="s">
        <v>100</v>
      </c>
      <c r="L12152" s="31" t="s">
        <v>101</v>
      </c>
    </row>
    <row r="12153" spans="1:12">
      <c r="J12153" s="31">
        <v>31</v>
      </c>
      <c r="K12153" s="33" t="s">
        <v>102</v>
      </c>
      <c r="L12153" s="31" t="str">
        <f t="shared" ref="L12153:L12161" si="1173">$L$33&amp;" "&amp;L12123</f>
        <v>Tiga Puluh Satu</v>
      </c>
    </row>
    <row r="12154" spans="1:12">
      <c r="J12154" s="31">
        <v>32</v>
      </c>
      <c r="K12154" s="33" t="s">
        <v>103</v>
      </c>
      <c r="L12154" s="31" t="str">
        <f t="shared" si="1173"/>
        <v>Tiga Puluh Dua</v>
      </c>
    </row>
    <row r="12155" spans="1:12">
      <c r="J12155" s="31">
        <v>33</v>
      </c>
      <c r="K12155" s="33" t="s">
        <v>104</v>
      </c>
      <c r="L12155" s="31" t="str">
        <f t="shared" si="1173"/>
        <v>Tiga Puluh Tiga</v>
      </c>
    </row>
    <row r="12156" spans="1:12">
      <c r="J12156" s="31">
        <v>34</v>
      </c>
      <c r="K12156" s="33" t="s">
        <v>105</v>
      </c>
      <c r="L12156" s="31" t="str">
        <f t="shared" si="1173"/>
        <v>Tiga Puluh Empat</v>
      </c>
    </row>
    <row r="12157" spans="1:12">
      <c r="J12157" s="31">
        <v>35</v>
      </c>
      <c r="K12157" s="33" t="s">
        <v>106</v>
      </c>
      <c r="L12157" s="31" t="str">
        <f t="shared" si="1173"/>
        <v>Tiga Puluh Lima</v>
      </c>
    </row>
    <row r="12158" spans="1:12">
      <c r="J12158" s="31">
        <v>36</v>
      </c>
      <c r="K12158" s="33" t="s">
        <v>107</v>
      </c>
      <c r="L12158" s="31" t="str">
        <f t="shared" si="1173"/>
        <v>Tiga Puluh Enam</v>
      </c>
    </row>
    <row r="12159" spans="1:12">
      <c r="J12159" s="31">
        <v>37</v>
      </c>
      <c r="K12159" s="33" t="s">
        <v>108</v>
      </c>
      <c r="L12159" s="31" t="str">
        <f t="shared" si="1173"/>
        <v>Tiga Puluh Tujuh</v>
      </c>
    </row>
    <row r="12160" spans="1:12">
      <c r="J12160" s="31">
        <v>38</v>
      </c>
      <c r="K12160" s="33" t="s">
        <v>109</v>
      </c>
      <c r="L12160" s="31" t="str">
        <f t="shared" si="1173"/>
        <v>Tiga Puluh Delapan</v>
      </c>
    </row>
    <row r="12161" spans="1:12">
      <c r="J12161" s="31">
        <v>39</v>
      </c>
      <c r="K12161" s="33" t="s">
        <v>110</v>
      </c>
      <c r="L12161" s="31" t="str">
        <f t="shared" si="1173"/>
        <v>Tiga Puluh Sembilan</v>
      </c>
    </row>
    <row r="12162" spans="1:12">
      <c r="B12162" s="35"/>
      <c r="C12162" s="35"/>
      <c r="D12162" s="35"/>
      <c r="J12162" s="31">
        <v>40</v>
      </c>
      <c r="K12162" s="33" t="s">
        <v>111</v>
      </c>
      <c r="L12162" s="31" t="s">
        <v>112</v>
      </c>
    </row>
    <row r="12163" spans="1:12">
      <c r="A12163" s="35"/>
      <c r="B12163" s="35"/>
      <c r="C12163" s="35"/>
      <c r="D12163" s="35"/>
      <c r="J12163" s="31">
        <v>41</v>
      </c>
      <c r="K12163" s="33" t="s">
        <v>113</v>
      </c>
      <c r="L12163" s="31" t="str">
        <f t="shared" ref="L12163:L12171" si="1174">$L$43&amp;" "&amp;L12123</f>
        <v>Empat Puluh Satu</v>
      </c>
    </row>
    <row r="12164" spans="1:12">
      <c r="J12164" s="31">
        <v>42</v>
      </c>
      <c r="K12164" s="33" t="s">
        <v>114</v>
      </c>
      <c r="L12164" s="31" t="str">
        <f t="shared" si="1174"/>
        <v>Empat Puluh Dua</v>
      </c>
    </row>
    <row r="12165" spans="1:12">
      <c r="A12165" s="38"/>
      <c r="J12165" s="31">
        <v>43</v>
      </c>
      <c r="K12165" s="33" t="s">
        <v>115</v>
      </c>
      <c r="L12165" s="31" t="str">
        <f t="shared" si="1174"/>
        <v>Empat Puluh Tiga</v>
      </c>
    </row>
    <row r="12166" spans="1:12">
      <c r="J12166" s="31">
        <v>44</v>
      </c>
      <c r="K12166" s="33" t="s">
        <v>116</v>
      </c>
      <c r="L12166" s="31" t="str">
        <f t="shared" si="1174"/>
        <v>Empat Puluh Empat</v>
      </c>
    </row>
    <row r="12167" spans="1:12">
      <c r="J12167" s="31">
        <v>45</v>
      </c>
      <c r="K12167" s="33" t="s">
        <v>117</v>
      </c>
      <c r="L12167" s="31" t="str">
        <f t="shared" si="1174"/>
        <v>Empat Puluh Lima</v>
      </c>
    </row>
    <row r="12168" spans="1:12">
      <c r="J12168" s="31">
        <v>46</v>
      </c>
      <c r="K12168" s="33" t="s">
        <v>118</v>
      </c>
      <c r="L12168" s="31" t="str">
        <f t="shared" si="1174"/>
        <v>Empat Puluh Enam</v>
      </c>
    </row>
    <row r="12169" spans="1:12">
      <c r="J12169" s="31">
        <v>47</v>
      </c>
      <c r="K12169" s="33" t="s">
        <v>119</v>
      </c>
      <c r="L12169" s="31" t="str">
        <f t="shared" si="1174"/>
        <v>Empat Puluh Tujuh</v>
      </c>
    </row>
    <row r="12170" spans="1:12">
      <c r="J12170" s="31">
        <v>48</v>
      </c>
      <c r="K12170" s="33" t="s">
        <v>120</v>
      </c>
      <c r="L12170" s="31" t="str">
        <f t="shared" si="1174"/>
        <v>Empat Puluh Delapan</v>
      </c>
    </row>
    <row r="12171" spans="1:12">
      <c r="J12171" s="31">
        <v>49</v>
      </c>
      <c r="K12171" s="33" t="s">
        <v>121</v>
      </c>
      <c r="L12171" s="31" t="str">
        <f t="shared" si="1174"/>
        <v>Empat Puluh Sembilan</v>
      </c>
    </row>
    <row r="12172" spans="1:12">
      <c r="J12172" s="31">
        <v>50</v>
      </c>
      <c r="K12172" s="33" t="s">
        <v>122</v>
      </c>
      <c r="L12172" s="31" t="s">
        <v>123</v>
      </c>
    </row>
    <row r="12173" spans="1:12">
      <c r="J12173" s="31">
        <v>51</v>
      </c>
      <c r="K12173" s="33" t="s">
        <v>124</v>
      </c>
      <c r="L12173" s="31" t="str">
        <f t="shared" ref="L12173:L12181" si="1175">$L$53&amp;" "&amp;L12123</f>
        <v>Lima Puluh Satu</v>
      </c>
    </row>
    <row r="12174" spans="1:12">
      <c r="J12174" s="31">
        <v>52</v>
      </c>
      <c r="K12174" s="33" t="s">
        <v>125</v>
      </c>
      <c r="L12174" s="31" t="str">
        <f t="shared" si="1175"/>
        <v>Lima Puluh Dua</v>
      </c>
    </row>
    <row r="12175" spans="1:12">
      <c r="J12175" s="31">
        <v>53</v>
      </c>
      <c r="K12175" s="33" t="s">
        <v>126</v>
      </c>
      <c r="L12175" s="31" t="str">
        <f t="shared" si="1175"/>
        <v>Lima Puluh Tiga</v>
      </c>
    </row>
    <row r="12176" spans="1:12">
      <c r="J12176" s="31">
        <v>54</v>
      </c>
      <c r="K12176" s="33" t="s">
        <v>127</v>
      </c>
      <c r="L12176" s="31" t="str">
        <f t="shared" si="1175"/>
        <v>Lima Puluh Empat</v>
      </c>
    </row>
    <row r="12177" spans="10:12">
      <c r="J12177" s="31">
        <v>55</v>
      </c>
      <c r="K12177" s="33" t="s">
        <v>128</v>
      </c>
      <c r="L12177" s="31" t="str">
        <f t="shared" si="1175"/>
        <v>Lima Puluh Lima</v>
      </c>
    </row>
    <row r="12178" spans="10:12">
      <c r="J12178" s="31">
        <v>56</v>
      </c>
      <c r="K12178" s="33" t="s">
        <v>129</v>
      </c>
      <c r="L12178" s="31" t="str">
        <f t="shared" si="1175"/>
        <v>Lima Puluh Enam</v>
      </c>
    </row>
    <row r="12179" spans="10:12">
      <c r="J12179" s="31">
        <v>57</v>
      </c>
      <c r="K12179" s="33" t="s">
        <v>130</v>
      </c>
      <c r="L12179" s="31" t="str">
        <f t="shared" si="1175"/>
        <v>Lima Puluh Tujuh</v>
      </c>
    </row>
    <row r="12180" spans="10:12">
      <c r="J12180" s="31">
        <v>58</v>
      </c>
      <c r="K12180" s="33" t="s">
        <v>131</v>
      </c>
      <c r="L12180" s="31" t="str">
        <f t="shared" si="1175"/>
        <v>Lima Puluh Delapan</v>
      </c>
    </row>
    <row r="12181" spans="10:12">
      <c r="J12181" s="31">
        <v>59</v>
      </c>
      <c r="K12181" s="33" t="s">
        <v>132</v>
      </c>
      <c r="L12181" s="31" t="str">
        <f t="shared" si="1175"/>
        <v>Lima Puluh Sembilan</v>
      </c>
    </row>
    <row r="12182" spans="10:12">
      <c r="J12182" s="31">
        <v>60</v>
      </c>
      <c r="K12182" s="33" t="s">
        <v>133</v>
      </c>
      <c r="L12182" s="31" t="s">
        <v>134</v>
      </c>
    </row>
    <row r="12183" spans="10:12">
      <c r="J12183" s="31">
        <v>61</v>
      </c>
      <c r="K12183" s="33" t="s">
        <v>135</v>
      </c>
      <c r="L12183" s="31" t="str">
        <f t="shared" ref="L12183:L12191" si="1176">$L$63&amp;" "&amp;L12123</f>
        <v>Enam Puluh Satu</v>
      </c>
    </row>
    <row r="12184" spans="10:12">
      <c r="J12184" s="31">
        <v>62</v>
      </c>
      <c r="K12184" s="33" t="s">
        <v>136</v>
      </c>
      <c r="L12184" s="31" t="str">
        <f t="shared" si="1176"/>
        <v>Enam Puluh Dua</v>
      </c>
    </row>
    <row r="12185" spans="10:12">
      <c r="J12185" s="31">
        <v>63</v>
      </c>
      <c r="K12185" s="33" t="s">
        <v>137</v>
      </c>
      <c r="L12185" s="31" t="str">
        <f t="shared" si="1176"/>
        <v>Enam Puluh Tiga</v>
      </c>
    </row>
    <row r="12186" spans="10:12">
      <c r="J12186" s="31">
        <v>64</v>
      </c>
      <c r="K12186" s="33" t="s">
        <v>138</v>
      </c>
      <c r="L12186" s="31" t="str">
        <f t="shared" si="1176"/>
        <v>Enam Puluh Empat</v>
      </c>
    </row>
    <row r="12187" spans="10:12">
      <c r="J12187" s="31">
        <v>65</v>
      </c>
      <c r="K12187" s="33" t="s">
        <v>139</v>
      </c>
      <c r="L12187" s="31" t="str">
        <f t="shared" si="1176"/>
        <v>Enam Puluh Lima</v>
      </c>
    </row>
    <row r="12188" spans="10:12">
      <c r="J12188" s="31">
        <v>66</v>
      </c>
      <c r="K12188" s="33" t="s">
        <v>140</v>
      </c>
      <c r="L12188" s="31" t="str">
        <f t="shared" si="1176"/>
        <v>Enam Puluh Enam</v>
      </c>
    </row>
    <row r="12189" spans="10:12">
      <c r="J12189" s="31">
        <v>67</v>
      </c>
      <c r="K12189" s="33" t="s">
        <v>141</v>
      </c>
      <c r="L12189" s="31" t="str">
        <f t="shared" si="1176"/>
        <v>Enam Puluh Tujuh</v>
      </c>
    </row>
    <row r="12190" spans="10:12">
      <c r="J12190" s="31">
        <v>68</v>
      </c>
      <c r="K12190" s="33" t="s">
        <v>142</v>
      </c>
      <c r="L12190" s="31" t="str">
        <f t="shared" si="1176"/>
        <v>Enam Puluh Delapan</v>
      </c>
    </row>
    <row r="12191" spans="10:12">
      <c r="J12191" s="31">
        <v>69</v>
      </c>
      <c r="K12191" s="33" t="s">
        <v>143</v>
      </c>
      <c r="L12191" s="31" t="str">
        <f t="shared" si="1176"/>
        <v>Enam Puluh Sembilan</v>
      </c>
    </row>
    <row r="12192" spans="10:12">
      <c r="J12192" s="31">
        <v>70</v>
      </c>
      <c r="K12192" s="33" t="s">
        <v>144</v>
      </c>
      <c r="L12192" s="31" t="s">
        <v>145</v>
      </c>
    </row>
    <row r="12193" spans="10:12">
      <c r="J12193" s="31">
        <v>71</v>
      </c>
      <c r="K12193" s="33" t="s">
        <v>146</v>
      </c>
      <c r="L12193" s="31" t="str">
        <f t="shared" ref="L12193:L12201" si="1177">$L$73&amp;" "&amp;L12123</f>
        <v>Tujuh Puluh Satu</v>
      </c>
    </row>
    <row r="12194" spans="10:12">
      <c r="J12194" s="31">
        <v>72</v>
      </c>
      <c r="K12194" s="33" t="s">
        <v>147</v>
      </c>
      <c r="L12194" s="31" t="str">
        <f t="shared" si="1177"/>
        <v>Tujuh Puluh Dua</v>
      </c>
    </row>
    <row r="12195" spans="10:12">
      <c r="J12195" s="31">
        <v>73</v>
      </c>
      <c r="K12195" s="33" t="s">
        <v>148</v>
      </c>
      <c r="L12195" s="31" t="str">
        <f t="shared" si="1177"/>
        <v>Tujuh Puluh Tiga</v>
      </c>
    </row>
    <row r="12196" spans="10:12">
      <c r="J12196" s="31">
        <v>74</v>
      </c>
      <c r="K12196" s="33" t="s">
        <v>149</v>
      </c>
      <c r="L12196" s="31" t="str">
        <f t="shared" si="1177"/>
        <v>Tujuh Puluh Empat</v>
      </c>
    </row>
    <row r="12197" spans="10:12">
      <c r="J12197" s="31">
        <v>75</v>
      </c>
      <c r="K12197" s="33" t="s">
        <v>150</v>
      </c>
      <c r="L12197" s="31" t="str">
        <f t="shared" si="1177"/>
        <v>Tujuh Puluh Lima</v>
      </c>
    </row>
    <row r="12198" spans="10:12">
      <c r="J12198" s="31">
        <v>76</v>
      </c>
      <c r="K12198" s="33" t="s">
        <v>151</v>
      </c>
      <c r="L12198" s="31" t="str">
        <f t="shared" si="1177"/>
        <v>Tujuh Puluh Enam</v>
      </c>
    </row>
    <row r="12199" spans="10:12">
      <c r="J12199" s="31">
        <v>77</v>
      </c>
      <c r="K12199" s="33" t="s">
        <v>152</v>
      </c>
      <c r="L12199" s="31" t="str">
        <f t="shared" si="1177"/>
        <v>Tujuh Puluh Tujuh</v>
      </c>
    </row>
    <row r="12200" spans="10:12">
      <c r="J12200" s="31">
        <v>78</v>
      </c>
      <c r="K12200" s="33" t="s">
        <v>153</v>
      </c>
      <c r="L12200" s="31" t="str">
        <f t="shared" si="1177"/>
        <v>Tujuh Puluh Delapan</v>
      </c>
    </row>
    <row r="12201" spans="10:12">
      <c r="J12201" s="31">
        <v>79</v>
      </c>
      <c r="K12201" s="33" t="s">
        <v>154</v>
      </c>
      <c r="L12201" s="31" t="str">
        <f t="shared" si="1177"/>
        <v>Tujuh Puluh Sembilan</v>
      </c>
    </row>
    <row r="12202" spans="10:12">
      <c r="J12202" s="31">
        <v>80</v>
      </c>
      <c r="K12202" s="33" t="s">
        <v>155</v>
      </c>
      <c r="L12202" s="31" t="s">
        <v>156</v>
      </c>
    </row>
    <row r="12203" spans="10:12">
      <c r="J12203" s="31">
        <v>81</v>
      </c>
      <c r="K12203" s="33" t="s">
        <v>157</v>
      </c>
      <c r="L12203" s="31" t="str">
        <f t="shared" ref="L12203:L12211" si="1178">$L$83&amp;" "&amp;L12123</f>
        <v>Delapan Puluh Satu</v>
      </c>
    </row>
    <row r="12204" spans="10:12">
      <c r="J12204" s="31">
        <v>82</v>
      </c>
      <c r="K12204" s="33" t="s">
        <v>158</v>
      </c>
      <c r="L12204" s="31" t="str">
        <f t="shared" si="1178"/>
        <v>Delapan Puluh Dua</v>
      </c>
    </row>
    <row r="12205" spans="10:12">
      <c r="J12205" s="31">
        <v>83</v>
      </c>
      <c r="K12205" s="33" t="s">
        <v>159</v>
      </c>
      <c r="L12205" s="31" t="str">
        <f t="shared" si="1178"/>
        <v>Delapan Puluh Tiga</v>
      </c>
    </row>
    <row r="12206" spans="10:12">
      <c r="J12206" s="31">
        <v>84</v>
      </c>
      <c r="K12206" s="33" t="s">
        <v>160</v>
      </c>
      <c r="L12206" s="31" t="str">
        <f t="shared" si="1178"/>
        <v>Delapan Puluh Empat</v>
      </c>
    </row>
    <row r="12207" spans="10:12">
      <c r="J12207" s="31">
        <v>85</v>
      </c>
      <c r="K12207" s="33" t="s">
        <v>161</v>
      </c>
      <c r="L12207" s="31" t="str">
        <f t="shared" si="1178"/>
        <v>Delapan Puluh Lima</v>
      </c>
    </row>
    <row r="12208" spans="10:12">
      <c r="J12208" s="31">
        <v>86</v>
      </c>
      <c r="K12208" s="33" t="s">
        <v>162</v>
      </c>
      <c r="L12208" s="31" t="str">
        <f t="shared" si="1178"/>
        <v>Delapan Puluh Enam</v>
      </c>
    </row>
    <row r="12209" spans="1:12">
      <c r="J12209" s="31">
        <v>87</v>
      </c>
      <c r="K12209" s="33" t="s">
        <v>163</v>
      </c>
      <c r="L12209" s="31" t="str">
        <f t="shared" si="1178"/>
        <v>Delapan Puluh Tujuh</v>
      </c>
    </row>
    <row r="12210" spans="1:12">
      <c r="J12210" s="31">
        <v>88</v>
      </c>
      <c r="K12210" s="33" t="s">
        <v>164</v>
      </c>
      <c r="L12210" s="31" t="str">
        <f t="shared" si="1178"/>
        <v>Delapan Puluh Delapan</v>
      </c>
    </row>
    <row r="12211" spans="1:12">
      <c r="J12211" s="31">
        <v>89</v>
      </c>
      <c r="K12211" s="33" t="s">
        <v>165</v>
      </c>
      <c r="L12211" s="31" t="str">
        <f t="shared" si="1178"/>
        <v>Delapan Puluh Sembilan</v>
      </c>
    </row>
    <row r="12212" spans="1:12">
      <c r="J12212" s="31">
        <v>90</v>
      </c>
      <c r="K12212" s="33" t="s">
        <v>166</v>
      </c>
      <c r="L12212" s="31" t="s">
        <v>167</v>
      </c>
    </row>
    <row r="12213" spans="1:12">
      <c r="J12213" s="31">
        <v>91</v>
      </c>
      <c r="K12213" s="33" t="s">
        <v>168</v>
      </c>
      <c r="L12213" s="31" t="str">
        <f t="shared" ref="L12213:L12221" si="1179">$L$93&amp;" "&amp;L12123</f>
        <v>Sembilan Puluh Satu</v>
      </c>
    </row>
    <row r="12214" spans="1:12">
      <c r="J12214" s="31">
        <v>92</v>
      </c>
      <c r="K12214" s="33" t="s">
        <v>169</v>
      </c>
      <c r="L12214" s="31" t="str">
        <f t="shared" si="1179"/>
        <v>Sembilan Puluh Dua</v>
      </c>
    </row>
    <row r="12215" spans="1:12">
      <c r="J12215" s="31">
        <v>93</v>
      </c>
      <c r="K12215" s="33" t="s">
        <v>170</v>
      </c>
      <c r="L12215" s="31" t="str">
        <f t="shared" si="1179"/>
        <v>Sembilan Puluh Tiga</v>
      </c>
    </row>
    <row r="12216" spans="1:12">
      <c r="J12216" s="31">
        <v>94</v>
      </c>
      <c r="K12216" s="33" t="s">
        <v>171</v>
      </c>
      <c r="L12216" s="31" t="str">
        <f t="shared" si="1179"/>
        <v>Sembilan Puluh Empat</v>
      </c>
    </row>
    <row r="12217" spans="1:12">
      <c r="J12217" s="31">
        <v>95</v>
      </c>
      <c r="K12217" s="33" t="s">
        <v>172</v>
      </c>
      <c r="L12217" s="31" t="str">
        <f t="shared" si="1179"/>
        <v>Sembilan Puluh Lima</v>
      </c>
    </row>
    <row r="12218" spans="1:12">
      <c r="J12218" s="31">
        <v>96</v>
      </c>
      <c r="K12218" s="33" t="s">
        <v>173</v>
      </c>
      <c r="L12218" s="31" t="str">
        <f t="shared" si="1179"/>
        <v>Sembilan Puluh Enam</v>
      </c>
    </row>
    <row r="12219" spans="1:12">
      <c r="J12219" s="31">
        <v>97</v>
      </c>
      <c r="K12219" s="33" t="s">
        <v>174</v>
      </c>
      <c r="L12219" s="31" t="str">
        <f t="shared" si="1179"/>
        <v>Sembilan Puluh Tujuh</v>
      </c>
    </row>
    <row r="12220" spans="1:12">
      <c r="J12220" s="31">
        <v>98</v>
      </c>
      <c r="K12220" s="33" t="s">
        <v>175</v>
      </c>
      <c r="L12220" s="31" t="str">
        <f t="shared" si="1179"/>
        <v>Sembilan Puluh Delapan</v>
      </c>
    </row>
    <row r="12221" spans="1:12">
      <c r="J12221" s="31">
        <v>99</v>
      </c>
      <c r="K12221" s="33" t="s">
        <v>176</v>
      </c>
      <c r="L12221" s="31" t="str">
        <f t="shared" si="1179"/>
        <v>Sembilan Puluh Sembilan</v>
      </c>
    </row>
    <row r="12224" spans="1:12">
      <c r="A12224" s="30" t="e">
        <f>#REF!</f>
        <v>#REF!</v>
      </c>
      <c r="C12224" s="31" t="s">
        <v>352</v>
      </c>
    </row>
    <row r="12225" spans="1:12">
      <c r="A12225" s="32"/>
    </row>
    <row r="12226" spans="1:12">
      <c r="J12226" s="31">
        <v>0</v>
      </c>
      <c r="K12226" s="33" t="s">
        <v>48</v>
      </c>
      <c r="L12226" s="31" t="s">
        <v>49</v>
      </c>
    </row>
    <row r="12227" spans="1:12">
      <c r="A12227" s="34"/>
      <c r="J12227" s="31">
        <v>1</v>
      </c>
      <c r="K12227" s="33" t="s">
        <v>50</v>
      </c>
      <c r="L12227" s="31" t="s">
        <v>51</v>
      </c>
    </row>
    <row r="12228" spans="1:12">
      <c r="A12228" s="255" t="e">
        <f>TRIM(D12236&amp;E12236&amp;D12237&amp;E12237&amp;D12238&amp;E12238&amp;D12239&amp;E12239&amp;D12240&amp;E12240&amp;D12241&amp;E12241&amp;E12242&amp;D12242&amp;" Only")</f>
        <v>#REF!</v>
      </c>
      <c r="B12228" s="255"/>
      <c r="C12228" s="255"/>
      <c r="D12228" s="255"/>
      <c r="E12228" s="35"/>
      <c r="F12228" s="36"/>
      <c r="J12228" s="31">
        <v>2</v>
      </c>
      <c r="K12228" s="33" t="s">
        <v>52</v>
      </c>
      <c r="L12228" s="31" t="s">
        <v>53</v>
      </c>
    </row>
    <row r="12229" spans="1:12">
      <c r="A12229" s="37"/>
      <c r="B12229" s="37"/>
      <c r="C12229" s="37"/>
      <c r="D12229" s="37"/>
      <c r="E12229" s="35"/>
      <c r="F12229" s="36"/>
      <c r="J12229" s="31">
        <v>3</v>
      </c>
      <c r="K12229" s="33" t="s">
        <v>54</v>
      </c>
      <c r="L12229" s="31" t="s">
        <v>55</v>
      </c>
    </row>
    <row r="12230" spans="1:12">
      <c r="A12230" s="37"/>
      <c r="B12230" s="37"/>
      <c r="C12230" s="37"/>
      <c r="D12230" s="37"/>
      <c r="J12230" s="31">
        <v>4</v>
      </c>
      <c r="K12230" s="33" t="s">
        <v>56</v>
      </c>
      <c r="L12230" s="31" t="s">
        <v>57</v>
      </c>
    </row>
    <row r="12231" spans="1:12">
      <c r="A12231" s="255" t="e">
        <f>TRIM(D12246&amp;E12246&amp;D12247&amp;E12247&amp;D12248&amp;E12248&amp;D12249&amp;E12249&amp;D12250&amp;E12250&amp;D12251&amp;E12251&amp;D12252&amp;E12252&amp;" Rupiah")</f>
        <v>#REF!</v>
      </c>
      <c r="B12231" s="255"/>
      <c r="C12231" s="255"/>
      <c r="D12231" s="255"/>
      <c r="E12231" s="35"/>
      <c r="F12231" s="36"/>
      <c r="J12231" s="31">
        <v>5</v>
      </c>
      <c r="K12231" s="33" t="s">
        <v>58</v>
      </c>
      <c r="L12231" s="31" t="s">
        <v>59</v>
      </c>
    </row>
    <row r="12232" spans="1:12">
      <c r="A12232" s="35"/>
      <c r="B12232" s="35"/>
      <c r="C12232" s="35"/>
      <c r="D12232" s="35"/>
      <c r="E12232" s="35"/>
      <c r="F12232" s="36"/>
      <c r="J12232" s="31">
        <v>6</v>
      </c>
      <c r="K12232" s="33" t="s">
        <v>60</v>
      </c>
      <c r="L12232" s="31" t="s">
        <v>61</v>
      </c>
    </row>
    <row r="12233" spans="1:12">
      <c r="J12233" s="31">
        <v>7</v>
      </c>
      <c r="K12233" s="33" t="s">
        <v>62</v>
      </c>
      <c r="L12233" s="31" t="s">
        <v>63</v>
      </c>
    </row>
    <row r="12234" spans="1:12">
      <c r="J12234" s="31">
        <v>8</v>
      </c>
      <c r="K12234" s="33" t="s">
        <v>64</v>
      </c>
      <c r="L12234" s="31" t="s">
        <v>65</v>
      </c>
    </row>
    <row r="12235" spans="1:12">
      <c r="A12235" s="38" t="s">
        <v>66</v>
      </c>
      <c r="J12235" s="31">
        <v>9</v>
      </c>
      <c r="K12235" s="33" t="s">
        <v>67</v>
      </c>
      <c r="L12235" s="31" t="s">
        <v>68</v>
      </c>
    </row>
    <row r="12236" spans="1:12">
      <c r="A12236" s="31" t="s">
        <v>69</v>
      </c>
      <c r="B12236" s="39" t="e">
        <f>TRUNC(A12224/100000000)</f>
        <v>#REF!</v>
      </c>
      <c r="C12236" s="31" t="e">
        <f>B12236*100000000</f>
        <v>#REF!</v>
      </c>
      <c r="D12236" s="31" t="e">
        <f t="shared" ref="D12236:D12242" si="1180">IF(B12236&lt;1,"",VLOOKUP(B12236,$J$3:$K$102,2))</f>
        <v>#REF!</v>
      </c>
      <c r="E12236" s="31" t="e">
        <f>IF(B12236&lt;1,"",IF(B12236&gt;1," Hundreds "," Hundred "))</f>
        <v>#REF!</v>
      </c>
      <c r="J12236" s="31">
        <v>10</v>
      </c>
      <c r="K12236" s="33" t="s">
        <v>70</v>
      </c>
      <c r="L12236" s="31" t="s">
        <v>71</v>
      </c>
    </row>
    <row r="12237" spans="1:12">
      <c r="A12237" s="31" t="s">
        <v>72</v>
      </c>
      <c r="B12237" s="39" t="e">
        <f>TRUNC((A12224-C12236)/1000000)</f>
        <v>#REF!</v>
      </c>
      <c r="C12237" s="31" t="e">
        <f>B12237*1000000</f>
        <v>#REF!</v>
      </c>
      <c r="D12237" s="31" t="e">
        <f t="shared" si="1180"/>
        <v>#REF!</v>
      </c>
      <c r="E12237" s="31" t="e">
        <f>IF(B12236+B12237=0,"",IF(B12237=1," Million "," Millions "))</f>
        <v>#REF!</v>
      </c>
      <c r="J12237" s="31">
        <v>11</v>
      </c>
      <c r="K12237" s="33" t="s">
        <v>73</v>
      </c>
      <c r="L12237" s="31" t="s">
        <v>74</v>
      </c>
    </row>
    <row r="12238" spans="1:12">
      <c r="A12238" s="31" t="s">
        <v>75</v>
      </c>
      <c r="B12238" s="39" t="e">
        <f>TRUNC((A12224-SUM(C12236:C12237))/100000)</f>
        <v>#REF!</v>
      </c>
      <c r="C12238" s="31" t="e">
        <f>B12238*100000</f>
        <v>#REF!</v>
      </c>
      <c r="D12238" s="31" t="e">
        <f t="shared" si="1180"/>
        <v>#REF!</v>
      </c>
      <c r="E12238" s="31" t="e">
        <f>IF(B12238&lt;1,"",IF(B12238&gt;1," Hundreds "," Hundred "))</f>
        <v>#REF!</v>
      </c>
      <c r="J12238" s="31">
        <v>12</v>
      </c>
      <c r="K12238" s="33" t="s">
        <v>76</v>
      </c>
      <c r="L12238" s="31" t="str">
        <f t="shared" ref="L12238:L12245" si="1181">L12228&amp;" Belas"</f>
        <v>Dua Belas</v>
      </c>
    </row>
    <row r="12239" spans="1:12">
      <c r="A12239" s="33" t="s">
        <v>77</v>
      </c>
      <c r="B12239" s="40" t="e">
        <f>TRUNC((A12224-SUM(C12236:C12238))/1000)</f>
        <v>#REF!</v>
      </c>
      <c r="C12239" s="31" t="e">
        <f>B12239*1000</f>
        <v>#REF!</v>
      </c>
      <c r="D12239" s="31" t="e">
        <f t="shared" si="1180"/>
        <v>#REF!</v>
      </c>
      <c r="E12239" s="31" t="e">
        <f>IF(B12238+B12239=0,"",IF(B12239=1," Thousand "," Thousands "))</f>
        <v>#REF!</v>
      </c>
      <c r="J12239" s="31">
        <v>13</v>
      </c>
      <c r="K12239" s="33" t="s">
        <v>78</v>
      </c>
      <c r="L12239" s="31" t="str">
        <f t="shared" si="1181"/>
        <v>Tiga Belas</v>
      </c>
    </row>
    <row r="12240" spans="1:12">
      <c r="A12240" s="33" t="s">
        <v>79</v>
      </c>
      <c r="B12240" s="40" t="e">
        <f>TRUNC((A12224-SUM(C12236:C12239))/100)</f>
        <v>#REF!</v>
      </c>
      <c r="C12240" s="31" t="e">
        <f>B12240*100</f>
        <v>#REF!</v>
      </c>
      <c r="D12240" s="31" t="e">
        <f t="shared" si="1180"/>
        <v>#REF!</v>
      </c>
      <c r="E12240" s="31" t="e">
        <f>IF(B12240&lt;1,"",IF(B12240&gt;1," Hundreds "," Hundred "))</f>
        <v>#REF!</v>
      </c>
      <c r="J12240" s="31">
        <v>14</v>
      </c>
      <c r="K12240" s="33" t="s">
        <v>80</v>
      </c>
      <c r="L12240" s="31" t="str">
        <f t="shared" si="1181"/>
        <v>Empat Belas</v>
      </c>
    </row>
    <row r="12241" spans="1:12">
      <c r="A12241" s="33" t="s">
        <v>81</v>
      </c>
      <c r="B12241" s="41" t="e">
        <f>TRUNC((A12224-SUM(C12236:C12240)))</f>
        <v>#REF!</v>
      </c>
      <c r="C12241" s="42" t="e">
        <f>B12241</f>
        <v>#REF!</v>
      </c>
      <c r="D12241" s="31" t="e">
        <f t="shared" si="1180"/>
        <v>#REF!</v>
      </c>
      <c r="E12241" s="31" t="e">
        <f>IF(SUM(C12236:C12241)&lt;1,"",IF(B12242&lt;1,""," And "))</f>
        <v>#REF!</v>
      </c>
      <c r="J12241" s="31">
        <v>15</v>
      </c>
      <c r="K12241" s="33" t="s">
        <v>82</v>
      </c>
      <c r="L12241" s="31" t="str">
        <f t="shared" si="1181"/>
        <v>Lima Belas</v>
      </c>
    </row>
    <row r="12242" spans="1:12">
      <c r="A12242" s="33" t="s">
        <v>83</v>
      </c>
      <c r="B12242" s="40" t="e">
        <f>ROUND(A12224-SUM(C12236:C12241),2)*100</f>
        <v>#REF!</v>
      </c>
      <c r="D12242" s="43" t="e">
        <f t="shared" si="1180"/>
        <v>#REF!</v>
      </c>
      <c r="E12242" s="31" t="e">
        <f>IF(B12242&lt;1,"",IF(B12242=1," Cent "," Cents "))</f>
        <v>#REF!</v>
      </c>
      <c r="J12242" s="31">
        <v>16</v>
      </c>
      <c r="K12242" s="33" t="s">
        <v>84</v>
      </c>
      <c r="L12242" s="31" t="str">
        <f t="shared" si="1181"/>
        <v>Enam Belas</v>
      </c>
    </row>
    <row r="12243" spans="1:12">
      <c r="J12243" s="31">
        <v>17</v>
      </c>
      <c r="K12243" s="33" t="s">
        <v>85</v>
      </c>
      <c r="L12243" s="31" t="str">
        <f t="shared" si="1181"/>
        <v>Tujuh Belas</v>
      </c>
    </row>
    <row r="12244" spans="1:12">
      <c r="A12244" s="44"/>
      <c r="J12244" s="31">
        <v>18</v>
      </c>
      <c r="K12244" s="33" t="s">
        <v>86</v>
      </c>
      <c r="L12244" s="31" t="str">
        <f t="shared" si="1181"/>
        <v>Delapan Belas</v>
      </c>
    </row>
    <row r="12245" spans="1:12">
      <c r="A12245" s="38" t="s">
        <v>87</v>
      </c>
      <c r="J12245" s="31">
        <v>19</v>
      </c>
      <c r="K12245" s="33" t="s">
        <v>88</v>
      </c>
      <c r="L12245" s="31" t="str">
        <f t="shared" si="1181"/>
        <v>Sembilan Belas</v>
      </c>
    </row>
    <row r="12246" spans="1:12">
      <c r="A12246" s="31" t="s">
        <v>69</v>
      </c>
      <c r="B12246" s="39" t="e">
        <f>TRUNC(A12224/100000000)</f>
        <v>#REF!</v>
      </c>
      <c r="C12246" s="31" t="e">
        <f>B12246*100000000</f>
        <v>#REF!</v>
      </c>
      <c r="D12246" s="31" t="e">
        <f>IF(B12246&lt;1,"",IF(B12246=1,"",VLOOKUP(B12246,$J$3:$L$102,3)))</f>
        <v>#REF!</v>
      </c>
      <c r="E12246" s="31" t="e">
        <f>IF(B12246&lt;1,"",IF(B12246=1,"Seratus "," Ratus "))</f>
        <v>#REF!</v>
      </c>
      <c r="J12246" s="31">
        <v>20</v>
      </c>
      <c r="K12246" s="33" t="s">
        <v>89</v>
      </c>
      <c r="L12246" s="31" t="s">
        <v>90</v>
      </c>
    </row>
    <row r="12247" spans="1:12">
      <c r="A12247" s="31" t="s">
        <v>72</v>
      </c>
      <c r="B12247" s="39" t="e">
        <f>TRUNC((A12224-C12246)/1000000)</f>
        <v>#REF!</v>
      </c>
      <c r="C12247" s="31" t="e">
        <f>B12247*1000000</f>
        <v>#REF!</v>
      </c>
      <c r="D12247" s="31" t="e">
        <f>IF(B12247&lt;1,"",VLOOKUP(B12247,$J$3:$L$102,3))</f>
        <v>#REF!</v>
      </c>
      <c r="E12247" s="31" t="e">
        <f>IF(B12246+B12247=0,""," Juta ")</f>
        <v>#REF!</v>
      </c>
      <c r="J12247" s="31">
        <v>21</v>
      </c>
      <c r="K12247" s="33" t="s">
        <v>91</v>
      </c>
      <c r="L12247" s="31" t="str">
        <f t="shared" ref="L12247:L12255" si="1182">$L$23&amp;" "&amp;L12227</f>
        <v>Dua Puluh Satu</v>
      </c>
    </row>
    <row r="12248" spans="1:12">
      <c r="A12248" s="31" t="s">
        <v>75</v>
      </c>
      <c r="B12248" s="39" t="e">
        <f>TRUNC((A12224-SUM(C12246:C12247))/100000)</f>
        <v>#REF!</v>
      </c>
      <c r="C12248" s="31" t="e">
        <f>B12248*100000</f>
        <v>#REF!</v>
      </c>
      <c r="D12248" s="31" t="e">
        <f>IF(B12248&lt;1,"",IF(B12248=1,"",VLOOKUP(B12248,$J$3:$L$102,3)))</f>
        <v>#REF!</v>
      </c>
      <c r="E12248" s="31" t="e">
        <f>IF(B12248&lt;1,"",IF(B12248=1," Seratus "," Ratus "))</f>
        <v>#REF!</v>
      </c>
      <c r="J12248" s="31">
        <v>22</v>
      </c>
      <c r="K12248" s="33" t="s">
        <v>92</v>
      </c>
      <c r="L12248" s="31" t="str">
        <f t="shared" si="1182"/>
        <v>Dua Puluh Dua</v>
      </c>
    </row>
    <row r="12249" spans="1:12">
      <c r="A12249" s="33" t="s">
        <v>77</v>
      </c>
      <c r="B12249" s="40" t="e">
        <f>TRUNC((A12224-SUM(C12246:C12248))/1000)</f>
        <v>#REF!</v>
      </c>
      <c r="C12249" s="31" t="e">
        <f>B12249*1000</f>
        <v>#REF!</v>
      </c>
      <c r="D12249" s="31" t="e">
        <f>IF(B12249&lt;1,"",IF(B12249=1,"",VLOOKUP(B12249,$J$3:$L$102,3)))</f>
        <v>#REF!</v>
      </c>
      <c r="E12249" s="31" t="e">
        <f>IF(B12248+B12249&lt;1,"",IF(B12249=1," Seribu "," Ribu "))</f>
        <v>#REF!</v>
      </c>
      <c r="J12249" s="31">
        <v>23</v>
      </c>
      <c r="K12249" s="33" t="s">
        <v>93</v>
      </c>
      <c r="L12249" s="31" t="str">
        <f t="shared" si="1182"/>
        <v>Dua Puluh Tiga</v>
      </c>
    </row>
    <row r="12250" spans="1:12">
      <c r="A12250" s="33" t="s">
        <v>79</v>
      </c>
      <c r="B12250" s="40" t="e">
        <f>TRUNC((A12224-SUM(C12246:C12249))/100)</f>
        <v>#REF!</v>
      </c>
      <c r="C12250" s="31" t="e">
        <f>B12250*100</f>
        <v>#REF!</v>
      </c>
      <c r="D12250" s="31" t="e">
        <f>IF(B12250&lt;1,"",IF(B12250=1,"",VLOOKUP(B12250,$J$3:$L$102,3)))</f>
        <v>#REF!</v>
      </c>
      <c r="E12250" s="31" t="e">
        <f>IF(B12250&lt;1,"",IF(B12250=1," Seratus "," Ratus "))</f>
        <v>#REF!</v>
      </c>
      <c r="J12250" s="31">
        <v>24</v>
      </c>
      <c r="K12250" s="33" t="s">
        <v>94</v>
      </c>
      <c r="L12250" s="31" t="str">
        <f t="shared" si="1182"/>
        <v>Dua Puluh Empat</v>
      </c>
    </row>
    <row r="12251" spans="1:12">
      <c r="A12251" s="33" t="s">
        <v>81</v>
      </c>
      <c r="B12251" s="41" t="e">
        <f>TRUNC((A12224-SUM(C12246:C12250)))</f>
        <v>#REF!</v>
      </c>
      <c r="C12251" s="42" t="e">
        <f>B12251</f>
        <v>#REF!</v>
      </c>
      <c r="D12251" s="31" t="e">
        <f>IF(B12251&lt;1,"",VLOOKUP(B12251,$J$3:$L$102,3))</f>
        <v>#REF!</v>
      </c>
      <c r="E12251" s="31" t="e">
        <f>IF(SUM(C12246:C12251)&lt;1,"",IF(B12252&lt;1,""," Dan "))</f>
        <v>#REF!</v>
      </c>
      <c r="J12251" s="31">
        <v>25</v>
      </c>
      <c r="K12251" s="33" t="s">
        <v>95</v>
      </c>
      <c r="L12251" s="31" t="str">
        <f t="shared" si="1182"/>
        <v>Dua Puluh Lima</v>
      </c>
    </row>
    <row r="12252" spans="1:12">
      <c r="A12252" s="33" t="s">
        <v>83</v>
      </c>
      <c r="B12252" s="40" t="e">
        <f>ROUND(A12224-SUM(C12246:C12251),2)*100</f>
        <v>#REF!</v>
      </c>
      <c r="D12252" s="31" t="e">
        <f>IF(B12252&lt;1,"",VLOOKUP(B12252,$J$3:$L$102,3))</f>
        <v>#REF!</v>
      </c>
      <c r="E12252" s="31" t="e">
        <f>IF(B12252&lt;1,""," Sen ")</f>
        <v>#REF!</v>
      </c>
      <c r="J12252" s="31">
        <v>26</v>
      </c>
      <c r="K12252" s="33" t="s">
        <v>96</v>
      </c>
      <c r="L12252" s="31" t="str">
        <f t="shared" si="1182"/>
        <v>Dua Puluh Enam</v>
      </c>
    </row>
    <row r="12253" spans="1:12">
      <c r="J12253" s="31">
        <v>27</v>
      </c>
      <c r="K12253" s="33" t="s">
        <v>97</v>
      </c>
      <c r="L12253" s="31" t="str">
        <f t="shared" si="1182"/>
        <v>Dua Puluh Tujuh</v>
      </c>
    </row>
    <row r="12254" spans="1:12">
      <c r="J12254" s="31">
        <v>28</v>
      </c>
      <c r="K12254" s="33" t="s">
        <v>98</v>
      </c>
      <c r="L12254" s="31" t="str">
        <f t="shared" si="1182"/>
        <v>Dua Puluh Delapan</v>
      </c>
    </row>
    <row r="12255" spans="1:12">
      <c r="J12255" s="31">
        <v>29</v>
      </c>
      <c r="K12255" s="33" t="s">
        <v>99</v>
      </c>
      <c r="L12255" s="31" t="str">
        <f t="shared" si="1182"/>
        <v>Dua Puluh Sembilan</v>
      </c>
    </row>
    <row r="12256" spans="1:12">
      <c r="J12256" s="31">
        <v>30</v>
      </c>
      <c r="K12256" s="33" t="s">
        <v>100</v>
      </c>
      <c r="L12256" s="31" t="s">
        <v>101</v>
      </c>
    </row>
    <row r="12257" spans="1:12">
      <c r="J12257" s="31">
        <v>31</v>
      </c>
      <c r="K12257" s="33" t="s">
        <v>102</v>
      </c>
      <c r="L12257" s="31" t="str">
        <f t="shared" ref="L12257:L12265" si="1183">$L$33&amp;" "&amp;L12227</f>
        <v>Tiga Puluh Satu</v>
      </c>
    </row>
    <row r="12258" spans="1:12">
      <c r="J12258" s="31">
        <v>32</v>
      </c>
      <c r="K12258" s="33" t="s">
        <v>103</v>
      </c>
      <c r="L12258" s="31" t="str">
        <f t="shared" si="1183"/>
        <v>Tiga Puluh Dua</v>
      </c>
    </row>
    <row r="12259" spans="1:12">
      <c r="J12259" s="31">
        <v>33</v>
      </c>
      <c r="K12259" s="33" t="s">
        <v>104</v>
      </c>
      <c r="L12259" s="31" t="str">
        <f t="shared" si="1183"/>
        <v>Tiga Puluh Tiga</v>
      </c>
    </row>
    <row r="12260" spans="1:12">
      <c r="J12260" s="31">
        <v>34</v>
      </c>
      <c r="K12260" s="33" t="s">
        <v>105</v>
      </c>
      <c r="L12260" s="31" t="str">
        <f t="shared" si="1183"/>
        <v>Tiga Puluh Empat</v>
      </c>
    </row>
    <row r="12261" spans="1:12">
      <c r="J12261" s="31">
        <v>35</v>
      </c>
      <c r="K12261" s="33" t="s">
        <v>106</v>
      </c>
      <c r="L12261" s="31" t="str">
        <f t="shared" si="1183"/>
        <v>Tiga Puluh Lima</v>
      </c>
    </row>
    <row r="12262" spans="1:12">
      <c r="J12262" s="31">
        <v>36</v>
      </c>
      <c r="K12262" s="33" t="s">
        <v>107</v>
      </c>
      <c r="L12262" s="31" t="str">
        <f t="shared" si="1183"/>
        <v>Tiga Puluh Enam</v>
      </c>
    </row>
    <row r="12263" spans="1:12">
      <c r="J12263" s="31">
        <v>37</v>
      </c>
      <c r="K12263" s="33" t="s">
        <v>108</v>
      </c>
      <c r="L12263" s="31" t="str">
        <f t="shared" si="1183"/>
        <v>Tiga Puluh Tujuh</v>
      </c>
    </row>
    <row r="12264" spans="1:12">
      <c r="J12264" s="31">
        <v>38</v>
      </c>
      <c r="K12264" s="33" t="s">
        <v>109</v>
      </c>
      <c r="L12264" s="31" t="str">
        <f t="shared" si="1183"/>
        <v>Tiga Puluh Delapan</v>
      </c>
    </row>
    <row r="12265" spans="1:12">
      <c r="J12265" s="31">
        <v>39</v>
      </c>
      <c r="K12265" s="33" t="s">
        <v>110</v>
      </c>
      <c r="L12265" s="31" t="str">
        <f t="shared" si="1183"/>
        <v>Tiga Puluh Sembilan</v>
      </c>
    </row>
    <row r="12266" spans="1:12">
      <c r="B12266" s="35"/>
      <c r="C12266" s="35"/>
      <c r="D12266" s="35"/>
      <c r="J12266" s="31">
        <v>40</v>
      </c>
      <c r="K12266" s="33" t="s">
        <v>111</v>
      </c>
      <c r="L12266" s="31" t="s">
        <v>112</v>
      </c>
    </row>
    <row r="12267" spans="1:12">
      <c r="A12267" s="35"/>
      <c r="B12267" s="35"/>
      <c r="C12267" s="35"/>
      <c r="D12267" s="35"/>
      <c r="J12267" s="31">
        <v>41</v>
      </c>
      <c r="K12267" s="33" t="s">
        <v>113</v>
      </c>
      <c r="L12267" s="31" t="str">
        <f t="shared" ref="L12267:L12275" si="1184">$L$43&amp;" "&amp;L12227</f>
        <v>Empat Puluh Satu</v>
      </c>
    </row>
    <row r="12268" spans="1:12">
      <c r="J12268" s="31">
        <v>42</v>
      </c>
      <c r="K12268" s="33" t="s">
        <v>114</v>
      </c>
      <c r="L12268" s="31" t="str">
        <f t="shared" si="1184"/>
        <v>Empat Puluh Dua</v>
      </c>
    </row>
    <row r="12269" spans="1:12">
      <c r="A12269" s="38"/>
      <c r="J12269" s="31">
        <v>43</v>
      </c>
      <c r="K12269" s="33" t="s">
        <v>115</v>
      </c>
      <c r="L12269" s="31" t="str">
        <f t="shared" si="1184"/>
        <v>Empat Puluh Tiga</v>
      </c>
    </row>
    <row r="12270" spans="1:12">
      <c r="J12270" s="31">
        <v>44</v>
      </c>
      <c r="K12270" s="33" t="s">
        <v>116</v>
      </c>
      <c r="L12270" s="31" t="str">
        <f t="shared" si="1184"/>
        <v>Empat Puluh Empat</v>
      </c>
    </row>
    <row r="12271" spans="1:12">
      <c r="J12271" s="31">
        <v>45</v>
      </c>
      <c r="K12271" s="33" t="s">
        <v>117</v>
      </c>
      <c r="L12271" s="31" t="str">
        <f t="shared" si="1184"/>
        <v>Empat Puluh Lima</v>
      </c>
    </row>
    <row r="12272" spans="1:12">
      <c r="J12272" s="31">
        <v>46</v>
      </c>
      <c r="K12272" s="33" t="s">
        <v>118</v>
      </c>
      <c r="L12272" s="31" t="str">
        <f t="shared" si="1184"/>
        <v>Empat Puluh Enam</v>
      </c>
    </row>
    <row r="12273" spans="10:12">
      <c r="J12273" s="31">
        <v>47</v>
      </c>
      <c r="K12273" s="33" t="s">
        <v>119</v>
      </c>
      <c r="L12273" s="31" t="str">
        <f t="shared" si="1184"/>
        <v>Empat Puluh Tujuh</v>
      </c>
    </row>
    <row r="12274" spans="10:12">
      <c r="J12274" s="31">
        <v>48</v>
      </c>
      <c r="K12274" s="33" t="s">
        <v>120</v>
      </c>
      <c r="L12274" s="31" t="str">
        <f t="shared" si="1184"/>
        <v>Empat Puluh Delapan</v>
      </c>
    </row>
    <row r="12275" spans="10:12">
      <c r="J12275" s="31">
        <v>49</v>
      </c>
      <c r="K12275" s="33" t="s">
        <v>121</v>
      </c>
      <c r="L12275" s="31" t="str">
        <f t="shared" si="1184"/>
        <v>Empat Puluh Sembilan</v>
      </c>
    </row>
    <row r="12276" spans="10:12">
      <c r="J12276" s="31">
        <v>50</v>
      </c>
      <c r="K12276" s="33" t="s">
        <v>122</v>
      </c>
      <c r="L12276" s="31" t="s">
        <v>123</v>
      </c>
    </row>
    <row r="12277" spans="10:12">
      <c r="J12277" s="31">
        <v>51</v>
      </c>
      <c r="K12277" s="33" t="s">
        <v>124</v>
      </c>
      <c r="L12277" s="31" t="str">
        <f t="shared" ref="L12277:L12285" si="1185">$L$53&amp;" "&amp;L12227</f>
        <v>Lima Puluh Satu</v>
      </c>
    </row>
    <row r="12278" spans="10:12">
      <c r="J12278" s="31">
        <v>52</v>
      </c>
      <c r="K12278" s="33" t="s">
        <v>125</v>
      </c>
      <c r="L12278" s="31" t="str">
        <f t="shared" si="1185"/>
        <v>Lima Puluh Dua</v>
      </c>
    </row>
    <row r="12279" spans="10:12">
      <c r="J12279" s="31">
        <v>53</v>
      </c>
      <c r="K12279" s="33" t="s">
        <v>126</v>
      </c>
      <c r="L12279" s="31" t="str">
        <f t="shared" si="1185"/>
        <v>Lima Puluh Tiga</v>
      </c>
    </row>
    <row r="12280" spans="10:12">
      <c r="J12280" s="31">
        <v>54</v>
      </c>
      <c r="K12280" s="33" t="s">
        <v>127</v>
      </c>
      <c r="L12280" s="31" t="str">
        <f t="shared" si="1185"/>
        <v>Lima Puluh Empat</v>
      </c>
    </row>
    <row r="12281" spans="10:12">
      <c r="J12281" s="31">
        <v>55</v>
      </c>
      <c r="K12281" s="33" t="s">
        <v>128</v>
      </c>
      <c r="L12281" s="31" t="str">
        <f t="shared" si="1185"/>
        <v>Lima Puluh Lima</v>
      </c>
    </row>
    <row r="12282" spans="10:12">
      <c r="J12282" s="31">
        <v>56</v>
      </c>
      <c r="K12282" s="33" t="s">
        <v>129</v>
      </c>
      <c r="L12282" s="31" t="str">
        <f t="shared" si="1185"/>
        <v>Lima Puluh Enam</v>
      </c>
    </row>
    <row r="12283" spans="10:12">
      <c r="J12283" s="31">
        <v>57</v>
      </c>
      <c r="K12283" s="33" t="s">
        <v>130</v>
      </c>
      <c r="L12283" s="31" t="str">
        <f t="shared" si="1185"/>
        <v>Lima Puluh Tujuh</v>
      </c>
    </row>
    <row r="12284" spans="10:12">
      <c r="J12284" s="31">
        <v>58</v>
      </c>
      <c r="K12284" s="33" t="s">
        <v>131</v>
      </c>
      <c r="L12284" s="31" t="str">
        <f t="shared" si="1185"/>
        <v>Lima Puluh Delapan</v>
      </c>
    </row>
    <row r="12285" spans="10:12">
      <c r="J12285" s="31">
        <v>59</v>
      </c>
      <c r="K12285" s="33" t="s">
        <v>132</v>
      </c>
      <c r="L12285" s="31" t="str">
        <f t="shared" si="1185"/>
        <v>Lima Puluh Sembilan</v>
      </c>
    </row>
    <row r="12286" spans="10:12">
      <c r="J12286" s="31">
        <v>60</v>
      </c>
      <c r="K12286" s="33" t="s">
        <v>133</v>
      </c>
      <c r="L12286" s="31" t="s">
        <v>134</v>
      </c>
    </row>
    <row r="12287" spans="10:12">
      <c r="J12287" s="31">
        <v>61</v>
      </c>
      <c r="K12287" s="33" t="s">
        <v>135</v>
      </c>
      <c r="L12287" s="31" t="str">
        <f t="shared" ref="L12287:L12295" si="1186">$L$63&amp;" "&amp;L12227</f>
        <v>Enam Puluh Satu</v>
      </c>
    </row>
    <row r="12288" spans="10:12">
      <c r="J12288" s="31">
        <v>62</v>
      </c>
      <c r="K12288" s="33" t="s">
        <v>136</v>
      </c>
      <c r="L12288" s="31" t="str">
        <f t="shared" si="1186"/>
        <v>Enam Puluh Dua</v>
      </c>
    </row>
    <row r="12289" spans="10:12">
      <c r="J12289" s="31">
        <v>63</v>
      </c>
      <c r="K12289" s="33" t="s">
        <v>137</v>
      </c>
      <c r="L12289" s="31" t="str">
        <f t="shared" si="1186"/>
        <v>Enam Puluh Tiga</v>
      </c>
    </row>
    <row r="12290" spans="10:12">
      <c r="J12290" s="31">
        <v>64</v>
      </c>
      <c r="K12290" s="33" t="s">
        <v>138</v>
      </c>
      <c r="L12290" s="31" t="str">
        <f t="shared" si="1186"/>
        <v>Enam Puluh Empat</v>
      </c>
    </row>
    <row r="12291" spans="10:12">
      <c r="J12291" s="31">
        <v>65</v>
      </c>
      <c r="K12291" s="33" t="s">
        <v>139</v>
      </c>
      <c r="L12291" s="31" t="str">
        <f t="shared" si="1186"/>
        <v>Enam Puluh Lima</v>
      </c>
    </row>
    <row r="12292" spans="10:12">
      <c r="J12292" s="31">
        <v>66</v>
      </c>
      <c r="K12292" s="33" t="s">
        <v>140</v>
      </c>
      <c r="L12292" s="31" t="str">
        <f t="shared" si="1186"/>
        <v>Enam Puluh Enam</v>
      </c>
    </row>
    <row r="12293" spans="10:12">
      <c r="J12293" s="31">
        <v>67</v>
      </c>
      <c r="K12293" s="33" t="s">
        <v>141</v>
      </c>
      <c r="L12293" s="31" t="str">
        <f t="shared" si="1186"/>
        <v>Enam Puluh Tujuh</v>
      </c>
    </row>
    <row r="12294" spans="10:12">
      <c r="J12294" s="31">
        <v>68</v>
      </c>
      <c r="K12294" s="33" t="s">
        <v>142</v>
      </c>
      <c r="L12294" s="31" t="str">
        <f t="shared" si="1186"/>
        <v>Enam Puluh Delapan</v>
      </c>
    </row>
    <row r="12295" spans="10:12">
      <c r="J12295" s="31">
        <v>69</v>
      </c>
      <c r="K12295" s="33" t="s">
        <v>143</v>
      </c>
      <c r="L12295" s="31" t="str">
        <f t="shared" si="1186"/>
        <v>Enam Puluh Sembilan</v>
      </c>
    </row>
    <row r="12296" spans="10:12">
      <c r="J12296" s="31">
        <v>70</v>
      </c>
      <c r="K12296" s="33" t="s">
        <v>144</v>
      </c>
      <c r="L12296" s="31" t="s">
        <v>145</v>
      </c>
    </row>
    <row r="12297" spans="10:12">
      <c r="J12297" s="31">
        <v>71</v>
      </c>
      <c r="K12297" s="33" t="s">
        <v>146</v>
      </c>
      <c r="L12297" s="31" t="str">
        <f t="shared" ref="L12297:L12305" si="1187">$L$73&amp;" "&amp;L12227</f>
        <v>Tujuh Puluh Satu</v>
      </c>
    </row>
    <row r="12298" spans="10:12">
      <c r="J12298" s="31">
        <v>72</v>
      </c>
      <c r="K12298" s="33" t="s">
        <v>147</v>
      </c>
      <c r="L12298" s="31" t="str">
        <f t="shared" si="1187"/>
        <v>Tujuh Puluh Dua</v>
      </c>
    </row>
    <row r="12299" spans="10:12">
      <c r="J12299" s="31">
        <v>73</v>
      </c>
      <c r="K12299" s="33" t="s">
        <v>148</v>
      </c>
      <c r="L12299" s="31" t="str">
        <f t="shared" si="1187"/>
        <v>Tujuh Puluh Tiga</v>
      </c>
    </row>
    <row r="12300" spans="10:12">
      <c r="J12300" s="31">
        <v>74</v>
      </c>
      <c r="K12300" s="33" t="s">
        <v>149</v>
      </c>
      <c r="L12300" s="31" t="str">
        <f t="shared" si="1187"/>
        <v>Tujuh Puluh Empat</v>
      </c>
    </row>
    <row r="12301" spans="10:12">
      <c r="J12301" s="31">
        <v>75</v>
      </c>
      <c r="K12301" s="33" t="s">
        <v>150</v>
      </c>
      <c r="L12301" s="31" t="str">
        <f t="shared" si="1187"/>
        <v>Tujuh Puluh Lima</v>
      </c>
    </row>
    <row r="12302" spans="10:12">
      <c r="J12302" s="31">
        <v>76</v>
      </c>
      <c r="K12302" s="33" t="s">
        <v>151</v>
      </c>
      <c r="L12302" s="31" t="str">
        <f t="shared" si="1187"/>
        <v>Tujuh Puluh Enam</v>
      </c>
    </row>
    <row r="12303" spans="10:12">
      <c r="J12303" s="31">
        <v>77</v>
      </c>
      <c r="K12303" s="33" t="s">
        <v>152</v>
      </c>
      <c r="L12303" s="31" t="str">
        <f t="shared" si="1187"/>
        <v>Tujuh Puluh Tujuh</v>
      </c>
    </row>
    <row r="12304" spans="10:12">
      <c r="J12304" s="31">
        <v>78</v>
      </c>
      <c r="K12304" s="33" t="s">
        <v>153</v>
      </c>
      <c r="L12304" s="31" t="str">
        <f t="shared" si="1187"/>
        <v>Tujuh Puluh Delapan</v>
      </c>
    </row>
    <row r="12305" spans="10:12">
      <c r="J12305" s="31">
        <v>79</v>
      </c>
      <c r="K12305" s="33" t="s">
        <v>154</v>
      </c>
      <c r="L12305" s="31" t="str">
        <f t="shared" si="1187"/>
        <v>Tujuh Puluh Sembilan</v>
      </c>
    </row>
    <row r="12306" spans="10:12">
      <c r="J12306" s="31">
        <v>80</v>
      </c>
      <c r="K12306" s="33" t="s">
        <v>155</v>
      </c>
      <c r="L12306" s="31" t="s">
        <v>156</v>
      </c>
    </row>
    <row r="12307" spans="10:12">
      <c r="J12307" s="31">
        <v>81</v>
      </c>
      <c r="K12307" s="33" t="s">
        <v>157</v>
      </c>
      <c r="L12307" s="31" t="str">
        <f t="shared" ref="L12307:L12315" si="1188">$L$83&amp;" "&amp;L12227</f>
        <v>Delapan Puluh Satu</v>
      </c>
    </row>
    <row r="12308" spans="10:12">
      <c r="J12308" s="31">
        <v>82</v>
      </c>
      <c r="K12308" s="33" t="s">
        <v>158</v>
      </c>
      <c r="L12308" s="31" t="str">
        <f t="shared" si="1188"/>
        <v>Delapan Puluh Dua</v>
      </c>
    </row>
    <row r="12309" spans="10:12">
      <c r="J12309" s="31">
        <v>83</v>
      </c>
      <c r="K12309" s="33" t="s">
        <v>159</v>
      </c>
      <c r="L12309" s="31" t="str">
        <f t="shared" si="1188"/>
        <v>Delapan Puluh Tiga</v>
      </c>
    </row>
    <row r="12310" spans="10:12">
      <c r="J12310" s="31">
        <v>84</v>
      </c>
      <c r="K12310" s="33" t="s">
        <v>160</v>
      </c>
      <c r="L12310" s="31" t="str">
        <f t="shared" si="1188"/>
        <v>Delapan Puluh Empat</v>
      </c>
    </row>
    <row r="12311" spans="10:12">
      <c r="J12311" s="31">
        <v>85</v>
      </c>
      <c r="K12311" s="33" t="s">
        <v>161</v>
      </c>
      <c r="L12311" s="31" t="str">
        <f t="shared" si="1188"/>
        <v>Delapan Puluh Lima</v>
      </c>
    </row>
    <row r="12312" spans="10:12">
      <c r="J12312" s="31">
        <v>86</v>
      </c>
      <c r="K12312" s="33" t="s">
        <v>162</v>
      </c>
      <c r="L12312" s="31" t="str">
        <f t="shared" si="1188"/>
        <v>Delapan Puluh Enam</v>
      </c>
    </row>
    <row r="12313" spans="10:12">
      <c r="J12313" s="31">
        <v>87</v>
      </c>
      <c r="K12313" s="33" t="s">
        <v>163</v>
      </c>
      <c r="L12313" s="31" t="str">
        <f t="shared" si="1188"/>
        <v>Delapan Puluh Tujuh</v>
      </c>
    </row>
    <row r="12314" spans="10:12">
      <c r="J12314" s="31">
        <v>88</v>
      </c>
      <c r="K12314" s="33" t="s">
        <v>164</v>
      </c>
      <c r="L12314" s="31" t="str">
        <f t="shared" si="1188"/>
        <v>Delapan Puluh Delapan</v>
      </c>
    </row>
    <row r="12315" spans="10:12">
      <c r="J12315" s="31">
        <v>89</v>
      </c>
      <c r="K12315" s="33" t="s">
        <v>165</v>
      </c>
      <c r="L12315" s="31" t="str">
        <f t="shared" si="1188"/>
        <v>Delapan Puluh Sembilan</v>
      </c>
    </row>
    <row r="12316" spans="10:12">
      <c r="J12316" s="31">
        <v>90</v>
      </c>
      <c r="K12316" s="33" t="s">
        <v>166</v>
      </c>
      <c r="L12316" s="31" t="s">
        <v>167</v>
      </c>
    </row>
    <row r="12317" spans="10:12">
      <c r="J12317" s="31">
        <v>91</v>
      </c>
      <c r="K12317" s="33" t="s">
        <v>168</v>
      </c>
      <c r="L12317" s="31" t="str">
        <f t="shared" ref="L12317:L12325" si="1189">$L$93&amp;" "&amp;L12227</f>
        <v>Sembilan Puluh Satu</v>
      </c>
    </row>
    <row r="12318" spans="10:12">
      <c r="J12318" s="31">
        <v>92</v>
      </c>
      <c r="K12318" s="33" t="s">
        <v>169</v>
      </c>
      <c r="L12318" s="31" t="str">
        <f t="shared" si="1189"/>
        <v>Sembilan Puluh Dua</v>
      </c>
    </row>
    <row r="12319" spans="10:12">
      <c r="J12319" s="31">
        <v>93</v>
      </c>
      <c r="K12319" s="33" t="s">
        <v>170</v>
      </c>
      <c r="L12319" s="31" t="str">
        <f t="shared" si="1189"/>
        <v>Sembilan Puluh Tiga</v>
      </c>
    </row>
    <row r="12320" spans="10:12">
      <c r="J12320" s="31">
        <v>94</v>
      </c>
      <c r="K12320" s="33" t="s">
        <v>171</v>
      </c>
      <c r="L12320" s="31" t="str">
        <f t="shared" si="1189"/>
        <v>Sembilan Puluh Empat</v>
      </c>
    </row>
    <row r="12321" spans="1:12">
      <c r="J12321" s="31">
        <v>95</v>
      </c>
      <c r="K12321" s="33" t="s">
        <v>172</v>
      </c>
      <c r="L12321" s="31" t="str">
        <f t="shared" si="1189"/>
        <v>Sembilan Puluh Lima</v>
      </c>
    </row>
    <row r="12322" spans="1:12">
      <c r="J12322" s="31">
        <v>96</v>
      </c>
      <c r="K12322" s="33" t="s">
        <v>173</v>
      </c>
      <c r="L12322" s="31" t="str">
        <f t="shared" si="1189"/>
        <v>Sembilan Puluh Enam</v>
      </c>
    </row>
    <row r="12323" spans="1:12">
      <c r="J12323" s="31">
        <v>97</v>
      </c>
      <c r="K12323" s="33" t="s">
        <v>174</v>
      </c>
      <c r="L12323" s="31" t="str">
        <f t="shared" si="1189"/>
        <v>Sembilan Puluh Tujuh</v>
      </c>
    </row>
    <row r="12324" spans="1:12">
      <c r="J12324" s="31">
        <v>98</v>
      </c>
      <c r="K12324" s="33" t="s">
        <v>175</v>
      </c>
      <c r="L12324" s="31" t="str">
        <f t="shared" si="1189"/>
        <v>Sembilan Puluh Delapan</v>
      </c>
    </row>
    <row r="12325" spans="1:12">
      <c r="J12325" s="31">
        <v>99</v>
      </c>
      <c r="K12325" s="33" t="s">
        <v>176</v>
      </c>
      <c r="L12325" s="31" t="str">
        <f t="shared" si="1189"/>
        <v>Sembilan Puluh Sembilan</v>
      </c>
    </row>
    <row r="12327" spans="1:12">
      <c r="A12327" s="30" t="e">
        <f>#REF!</f>
        <v>#REF!</v>
      </c>
      <c r="C12327" s="31" t="s">
        <v>353</v>
      </c>
    </row>
    <row r="12328" spans="1:12">
      <c r="A12328" s="32"/>
    </row>
    <row r="12329" spans="1:12">
      <c r="J12329" s="31">
        <v>0</v>
      </c>
      <c r="K12329" s="33" t="s">
        <v>48</v>
      </c>
      <c r="L12329" s="31" t="s">
        <v>49</v>
      </c>
    </row>
    <row r="12330" spans="1:12">
      <c r="A12330" s="34"/>
      <c r="J12330" s="31">
        <v>1</v>
      </c>
      <c r="K12330" s="33" t="s">
        <v>50</v>
      </c>
      <c r="L12330" s="31" t="s">
        <v>51</v>
      </c>
    </row>
    <row r="12331" spans="1:12">
      <c r="A12331" s="255" t="e">
        <f>TRIM(D12339&amp;E12339&amp;D12340&amp;E12340&amp;D12341&amp;E12341&amp;D12342&amp;E12342&amp;D12343&amp;E12343&amp;D12344&amp;E12344&amp;E12345&amp;D12345&amp;" Only")</f>
        <v>#REF!</v>
      </c>
      <c r="B12331" s="255"/>
      <c r="C12331" s="255"/>
      <c r="D12331" s="255"/>
      <c r="E12331" s="35"/>
      <c r="F12331" s="36"/>
      <c r="J12331" s="31">
        <v>2</v>
      </c>
      <c r="K12331" s="33" t="s">
        <v>52</v>
      </c>
      <c r="L12331" s="31" t="s">
        <v>53</v>
      </c>
    </row>
    <row r="12332" spans="1:12">
      <c r="A12332" s="37"/>
      <c r="B12332" s="37"/>
      <c r="C12332" s="37"/>
      <c r="D12332" s="37"/>
      <c r="E12332" s="35"/>
      <c r="F12332" s="36"/>
      <c r="J12332" s="31">
        <v>3</v>
      </c>
      <c r="K12332" s="33" t="s">
        <v>54</v>
      </c>
      <c r="L12332" s="31" t="s">
        <v>55</v>
      </c>
    </row>
    <row r="12333" spans="1:12">
      <c r="A12333" s="37"/>
      <c r="B12333" s="37"/>
      <c r="C12333" s="37"/>
      <c r="D12333" s="37"/>
      <c r="J12333" s="31">
        <v>4</v>
      </c>
      <c r="K12333" s="33" t="s">
        <v>56</v>
      </c>
      <c r="L12333" s="31" t="s">
        <v>57</v>
      </c>
    </row>
    <row r="12334" spans="1:12">
      <c r="A12334" s="255" t="e">
        <f>TRIM(D12349&amp;E12349&amp;D12350&amp;E12350&amp;D12351&amp;E12351&amp;D12352&amp;E12352&amp;D12353&amp;E12353&amp;D12354&amp;E12354&amp;D12355&amp;E12355&amp;" Rupiah")</f>
        <v>#REF!</v>
      </c>
      <c r="B12334" s="255"/>
      <c r="C12334" s="255"/>
      <c r="D12334" s="255"/>
      <c r="E12334" s="35"/>
      <c r="F12334" s="36"/>
      <c r="J12334" s="31">
        <v>5</v>
      </c>
      <c r="K12334" s="33" t="s">
        <v>58</v>
      </c>
      <c r="L12334" s="31" t="s">
        <v>59</v>
      </c>
    </row>
    <row r="12335" spans="1:12">
      <c r="A12335" s="35"/>
      <c r="B12335" s="35"/>
      <c r="C12335" s="35"/>
      <c r="D12335" s="35"/>
      <c r="E12335" s="35"/>
      <c r="F12335" s="36"/>
      <c r="J12335" s="31">
        <v>6</v>
      </c>
      <c r="K12335" s="33" t="s">
        <v>60</v>
      </c>
      <c r="L12335" s="31" t="s">
        <v>61</v>
      </c>
    </row>
    <row r="12336" spans="1:12">
      <c r="J12336" s="31">
        <v>7</v>
      </c>
      <c r="K12336" s="33" t="s">
        <v>62</v>
      </c>
      <c r="L12336" s="31" t="s">
        <v>63</v>
      </c>
    </row>
    <row r="12337" spans="1:12">
      <c r="J12337" s="31">
        <v>8</v>
      </c>
      <c r="K12337" s="33" t="s">
        <v>64</v>
      </c>
      <c r="L12337" s="31" t="s">
        <v>65</v>
      </c>
    </row>
    <row r="12338" spans="1:12">
      <c r="A12338" s="38" t="s">
        <v>66</v>
      </c>
      <c r="J12338" s="31">
        <v>9</v>
      </c>
      <c r="K12338" s="33" t="s">
        <v>67</v>
      </c>
      <c r="L12338" s="31" t="s">
        <v>68</v>
      </c>
    </row>
    <row r="12339" spans="1:12">
      <c r="A12339" s="31" t="s">
        <v>69</v>
      </c>
      <c r="B12339" s="39" t="e">
        <f>TRUNC(A12327/100000000)</f>
        <v>#REF!</v>
      </c>
      <c r="C12339" s="31" t="e">
        <f>B12339*100000000</f>
        <v>#REF!</v>
      </c>
      <c r="D12339" s="31" t="e">
        <f t="shared" ref="D12339:D12345" si="1190">IF(B12339&lt;1,"",VLOOKUP(B12339,$J$3:$K$102,2))</f>
        <v>#REF!</v>
      </c>
      <c r="E12339" s="31" t="e">
        <f>IF(B12339&lt;1,"",IF(B12339&gt;1," Hundreds "," Hundred "))</f>
        <v>#REF!</v>
      </c>
      <c r="J12339" s="31">
        <v>10</v>
      </c>
      <c r="K12339" s="33" t="s">
        <v>70</v>
      </c>
      <c r="L12339" s="31" t="s">
        <v>71</v>
      </c>
    </row>
    <row r="12340" spans="1:12">
      <c r="A12340" s="31" t="s">
        <v>72</v>
      </c>
      <c r="B12340" s="39" t="e">
        <f>TRUNC((A12327-C12339)/1000000)</f>
        <v>#REF!</v>
      </c>
      <c r="C12340" s="31" t="e">
        <f>B12340*1000000</f>
        <v>#REF!</v>
      </c>
      <c r="D12340" s="31" t="e">
        <f t="shared" si="1190"/>
        <v>#REF!</v>
      </c>
      <c r="E12340" s="31" t="e">
        <f>IF(B12339+B12340=0,"",IF(B12340=1," Million "," Millions "))</f>
        <v>#REF!</v>
      </c>
      <c r="J12340" s="31">
        <v>11</v>
      </c>
      <c r="K12340" s="33" t="s">
        <v>73</v>
      </c>
      <c r="L12340" s="31" t="s">
        <v>74</v>
      </c>
    </row>
    <row r="12341" spans="1:12">
      <c r="A12341" s="31" t="s">
        <v>75</v>
      </c>
      <c r="B12341" s="39" t="e">
        <f>TRUNC((A12327-SUM(C12339:C12340))/100000)</f>
        <v>#REF!</v>
      </c>
      <c r="C12341" s="31" t="e">
        <f>B12341*100000</f>
        <v>#REF!</v>
      </c>
      <c r="D12341" s="31" t="e">
        <f t="shared" si="1190"/>
        <v>#REF!</v>
      </c>
      <c r="E12341" s="31" t="e">
        <f>IF(B12341&lt;1,"",IF(B12341&gt;1," Hundreds "," Hundred "))</f>
        <v>#REF!</v>
      </c>
      <c r="J12341" s="31">
        <v>12</v>
      </c>
      <c r="K12341" s="33" t="s">
        <v>76</v>
      </c>
      <c r="L12341" s="31" t="str">
        <f t="shared" ref="L12341:L12348" si="1191">L12331&amp;" Belas"</f>
        <v>Dua Belas</v>
      </c>
    </row>
    <row r="12342" spans="1:12">
      <c r="A12342" s="33" t="s">
        <v>77</v>
      </c>
      <c r="B12342" s="40" t="e">
        <f>TRUNC((A12327-SUM(C12339:C12341))/1000)</f>
        <v>#REF!</v>
      </c>
      <c r="C12342" s="31" t="e">
        <f>B12342*1000</f>
        <v>#REF!</v>
      </c>
      <c r="D12342" s="31" t="e">
        <f t="shared" si="1190"/>
        <v>#REF!</v>
      </c>
      <c r="E12342" s="31" t="e">
        <f>IF(B12341+B12342=0,"",IF(B12342=1," Thousand "," Thousands "))</f>
        <v>#REF!</v>
      </c>
      <c r="J12342" s="31">
        <v>13</v>
      </c>
      <c r="K12342" s="33" t="s">
        <v>78</v>
      </c>
      <c r="L12342" s="31" t="str">
        <f t="shared" si="1191"/>
        <v>Tiga Belas</v>
      </c>
    </row>
    <row r="12343" spans="1:12">
      <c r="A12343" s="33" t="s">
        <v>79</v>
      </c>
      <c r="B12343" s="40" t="e">
        <f>TRUNC((A12327-SUM(C12339:C12342))/100)</f>
        <v>#REF!</v>
      </c>
      <c r="C12343" s="31" t="e">
        <f>B12343*100</f>
        <v>#REF!</v>
      </c>
      <c r="D12343" s="31" t="e">
        <f t="shared" si="1190"/>
        <v>#REF!</v>
      </c>
      <c r="E12343" s="31" t="e">
        <f>IF(B12343&lt;1,"",IF(B12343&gt;1," Hundreds "," Hundred "))</f>
        <v>#REF!</v>
      </c>
      <c r="J12343" s="31">
        <v>14</v>
      </c>
      <c r="K12343" s="33" t="s">
        <v>80</v>
      </c>
      <c r="L12343" s="31" t="str">
        <f t="shared" si="1191"/>
        <v>Empat Belas</v>
      </c>
    </row>
    <row r="12344" spans="1:12">
      <c r="A12344" s="33" t="s">
        <v>81</v>
      </c>
      <c r="B12344" s="41" t="e">
        <f>TRUNC((A12327-SUM(C12339:C12343)))</f>
        <v>#REF!</v>
      </c>
      <c r="C12344" s="42" t="e">
        <f>B12344</f>
        <v>#REF!</v>
      </c>
      <c r="D12344" s="31" t="e">
        <f t="shared" si="1190"/>
        <v>#REF!</v>
      </c>
      <c r="E12344" s="31" t="e">
        <f>IF(SUM(C12339:C12344)&lt;1,"",IF(B12345&lt;1,""," And "))</f>
        <v>#REF!</v>
      </c>
      <c r="J12344" s="31">
        <v>15</v>
      </c>
      <c r="K12344" s="33" t="s">
        <v>82</v>
      </c>
      <c r="L12344" s="31" t="str">
        <f t="shared" si="1191"/>
        <v>Lima Belas</v>
      </c>
    </row>
    <row r="12345" spans="1:12">
      <c r="A12345" s="33" t="s">
        <v>83</v>
      </c>
      <c r="B12345" s="40" t="e">
        <f>ROUND(A12327-SUM(C12339:C12344),2)*100</f>
        <v>#REF!</v>
      </c>
      <c r="D12345" s="43" t="e">
        <f t="shared" si="1190"/>
        <v>#REF!</v>
      </c>
      <c r="E12345" s="31" t="e">
        <f>IF(B12345&lt;1,"",IF(B12345=1," Cent "," Cents "))</f>
        <v>#REF!</v>
      </c>
      <c r="J12345" s="31">
        <v>16</v>
      </c>
      <c r="K12345" s="33" t="s">
        <v>84</v>
      </c>
      <c r="L12345" s="31" t="str">
        <f t="shared" si="1191"/>
        <v>Enam Belas</v>
      </c>
    </row>
    <row r="12346" spans="1:12">
      <c r="J12346" s="31">
        <v>17</v>
      </c>
      <c r="K12346" s="33" t="s">
        <v>85</v>
      </c>
      <c r="L12346" s="31" t="str">
        <f t="shared" si="1191"/>
        <v>Tujuh Belas</v>
      </c>
    </row>
    <row r="12347" spans="1:12">
      <c r="A12347" s="44"/>
      <c r="J12347" s="31">
        <v>18</v>
      </c>
      <c r="K12347" s="33" t="s">
        <v>86</v>
      </c>
      <c r="L12347" s="31" t="str">
        <f t="shared" si="1191"/>
        <v>Delapan Belas</v>
      </c>
    </row>
    <row r="12348" spans="1:12">
      <c r="A12348" s="38" t="s">
        <v>87</v>
      </c>
      <c r="J12348" s="31">
        <v>19</v>
      </c>
      <c r="K12348" s="33" t="s">
        <v>88</v>
      </c>
      <c r="L12348" s="31" t="str">
        <f t="shared" si="1191"/>
        <v>Sembilan Belas</v>
      </c>
    </row>
    <row r="12349" spans="1:12">
      <c r="A12349" s="31" t="s">
        <v>69</v>
      </c>
      <c r="B12349" s="39" t="e">
        <f>TRUNC(A12327/100000000)</f>
        <v>#REF!</v>
      </c>
      <c r="C12349" s="31" t="e">
        <f>B12349*100000000</f>
        <v>#REF!</v>
      </c>
      <c r="D12349" s="31" t="e">
        <f>IF(B12349&lt;1,"",IF(B12349=1,"",VLOOKUP(B12349,$J$3:$L$102,3)))</f>
        <v>#REF!</v>
      </c>
      <c r="E12349" s="31" t="e">
        <f>IF(B12349&lt;1,"",IF(B12349=1,"Seratus "," Ratus "))</f>
        <v>#REF!</v>
      </c>
      <c r="J12349" s="31">
        <v>20</v>
      </c>
      <c r="K12349" s="33" t="s">
        <v>89</v>
      </c>
      <c r="L12349" s="31" t="s">
        <v>90</v>
      </c>
    </row>
    <row r="12350" spans="1:12">
      <c r="A12350" s="31" t="s">
        <v>72</v>
      </c>
      <c r="B12350" s="39" t="e">
        <f>TRUNC((A12327-C12349)/1000000)</f>
        <v>#REF!</v>
      </c>
      <c r="C12350" s="31" t="e">
        <f>B12350*1000000</f>
        <v>#REF!</v>
      </c>
      <c r="D12350" s="31" t="e">
        <f>IF(B12350&lt;1,"",VLOOKUP(B12350,$J$3:$L$102,3))</f>
        <v>#REF!</v>
      </c>
      <c r="E12350" s="31" t="e">
        <f>IF(B12349+B12350=0,""," Juta ")</f>
        <v>#REF!</v>
      </c>
      <c r="J12350" s="31">
        <v>21</v>
      </c>
      <c r="K12350" s="33" t="s">
        <v>91</v>
      </c>
      <c r="L12350" s="31" t="str">
        <f t="shared" ref="L12350:L12358" si="1192">$L$23&amp;" "&amp;L12330</f>
        <v>Dua Puluh Satu</v>
      </c>
    </row>
    <row r="12351" spans="1:12">
      <c r="A12351" s="31" t="s">
        <v>75</v>
      </c>
      <c r="B12351" s="39" t="e">
        <f>TRUNC((A12327-SUM(C12349:C12350))/100000)</f>
        <v>#REF!</v>
      </c>
      <c r="C12351" s="31" t="e">
        <f>B12351*100000</f>
        <v>#REF!</v>
      </c>
      <c r="D12351" s="31" t="e">
        <f>IF(B12351&lt;1,"",IF(B12351=1,"",VLOOKUP(B12351,$J$3:$L$102,3)))</f>
        <v>#REF!</v>
      </c>
      <c r="E12351" s="31" t="e">
        <f>IF(B12351&lt;1,"",IF(B12351=1," Seratus "," Ratus "))</f>
        <v>#REF!</v>
      </c>
      <c r="J12351" s="31">
        <v>22</v>
      </c>
      <c r="K12351" s="33" t="s">
        <v>92</v>
      </c>
      <c r="L12351" s="31" t="str">
        <f t="shared" si="1192"/>
        <v>Dua Puluh Dua</v>
      </c>
    </row>
    <row r="12352" spans="1:12">
      <c r="A12352" s="33" t="s">
        <v>77</v>
      </c>
      <c r="B12352" s="40" t="e">
        <f>TRUNC((A12327-SUM(C12349:C12351))/1000)</f>
        <v>#REF!</v>
      </c>
      <c r="C12352" s="31" t="e">
        <f>B12352*1000</f>
        <v>#REF!</v>
      </c>
      <c r="D12352" s="31" t="e">
        <f>IF(B12352&lt;1,"",IF(B12352=1,"",VLOOKUP(B12352,$J$3:$L$102,3)))</f>
        <v>#REF!</v>
      </c>
      <c r="E12352" s="31" t="e">
        <f>IF(B12351+B12352&lt;1,"",IF(B12352=1," Seribu "," Ribu "))</f>
        <v>#REF!</v>
      </c>
      <c r="J12352" s="31">
        <v>23</v>
      </c>
      <c r="K12352" s="33" t="s">
        <v>93</v>
      </c>
      <c r="L12352" s="31" t="str">
        <f t="shared" si="1192"/>
        <v>Dua Puluh Tiga</v>
      </c>
    </row>
    <row r="12353" spans="1:12">
      <c r="A12353" s="33" t="s">
        <v>79</v>
      </c>
      <c r="B12353" s="40" t="e">
        <f>TRUNC((A12327-SUM(C12349:C12352))/100)</f>
        <v>#REF!</v>
      </c>
      <c r="C12353" s="31" t="e">
        <f>B12353*100</f>
        <v>#REF!</v>
      </c>
      <c r="D12353" s="31" t="e">
        <f>IF(B12353&lt;1,"",IF(B12353=1,"",VLOOKUP(B12353,$J$3:$L$102,3)))</f>
        <v>#REF!</v>
      </c>
      <c r="E12353" s="31" t="e">
        <f>IF(B12353&lt;1,"",IF(B12353=1," Seratus "," Ratus "))</f>
        <v>#REF!</v>
      </c>
      <c r="J12353" s="31">
        <v>24</v>
      </c>
      <c r="K12353" s="33" t="s">
        <v>94</v>
      </c>
      <c r="L12353" s="31" t="str">
        <f t="shared" si="1192"/>
        <v>Dua Puluh Empat</v>
      </c>
    </row>
    <row r="12354" spans="1:12">
      <c r="A12354" s="33" t="s">
        <v>81</v>
      </c>
      <c r="B12354" s="41" t="e">
        <f>TRUNC((A12327-SUM(C12349:C12353)))</f>
        <v>#REF!</v>
      </c>
      <c r="C12354" s="42" t="e">
        <f>B12354</f>
        <v>#REF!</v>
      </c>
      <c r="D12354" s="31" t="e">
        <f>IF(B12354&lt;1,"",VLOOKUP(B12354,$J$3:$L$102,3))</f>
        <v>#REF!</v>
      </c>
      <c r="E12354" s="31" t="e">
        <f>IF(SUM(C12349:C12354)&lt;1,"",IF(B12355&lt;1,""," Dan "))</f>
        <v>#REF!</v>
      </c>
      <c r="J12354" s="31">
        <v>25</v>
      </c>
      <c r="K12354" s="33" t="s">
        <v>95</v>
      </c>
      <c r="L12354" s="31" t="str">
        <f t="shared" si="1192"/>
        <v>Dua Puluh Lima</v>
      </c>
    </row>
    <row r="12355" spans="1:12">
      <c r="A12355" s="33" t="s">
        <v>83</v>
      </c>
      <c r="B12355" s="40" t="e">
        <f>ROUND(A12327-SUM(C12349:C12354),2)*100</f>
        <v>#REF!</v>
      </c>
      <c r="D12355" s="31" t="e">
        <f>IF(B12355&lt;1,"",VLOOKUP(B12355,$J$3:$L$102,3))</f>
        <v>#REF!</v>
      </c>
      <c r="E12355" s="31" t="e">
        <f>IF(B12355&lt;1,""," Sen ")</f>
        <v>#REF!</v>
      </c>
      <c r="J12355" s="31">
        <v>26</v>
      </c>
      <c r="K12355" s="33" t="s">
        <v>96</v>
      </c>
      <c r="L12355" s="31" t="str">
        <f t="shared" si="1192"/>
        <v>Dua Puluh Enam</v>
      </c>
    </row>
    <row r="12356" spans="1:12">
      <c r="J12356" s="31">
        <v>27</v>
      </c>
      <c r="K12356" s="33" t="s">
        <v>97</v>
      </c>
      <c r="L12356" s="31" t="str">
        <f t="shared" si="1192"/>
        <v>Dua Puluh Tujuh</v>
      </c>
    </row>
    <row r="12357" spans="1:12">
      <c r="J12357" s="31">
        <v>28</v>
      </c>
      <c r="K12357" s="33" t="s">
        <v>98</v>
      </c>
      <c r="L12357" s="31" t="str">
        <f t="shared" si="1192"/>
        <v>Dua Puluh Delapan</v>
      </c>
    </row>
    <row r="12358" spans="1:12">
      <c r="J12358" s="31">
        <v>29</v>
      </c>
      <c r="K12358" s="33" t="s">
        <v>99</v>
      </c>
      <c r="L12358" s="31" t="str">
        <f t="shared" si="1192"/>
        <v>Dua Puluh Sembilan</v>
      </c>
    </row>
    <row r="12359" spans="1:12">
      <c r="J12359" s="31">
        <v>30</v>
      </c>
      <c r="K12359" s="33" t="s">
        <v>100</v>
      </c>
      <c r="L12359" s="31" t="s">
        <v>101</v>
      </c>
    </row>
    <row r="12360" spans="1:12">
      <c r="J12360" s="31">
        <v>31</v>
      </c>
      <c r="K12360" s="33" t="s">
        <v>102</v>
      </c>
      <c r="L12360" s="31" t="str">
        <f t="shared" ref="L12360:L12368" si="1193">$L$33&amp;" "&amp;L12330</f>
        <v>Tiga Puluh Satu</v>
      </c>
    </row>
    <row r="12361" spans="1:12">
      <c r="J12361" s="31">
        <v>32</v>
      </c>
      <c r="K12361" s="33" t="s">
        <v>103</v>
      </c>
      <c r="L12361" s="31" t="str">
        <f t="shared" si="1193"/>
        <v>Tiga Puluh Dua</v>
      </c>
    </row>
    <row r="12362" spans="1:12">
      <c r="J12362" s="31">
        <v>33</v>
      </c>
      <c r="K12362" s="33" t="s">
        <v>104</v>
      </c>
      <c r="L12362" s="31" t="str">
        <f t="shared" si="1193"/>
        <v>Tiga Puluh Tiga</v>
      </c>
    </row>
    <row r="12363" spans="1:12">
      <c r="J12363" s="31">
        <v>34</v>
      </c>
      <c r="K12363" s="33" t="s">
        <v>105</v>
      </c>
      <c r="L12363" s="31" t="str">
        <f t="shared" si="1193"/>
        <v>Tiga Puluh Empat</v>
      </c>
    </row>
    <row r="12364" spans="1:12">
      <c r="J12364" s="31">
        <v>35</v>
      </c>
      <c r="K12364" s="33" t="s">
        <v>106</v>
      </c>
      <c r="L12364" s="31" t="str">
        <f t="shared" si="1193"/>
        <v>Tiga Puluh Lima</v>
      </c>
    </row>
    <row r="12365" spans="1:12">
      <c r="J12365" s="31">
        <v>36</v>
      </c>
      <c r="K12365" s="33" t="s">
        <v>107</v>
      </c>
      <c r="L12365" s="31" t="str">
        <f t="shared" si="1193"/>
        <v>Tiga Puluh Enam</v>
      </c>
    </row>
    <row r="12366" spans="1:12">
      <c r="J12366" s="31">
        <v>37</v>
      </c>
      <c r="K12366" s="33" t="s">
        <v>108</v>
      </c>
      <c r="L12366" s="31" t="str">
        <f t="shared" si="1193"/>
        <v>Tiga Puluh Tujuh</v>
      </c>
    </row>
    <row r="12367" spans="1:12">
      <c r="J12367" s="31">
        <v>38</v>
      </c>
      <c r="K12367" s="33" t="s">
        <v>109</v>
      </c>
      <c r="L12367" s="31" t="str">
        <f t="shared" si="1193"/>
        <v>Tiga Puluh Delapan</v>
      </c>
    </row>
    <row r="12368" spans="1:12">
      <c r="J12368" s="31">
        <v>39</v>
      </c>
      <c r="K12368" s="33" t="s">
        <v>110</v>
      </c>
      <c r="L12368" s="31" t="str">
        <f t="shared" si="1193"/>
        <v>Tiga Puluh Sembilan</v>
      </c>
    </row>
    <row r="12369" spans="1:12">
      <c r="B12369" s="35"/>
      <c r="C12369" s="35"/>
      <c r="D12369" s="35"/>
      <c r="J12369" s="31">
        <v>40</v>
      </c>
      <c r="K12369" s="33" t="s">
        <v>111</v>
      </c>
      <c r="L12369" s="31" t="s">
        <v>112</v>
      </c>
    </row>
    <row r="12370" spans="1:12">
      <c r="A12370" s="35"/>
      <c r="B12370" s="35"/>
      <c r="C12370" s="35"/>
      <c r="D12370" s="35"/>
      <c r="J12370" s="31">
        <v>41</v>
      </c>
      <c r="K12370" s="33" t="s">
        <v>113</v>
      </c>
      <c r="L12370" s="31" t="str">
        <f t="shared" ref="L12370:L12378" si="1194">$L$43&amp;" "&amp;L12330</f>
        <v>Empat Puluh Satu</v>
      </c>
    </row>
    <row r="12371" spans="1:12">
      <c r="J12371" s="31">
        <v>42</v>
      </c>
      <c r="K12371" s="33" t="s">
        <v>114</v>
      </c>
      <c r="L12371" s="31" t="str">
        <f t="shared" si="1194"/>
        <v>Empat Puluh Dua</v>
      </c>
    </row>
    <row r="12372" spans="1:12">
      <c r="A12372" s="38"/>
      <c r="J12372" s="31">
        <v>43</v>
      </c>
      <c r="K12372" s="33" t="s">
        <v>115</v>
      </c>
      <c r="L12372" s="31" t="str">
        <f t="shared" si="1194"/>
        <v>Empat Puluh Tiga</v>
      </c>
    </row>
    <row r="12373" spans="1:12">
      <c r="J12373" s="31">
        <v>44</v>
      </c>
      <c r="K12373" s="33" t="s">
        <v>116</v>
      </c>
      <c r="L12373" s="31" t="str">
        <f t="shared" si="1194"/>
        <v>Empat Puluh Empat</v>
      </c>
    </row>
    <row r="12374" spans="1:12">
      <c r="J12374" s="31">
        <v>45</v>
      </c>
      <c r="K12374" s="33" t="s">
        <v>117</v>
      </c>
      <c r="L12374" s="31" t="str">
        <f t="shared" si="1194"/>
        <v>Empat Puluh Lima</v>
      </c>
    </row>
    <row r="12375" spans="1:12">
      <c r="J12375" s="31">
        <v>46</v>
      </c>
      <c r="K12375" s="33" t="s">
        <v>118</v>
      </c>
      <c r="L12375" s="31" t="str">
        <f t="shared" si="1194"/>
        <v>Empat Puluh Enam</v>
      </c>
    </row>
    <row r="12376" spans="1:12">
      <c r="J12376" s="31">
        <v>47</v>
      </c>
      <c r="K12376" s="33" t="s">
        <v>119</v>
      </c>
      <c r="L12376" s="31" t="str">
        <f t="shared" si="1194"/>
        <v>Empat Puluh Tujuh</v>
      </c>
    </row>
    <row r="12377" spans="1:12">
      <c r="J12377" s="31">
        <v>48</v>
      </c>
      <c r="K12377" s="33" t="s">
        <v>120</v>
      </c>
      <c r="L12377" s="31" t="str">
        <f t="shared" si="1194"/>
        <v>Empat Puluh Delapan</v>
      </c>
    </row>
    <row r="12378" spans="1:12">
      <c r="J12378" s="31">
        <v>49</v>
      </c>
      <c r="K12378" s="33" t="s">
        <v>121</v>
      </c>
      <c r="L12378" s="31" t="str">
        <f t="shared" si="1194"/>
        <v>Empat Puluh Sembilan</v>
      </c>
    </row>
    <row r="12379" spans="1:12">
      <c r="J12379" s="31">
        <v>50</v>
      </c>
      <c r="K12379" s="33" t="s">
        <v>122</v>
      </c>
      <c r="L12379" s="31" t="s">
        <v>123</v>
      </c>
    </row>
    <row r="12380" spans="1:12">
      <c r="J12380" s="31">
        <v>51</v>
      </c>
      <c r="K12380" s="33" t="s">
        <v>124</v>
      </c>
      <c r="L12380" s="31" t="str">
        <f t="shared" ref="L12380:L12388" si="1195">$L$53&amp;" "&amp;L12330</f>
        <v>Lima Puluh Satu</v>
      </c>
    </row>
    <row r="12381" spans="1:12">
      <c r="J12381" s="31">
        <v>52</v>
      </c>
      <c r="K12381" s="33" t="s">
        <v>125</v>
      </c>
      <c r="L12381" s="31" t="str">
        <f t="shared" si="1195"/>
        <v>Lima Puluh Dua</v>
      </c>
    </row>
    <row r="12382" spans="1:12">
      <c r="J12382" s="31">
        <v>53</v>
      </c>
      <c r="K12382" s="33" t="s">
        <v>126</v>
      </c>
      <c r="L12382" s="31" t="str">
        <f t="shared" si="1195"/>
        <v>Lima Puluh Tiga</v>
      </c>
    </row>
    <row r="12383" spans="1:12">
      <c r="J12383" s="31">
        <v>54</v>
      </c>
      <c r="K12383" s="33" t="s">
        <v>127</v>
      </c>
      <c r="L12383" s="31" t="str">
        <f t="shared" si="1195"/>
        <v>Lima Puluh Empat</v>
      </c>
    </row>
    <row r="12384" spans="1:12">
      <c r="J12384" s="31">
        <v>55</v>
      </c>
      <c r="K12384" s="33" t="s">
        <v>128</v>
      </c>
      <c r="L12384" s="31" t="str">
        <f t="shared" si="1195"/>
        <v>Lima Puluh Lima</v>
      </c>
    </row>
    <row r="12385" spans="10:12">
      <c r="J12385" s="31">
        <v>56</v>
      </c>
      <c r="K12385" s="33" t="s">
        <v>129</v>
      </c>
      <c r="L12385" s="31" t="str">
        <f t="shared" si="1195"/>
        <v>Lima Puluh Enam</v>
      </c>
    </row>
    <row r="12386" spans="10:12">
      <c r="J12386" s="31">
        <v>57</v>
      </c>
      <c r="K12386" s="33" t="s">
        <v>130</v>
      </c>
      <c r="L12386" s="31" t="str">
        <f t="shared" si="1195"/>
        <v>Lima Puluh Tujuh</v>
      </c>
    </row>
    <row r="12387" spans="10:12">
      <c r="J12387" s="31">
        <v>58</v>
      </c>
      <c r="K12387" s="33" t="s">
        <v>131</v>
      </c>
      <c r="L12387" s="31" t="str">
        <f t="shared" si="1195"/>
        <v>Lima Puluh Delapan</v>
      </c>
    </row>
    <row r="12388" spans="10:12">
      <c r="J12388" s="31">
        <v>59</v>
      </c>
      <c r="K12388" s="33" t="s">
        <v>132</v>
      </c>
      <c r="L12388" s="31" t="str">
        <f t="shared" si="1195"/>
        <v>Lima Puluh Sembilan</v>
      </c>
    </row>
    <row r="12389" spans="10:12">
      <c r="J12389" s="31">
        <v>60</v>
      </c>
      <c r="K12389" s="33" t="s">
        <v>133</v>
      </c>
      <c r="L12389" s="31" t="s">
        <v>134</v>
      </c>
    </row>
    <row r="12390" spans="10:12">
      <c r="J12390" s="31">
        <v>61</v>
      </c>
      <c r="K12390" s="33" t="s">
        <v>135</v>
      </c>
      <c r="L12390" s="31" t="str">
        <f t="shared" ref="L12390:L12398" si="1196">$L$63&amp;" "&amp;L12330</f>
        <v>Enam Puluh Satu</v>
      </c>
    </row>
    <row r="12391" spans="10:12">
      <c r="J12391" s="31">
        <v>62</v>
      </c>
      <c r="K12391" s="33" t="s">
        <v>136</v>
      </c>
      <c r="L12391" s="31" t="str">
        <f t="shared" si="1196"/>
        <v>Enam Puluh Dua</v>
      </c>
    </row>
    <row r="12392" spans="10:12">
      <c r="J12392" s="31">
        <v>63</v>
      </c>
      <c r="K12392" s="33" t="s">
        <v>137</v>
      </c>
      <c r="L12392" s="31" t="str">
        <f t="shared" si="1196"/>
        <v>Enam Puluh Tiga</v>
      </c>
    </row>
    <row r="12393" spans="10:12">
      <c r="J12393" s="31">
        <v>64</v>
      </c>
      <c r="K12393" s="33" t="s">
        <v>138</v>
      </c>
      <c r="L12393" s="31" t="str">
        <f t="shared" si="1196"/>
        <v>Enam Puluh Empat</v>
      </c>
    </row>
    <row r="12394" spans="10:12">
      <c r="J12394" s="31">
        <v>65</v>
      </c>
      <c r="K12394" s="33" t="s">
        <v>139</v>
      </c>
      <c r="L12394" s="31" t="str">
        <f t="shared" si="1196"/>
        <v>Enam Puluh Lima</v>
      </c>
    </row>
    <row r="12395" spans="10:12">
      <c r="J12395" s="31">
        <v>66</v>
      </c>
      <c r="K12395" s="33" t="s">
        <v>140</v>
      </c>
      <c r="L12395" s="31" t="str">
        <f t="shared" si="1196"/>
        <v>Enam Puluh Enam</v>
      </c>
    </row>
    <row r="12396" spans="10:12">
      <c r="J12396" s="31">
        <v>67</v>
      </c>
      <c r="K12396" s="33" t="s">
        <v>141</v>
      </c>
      <c r="L12396" s="31" t="str">
        <f t="shared" si="1196"/>
        <v>Enam Puluh Tujuh</v>
      </c>
    </row>
    <row r="12397" spans="10:12">
      <c r="J12397" s="31">
        <v>68</v>
      </c>
      <c r="K12397" s="33" t="s">
        <v>142</v>
      </c>
      <c r="L12397" s="31" t="str">
        <f t="shared" si="1196"/>
        <v>Enam Puluh Delapan</v>
      </c>
    </row>
    <row r="12398" spans="10:12">
      <c r="J12398" s="31">
        <v>69</v>
      </c>
      <c r="K12398" s="33" t="s">
        <v>143</v>
      </c>
      <c r="L12398" s="31" t="str">
        <f t="shared" si="1196"/>
        <v>Enam Puluh Sembilan</v>
      </c>
    </row>
    <row r="12399" spans="10:12">
      <c r="J12399" s="31">
        <v>70</v>
      </c>
      <c r="K12399" s="33" t="s">
        <v>144</v>
      </c>
      <c r="L12399" s="31" t="s">
        <v>145</v>
      </c>
    </row>
    <row r="12400" spans="10:12">
      <c r="J12400" s="31">
        <v>71</v>
      </c>
      <c r="K12400" s="33" t="s">
        <v>146</v>
      </c>
      <c r="L12400" s="31" t="str">
        <f t="shared" ref="L12400:L12408" si="1197">$L$73&amp;" "&amp;L12330</f>
        <v>Tujuh Puluh Satu</v>
      </c>
    </row>
    <row r="12401" spans="10:12">
      <c r="J12401" s="31">
        <v>72</v>
      </c>
      <c r="K12401" s="33" t="s">
        <v>147</v>
      </c>
      <c r="L12401" s="31" t="str">
        <f t="shared" si="1197"/>
        <v>Tujuh Puluh Dua</v>
      </c>
    </row>
    <row r="12402" spans="10:12">
      <c r="J12402" s="31">
        <v>73</v>
      </c>
      <c r="K12402" s="33" t="s">
        <v>148</v>
      </c>
      <c r="L12402" s="31" t="str">
        <f t="shared" si="1197"/>
        <v>Tujuh Puluh Tiga</v>
      </c>
    </row>
    <row r="12403" spans="10:12">
      <c r="J12403" s="31">
        <v>74</v>
      </c>
      <c r="K12403" s="33" t="s">
        <v>149</v>
      </c>
      <c r="L12403" s="31" t="str">
        <f t="shared" si="1197"/>
        <v>Tujuh Puluh Empat</v>
      </c>
    </row>
    <row r="12404" spans="10:12">
      <c r="J12404" s="31">
        <v>75</v>
      </c>
      <c r="K12404" s="33" t="s">
        <v>150</v>
      </c>
      <c r="L12404" s="31" t="str">
        <f t="shared" si="1197"/>
        <v>Tujuh Puluh Lima</v>
      </c>
    </row>
    <row r="12405" spans="10:12">
      <c r="J12405" s="31">
        <v>76</v>
      </c>
      <c r="K12405" s="33" t="s">
        <v>151</v>
      </c>
      <c r="L12405" s="31" t="str">
        <f t="shared" si="1197"/>
        <v>Tujuh Puluh Enam</v>
      </c>
    </row>
    <row r="12406" spans="10:12">
      <c r="J12406" s="31">
        <v>77</v>
      </c>
      <c r="K12406" s="33" t="s">
        <v>152</v>
      </c>
      <c r="L12406" s="31" t="str">
        <f t="shared" si="1197"/>
        <v>Tujuh Puluh Tujuh</v>
      </c>
    </row>
    <row r="12407" spans="10:12">
      <c r="J12407" s="31">
        <v>78</v>
      </c>
      <c r="K12407" s="33" t="s">
        <v>153</v>
      </c>
      <c r="L12407" s="31" t="str">
        <f t="shared" si="1197"/>
        <v>Tujuh Puluh Delapan</v>
      </c>
    </row>
    <row r="12408" spans="10:12">
      <c r="J12408" s="31">
        <v>79</v>
      </c>
      <c r="K12408" s="33" t="s">
        <v>154</v>
      </c>
      <c r="L12408" s="31" t="str">
        <f t="shared" si="1197"/>
        <v>Tujuh Puluh Sembilan</v>
      </c>
    </row>
    <row r="12409" spans="10:12">
      <c r="J12409" s="31">
        <v>80</v>
      </c>
      <c r="K12409" s="33" t="s">
        <v>155</v>
      </c>
      <c r="L12409" s="31" t="s">
        <v>156</v>
      </c>
    </row>
    <row r="12410" spans="10:12">
      <c r="J12410" s="31">
        <v>81</v>
      </c>
      <c r="K12410" s="33" t="s">
        <v>157</v>
      </c>
      <c r="L12410" s="31" t="str">
        <f t="shared" ref="L12410:L12418" si="1198">$L$83&amp;" "&amp;L12330</f>
        <v>Delapan Puluh Satu</v>
      </c>
    </row>
    <row r="12411" spans="10:12">
      <c r="J12411" s="31">
        <v>82</v>
      </c>
      <c r="K12411" s="33" t="s">
        <v>158</v>
      </c>
      <c r="L12411" s="31" t="str">
        <f t="shared" si="1198"/>
        <v>Delapan Puluh Dua</v>
      </c>
    </row>
    <row r="12412" spans="10:12">
      <c r="J12412" s="31">
        <v>83</v>
      </c>
      <c r="K12412" s="33" t="s">
        <v>159</v>
      </c>
      <c r="L12412" s="31" t="str">
        <f t="shared" si="1198"/>
        <v>Delapan Puluh Tiga</v>
      </c>
    </row>
    <row r="12413" spans="10:12">
      <c r="J12413" s="31">
        <v>84</v>
      </c>
      <c r="K12413" s="33" t="s">
        <v>160</v>
      </c>
      <c r="L12413" s="31" t="str">
        <f t="shared" si="1198"/>
        <v>Delapan Puluh Empat</v>
      </c>
    </row>
    <row r="12414" spans="10:12">
      <c r="J12414" s="31">
        <v>85</v>
      </c>
      <c r="K12414" s="33" t="s">
        <v>161</v>
      </c>
      <c r="L12414" s="31" t="str">
        <f t="shared" si="1198"/>
        <v>Delapan Puluh Lima</v>
      </c>
    </row>
    <row r="12415" spans="10:12">
      <c r="J12415" s="31">
        <v>86</v>
      </c>
      <c r="K12415" s="33" t="s">
        <v>162</v>
      </c>
      <c r="L12415" s="31" t="str">
        <f t="shared" si="1198"/>
        <v>Delapan Puluh Enam</v>
      </c>
    </row>
    <row r="12416" spans="10:12">
      <c r="J12416" s="31">
        <v>87</v>
      </c>
      <c r="K12416" s="33" t="s">
        <v>163</v>
      </c>
      <c r="L12416" s="31" t="str">
        <f t="shared" si="1198"/>
        <v>Delapan Puluh Tujuh</v>
      </c>
    </row>
    <row r="12417" spans="1:12">
      <c r="J12417" s="31">
        <v>88</v>
      </c>
      <c r="K12417" s="33" t="s">
        <v>164</v>
      </c>
      <c r="L12417" s="31" t="str">
        <f t="shared" si="1198"/>
        <v>Delapan Puluh Delapan</v>
      </c>
    </row>
    <row r="12418" spans="1:12">
      <c r="J12418" s="31">
        <v>89</v>
      </c>
      <c r="K12418" s="33" t="s">
        <v>165</v>
      </c>
      <c r="L12418" s="31" t="str">
        <f t="shared" si="1198"/>
        <v>Delapan Puluh Sembilan</v>
      </c>
    </row>
    <row r="12419" spans="1:12">
      <c r="J12419" s="31">
        <v>90</v>
      </c>
      <c r="K12419" s="33" t="s">
        <v>166</v>
      </c>
      <c r="L12419" s="31" t="s">
        <v>167</v>
      </c>
    </row>
    <row r="12420" spans="1:12">
      <c r="J12420" s="31">
        <v>91</v>
      </c>
      <c r="K12420" s="33" t="s">
        <v>168</v>
      </c>
      <c r="L12420" s="31" t="str">
        <f t="shared" ref="L12420:L12428" si="1199">$L$93&amp;" "&amp;L12330</f>
        <v>Sembilan Puluh Satu</v>
      </c>
    </row>
    <row r="12421" spans="1:12">
      <c r="J12421" s="31">
        <v>92</v>
      </c>
      <c r="K12421" s="33" t="s">
        <v>169</v>
      </c>
      <c r="L12421" s="31" t="str">
        <f t="shared" si="1199"/>
        <v>Sembilan Puluh Dua</v>
      </c>
    </row>
    <row r="12422" spans="1:12">
      <c r="J12422" s="31">
        <v>93</v>
      </c>
      <c r="K12422" s="33" t="s">
        <v>170</v>
      </c>
      <c r="L12422" s="31" t="str">
        <f t="shared" si="1199"/>
        <v>Sembilan Puluh Tiga</v>
      </c>
    </row>
    <row r="12423" spans="1:12">
      <c r="J12423" s="31">
        <v>94</v>
      </c>
      <c r="K12423" s="33" t="s">
        <v>171</v>
      </c>
      <c r="L12423" s="31" t="str">
        <f t="shared" si="1199"/>
        <v>Sembilan Puluh Empat</v>
      </c>
    </row>
    <row r="12424" spans="1:12">
      <c r="J12424" s="31">
        <v>95</v>
      </c>
      <c r="K12424" s="33" t="s">
        <v>172</v>
      </c>
      <c r="L12424" s="31" t="str">
        <f t="shared" si="1199"/>
        <v>Sembilan Puluh Lima</v>
      </c>
    </row>
    <row r="12425" spans="1:12">
      <c r="J12425" s="31">
        <v>96</v>
      </c>
      <c r="K12425" s="33" t="s">
        <v>173</v>
      </c>
      <c r="L12425" s="31" t="str">
        <f t="shared" si="1199"/>
        <v>Sembilan Puluh Enam</v>
      </c>
    </row>
    <row r="12426" spans="1:12">
      <c r="J12426" s="31">
        <v>97</v>
      </c>
      <c r="K12426" s="33" t="s">
        <v>174</v>
      </c>
      <c r="L12426" s="31" t="str">
        <f t="shared" si="1199"/>
        <v>Sembilan Puluh Tujuh</v>
      </c>
    </row>
    <row r="12427" spans="1:12">
      <c r="J12427" s="31">
        <v>98</v>
      </c>
      <c r="K12427" s="33" t="s">
        <v>175</v>
      </c>
      <c r="L12427" s="31" t="str">
        <f t="shared" si="1199"/>
        <v>Sembilan Puluh Delapan</v>
      </c>
    </row>
    <row r="12428" spans="1:12">
      <c r="J12428" s="31">
        <v>99</v>
      </c>
      <c r="K12428" s="33" t="s">
        <v>176</v>
      </c>
      <c r="L12428" s="31" t="str">
        <f t="shared" si="1199"/>
        <v>Sembilan Puluh Sembilan</v>
      </c>
    </row>
    <row r="12430" spans="1:12">
      <c r="A12430" s="30" t="e">
        <f>#REF!</f>
        <v>#REF!</v>
      </c>
      <c r="C12430" s="31" t="s">
        <v>354</v>
      </c>
    </row>
    <row r="12431" spans="1:12">
      <c r="A12431" s="32"/>
    </row>
    <row r="12432" spans="1:12">
      <c r="J12432" s="31">
        <v>0</v>
      </c>
      <c r="K12432" s="33" t="s">
        <v>48</v>
      </c>
      <c r="L12432" s="31" t="s">
        <v>49</v>
      </c>
    </row>
    <row r="12433" spans="1:12">
      <c r="A12433" s="34"/>
      <c r="J12433" s="31">
        <v>1</v>
      </c>
      <c r="K12433" s="33" t="s">
        <v>50</v>
      </c>
      <c r="L12433" s="31" t="s">
        <v>51</v>
      </c>
    </row>
    <row r="12434" spans="1:12">
      <c r="A12434" s="255" t="e">
        <f>TRIM(D12442&amp;E12442&amp;D12443&amp;E12443&amp;D12444&amp;E12444&amp;D12445&amp;E12445&amp;D12446&amp;E12446&amp;D12447&amp;E12447&amp;E12448&amp;D12448&amp;" Only")</f>
        <v>#REF!</v>
      </c>
      <c r="B12434" s="255"/>
      <c r="C12434" s="255"/>
      <c r="D12434" s="255"/>
      <c r="E12434" s="35"/>
      <c r="F12434" s="36"/>
      <c r="J12434" s="31">
        <v>2</v>
      </c>
      <c r="K12434" s="33" t="s">
        <v>52</v>
      </c>
      <c r="L12434" s="31" t="s">
        <v>53</v>
      </c>
    </row>
    <row r="12435" spans="1:12">
      <c r="A12435" s="37"/>
      <c r="B12435" s="37"/>
      <c r="C12435" s="37"/>
      <c r="D12435" s="37"/>
      <c r="E12435" s="35"/>
      <c r="F12435" s="36"/>
      <c r="J12435" s="31">
        <v>3</v>
      </c>
      <c r="K12435" s="33" t="s">
        <v>54</v>
      </c>
      <c r="L12435" s="31" t="s">
        <v>55</v>
      </c>
    </row>
    <row r="12436" spans="1:12">
      <c r="A12436" s="37"/>
      <c r="B12436" s="37"/>
      <c r="C12436" s="37"/>
      <c r="D12436" s="37"/>
      <c r="J12436" s="31">
        <v>4</v>
      </c>
      <c r="K12436" s="33" t="s">
        <v>56</v>
      </c>
      <c r="L12436" s="31" t="s">
        <v>57</v>
      </c>
    </row>
    <row r="12437" spans="1:12">
      <c r="A12437" s="255" t="e">
        <f>TRIM(D12452&amp;E12452&amp;D12453&amp;E12453&amp;D12454&amp;E12454&amp;D12455&amp;E12455&amp;D12456&amp;E12456&amp;D12457&amp;E12457&amp;D12458&amp;E12458&amp;" Rupiah")</f>
        <v>#REF!</v>
      </c>
      <c r="B12437" s="255"/>
      <c r="C12437" s="255"/>
      <c r="D12437" s="255"/>
      <c r="E12437" s="35"/>
      <c r="F12437" s="36"/>
      <c r="J12437" s="31">
        <v>5</v>
      </c>
      <c r="K12437" s="33" t="s">
        <v>58</v>
      </c>
      <c r="L12437" s="31" t="s">
        <v>59</v>
      </c>
    </row>
    <row r="12438" spans="1:12">
      <c r="A12438" s="35"/>
      <c r="B12438" s="35"/>
      <c r="C12438" s="35"/>
      <c r="D12438" s="35"/>
      <c r="E12438" s="35"/>
      <c r="F12438" s="36"/>
      <c r="J12438" s="31">
        <v>6</v>
      </c>
      <c r="K12438" s="33" t="s">
        <v>60</v>
      </c>
      <c r="L12438" s="31" t="s">
        <v>61</v>
      </c>
    </row>
    <row r="12439" spans="1:12">
      <c r="J12439" s="31">
        <v>7</v>
      </c>
      <c r="K12439" s="33" t="s">
        <v>62</v>
      </c>
      <c r="L12439" s="31" t="s">
        <v>63</v>
      </c>
    </row>
    <row r="12440" spans="1:12">
      <c r="J12440" s="31">
        <v>8</v>
      </c>
      <c r="K12440" s="33" t="s">
        <v>64</v>
      </c>
      <c r="L12440" s="31" t="s">
        <v>65</v>
      </c>
    </row>
    <row r="12441" spans="1:12">
      <c r="A12441" s="38" t="s">
        <v>66</v>
      </c>
      <c r="J12441" s="31">
        <v>9</v>
      </c>
      <c r="K12441" s="33" t="s">
        <v>67</v>
      </c>
      <c r="L12441" s="31" t="s">
        <v>68</v>
      </c>
    </row>
    <row r="12442" spans="1:12">
      <c r="A12442" s="31" t="s">
        <v>69</v>
      </c>
      <c r="B12442" s="39" t="e">
        <f>TRUNC(A12430/100000000)</f>
        <v>#REF!</v>
      </c>
      <c r="C12442" s="31" t="e">
        <f>B12442*100000000</f>
        <v>#REF!</v>
      </c>
      <c r="D12442" s="31" t="e">
        <f t="shared" ref="D12442:D12448" si="1200">IF(B12442&lt;1,"",VLOOKUP(B12442,$J$3:$K$102,2))</f>
        <v>#REF!</v>
      </c>
      <c r="E12442" s="31" t="e">
        <f>IF(B12442&lt;1,"",IF(B12442&gt;1," Hundreds "," Hundred "))</f>
        <v>#REF!</v>
      </c>
      <c r="J12442" s="31">
        <v>10</v>
      </c>
      <c r="K12442" s="33" t="s">
        <v>70</v>
      </c>
      <c r="L12442" s="31" t="s">
        <v>71</v>
      </c>
    </row>
    <row r="12443" spans="1:12">
      <c r="A12443" s="31" t="s">
        <v>72</v>
      </c>
      <c r="B12443" s="39" t="e">
        <f>TRUNC((A12430-C12442)/1000000)</f>
        <v>#REF!</v>
      </c>
      <c r="C12443" s="31" t="e">
        <f>B12443*1000000</f>
        <v>#REF!</v>
      </c>
      <c r="D12443" s="31" t="e">
        <f t="shared" si="1200"/>
        <v>#REF!</v>
      </c>
      <c r="E12443" s="31" t="e">
        <f>IF(B12442+B12443=0,"",IF(B12443=1," Million "," Millions "))</f>
        <v>#REF!</v>
      </c>
      <c r="J12443" s="31">
        <v>11</v>
      </c>
      <c r="K12443" s="33" t="s">
        <v>73</v>
      </c>
      <c r="L12443" s="31" t="s">
        <v>74</v>
      </c>
    </row>
    <row r="12444" spans="1:12">
      <c r="A12444" s="31" t="s">
        <v>75</v>
      </c>
      <c r="B12444" s="39" t="e">
        <f>TRUNC((A12430-SUM(C12442:C12443))/100000)</f>
        <v>#REF!</v>
      </c>
      <c r="C12444" s="31" t="e">
        <f>B12444*100000</f>
        <v>#REF!</v>
      </c>
      <c r="D12444" s="31" t="e">
        <f t="shared" si="1200"/>
        <v>#REF!</v>
      </c>
      <c r="E12444" s="31" t="e">
        <f>IF(B12444&lt;1,"",IF(B12444&gt;1," Hundreds "," Hundred "))</f>
        <v>#REF!</v>
      </c>
      <c r="J12444" s="31">
        <v>12</v>
      </c>
      <c r="K12444" s="33" t="s">
        <v>76</v>
      </c>
      <c r="L12444" s="31" t="str">
        <f t="shared" ref="L12444:L12451" si="1201">L12434&amp;" Belas"</f>
        <v>Dua Belas</v>
      </c>
    </row>
    <row r="12445" spans="1:12">
      <c r="A12445" s="33" t="s">
        <v>77</v>
      </c>
      <c r="B12445" s="40" t="e">
        <f>TRUNC((A12430-SUM(C12442:C12444))/1000)</f>
        <v>#REF!</v>
      </c>
      <c r="C12445" s="31" t="e">
        <f>B12445*1000</f>
        <v>#REF!</v>
      </c>
      <c r="D12445" s="31" t="e">
        <f t="shared" si="1200"/>
        <v>#REF!</v>
      </c>
      <c r="E12445" s="31" t="e">
        <f>IF(B12444+B12445=0,"",IF(B12445=1," Thousand "," Thousands "))</f>
        <v>#REF!</v>
      </c>
      <c r="J12445" s="31">
        <v>13</v>
      </c>
      <c r="K12445" s="33" t="s">
        <v>78</v>
      </c>
      <c r="L12445" s="31" t="str">
        <f t="shared" si="1201"/>
        <v>Tiga Belas</v>
      </c>
    </row>
    <row r="12446" spans="1:12">
      <c r="A12446" s="33" t="s">
        <v>79</v>
      </c>
      <c r="B12446" s="40" t="e">
        <f>TRUNC((A12430-SUM(C12442:C12445))/100)</f>
        <v>#REF!</v>
      </c>
      <c r="C12446" s="31" t="e">
        <f>B12446*100</f>
        <v>#REF!</v>
      </c>
      <c r="D12446" s="31" t="e">
        <f t="shared" si="1200"/>
        <v>#REF!</v>
      </c>
      <c r="E12446" s="31" t="e">
        <f>IF(B12446&lt;1,"",IF(B12446&gt;1," Hundreds "," Hundred "))</f>
        <v>#REF!</v>
      </c>
      <c r="J12446" s="31">
        <v>14</v>
      </c>
      <c r="K12446" s="33" t="s">
        <v>80</v>
      </c>
      <c r="L12446" s="31" t="str">
        <f t="shared" si="1201"/>
        <v>Empat Belas</v>
      </c>
    </row>
    <row r="12447" spans="1:12">
      <c r="A12447" s="33" t="s">
        <v>81</v>
      </c>
      <c r="B12447" s="41" t="e">
        <f>TRUNC((A12430-SUM(C12442:C12446)))</f>
        <v>#REF!</v>
      </c>
      <c r="C12447" s="42" t="e">
        <f>B12447</f>
        <v>#REF!</v>
      </c>
      <c r="D12447" s="31" t="e">
        <f t="shared" si="1200"/>
        <v>#REF!</v>
      </c>
      <c r="E12447" s="31" t="e">
        <f>IF(SUM(C12442:C12447)&lt;1,"",IF(B12448&lt;1,""," And "))</f>
        <v>#REF!</v>
      </c>
      <c r="J12447" s="31">
        <v>15</v>
      </c>
      <c r="K12447" s="33" t="s">
        <v>82</v>
      </c>
      <c r="L12447" s="31" t="str">
        <f t="shared" si="1201"/>
        <v>Lima Belas</v>
      </c>
    </row>
    <row r="12448" spans="1:12">
      <c r="A12448" s="33" t="s">
        <v>83</v>
      </c>
      <c r="B12448" s="40" t="e">
        <f>ROUND(A12430-SUM(C12442:C12447),2)*100</f>
        <v>#REF!</v>
      </c>
      <c r="D12448" s="43" t="e">
        <f t="shared" si="1200"/>
        <v>#REF!</v>
      </c>
      <c r="E12448" s="31" t="e">
        <f>IF(B12448&lt;1,"",IF(B12448=1," Cent "," Cents "))</f>
        <v>#REF!</v>
      </c>
      <c r="J12448" s="31">
        <v>16</v>
      </c>
      <c r="K12448" s="33" t="s">
        <v>84</v>
      </c>
      <c r="L12448" s="31" t="str">
        <f t="shared" si="1201"/>
        <v>Enam Belas</v>
      </c>
    </row>
    <row r="12449" spans="1:12">
      <c r="J12449" s="31">
        <v>17</v>
      </c>
      <c r="K12449" s="33" t="s">
        <v>85</v>
      </c>
      <c r="L12449" s="31" t="str">
        <f t="shared" si="1201"/>
        <v>Tujuh Belas</v>
      </c>
    </row>
    <row r="12450" spans="1:12">
      <c r="A12450" s="44"/>
      <c r="J12450" s="31">
        <v>18</v>
      </c>
      <c r="K12450" s="33" t="s">
        <v>86</v>
      </c>
      <c r="L12450" s="31" t="str">
        <f t="shared" si="1201"/>
        <v>Delapan Belas</v>
      </c>
    </row>
    <row r="12451" spans="1:12">
      <c r="A12451" s="38" t="s">
        <v>87</v>
      </c>
      <c r="J12451" s="31">
        <v>19</v>
      </c>
      <c r="K12451" s="33" t="s">
        <v>88</v>
      </c>
      <c r="L12451" s="31" t="str">
        <f t="shared" si="1201"/>
        <v>Sembilan Belas</v>
      </c>
    </row>
    <row r="12452" spans="1:12">
      <c r="A12452" s="31" t="s">
        <v>69</v>
      </c>
      <c r="B12452" s="39" t="e">
        <f>TRUNC(A12430/100000000)</f>
        <v>#REF!</v>
      </c>
      <c r="C12452" s="31" t="e">
        <f>B12452*100000000</f>
        <v>#REF!</v>
      </c>
      <c r="D12452" s="31" t="e">
        <f>IF(B12452&lt;1,"",IF(B12452=1,"",VLOOKUP(B12452,$J$3:$L$102,3)))</f>
        <v>#REF!</v>
      </c>
      <c r="E12452" s="31" t="e">
        <f>IF(B12452&lt;1,"",IF(B12452=1,"Seratus "," Ratus "))</f>
        <v>#REF!</v>
      </c>
      <c r="J12452" s="31">
        <v>20</v>
      </c>
      <c r="K12452" s="33" t="s">
        <v>89</v>
      </c>
      <c r="L12452" s="31" t="s">
        <v>90</v>
      </c>
    </row>
    <row r="12453" spans="1:12">
      <c r="A12453" s="31" t="s">
        <v>72</v>
      </c>
      <c r="B12453" s="39" t="e">
        <f>TRUNC((A12430-C12452)/1000000)</f>
        <v>#REF!</v>
      </c>
      <c r="C12453" s="31" t="e">
        <f>B12453*1000000</f>
        <v>#REF!</v>
      </c>
      <c r="D12453" s="31" t="e">
        <f>IF(B12453&lt;1,"",VLOOKUP(B12453,$J$3:$L$102,3))</f>
        <v>#REF!</v>
      </c>
      <c r="E12453" s="31" t="e">
        <f>IF(B12452+B12453=0,""," Juta ")</f>
        <v>#REF!</v>
      </c>
      <c r="J12453" s="31">
        <v>21</v>
      </c>
      <c r="K12453" s="33" t="s">
        <v>91</v>
      </c>
      <c r="L12453" s="31" t="str">
        <f t="shared" ref="L12453:L12461" si="1202">$L$23&amp;" "&amp;L12433</f>
        <v>Dua Puluh Satu</v>
      </c>
    </row>
    <row r="12454" spans="1:12">
      <c r="A12454" s="31" t="s">
        <v>75</v>
      </c>
      <c r="B12454" s="39" t="e">
        <f>TRUNC((A12430-SUM(C12452:C12453))/100000)</f>
        <v>#REF!</v>
      </c>
      <c r="C12454" s="31" t="e">
        <f>B12454*100000</f>
        <v>#REF!</v>
      </c>
      <c r="D12454" s="31" t="e">
        <f>IF(B12454&lt;1,"",IF(B12454=1,"",VLOOKUP(B12454,$J$3:$L$102,3)))</f>
        <v>#REF!</v>
      </c>
      <c r="E12454" s="31" t="e">
        <f>IF(B12454&lt;1,"",IF(B12454=1," Seratus "," Ratus "))</f>
        <v>#REF!</v>
      </c>
      <c r="J12454" s="31">
        <v>22</v>
      </c>
      <c r="K12454" s="33" t="s">
        <v>92</v>
      </c>
      <c r="L12454" s="31" t="str">
        <f t="shared" si="1202"/>
        <v>Dua Puluh Dua</v>
      </c>
    </row>
    <row r="12455" spans="1:12">
      <c r="A12455" s="33" t="s">
        <v>77</v>
      </c>
      <c r="B12455" s="40" t="e">
        <f>TRUNC((A12430-SUM(C12452:C12454))/1000)</f>
        <v>#REF!</v>
      </c>
      <c r="C12455" s="31" t="e">
        <f>B12455*1000</f>
        <v>#REF!</v>
      </c>
      <c r="D12455" s="31" t="e">
        <f>IF(B12455&lt;1,"",IF(B12455=1,"",VLOOKUP(B12455,$J$3:$L$102,3)))</f>
        <v>#REF!</v>
      </c>
      <c r="E12455" s="31" t="e">
        <f>IF(B12454+B12455&lt;1,"",IF(B12455=1," Seribu "," Ribu "))</f>
        <v>#REF!</v>
      </c>
      <c r="J12455" s="31">
        <v>23</v>
      </c>
      <c r="K12455" s="33" t="s">
        <v>93</v>
      </c>
      <c r="L12455" s="31" t="str">
        <f t="shared" si="1202"/>
        <v>Dua Puluh Tiga</v>
      </c>
    </row>
    <row r="12456" spans="1:12">
      <c r="A12456" s="33" t="s">
        <v>79</v>
      </c>
      <c r="B12456" s="40" t="e">
        <f>TRUNC((A12430-SUM(C12452:C12455))/100)</f>
        <v>#REF!</v>
      </c>
      <c r="C12456" s="31" t="e">
        <f>B12456*100</f>
        <v>#REF!</v>
      </c>
      <c r="D12456" s="31" t="e">
        <f>IF(B12456&lt;1,"",IF(B12456=1,"",VLOOKUP(B12456,$J$3:$L$102,3)))</f>
        <v>#REF!</v>
      </c>
      <c r="E12456" s="31" t="e">
        <f>IF(B12456&lt;1,"",IF(B12456=1," Seratus "," Ratus "))</f>
        <v>#REF!</v>
      </c>
      <c r="J12456" s="31">
        <v>24</v>
      </c>
      <c r="K12456" s="33" t="s">
        <v>94</v>
      </c>
      <c r="L12456" s="31" t="str">
        <f t="shared" si="1202"/>
        <v>Dua Puluh Empat</v>
      </c>
    </row>
    <row r="12457" spans="1:12">
      <c r="A12457" s="33" t="s">
        <v>81</v>
      </c>
      <c r="B12457" s="41" t="e">
        <f>TRUNC((A12430-SUM(C12452:C12456)))</f>
        <v>#REF!</v>
      </c>
      <c r="C12457" s="42" t="e">
        <f>B12457</f>
        <v>#REF!</v>
      </c>
      <c r="D12457" s="31" t="e">
        <f>IF(B12457&lt;1,"",VLOOKUP(B12457,$J$3:$L$102,3))</f>
        <v>#REF!</v>
      </c>
      <c r="E12457" s="31" t="e">
        <f>IF(SUM(C12452:C12457)&lt;1,"",IF(B12458&lt;1,""," Dan "))</f>
        <v>#REF!</v>
      </c>
      <c r="J12457" s="31">
        <v>25</v>
      </c>
      <c r="K12457" s="33" t="s">
        <v>95</v>
      </c>
      <c r="L12457" s="31" t="str">
        <f t="shared" si="1202"/>
        <v>Dua Puluh Lima</v>
      </c>
    </row>
    <row r="12458" spans="1:12">
      <c r="A12458" s="33" t="s">
        <v>83</v>
      </c>
      <c r="B12458" s="40" t="e">
        <f>ROUND(A12430-SUM(C12452:C12457),2)*100</f>
        <v>#REF!</v>
      </c>
      <c r="D12458" s="31" t="e">
        <f>IF(B12458&lt;1,"",VLOOKUP(B12458,$J$3:$L$102,3))</f>
        <v>#REF!</v>
      </c>
      <c r="E12458" s="31" t="e">
        <f>IF(B12458&lt;1,""," Sen ")</f>
        <v>#REF!</v>
      </c>
      <c r="J12458" s="31">
        <v>26</v>
      </c>
      <c r="K12458" s="33" t="s">
        <v>96</v>
      </c>
      <c r="L12458" s="31" t="str">
        <f t="shared" si="1202"/>
        <v>Dua Puluh Enam</v>
      </c>
    </row>
    <row r="12459" spans="1:12">
      <c r="J12459" s="31">
        <v>27</v>
      </c>
      <c r="K12459" s="33" t="s">
        <v>97</v>
      </c>
      <c r="L12459" s="31" t="str">
        <f t="shared" si="1202"/>
        <v>Dua Puluh Tujuh</v>
      </c>
    </row>
    <row r="12460" spans="1:12">
      <c r="J12460" s="31">
        <v>28</v>
      </c>
      <c r="K12460" s="33" t="s">
        <v>98</v>
      </c>
      <c r="L12460" s="31" t="str">
        <f t="shared" si="1202"/>
        <v>Dua Puluh Delapan</v>
      </c>
    </row>
    <row r="12461" spans="1:12">
      <c r="J12461" s="31">
        <v>29</v>
      </c>
      <c r="K12461" s="33" t="s">
        <v>99</v>
      </c>
      <c r="L12461" s="31" t="str">
        <f t="shared" si="1202"/>
        <v>Dua Puluh Sembilan</v>
      </c>
    </row>
    <row r="12462" spans="1:12">
      <c r="J12462" s="31">
        <v>30</v>
      </c>
      <c r="K12462" s="33" t="s">
        <v>100</v>
      </c>
      <c r="L12462" s="31" t="s">
        <v>101</v>
      </c>
    </row>
    <row r="12463" spans="1:12">
      <c r="J12463" s="31">
        <v>31</v>
      </c>
      <c r="K12463" s="33" t="s">
        <v>102</v>
      </c>
      <c r="L12463" s="31" t="str">
        <f t="shared" ref="L12463:L12471" si="1203">$L$33&amp;" "&amp;L12433</f>
        <v>Tiga Puluh Satu</v>
      </c>
    </row>
    <row r="12464" spans="1:12">
      <c r="J12464" s="31">
        <v>32</v>
      </c>
      <c r="K12464" s="33" t="s">
        <v>103</v>
      </c>
      <c r="L12464" s="31" t="str">
        <f t="shared" si="1203"/>
        <v>Tiga Puluh Dua</v>
      </c>
    </row>
    <row r="12465" spans="1:12">
      <c r="J12465" s="31">
        <v>33</v>
      </c>
      <c r="K12465" s="33" t="s">
        <v>104</v>
      </c>
      <c r="L12465" s="31" t="str">
        <f t="shared" si="1203"/>
        <v>Tiga Puluh Tiga</v>
      </c>
    </row>
    <row r="12466" spans="1:12">
      <c r="J12466" s="31">
        <v>34</v>
      </c>
      <c r="K12466" s="33" t="s">
        <v>105</v>
      </c>
      <c r="L12466" s="31" t="str">
        <f t="shared" si="1203"/>
        <v>Tiga Puluh Empat</v>
      </c>
    </row>
    <row r="12467" spans="1:12">
      <c r="J12467" s="31">
        <v>35</v>
      </c>
      <c r="K12467" s="33" t="s">
        <v>106</v>
      </c>
      <c r="L12467" s="31" t="str">
        <f t="shared" si="1203"/>
        <v>Tiga Puluh Lima</v>
      </c>
    </row>
    <row r="12468" spans="1:12">
      <c r="J12468" s="31">
        <v>36</v>
      </c>
      <c r="K12468" s="33" t="s">
        <v>107</v>
      </c>
      <c r="L12468" s="31" t="str">
        <f t="shared" si="1203"/>
        <v>Tiga Puluh Enam</v>
      </c>
    </row>
    <row r="12469" spans="1:12">
      <c r="J12469" s="31">
        <v>37</v>
      </c>
      <c r="K12469" s="33" t="s">
        <v>108</v>
      </c>
      <c r="L12469" s="31" t="str">
        <f t="shared" si="1203"/>
        <v>Tiga Puluh Tujuh</v>
      </c>
    </row>
    <row r="12470" spans="1:12">
      <c r="J12470" s="31">
        <v>38</v>
      </c>
      <c r="K12470" s="33" t="s">
        <v>109</v>
      </c>
      <c r="L12470" s="31" t="str">
        <f t="shared" si="1203"/>
        <v>Tiga Puluh Delapan</v>
      </c>
    </row>
    <row r="12471" spans="1:12">
      <c r="J12471" s="31">
        <v>39</v>
      </c>
      <c r="K12471" s="33" t="s">
        <v>110</v>
      </c>
      <c r="L12471" s="31" t="str">
        <f t="shared" si="1203"/>
        <v>Tiga Puluh Sembilan</v>
      </c>
    </row>
    <row r="12472" spans="1:12">
      <c r="B12472" s="35"/>
      <c r="C12472" s="35"/>
      <c r="D12472" s="35"/>
      <c r="J12472" s="31">
        <v>40</v>
      </c>
      <c r="K12472" s="33" t="s">
        <v>111</v>
      </c>
      <c r="L12472" s="31" t="s">
        <v>112</v>
      </c>
    </row>
    <row r="12473" spans="1:12">
      <c r="A12473" s="35"/>
      <c r="B12473" s="35"/>
      <c r="C12473" s="35"/>
      <c r="D12473" s="35"/>
      <c r="J12473" s="31">
        <v>41</v>
      </c>
      <c r="K12473" s="33" t="s">
        <v>113</v>
      </c>
      <c r="L12473" s="31" t="str">
        <f t="shared" ref="L12473:L12481" si="1204">$L$43&amp;" "&amp;L12433</f>
        <v>Empat Puluh Satu</v>
      </c>
    </row>
    <row r="12474" spans="1:12">
      <c r="J12474" s="31">
        <v>42</v>
      </c>
      <c r="K12474" s="33" t="s">
        <v>114</v>
      </c>
      <c r="L12474" s="31" t="str">
        <f t="shared" si="1204"/>
        <v>Empat Puluh Dua</v>
      </c>
    </row>
    <row r="12475" spans="1:12">
      <c r="A12475" s="38"/>
      <c r="J12475" s="31">
        <v>43</v>
      </c>
      <c r="K12475" s="33" t="s">
        <v>115</v>
      </c>
      <c r="L12475" s="31" t="str">
        <f t="shared" si="1204"/>
        <v>Empat Puluh Tiga</v>
      </c>
    </row>
    <row r="12476" spans="1:12">
      <c r="J12476" s="31">
        <v>44</v>
      </c>
      <c r="K12476" s="33" t="s">
        <v>116</v>
      </c>
      <c r="L12476" s="31" t="str">
        <f t="shared" si="1204"/>
        <v>Empat Puluh Empat</v>
      </c>
    </row>
    <row r="12477" spans="1:12">
      <c r="J12477" s="31">
        <v>45</v>
      </c>
      <c r="K12477" s="33" t="s">
        <v>117</v>
      </c>
      <c r="L12477" s="31" t="str">
        <f t="shared" si="1204"/>
        <v>Empat Puluh Lima</v>
      </c>
    </row>
    <row r="12478" spans="1:12">
      <c r="J12478" s="31">
        <v>46</v>
      </c>
      <c r="K12478" s="33" t="s">
        <v>118</v>
      </c>
      <c r="L12478" s="31" t="str">
        <f t="shared" si="1204"/>
        <v>Empat Puluh Enam</v>
      </c>
    </row>
    <row r="12479" spans="1:12">
      <c r="J12479" s="31">
        <v>47</v>
      </c>
      <c r="K12479" s="33" t="s">
        <v>119</v>
      </c>
      <c r="L12479" s="31" t="str">
        <f t="shared" si="1204"/>
        <v>Empat Puluh Tujuh</v>
      </c>
    </row>
    <row r="12480" spans="1:12">
      <c r="J12480" s="31">
        <v>48</v>
      </c>
      <c r="K12480" s="33" t="s">
        <v>120</v>
      </c>
      <c r="L12480" s="31" t="str">
        <f t="shared" si="1204"/>
        <v>Empat Puluh Delapan</v>
      </c>
    </row>
    <row r="12481" spans="10:12">
      <c r="J12481" s="31">
        <v>49</v>
      </c>
      <c r="K12481" s="33" t="s">
        <v>121</v>
      </c>
      <c r="L12481" s="31" t="str">
        <f t="shared" si="1204"/>
        <v>Empat Puluh Sembilan</v>
      </c>
    </row>
    <row r="12482" spans="10:12">
      <c r="J12482" s="31">
        <v>50</v>
      </c>
      <c r="K12482" s="33" t="s">
        <v>122</v>
      </c>
      <c r="L12482" s="31" t="s">
        <v>123</v>
      </c>
    </row>
    <row r="12483" spans="10:12">
      <c r="J12483" s="31">
        <v>51</v>
      </c>
      <c r="K12483" s="33" t="s">
        <v>124</v>
      </c>
      <c r="L12483" s="31" t="str">
        <f t="shared" ref="L12483:L12491" si="1205">$L$53&amp;" "&amp;L12433</f>
        <v>Lima Puluh Satu</v>
      </c>
    </row>
    <row r="12484" spans="10:12">
      <c r="J12484" s="31">
        <v>52</v>
      </c>
      <c r="K12484" s="33" t="s">
        <v>125</v>
      </c>
      <c r="L12484" s="31" t="str">
        <f t="shared" si="1205"/>
        <v>Lima Puluh Dua</v>
      </c>
    </row>
    <row r="12485" spans="10:12">
      <c r="J12485" s="31">
        <v>53</v>
      </c>
      <c r="K12485" s="33" t="s">
        <v>126</v>
      </c>
      <c r="L12485" s="31" t="str">
        <f t="shared" si="1205"/>
        <v>Lima Puluh Tiga</v>
      </c>
    </row>
    <row r="12486" spans="10:12">
      <c r="J12486" s="31">
        <v>54</v>
      </c>
      <c r="K12486" s="33" t="s">
        <v>127</v>
      </c>
      <c r="L12486" s="31" t="str">
        <f t="shared" si="1205"/>
        <v>Lima Puluh Empat</v>
      </c>
    </row>
    <row r="12487" spans="10:12">
      <c r="J12487" s="31">
        <v>55</v>
      </c>
      <c r="K12487" s="33" t="s">
        <v>128</v>
      </c>
      <c r="L12487" s="31" t="str">
        <f t="shared" si="1205"/>
        <v>Lima Puluh Lima</v>
      </c>
    </row>
    <row r="12488" spans="10:12">
      <c r="J12488" s="31">
        <v>56</v>
      </c>
      <c r="K12488" s="33" t="s">
        <v>129</v>
      </c>
      <c r="L12488" s="31" t="str">
        <f t="shared" si="1205"/>
        <v>Lima Puluh Enam</v>
      </c>
    </row>
    <row r="12489" spans="10:12">
      <c r="J12489" s="31">
        <v>57</v>
      </c>
      <c r="K12489" s="33" t="s">
        <v>130</v>
      </c>
      <c r="L12489" s="31" t="str">
        <f t="shared" si="1205"/>
        <v>Lima Puluh Tujuh</v>
      </c>
    </row>
    <row r="12490" spans="10:12">
      <c r="J12490" s="31">
        <v>58</v>
      </c>
      <c r="K12490" s="33" t="s">
        <v>131</v>
      </c>
      <c r="L12490" s="31" t="str">
        <f t="shared" si="1205"/>
        <v>Lima Puluh Delapan</v>
      </c>
    </row>
    <row r="12491" spans="10:12">
      <c r="J12491" s="31">
        <v>59</v>
      </c>
      <c r="K12491" s="33" t="s">
        <v>132</v>
      </c>
      <c r="L12491" s="31" t="str">
        <f t="shared" si="1205"/>
        <v>Lima Puluh Sembilan</v>
      </c>
    </row>
    <row r="12492" spans="10:12">
      <c r="J12492" s="31">
        <v>60</v>
      </c>
      <c r="K12492" s="33" t="s">
        <v>133</v>
      </c>
      <c r="L12492" s="31" t="s">
        <v>134</v>
      </c>
    </row>
    <row r="12493" spans="10:12">
      <c r="J12493" s="31">
        <v>61</v>
      </c>
      <c r="K12493" s="33" t="s">
        <v>135</v>
      </c>
      <c r="L12493" s="31" t="str">
        <f t="shared" ref="L12493:L12501" si="1206">$L$63&amp;" "&amp;L12433</f>
        <v>Enam Puluh Satu</v>
      </c>
    </row>
    <row r="12494" spans="10:12">
      <c r="J12494" s="31">
        <v>62</v>
      </c>
      <c r="K12494" s="33" t="s">
        <v>136</v>
      </c>
      <c r="L12494" s="31" t="str">
        <f t="shared" si="1206"/>
        <v>Enam Puluh Dua</v>
      </c>
    </row>
    <row r="12495" spans="10:12">
      <c r="J12495" s="31">
        <v>63</v>
      </c>
      <c r="K12495" s="33" t="s">
        <v>137</v>
      </c>
      <c r="L12495" s="31" t="str">
        <f t="shared" si="1206"/>
        <v>Enam Puluh Tiga</v>
      </c>
    </row>
    <row r="12496" spans="10:12">
      <c r="J12496" s="31">
        <v>64</v>
      </c>
      <c r="K12496" s="33" t="s">
        <v>138</v>
      </c>
      <c r="L12496" s="31" t="str">
        <f t="shared" si="1206"/>
        <v>Enam Puluh Empat</v>
      </c>
    </row>
    <row r="12497" spans="10:12">
      <c r="J12497" s="31">
        <v>65</v>
      </c>
      <c r="K12497" s="33" t="s">
        <v>139</v>
      </c>
      <c r="L12497" s="31" t="str">
        <f t="shared" si="1206"/>
        <v>Enam Puluh Lima</v>
      </c>
    </row>
    <row r="12498" spans="10:12">
      <c r="J12498" s="31">
        <v>66</v>
      </c>
      <c r="K12498" s="33" t="s">
        <v>140</v>
      </c>
      <c r="L12498" s="31" t="str">
        <f t="shared" si="1206"/>
        <v>Enam Puluh Enam</v>
      </c>
    </row>
    <row r="12499" spans="10:12">
      <c r="J12499" s="31">
        <v>67</v>
      </c>
      <c r="K12499" s="33" t="s">
        <v>141</v>
      </c>
      <c r="L12499" s="31" t="str">
        <f t="shared" si="1206"/>
        <v>Enam Puluh Tujuh</v>
      </c>
    </row>
    <row r="12500" spans="10:12">
      <c r="J12500" s="31">
        <v>68</v>
      </c>
      <c r="K12500" s="33" t="s">
        <v>142</v>
      </c>
      <c r="L12500" s="31" t="str">
        <f t="shared" si="1206"/>
        <v>Enam Puluh Delapan</v>
      </c>
    </row>
    <row r="12501" spans="10:12">
      <c r="J12501" s="31">
        <v>69</v>
      </c>
      <c r="K12501" s="33" t="s">
        <v>143</v>
      </c>
      <c r="L12501" s="31" t="str">
        <f t="shared" si="1206"/>
        <v>Enam Puluh Sembilan</v>
      </c>
    </row>
    <row r="12502" spans="10:12">
      <c r="J12502" s="31">
        <v>70</v>
      </c>
      <c r="K12502" s="33" t="s">
        <v>144</v>
      </c>
      <c r="L12502" s="31" t="s">
        <v>145</v>
      </c>
    </row>
    <row r="12503" spans="10:12">
      <c r="J12503" s="31">
        <v>71</v>
      </c>
      <c r="K12503" s="33" t="s">
        <v>146</v>
      </c>
      <c r="L12503" s="31" t="str">
        <f t="shared" ref="L12503:L12511" si="1207">$L$73&amp;" "&amp;L12433</f>
        <v>Tujuh Puluh Satu</v>
      </c>
    </row>
    <row r="12504" spans="10:12">
      <c r="J12504" s="31">
        <v>72</v>
      </c>
      <c r="K12504" s="33" t="s">
        <v>147</v>
      </c>
      <c r="L12504" s="31" t="str">
        <f t="shared" si="1207"/>
        <v>Tujuh Puluh Dua</v>
      </c>
    </row>
    <row r="12505" spans="10:12">
      <c r="J12505" s="31">
        <v>73</v>
      </c>
      <c r="K12505" s="33" t="s">
        <v>148</v>
      </c>
      <c r="L12505" s="31" t="str">
        <f t="shared" si="1207"/>
        <v>Tujuh Puluh Tiga</v>
      </c>
    </row>
    <row r="12506" spans="10:12">
      <c r="J12506" s="31">
        <v>74</v>
      </c>
      <c r="K12506" s="33" t="s">
        <v>149</v>
      </c>
      <c r="L12506" s="31" t="str">
        <f t="shared" si="1207"/>
        <v>Tujuh Puluh Empat</v>
      </c>
    </row>
    <row r="12507" spans="10:12">
      <c r="J12507" s="31">
        <v>75</v>
      </c>
      <c r="K12507" s="33" t="s">
        <v>150</v>
      </c>
      <c r="L12507" s="31" t="str">
        <f t="shared" si="1207"/>
        <v>Tujuh Puluh Lima</v>
      </c>
    </row>
    <row r="12508" spans="10:12">
      <c r="J12508" s="31">
        <v>76</v>
      </c>
      <c r="K12508" s="33" t="s">
        <v>151</v>
      </c>
      <c r="L12508" s="31" t="str">
        <f t="shared" si="1207"/>
        <v>Tujuh Puluh Enam</v>
      </c>
    </row>
    <row r="12509" spans="10:12">
      <c r="J12509" s="31">
        <v>77</v>
      </c>
      <c r="K12509" s="33" t="s">
        <v>152</v>
      </c>
      <c r="L12509" s="31" t="str">
        <f t="shared" si="1207"/>
        <v>Tujuh Puluh Tujuh</v>
      </c>
    </row>
    <row r="12510" spans="10:12">
      <c r="J12510" s="31">
        <v>78</v>
      </c>
      <c r="K12510" s="33" t="s">
        <v>153</v>
      </c>
      <c r="L12510" s="31" t="str">
        <f t="shared" si="1207"/>
        <v>Tujuh Puluh Delapan</v>
      </c>
    </row>
    <row r="12511" spans="10:12">
      <c r="J12511" s="31">
        <v>79</v>
      </c>
      <c r="K12511" s="33" t="s">
        <v>154</v>
      </c>
      <c r="L12511" s="31" t="str">
        <f t="shared" si="1207"/>
        <v>Tujuh Puluh Sembilan</v>
      </c>
    </row>
    <row r="12512" spans="10:12">
      <c r="J12512" s="31">
        <v>80</v>
      </c>
      <c r="K12512" s="33" t="s">
        <v>155</v>
      </c>
      <c r="L12512" s="31" t="s">
        <v>156</v>
      </c>
    </row>
    <row r="12513" spans="10:12">
      <c r="J12513" s="31">
        <v>81</v>
      </c>
      <c r="K12513" s="33" t="s">
        <v>157</v>
      </c>
      <c r="L12513" s="31" t="str">
        <f t="shared" ref="L12513:L12521" si="1208">$L$83&amp;" "&amp;L12433</f>
        <v>Delapan Puluh Satu</v>
      </c>
    </row>
    <row r="12514" spans="10:12">
      <c r="J12514" s="31">
        <v>82</v>
      </c>
      <c r="K12514" s="33" t="s">
        <v>158</v>
      </c>
      <c r="L12514" s="31" t="str">
        <f t="shared" si="1208"/>
        <v>Delapan Puluh Dua</v>
      </c>
    </row>
    <row r="12515" spans="10:12">
      <c r="J12515" s="31">
        <v>83</v>
      </c>
      <c r="K12515" s="33" t="s">
        <v>159</v>
      </c>
      <c r="L12515" s="31" t="str">
        <f t="shared" si="1208"/>
        <v>Delapan Puluh Tiga</v>
      </c>
    </row>
    <row r="12516" spans="10:12">
      <c r="J12516" s="31">
        <v>84</v>
      </c>
      <c r="K12516" s="33" t="s">
        <v>160</v>
      </c>
      <c r="L12516" s="31" t="str">
        <f t="shared" si="1208"/>
        <v>Delapan Puluh Empat</v>
      </c>
    </row>
    <row r="12517" spans="10:12">
      <c r="J12517" s="31">
        <v>85</v>
      </c>
      <c r="K12517" s="33" t="s">
        <v>161</v>
      </c>
      <c r="L12517" s="31" t="str">
        <f t="shared" si="1208"/>
        <v>Delapan Puluh Lima</v>
      </c>
    </row>
    <row r="12518" spans="10:12">
      <c r="J12518" s="31">
        <v>86</v>
      </c>
      <c r="K12518" s="33" t="s">
        <v>162</v>
      </c>
      <c r="L12518" s="31" t="str">
        <f t="shared" si="1208"/>
        <v>Delapan Puluh Enam</v>
      </c>
    </row>
    <row r="12519" spans="10:12">
      <c r="J12519" s="31">
        <v>87</v>
      </c>
      <c r="K12519" s="33" t="s">
        <v>163</v>
      </c>
      <c r="L12519" s="31" t="str">
        <f t="shared" si="1208"/>
        <v>Delapan Puluh Tujuh</v>
      </c>
    </row>
    <row r="12520" spans="10:12">
      <c r="J12520" s="31">
        <v>88</v>
      </c>
      <c r="K12520" s="33" t="s">
        <v>164</v>
      </c>
      <c r="L12520" s="31" t="str">
        <f t="shared" si="1208"/>
        <v>Delapan Puluh Delapan</v>
      </c>
    </row>
    <row r="12521" spans="10:12">
      <c r="J12521" s="31">
        <v>89</v>
      </c>
      <c r="K12521" s="33" t="s">
        <v>165</v>
      </c>
      <c r="L12521" s="31" t="str">
        <f t="shared" si="1208"/>
        <v>Delapan Puluh Sembilan</v>
      </c>
    </row>
    <row r="12522" spans="10:12">
      <c r="J12522" s="31">
        <v>90</v>
      </c>
      <c r="K12522" s="33" t="s">
        <v>166</v>
      </c>
      <c r="L12522" s="31" t="s">
        <v>167</v>
      </c>
    </row>
    <row r="12523" spans="10:12">
      <c r="J12523" s="31">
        <v>91</v>
      </c>
      <c r="K12523" s="33" t="s">
        <v>168</v>
      </c>
      <c r="L12523" s="31" t="str">
        <f t="shared" ref="L12523:L12531" si="1209">$L$93&amp;" "&amp;L12433</f>
        <v>Sembilan Puluh Satu</v>
      </c>
    </row>
    <row r="12524" spans="10:12">
      <c r="J12524" s="31">
        <v>92</v>
      </c>
      <c r="K12524" s="33" t="s">
        <v>169</v>
      </c>
      <c r="L12524" s="31" t="str">
        <f t="shared" si="1209"/>
        <v>Sembilan Puluh Dua</v>
      </c>
    </row>
    <row r="12525" spans="10:12">
      <c r="J12525" s="31">
        <v>93</v>
      </c>
      <c r="K12525" s="33" t="s">
        <v>170</v>
      </c>
      <c r="L12525" s="31" t="str">
        <f t="shared" si="1209"/>
        <v>Sembilan Puluh Tiga</v>
      </c>
    </row>
    <row r="12526" spans="10:12">
      <c r="J12526" s="31">
        <v>94</v>
      </c>
      <c r="K12526" s="33" t="s">
        <v>171</v>
      </c>
      <c r="L12526" s="31" t="str">
        <f t="shared" si="1209"/>
        <v>Sembilan Puluh Empat</v>
      </c>
    </row>
    <row r="12527" spans="10:12">
      <c r="J12527" s="31">
        <v>95</v>
      </c>
      <c r="K12527" s="33" t="s">
        <v>172</v>
      </c>
      <c r="L12527" s="31" t="str">
        <f t="shared" si="1209"/>
        <v>Sembilan Puluh Lima</v>
      </c>
    </row>
    <row r="12528" spans="10:12">
      <c r="J12528" s="31">
        <v>96</v>
      </c>
      <c r="K12528" s="33" t="s">
        <v>173</v>
      </c>
      <c r="L12528" s="31" t="str">
        <f t="shared" si="1209"/>
        <v>Sembilan Puluh Enam</v>
      </c>
    </row>
    <row r="12529" spans="1:12">
      <c r="J12529" s="31">
        <v>97</v>
      </c>
      <c r="K12529" s="33" t="s">
        <v>174</v>
      </c>
      <c r="L12529" s="31" t="str">
        <f t="shared" si="1209"/>
        <v>Sembilan Puluh Tujuh</v>
      </c>
    </row>
    <row r="12530" spans="1:12">
      <c r="J12530" s="31">
        <v>98</v>
      </c>
      <c r="K12530" s="33" t="s">
        <v>175</v>
      </c>
      <c r="L12530" s="31" t="str">
        <f t="shared" si="1209"/>
        <v>Sembilan Puluh Delapan</v>
      </c>
    </row>
    <row r="12531" spans="1:12">
      <c r="J12531" s="31">
        <v>99</v>
      </c>
      <c r="K12531" s="33" t="s">
        <v>176</v>
      </c>
      <c r="L12531" s="31" t="str">
        <f t="shared" si="1209"/>
        <v>Sembilan Puluh Sembilan</v>
      </c>
    </row>
    <row r="12533" spans="1:12">
      <c r="A12533" s="30" t="e">
        <f>#REF!</f>
        <v>#REF!</v>
      </c>
      <c r="C12533" s="31" t="s">
        <v>355</v>
      </c>
    </row>
    <row r="12534" spans="1:12">
      <c r="A12534" s="32"/>
    </row>
    <row r="12535" spans="1:12">
      <c r="J12535" s="31">
        <v>0</v>
      </c>
      <c r="K12535" s="33" t="s">
        <v>48</v>
      </c>
      <c r="L12535" s="31" t="s">
        <v>49</v>
      </c>
    </row>
    <row r="12536" spans="1:12">
      <c r="A12536" s="34"/>
      <c r="J12536" s="31">
        <v>1</v>
      </c>
      <c r="K12536" s="33" t="s">
        <v>50</v>
      </c>
      <c r="L12536" s="31" t="s">
        <v>51</v>
      </c>
    </row>
    <row r="12537" spans="1:12">
      <c r="A12537" s="255" t="e">
        <f>TRIM(D12545&amp;E12545&amp;D12546&amp;E12546&amp;D12547&amp;E12547&amp;D12548&amp;E12548&amp;D12549&amp;E12549&amp;D12550&amp;E12550&amp;E12551&amp;D12551&amp;" Only")</f>
        <v>#REF!</v>
      </c>
      <c r="B12537" s="255"/>
      <c r="C12537" s="255"/>
      <c r="D12537" s="255"/>
      <c r="E12537" s="35"/>
      <c r="F12537" s="36"/>
      <c r="J12537" s="31">
        <v>2</v>
      </c>
      <c r="K12537" s="33" t="s">
        <v>52</v>
      </c>
      <c r="L12537" s="31" t="s">
        <v>53</v>
      </c>
    </row>
    <row r="12538" spans="1:12">
      <c r="A12538" s="37"/>
      <c r="B12538" s="37"/>
      <c r="C12538" s="37"/>
      <c r="D12538" s="37"/>
      <c r="E12538" s="35"/>
      <c r="F12538" s="36"/>
      <c r="J12538" s="31">
        <v>3</v>
      </c>
      <c r="K12538" s="33" t="s">
        <v>54</v>
      </c>
      <c r="L12538" s="31" t="s">
        <v>55</v>
      </c>
    </row>
    <row r="12539" spans="1:12">
      <c r="A12539" s="37"/>
      <c r="B12539" s="37"/>
      <c r="C12539" s="37"/>
      <c r="D12539" s="37"/>
      <c r="J12539" s="31">
        <v>4</v>
      </c>
      <c r="K12539" s="33" t="s">
        <v>56</v>
      </c>
      <c r="L12539" s="31" t="s">
        <v>57</v>
      </c>
    </row>
    <row r="12540" spans="1:12">
      <c r="A12540" s="255" t="e">
        <f>TRIM(D12555&amp;E12555&amp;D12556&amp;E12556&amp;D12557&amp;E12557&amp;D12558&amp;E12558&amp;D12559&amp;E12559&amp;D12560&amp;E12560&amp;D12561&amp;E12561&amp;" Rupiah")</f>
        <v>#REF!</v>
      </c>
      <c r="B12540" s="255"/>
      <c r="C12540" s="255"/>
      <c r="D12540" s="255"/>
      <c r="E12540" s="35"/>
      <c r="F12540" s="36"/>
      <c r="J12540" s="31">
        <v>5</v>
      </c>
      <c r="K12540" s="33" t="s">
        <v>58</v>
      </c>
      <c r="L12540" s="31" t="s">
        <v>59</v>
      </c>
    </row>
    <row r="12541" spans="1:12">
      <c r="A12541" s="35"/>
      <c r="B12541" s="35"/>
      <c r="C12541" s="35"/>
      <c r="D12541" s="35"/>
      <c r="E12541" s="35"/>
      <c r="F12541" s="36"/>
      <c r="J12541" s="31">
        <v>6</v>
      </c>
      <c r="K12541" s="33" t="s">
        <v>60</v>
      </c>
      <c r="L12541" s="31" t="s">
        <v>61</v>
      </c>
    </row>
    <row r="12542" spans="1:12">
      <c r="J12542" s="31">
        <v>7</v>
      </c>
      <c r="K12542" s="33" t="s">
        <v>62</v>
      </c>
      <c r="L12542" s="31" t="s">
        <v>63</v>
      </c>
    </row>
    <row r="12543" spans="1:12">
      <c r="J12543" s="31">
        <v>8</v>
      </c>
      <c r="K12543" s="33" t="s">
        <v>64</v>
      </c>
      <c r="L12543" s="31" t="s">
        <v>65</v>
      </c>
    </row>
    <row r="12544" spans="1:12">
      <c r="A12544" s="38" t="s">
        <v>66</v>
      </c>
      <c r="J12544" s="31">
        <v>9</v>
      </c>
      <c r="K12544" s="33" t="s">
        <v>67</v>
      </c>
      <c r="L12544" s="31" t="s">
        <v>68</v>
      </c>
    </row>
    <row r="12545" spans="1:12">
      <c r="A12545" s="31" t="s">
        <v>69</v>
      </c>
      <c r="B12545" s="39" t="e">
        <f>TRUNC(A12533/100000000)</f>
        <v>#REF!</v>
      </c>
      <c r="C12545" s="31" t="e">
        <f>B12545*100000000</f>
        <v>#REF!</v>
      </c>
      <c r="D12545" s="31" t="e">
        <f t="shared" ref="D12545:D12551" si="1210">IF(B12545&lt;1,"",VLOOKUP(B12545,$J$3:$K$102,2))</f>
        <v>#REF!</v>
      </c>
      <c r="E12545" s="31" t="e">
        <f>IF(B12545&lt;1,"",IF(B12545&gt;1," Hundreds "," Hundred "))</f>
        <v>#REF!</v>
      </c>
      <c r="J12545" s="31">
        <v>10</v>
      </c>
      <c r="K12545" s="33" t="s">
        <v>70</v>
      </c>
      <c r="L12545" s="31" t="s">
        <v>71</v>
      </c>
    </row>
    <row r="12546" spans="1:12">
      <c r="A12546" s="31" t="s">
        <v>72</v>
      </c>
      <c r="B12546" s="39" t="e">
        <f>TRUNC((A12533-C12545)/1000000)</f>
        <v>#REF!</v>
      </c>
      <c r="C12546" s="31" t="e">
        <f>B12546*1000000</f>
        <v>#REF!</v>
      </c>
      <c r="D12546" s="31" t="e">
        <f t="shared" si="1210"/>
        <v>#REF!</v>
      </c>
      <c r="E12546" s="31" t="e">
        <f>IF(B12545+B12546=0,"",IF(B12546=1," Million "," Millions "))</f>
        <v>#REF!</v>
      </c>
      <c r="J12546" s="31">
        <v>11</v>
      </c>
      <c r="K12546" s="33" t="s">
        <v>73</v>
      </c>
      <c r="L12546" s="31" t="s">
        <v>74</v>
      </c>
    </row>
    <row r="12547" spans="1:12">
      <c r="A12547" s="31" t="s">
        <v>75</v>
      </c>
      <c r="B12547" s="39" t="e">
        <f>TRUNC((A12533-SUM(C12545:C12546))/100000)</f>
        <v>#REF!</v>
      </c>
      <c r="C12547" s="31" t="e">
        <f>B12547*100000</f>
        <v>#REF!</v>
      </c>
      <c r="D12547" s="31" t="e">
        <f t="shared" si="1210"/>
        <v>#REF!</v>
      </c>
      <c r="E12547" s="31" t="e">
        <f>IF(B12547&lt;1,"",IF(B12547&gt;1," Hundreds "," Hundred "))</f>
        <v>#REF!</v>
      </c>
      <c r="J12547" s="31">
        <v>12</v>
      </c>
      <c r="K12547" s="33" t="s">
        <v>76</v>
      </c>
      <c r="L12547" s="31" t="str">
        <f t="shared" ref="L12547:L12554" si="1211">L12537&amp;" Belas"</f>
        <v>Dua Belas</v>
      </c>
    </row>
    <row r="12548" spans="1:12">
      <c r="A12548" s="33" t="s">
        <v>77</v>
      </c>
      <c r="B12548" s="40" t="e">
        <f>TRUNC((A12533-SUM(C12545:C12547))/1000)</f>
        <v>#REF!</v>
      </c>
      <c r="C12548" s="31" t="e">
        <f>B12548*1000</f>
        <v>#REF!</v>
      </c>
      <c r="D12548" s="31" t="e">
        <f t="shared" si="1210"/>
        <v>#REF!</v>
      </c>
      <c r="E12548" s="31" t="e">
        <f>IF(B12547+B12548=0,"",IF(B12548=1," Thousand "," Thousands "))</f>
        <v>#REF!</v>
      </c>
      <c r="J12548" s="31">
        <v>13</v>
      </c>
      <c r="K12548" s="33" t="s">
        <v>78</v>
      </c>
      <c r="L12548" s="31" t="str">
        <f t="shared" si="1211"/>
        <v>Tiga Belas</v>
      </c>
    </row>
    <row r="12549" spans="1:12">
      <c r="A12549" s="33" t="s">
        <v>79</v>
      </c>
      <c r="B12549" s="40" t="e">
        <f>TRUNC((A12533-SUM(C12545:C12548))/100)</f>
        <v>#REF!</v>
      </c>
      <c r="C12549" s="31" t="e">
        <f>B12549*100</f>
        <v>#REF!</v>
      </c>
      <c r="D12549" s="31" t="e">
        <f t="shared" si="1210"/>
        <v>#REF!</v>
      </c>
      <c r="E12549" s="31" t="e">
        <f>IF(B12549&lt;1,"",IF(B12549&gt;1," Hundreds "," Hundred "))</f>
        <v>#REF!</v>
      </c>
      <c r="J12549" s="31">
        <v>14</v>
      </c>
      <c r="K12549" s="33" t="s">
        <v>80</v>
      </c>
      <c r="L12549" s="31" t="str">
        <f t="shared" si="1211"/>
        <v>Empat Belas</v>
      </c>
    </row>
    <row r="12550" spans="1:12">
      <c r="A12550" s="33" t="s">
        <v>81</v>
      </c>
      <c r="B12550" s="41" t="e">
        <f>TRUNC((A12533-SUM(C12545:C12549)))</f>
        <v>#REF!</v>
      </c>
      <c r="C12550" s="42" t="e">
        <f>B12550</f>
        <v>#REF!</v>
      </c>
      <c r="D12550" s="31" t="e">
        <f t="shared" si="1210"/>
        <v>#REF!</v>
      </c>
      <c r="E12550" s="31" t="e">
        <f>IF(SUM(C12545:C12550)&lt;1,"",IF(B12551&lt;1,""," And "))</f>
        <v>#REF!</v>
      </c>
      <c r="J12550" s="31">
        <v>15</v>
      </c>
      <c r="K12550" s="33" t="s">
        <v>82</v>
      </c>
      <c r="L12550" s="31" t="str">
        <f t="shared" si="1211"/>
        <v>Lima Belas</v>
      </c>
    </row>
    <row r="12551" spans="1:12">
      <c r="A12551" s="33" t="s">
        <v>83</v>
      </c>
      <c r="B12551" s="40" t="e">
        <f>ROUND(A12533-SUM(C12545:C12550),2)*100</f>
        <v>#REF!</v>
      </c>
      <c r="D12551" s="43" t="e">
        <f t="shared" si="1210"/>
        <v>#REF!</v>
      </c>
      <c r="E12551" s="31" t="e">
        <f>IF(B12551&lt;1,"",IF(B12551=1," Cent "," Cents "))</f>
        <v>#REF!</v>
      </c>
      <c r="J12551" s="31">
        <v>16</v>
      </c>
      <c r="K12551" s="33" t="s">
        <v>84</v>
      </c>
      <c r="L12551" s="31" t="str">
        <f t="shared" si="1211"/>
        <v>Enam Belas</v>
      </c>
    </row>
    <row r="12552" spans="1:12">
      <c r="J12552" s="31">
        <v>17</v>
      </c>
      <c r="K12552" s="33" t="s">
        <v>85</v>
      </c>
      <c r="L12552" s="31" t="str">
        <f t="shared" si="1211"/>
        <v>Tujuh Belas</v>
      </c>
    </row>
    <row r="12553" spans="1:12">
      <c r="A12553" s="44"/>
      <c r="J12553" s="31">
        <v>18</v>
      </c>
      <c r="K12553" s="33" t="s">
        <v>86</v>
      </c>
      <c r="L12553" s="31" t="str">
        <f t="shared" si="1211"/>
        <v>Delapan Belas</v>
      </c>
    </row>
    <row r="12554" spans="1:12">
      <c r="A12554" s="38" t="s">
        <v>87</v>
      </c>
      <c r="J12554" s="31">
        <v>19</v>
      </c>
      <c r="K12554" s="33" t="s">
        <v>88</v>
      </c>
      <c r="L12554" s="31" t="str">
        <f t="shared" si="1211"/>
        <v>Sembilan Belas</v>
      </c>
    </row>
    <row r="12555" spans="1:12">
      <c r="A12555" s="31" t="s">
        <v>69</v>
      </c>
      <c r="B12555" s="39" t="e">
        <f>TRUNC(A12533/100000000)</f>
        <v>#REF!</v>
      </c>
      <c r="C12555" s="31" t="e">
        <f>B12555*100000000</f>
        <v>#REF!</v>
      </c>
      <c r="D12555" s="31" t="e">
        <f>IF(B12555&lt;1,"",IF(B12555=1,"",VLOOKUP(B12555,$J$3:$L$102,3)))</f>
        <v>#REF!</v>
      </c>
      <c r="E12555" s="31" t="e">
        <f>IF(B12555&lt;1,"",IF(B12555=1,"Seratus "," Ratus "))</f>
        <v>#REF!</v>
      </c>
      <c r="J12555" s="31">
        <v>20</v>
      </c>
      <c r="K12555" s="33" t="s">
        <v>89</v>
      </c>
      <c r="L12555" s="31" t="s">
        <v>90</v>
      </c>
    </row>
    <row r="12556" spans="1:12">
      <c r="A12556" s="31" t="s">
        <v>72</v>
      </c>
      <c r="B12556" s="39" t="e">
        <f>TRUNC((A12533-C12555)/1000000)</f>
        <v>#REF!</v>
      </c>
      <c r="C12556" s="31" t="e">
        <f>B12556*1000000</f>
        <v>#REF!</v>
      </c>
      <c r="D12556" s="31" t="e">
        <f>IF(B12556&lt;1,"",VLOOKUP(B12556,$J$3:$L$102,3))</f>
        <v>#REF!</v>
      </c>
      <c r="E12556" s="31" t="e">
        <f>IF(B12555+B12556=0,""," Juta ")</f>
        <v>#REF!</v>
      </c>
      <c r="J12556" s="31">
        <v>21</v>
      </c>
      <c r="K12556" s="33" t="s">
        <v>91</v>
      </c>
      <c r="L12556" s="31" t="str">
        <f t="shared" ref="L12556:L12564" si="1212">$L$23&amp;" "&amp;L12536</f>
        <v>Dua Puluh Satu</v>
      </c>
    </row>
    <row r="12557" spans="1:12">
      <c r="A12557" s="31" t="s">
        <v>75</v>
      </c>
      <c r="B12557" s="39" t="e">
        <f>TRUNC((A12533-SUM(C12555:C12556))/100000)</f>
        <v>#REF!</v>
      </c>
      <c r="C12557" s="31" t="e">
        <f>B12557*100000</f>
        <v>#REF!</v>
      </c>
      <c r="D12557" s="31" t="e">
        <f>IF(B12557&lt;1,"",IF(B12557=1,"",VLOOKUP(B12557,$J$3:$L$102,3)))</f>
        <v>#REF!</v>
      </c>
      <c r="E12557" s="31" t="e">
        <f>IF(B12557&lt;1,"",IF(B12557=1," Seratus "," Ratus "))</f>
        <v>#REF!</v>
      </c>
      <c r="J12557" s="31">
        <v>22</v>
      </c>
      <c r="K12557" s="33" t="s">
        <v>92</v>
      </c>
      <c r="L12557" s="31" t="str">
        <f t="shared" si="1212"/>
        <v>Dua Puluh Dua</v>
      </c>
    </row>
    <row r="12558" spans="1:12">
      <c r="A12558" s="33" t="s">
        <v>77</v>
      </c>
      <c r="B12558" s="40" t="e">
        <f>TRUNC((A12533-SUM(C12555:C12557))/1000)</f>
        <v>#REF!</v>
      </c>
      <c r="C12558" s="31" t="e">
        <f>B12558*1000</f>
        <v>#REF!</v>
      </c>
      <c r="D12558" s="31" t="e">
        <f>IF(B12558&lt;1,"",IF(B12558=1,"",VLOOKUP(B12558,$J$3:$L$102,3)))</f>
        <v>#REF!</v>
      </c>
      <c r="E12558" s="31" t="e">
        <f>IF(B12557+B12558&lt;1,"",IF(B12558=1," Seribu "," Ribu "))</f>
        <v>#REF!</v>
      </c>
      <c r="J12558" s="31">
        <v>23</v>
      </c>
      <c r="K12558" s="33" t="s">
        <v>93</v>
      </c>
      <c r="L12558" s="31" t="str">
        <f t="shared" si="1212"/>
        <v>Dua Puluh Tiga</v>
      </c>
    </row>
    <row r="12559" spans="1:12">
      <c r="A12559" s="33" t="s">
        <v>79</v>
      </c>
      <c r="B12559" s="40" t="e">
        <f>TRUNC((A12533-SUM(C12555:C12558))/100)</f>
        <v>#REF!</v>
      </c>
      <c r="C12559" s="31" t="e">
        <f>B12559*100</f>
        <v>#REF!</v>
      </c>
      <c r="D12559" s="31" t="e">
        <f>IF(B12559&lt;1,"",IF(B12559=1,"",VLOOKUP(B12559,$J$3:$L$102,3)))</f>
        <v>#REF!</v>
      </c>
      <c r="E12559" s="31" t="e">
        <f>IF(B12559&lt;1,"",IF(B12559=1," Seratus "," Ratus "))</f>
        <v>#REF!</v>
      </c>
      <c r="J12559" s="31">
        <v>24</v>
      </c>
      <c r="K12559" s="33" t="s">
        <v>94</v>
      </c>
      <c r="L12559" s="31" t="str">
        <f t="shared" si="1212"/>
        <v>Dua Puluh Empat</v>
      </c>
    </row>
    <row r="12560" spans="1:12">
      <c r="A12560" s="33" t="s">
        <v>81</v>
      </c>
      <c r="B12560" s="41" t="e">
        <f>TRUNC((A12533-SUM(C12555:C12559)))</f>
        <v>#REF!</v>
      </c>
      <c r="C12560" s="42" t="e">
        <f>B12560</f>
        <v>#REF!</v>
      </c>
      <c r="D12560" s="31" t="e">
        <f>IF(B12560&lt;1,"",VLOOKUP(B12560,$J$3:$L$102,3))</f>
        <v>#REF!</v>
      </c>
      <c r="E12560" s="31" t="e">
        <f>IF(SUM(C12555:C12560)&lt;1,"",IF(B12561&lt;1,""," Dan "))</f>
        <v>#REF!</v>
      </c>
      <c r="J12560" s="31">
        <v>25</v>
      </c>
      <c r="K12560" s="33" t="s">
        <v>95</v>
      </c>
      <c r="L12560" s="31" t="str">
        <f t="shared" si="1212"/>
        <v>Dua Puluh Lima</v>
      </c>
    </row>
    <row r="12561" spans="1:12">
      <c r="A12561" s="33" t="s">
        <v>83</v>
      </c>
      <c r="B12561" s="40" t="e">
        <f>ROUND(A12533-SUM(C12555:C12560),2)*100</f>
        <v>#REF!</v>
      </c>
      <c r="D12561" s="31" t="e">
        <f>IF(B12561&lt;1,"",VLOOKUP(B12561,$J$3:$L$102,3))</f>
        <v>#REF!</v>
      </c>
      <c r="E12561" s="31" t="e">
        <f>IF(B12561&lt;1,""," Sen ")</f>
        <v>#REF!</v>
      </c>
      <c r="J12561" s="31">
        <v>26</v>
      </c>
      <c r="K12561" s="33" t="s">
        <v>96</v>
      </c>
      <c r="L12561" s="31" t="str">
        <f t="shared" si="1212"/>
        <v>Dua Puluh Enam</v>
      </c>
    </row>
    <row r="12562" spans="1:12">
      <c r="J12562" s="31">
        <v>27</v>
      </c>
      <c r="K12562" s="33" t="s">
        <v>97</v>
      </c>
      <c r="L12562" s="31" t="str">
        <f t="shared" si="1212"/>
        <v>Dua Puluh Tujuh</v>
      </c>
    </row>
    <row r="12563" spans="1:12">
      <c r="J12563" s="31">
        <v>28</v>
      </c>
      <c r="K12563" s="33" t="s">
        <v>98</v>
      </c>
      <c r="L12563" s="31" t="str">
        <f t="shared" si="1212"/>
        <v>Dua Puluh Delapan</v>
      </c>
    </row>
    <row r="12564" spans="1:12">
      <c r="J12564" s="31">
        <v>29</v>
      </c>
      <c r="K12564" s="33" t="s">
        <v>99</v>
      </c>
      <c r="L12564" s="31" t="str">
        <f t="shared" si="1212"/>
        <v>Dua Puluh Sembilan</v>
      </c>
    </row>
    <row r="12565" spans="1:12">
      <c r="J12565" s="31">
        <v>30</v>
      </c>
      <c r="K12565" s="33" t="s">
        <v>100</v>
      </c>
      <c r="L12565" s="31" t="s">
        <v>101</v>
      </c>
    </row>
    <row r="12566" spans="1:12">
      <c r="J12566" s="31">
        <v>31</v>
      </c>
      <c r="K12566" s="33" t="s">
        <v>102</v>
      </c>
      <c r="L12566" s="31" t="str">
        <f t="shared" ref="L12566:L12574" si="1213">$L$33&amp;" "&amp;L12536</f>
        <v>Tiga Puluh Satu</v>
      </c>
    </row>
    <row r="12567" spans="1:12">
      <c r="J12567" s="31">
        <v>32</v>
      </c>
      <c r="K12567" s="33" t="s">
        <v>103</v>
      </c>
      <c r="L12567" s="31" t="str">
        <f t="shared" si="1213"/>
        <v>Tiga Puluh Dua</v>
      </c>
    </row>
    <row r="12568" spans="1:12">
      <c r="J12568" s="31">
        <v>33</v>
      </c>
      <c r="K12568" s="33" t="s">
        <v>104</v>
      </c>
      <c r="L12568" s="31" t="str">
        <f t="shared" si="1213"/>
        <v>Tiga Puluh Tiga</v>
      </c>
    </row>
    <row r="12569" spans="1:12">
      <c r="J12569" s="31">
        <v>34</v>
      </c>
      <c r="K12569" s="33" t="s">
        <v>105</v>
      </c>
      <c r="L12569" s="31" t="str">
        <f t="shared" si="1213"/>
        <v>Tiga Puluh Empat</v>
      </c>
    </row>
    <row r="12570" spans="1:12">
      <c r="J12570" s="31">
        <v>35</v>
      </c>
      <c r="K12570" s="33" t="s">
        <v>106</v>
      </c>
      <c r="L12570" s="31" t="str">
        <f t="shared" si="1213"/>
        <v>Tiga Puluh Lima</v>
      </c>
    </row>
    <row r="12571" spans="1:12">
      <c r="J12571" s="31">
        <v>36</v>
      </c>
      <c r="K12571" s="33" t="s">
        <v>107</v>
      </c>
      <c r="L12571" s="31" t="str">
        <f t="shared" si="1213"/>
        <v>Tiga Puluh Enam</v>
      </c>
    </row>
    <row r="12572" spans="1:12">
      <c r="J12572" s="31">
        <v>37</v>
      </c>
      <c r="K12572" s="33" t="s">
        <v>108</v>
      </c>
      <c r="L12572" s="31" t="str">
        <f t="shared" si="1213"/>
        <v>Tiga Puluh Tujuh</v>
      </c>
    </row>
    <row r="12573" spans="1:12">
      <c r="J12573" s="31">
        <v>38</v>
      </c>
      <c r="K12573" s="33" t="s">
        <v>109</v>
      </c>
      <c r="L12573" s="31" t="str">
        <f t="shared" si="1213"/>
        <v>Tiga Puluh Delapan</v>
      </c>
    </row>
    <row r="12574" spans="1:12">
      <c r="J12574" s="31">
        <v>39</v>
      </c>
      <c r="K12574" s="33" t="s">
        <v>110</v>
      </c>
      <c r="L12574" s="31" t="str">
        <f t="shared" si="1213"/>
        <v>Tiga Puluh Sembilan</v>
      </c>
    </row>
    <row r="12575" spans="1:12">
      <c r="B12575" s="35"/>
      <c r="C12575" s="35"/>
      <c r="D12575" s="35"/>
      <c r="J12575" s="31">
        <v>40</v>
      </c>
      <c r="K12575" s="33" t="s">
        <v>111</v>
      </c>
      <c r="L12575" s="31" t="s">
        <v>112</v>
      </c>
    </row>
    <row r="12576" spans="1:12">
      <c r="A12576" s="35"/>
      <c r="B12576" s="35"/>
      <c r="C12576" s="35"/>
      <c r="D12576" s="35"/>
      <c r="J12576" s="31">
        <v>41</v>
      </c>
      <c r="K12576" s="33" t="s">
        <v>113</v>
      </c>
      <c r="L12576" s="31" t="str">
        <f t="shared" ref="L12576:L12584" si="1214">$L$43&amp;" "&amp;L12536</f>
        <v>Empat Puluh Satu</v>
      </c>
    </row>
    <row r="12577" spans="1:12">
      <c r="J12577" s="31">
        <v>42</v>
      </c>
      <c r="K12577" s="33" t="s">
        <v>114</v>
      </c>
      <c r="L12577" s="31" t="str">
        <f t="shared" si="1214"/>
        <v>Empat Puluh Dua</v>
      </c>
    </row>
    <row r="12578" spans="1:12">
      <c r="A12578" s="38"/>
      <c r="J12578" s="31">
        <v>43</v>
      </c>
      <c r="K12578" s="33" t="s">
        <v>115</v>
      </c>
      <c r="L12578" s="31" t="str">
        <f t="shared" si="1214"/>
        <v>Empat Puluh Tiga</v>
      </c>
    </row>
    <row r="12579" spans="1:12">
      <c r="J12579" s="31">
        <v>44</v>
      </c>
      <c r="K12579" s="33" t="s">
        <v>116</v>
      </c>
      <c r="L12579" s="31" t="str">
        <f t="shared" si="1214"/>
        <v>Empat Puluh Empat</v>
      </c>
    </row>
    <row r="12580" spans="1:12">
      <c r="J12580" s="31">
        <v>45</v>
      </c>
      <c r="K12580" s="33" t="s">
        <v>117</v>
      </c>
      <c r="L12580" s="31" t="str">
        <f t="shared" si="1214"/>
        <v>Empat Puluh Lima</v>
      </c>
    </row>
    <row r="12581" spans="1:12">
      <c r="J12581" s="31">
        <v>46</v>
      </c>
      <c r="K12581" s="33" t="s">
        <v>118</v>
      </c>
      <c r="L12581" s="31" t="str">
        <f t="shared" si="1214"/>
        <v>Empat Puluh Enam</v>
      </c>
    </row>
    <row r="12582" spans="1:12">
      <c r="J12582" s="31">
        <v>47</v>
      </c>
      <c r="K12582" s="33" t="s">
        <v>119</v>
      </c>
      <c r="L12582" s="31" t="str">
        <f t="shared" si="1214"/>
        <v>Empat Puluh Tujuh</v>
      </c>
    </row>
    <row r="12583" spans="1:12">
      <c r="J12583" s="31">
        <v>48</v>
      </c>
      <c r="K12583" s="33" t="s">
        <v>120</v>
      </c>
      <c r="L12583" s="31" t="str">
        <f t="shared" si="1214"/>
        <v>Empat Puluh Delapan</v>
      </c>
    </row>
    <row r="12584" spans="1:12">
      <c r="J12584" s="31">
        <v>49</v>
      </c>
      <c r="K12584" s="33" t="s">
        <v>121</v>
      </c>
      <c r="L12584" s="31" t="str">
        <f t="shared" si="1214"/>
        <v>Empat Puluh Sembilan</v>
      </c>
    </row>
    <row r="12585" spans="1:12">
      <c r="J12585" s="31">
        <v>50</v>
      </c>
      <c r="K12585" s="33" t="s">
        <v>122</v>
      </c>
      <c r="L12585" s="31" t="s">
        <v>123</v>
      </c>
    </row>
    <row r="12586" spans="1:12">
      <c r="J12586" s="31">
        <v>51</v>
      </c>
      <c r="K12586" s="33" t="s">
        <v>124</v>
      </c>
      <c r="L12586" s="31" t="str">
        <f t="shared" ref="L12586:L12594" si="1215">$L$53&amp;" "&amp;L12536</f>
        <v>Lima Puluh Satu</v>
      </c>
    </row>
    <row r="12587" spans="1:12">
      <c r="J12587" s="31">
        <v>52</v>
      </c>
      <c r="K12587" s="33" t="s">
        <v>125</v>
      </c>
      <c r="L12587" s="31" t="str">
        <f t="shared" si="1215"/>
        <v>Lima Puluh Dua</v>
      </c>
    </row>
    <row r="12588" spans="1:12">
      <c r="J12588" s="31">
        <v>53</v>
      </c>
      <c r="K12588" s="33" t="s">
        <v>126</v>
      </c>
      <c r="L12588" s="31" t="str">
        <f t="shared" si="1215"/>
        <v>Lima Puluh Tiga</v>
      </c>
    </row>
    <row r="12589" spans="1:12">
      <c r="J12589" s="31">
        <v>54</v>
      </c>
      <c r="K12589" s="33" t="s">
        <v>127</v>
      </c>
      <c r="L12589" s="31" t="str">
        <f t="shared" si="1215"/>
        <v>Lima Puluh Empat</v>
      </c>
    </row>
    <row r="12590" spans="1:12">
      <c r="J12590" s="31">
        <v>55</v>
      </c>
      <c r="K12590" s="33" t="s">
        <v>128</v>
      </c>
      <c r="L12590" s="31" t="str">
        <f t="shared" si="1215"/>
        <v>Lima Puluh Lima</v>
      </c>
    </row>
    <row r="12591" spans="1:12">
      <c r="J12591" s="31">
        <v>56</v>
      </c>
      <c r="K12591" s="33" t="s">
        <v>129</v>
      </c>
      <c r="L12591" s="31" t="str">
        <f t="shared" si="1215"/>
        <v>Lima Puluh Enam</v>
      </c>
    </row>
    <row r="12592" spans="1:12">
      <c r="J12592" s="31">
        <v>57</v>
      </c>
      <c r="K12592" s="33" t="s">
        <v>130</v>
      </c>
      <c r="L12592" s="31" t="str">
        <f t="shared" si="1215"/>
        <v>Lima Puluh Tujuh</v>
      </c>
    </row>
    <row r="12593" spans="10:12">
      <c r="J12593" s="31">
        <v>58</v>
      </c>
      <c r="K12593" s="33" t="s">
        <v>131</v>
      </c>
      <c r="L12593" s="31" t="str">
        <f t="shared" si="1215"/>
        <v>Lima Puluh Delapan</v>
      </c>
    </row>
    <row r="12594" spans="10:12">
      <c r="J12594" s="31">
        <v>59</v>
      </c>
      <c r="K12594" s="33" t="s">
        <v>132</v>
      </c>
      <c r="L12594" s="31" t="str">
        <f t="shared" si="1215"/>
        <v>Lima Puluh Sembilan</v>
      </c>
    </row>
    <row r="12595" spans="10:12">
      <c r="J12595" s="31">
        <v>60</v>
      </c>
      <c r="K12595" s="33" t="s">
        <v>133</v>
      </c>
      <c r="L12595" s="31" t="s">
        <v>134</v>
      </c>
    </row>
    <row r="12596" spans="10:12">
      <c r="J12596" s="31">
        <v>61</v>
      </c>
      <c r="K12596" s="33" t="s">
        <v>135</v>
      </c>
      <c r="L12596" s="31" t="str">
        <f t="shared" ref="L12596:L12604" si="1216">$L$63&amp;" "&amp;L12536</f>
        <v>Enam Puluh Satu</v>
      </c>
    </row>
    <row r="12597" spans="10:12">
      <c r="J12597" s="31">
        <v>62</v>
      </c>
      <c r="K12597" s="33" t="s">
        <v>136</v>
      </c>
      <c r="L12597" s="31" t="str">
        <f t="shared" si="1216"/>
        <v>Enam Puluh Dua</v>
      </c>
    </row>
    <row r="12598" spans="10:12">
      <c r="J12598" s="31">
        <v>63</v>
      </c>
      <c r="K12598" s="33" t="s">
        <v>137</v>
      </c>
      <c r="L12598" s="31" t="str">
        <f t="shared" si="1216"/>
        <v>Enam Puluh Tiga</v>
      </c>
    </row>
    <row r="12599" spans="10:12">
      <c r="J12599" s="31">
        <v>64</v>
      </c>
      <c r="K12599" s="33" t="s">
        <v>138</v>
      </c>
      <c r="L12599" s="31" t="str">
        <f t="shared" si="1216"/>
        <v>Enam Puluh Empat</v>
      </c>
    </row>
    <row r="12600" spans="10:12">
      <c r="J12600" s="31">
        <v>65</v>
      </c>
      <c r="K12600" s="33" t="s">
        <v>139</v>
      </c>
      <c r="L12600" s="31" t="str">
        <f t="shared" si="1216"/>
        <v>Enam Puluh Lima</v>
      </c>
    </row>
    <row r="12601" spans="10:12">
      <c r="J12601" s="31">
        <v>66</v>
      </c>
      <c r="K12601" s="33" t="s">
        <v>140</v>
      </c>
      <c r="L12601" s="31" t="str">
        <f t="shared" si="1216"/>
        <v>Enam Puluh Enam</v>
      </c>
    </row>
    <row r="12602" spans="10:12">
      <c r="J12602" s="31">
        <v>67</v>
      </c>
      <c r="K12602" s="33" t="s">
        <v>141</v>
      </c>
      <c r="L12602" s="31" t="str">
        <f t="shared" si="1216"/>
        <v>Enam Puluh Tujuh</v>
      </c>
    </row>
    <row r="12603" spans="10:12">
      <c r="J12603" s="31">
        <v>68</v>
      </c>
      <c r="K12603" s="33" t="s">
        <v>142</v>
      </c>
      <c r="L12603" s="31" t="str">
        <f t="shared" si="1216"/>
        <v>Enam Puluh Delapan</v>
      </c>
    </row>
    <row r="12604" spans="10:12">
      <c r="J12604" s="31">
        <v>69</v>
      </c>
      <c r="K12604" s="33" t="s">
        <v>143</v>
      </c>
      <c r="L12604" s="31" t="str">
        <f t="shared" si="1216"/>
        <v>Enam Puluh Sembilan</v>
      </c>
    </row>
    <row r="12605" spans="10:12">
      <c r="J12605" s="31">
        <v>70</v>
      </c>
      <c r="K12605" s="33" t="s">
        <v>144</v>
      </c>
      <c r="L12605" s="31" t="s">
        <v>145</v>
      </c>
    </row>
    <row r="12606" spans="10:12">
      <c r="J12606" s="31">
        <v>71</v>
      </c>
      <c r="K12606" s="33" t="s">
        <v>146</v>
      </c>
      <c r="L12606" s="31" t="str">
        <f t="shared" ref="L12606:L12614" si="1217">$L$73&amp;" "&amp;L12536</f>
        <v>Tujuh Puluh Satu</v>
      </c>
    </row>
    <row r="12607" spans="10:12">
      <c r="J12607" s="31">
        <v>72</v>
      </c>
      <c r="K12607" s="33" t="s">
        <v>147</v>
      </c>
      <c r="L12607" s="31" t="str">
        <f t="shared" si="1217"/>
        <v>Tujuh Puluh Dua</v>
      </c>
    </row>
    <row r="12608" spans="10:12">
      <c r="J12608" s="31">
        <v>73</v>
      </c>
      <c r="K12608" s="33" t="s">
        <v>148</v>
      </c>
      <c r="L12608" s="31" t="str">
        <f t="shared" si="1217"/>
        <v>Tujuh Puluh Tiga</v>
      </c>
    </row>
    <row r="12609" spans="10:12">
      <c r="J12609" s="31">
        <v>74</v>
      </c>
      <c r="K12609" s="33" t="s">
        <v>149</v>
      </c>
      <c r="L12609" s="31" t="str">
        <f t="shared" si="1217"/>
        <v>Tujuh Puluh Empat</v>
      </c>
    </row>
    <row r="12610" spans="10:12">
      <c r="J12610" s="31">
        <v>75</v>
      </c>
      <c r="K12610" s="33" t="s">
        <v>150</v>
      </c>
      <c r="L12610" s="31" t="str">
        <f t="shared" si="1217"/>
        <v>Tujuh Puluh Lima</v>
      </c>
    </row>
    <row r="12611" spans="10:12">
      <c r="J12611" s="31">
        <v>76</v>
      </c>
      <c r="K12611" s="33" t="s">
        <v>151</v>
      </c>
      <c r="L12611" s="31" t="str">
        <f t="shared" si="1217"/>
        <v>Tujuh Puluh Enam</v>
      </c>
    </row>
    <row r="12612" spans="10:12">
      <c r="J12612" s="31">
        <v>77</v>
      </c>
      <c r="K12612" s="33" t="s">
        <v>152</v>
      </c>
      <c r="L12612" s="31" t="str">
        <f t="shared" si="1217"/>
        <v>Tujuh Puluh Tujuh</v>
      </c>
    </row>
    <row r="12613" spans="10:12">
      <c r="J12613" s="31">
        <v>78</v>
      </c>
      <c r="K12613" s="33" t="s">
        <v>153</v>
      </c>
      <c r="L12613" s="31" t="str">
        <f t="shared" si="1217"/>
        <v>Tujuh Puluh Delapan</v>
      </c>
    </row>
    <row r="12614" spans="10:12">
      <c r="J12614" s="31">
        <v>79</v>
      </c>
      <c r="K12614" s="33" t="s">
        <v>154</v>
      </c>
      <c r="L12614" s="31" t="str">
        <f t="shared" si="1217"/>
        <v>Tujuh Puluh Sembilan</v>
      </c>
    </row>
    <row r="12615" spans="10:12">
      <c r="J12615" s="31">
        <v>80</v>
      </c>
      <c r="K12615" s="33" t="s">
        <v>155</v>
      </c>
      <c r="L12615" s="31" t="s">
        <v>156</v>
      </c>
    </row>
    <row r="12616" spans="10:12">
      <c r="J12616" s="31">
        <v>81</v>
      </c>
      <c r="K12616" s="33" t="s">
        <v>157</v>
      </c>
      <c r="L12616" s="31" t="str">
        <f t="shared" ref="L12616:L12624" si="1218">$L$83&amp;" "&amp;L12536</f>
        <v>Delapan Puluh Satu</v>
      </c>
    </row>
    <row r="12617" spans="10:12">
      <c r="J12617" s="31">
        <v>82</v>
      </c>
      <c r="K12617" s="33" t="s">
        <v>158</v>
      </c>
      <c r="L12617" s="31" t="str">
        <f t="shared" si="1218"/>
        <v>Delapan Puluh Dua</v>
      </c>
    </row>
    <row r="12618" spans="10:12">
      <c r="J12618" s="31">
        <v>83</v>
      </c>
      <c r="K12618" s="33" t="s">
        <v>159</v>
      </c>
      <c r="L12618" s="31" t="str">
        <f t="shared" si="1218"/>
        <v>Delapan Puluh Tiga</v>
      </c>
    </row>
    <row r="12619" spans="10:12">
      <c r="J12619" s="31">
        <v>84</v>
      </c>
      <c r="K12619" s="33" t="s">
        <v>160</v>
      </c>
      <c r="L12619" s="31" t="str">
        <f t="shared" si="1218"/>
        <v>Delapan Puluh Empat</v>
      </c>
    </row>
    <row r="12620" spans="10:12">
      <c r="J12620" s="31">
        <v>85</v>
      </c>
      <c r="K12620" s="33" t="s">
        <v>161</v>
      </c>
      <c r="L12620" s="31" t="str">
        <f t="shared" si="1218"/>
        <v>Delapan Puluh Lima</v>
      </c>
    </row>
    <row r="12621" spans="10:12">
      <c r="J12621" s="31">
        <v>86</v>
      </c>
      <c r="K12621" s="33" t="s">
        <v>162</v>
      </c>
      <c r="L12621" s="31" t="str">
        <f t="shared" si="1218"/>
        <v>Delapan Puluh Enam</v>
      </c>
    </row>
    <row r="12622" spans="10:12">
      <c r="J12622" s="31">
        <v>87</v>
      </c>
      <c r="K12622" s="33" t="s">
        <v>163</v>
      </c>
      <c r="L12622" s="31" t="str">
        <f t="shared" si="1218"/>
        <v>Delapan Puluh Tujuh</v>
      </c>
    </row>
    <row r="12623" spans="10:12">
      <c r="J12623" s="31">
        <v>88</v>
      </c>
      <c r="K12623" s="33" t="s">
        <v>164</v>
      </c>
      <c r="L12623" s="31" t="str">
        <f t="shared" si="1218"/>
        <v>Delapan Puluh Delapan</v>
      </c>
    </row>
    <row r="12624" spans="10:12">
      <c r="J12624" s="31">
        <v>89</v>
      </c>
      <c r="K12624" s="33" t="s">
        <v>165</v>
      </c>
      <c r="L12624" s="31" t="str">
        <f t="shared" si="1218"/>
        <v>Delapan Puluh Sembilan</v>
      </c>
    </row>
    <row r="12625" spans="1:12">
      <c r="J12625" s="31">
        <v>90</v>
      </c>
      <c r="K12625" s="33" t="s">
        <v>166</v>
      </c>
      <c r="L12625" s="31" t="s">
        <v>167</v>
      </c>
    </row>
    <row r="12626" spans="1:12">
      <c r="J12626" s="31">
        <v>91</v>
      </c>
      <c r="K12626" s="33" t="s">
        <v>168</v>
      </c>
      <c r="L12626" s="31" t="str">
        <f t="shared" ref="L12626:L12634" si="1219">$L$93&amp;" "&amp;L12536</f>
        <v>Sembilan Puluh Satu</v>
      </c>
    </row>
    <row r="12627" spans="1:12">
      <c r="J12627" s="31">
        <v>92</v>
      </c>
      <c r="K12627" s="33" t="s">
        <v>169</v>
      </c>
      <c r="L12627" s="31" t="str">
        <f t="shared" si="1219"/>
        <v>Sembilan Puluh Dua</v>
      </c>
    </row>
    <row r="12628" spans="1:12">
      <c r="J12628" s="31">
        <v>93</v>
      </c>
      <c r="K12628" s="33" t="s">
        <v>170</v>
      </c>
      <c r="L12628" s="31" t="str">
        <f t="shared" si="1219"/>
        <v>Sembilan Puluh Tiga</v>
      </c>
    </row>
    <row r="12629" spans="1:12">
      <c r="J12629" s="31">
        <v>94</v>
      </c>
      <c r="K12629" s="33" t="s">
        <v>171</v>
      </c>
      <c r="L12629" s="31" t="str">
        <f t="shared" si="1219"/>
        <v>Sembilan Puluh Empat</v>
      </c>
    </row>
    <row r="12630" spans="1:12">
      <c r="J12630" s="31">
        <v>95</v>
      </c>
      <c r="K12630" s="33" t="s">
        <v>172</v>
      </c>
      <c r="L12630" s="31" t="str">
        <f t="shared" si="1219"/>
        <v>Sembilan Puluh Lima</v>
      </c>
    </row>
    <row r="12631" spans="1:12">
      <c r="J12631" s="31">
        <v>96</v>
      </c>
      <c r="K12631" s="33" t="s">
        <v>173</v>
      </c>
      <c r="L12631" s="31" t="str">
        <f t="shared" si="1219"/>
        <v>Sembilan Puluh Enam</v>
      </c>
    </row>
    <row r="12632" spans="1:12">
      <c r="J12632" s="31">
        <v>97</v>
      </c>
      <c r="K12632" s="33" t="s">
        <v>174</v>
      </c>
      <c r="L12632" s="31" t="str">
        <f t="shared" si="1219"/>
        <v>Sembilan Puluh Tujuh</v>
      </c>
    </row>
    <row r="12633" spans="1:12">
      <c r="J12633" s="31">
        <v>98</v>
      </c>
      <c r="K12633" s="33" t="s">
        <v>175</v>
      </c>
      <c r="L12633" s="31" t="str">
        <f t="shared" si="1219"/>
        <v>Sembilan Puluh Delapan</v>
      </c>
    </row>
    <row r="12634" spans="1:12">
      <c r="J12634" s="31">
        <v>99</v>
      </c>
      <c r="K12634" s="33" t="s">
        <v>176</v>
      </c>
      <c r="L12634" s="31" t="str">
        <f t="shared" si="1219"/>
        <v>Sembilan Puluh Sembilan</v>
      </c>
    </row>
    <row r="12637" spans="1:12">
      <c r="A12637" s="30" t="e">
        <f>#REF!</f>
        <v>#REF!</v>
      </c>
      <c r="C12637" s="31" t="s">
        <v>356</v>
      </c>
    </row>
    <row r="12638" spans="1:12">
      <c r="A12638" s="32"/>
    </row>
    <row r="12639" spans="1:12">
      <c r="J12639" s="31">
        <v>0</v>
      </c>
      <c r="K12639" s="33" t="s">
        <v>48</v>
      </c>
      <c r="L12639" s="31" t="s">
        <v>49</v>
      </c>
    </row>
    <row r="12640" spans="1:12">
      <c r="A12640" s="34"/>
      <c r="J12640" s="31">
        <v>1</v>
      </c>
      <c r="K12640" s="33" t="s">
        <v>50</v>
      </c>
      <c r="L12640" s="31" t="s">
        <v>51</v>
      </c>
    </row>
    <row r="12641" spans="1:12">
      <c r="A12641" s="255" t="e">
        <f>TRIM(D12649&amp;E12649&amp;D12650&amp;E12650&amp;D12651&amp;E12651&amp;D12652&amp;E12652&amp;D12653&amp;E12653&amp;D12654&amp;E12654&amp;E12655&amp;D12655&amp;" Only")</f>
        <v>#REF!</v>
      </c>
      <c r="B12641" s="255"/>
      <c r="C12641" s="255"/>
      <c r="D12641" s="255"/>
      <c r="E12641" s="35"/>
      <c r="F12641" s="36"/>
      <c r="J12641" s="31">
        <v>2</v>
      </c>
      <c r="K12641" s="33" t="s">
        <v>52</v>
      </c>
      <c r="L12641" s="31" t="s">
        <v>53</v>
      </c>
    </row>
    <row r="12642" spans="1:12">
      <c r="A12642" s="37"/>
      <c r="B12642" s="37"/>
      <c r="C12642" s="37"/>
      <c r="D12642" s="37"/>
      <c r="E12642" s="35"/>
      <c r="F12642" s="36"/>
      <c r="J12642" s="31">
        <v>3</v>
      </c>
      <c r="K12642" s="33" t="s">
        <v>54</v>
      </c>
      <c r="L12642" s="31" t="s">
        <v>55</v>
      </c>
    </row>
    <row r="12643" spans="1:12">
      <c r="A12643" s="37"/>
      <c r="B12643" s="37"/>
      <c r="C12643" s="37"/>
      <c r="D12643" s="37"/>
      <c r="J12643" s="31">
        <v>4</v>
      </c>
      <c r="K12643" s="33" t="s">
        <v>56</v>
      </c>
      <c r="L12643" s="31" t="s">
        <v>57</v>
      </c>
    </row>
    <row r="12644" spans="1:12">
      <c r="A12644" s="255" t="e">
        <f>TRIM(D12659&amp;E12659&amp;D12660&amp;E12660&amp;D12661&amp;E12661&amp;D12662&amp;E12662&amp;D12663&amp;E12663&amp;D12664&amp;E12664&amp;D12665&amp;E12665&amp;" Rupiah")</f>
        <v>#REF!</v>
      </c>
      <c r="B12644" s="255"/>
      <c r="C12644" s="255"/>
      <c r="D12644" s="255"/>
      <c r="E12644" s="35"/>
      <c r="F12644" s="36"/>
      <c r="J12644" s="31">
        <v>5</v>
      </c>
      <c r="K12644" s="33" t="s">
        <v>58</v>
      </c>
      <c r="L12644" s="31" t="s">
        <v>59</v>
      </c>
    </row>
    <row r="12645" spans="1:12">
      <c r="A12645" s="35"/>
      <c r="B12645" s="35"/>
      <c r="C12645" s="35"/>
      <c r="D12645" s="35"/>
      <c r="E12645" s="35"/>
      <c r="F12645" s="36"/>
      <c r="J12645" s="31">
        <v>6</v>
      </c>
      <c r="K12645" s="33" t="s">
        <v>60</v>
      </c>
      <c r="L12645" s="31" t="s">
        <v>61</v>
      </c>
    </row>
    <row r="12646" spans="1:12">
      <c r="J12646" s="31">
        <v>7</v>
      </c>
      <c r="K12646" s="33" t="s">
        <v>62</v>
      </c>
      <c r="L12646" s="31" t="s">
        <v>63</v>
      </c>
    </row>
    <row r="12647" spans="1:12">
      <c r="J12647" s="31">
        <v>8</v>
      </c>
      <c r="K12647" s="33" t="s">
        <v>64</v>
      </c>
      <c r="L12647" s="31" t="s">
        <v>65</v>
      </c>
    </row>
    <row r="12648" spans="1:12">
      <c r="A12648" s="38" t="s">
        <v>66</v>
      </c>
      <c r="J12648" s="31">
        <v>9</v>
      </c>
      <c r="K12648" s="33" t="s">
        <v>67</v>
      </c>
      <c r="L12648" s="31" t="s">
        <v>68</v>
      </c>
    </row>
    <row r="12649" spans="1:12">
      <c r="A12649" s="31" t="s">
        <v>69</v>
      </c>
      <c r="B12649" s="39" t="e">
        <f>TRUNC(A12637/100000000)</f>
        <v>#REF!</v>
      </c>
      <c r="C12649" s="31" t="e">
        <f>B12649*100000000</f>
        <v>#REF!</v>
      </c>
      <c r="D12649" s="31" t="e">
        <f t="shared" ref="D12649:D12655" si="1220">IF(B12649&lt;1,"",VLOOKUP(B12649,$J$3:$K$102,2))</f>
        <v>#REF!</v>
      </c>
      <c r="E12649" s="31" t="e">
        <f>IF(B12649&lt;1,"",IF(B12649&gt;1," Hundreds "," Hundred "))</f>
        <v>#REF!</v>
      </c>
      <c r="J12649" s="31">
        <v>10</v>
      </c>
      <c r="K12649" s="33" t="s">
        <v>70</v>
      </c>
      <c r="L12649" s="31" t="s">
        <v>71</v>
      </c>
    </row>
    <row r="12650" spans="1:12">
      <c r="A12650" s="31" t="s">
        <v>72</v>
      </c>
      <c r="B12650" s="39" t="e">
        <f>TRUNC((A12637-C12649)/1000000)</f>
        <v>#REF!</v>
      </c>
      <c r="C12650" s="31" t="e">
        <f>B12650*1000000</f>
        <v>#REF!</v>
      </c>
      <c r="D12650" s="31" t="e">
        <f t="shared" si="1220"/>
        <v>#REF!</v>
      </c>
      <c r="E12650" s="31" t="e">
        <f>IF(B12649+B12650=0,"",IF(B12650=1," Million "," Millions "))</f>
        <v>#REF!</v>
      </c>
      <c r="J12650" s="31">
        <v>11</v>
      </c>
      <c r="K12650" s="33" t="s">
        <v>73</v>
      </c>
      <c r="L12650" s="31" t="s">
        <v>74</v>
      </c>
    </row>
    <row r="12651" spans="1:12">
      <c r="A12651" s="31" t="s">
        <v>75</v>
      </c>
      <c r="B12651" s="39" t="e">
        <f>TRUNC((A12637-SUM(C12649:C12650))/100000)</f>
        <v>#REF!</v>
      </c>
      <c r="C12651" s="31" t="e">
        <f>B12651*100000</f>
        <v>#REF!</v>
      </c>
      <c r="D12651" s="31" t="e">
        <f t="shared" si="1220"/>
        <v>#REF!</v>
      </c>
      <c r="E12651" s="31" t="e">
        <f>IF(B12651&lt;1,"",IF(B12651&gt;1," Hundreds "," Hundred "))</f>
        <v>#REF!</v>
      </c>
      <c r="J12651" s="31">
        <v>12</v>
      </c>
      <c r="K12651" s="33" t="s">
        <v>76</v>
      </c>
      <c r="L12651" s="31" t="str">
        <f t="shared" ref="L12651:L12658" si="1221">L12641&amp;" Belas"</f>
        <v>Dua Belas</v>
      </c>
    </row>
    <row r="12652" spans="1:12">
      <c r="A12652" s="33" t="s">
        <v>77</v>
      </c>
      <c r="B12652" s="40" t="e">
        <f>TRUNC((A12637-SUM(C12649:C12651))/1000)</f>
        <v>#REF!</v>
      </c>
      <c r="C12652" s="31" t="e">
        <f>B12652*1000</f>
        <v>#REF!</v>
      </c>
      <c r="D12652" s="31" t="e">
        <f t="shared" si="1220"/>
        <v>#REF!</v>
      </c>
      <c r="E12652" s="31" t="e">
        <f>IF(B12651+B12652=0,"",IF(B12652=1," Thousand "," Thousands "))</f>
        <v>#REF!</v>
      </c>
      <c r="J12652" s="31">
        <v>13</v>
      </c>
      <c r="K12652" s="33" t="s">
        <v>78</v>
      </c>
      <c r="L12652" s="31" t="str">
        <f t="shared" si="1221"/>
        <v>Tiga Belas</v>
      </c>
    </row>
    <row r="12653" spans="1:12">
      <c r="A12653" s="33" t="s">
        <v>79</v>
      </c>
      <c r="B12653" s="40" t="e">
        <f>TRUNC((A12637-SUM(C12649:C12652))/100)</f>
        <v>#REF!</v>
      </c>
      <c r="C12653" s="31" t="e">
        <f>B12653*100</f>
        <v>#REF!</v>
      </c>
      <c r="D12653" s="31" t="e">
        <f t="shared" si="1220"/>
        <v>#REF!</v>
      </c>
      <c r="E12653" s="31" t="e">
        <f>IF(B12653&lt;1,"",IF(B12653&gt;1," Hundreds "," Hundred "))</f>
        <v>#REF!</v>
      </c>
      <c r="J12653" s="31">
        <v>14</v>
      </c>
      <c r="K12653" s="33" t="s">
        <v>80</v>
      </c>
      <c r="L12653" s="31" t="str">
        <f t="shared" si="1221"/>
        <v>Empat Belas</v>
      </c>
    </row>
    <row r="12654" spans="1:12">
      <c r="A12654" s="33" t="s">
        <v>81</v>
      </c>
      <c r="B12654" s="41" t="e">
        <f>TRUNC((A12637-SUM(C12649:C12653)))</f>
        <v>#REF!</v>
      </c>
      <c r="C12654" s="42" t="e">
        <f>B12654</f>
        <v>#REF!</v>
      </c>
      <c r="D12654" s="31" t="e">
        <f t="shared" si="1220"/>
        <v>#REF!</v>
      </c>
      <c r="E12654" s="31" t="e">
        <f>IF(SUM(C12649:C12654)&lt;1,"",IF(B12655&lt;1,""," And "))</f>
        <v>#REF!</v>
      </c>
      <c r="J12654" s="31">
        <v>15</v>
      </c>
      <c r="K12654" s="33" t="s">
        <v>82</v>
      </c>
      <c r="L12654" s="31" t="str">
        <f t="shared" si="1221"/>
        <v>Lima Belas</v>
      </c>
    </row>
    <row r="12655" spans="1:12">
      <c r="A12655" s="33" t="s">
        <v>83</v>
      </c>
      <c r="B12655" s="40" t="e">
        <f>ROUND(A12637-SUM(C12649:C12654),2)*100</f>
        <v>#REF!</v>
      </c>
      <c r="D12655" s="43" t="e">
        <f t="shared" si="1220"/>
        <v>#REF!</v>
      </c>
      <c r="E12655" s="31" t="e">
        <f>IF(B12655&lt;1,"",IF(B12655=1," Cent "," Cents "))</f>
        <v>#REF!</v>
      </c>
      <c r="J12655" s="31">
        <v>16</v>
      </c>
      <c r="K12655" s="33" t="s">
        <v>84</v>
      </c>
      <c r="L12655" s="31" t="str">
        <f t="shared" si="1221"/>
        <v>Enam Belas</v>
      </c>
    </row>
    <row r="12656" spans="1:12">
      <c r="J12656" s="31">
        <v>17</v>
      </c>
      <c r="K12656" s="33" t="s">
        <v>85</v>
      </c>
      <c r="L12656" s="31" t="str">
        <f t="shared" si="1221"/>
        <v>Tujuh Belas</v>
      </c>
    </row>
    <row r="12657" spans="1:12">
      <c r="A12657" s="44"/>
      <c r="J12657" s="31">
        <v>18</v>
      </c>
      <c r="K12657" s="33" t="s">
        <v>86</v>
      </c>
      <c r="L12657" s="31" t="str">
        <f t="shared" si="1221"/>
        <v>Delapan Belas</v>
      </c>
    </row>
    <row r="12658" spans="1:12">
      <c r="A12658" s="38" t="s">
        <v>87</v>
      </c>
      <c r="J12658" s="31">
        <v>19</v>
      </c>
      <c r="K12658" s="33" t="s">
        <v>88</v>
      </c>
      <c r="L12658" s="31" t="str">
        <f t="shared" si="1221"/>
        <v>Sembilan Belas</v>
      </c>
    </row>
    <row r="12659" spans="1:12">
      <c r="A12659" s="31" t="s">
        <v>69</v>
      </c>
      <c r="B12659" s="39" t="e">
        <f>TRUNC(A12637/100000000)</f>
        <v>#REF!</v>
      </c>
      <c r="C12659" s="31" t="e">
        <f>B12659*100000000</f>
        <v>#REF!</v>
      </c>
      <c r="D12659" s="31" t="e">
        <f>IF(B12659&lt;1,"",IF(B12659=1,"",VLOOKUP(B12659,$J$3:$L$102,3)))</f>
        <v>#REF!</v>
      </c>
      <c r="E12659" s="31" t="e">
        <f>IF(B12659&lt;1,"",IF(B12659=1,"Seratus "," Ratus "))</f>
        <v>#REF!</v>
      </c>
      <c r="J12659" s="31">
        <v>20</v>
      </c>
      <c r="K12659" s="33" t="s">
        <v>89</v>
      </c>
      <c r="L12659" s="31" t="s">
        <v>90</v>
      </c>
    </row>
    <row r="12660" spans="1:12">
      <c r="A12660" s="31" t="s">
        <v>72</v>
      </c>
      <c r="B12660" s="39" t="e">
        <f>TRUNC((A12637-C12659)/1000000)</f>
        <v>#REF!</v>
      </c>
      <c r="C12660" s="31" t="e">
        <f>B12660*1000000</f>
        <v>#REF!</v>
      </c>
      <c r="D12660" s="31" t="e">
        <f>IF(B12660&lt;1,"",VLOOKUP(B12660,$J$3:$L$102,3))</f>
        <v>#REF!</v>
      </c>
      <c r="E12660" s="31" t="e">
        <f>IF(B12659+B12660=0,""," Juta ")</f>
        <v>#REF!</v>
      </c>
      <c r="J12660" s="31">
        <v>21</v>
      </c>
      <c r="K12660" s="33" t="s">
        <v>91</v>
      </c>
      <c r="L12660" s="31" t="str">
        <f t="shared" ref="L12660:L12668" si="1222">$L$23&amp;" "&amp;L12640</f>
        <v>Dua Puluh Satu</v>
      </c>
    </row>
    <row r="12661" spans="1:12">
      <c r="A12661" s="31" t="s">
        <v>75</v>
      </c>
      <c r="B12661" s="39" t="e">
        <f>TRUNC((A12637-SUM(C12659:C12660))/100000)</f>
        <v>#REF!</v>
      </c>
      <c r="C12661" s="31" t="e">
        <f>B12661*100000</f>
        <v>#REF!</v>
      </c>
      <c r="D12661" s="31" t="e">
        <f>IF(B12661&lt;1,"",IF(B12661=1,"",VLOOKUP(B12661,$J$3:$L$102,3)))</f>
        <v>#REF!</v>
      </c>
      <c r="E12661" s="31" t="e">
        <f>IF(B12661&lt;1,"",IF(B12661=1," Seratus "," Ratus "))</f>
        <v>#REF!</v>
      </c>
      <c r="J12661" s="31">
        <v>22</v>
      </c>
      <c r="K12661" s="33" t="s">
        <v>92</v>
      </c>
      <c r="L12661" s="31" t="str">
        <f t="shared" si="1222"/>
        <v>Dua Puluh Dua</v>
      </c>
    </row>
    <row r="12662" spans="1:12">
      <c r="A12662" s="33" t="s">
        <v>77</v>
      </c>
      <c r="B12662" s="40" t="e">
        <f>TRUNC((A12637-SUM(C12659:C12661))/1000)</f>
        <v>#REF!</v>
      </c>
      <c r="C12662" s="31" t="e">
        <f>B12662*1000</f>
        <v>#REF!</v>
      </c>
      <c r="D12662" s="31" t="e">
        <f>IF(B12662&lt;1,"",IF(B12662=1,"",VLOOKUP(B12662,$J$3:$L$102,3)))</f>
        <v>#REF!</v>
      </c>
      <c r="E12662" s="31" t="e">
        <f>IF(B12661+B12662&lt;1,"",IF(B12662=1," Seribu "," Ribu "))</f>
        <v>#REF!</v>
      </c>
      <c r="J12662" s="31">
        <v>23</v>
      </c>
      <c r="K12662" s="33" t="s">
        <v>93</v>
      </c>
      <c r="L12662" s="31" t="str">
        <f t="shared" si="1222"/>
        <v>Dua Puluh Tiga</v>
      </c>
    </row>
    <row r="12663" spans="1:12">
      <c r="A12663" s="33" t="s">
        <v>79</v>
      </c>
      <c r="B12663" s="40" t="e">
        <f>TRUNC((A12637-SUM(C12659:C12662))/100)</f>
        <v>#REF!</v>
      </c>
      <c r="C12663" s="31" t="e">
        <f>B12663*100</f>
        <v>#REF!</v>
      </c>
      <c r="D12663" s="31" t="e">
        <f>IF(B12663&lt;1,"",IF(B12663=1,"",VLOOKUP(B12663,$J$3:$L$102,3)))</f>
        <v>#REF!</v>
      </c>
      <c r="E12663" s="31" t="e">
        <f>IF(B12663&lt;1,"",IF(B12663=1," Seratus "," Ratus "))</f>
        <v>#REF!</v>
      </c>
      <c r="J12663" s="31">
        <v>24</v>
      </c>
      <c r="K12663" s="33" t="s">
        <v>94</v>
      </c>
      <c r="L12663" s="31" t="str">
        <f t="shared" si="1222"/>
        <v>Dua Puluh Empat</v>
      </c>
    </row>
    <row r="12664" spans="1:12">
      <c r="A12664" s="33" t="s">
        <v>81</v>
      </c>
      <c r="B12664" s="41" t="e">
        <f>TRUNC((A12637-SUM(C12659:C12663)))</f>
        <v>#REF!</v>
      </c>
      <c r="C12664" s="42" t="e">
        <f>B12664</f>
        <v>#REF!</v>
      </c>
      <c r="D12664" s="31" t="e">
        <f>IF(B12664&lt;1,"",VLOOKUP(B12664,$J$3:$L$102,3))</f>
        <v>#REF!</v>
      </c>
      <c r="E12664" s="31" t="e">
        <f>IF(SUM(C12659:C12664)&lt;1,"",IF(B12665&lt;1,""," Dan "))</f>
        <v>#REF!</v>
      </c>
      <c r="J12664" s="31">
        <v>25</v>
      </c>
      <c r="K12664" s="33" t="s">
        <v>95</v>
      </c>
      <c r="L12664" s="31" t="str">
        <f t="shared" si="1222"/>
        <v>Dua Puluh Lima</v>
      </c>
    </row>
    <row r="12665" spans="1:12">
      <c r="A12665" s="33" t="s">
        <v>83</v>
      </c>
      <c r="B12665" s="40" t="e">
        <f>ROUND(A12637-SUM(C12659:C12664),2)*100</f>
        <v>#REF!</v>
      </c>
      <c r="D12665" s="31" t="e">
        <f>IF(B12665&lt;1,"",VLOOKUP(B12665,$J$3:$L$102,3))</f>
        <v>#REF!</v>
      </c>
      <c r="E12665" s="31" t="e">
        <f>IF(B12665&lt;1,""," Sen ")</f>
        <v>#REF!</v>
      </c>
      <c r="J12665" s="31">
        <v>26</v>
      </c>
      <c r="K12665" s="33" t="s">
        <v>96</v>
      </c>
      <c r="L12665" s="31" t="str">
        <f t="shared" si="1222"/>
        <v>Dua Puluh Enam</v>
      </c>
    </row>
    <row r="12666" spans="1:12">
      <c r="J12666" s="31">
        <v>27</v>
      </c>
      <c r="K12666" s="33" t="s">
        <v>97</v>
      </c>
      <c r="L12666" s="31" t="str">
        <f t="shared" si="1222"/>
        <v>Dua Puluh Tujuh</v>
      </c>
    </row>
    <row r="12667" spans="1:12">
      <c r="J12667" s="31">
        <v>28</v>
      </c>
      <c r="K12667" s="33" t="s">
        <v>98</v>
      </c>
      <c r="L12667" s="31" t="str">
        <f t="shared" si="1222"/>
        <v>Dua Puluh Delapan</v>
      </c>
    </row>
    <row r="12668" spans="1:12">
      <c r="J12668" s="31">
        <v>29</v>
      </c>
      <c r="K12668" s="33" t="s">
        <v>99</v>
      </c>
      <c r="L12668" s="31" t="str">
        <f t="shared" si="1222"/>
        <v>Dua Puluh Sembilan</v>
      </c>
    </row>
    <row r="12669" spans="1:12">
      <c r="J12669" s="31">
        <v>30</v>
      </c>
      <c r="K12669" s="33" t="s">
        <v>100</v>
      </c>
      <c r="L12669" s="31" t="s">
        <v>101</v>
      </c>
    </row>
    <row r="12670" spans="1:12">
      <c r="J12670" s="31">
        <v>31</v>
      </c>
      <c r="K12670" s="33" t="s">
        <v>102</v>
      </c>
      <c r="L12670" s="31" t="str">
        <f t="shared" ref="L12670:L12678" si="1223">$L$33&amp;" "&amp;L12640</f>
        <v>Tiga Puluh Satu</v>
      </c>
    </row>
    <row r="12671" spans="1:12">
      <c r="J12671" s="31">
        <v>32</v>
      </c>
      <c r="K12671" s="33" t="s">
        <v>103</v>
      </c>
      <c r="L12671" s="31" t="str">
        <f t="shared" si="1223"/>
        <v>Tiga Puluh Dua</v>
      </c>
    </row>
    <row r="12672" spans="1:12">
      <c r="J12672" s="31">
        <v>33</v>
      </c>
      <c r="K12672" s="33" t="s">
        <v>104</v>
      </c>
      <c r="L12672" s="31" t="str">
        <f t="shared" si="1223"/>
        <v>Tiga Puluh Tiga</v>
      </c>
    </row>
    <row r="12673" spans="1:12">
      <c r="J12673" s="31">
        <v>34</v>
      </c>
      <c r="K12673" s="33" t="s">
        <v>105</v>
      </c>
      <c r="L12673" s="31" t="str">
        <f t="shared" si="1223"/>
        <v>Tiga Puluh Empat</v>
      </c>
    </row>
    <row r="12674" spans="1:12">
      <c r="J12674" s="31">
        <v>35</v>
      </c>
      <c r="K12674" s="33" t="s">
        <v>106</v>
      </c>
      <c r="L12674" s="31" t="str">
        <f t="shared" si="1223"/>
        <v>Tiga Puluh Lima</v>
      </c>
    </row>
    <row r="12675" spans="1:12">
      <c r="J12675" s="31">
        <v>36</v>
      </c>
      <c r="K12675" s="33" t="s">
        <v>107</v>
      </c>
      <c r="L12675" s="31" t="str">
        <f t="shared" si="1223"/>
        <v>Tiga Puluh Enam</v>
      </c>
    </row>
    <row r="12676" spans="1:12">
      <c r="J12676" s="31">
        <v>37</v>
      </c>
      <c r="K12676" s="33" t="s">
        <v>108</v>
      </c>
      <c r="L12676" s="31" t="str">
        <f t="shared" si="1223"/>
        <v>Tiga Puluh Tujuh</v>
      </c>
    </row>
    <row r="12677" spans="1:12">
      <c r="J12677" s="31">
        <v>38</v>
      </c>
      <c r="K12677" s="33" t="s">
        <v>109</v>
      </c>
      <c r="L12677" s="31" t="str">
        <f t="shared" si="1223"/>
        <v>Tiga Puluh Delapan</v>
      </c>
    </row>
    <row r="12678" spans="1:12">
      <c r="J12678" s="31">
        <v>39</v>
      </c>
      <c r="K12678" s="33" t="s">
        <v>110</v>
      </c>
      <c r="L12678" s="31" t="str">
        <f t="shared" si="1223"/>
        <v>Tiga Puluh Sembilan</v>
      </c>
    </row>
    <row r="12679" spans="1:12">
      <c r="B12679" s="35"/>
      <c r="C12679" s="35"/>
      <c r="D12679" s="35"/>
      <c r="J12679" s="31">
        <v>40</v>
      </c>
      <c r="K12679" s="33" t="s">
        <v>111</v>
      </c>
      <c r="L12679" s="31" t="s">
        <v>112</v>
      </c>
    </row>
    <row r="12680" spans="1:12">
      <c r="A12680" s="35"/>
      <c r="B12680" s="35"/>
      <c r="C12680" s="35"/>
      <c r="D12680" s="35"/>
      <c r="J12680" s="31">
        <v>41</v>
      </c>
      <c r="K12680" s="33" t="s">
        <v>113</v>
      </c>
      <c r="L12680" s="31" t="str">
        <f t="shared" ref="L12680:L12688" si="1224">$L$43&amp;" "&amp;L12640</f>
        <v>Empat Puluh Satu</v>
      </c>
    </row>
    <row r="12681" spans="1:12">
      <c r="J12681" s="31">
        <v>42</v>
      </c>
      <c r="K12681" s="33" t="s">
        <v>114</v>
      </c>
      <c r="L12681" s="31" t="str">
        <f t="shared" si="1224"/>
        <v>Empat Puluh Dua</v>
      </c>
    </row>
    <row r="12682" spans="1:12">
      <c r="A12682" s="38"/>
      <c r="J12682" s="31">
        <v>43</v>
      </c>
      <c r="K12682" s="33" t="s">
        <v>115</v>
      </c>
      <c r="L12682" s="31" t="str">
        <f t="shared" si="1224"/>
        <v>Empat Puluh Tiga</v>
      </c>
    </row>
    <row r="12683" spans="1:12">
      <c r="J12683" s="31">
        <v>44</v>
      </c>
      <c r="K12683" s="33" t="s">
        <v>116</v>
      </c>
      <c r="L12683" s="31" t="str">
        <f t="shared" si="1224"/>
        <v>Empat Puluh Empat</v>
      </c>
    </row>
    <row r="12684" spans="1:12">
      <c r="J12684" s="31">
        <v>45</v>
      </c>
      <c r="K12684" s="33" t="s">
        <v>117</v>
      </c>
      <c r="L12684" s="31" t="str">
        <f t="shared" si="1224"/>
        <v>Empat Puluh Lima</v>
      </c>
    </row>
    <row r="12685" spans="1:12">
      <c r="J12685" s="31">
        <v>46</v>
      </c>
      <c r="K12685" s="33" t="s">
        <v>118</v>
      </c>
      <c r="L12685" s="31" t="str">
        <f t="shared" si="1224"/>
        <v>Empat Puluh Enam</v>
      </c>
    </row>
    <row r="12686" spans="1:12">
      <c r="J12686" s="31">
        <v>47</v>
      </c>
      <c r="K12686" s="33" t="s">
        <v>119</v>
      </c>
      <c r="L12686" s="31" t="str">
        <f t="shared" si="1224"/>
        <v>Empat Puluh Tujuh</v>
      </c>
    </row>
    <row r="12687" spans="1:12">
      <c r="J12687" s="31">
        <v>48</v>
      </c>
      <c r="K12687" s="33" t="s">
        <v>120</v>
      </c>
      <c r="L12687" s="31" t="str">
        <f t="shared" si="1224"/>
        <v>Empat Puluh Delapan</v>
      </c>
    </row>
    <row r="12688" spans="1:12">
      <c r="J12688" s="31">
        <v>49</v>
      </c>
      <c r="K12688" s="33" t="s">
        <v>121</v>
      </c>
      <c r="L12688" s="31" t="str">
        <f t="shared" si="1224"/>
        <v>Empat Puluh Sembilan</v>
      </c>
    </row>
    <row r="12689" spans="10:12">
      <c r="J12689" s="31">
        <v>50</v>
      </c>
      <c r="K12689" s="33" t="s">
        <v>122</v>
      </c>
      <c r="L12689" s="31" t="s">
        <v>123</v>
      </c>
    </row>
    <row r="12690" spans="10:12">
      <c r="J12690" s="31">
        <v>51</v>
      </c>
      <c r="K12690" s="33" t="s">
        <v>124</v>
      </c>
      <c r="L12690" s="31" t="str">
        <f t="shared" ref="L12690:L12698" si="1225">$L$53&amp;" "&amp;L12640</f>
        <v>Lima Puluh Satu</v>
      </c>
    </row>
    <row r="12691" spans="10:12">
      <c r="J12691" s="31">
        <v>52</v>
      </c>
      <c r="K12691" s="33" t="s">
        <v>125</v>
      </c>
      <c r="L12691" s="31" t="str">
        <f t="shared" si="1225"/>
        <v>Lima Puluh Dua</v>
      </c>
    </row>
    <row r="12692" spans="10:12">
      <c r="J12692" s="31">
        <v>53</v>
      </c>
      <c r="K12692" s="33" t="s">
        <v>126</v>
      </c>
      <c r="L12692" s="31" t="str">
        <f t="shared" si="1225"/>
        <v>Lima Puluh Tiga</v>
      </c>
    </row>
    <row r="12693" spans="10:12">
      <c r="J12693" s="31">
        <v>54</v>
      </c>
      <c r="K12693" s="33" t="s">
        <v>127</v>
      </c>
      <c r="L12693" s="31" t="str">
        <f t="shared" si="1225"/>
        <v>Lima Puluh Empat</v>
      </c>
    </row>
    <row r="12694" spans="10:12">
      <c r="J12694" s="31">
        <v>55</v>
      </c>
      <c r="K12694" s="33" t="s">
        <v>128</v>
      </c>
      <c r="L12694" s="31" t="str">
        <f t="shared" si="1225"/>
        <v>Lima Puluh Lima</v>
      </c>
    </row>
    <row r="12695" spans="10:12">
      <c r="J12695" s="31">
        <v>56</v>
      </c>
      <c r="K12695" s="33" t="s">
        <v>129</v>
      </c>
      <c r="L12695" s="31" t="str">
        <f t="shared" si="1225"/>
        <v>Lima Puluh Enam</v>
      </c>
    </row>
    <row r="12696" spans="10:12">
      <c r="J12696" s="31">
        <v>57</v>
      </c>
      <c r="K12696" s="33" t="s">
        <v>130</v>
      </c>
      <c r="L12696" s="31" t="str">
        <f t="shared" si="1225"/>
        <v>Lima Puluh Tujuh</v>
      </c>
    </row>
    <row r="12697" spans="10:12">
      <c r="J12697" s="31">
        <v>58</v>
      </c>
      <c r="K12697" s="33" t="s">
        <v>131</v>
      </c>
      <c r="L12697" s="31" t="str">
        <f t="shared" si="1225"/>
        <v>Lima Puluh Delapan</v>
      </c>
    </row>
    <row r="12698" spans="10:12">
      <c r="J12698" s="31">
        <v>59</v>
      </c>
      <c r="K12698" s="33" t="s">
        <v>132</v>
      </c>
      <c r="L12698" s="31" t="str">
        <f t="shared" si="1225"/>
        <v>Lima Puluh Sembilan</v>
      </c>
    </row>
    <row r="12699" spans="10:12">
      <c r="J12699" s="31">
        <v>60</v>
      </c>
      <c r="K12699" s="33" t="s">
        <v>133</v>
      </c>
      <c r="L12699" s="31" t="s">
        <v>134</v>
      </c>
    </row>
    <row r="12700" spans="10:12">
      <c r="J12700" s="31">
        <v>61</v>
      </c>
      <c r="K12700" s="33" t="s">
        <v>135</v>
      </c>
      <c r="L12700" s="31" t="str">
        <f t="shared" ref="L12700:L12708" si="1226">$L$63&amp;" "&amp;L12640</f>
        <v>Enam Puluh Satu</v>
      </c>
    </row>
    <row r="12701" spans="10:12">
      <c r="J12701" s="31">
        <v>62</v>
      </c>
      <c r="K12701" s="33" t="s">
        <v>136</v>
      </c>
      <c r="L12701" s="31" t="str">
        <f t="shared" si="1226"/>
        <v>Enam Puluh Dua</v>
      </c>
    </row>
    <row r="12702" spans="10:12">
      <c r="J12702" s="31">
        <v>63</v>
      </c>
      <c r="K12702" s="33" t="s">
        <v>137</v>
      </c>
      <c r="L12702" s="31" t="str">
        <f t="shared" si="1226"/>
        <v>Enam Puluh Tiga</v>
      </c>
    </row>
    <row r="12703" spans="10:12">
      <c r="J12703" s="31">
        <v>64</v>
      </c>
      <c r="K12703" s="33" t="s">
        <v>138</v>
      </c>
      <c r="L12703" s="31" t="str">
        <f t="shared" si="1226"/>
        <v>Enam Puluh Empat</v>
      </c>
    </row>
    <row r="12704" spans="10:12">
      <c r="J12704" s="31">
        <v>65</v>
      </c>
      <c r="K12704" s="33" t="s">
        <v>139</v>
      </c>
      <c r="L12704" s="31" t="str">
        <f t="shared" si="1226"/>
        <v>Enam Puluh Lima</v>
      </c>
    </row>
    <row r="12705" spans="10:12">
      <c r="J12705" s="31">
        <v>66</v>
      </c>
      <c r="K12705" s="33" t="s">
        <v>140</v>
      </c>
      <c r="L12705" s="31" t="str">
        <f t="shared" si="1226"/>
        <v>Enam Puluh Enam</v>
      </c>
    </row>
    <row r="12706" spans="10:12">
      <c r="J12706" s="31">
        <v>67</v>
      </c>
      <c r="K12706" s="33" t="s">
        <v>141</v>
      </c>
      <c r="L12706" s="31" t="str">
        <f t="shared" si="1226"/>
        <v>Enam Puluh Tujuh</v>
      </c>
    </row>
    <row r="12707" spans="10:12">
      <c r="J12707" s="31">
        <v>68</v>
      </c>
      <c r="K12707" s="33" t="s">
        <v>142</v>
      </c>
      <c r="L12707" s="31" t="str">
        <f t="shared" si="1226"/>
        <v>Enam Puluh Delapan</v>
      </c>
    </row>
    <row r="12708" spans="10:12">
      <c r="J12708" s="31">
        <v>69</v>
      </c>
      <c r="K12708" s="33" t="s">
        <v>143</v>
      </c>
      <c r="L12708" s="31" t="str">
        <f t="shared" si="1226"/>
        <v>Enam Puluh Sembilan</v>
      </c>
    </row>
    <row r="12709" spans="10:12">
      <c r="J12709" s="31">
        <v>70</v>
      </c>
      <c r="K12709" s="33" t="s">
        <v>144</v>
      </c>
      <c r="L12709" s="31" t="s">
        <v>145</v>
      </c>
    </row>
    <row r="12710" spans="10:12">
      <c r="J12710" s="31">
        <v>71</v>
      </c>
      <c r="K12710" s="33" t="s">
        <v>146</v>
      </c>
      <c r="L12710" s="31" t="str">
        <f t="shared" ref="L12710:L12718" si="1227">$L$73&amp;" "&amp;L12640</f>
        <v>Tujuh Puluh Satu</v>
      </c>
    </row>
    <row r="12711" spans="10:12">
      <c r="J12711" s="31">
        <v>72</v>
      </c>
      <c r="K12711" s="33" t="s">
        <v>147</v>
      </c>
      <c r="L12711" s="31" t="str">
        <f t="shared" si="1227"/>
        <v>Tujuh Puluh Dua</v>
      </c>
    </row>
    <row r="12712" spans="10:12">
      <c r="J12712" s="31">
        <v>73</v>
      </c>
      <c r="K12712" s="33" t="s">
        <v>148</v>
      </c>
      <c r="L12712" s="31" t="str">
        <f t="shared" si="1227"/>
        <v>Tujuh Puluh Tiga</v>
      </c>
    </row>
    <row r="12713" spans="10:12">
      <c r="J12713" s="31">
        <v>74</v>
      </c>
      <c r="K12713" s="33" t="s">
        <v>149</v>
      </c>
      <c r="L12713" s="31" t="str">
        <f t="shared" si="1227"/>
        <v>Tujuh Puluh Empat</v>
      </c>
    </row>
    <row r="12714" spans="10:12">
      <c r="J12714" s="31">
        <v>75</v>
      </c>
      <c r="K12714" s="33" t="s">
        <v>150</v>
      </c>
      <c r="L12714" s="31" t="str">
        <f t="shared" si="1227"/>
        <v>Tujuh Puluh Lima</v>
      </c>
    </row>
    <row r="12715" spans="10:12">
      <c r="J12715" s="31">
        <v>76</v>
      </c>
      <c r="K12715" s="33" t="s">
        <v>151</v>
      </c>
      <c r="L12715" s="31" t="str">
        <f t="shared" si="1227"/>
        <v>Tujuh Puluh Enam</v>
      </c>
    </row>
    <row r="12716" spans="10:12">
      <c r="J12716" s="31">
        <v>77</v>
      </c>
      <c r="K12716" s="33" t="s">
        <v>152</v>
      </c>
      <c r="L12716" s="31" t="str">
        <f t="shared" si="1227"/>
        <v>Tujuh Puluh Tujuh</v>
      </c>
    </row>
    <row r="12717" spans="10:12">
      <c r="J12717" s="31">
        <v>78</v>
      </c>
      <c r="K12717" s="33" t="s">
        <v>153</v>
      </c>
      <c r="L12717" s="31" t="str">
        <f t="shared" si="1227"/>
        <v>Tujuh Puluh Delapan</v>
      </c>
    </row>
    <row r="12718" spans="10:12">
      <c r="J12718" s="31">
        <v>79</v>
      </c>
      <c r="K12718" s="33" t="s">
        <v>154</v>
      </c>
      <c r="L12718" s="31" t="str">
        <f t="shared" si="1227"/>
        <v>Tujuh Puluh Sembilan</v>
      </c>
    </row>
    <row r="12719" spans="10:12">
      <c r="J12719" s="31">
        <v>80</v>
      </c>
      <c r="K12719" s="33" t="s">
        <v>155</v>
      </c>
      <c r="L12719" s="31" t="s">
        <v>156</v>
      </c>
    </row>
    <row r="12720" spans="10:12">
      <c r="J12720" s="31">
        <v>81</v>
      </c>
      <c r="K12720" s="33" t="s">
        <v>157</v>
      </c>
      <c r="L12720" s="31" t="str">
        <f t="shared" ref="L12720:L12728" si="1228">$L$83&amp;" "&amp;L12640</f>
        <v>Delapan Puluh Satu</v>
      </c>
    </row>
    <row r="12721" spans="10:12">
      <c r="J12721" s="31">
        <v>82</v>
      </c>
      <c r="K12721" s="33" t="s">
        <v>158</v>
      </c>
      <c r="L12721" s="31" t="str">
        <f t="shared" si="1228"/>
        <v>Delapan Puluh Dua</v>
      </c>
    </row>
    <row r="12722" spans="10:12">
      <c r="J12722" s="31">
        <v>83</v>
      </c>
      <c r="K12722" s="33" t="s">
        <v>159</v>
      </c>
      <c r="L12722" s="31" t="str">
        <f t="shared" si="1228"/>
        <v>Delapan Puluh Tiga</v>
      </c>
    </row>
    <row r="12723" spans="10:12">
      <c r="J12723" s="31">
        <v>84</v>
      </c>
      <c r="K12723" s="33" t="s">
        <v>160</v>
      </c>
      <c r="L12723" s="31" t="str">
        <f t="shared" si="1228"/>
        <v>Delapan Puluh Empat</v>
      </c>
    </row>
    <row r="12724" spans="10:12">
      <c r="J12724" s="31">
        <v>85</v>
      </c>
      <c r="K12724" s="33" t="s">
        <v>161</v>
      </c>
      <c r="L12724" s="31" t="str">
        <f t="shared" si="1228"/>
        <v>Delapan Puluh Lima</v>
      </c>
    </row>
    <row r="12725" spans="10:12">
      <c r="J12725" s="31">
        <v>86</v>
      </c>
      <c r="K12725" s="33" t="s">
        <v>162</v>
      </c>
      <c r="L12725" s="31" t="str">
        <f t="shared" si="1228"/>
        <v>Delapan Puluh Enam</v>
      </c>
    </row>
    <row r="12726" spans="10:12">
      <c r="J12726" s="31">
        <v>87</v>
      </c>
      <c r="K12726" s="33" t="s">
        <v>163</v>
      </c>
      <c r="L12726" s="31" t="str">
        <f t="shared" si="1228"/>
        <v>Delapan Puluh Tujuh</v>
      </c>
    </row>
    <row r="12727" spans="10:12">
      <c r="J12727" s="31">
        <v>88</v>
      </c>
      <c r="K12727" s="33" t="s">
        <v>164</v>
      </c>
      <c r="L12727" s="31" t="str">
        <f t="shared" si="1228"/>
        <v>Delapan Puluh Delapan</v>
      </c>
    </row>
    <row r="12728" spans="10:12">
      <c r="J12728" s="31">
        <v>89</v>
      </c>
      <c r="K12728" s="33" t="s">
        <v>165</v>
      </c>
      <c r="L12728" s="31" t="str">
        <f t="shared" si="1228"/>
        <v>Delapan Puluh Sembilan</v>
      </c>
    </row>
    <row r="12729" spans="10:12">
      <c r="J12729" s="31">
        <v>90</v>
      </c>
      <c r="K12729" s="33" t="s">
        <v>166</v>
      </c>
      <c r="L12729" s="31" t="s">
        <v>167</v>
      </c>
    </row>
    <row r="12730" spans="10:12">
      <c r="J12730" s="31">
        <v>91</v>
      </c>
      <c r="K12730" s="33" t="s">
        <v>168</v>
      </c>
      <c r="L12730" s="31" t="str">
        <f t="shared" ref="L12730:L12738" si="1229">$L$93&amp;" "&amp;L12640</f>
        <v>Sembilan Puluh Satu</v>
      </c>
    </row>
    <row r="12731" spans="10:12">
      <c r="J12731" s="31">
        <v>92</v>
      </c>
      <c r="K12731" s="33" t="s">
        <v>169</v>
      </c>
      <c r="L12731" s="31" t="str">
        <f t="shared" si="1229"/>
        <v>Sembilan Puluh Dua</v>
      </c>
    </row>
    <row r="12732" spans="10:12">
      <c r="J12732" s="31">
        <v>93</v>
      </c>
      <c r="K12732" s="33" t="s">
        <v>170</v>
      </c>
      <c r="L12732" s="31" t="str">
        <f t="shared" si="1229"/>
        <v>Sembilan Puluh Tiga</v>
      </c>
    </row>
    <row r="12733" spans="10:12">
      <c r="J12733" s="31">
        <v>94</v>
      </c>
      <c r="K12733" s="33" t="s">
        <v>171</v>
      </c>
      <c r="L12733" s="31" t="str">
        <f t="shared" si="1229"/>
        <v>Sembilan Puluh Empat</v>
      </c>
    </row>
    <row r="12734" spans="10:12">
      <c r="J12734" s="31">
        <v>95</v>
      </c>
      <c r="K12734" s="33" t="s">
        <v>172</v>
      </c>
      <c r="L12734" s="31" t="str">
        <f t="shared" si="1229"/>
        <v>Sembilan Puluh Lima</v>
      </c>
    </row>
    <row r="12735" spans="10:12">
      <c r="J12735" s="31">
        <v>96</v>
      </c>
      <c r="K12735" s="33" t="s">
        <v>173</v>
      </c>
      <c r="L12735" s="31" t="str">
        <f t="shared" si="1229"/>
        <v>Sembilan Puluh Enam</v>
      </c>
    </row>
    <row r="12736" spans="10:12">
      <c r="J12736" s="31">
        <v>97</v>
      </c>
      <c r="K12736" s="33" t="s">
        <v>174</v>
      </c>
      <c r="L12736" s="31" t="str">
        <f t="shared" si="1229"/>
        <v>Sembilan Puluh Tujuh</v>
      </c>
    </row>
    <row r="12737" spans="1:12">
      <c r="J12737" s="31">
        <v>98</v>
      </c>
      <c r="K12737" s="33" t="s">
        <v>175</v>
      </c>
      <c r="L12737" s="31" t="str">
        <f t="shared" si="1229"/>
        <v>Sembilan Puluh Delapan</v>
      </c>
    </row>
    <row r="12738" spans="1:12">
      <c r="J12738" s="31">
        <v>99</v>
      </c>
      <c r="K12738" s="33" t="s">
        <v>176</v>
      </c>
      <c r="L12738" s="31" t="str">
        <f t="shared" si="1229"/>
        <v>Sembilan Puluh Sembilan</v>
      </c>
    </row>
    <row r="12741" spans="1:12">
      <c r="A12741" s="30" t="e">
        <f>#REF!</f>
        <v>#REF!</v>
      </c>
      <c r="C12741" s="31" t="s">
        <v>359</v>
      </c>
    </row>
    <row r="12742" spans="1:12">
      <c r="A12742" s="32"/>
    </row>
    <row r="12743" spans="1:12">
      <c r="J12743" s="31">
        <v>0</v>
      </c>
      <c r="K12743" s="33" t="s">
        <v>48</v>
      </c>
      <c r="L12743" s="31" t="s">
        <v>49</v>
      </c>
    </row>
    <row r="12744" spans="1:12">
      <c r="A12744" s="34"/>
      <c r="J12744" s="31">
        <v>1</v>
      </c>
      <c r="K12744" s="33" t="s">
        <v>50</v>
      </c>
      <c r="L12744" s="31" t="s">
        <v>51</v>
      </c>
    </row>
    <row r="12745" spans="1:12">
      <c r="A12745" s="255" t="e">
        <f>TRIM(D12753&amp;E12753&amp;D12754&amp;E12754&amp;D12755&amp;E12755&amp;D12756&amp;E12756&amp;D12757&amp;E12757&amp;D12758&amp;E12758&amp;E12759&amp;D12759&amp;" Only")</f>
        <v>#REF!</v>
      </c>
      <c r="B12745" s="255"/>
      <c r="C12745" s="255"/>
      <c r="D12745" s="255"/>
      <c r="E12745" s="35"/>
      <c r="F12745" s="36"/>
      <c r="J12745" s="31">
        <v>2</v>
      </c>
      <c r="K12745" s="33" t="s">
        <v>52</v>
      </c>
      <c r="L12745" s="31" t="s">
        <v>53</v>
      </c>
    </row>
    <row r="12746" spans="1:12">
      <c r="A12746" s="37"/>
      <c r="B12746" s="37"/>
      <c r="C12746" s="37"/>
      <c r="D12746" s="37"/>
      <c r="E12746" s="35"/>
      <c r="F12746" s="36"/>
      <c r="J12746" s="31">
        <v>3</v>
      </c>
      <c r="K12746" s="33" t="s">
        <v>54</v>
      </c>
      <c r="L12746" s="31" t="s">
        <v>55</v>
      </c>
    </row>
    <row r="12747" spans="1:12">
      <c r="A12747" s="37"/>
      <c r="B12747" s="37"/>
      <c r="C12747" s="37"/>
      <c r="D12747" s="37"/>
      <c r="J12747" s="31">
        <v>4</v>
      </c>
      <c r="K12747" s="33" t="s">
        <v>56</v>
      </c>
      <c r="L12747" s="31" t="s">
        <v>57</v>
      </c>
    </row>
    <row r="12748" spans="1:12">
      <c r="A12748" s="255" t="e">
        <f>TRIM(D12763&amp;E12763&amp;D12764&amp;E12764&amp;D12765&amp;E12765&amp;D12766&amp;E12766&amp;D12767&amp;E12767&amp;D12768&amp;E12768&amp;D12769&amp;E12769&amp;" Rupiah")</f>
        <v>#REF!</v>
      </c>
      <c r="B12748" s="255"/>
      <c r="C12748" s="255"/>
      <c r="D12748" s="255"/>
      <c r="E12748" s="35"/>
      <c r="F12748" s="36"/>
      <c r="J12748" s="31">
        <v>5</v>
      </c>
      <c r="K12748" s="33" t="s">
        <v>58</v>
      </c>
      <c r="L12748" s="31" t="s">
        <v>59</v>
      </c>
    </row>
    <row r="12749" spans="1:12">
      <c r="A12749" s="35"/>
      <c r="B12749" s="35"/>
      <c r="C12749" s="35"/>
      <c r="D12749" s="35"/>
      <c r="E12749" s="35"/>
      <c r="F12749" s="36"/>
      <c r="J12749" s="31">
        <v>6</v>
      </c>
      <c r="K12749" s="33" t="s">
        <v>60</v>
      </c>
      <c r="L12749" s="31" t="s">
        <v>61</v>
      </c>
    </row>
    <row r="12750" spans="1:12">
      <c r="J12750" s="31">
        <v>7</v>
      </c>
      <c r="K12750" s="33" t="s">
        <v>62</v>
      </c>
      <c r="L12750" s="31" t="s">
        <v>63</v>
      </c>
    </row>
    <row r="12751" spans="1:12">
      <c r="J12751" s="31">
        <v>8</v>
      </c>
      <c r="K12751" s="33" t="s">
        <v>64</v>
      </c>
      <c r="L12751" s="31" t="s">
        <v>65</v>
      </c>
    </row>
    <row r="12752" spans="1:12">
      <c r="A12752" s="38" t="s">
        <v>66</v>
      </c>
      <c r="J12752" s="31">
        <v>9</v>
      </c>
      <c r="K12752" s="33" t="s">
        <v>67</v>
      </c>
      <c r="L12752" s="31" t="s">
        <v>68</v>
      </c>
    </row>
    <row r="12753" spans="1:12">
      <c r="A12753" s="31" t="s">
        <v>69</v>
      </c>
      <c r="B12753" s="39" t="e">
        <f>TRUNC(A12741/100000000)</f>
        <v>#REF!</v>
      </c>
      <c r="C12753" s="31" t="e">
        <f>B12753*100000000</f>
        <v>#REF!</v>
      </c>
      <c r="D12753" s="31" t="e">
        <f t="shared" ref="D12753:D12759" si="1230">IF(B12753&lt;1,"",VLOOKUP(B12753,$J$3:$K$102,2))</f>
        <v>#REF!</v>
      </c>
      <c r="E12753" s="31" t="e">
        <f>IF(B12753&lt;1,"",IF(B12753&gt;1," Hundreds "," Hundred "))</f>
        <v>#REF!</v>
      </c>
      <c r="J12753" s="31">
        <v>10</v>
      </c>
      <c r="K12753" s="33" t="s">
        <v>70</v>
      </c>
      <c r="L12753" s="31" t="s">
        <v>71</v>
      </c>
    </row>
    <row r="12754" spans="1:12">
      <c r="A12754" s="31" t="s">
        <v>72</v>
      </c>
      <c r="B12754" s="39" t="e">
        <f>TRUNC((A12741-C12753)/1000000)</f>
        <v>#REF!</v>
      </c>
      <c r="C12754" s="31" t="e">
        <f>B12754*1000000</f>
        <v>#REF!</v>
      </c>
      <c r="D12754" s="31" t="e">
        <f t="shared" si="1230"/>
        <v>#REF!</v>
      </c>
      <c r="E12754" s="31" t="e">
        <f>IF(B12753+B12754=0,"",IF(B12754=1," Million "," Millions "))</f>
        <v>#REF!</v>
      </c>
      <c r="J12754" s="31">
        <v>11</v>
      </c>
      <c r="K12754" s="33" t="s">
        <v>73</v>
      </c>
      <c r="L12754" s="31" t="s">
        <v>74</v>
      </c>
    </row>
    <row r="12755" spans="1:12">
      <c r="A12755" s="31" t="s">
        <v>75</v>
      </c>
      <c r="B12755" s="39" t="e">
        <f>TRUNC((A12741-SUM(C12753:C12754))/100000)</f>
        <v>#REF!</v>
      </c>
      <c r="C12755" s="31" t="e">
        <f>B12755*100000</f>
        <v>#REF!</v>
      </c>
      <c r="D12755" s="31" t="e">
        <f t="shared" si="1230"/>
        <v>#REF!</v>
      </c>
      <c r="E12755" s="31" t="e">
        <f>IF(B12755&lt;1,"",IF(B12755&gt;1," Hundreds "," Hundred "))</f>
        <v>#REF!</v>
      </c>
      <c r="J12755" s="31">
        <v>12</v>
      </c>
      <c r="K12755" s="33" t="s">
        <v>76</v>
      </c>
      <c r="L12755" s="31" t="str">
        <f t="shared" ref="L12755:L12762" si="1231">L12745&amp;" Belas"</f>
        <v>Dua Belas</v>
      </c>
    </row>
    <row r="12756" spans="1:12">
      <c r="A12756" s="33" t="s">
        <v>77</v>
      </c>
      <c r="B12756" s="40" t="e">
        <f>TRUNC((A12741-SUM(C12753:C12755))/1000)</f>
        <v>#REF!</v>
      </c>
      <c r="C12756" s="31" t="e">
        <f>B12756*1000</f>
        <v>#REF!</v>
      </c>
      <c r="D12756" s="31" t="e">
        <f t="shared" si="1230"/>
        <v>#REF!</v>
      </c>
      <c r="E12756" s="31" t="e">
        <f>IF(B12755+B12756=0,"",IF(B12756=1," Thousand "," Thousands "))</f>
        <v>#REF!</v>
      </c>
      <c r="J12756" s="31">
        <v>13</v>
      </c>
      <c r="K12756" s="33" t="s">
        <v>78</v>
      </c>
      <c r="L12756" s="31" t="str">
        <f t="shared" si="1231"/>
        <v>Tiga Belas</v>
      </c>
    </row>
    <row r="12757" spans="1:12">
      <c r="A12757" s="33" t="s">
        <v>79</v>
      </c>
      <c r="B12757" s="40" t="e">
        <f>TRUNC((A12741-SUM(C12753:C12756))/100)</f>
        <v>#REF!</v>
      </c>
      <c r="C12757" s="31" t="e">
        <f>B12757*100</f>
        <v>#REF!</v>
      </c>
      <c r="D12757" s="31" t="e">
        <f t="shared" si="1230"/>
        <v>#REF!</v>
      </c>
      <c r="E12757" s="31" t="e">
        <f>IF(B12757&lt;1,"",IF(B12757&gt;1," Hundreds "," Hundred "))</f>
        <v>#REF!</v>
      </c>
      <c r="J12757" s="31">
        <v>14</v>
      </c>
      <c r="K12757" s="33" t="s">
        <v>80</v>
      </c>
      <c r="L12757" s="31" t="str">
        <f t="shared" si="1231"/>
        <v>Empat Belas</v>
      </c>
    </row>
    <row r="12758" spans="1:12">
      <c r="A12758" s="33" t="s">
        <v>81</v>
      </c>
      <c r="B12758" s="41" t="e">
        <f>TRUNC((A12741-SUM(C12753:C12757)))</f>
        <v>#REF!</v>
      </c>
      <c r="C12758" s="42" t="e">
        <f>B12758</f>
        <v>#REF!</v>
      </c>
      <c r="D12758" s="31" t="e">
        <f t="shared" si="1230"/>
        <v>#REF!</v>
      </c>
      <c r="E12758" s="31" t="e">
        <f>IF(SUM(C12753:C12758)&lt;1,"",IF(B12759&lt;1,""," And "))</f>
        <v>#REF!</v>
      </c>
      <c r="J12758" s="31">
        <v>15</v>
      </c>
      <c r="K12758" s="33" t="s">
        <v>82</v>
      </c>
      <c r="L12758" s="31" t="str">
        <f t="shared" si="1231"/>
        <v>Lima Belas</v>
      </c>
    </row>
    <row r="12759" spans="1:12">
      <c r="A12759" s="33" t="s">
        <v>83</v>
      </c>
      <c r="B12759" s="40" t="e">
        <f>ROUND(A12741-SUM(C12753:C12758),2)*100</f>
        <v>#REF!</v>
      </c>
      <c r="D12759" s="43" t="e">
        <f t="shared" si="1230"/>
        <v>#REF!</v>
      </c>
      <c r="E12759" s="31" t="e">
        <f>IF(B12759&lt;1,"",IF(B12759=1," Cent "," Cents "))</f>
        <v>#REF!</v>
      </c>
      <c r="J12759" s="31">
        <v>16</v>
      </c>
      <c r="K12759" s="33" t="s">
        <v>84</v>
      </c>
      <c r="L12759" s="31" t="str">
        <f t="shared" si="1231"/>
        <v>Enam Belas</v>
      </c>
    </row>
    <row r="12760" spans="1:12">
      <c r="J12760" s="31">
        <v>17</v>
      </c>
      <c r="K12760" s="33" t="s">
        <v>85</v>
      </c>
      <c r="L12760" s="31" t="str">
        <f t="shared" si="1231"/>
        <v>Tujuh Belas</v>
      </c>
    </row>
    <row r="12761" spans="1:12">
      <c r="A12761" s="44"/>
      <c r="J12761" s="31">
        <v>18</v>
      </c>
      <c r="K12761" s="33" t="s">
        <v>86</v>
      </c>
      <c r="L12761" s="31" t="str">
        <f t="shared" si="1231"/>
        <v>Delapan Belas</v>
      </c>
    </row>
    <row r="12762" spans="1:12">
      <c r="A12762" s="38" t="s">
        <v>87</v>
      </c>
      <c r="J12762" s="31">
        <v>19</v>
      </c>
      <c r="K12762" s="33" t="s">
        <v>88</v>
      </c>
      <c r="L12762" s="31" t="str">
        <f t="shared" si="1231"/>
        <v>Sembilan Belas</v>
      </c>
    </row>
    <row r="12763" spans="1:12">
      <c r="A12763" s="31" t="s">
        <v>69</v>
      </c>
      <c r="B12763" s="39" t="e">
        <f>TRUNC(A12741/100000000)</f>
        <v>#REF!</v>
      </c>
      <c r="C12763" s="31" t="e">
        <f>B12763*100000000</f>
        <v>#REF!</v>
      </c>
      <c r="D12763" s="31" t="e">
        <f>IF(B12763&lt;1,"",IF(B12763=1,"",VLOOKUP(B12763,$J$3:$L$102,3)))</f>
        <v>#REF!</v>
      </c>
      <c r="E12763" s="31" t="e">
        <f>IF(B12763&lt;1,"",IF(B12763=1,"Seratus "," Ratus "))</f>
        <v>#REF!</v>
      </c>
      <c r="J12763" s="31">
        <v>20</v>
      </c>
      <c r="K12763" s="33" t="s">
        <v>89</v>
      </c>
      <c r="L12763" s="31" t="s">
        <v>90</v>
      </c>
    </row>
    <row r="12764" spans="1:12">
      <c r="A12764" s="31" t="s">
        <v>72</v>
      </c>
      <c r="B12764" s="39" t="e">
        <f>TRUNC((A12741-C12763)/1000000)</f>
        <v>#REF!</v>
      </c>
      <c r="C12764" s="31" t="e">
        <f>B12764*1000000</f>
        <v>#REF!</v>
      </c>
      <c r="D12764" s="31" t="e">
        <f>IF(B12764&lt;1,"",VLOOKUP(B12764,$J$3:$L$102,3))</f>
        <v>#REF!</v>
      </c>
      <c r="E12764" s="31" t="e">
        <f>IF(B12763+B12764=0,""," Juta ")</f>
        <v>#REF!</v>
      </c>
      <c r="J12764" s="31">
        <v>21</v>
      </c>
      <c r="K12764" s="33" t="s">
        <v>91</v>
      </c>
      <c r="L12764" s="31" t="str">
        <f t="shared" ref="L12764:L12772" si="1232">$L$23&amp;" "&amp;L12744</f>
        <v>Dua Puluh Satu</v>
      </c>
    </row>
    <row r="12765" spans="1:12">
      <c r="A12765" s="31" t="s">
        <v>75</v>
      </c>
      <c r="B12765" s="39" t="e">
        <f>TRUNC((A12741-SUM(C12763:C12764))/100000)</f>
        <v>#REF!</v>
      </c>
      <c r="C12765" s="31" t="e">
        <f>B12765*100000</f>
        <v>#REF!</v>
      </c>
      <c r="D12765" s="31" t="e">
        <f>IF(B12765&lt;1,"",IF(B12765=1,"",VLOOKUP(B12765,$J$3:$L$102,3)))</f>
        <v>#REF!</v>
      </c>
      <c r="E12765" s="31" t="e">
        <f>IF(B12765&lt;1,"",IF(B12765=1," Seratus "," Ratus "))</f>
        <v>#REF!</v>
      </c>
      <c r="J12765" s="31">
        <v>22</v>
      </c>
      <c r="K12765" s="33" t="s">
        <v>92</v>
      </c>
      <c r="L12765" s="31" t="str">
        <f t="shared" si="1232"/>
        <v>Dua Puluh Dua</v>
      </c>
    </row>
    <row r="12766" spans="1:12">
      <c r="A12766" s="33" t="s">
        <v>77</v>
      </c>
      <c r="B12766" s="40" t="e">
        <f>TRUNC((A12741-SUM(C12763:C12765))/1000)</f>
        <v>#REF!</v>
      </c>
      <c r="C12766" s="31" t="e">
        <f>B12766*1000</f>
        <v>#REF!</v>
      </c>
      <c r="D12766" s="31" t="e">
        <f>IF(B12766&lt;1,"",IF(B12766=1,"",VLOOKUP(B12766,$J$3:$L$102,3)))</f>
        <v>#REF!</v>
      </c>
      <c r="E12766" s="31" t="e">
        <f>IF(B12765+B12766&lt;1,"",IF(B12766=1," Seribu "," Ribu "))</f>
        <v>#REF!</v>
      </c>
      <c r="J12766" s="31">
        <v>23</v>
      </c>
      <c r="K12766" s="33" t="s">
        <v>93</v>
      </c>
      <c r="L12766" s="31" t="str">
        <f t="shared" si="1232"/>
        <v>Dua Puluh Tiga</v>
      </c>
    </row>
    <row r="12767" spans="1:12">
      <c r="A12767" s="33" t="s">
        <v>79</v>
      </c>
      <c r="B12767" s="40" t="e">
        <f>TRUNC((A12741-SUM(C12763:C12766))/100)</f>
        <v>#REF!</v>
      </c>
      <c r="C12767" s="31" t="e">
        <f>B12767*100</f>
        <v>#REF!</v>
      </c>
      <c r="D12767" s="31" t="e">
        <f>IF(B12767&lt;1,"",IF(B12767=1,"",VLOOKUP(B12767,$J$3:$L$102,3)))</f>
        <v>#REF!</v>
      </c>
      <c r="E12767" s="31" t="e">
        <f>IF(B12767&lt;1,"",IF(B12767=1," Seratus "," Ratus "))</f>
        <v>#REF!</v>
      </c>
      <c r="J12767" s="31">
        <v>24</v>
      </c>
      <c r="K12767" s="33" t="s">
        <v>94</v>
      </c>
      <c r="L12767" s="31" t="str">
        <f t="shared" si="1232"/>
        <v>Dua Puluh Empat</v>
      </c>
    </row>
    <row r="12768" spans="1:12">
      <c r="A12768" s="33" t="s">
        <v>81</v>
      </c>
      <c r="B12768" s="41" t="e">
        <f>TRUNC((A12741-SUM(C12763:C12767)))</f>
        <v>#REF!</v>
      </c>
      <c r="C12768" s="42" t="e">
        <f>B12768</f>
        <v>#REF!</v>
      </c>
      <c r="D12768" s="31" t="e">
        <f>IF(B12768&lt;1,"",VLOOKUP(B12768,$J$3:$L$102,3))</f>
        <v>#REF!</v>
      </c>
      <c r="E12768" s="31" t="e">
        <f>IF(SUM(C12763:C12768)&lt;1,"",IF(B12769&lt;1,""," Dan "))</f>
        <v>#REF!</v>
      </c>
      <c r="J12768" s="31">
        <v>25</v>
      </c>
      <c r="K12768" s="33" t="s">
        <v>95</v>
      </c>
      <c r="L12768" s="31" t="str">
        <f t="shared" si="1232"/>
        <v>Dua Puluh Lima</v>
      </c>
    </row>
    <row r="12769" spans="1:12">
      <c r="A12769" s="33" t="s">
        <v>83</v>
      </c>
      <c r="B12769" s="40" t="e">
        <f>ROUND(A12741-SUM(C12763:C12768),2)*100</f>
        <v>#REF!</v>
      </c>
      <c r="D12769" s="31" t="e">
        <f>IF(B12769&lt;1,"",VLOOKUP(B12769,$J$3:$L$102,3))</f>
        <v>#REF!</v>
      </c>
      <c r="E12769" s="31" t="e">
        <f>IF(B12769&lt;1,""," Sen ")</f>
        <v>#REF!</v>
      </c>
      <c r="J12769" s="31">
        <v>26</v>
      </c>
      <c r="K12769" s="33" t="s">
        <v>96</v>
      </c>
      <c r="L12769" s="31" t="str">
        <f t="shared" si="1232"/>
        <v>Dua Puluh Enam</v>
      </c>
    </row>
    <row r="12770" spans="1:12">
      <c r="J12770" s="31">
        <v>27</v>
      </c>
      <c r="K12770" s="33" t="s">
        <v>97</v>
      </c>
      <c r="L12770" s="31" t="str">
        <f t="shared" si="1232"/>
        <v>Dua Puluh Tujuh</v>
      </c>
    </row>
    <row r="12771" spans="1:12">
      <c r="J12771" s="31">
        <v>28</v>
      </c>
      <c r="K12771" s="33" t="s">
        <v>98</v>
      </c>
      <c r="L12771" s="31" t="str">
        <f t="shared" si="1232"/>
        <v>Dua Puluh Delapan</v>
      </c>
    </row>
    <row r="12772" spans="1:12">
      <c r="J12772" s="31">
        <v>29</v>
      </c>
      <c r="K12772" s="33" t="s">
        <v>99</v>
      </c>
      <c r="L12772" s="31" t="str">
        <f t="shared" si="1232"/>
        <v>Dua Puluh Sembilan</v>
      </c>
    </row>
    <row r="12773" spans="1:12">
      <c r="J12773" s="31">
        <v>30</v>
      </c>
      <c r="K12773" s="33" t="s">
        <v>100</v>
      </c>
      <c r="L12773" s="31" t="s">
        <v>101</v>
      </c>
    </row>
    <row r="12774" spans="1:12">
      <c r="J12774" s="31">
        <v>31</v>
      </c>
      <c r="K12774" s="33" t="s">
        <v>102</v>
      </c>
      <c r="L12774" s="31" t="str">
        <f t="shared" ref="L12774:L12782" si="1233">$L$33&amp;" "&amp;L12744</f>
        <v>Tiga Puluh Satu</v>
      </c>
    </row>
    <row r="12775" spans="1:12">
      <c r="J12775" s="31">
        <v>32</v>
      </c>
      <c r="K12775" s="33" t="s">
        <v>103</v>
      </c>
      <c r="L12775" s="31" t="str">
        <f t="shared" si="1233"/>
        <v>Tiga Puluh Dua</v>
      </c>
    </row>
    <row r="12776" spans="1:12">
      <c r="J12776" s="31">
        <v>33</v>
      </c>
      <c r="K12776" s="33" t="s">
        <v>104</v>
      </c>
      <c r="L12776" s="31" t="str">
        <f t="shared" si="1233"/>
        <v>Tiga Puluh Tiga</v>
      </c>
    </row>
    <row r="12777" spans="1:12">
      <c r="J12777" s="31">
        <v>34</v>
      </c>
      <c r="K12777" s="33" t="s">
        <v>105</v>
      </c>
      <c r="L12777" s="31" t="str">
        <f t="shared" si="1233"/>
        <v>Tiga Puluh Empat</v>
      </c>
    </row>
    <row r="12778" spans="1:12">
      <c r="J12778" s="31">
        <v>35</v>
      </c>
      <c r="K12778" s="33" t="s">
        <v>106</v>
      </c>
      <c r="L12778" s="31" t="str">
        <f t="shared" si="1233"/>
        <v>Tiga Puluh Lima</v>
      </c>
    </row>
    <row r="12779" spans="1:12">
      <c r="J12779" s="31">
        <v>36</v>
      </c>
      <c r="K12779" s="33" t="s">
        <v>107</v>
      </c>
      <c r="L12779" s="31" t="str">
        <f t="shared" si="1233"/>
        <v>Tiga Puluh Enam</v>
      </c>
    </row>
    <row r="12780" spans="1:12">
      <c r="J12780" s="31">
        <v>37</v>
      </c>
      <c r="K12780" s="33" t="s">
        <v>108</v>
      </c>
      <c r="L12780" s="31" t="str">
        <f t="shared" si="1233"/>
        <v>Tiga Puluh Tujuh</v>
      </c>
    </row>
    <row r="12781" spans="1:12">
      <c r="J12781" s="31">
        <v>38</v>
      </c>
      <c r="K12781" s="33" t="s">
        <v>109</v>
      </c>
      <c r="L12781" s="31" t="str">
        <f t="shared" si="1233"/>
        <v>Tiga Puluh Delapan</v>
      </c>
    </row>
    <row r="12782" spans="1:12">
      <c r="J12782" s="31">
        <v>39</v>
      </c>
      <c r="K12782" s="33" t="s">
        <v>110</v>
      </c>
      <c r="L12782" s="31" t="str">
        <f t="shared" si="1233"/>
        <v>Tiga Puluh Sembilan</v>
      </c>
    </row>
    <row r="12783" spans="1:12">
      <c r="B12783" s="35"/>
      <c r="C12783" s="35"/>
      <c r="D12783" s="35"/>
      <c r="J12783" s="31">
        <v>40</v>
      </c>
      <c r="K12783" s="33" t="s">
        <v>111</v>
      </c>
      <c r="L12783" s="31" t="s">
        <v>112</v>
      </c>
    </row>
    <row r="12784" spans="1:12">
      <c r="A12784" s="35"/>
      <c r="B12784" s="35"/>
      <c r="C12784" s="35"/>
      <c r="D12784" s="35"/>
      <c r="J12784" s="31">
        <v>41</v>
      </c>
      <c r="K12784" s="33" t="s">
        <v>113</v>
      </c>
      <c r="L12784" s="31" t="str">
        <f t="shared" ref="L12784:L12792" si="1234">$L$43&amp;" "&amp;L12744</f>
        <v>Empat Puluh Satu</v>
      </c>
    </row>
    <row r="12785" spans="1:12">
      <c r="J12785" s="31">
        <v>42</v>
      </c>
      <c r="K12785" s="33" t="s">
        <v>114</v>
      </c>
      <c r="L12785" s="31" t="str">
        <f t="shared" si="1234"/>
        <v>Empat Puluh Dua</v>
      </c>
    </row>
    <row r="12786" spans="1:12">
      <c r="A12786" s="38"/>
      <c r="J12786" s="31">
        <v>43</v>
      </c>
      <c r="K12786" s="33" t="s">
        <v>115</v>
      </c>
      <c r="L12786" s="31" t="str">
        <f t="shared" si="1234"/>
        <v>Empat Puluh Tiga</v>
      </c>
    </row>
    <row r="12787" spans="1:12">
      <c r="J12787" s="31">
        <v>44</v>
      </c>
      <c r="K12787" s="33" t="s">
        <v>116</v>
      </c>
      <c r="L12787" s="31" t="str">
        <f t="shared" si="1234"/>
        <v>Empat Puluh Empat</v>
      </c>
    </row>
    <row r="12788" spans="1:12">
      <c r="J12788" s="31">
        <v>45</v>
      </c>
      <c r="K12788" s="33" t="s">
        <v>117</v>
      </c>
      <c r="L12788" s="31" t="str">
        <f t="shared" si="1234"/>
        <v>Empat Puluh Lima</v>
      </c>
    </row>
    <row r="12789" spans="1:12">
      <c r="J12789" s="31">
        <v>46</v>
      </c>
      <c r="K12789" s="33" t="s">
        <v>118</v>
      </c>
      <c r="L12789" s="31" t="str">
        <f t="shared" si="1234"/>
        <v>Empat Puluh Enam</v>
      </c>
    </row>
    <row r="12790" spans="1:12">
      <c r="J12790" s="31">
        <v>47</v>
      </c>
      <c r="K12790" s="33" t="s">
        <v>119</v>
      </c>
      <c r="L12790" s="31" t="str">
        <f t="shared" si="1234"/>
        <v>Empat Puluh Tujuh</v>
      </c>
    </row>
    <row r="12791" spans="1:12">
      <c r="J12791" s="31">
        <v>48</v>
      </c>
      <c r="K12791" s="33" t="s">
        <v>120</v>
      </c>
      <c r="L12791" s="31" t="str">
        <f t="shared" si="1234"/>
        <v>Empat Puluh Delapan</v>
      </c>
    </row>
    <row r="12792" spans="1:12">
      <c r="J12792" s="31">
        <v>49</v>
      </c>
      <c r="K12792" s="33" t="s">
        <v>121</v>
      </c>
      <c r="L12792" s="31" t="str">
        <f t="shared" si="1234"/>
        <v>Empat Puluh Sembilan</v>
      </c>
    </row>
    <row r="12793" spans="1:12">
      <c r="J12793" s="31">
        <v>50</v>
      </c>
      <c r="K12793" s="33" t="s">
        <v>122</v>
      </c>
      <c r="L12793" s="31" t="s">
        <v>123</v>
      </c>
    </row>
    <row r="12794" spans="1:12">
      <c r="J12794" s="31">
        <v>51</v>
      </c>
      <c r="K12794" s="33" t="s">
        <v>124</v>
      </c>
      <c r="L12794" s="31" t="str">
        <f t="shared" ref="L12794:L12802" si="1235">$L$53&amp;" "&amp;L12744</f>
        <v>Lima Puluh Satu</v>
      </c>
    </row>
    <row r="12795" spans="1:12">
      <c r="J12795" s="31">
        <v>52</v>
      </c>
      <c r="K12795" s="33" t="s">
        <v>125</v>
      </c>
      <c r="L12795" s="31" t="str">
        <f t="shared" si="1235"/>
        <v>Lima Puluh Dua</v>
      </c>
    </row>
    <row r="12796" spans="1:12">
      <c r="J12796" s="31">
        <v>53</v>
      </c>
      <c r="K12796" s="33" t="s">
        <v>126</v>
      </c>
      <c r="L12796" s="31" t="str">
        <f t="shared" si="1235"/>
        <v>Lima Puluh Tiga</v>
      </c>
    </row>
    <row r="12797" spans="1:12">
      <c r="J12797" s="31">
        <v>54</v>
      </c>
      <c r="K12797" s="33" t="s">
        <v>127</v>
      </c>
      <c r="L12797" s="31" t="str">
        <f t="shared" si="1235"/>
        <v>Lima Puluh Empat</v>
      </c>
    </row>
    <row r="12798" spans="1:12">
      <c r="J12798" s="31">
        <v>55</v>
      </c>
      <c r="K12798" s="33" t="s">
        <v>128</v>
      </c>
      <c r="L12798" s="31" t="str">
        <f t="shared" si="1235"/>
        <v>Lima Puluh Lima</v>
      </c>
    </row>
    <row r="12799" spans="1:12">
      <c r="J12799" s="31">
        <v>56</v>
      </c>
      <c r="K12799" s="33" t="s">
        <v>129</v>
      </c>
      <c r="L12799" s="31" t="str">
        <f t="shared" si="1235"/>
        <v>Lima Puluh Enam</v>
      </c>
    </row>
    <row r="12800" spans="1:12">
      <c r="J12800" s="31">
        <v>57</v>
      </c>
      <c r="K12800" s="33" t="s">
        <v>130</v>
      </c>
      <c r="L12800" s="31" t="str">
        <f t="shared" si="1235"/>
        <v>Lima Puluh Tujuh</v>
      </c>
    </row>
    <row r="12801" spans="10:12">
      <c r="J12801" s="31">
        <v>58</v>
      </c>
      <c r="K12801" s="33" t="s">
        <v>131</v>
      </c>
      <c r="L12801" s="31" t="str">
        <f t="shared" si="1235"/>
        <v>Lima Puluh Delapan</v>
      </c>
    </row>
    <row r="12802" spans="10:12">
      <c r="J12802" s="31">
        <v>59</v>
      </c>
      <c r="K12802" s="33" t="s">
        <v>132</v>
      </c>
      <c r="L12802" s="31" t="str">
        <f t="shared" si="1235"/>
        <v>Lima Puluh Sembilan</v>
      </c>
    </row>
    <row r="12803" spans="10:12">
      <c r="J12803" s="31">
        <v>60</v>
      </c>
      <c r="K12803" s="33" t="s">
        <v>133</v>
      </c>
      <c r="L12803" s="31" t="s">
        <v>134</v>
      </c>
    </row>
    <row r="12804" spans="10:12">
      <c r="J12804" s="31">
        <v>61</v>
      </c>
      <c r="K12804" s="33" t="s">
        <v>135</v>
      </c>
      <c r="L12804" s="31" t="str">
        <f t="shared" ref="L12804:L12812" si="1236">$L$63&amp;" "&amp;L12744</f>
        <v>Enam Puluh Satu</v>
      </c>
    </row>
    <row r="12805" spans="10:12">
      <c r="J12805" s="31">
        <v>62</v>
      </c>
      <c r="K12805" s="33" t="s">
        <v>136</v>
      </c>
      <c r="L12805" s="31" t="str">
        <f t="shared" si="1236"/>
        <v>Enam Puluh Dua</v>
      </c>
    </row>
    <row r="12806" spans="10:12">
      <c r="J12806" s="31">
        <v>63</v>
      </c>
      <c r="K12806" s="33" t="s">
        <v>137</v>
      </c>
      <c r="L12806" s="31" t="str">
        <f t="shared" si="1236"/>
        <v>Enam Puluh Tiga</v>
      </c>
    </row>
    <row r="12807" spans="10:12">
      <c r="J12807" s="31">
        <v>64</v>
      </c>
      <c r="K12807" s="33" t="s">
        <v>138</v>
      </c>
      <c r="L12807" s="31" t="str">
        <f t="shared" si="1236"/>
        <v>Enam Puluh Empat</v>
      </c>
    </row>
    <row r="12808" spans="10:12">
      <c r="J12808" s="31">
        <v>65</v>
      </c>
      <c r="K12808" s="33" t="s">
        <v>139</v>
      </c>
      <c r="L12808" s="31" t="str">
        <f t="shared" si="1236"/>
        <v>Enam Puluh Lima</v>
      </c>
    </row>
    <row r="12809" spans="10:12">
      <c r="J12809" s="31">
        <v>66</v>
      </c>
      <c r="K12809" s="33" t="s">
        <v>140</v>
      </c>
      <c r="L12809" s="31" t="str">
        <f t="shared" si="1236"/>
        <v>Enam Puluh Enam</v>
      </c>
    </row>
    <row r="12810" spans="10:12">
      <c r="J12810" s="31">
        <v>67</v>
      </c>
      <c r="K12810" s="33" t="s">
        <v>141</v>
      </c>
      <c r="L12810" s="31" t="str">
        <f t="shared" si="1236"/>
        <v>Enam Puluh Tujuh</v>
      </c>
    </row>
    <row r="12811" spans="10:12">
      <c r="J12811" s="31">
        <v>68</v>
      </c>
      <c r="K12811" s="33" t="s">
        <v>142</v>
      </c>
      <c r="L12811" s="31" t="str">
        <f t="shared" si="1236"/>
        <v>Enam Puluh Delapan</v>
      </c>
    </row>
    <row r="12812" spans="10:12">
      <c r="J12812" s="31">
        <v>69</v>
      </c>
      <c r="K12812" s="33" t="s">
        <v>143</v>
      </c>
      <c r="L12812" s="31" t="str">
        <f t="shared" si="1236"/>
        <v>Enam Puluh Sembilan</v>
      </c>
    </row>
    <row r="12813" spans="10:12">
      <c r="J12813" s="31">
        <v>70</v>
      </c>
      <c r="K12813" s="33" t="s">
        <v>144</v>
      </c>
      <c r="L12813" s="31" t="s">
        <v>145</v>
      </c>
    </row>
    <row r="12814" spans="10:12">
      <c r="J12814" s="31">
        <v>71</v>
      </c>
      <c r="K12814" s="33" t="s">
        <v>146</v>
      </c>
      <c r="L12814" s="31" t="str">
        <f t="shared" ref="L12814:L12822" si="1237">$L$73&amp;" "&amp;L12744</f>
        <v>Tujuh Puluh Satu</v>
      </c>
    </row>
    <row r="12815" spans="10:12">
      <c r="J12815" s="31">
        <v>72</v>
      </c>
      <c r="K12815" s="33" t="s">
        <v>147</v>
      </c>
      <c r="L12815" s="31" t="str">
        <f t="shared" si="1237"/>
        <v>Tujuh Puluh Dua</v>
      </c>
    </row>
    <row r="12816" spans="10:12">
      <c r="J12816" s="31">
        <v>73</v>
      </c>
      <c r="K12816" s="33" t="s">
        <v>148</v>
      </c>
      <c r="L12816" s="31" t="str">
        <f t="shared" si="1237"/>
        <v>Tujuh Puluh Tiga</v>
      </c>
    </row>
    <row r="12817" spans="10:12">
      <c r="J12817" s="31">
        <v>74</v>
      </c>
      <c r="K12817" s="33" t="s">
        <v>149</v>
      </c>
      <c r="L12817" s="31" t="str">
        <f t="shared" si="1237"/>
        <v>Tujuh Puluh Empat</v>
      </c>
    </row>
    <row r="12818" spans="10:12">
      <c r="J12818" s="31">
        <v>75</v>
      </c>
      <c r="K12818" s="33" t="s">
        <v>150</v>
      </c>
      <c r="L12818" s="31" t="str">
        <f t="shared" si="1237"/>
        <v>Tujuh Puluh Lima</v>
      </c>
    </row>
    <row r="12819" spans="10:12">
      <c r="J12819" s="31">
        <v>76</v>
      </c>
      <c r="K12819" s="33" t="s">
        <v>151</v>
      </c>
      <c r="L12819" s="31" t="str">
        <f t="shared" si="1237"/>
        <v>Tujuh Puluh Enam</v>
      </c>
    </row>
    <row r="12820" spans="10:12">
      <c r="J12820" s="31">
        <v>77</v>
      </c>
      <c r="K12820" s="33" t="s">
        <v>152</v>
      </c>
      <c r="L12820" s="31" t="str">
        <f t="shared" si="1237"/>
        <v>Tujuh Puluh Tujuh</v>
      </c>
    </row>
    <row r="12821" spans="10:12">
      <c r="J12821" s="31">
        <v>78</v>
      </c>
      <c r="K12821" s="33" t="s">
        <v>153</v>
      </c>
      <c r="L12821" s="31" t="str">
        <f t="shared" si="1237"/>
        <v>Tujuh Puluh Delapan</v>
      </c>
    </row>
    <row r="12822" spans="10:12">
      <c r="J12822" s="31">
        <v>79</v>
      </c>
      <c r="K12822" s="33" t="s">
        <v>154</v>
      </c>
      <c r="L12822" s="31" t="str">
        <f t="shared" si="1237"/>
        <v>Tujuh Puluh Sembilan</v>
      </c>
    </row>
    <row r="12823" spans="10:12">
      <c r="J12823" s="31">
        <v>80</v>
      </c>
      <c r="K12823" s="33" t="s">
        <v>155</v>
      </c>
      <c r="L12823" s="31" t="s">
        <v>156</v>
      </c>
    </row>
    <row r="12824" spans="10:12">
      <c r="J12824" s="31">
        <v>81</v>
      </c>
      <c r="K12824" s="33" t="s">
        <v>157</v>
      </c>
      <c r="L12824" s="31" t="str">
        <f t="shared" ref="L12824:L12832" si="1238">$L$83&amp;" "&amp;L12744</f>
        <v>Delapan Puluh Satu</v>
      </c>
    </row>
    <row r="12825" spans="10:12">
      <c r="J12825" s="31">
        <v>82</v>
      </c>
      <c r="K12825" s="33" t="s">
        <v>158</v>
      </c>
      <c r="L12825" s="31" t="str">
        <f t="shared" si="1238"/>
        <v>Delapan Puluh Dua</v>
      </c>
    </row>
    <row r="12826" spans="10:12">
      <c r="J12826" s="31">
        <v>83</v>
      </c>
      <c r="K12826" s="33" t="s">
        <v>159</v>
      </c>
      <c r="L12826" s="31" t="str">
        <f t="shared" si="1238"/>
        <v>Delapan Puluh Tiga</v>
      </c>
    </row>
    <row r="12827" spans="10:12">
      <c r="J12827" s="31">
        <v>84</v>
      </c>
      <c r="K12827" s="33" t="s">
        <v>160</v>
      </c>
      <c r="L12827" s="31" t="str">
        <f t="shared" si="1238"/>
        <v>Delapan Puluh Empat</v>
      </c>
    </row>
    <row r="12828" spans="10:12">
      <c r="J12828" s="31">
        <v>85</v>
      </c>
      <c r="K12828" s="33" t="s">
        <v>161</v>
      </c>
      <c r="L12828" s="31" t="str">
        <f t="shared" si="1238"/>
        <v>Delapan Puluh Lima</v>
      </c>
    </row>
    <row r="12829" spans="10:12">
      <c r="J12829" s="31">
        <v>86</v>
      </c>
      <c r="K12829" s="33" t="s">
        <v>162</v>
      </c>
      <c r="L12829" s="31" t="str">
        <f t="shared" si="1238"/>
        <v>Delapan Puluh Enam</v>
      </c>
    </row>
    <row r="12830" spans="10:12">
      <c r="J12830" s="31">
        <v>87</v>
      </c>
      <c r="K12830" s="33" t="s">
        <v>163</v>
      </c>
      <c r="L12830" s="31" t="str">
        <f t="shared" si="1238"/>
        <v>Delapan Puluh Tujuh</v>
      </c>
    </row>
    <row r="12831" spans="10:12">
      <c r="J12831" s="31">
        <v>88</v>
      </c>
      <c r="K12831" s="33" t="s">
        <v>164</v>
      </c>
      <c r="L12831" s="31" t="str">
        <f t="shared" si="1238"/>
        <v>Delapan Puluh Delapan</v>
      </c>
    </row>
    <row r="12832" spans="10:12">
      <c r="J12832" s="31">
        <v>89</v>
      </c>
      <c r="K12832" s="33" t="s">
        <v>165</v>
      </c>
      <c r="L12832" s="31" t="str">
        <f t="shared" si="1238"/>
        <v>Delapan Puluh Sembilan</v>
      </c>
    </row>
    <row r="12833" spans="1:12">
      <c r="J12833" s="31">
        <v>90</v>
      </c>
      <c r="K12833" s="33" t="s">
        <v>166</v>
      </c>
      <c r="L12833" s="31" t="s">
        <v>167</v>
      </c>
    </row>
    <row r="12834" spans="1:12">
      <c r="J12834" s="31">
        <v>91</v>
      </c>
      <c r="K12834" s="33" t="s">
        <v>168</v>
      </c>
      <c r="L12834" s="31" t="str">
        <f t="shared" ref="L12834:L12842" si="1239">$L$93&amp;" "&amp;L12744</f>
        <v>Sembilan Puluh Satu</v>
      </c>
    </row>
    <row r="12835" spans="1:12">
      <c r="J12835" s="31">
        <v>92</v>
      </c>
      <c r="K12835" s="33" t="s">
        <v>169</v>
      </c>
      <c r="L12835" s="31" t="str">
        <f t="shared" si="1239"/>
        <v>Sembilan Puluh Dua</v>
      </c>
    </row>
    <row r="12836" spans="1:12">
      <c r="J12836" s="31">
        <v>93</v>
      </c>
      <c r="K12836" s="33" t="s">
        <v>170</v>
      </c>
      <c r="L12836" s="31" t="str">
        <f t="shared" si="1239"/>
        <v>Sembilan Puluh Tiga</v>
      </c>
    </row>
    <row r="12837" spans="1:12">
      <c r="J12837" s="31">
        <v>94</v>
      </c>
      <c r="K12837" s="33" t="s">
        <v>171</v>
      </c>
      <c r="L12837" s="31" t="str">
        <f t="shared" si="1239"/>
        <v>Sembilan Puluh Empat</v>
      </c>
    </row>
    <row r="12838" spans="1:12">
      <c r="J12838" s="31">
        <v>95</v>
      </c>
      <c r="K12838" s="33" t="s">
        <v>172</v>
      </c>
      <c r="L12838" s="31" t="str">
        <f t="shared" si="1239"/>
        <v>Sembilan Puluh Lima</v>
      </c>
    </row>
    <row r="12839" spans="1:12">
      <c r="J12839" s="31">
        <v>96</v>
      </c>
      <c r="K12839" s="33" t="s">
        <v>173</v>
      </c>
      <c r="L12839" s="31" t="str">
        <f t="shared" si="1239"/>
        <v>Sembilan Puluh Enam</v>
      </c>
    </row>
    <row r="12840" spans="1:12">
      <c r="J12840" s="31">
        <v>97</v>
      </c>
      <c r="K12840" s="33" t="s">
        <v>174</v>
      </c>
      <c r="L12840" s="31" t="str">
        <f t="shared" si="1239"/>
        <v>Sembilan Puluh Tujuh</v>
      </c>
    </row>
    <row r="12841" spans="1:12">
      <c r="J12841" s="31">
        <v>98</v>
      </c>
      <c r="K12841" s="33" t="s">
        <v>175</v>
      </c>
      <c r="L12841" s="31" t="str">
        <f t="shared" si="1239"/>
        <v>Sembilan Puluh Delapan</v>
      </c>
    </row>
    <row r="12842" spans="1:12">
      <c r="J12842" s="31">
        <v>99</v>
      </c>
      <c r="K12842" s="33" t="s">
        <v>176</v>
      </c>
      <c r="L12842" s="31" t="str">
        <f t="shared" si="1239"/>
        <v>Sembilan Puluh Sembilan</v>
      </c>
    </row>
    <row r="12844" spans="1:12">
      <c r="A12844" s="30" t="e">
        <f>#REF!</f>
        <v>#REF!</v>
      </c>
      <c r="C12844" s="31" t="s">
        <v>360</v>
      </c>
    </row>
    <row r="12845" spans="1:12">
      <c r="A12845" s="32"/>
    </row>
    <row r="12846" spans="1:12">
      <c r="J12846" s="31">
        <v>0</v>
      </c>
      <c r="K12846" s="33" t="s">
        <v>48</v>
      </c>
      <c r="L12846" s="31" t="s">
        <v>49</v>
      </c>
    </row>
    <row r="12847" spans="1:12">
      <c r="A12847" s="34"/>
      <c r="J12847" s="31">
        <v>1</v>
      </c>
      <c r="K12847" s="33" t="s">
        <v>50</v>
      </c>
      <c r="L12847" s="31" t="s">
        <v>51</v>
      </c>
    </row>
    <row r="12848" spans="1:12">
      <c r="A12848" s="255" t="e">
        <f>TRIM(D12856&amp;E12856&amp;D12857&amp;E12857&amp;D12858&amp;E12858&amp;D12859&amp;E12859&amp;D12860&amp;E12860&amp;D12861&amp;E12861&amp;E12862&amp;D12862&amp;" Only")</f>
        <v>#REF!</v>
      </c>
      <c r="B12848" s="255"/>
      <c r="C12848" s="255"/>
      <c r="D12848" s="255"/>
      <c r="E12848" s="35"/>
      <c r="F12848" s="36"/>
      <c r="J12848" s="31">
        <v>2</v>
      </c>
      <c r="K12848" s="33" t="s">
        <v>52</v>
      </c>
      <c r="L12848" s="31" t="s">
        <v>53</v>
      </c>
    </row>
    <row r="12849" spans="1:12">
      <c r="A12849" s="37"/>
      <c r="B12849" s="37"/>
      <c r="C12849" s="37"/>
      <c r="D12849" s="37"/>
      <c r="E12849" s="35"/>
      <c r="F12849" s="36"/>
      <c r="J12849" s="31">
        <v>3</v>
      </c>
      <c r="K12849" s="33" t="s">
        <v>54</v>
      </c>
      <c r="L12849" s="31" t="s">
        <v>55</v>
      </c>
    </row>
    <row r="12850" spans="1:12">
      <c r="A12850" s="37"/>
      <c r="B12850" s="37"/>
      <c r="C12850" s="37"/>
      <c r="D12850" s="37"/>
      <c r="J12850" s="31">
        <v>4</v>
      </c>
      <c r="K12850" s="33" t="s">
        <v>56</v>
      </c>
      <c r="L12850" s="31" t="s">
        <v>57</v>
      </c>
    </row>
    <row r="12851" spans="1:12">
      <c r="A12851" s="255" t="e">
        <f>TRIM(D12866&amp;E12866&amp;D12867&amp;E12867&amp;D12868&amp;E12868&amp;D12869&amp;E12869&amp;D12870&amp;E12870&amp;D12871&amp;E12871&amp;D12872&amp;E12872&amp;" Rupiah")</f>
        <v>#REF!</v>
      </c>
      <c r="B12851" s="255"/>
      <c r="C12851" s="255"/>
      <c r="D12851" s="255"/>
      <c r="E12851" s="35"/>
      <c r="F12851" s="36"/>
      <c r="J12851" s="31">
        <v>5</v>
      </c>
      <c r="K12851" s="33" t="s">
        <v>58</v>
      </c>
      <c r="L12851" s="31" t="s">
        <v>59</v>
      </c>
    </row>
    <row r="12852" spans="1:12">
      <c r="A12852" s="35"/>
      <c r="B12852" s="35"/>
      <c r="C12852" s="35"/>
      <c r="D12852" s="35"/>
      <c r="E12852" s="35"/>
      <c r="F12852" s="36"/>
      <c r="J12852" s="31">
        <v>6</v>
      </c>
      <c r="K12852" s="33" t="s">
        <v>60</v>
      </c>
      <c r="L12852" s="31" t="s">
        <v>61</v>
      </c>
    </row>
    <row r="12853" spans="1:12">
      <c r="J12853" s="31">
        <v>7</v>
      </c>
      <c r="K12853" s="33" t="s">
        <v>62</v>
      </c>
      <c r="L12853" s="31" t="s">
        <v>63</v>
      </c>
    </row>
    <row r="12854" spans="1:12">
      <c r="J12854" s="31">
        <v>8</v>
      </c>
      <c r="K12854" s="33" t="s">
        <v>64</v>
      </c>
      <c r="L12854" s="31" t="s">
        <v>65</v>
      </c>
    </row>
    <row r="12855" spans="1:12">
      <c r="A12855" s="38" t="s">
        <v>66</v>
      </c>
      <c r="J12855" s="31">
        <v>9</v>
      </c>
      <c r="K12855" s="33" t="s">
        <v>67</v>
      </c>
      <c r="L12855" s="31" t="s">
        <v>68</v>
      </c>
    </row>
    <row r="12856" spans="1:12">
      <c r="A12856" s="31" t="s">
        <v>69</v>
      </c>
      <c r="B12856" s="39" t="e">
        <f>TRUNC(A12844/100000000)</f>
        <v>#REF!</v>
      </c>
      <c r="C12856" s="31" t="e">
        <f>B12856*100000000</f>
        <v>#REF!</v>
      </c>
      <c r="D12856" s="31" t="e">
        <f t="shared" ref="D12856:D12862" si="1240">IF(B12856&lt;1,"",VLOOKUP(B12856,$J$3:$K$102,2))</f>
        <v>#REF!</v>
      </c>
      <c r="E12856" s="31" t="e">
        <f>IF(B12856&lt;1,"",IF(B12856&gt;1," Hundreds "," Hundred "))</f>
        <v>#REF!</v>
      </c>
      <c r="J12856" s="31">
        <v>10</v>
      </c>
      <c r="K12856" s="33" t="s">
        <v>70</v>
      </c>
      <c r="L12856" s="31" t="s">
        <v>71</v>
      </c>
    </row>
    <row r="12857" spans="1:12">
      <c r="A12857" s="31" t="s">
        <v>72</v>
      </c>
      <c r="B12857" s="39" t="e">
        <f>TRUNC((A12844-C12856)/1000000)</f>
        <v>#REF!</v>
      </c>
      <c r="C12857" s="31" t="e">
        <f>B12857*1000000</f>
        <v>#REF!</v>
      </c>
      <c r="D12857" s="31" t="e">
        <f t="shared" si="1240"/>
        <v>#REF!</v>
      </c>
      <c r="E12857" s="31" t="e">
        <f>IF(B12856+B12857=0,"",IF(B12857=1," Million "," Millions "))</f>
        <v>#REF!</v>
      </c>
      <c r="J12857" s="31">
        <v>11</v>
      </c>
      <c r="K12857" s="33" t="s">
        <v>73</v>
      </c>
      <c r="L12857" s="31" t="s">
        <v>74</v>
      </c>
    </row>
    <row r="12858" spans="1:12">
      <c r="A12858" s="31" t="s">
        <v>75</v>
      </c>
      <c r="B12858" s="39" t="e">
        <f>TRUNC((A12844-SUM(C12856:C12857))/100000)</f>
        <v>#REF!</v>
      </c>
      <c r="C12858" s="31" t="e">
        <f>B12858*100000</f>
        <v>#REF!</v>
      </c>
      <c r="D12858" s="31" t="e">
        <f t="shared" si="1240"/>
        <v>#REF!</v>
      </c>
      <c r="E12858" s="31" t="e">
        <f>IF(B12858&lt;1,"",IF(B12858&gt;1," Hundreds "," Hundred "))</f>
        <v>#REF!</v>
      </c>
      <c r="J12858" s="31">
        <v>12</v>
      </c>
      <c r="K12858" s="33" t="s">
        <v>76</v>
      </c>
      <c r="L12858" s="31" t="str">
        <f t="shared" ref="L12858:L12865" si="1241">L12848&amp;" Belas"</f>
        <v>Dua Belas</v>
      </c>
    </row>
    <row r="12859" spans="1:12">
      <c r="A12859" s="33" t="s">
        <v>77</v>
      </c>
      <c r="B12859" s="40" t="e">
        <f>TRUNC((A12844-SUM(C12856:C12858))/1000)</f>
        <v>#REF!</v>
      </c>
      <c r="C12859" s="31" t="e">
        <f>B12859*1000</f>
        <v>#REF!</v>
      </c>
      <c r="D12859" s="31" t="e">
        <f t="shared" si="1240"/>
        <v>#REF!</v>
      </c>
      <c r="E12859" s="31" t="e">
        <f>IF(B12858+B12859=0,"",IF(B12859=1," Thousand "," Thousands "))</f>
        <v>#REF!</v>
      </c>
      <c r="J12859" s="31">
        <v>13</v>
      </c>
      <c r="K12859" s="33" t="s">
        <v>78</v>
      </c>
      <c r="L12859" s="31" t="str">
        <f t="shared" si="1241"/>
        <v>Tiga Belas</v>
      </c>
    </row>
    <row r="12860" spans="1:12">
      <c r="A12860" s="33" t="s">
        <v>79</v>
      </c>
      <c r="B12860" s="40" t="e">
        <f>TRUNC((A12844-SUM(C12856:C12859))/100)</f>
        <v>#REF!</v>
      </c>
      <c r="C12860" s="31" t="e">
        <f>B12860*100</f>
        <v>#REF!</v>
      </c>
      <c r="D12860" s="31" t="e">
        <f t="shared" si="1240"/>
        <v>#REF!</v>
      </c>
      <c r="E12860" s="31" t="e">
        <f>IF(B12860&lt;1,"",IF(B12860&gt;1," Hundreds "," Hundred "))</f>
        <v>#REF!</v>
      </c>
      <c r="J12860" s="31">
        <v>14</v>
      </c>
      <c r="K12860" s="33" t="s">
        <v>80</v>
      </c>
      <c r="L12860" s="31" t="str">
        <f t="shared" si="1241"/>
        <v>Empat Belas</v>
      </c>
    </row>
    <row r="12861" spans="1:12">
      <c r="A12861" s="33" t="s">
        <v>81</v>
      </c>
      <c r="B12861" s="41" t="e">
        <f>TRUNC((A12844-SUM(C12856:C12860)))</f>
        <v>#REF!</v>
      </c>
      <c r="C12861" s="42" t="e">
        <f>B12861</f>
        <v>#REF!</v>
      </c>
      <c r="D12861" s="31" t="e">
        <f t="shared" si="1240"/>
        <v>#REF!</v>
      </c>
      <c r="E12861" s="31" t="e">
        <f>IF(SUM(C12856:C12861)&lt;1,"",IF(B12862&lt;1,""," And "))</f>
        <v>#REF!</v>
      </c>
      <c r="J12861" s="31">
        <v>15</v>
      </c>
      <c r="K12861" s="33" t="s">
        <v>82</v>
      </c>
      <c r="L12861" s="31" t="str">
        <f t="shared" si="1241"/>
        <v>Lima Belas</v>
      </c>
    </row>
    <row r="12862" spans="1:12">
      <c r="A12862" s="33" t="s">
        <v>83</v>
      </c>
      <c r="B12862" s="40" t="e">
        <f>ROUND(A12844-SUM(C12856:C12861),2)*100</f>
        <v>#REF!</v>
      </c>
      <c r="D12862" s="43" t="e">
        <f t="shared" si="1240"/>
        <v>#REF!</v>
      </c>
      <c r="E12862" s="31" t="e">
        <f>IF(B12862&lt;1,"",IF(B12862=1," Cent "," Cents "))</f>
        <v>#REF!</v>
      </c>
      <c r="J12862" s="31">
        <v>16</v>
      </c>
      <c r="K12862" s="33" t="s">
        <v>84</v>
      </c>
      <c r="L12862" s="31" t="str">
        <f t="shared" si="1241"/>
        <v>Enam Belas</v>
      </c>
    </row>
    <row r="12863" spans="1:12">
      <c r="J12863" s="31">
        <v>17</v>
      </c>
      <c r="K12863" s="33" t="s">
        <v>85</v>
      </c>
      <c r="L12863" s="31" t="str">
        <f t="shared" si="1241"/>
        <v>Tujuh Belas</v>
      </c>
    </row>
    <row r="12864" spans="1:12">
      <c r="A12864" s="44"/>
      <c r="J12864" s="31">
        <v>18</v>
      </c>
      <c r="K12864" s="33" t="s">
        <v>86</v>
      </c>
      <c r="L12864" s="31" t="str">
        <f t="shared" si="1241"/>
        <v>Delapan Belas</v>
      </c>
    </row>
    <row r="12865" spans="1:12">
      <c r="A12865" s="38" t="s">
        <v>87</v>
      </c>
      <c r="J12865" s="31">
        <v>19</v>
      </c>
      <c r="K12865" s="33" t="s">
        <v>88</v>
      </c>
      <c r="L12865" s="31" t="str">
        <f t="shared" si="1241"/>
        <v>Sembilan Belas</v>
      </c>
    </row>
    <row r="12866" spans="1:12">
      <c r="A12866" s="31" t="s">
        <v>69</v>
      </c>
      <c r="B12866" s="39" t="e">
        <f>TRUNC(A12844/100000000)</f>
        <v>#REF!</v>
      </c>
      <c r="C12866" s="31" t="e">
        <f>B12866*100000000</f>
        <v>#REF!</v>
      </c>
      <c r="D12866" s="31" t="e">
        <f>IF(B12866&lt;1,"",IF(B12866=1,"",VLOOKUP(B12866,$J$3:$L$102,3)))</f>
        <v>#REF!</v>
      </c>
      <c r="E12866" s="31" t="e">
        <f>IF(B12866&lt;1,"",IF(B12866=1,"Seratus "," Ratus "))</f>
        <v>#REF!</v>
      </c>
      <c r="J12866" s="31">
        <v>20</v>
      </c>
      <c r="K12866" s="33" t="s">
        <v>89</v>
      </c>
      <c r="L12866" s="31" t="s">
        <v>90</v>
      </c>
    </row>
    <row r="12867" spans="1:12">
      <c r="A12867" s="31" t="s">
        <v>72</v>
      </c>
      <c r="B12867" s="39" t="e">
        <f>TRUNC((A12844-C12866)/1000000)</f>
        <v>#REF!</v>
      </c>
      <c r="C12867" s="31" t="e">
        <f>B12867*1000000</f>
        <v>#REF!</v>
      </c>
      <c r="D12867" s="31" t="e">
        <f>IF(B12867&lt;1,"",VLOOKUP(B12867,$J$3:$L$102,3))</f>
        <v>#REF!</v>
      </c>
      <c r="E12867" s="31" t="e">
        <f>IF(B12866+B12867=0,""," Juta ")</f>
        <v>#REF!</v>
      </c>
      <c r="J12867" s="31">
        <v>21</v>
      </c>
      <c r="K12867" s="33" t="s">
        <v>91</v>
      </c>
      <c r="L12867" s="31" t="str">
        <f t="shared" ref="L12867:L12875" si="1242">$L$23&amp;" "&amp;L12847</f>
        <v>Dua Puluh Satu</v>
      </c>
    </row>
    <row r="12868" spans="1:12">
      <c r="A12868" s="31" t="s">
        <v>75</v>
      </c>
      <c r="B12868" s="39" t="e">
        <f>TRUNC((A12844-SUM(C12866:C12867))/100000)</f>
        <v>#REF!</v>
      </c>
      <c r="C12868" s="31" t="e">
        <f>B12868*100000</f>
        <v>#REF!</v>
      </c>
      <c r="D12868" s="31" t="e">
        <f>IF(B12868&lt;1,"",IF(B12868=1,"",VLOOKUP(B12868,$J$3:$L$102,3)))</f>
        <v>#REF!</v>
      </c>
      <c r="E12868" s="31" t="e">
        <f>IF(B12868&lt;1,"",IF(B12868=1," Seratus "," Ratus "))</f>
        <v>#REF!</v>
      </c>
      <c r="J12868" s="31">
        <v>22</v>
      </c>
      <c r="K12868" s="33" t="s">
        <v>92</v>
      </c>
      <c r="L12868" s="31" t="str">
        <f t="shared" si="1242"/>
        <v>Dua Puluh Dua</v>
      </c>
    </row>
    <row r="12869" spans="1:12">
      <c r="A12869" s="33" t="s">
        <v>77</v>
      </c>
      <c r="B12869" s="40" t="e">
        <f>TRUNC((A12844-SUM(C12866:C12868))/1000)</f>
        <v>#REF!</v>
      </c>
      <c r="C12869" s="31" t="e">
        <f>B12869*1000</f>
        <v>#REF!</v>
      </c>
      <c r="D12869" s="31" t="e">
        <f>IF(B12869&lt;1,"",IF(B12869=1,"",VLOOKUP(B12869,$J$3:$L$102,3)))</f>
        <v>#REF!</v>
      </c>
      <c r="E12869" s="31" t="e">
        <f>IF(B12868+B12869&lt;1,"",IF(B12869=1," Seribu "," Ribu "))</f>
        <v>#REF!</v>
      </c>
      <c r="J12869" s="31">
        <v>23</v>
      </c>
      <c r="K12869" s="33" t="s">
        <v>93</v>
      </c>
      <c r="L12869" s="31" t="str">
        <f t="shared" si="1242"/>
        <v>Dua Puluh Tiga</v>
      </c>
    </row>
    <row r="12870" spans="1:12">
      <c r="A12870" s="33" t="s">
        <v>79</v>
      </c>
      <c r="B12870" s="40" t="e">
        <f>TRUNC((A12844-SUM(C12866:C12869))/100)</f>
        <v>#REF!</v>
      </c>
      <c r="C12870" s="31" t="e">
        <f>B12870*100</f>
        <v>#REF!</v>
      </c>
      <c r="D12870" s="31" t="e">
        <f>IF(B12870&lt;1,"",IF(B12870=1,"",VLOOKUP(B12870,$J$3:$L$102,3)))</f>
        <v>#REF!</v>
      </c>
      <c r="E12870" s="31" t="e">
        <f>IF(B12870&lt;1,"",IF(B12870=1," Seratus "," Ratus "))</f>
        <v>#REF!</v>
      </c>
      <c r="J12870" s="31">
        <v>24</v>
      </c>
      <c r="K12870" s="33" t="s">
        <v>94</v>
      </c>
      <c r="L12870" s="31" t="str">
        <f t="shared" si="1242"/>
        <v>Dua Puluh Empat</v>
      </c>
    </row>
    <row r="12871" spans="1:12">
      <c r="A12871" s="33" t="s">
        <v>81</v>
      </c>
      <c r="B12871" s="41" t="e">
        <f>TRUNC((A12844-SUM(C12866:C12870)))</f>
        <v>#REF!</v>
      </c>
      <c r="C12871" s="42" t="e">
        <f>B12871</f>
        <v>#REF!</v>
      </c>
      <c r="D12871" s="31" t="e">
        <f>IF(B12871&lt;1,"",VLOOKUP(B12871,$J$3:$L$102,3))</f>
        <v>#REF!</v>
      </c>
      <c r="E12871" s="31" t="e">
        <f>IF(SUM(C12866:C12871)&lt;1,"",IF(B12872&lt;1,""," Dan "))</f>
        <v>#REF!</v>
      </c>
      <c r="J12871" s="31">
        <v>25</v>
      </c>
      <c r="K12871" s="33" t="s">
        <v>95</v>
      </c>
      <c r="L12871" s="31" t="str">
        <f t="shared" si="1242"/>
        <v>Dua Puluh Lima</v>
      </c>
    </row>
    <row r="12872" spans="1:12">
      <c r="A12872" s="33" t="s">
        <v>83</v>
      </c>
      <c r="B12872" s="40" t="e">
        <f>ROUND(A12844-SUM(C12866:C12871),2)*100</f>
        <v>#REF!</v>
      </c>
      <c r="D12872" s="31" t="e">
        <f>IF(B12872&lt;1,"",VLOOKUP(B12872,$J$3:$L$102,3))</f>
        <v>#REF!</v>
      </c>
      <c r="E12872" s="31" t="e">
        <f>IF(B12872&lt;1,""," Sen ")</f>
        <v>#REF!</v>
      </c>
      <c r="J12872" s="31">
        <v>26</v>
      </c>
      <c r="K12872" s="33" t="s">
        <v>96</v>
      </c>
      <c r="L12872" s="31" t="str">
        <f t="shared" si="1242"/>
        <v>Dua Puluh Enam</v>
      </c>
    </row>
    <row r="12873" spans="1:12">
      <c r="J12873" s="31">
        <v>27</v>
      </c>
      <c r="K12873" s="33" t="s">
        <v>97</v>
      </c>
      <c r="L12873" s="31" t="str">
        <f t="shared" si="1242"/>
        <v>Dua Puluh Tujuh</v>
      </c>
    </row>
    <row r="12874" spans="1:12">
      <c r="J12874" s="31">
        <v>28</v>
      </c>
      <c r="K12874" s="33" t="s">
        <v>98</v>
      </c>
      <c r="L12874" s="31" t="str">
        <f t="shared" si="1242"/>
        <v>Dua Puluh Delapan</v>
      </c>
    </row>
    <row r="12875" spans="1:12">
      <c r="J12875" s="31">
        <v>29</v>
      </c>
      <c r="K12875" s="33" t="s">
        <v>99</v>
      </c>
      <c r="L12875" s="31" t="str">
        <f t="shared" si="1242"/>
        <v>Dua Puluh Sembilan</v>
      </c>
    </row>
    <row r="12876" spans="1:12">
      <c r="J12876" s="31">
        <v>30</v>
      </c>
      <c r="K12876" s="33" t="s">
        <v>100</v>
      </c>
      <c r="L12876" s="31" t="s">
        <v>101</v>
      </c>
    </row>
    <row r="12877" spans="1:12">
      <c r="J12877" s="31">
        <v>31</v>
      </c>
      <c r="K12877" s="33" t="s">
        <v>102</v>
      </c>
      <c r="L12877" s="31" t="str">
        <f t="shared" ref="L12877:L12885" si="1243">$L$33&amp;" "&amp;L12847</f>
        <v>Tiga Puluh Satu</v>
      </c>
    </row>
    <row r="12878" spans="1:12">
      <c r="J12878" s="31">
        <v>32</v>
      </c>
      <c r="K12878" s="33" t="s">
        <v>103</v>
      </c>
      <c r="L12878" s="31" t="str">
        <f t="shared" si="1243"/>
        <v>Tiga Puluh Dua</v>
      </c>
    </row>
    <row r="12879" spans="1:12">
      <c r="J12879" s="31">
        <v>33</v>
      </c>
      <c r="K12879" s="33" t="s">
        <v>104</v>
      </c>
      <c r="L12879" s="31" t="str">
        <f t="shared" si="1243"/>
        <v>Tiga Puluh Tiga</v>
      </c>
    </row>
    <row r="12880" spans="1:12">
      <c r="J12880" s="31">
        <v>34</v>
      </c>
      <c r="K12880" s="33" t="s">
        <v>105</v>
      </c>
      <c r="L12880" s="31" t="str">
        <f t="shared" si="1243"/>
        <v>Tiga Puluh Empat</v>
      </c>
    </row>
    <row r="12881" spans="1:12">
      <c r="J12881" s="31">
        <v>35</v>
      </c>
      <c r="K12881" s="33" t="s">
        <v>106</v>
      </c>
      <c r="L12881" s="31" t="str">
        <f t="shared" si="1243"/>
        <v>Tiga Puluh Lima</v>
      </c>
    </row>
    <row r="12882" spans="1:12">
      <c r="J12882" s="31">
        <v>36</v>
      </c>
      <c r="K12882" s="33" t="s">
        <v>107</v>
      </c>
      <c r="L12882" s="31" t="str">
        <f t="shared" si="1243"/>
        <v>Tiga Puluh Enam</v>
      </c>
    </row>
    <row r="12883" spans="1:12">
      <c r="J12883" s="31">
        <v>37</v>
      </c>
      <c r="K12883" s="33" t="s">
        <v>108</v>
      </c>
      <c r="L12883" s="31" t="str">
        <f t="shared" si="1243"/>
        <v>Tiga Puluh Tujuh</v>
      </c>
    </row>
    <row r="12884" spans="1:12">
      <c r="J12884" s="31">
        <v>38</v>
      </c>
      <c r="K12884" s="33" t="s">
        <v>109</v>
      </c>
      <c r="L12884" s="31" t="str">
        <f t="shared" si="1243"/>
        <v>Tiga Puluh Delapan</v>
      </c>
    </row>
    <row r="12885" spans="1:12">
      <c r="J12885" s="31">
        <v>39</v>
      </c>
      <c r="K12885" s="33" t="s">
        <v>110</v>
      </c>
      <c r="L12885" s="31" t="str">
        <f t="shared" si="1243"/>
        <v>Tiga Puluh Sembilan</v>
      </c>
    </row>
    <row r="12886" spans="1:12">
      <c r="B12886" s="35"/>
      <c r="C12886" s="35"/>
      <c r="D12886" s="35"/>
      <c r="J12886" s="31">
        <v>40</v>
      </c>
      <c r="K12886" s="33" t="s">
        <v>111</v>
      </c>
      <c r="L12886" s="31" t="s">
        <v>112</v>
      </c>
    </row>
    <row r="12887" spans="1:12">
      <c r="A12887" s="35"/>
      <c r="B12887" s="35"/>
      <c r="C12887" s="35"/>
      <c r="D12887" s="35"/>
      <c r="J12887" s="31">
        <v>41</v>
      </c>
      <c r="K12887" s="33" t="s">
        <v>113</v>
      </c>
      <c r="L12887" s="31" t="str">
        <f t="shared" ref="L12887:L12895" si="1244">$L$43&amp;" "&amp;L12847</f>
        <v>Empat Puluh Satu</v>
      </c>
    </row>
    <row r="12888" spans="1:12">
      <c r="J12888" s="31">
        <v>42</v>
      </c>
      <c r="K12888" s="33" t="s">
        <v>114</v>
      </c>
      <c r="L12888" s="31" t="str">
        <f t="shared" si="1244"/>
        <v>Empat Puluh Dua</v>
      </c>
    </row>
    <row r="12889" spans="1:12">
      <c r="A12889" s="38"/>
      <c r="J12889" s="31">
        <v>43</v>
      </c>
      <c r="K12889" s="33" t="s">
        <v>115</v>
      </c>
      <c r="L12889" s="31" t="str">
        <f t="shared" si="1244"/>
        <v>Empat Puluh Tiga</v>
      </c>
    </row>
    <row r="12890" spans="1:12">
      <c r="J12890" s="31">
        <v>44</v>
      </c>
      <c r="K12890" s="33" t="s">
        <v>116</v>
      </c>
      <c r="L12890" s="31" t="str">
        <f t="shared" si="1244"/>
        <v>Empat Puluh Empat</v>
      </c>
    </row>
    <row r="12891" spans="1:12">
      <c r="J12891" s="31">
        <v>45</v>
      </c>
      <c r="K12891" s="33" t="s">
        <v>117</v>
      </c>
      <c r="L12891" s="31" t="str">
        <f t="shared" si="1244"/>
        <v>Empat Puluh Lima</v>
      </c>
    </row>
    <row r="12892" spans="1:12">
      <c r="J12892" s="31">
        <v>46</v>
      </c>
      <c r="K12892" s="33" t="s">
        <v>118</v>
      </c>
      <c r="L12892" s="31" t="str">
        <f t="shared" si="1244"/>
        <v>Empat Puluh Enam</v>
      </c>
    </row>
    <row r="12893" spans="1:12">
      <c r="J12893" s="31">
        <v>47</v>
      </c>
      <c r="K12893" s="33" t="s">
        <v>119</v>
      </c>
      <c r="L12893" s="31" t="str">
        <f t="shared" si="1244"/>
        <v>Empat Puluh Tujuh</v>
      </c>
    </row>
    <row r="12894" spans="1:12">
      <c r="J12894" s="31">
        <v>48</v>
      </c>
      <c r="K12894" s="33" t="s">
        <v>120</v>
      </c>
      <c r="L12894" s="31" t="str">
        <f t="shared" si="1244"/>
        <v>Empat Puluh Delapan</v>
      </c>
    </row>
    <row r="12895" spans="1:12">
      <c r="J12895" s="31">
        <v>49</v>
      </c>
      <c r="K12895" s="33" t="s">
        <v>121</v>
      </c>
      <c r="L12895" s="31" t="str">
        <f t="shared" si="1244"/>
        <v>Empat Puluh Sembilan</v>
      </c>
    </row>
    <row r="12896" spans="1:12">
      <c r="J12896" s="31">
        <v>50</v>
      </c>
      <c r="K12896" s="33" t="s">
        <v>122</v>
      </c>
      <c r="L12896" s="31" t="s">
        <v>123</v>
      </c>
    </row>
    <row r="12897" spans="10:12">
      <c r="J12897" s="31">
        <v>51</v>
      </c>
      <c r="K12897" s="33" t="s">
        <v>124</v>
      </c>
      <c r="L12897" s="31" t="str">
        <f t="shared" ref="L12897:L12905" si="1245">$L$53&amp;" "&amp;L12847</f>
        <v>Lima Puluh Satu</v>
      </c>
    </row>
    <row r="12898" spans="10:12">
      <c r="J12898" s="31">
        <v>52</v>
      </c>
      <c r="K12898" s="33" t="s">
        <v>125</v>
      </c>
      <c r="L12898" s="31" t="str">
        <f t="shared" si="1245"/>
        <v>Lima Puluh Dua</v>
      </c>
    </row>
    <row r="12899" spans="10:12">
      <c r="J12899" s="31">
        <v>53</v>
      </c>
      <c r="K12899" s="33" t="s">
        <v>126</v>
      </c>
      <c r="L12899" s="31" t="str">
        <f t="shared" si="1245"/>
        <v>Lima Puluh Tiga</v>
      </c>
    </row>
    <row r="12900" spans="10:12">
      <c r="J12900" s="31">
        <v>54</v>
      </c>
      <c r="K12900" s="33" t="s">
        <v>127</v>
      </c>
      <c r="L12900" s="31" t="str">
        <f t="shared" si="1245"/>
        <v>Lima Puluh Empat</v>
      </c>
    </row>
    <row r="12901" spans="10:12">
      <c r="J12901" s="31">
        <v>55</v>
      </c>
      <c r="K12901" s="33" t="s">
        <v>128</v>
      </c>
      <c r="L12901" s="31" t="str">
        <f t="shared" si="1245"/>
        <v>Lima Puluh Lima</v>
      </c>
    </row>
    <row r="12902" spans="10:12">
      <c r="J12902" s="31">
        <v>56</v>
      </c>
      <c r="K12902" s="33" t="s">
        <v>129</v>
      </c>
      <c r="L12902" s="31" t="str">
        <f t="shared" si="1245"/>
        <v>Lima Puluh Enam</v>
      </c>
    </row>
    <row r="12903" spans="10:12">
      <c r="J12903" s="31">
        <v>57</v>
      </c>
      <c r="K12903" s="33" t="s">
        <v>130</v>
      </c>
      <c r="L12903" s="31" t="str">
        <f t="shared" si="1245"/>
        <v>Lima Puluh Tujuh</v>
      </c>
    </row>
    <row r="12904" spans="10:12">
      <c r="J12904" s="31">
        <v>58</v>
      </c>
      <c r="K12904" s="33" t="s">
        <v>131</v>
      </c>
      <c r="L12904" s="31" t="str">
        <f t="shared" si="1245"/>
        <v>Lima Puluh Delapan</v>
      </c>
    </row>
    <row r="12905" spans="10:12">
      <c r="J12905" s="31">
        <v>59</v>
      </c>
      <c r="K12905" s="33" t="s">
        <v>132</v>
      </c>
      <c r="L12905" s="31" t="str">
        <f t="shared" si="1245"/>
        <v>Lima Puluh Sembilan</v>
      </c>
    </row>
    <row r="12906" spans="10:12">
      <c r="J12906" s="31">
        <v>60</v>
      </c>
      <c r="K12906" s="33" t="s">
        <v>133</v>
      </c>
      <c r="L12906" s="31" t="s">
        <v>134</v>
      </c>
    </row>
    <row r="12907" spans="10:12">
      <c r="J12907" s="31">
        <v>61</v>
      </c>
      <c r="K12907" s="33" t="s">
        <v>135</v>
      </c>
      <c r="L12907" s="31" t="str">
        <f t="shared" ref="L12907:L12915" si="1246">$L$63&amp;" "&amp;L12847</f>
        <v>Enam Puluh Satu</v>
      </c>
    </row>
    <row r="12908" spans="10:12">
      <c r="J12908" s="31">
        <v>62</v>
      </c>
      <c r="K12908" s="33" t="s">
        <v>136</v>
      </c>
      <c r="L12908" s="31" t="str">
        <f t="shared" si="1246"/>
        <v>Enam Puluh Dua</v>
      </c>
    </row>
    <row r="12909" spans="10:12">
      <c r="J12909" s="31">
        <v>63</v>
      </c>
      <c r="K12909" s="33" t="s">
        <v>137</v>
      </c>
      <c r="L12909" s="31" t="str">
        <f t="shared" si="1246"/>
        <v>Enam Puluh Tiga</v>
      </c>
    </row>
    <row r="12910" spans="10:12">
      <c r="J12910" s="31">
        <v>64</v>
      </c>
      <c r="K12910" s="33" t="s">
        <v>138</v>
      </c>
      <c r="L12910" s="31" t="str">
        <f t="shared" si="1246"/>
        <v>Enam Puluh Empat</v>
      </c>
    </row>
    <row r="12911" spans="10:12">
      <c r="J12911" s="31">
        <v>65</v>
      </c>
      <c r="K12911" s="33" t="s">
        <v>139</v>
      </c>
      <c r="L12911" s="31" t="str">
        <f t="shared" si="1246"/>
        <v>Enam Puluh Lima</v>
      </c>
    </row>
    <row r="12912" spans="10:12">
      <c r="J12912" s="31">
        <v>66</v>
      </c>
      <c r="K12912" s="33" t="s">
        <v>140</v>
      </c>
      <c r="L12912" s="31" t="str">
        <f t="shared" si="1246"/>
        <v>Enam Puluh Enam</v>
      </c>
    </row>
    <row r="12913" spans="10:12">
      <c r="J12913" s="31">
        <v>67</v>
      </c>
      <c r="K12913" s="33" t="s">
        <v>141</v>
      </c>
      <c r="L12913" s="31" t="str">
        <f t="shared" si="1246"/>
        <v>Enam Puluh Tujuh</v>
      </c>
    </row>
    <row r="12914" spans="10:12">
      <c r="J12914" s="31">
        <v>68</v>
      </c>
      <c r="K12914" s="33" t="s">
        <v>142</v>
      </c>
      <c r="L12914" s="31" t="str">
        <f t="shared" si="1246"/>
        <v>Enam Puluh Delapan</v>
      </c>
    </row>
    <row r="12915" spans="10:12">
      <c r="J12915" s="31">
        <v>69</v>
      </c>
      <c r="K12915" s="33" t="s">
        <v>143</v>
      </c>
      <c r="L12915" s="31" t="str">
        <f t="shared" si="1246"/>
        <v>Enam Puluh Sembilan</v>
      </c>
    </row>
    <row r="12916" spans="10:12">
      <c r="J12916" s="31">
        <v>70</v>
      </c>
      <c r="K12916" s="33" t="s">
        <v>144</v>
      </c>
      <c r="L12916" s="31" t="s">
        <v>145</v>
      </c>
    </row>
    <row r="12917" spans="10:12">
      <c r="J12917" s="31">
        <v>71</v>
      </c>
      <c r="K12917" s="33" t="s">
        <v>146</v>
      </c>
      <c r="L12917" s="31" t="str">
        <f t="shared" ref="L12917:L12925" si="1247">$L$73&amp;" "&amp;L12847</f>
        <v>Tujuh Puluh Satu</v>
      </c>
    </row>
    <row r="12918" spans="10:12">
      <c r="J12918" s="31">
        <v>72</v>
      </c>
      <c r="K12918" s="33" t="s">
        <v>147</v>
      </c>
      <c r="L12918" s="31" t="str">
        <f t="shared" si="1247"/>
        <v>Tujuh Puluh Dua</v>
      </c>
    </row>
    <row r="12919" spans="10:12">
      <c r="J12919" s="31">
        <v>73</v>
      </c>
      <c r="K12919" s="33" t="s">
        <v>148</v>
      </c>
      <c r="L12919" s="31" t="str">
        <f t="shared" si="1247"/>
        <v>Tujuh Puluh Tiga</v>
      </c>
    </row>
    <row r="12920" spans="10:12">
      <c r="J12920" s="31">
        <v>74</v>
      </c>
      <c r="K12920" s="33" t="s">
        <v>149</v>
      </c>
      <c r="L12920" s="31" t="str">
        <f t="shared" si="1247"/>
        <v>Tujuh Puluh Empat</v>
      </c>
    </row>
    <row r="12921" spans="10:12">
      <c r="J12921" s="31">
        <v>75</v>
      </c>
      <c r="K12921" s="33" t="s">
        <v>150</v>
      </c>
      <c r="L12921" s="31" t="str">
        <f t="shared" si="1247"/>
        <v>Tujuh Puluh Lima</v>
      </c>
    </row>
    <row r="12922" spans="10:12">
      <c r="J12922" s="31">
        <v>76</v>
      </c>
      <c r="K12922" s="33" t="s">
        <v>151</v>
      </c>
      <c r="L12922" s="31" t="str">
        <f t="shared" si="1247"/>
        <v>Tujuh Puluh Enam</v>
      </c>
    </row>
    <row r="12923" spans="10:12">
      <c r="J12923" s="31">
        <v>77</v>
      </c>
      <c r="K12923" s="33" t="s">
        <v>152</v>
      </c>
      <c r="L12923" s="31" t="str">
        <f t="shared" si="1247"/>
        <v>Tujuh Puluh Tujuh</v>
      </c>
    </row>
    <row r="12924" spans="10:12">
      <c r="J12924" s="31">
        <v>78</v>
      </c>
      <c r="K12924" s="33" t="s">
        <v>153</v>
      </c>
      <c r="L12924" s="31" t="str">
        <f t="shared" si="1247"/>
        <v>Tujuh Puluh Delapan</v>
      </c>
    </row>
    <row r="12925" spans="10:12">
      <c r="J12925" s="31">
        <v>79</v>
      </c>
      <c r="K12925" s="33" t="s">
        <v>154</v>
      </c>
      <c r="L12925" s="31" t="str">
        <f t="shared" si="1247"/>
        <v>Tujuh Puluh Sembilan</v>
      </c>
    </row>
    <row r="12926" spans="10:12">
      <c r="J12926" s="31">
        <v>80</v>
      </c>
      <c r="K12926" s="33" t="s">
        <v>155</v>
      </c>
      <c r="L12926" s="31" t="s">
        <v>156</v>
      </c>
    </row>
    <row r="12927" spans="10:12">
      <c r="J12927" s="31">
        <v>81</v>
      </c>
      <c r="K12927" s="33" t="s">
        <v>157</v>
      </c>
      <c r="L12927" s="31" t="str">
        <f t="shared" ref="L12927:L12935" si="1248">$L$83&amp;" "&amp;L12847</f>
        <v>Delapan Puluh Satu</v>
      </c>
    </row>
    <row r="12928" spans="10:12">
      <c r="J12928" s="31">
        <v>82</v>
      </c>
      <c r="K12928" s="33" t="s">
        <v>158</v>
      </c>
      <c r="L12928" s="31" t="str">
        <f t="shared" si="1248"/>
        <v>Delapan Puluh Dua</v>
      </c>
    </row>
    <row r="12929" spans="10:12">
      <c r="J12929" s="31">
        <v>83</v>
      </c>
      <c r="K12929" s="33" t="s">
        <v>159</v>
      </c>
      <c r="L12929" s="31" t="str">
        <f t="shared" si="1248"/>
        <v>Delapan Puluh Tiga</v>
      </c>
    </row>
    <row r="12930" spans="10:12">
      <c r="J12930" s="31">
        <v>84</v>
      </c>
      <c r="K12930" s="33" t="s">
        <v>160</v>
      </c>
      <c r="L12930" s="31" t="str">
        <f t="shared" si="1248"/>
        <v>Delapan Puluh Empat</v>
      </c>
    </row>
    <row r="12931" spans="10:12">
      <c r="J12931" s="31">
        <v>85</v>
      </c>
      <c r="K12931" s="33" t="s">
        <v>161</v>
      </c>
      <c r="L12931" s="31" t="str">
        <f t="shared" si="1248"/>
        <v>Delapan Puluh Lima</v>
      </c>
    </row>
    <row r="12932" spans="10:12">
      <c r="J12932" s="31">
        <v>86</v>
      </c>
      <c r="K12932" s="33" t="s">
        <v>162</v>
      </c>
      <c r="L12932" s="31" t="str">
        <f t="shared" si="1248"/>
        <v>Delapan Puluh Enam</v>
      </c>
    </row>
    <row r="12933" spans="10:12">
      <c r="J12933" s="31">
        <v>87</v>
      </c>
      <c r="K12933" s="33" t="s">
        <v>163</v>
      </c>
      <c r="L12933" s="31" t="str">
        <f t="shared" si="1248"/>
        <v>Delapan Puluh Tujuh</v>
      </c>
    </row>
    <row r="12934" spans="10:12">
      <c r="J12934" s="31">
        <v>88</v>
      </c>
      <c r="K12934" s="33" t="s">
        <v>164</v>
      </c>
      <c r="L12934" s="31" t="str">
        <f t="shared" si="1248"/>
        <v>Delapan Puluh Delapan</v>
      </c>
    </row>
    <row r="12935" spans="10:12">
      <c r="J12935" s="31">
        <v>89</v>
      </c>
      <c r="K12935" s="33" t="s">
        <v>165</v>
      </c>
      <c r="L12935" s="31" t="str">
        <f t="shared" si="1248"/>
        <v>Delapan Puluh Sembilan</v>
      </c>
    </row>
    <row r="12936" spans="10:12">
      <c r="J12936" s="31">
        <v>90</v>
      </c>
      <c r="K12936" s="33" t="s">
        <v>166</v>
      </c>
      <c r="L12936" s="31" t="s">
        <v>167</v>
      </c>
    </row>
    <row r="12937" spans="10:12">
      <c r="J12937" s="31">
        <v>91</v>
      </c>
      <c r="K12937" s="33" t="s">
        <v>168</v>
      </c>
      <c r="L12937" s="31" t="str">
        <f t="shared" ref="L12937:L12945" si="1249">$L$93&amp;" "&amp;L12847</f>
        <v>Sembilan Puluh Satu</v>
      </c>
    </row>
    <row r="12938" spans="10:12">
      <c r="J12938" s="31">
        <v>92</v>
      </c>
      <c r="K12938" s="33" t="s">
        <v>169</v>
      </c>
      <c r="L12938" s="31" t="str">
        <f t="shared" si="1249"/>
        <v>Sembilan Puluh Dua</v>
      </c>
    </row>
    <row r="12939" spans="10:12">
      <c r="J12939" s="31">
        <v>93</v>
      </c>
      <c r="K12939" s="33" t="s">
        <v>170</v>
      </c>
      <c r="L12939" s="31" t="str">
        <f t="shared" si="1249"/>
        <v>Sembilan Puluh Tiga</v>
      </c>
    </row>
    <row r="12940" spans="10:12">
      <c r="J12940" s="31">
        <v>94</v>
      </c>
      <c r="K12940" s="33" t="s">
        <v>171</v>
      </c>
      <c r="L12940" s="31" t="str">
        <f t="shared" si="1249"/>
        <v>Sembilan Puluh Empat</v>
      </c>
    </row>
    <row r="12941" spans="10:12">
      <c r="J12941" s="31">
        <v>95</v>
      </c>
      <c r="K12941" s="33" t="s">
        <v>172</v>
      </c>
      <c r="L12941" s="31" t="str">
        <f t="shared" si="1249"/>
        <v>Sembilan Puluh Lima</v>
      </c>
    </row>
    <row r="12942" spans="10:12">
      <c r="J12942" s="31">
        <v>96</v>
      </c>
      <c r="K12942" s="33" t="s">
        <v>173</v>
      </c>
      <c r="L12942" s="31" t="str">
        <f t="shared" si="1249"/>
        <v>Sembilan Puluh Enam</v>
      </c>
    </row>
    <row r="12943" spans="10:12">
      <c r="J12943" s="31">
        <v>97</v>
      </c>
      <c r="K12943" s="33" t="s">
        <v>174</v>
      </c>
      <c r="L12943" s="31" t="str">
        <f t="shared" si="1249"/>
        <v>Sembilan Puluh Tujuh</v>
      </c>
    </row>
    <row r="12944" spans="10:12">
      <c r="J12944" s="31">
        <v>98</v>
      </c>
      <c r="K12944" s="33" t="s">
        <v>175</v>
      </c>
      <c r="L12944" s="31" t="str">
        <f t="shared" si="1249"/>
        <v>Sembilan Puluh Delapan</v>
      </c>
    </row>
    <row r="12945" spans="1:12">
      <c r="J12945" s="31">
        <v>99</v>
      </c>
      <c r="K12945" s="33" t="s">
        <v>176</v>
      </c>
      <c r="L12945" s="31" t="str">
        <f t="shared" si="1249"/>
        <v>Sembilan Puluh Sembilan</v>
      </c>
    </row>
    <row r="12947" spans="1:12">
      <c r="A12947" s="30" t="e">
        <f>#REF!</f>
        <v>#REF!</v>
      </c>
      <c r="C12947" s="31" t="s">
        <v>361</v>
      </c>
    </row>
    <row r="12948" spans="1:12">
      <c r="A12948" s="32"/>
    </row>
    <row r="12949" spans="1:12">
      <c r="J12949" s="31">
        <v>0</v>
      </c>
      <c r="K12949" s="33" t="s">
        <v>48</v>
      </c>
      <c r="L12949" s="31" t="s">
        <v>49</v>
      </c>
    </row>
    <row r="12950" spans="1:12">
      <c r="A12950" s="34"/>
      <c r="J12950" s="31">
        <v>1</v>
      </c>
      <c r="K12950" s="33" t="s">
        <v>50</v>
      </c>
      <c r="L12950" s="31" t="s">
        <v>51</v>
      </c>
    </row>
    <row r="12951" spans="1:12">
      <c r="A12951" s="255" t="e">
        <f>TRIM(D12959&amp;E12959&amp;D12960&amp;E12960&amp;D12961&amp;E12961&amp;D12962&amp;E12962&amp;D12963&amp;E12963&amp;D12964&amp;E12964&amp;E12965&amp;D12965&amp;" Only")</f>
        <v>#REF!</v>
      </c>
      <c r="B12951" s="255"/>
      <c r="C12951" s="255"/>
      <c r="D12951" s="255"/>
      <c r="E12951" s="35"/>
      <c r="F12951" s="36"/>
      <c r="J12951" s="31">
        <v>2</v>
      </c>
      <c r="K12951" s="33" t="s">
        <v>52</v>
      </c>
      <c r="L12951" s="31" t="s">
        <v>53</v>
      </c>
    </row>
    <row r="12952" spans="1:12">
      <c r="A12952" s="37"/>
      <c r="B12952" s="37"/>
      <c r="C12952" s="37"/>
      <c r="D12952" s="37"/>
      <c r="E12952" s="35"/>
      <c r="F12952" s="36"/>
      <c r="J12952" s="31">
        <v>3</v>
      </c>
      <c r="K12952" s="33" t="s">
        <v>54</v>
      </c>
      <c r="L12952" s="31" t="s">
        <v>55</v>
      </c>
    </row>
    <row r="12953" spans="1:12">
      <c r="A12953" s="37"/>
      <c r="B12953" s="37"/>
      <c r="C12953" s="37"/>
      <c r="D12953" s="37"/>
      <c r="J12953" s="31">
        <v>4</v>
      </c>
      <c r="K12953" s="33" t="s">
        <v>56</v>
      </c>
      <c r="L12953" s="31" t="s">
        <v>57</v>
      </c>
    </row>
    <row r="12954" spans="1:12">
      <c r="A12954" s="255" t="e">
        <f>TRIM(D12969&amp;E12969&amp;D12970&amp;E12970&amp;D12971&amp;E12971&amp;D12972&amp;E12972&amp;D12973&amp;E12973&amp;D12974&amp;E12974&amp;D12975&amp;E12975&amp;" Rupiah")</f>
        <v>#REF!</v>
      </c>
      <c r="B12954" s="255"/>
      <c r="C12954" s="255"/>
      <c r="D12954" s="255"/>
      <c r="E12954" s="35"/>
      <c r="F12954" s="36"/>
      <c r="J12954" s="31">
        <v>5</v>
      </c>
      <c r="K12954" s="33" t="s">
        <v>58</v>
      </c>
      <c r="L12954" s="31" t="s">
        <v>59</v>
      </c>
    </row>
    <row r="12955" spans="1:12">
      <c r="A12955" s="35"/>
      <c r="B12955" s="35"/>
      <c r="C12955" s="35"/>
      <c r="D12955" s="35"/>
      <c r="E12955" s="35"/>
      <c r="F12955" s="36"/>
      <c r="J12955" s="31">
        <v>6</v>
      </c>
      <c r="K12955" s="33" t="s">
        <v>60</v>
      </c>
      <c r="L12955" s="31" t="s">
        <v>61</v>
      </c>
    </row>
    <row r="12956" spans="1:12">
      <c r="J12956" s="31">
        <v>7</v>
      </c>
      <c r="K12956" s="33" t="s">
        <v>62</v>
      </c>
      <c r="L12956" s="31" t="s">
        <v>63</v>
      </c>
    </row>
    <row r="12957" spans="1:12">
      <c r="J12957" s="31">
        <v>8</v>
      </c>
      <c r="K12957" s="33" t="s">
        <v>64</v>
      </c>
      <c r="L12957" s="31" t="s">
        <v>65</v>
      </c>
    </row>
    <row r="12958" spans="1:12">
      <c r="A12958" s="38" t="s">
        <v>66</v>
      </c>
      <c r="J12958" s="31">
        <v>9</v>
      </c>
      <c r="K12958" s="33" t="s">
        <v>67</v>
      </c>
      <c r="L12958" s="31" t="s">
        <v>68</v>
      </c>
    </row>
    <row r="12959" spans="1:12">
      <c r="A12959" s="31" t="s">
        <v>69</v>
      </c>
      <c r="B12959" s="39" t="e">
        <f>TRUNC(A12947/100000000)</f>
        <v>#REF!</v>
      </c>
      <c r="C12959" s="31" t="e">
        <f>B12959*100000000</f>
        <v>#REF!</v>
      </c>
      <c r="D12959" s="31" t="e">
        <f t="shared" ref="D12959:D12965" si="1250">IF(B12959&lt;1,"",VLOOKUP(B12959,$J$3:$K$102,2))</f>
        <v>#REF!</v>
      </c>
      <c r="E12959" s="31" t="e">
        <f>IF(B12959&lt;1,"",IF(B12959&gt;1," Hundreds "," Hundred "))</f>
        <v>#REF!</v>
      </c>
      <c r="J12959" s="31">
        <v>10</v>
      </c>
      <c r="K12959" s="33" t="s">
        <v>70</v>
      </c>
      <c r="L12959" s="31" t="s">
        <v>71</v>
      </c>
    </row>
    <row r="12960" spans="1:12">
      <c r="A12960" s="31" t="s">
        <v>72</v>
      </c>
      <c r="B12960" s="39" t="e">
        <f>TRUNC((A12947-C12959)/1000000)</f>
        <v>#REF!</v>
      </c>
      <c r="C12960" s="31" t="e">
        <f>B12960*1000000</f>
        <v>#REF!</v>
      </c>
      <c r="D12960" s="31" t="e">
        <f t="shared" si="1250"/>
        <v>#REF!</v>
      </c>
      <c r="E12960" s="31" t="e">
        <f>IF(B12959+B12960=0,"",IF(B12960=1," Million "," Millions "))</f>
        <v>#REF!</v>
      </c>
      <c r="J12960" s="31">
        <v>11</v>
      </c>
      <c r="K12960" s="33" t="s">
        <v>73</v>
      </c>
      <c r="L12960" s="31" t="s">
        <v>74</v>
      </c>
    </row>
    <row r="12961" spans="1:12">
      <c r="A12961" s="31" t="s">
        <v>75</v>
      </c>
      <c r="B12961" s="39" t="e">
        <f>TRUNC((A12947-SUM(C12959:C12960))/100000)</f>
        <v>#REF!</v>
      </c>
      <c r="C12961" s="31" t="e">
        <f>B12961*100000</f>
        <v>#REF!</v>
      </c>
      <c r="D12961" s="31" t="e">
        <f t="shared" si="1250"/>
        <v>#REF!</v>
      </c>
      <c r="E12961" s="31" t="e">
        <f>IF(B12961&lt;1,"",IF(B12961&gt;1," Hundreds "," Hundred "))</f>
        <v>#REF!</v>
      </c>
      <c r="J12961" s="31">
        <v>12</v>
      </c>
      <c r="K12961" s="33" t="s">
        <v>76</v>
      </c>
      <c r="L12961" s="31" t="str">
        <f t="shared" ref="L12961:L12968" si="1251">L12951&amp;" Belas"</f>
        <v>Dua Belas</v>
      </c>
    </row>
    <row r="12962" spans="1:12">
      <c r="A12962" s="33" t="s">
        <v>77</v>
      </c>
      <c r="B12962" s="40" t="e">
        <f>TRUNC((A12947-SUM(C12959:C12961))/1000)</f>
        <v>#REF!</v>
      </c>
      <c r="C12962" s="31" t="e">
        <f>B12962*1000</f>
        <v>#REF!</v>
      </c>
      <c r="D12962" s="31" t="e">
        <f t="shared" si="1250"/>
        <v>#REF!</v>
      </c>
      <c r="E12962" s="31" t="e">
        <f>IF(B12961+B12962=0,"",IF(B12962=1," Thousand "," Thousands "))</f>
        <v>#REF!</v>
      </c>
      <c r="J12962" s="31">
        <v>13</v>
      </c>
      <c r="K12962" s="33" t="s">
        <v>78</v>
      </c>
      <c r="L12962" s="31" t="str">
        <f t="shared" si="1251"/>
        <v>Tiga Belas</v>
      </c>
    </row>
    <row r="12963" spans="1:12">
      <c r="A12963" s="33" t="s">
        <v>79</v>
      </c>
      <c r="B12963" s="40" t="e">
        <f>TRUNC((A12947-SUM(C12959:C12962))/100)</f>
        <v>#REF!</v>
      </c>
      <c r="C12963" s="31" t="e">
        <f>B12963*100</f>
        <v>#REF!</v>
      </c>
      <c r="D12963" s="31" t="e">
        <f t="shared" si="1250"/>
        <v>#REF!</v>
      </c>
      <c r="E12963" s="31" t="e">
        <f>IF(B12963&lt;1,"",IF(B12963&gt;1," Hundreds "," Hundred "))</f>
        <v>#REF!</v>
      </c>
      <c r="J12963" s="31">
        <v>14</v>
      </c>
      <c r="K12963" s="33" t="s">
        <v>80</v>
      </c>
      <c r="L12963" s="31" t="str">
        <f t="shared" si="1251"/>
        <v>Empat Belas</v>
      </c>
    </row>
    <row r="12964" spans="1:12">
      <c r="A12964" s="33" t="s">
        <v>81</v>
      </c>
      <c r="B12964" s="41" t="e">
        <f>TRUNC((A12947-SUM(C12959:C12963)))</f>
        <v>#REF!</v>
      </c>
      <c r="C12964" s="42" t="e">
        <f>B12964</f>
        <v>#REF!</v>
      </c>
      <c r="D12964" s="31" t="e">
        <f t="shared" si="1250"/>
        <v>#REF!</v>
      </c>
      <c r="E12964" s="31" t="e">
        <f>IF(SUM(C12959:C12964)&lt;1,"",IF(B12965&lt;1,""," And "))</f>
        <v>#REF!</v>
      </c>
      <c r="J12964" s="31">
        <v>15</v>
      </c>
      <c r="K12964" s="33" t="s">
        <v>82</v>
      </c>
      <c r="L12964" s="31" t="str">
        <f t="shared" si="1251"/>
        <v>Lima Belas</v>
      </c>
    </row>
    <row r="12965" spans="1:12">
      <c r="A12965" s="33" t="s">
        <v>83</v>
      </c>
      <c r="B12965" s="40" t="e">
        <f>ROUND(A12947-SUM(C12959:C12964),2)*100</f>
        <v>#REF!</v>
      </c>
      <c r="D12965" s="43" t="e">
        <f t="shared" si="1250"/>
        <v>#REF!</v>
      </c>
      <c r="E12965" s="31" t="e">
        <f>IF(B12965&lt;1,"",IF(B12965=1," Cent "," Cents "))</f>
        <v>#REF!</v>
      </c>
      <c r="J12965" s="31">
        <v>16</v>
      </c>
      <c r="K12965" s="33" t="s">
        <v>84</v>
      </c>
      <c r="L12965" s="31" t="str">
        <f t="shared" si="1251"/>
        <v>Enam Belas</v>
      </c>
    </row>
    <row r="12966" spans="1:12">
      <c r="J12966" s="31">
        <v>17</v>
      </c>
      <c r="K12966" s="33" t="s">
        <v>85</v>
      </c>
      <c r="L12966" s="31" t="str">
        <f t="shared" si="1251"/>
        <v>Tujuh Belas</v>
      </c>
    </row>
    <row r="12967" spans="1:12">
      <c r="A12967" s="44"/>
      <c r="J12967" s="31">
        <v>18</v>
      </c>
      <c r="K12967" s="33" t="s">
        <v>86</v>
      </c>
      <c r="L12967" s="31" t="str">
        <f t="shared" si="1251"/>
        <v>Delapan Belas</v>
      </c>
    </row>
    <row r="12968" spans="1:12">
      <c r="A12968" s="38" t="s">
        <v>87</v>
      </c>
      <c r="J12968" s="31">
        <v>19</v>
      </c>
      <c r="K12968" s="33" t="s">
        <v>88</v>
      </c>
      <c r="L12968" s="31" t="str">
        <f t="shared" si="1251"/>
        <v>Sembilan Belas</v>
      </c>
    </row>
    <row r="12969" spans="1:12">
      <c r="A12969" s="31" t="s">
        <v>69</v>
      </c>
      <c r="B12969" s="39" t="e">
        <f>TRUNC(A12947/100000000)</f>
        <v>#REF!</v>
      </c>
      <c r="C12969" s="31" t="e">
        <f>B12969*100000000</f>
        <v>#REF!</v>
      </c>
      <c r="D12969" s="31" t="e">
        <f>IF(B12969&lt;1,"",IF(B12969=1,"",VLOOKUP(B12969,$J$3:$L$102,3)))</f>
        <v>#REF!</v>
      </c>
      <c r="E12969" s="31" t="e">
        <f>IF(B12969&lt;1,"",IF(B12969=1,"Seratus "," Ratus "))</f>
        <v>#REF!</v>
      </c>
      <c r="J12969" s="31">
        <v>20</v>
      </c>
      <c r="K12969" s="33" t="s">
        <v>89</v>
      </c>
      <c r="L12969" s="31" t="s">
        <v>90</v>
      </c>
    </row>
    <row r="12970" spans="1:12">
      <c r="A12970" s="31" t="s">
        <v>72</v>
      </c>
      <c r="B12970" s="39" t="e">
        <f>TRUNC((A12947-C12969)/1000000)</f>
        <v>#REF!</v>
      </c>
      <c r="C12970" s="31" t="e">
        <f>B12970*1000000</f>
        <v>#REF!</v>
      </c>
      <c r="D12970" s="31" t="e">
        <f>IF(B12970&lt;1,"",VLOOKUP(B12970,$J$3:$L$102,3))</f>
        <v>#REF!</v>
      </c>
      <c r="E12970" s="31" t="e">
        <f>IF(B12969+B12970=0,""," Juta ")</f>
        <v>#REF!</v>
      </c>
      <c r="J12970" s="31">
        <v>21</v>
      </c>
      <c r="K12970" s="33" t="s">
        <v>91</v>
      </c>
      <c r="L12970" s="31" t="str">
        <f t="shared" ref="L12970:L12978" si="1252">$L$23&amp;" "&amp;L12950</f>
        <v>Dua Puluh Satu</v>
      </c>
    </row>
    <row r="12971" spans="1:12">
      <c r="A12971" s="31" t="s">
        <v>75</v>
      </c>
      <c r="B12971" s="39" t="e">
        <f>TRUNC((A12947-SUM(C12969:C12970))/100000)</f>
        <v>#REF!</v>
      </c>
      <c r="C12971" s="31" t="e">
        <f>B12971*100000</f>
        <v>#REF!</v>
      </c>
      <c r="D12971" s="31" t="e">
        <f>IF(B12971&lt;1,"",IF(B12971=1,"",VLOOKUP(B12971,$J$3:$L$102,3)))</f>
        <v>#REF!</v>
      </c>
      <c r="E12971" s="31" t="e">
        <f>IF(B12971&lt;1,"",IF(B12971=1," Seratus "," Ratus "))</f>
        <v>#REF!</v>
      </c>
      <c r="J12971" s="31">
        <v>22</v>
      </c>
      <c r="K12971" s="33" t="s">
        <v>92</v>
      </c>
      <c r="L12971" s="31" t="str">
        <f t="shared" si="1252"/>
        <v>Dua Puluh Dua</v>
      </c>
    </row>
    <row r="12972" spans="1:12">
      <c r="A12972" s="33" t="s">
        <v>77</v>
      </c>
      <c r="B12972" s="40" t="e">
        <f>TRUNC((A12947-SUM(C12969:C12971))/1000)</f>
        <v>#REF!</v>
      </c>
      <c r="C12972" s="31" t="e">
        <f>B12972*1000</f>
        <v>#REF!</v>
      </c>
      <c r="D12972" s="31" t="e">
        <f>IF(B12972&lt;1,"",IF(B12972=1,"",VLOOKUP(B12972,$J$3:$L$102,3)))</f>
        <v>#REF!</v>
      </c>
      <c r="E12972" s="31" t="e">
        <f>IF(B12971+B12972&lt;1,"",IF(B12972=1," Seribu "," Ribu "))</f>
        <v>#REF!</v>
      </c>
      <c r="J12972" s="31">
        <v>23</v>
      </c>
      <c r="K12972" s="33" t="s">
        <v>93</v>
      </c>
      <c r="L12972" s="31" t="str">
        <f t="shared" si="1252"/>
        <v>Dua Puluh Tiga</v>
      </c>
    </row>
    <row r="12973" spans="1:12">
      <c r="A12973" s="33" t="s">
        <v>79</v>
      </c>
      <c r="B12973" s="40" t="e">
        <f>TRUNC((A12947-SUM(C12969:C12972))/100)</f>
        <v>#REF!</v>
      </c>
      <c r="C12973" s="31" t="e">
        <f>B12973*100</f>
        <v>#REF!</v>
      </c>
      <c r="D12973" s="31" t="e">
        <f>IF(B12973&lt;1,"",IF(B12973=1,"",VLOOKUP(B12973,$J$3:$L$102,3)))</f>
        <v>#REF!</v>
      </c>
      <c r="E12973" s="31" t="e">
        <f>IF(B12973&lt;1,"",IF(B12973=1," Seratus "," Ratus "))</f>
        <v>#REF!</v>
      </c>
      <c r="J12973" s="31">
        <v>24</v>
      </c>
      <c r="K12973" s="33" t="s">
        <v>94</v>
      </c>
      <c r="L12973" s="31" t="str">
        <f t="shared" si="1252"/>
        <v>Dua Puluh Empat</v>
      </c>
    </row>
    <row r="12974" spans="1:12">
      <c r="A12974" s="33" t="s">
        <v>81</v>
      </c>
      <c r="B12974" s="41" t="e">
        <f>TRUNC((A12947-SUM(C12969:C12973)))</f>
        <v>#REF!</v>
      </c>
      <c r="C12974" s="42" t="e">
        <f>B12974</f>
        <v>#REF!</v>
      </c>
      <c r="D12974" s="31" t="e">
        <f>IF(B12974&lt;1,"",VLOOKUP(B12974,$J$3:$L$102,3))</f>
        <v>#REF!</v>
      </c>
      <c r="E12974" s="31" t="e">
        <f>IF(SUM(C12969:C12974)&lt;1,"",IF(B12975&lt;1,""," Dan "))</f>
        <v>#REF!</v>
      </c>
      <c r="J12974" s="31">
        <v>25</v>
      </c>
      <c r="K12974" s="33" t="s">
        <v>95</v>
      </c>
      <c r="L12974" s="31" t="str">
        <f t="shared" si="1252"/>
        <v>Dua Puluh Lima</v>
      </c>
    </row>
    <row r="12975" spans="1:12">
      <c r="A12975" s="33" t="s">
        <v>83</v>
      </c>
      <c r="B12975" s="40" t="e">
        <f>ROUND(A12947-SUM(C12969:C12974),2)*100</f>
        <v>#REF!</v>
      </c>
      <c r="D12975" s="31" t="e">
        <f>IF(B12975&lt;1,"",VLOOKUP(B12975,$J$3:$L$102,3))</f>
        <v>#REF!</v>
      </c>
      <c r="E12975" s="31" t="e">
        <f>IF(B12975&lt;1,""," Sen ")</f>
        <v>#REF!</v>
      </c>
      <c r="J12975" s="31">
        <v>26</v>
      </c>
      <c r="K12975" s="33" t="s">
        <v>96</v>
      </c>
      <c r="L12975" s="31" t="str">
        <f t="shared" si="1252"/>
        <v>Dua Puluh Enam</v>
      </c>
    </row>
    <row r="12976" spans="1:12">
      <c r="J12976" s="31">
        <v>27</v>
      </c>
      <c r="K12976" s="33" t="s">
        <v>97</v>
      </c>
      <c r="L12976" s="31" t="str">
        <f t="shared" si="1252"/>
        <v>Dua Puluh Tujuh</v>
      </c>
    </row>
    <row r="12977" spans="1:12">
      <c r="J12977" s="31">
        <v>28</v>
      </c>
      <c r="K12977" s="33" t="s">
        <v>98</v>
      </c>
      <c r="L12977" s="31" t="str">
        <f t="shared" si="1252"/>
        <v>Dua Puluh Delapan</v>
      </c>
    </row>
    <row r="12978" spans="1:12">
      <c r="J12978" s="31">
        <v>29</v>
      </c>
      <c r="K12978" s="33" t="s">
        <v>99</v>
      </c>
      <c r="L12978" s="31" t="str">
        <f t="shared" si="1252"/>
        <v>Dua Puluh Sembilan</v>
      </c>
    </row>
    <row r="12979" spans="1:12">
      <c r="J12979" s="31">
        <v>30</v>
      </c>
      <c r="K12979" s="33" t="s">
        <v>100</v>
      </c>
      <c r="L12979" s="31" t="s">
        <v>101</v>
      </c>
    </row>
    <row r="12980" spans="1:12">
      <c r="J12980" s="31">
        <v>31</v>
      </c>
      <c r="K12980" s="33" t="s">
        <v>102</v>
      </c>
      <c r="L12980" s="31" t="str">
        <f t="shared" ref="L12980:L12988" si="1253">$L$33&amp;" "&amp;L12950</f>
        <v>Tiga Puluh Satu</v>
      </c>
    </row>
    <row r="12981" spans="1:12">
      <c r="J12981" s="31">
        <v>32</v>
      </c>
      <c r="K12981" s="33" t="s">
        <v>103</v>
      </c>
      <c r="L12981" s="31" t="str">
        <f t="shared" si="1253"/>
        <v>Tiga Puluh Dua</v>
      </c>
    </row>
    <row r="12982" spans="1:12">
      <c r="J12982" s="31">
        <v>33</v>
      </c>
      <c r="K12982" s="33" t="s">
        <v>104</v>
      </c>
      <c r="L12982" s="31" t="str">
        <f t="shared" si="1253"/>
        <v>Tiga Puluh Tiga</v>
      </c>
    </row>
    <row r="12983" spans="1:12">
      <c r="J12983" s="31">
        <v>34</v>
      </c>
      <c r="K12983" s="33" t="s">
        <v>105</v>
      </c>
      <c r="L12983" s="31" t="str">
        <f t="shared" si="1253"/>
        <v>Tiga Puluh Empat</v>
      </c>
    </row>
    <row r="12984" spans="1:12">
      <c r="J12984" s="31">
        <v>35</v>
      </c>
      <c r="K12984" s="33" t="s">
        <v>106</v>
      </c>
      <c r="L12984" s="31" t="str">
        <f t="shared" si="1253"/>
        <v>Tiga Puluh Lima</v>
      </c>
    </row>
    <row r="12985" spans="1:12">
      <c r="J12985" s="31">
        <v>36</v>
      </c>
      <c r="K12985" s="33" t="s">
        <v>107</v>
      </c>
      <c r="L12985" s="31" t="str">
        <f t="shared" si="1253"/>
        <v>Tiga Puluh Enam</v>
      </c>
    </row>
    <row r="12986" spans="1:12">
      <c r="J12986" s="31">
        <v>37</v>
      </c>
      <c r="K12986" s="33" t="s">
        <v>108</v>
      </c>
      <c r="L12986" s="31" t="str">
        <f t="shared" si="1253"/>
        <v>Tiga Puluh Tujuh</v>
      </c>
    </row>
    <row r="12987" spans="1:12">
      <c r="J12987" s="31">
        <v>38</v>
      </c>
      <c r="K12987" s="33" t="s">
        <v>109</v>
      </c>
      <c r="L12987" s="31" t="str">
        <f t="shared" si="1253"/>
        <v>Tiga Puluh Delapan</v>
      </c>
    </row>
    <row r="12988" spans="1:12">
      <c r="J12988" s="31">
        <v>39</v>
      </c>
      <c r="K12988" s="33" t="s">
        <v>110</v>
      </c>
      <c r="L12988" s="31" t="str">
        <f t="shared" si="1253"/>
        <v>Tiga Puluh Sembilan</v>
      </c>
    </row>
    <row r="12989" spans="1:12">
      <c r="B12989" s="35"/>
      <c r="C12989" s="35"/>
      <c r="D12989" s="35"/>
      <c r="J12989" s="31">
        <v>40</v>
      </c>
      <c r="K12989" s="33" t="s">
        <v>111</v>
      </c>
      <c r="L12989" s="31" t="s">
        <v>112</v>
      </c>
    </row>
    <row r="12990" spans="1:12">
      <c r="A12990" s="35"/>
      <c r="B12990" s="35"/>
      <c r="C12990" s="35"/>
      <c r="D12990" s="35"/>
      <c r="J12990" s="31">
        <v>41</v>
      </c>
      <c r="K12990" s="33" t="s">
        <v>113</v>
      </c>
      <c r="L12990" s="31" t="str">
        <f t="shared" ref="L12990:L12998" si="1254">$L$43&amp;" "&amp;L12950</f>
        <v>Empat Puluh Satu</v>
      </c>
    </row>
    <row r="12991" spans="1:12">
      <c r="J12991" s="31">
        <v>42</v>
      </c>
      <c r="K12991" s="33" t="s">
        <v>114</v>
      </c>
      <c r="L12991" s="31" t="str">
        <f t="shared" si="1254"/>
        <v>Empat Puluh Dua</v>
      </c>
    </row>
    <row r="12992" spans="1:12">
      <c r="A12992" s="38"/>
      <c r="J12992" s="31">
        <v>43</v>
      </c>
      <c r="K12992" s="33" t="s">
        <v>115</v>
      </c>
      <c r="L12992" s="31" t="str">
        <f t="shared" si="1254"/>
        <v>Empat Puluh Tiga</v>
      </c>
    </row>
    <row r="12993" spans="10:12">
      <c r="J12993" s="31">
        <v>44</v>
      </c>
      <c r="K12993" s="33" t="s">
        <v>116</v>
      </c>
      <c r="L12993" s="31" t="str">
        <f t="shared" si="1254"/>
        <v>Empat Puluh Empat</v>
      </c>
    </row>
    <row r="12994" spans="10:12">
      <c r="J12994" s="31">
        <v>45</v>
      </c>
      <c r="K12994" s="33" t="s">
        <v>117</v>
      </c>
      <c r="L12994" s="31" t="str">
        <f t="shared" si="1254"/>
        <v>Empat Puluh Lima</v>
      </c>
    </row>
    <row r="12995" spans="10:12">
      <c r="J12995" s="31">
        <v>46</v>
      </c>
      <c r="K12995" s="33" t="s">
        <v>118</v>
      </c>
      <c r="L12995" s="31" t="str">
        <f t="shared" si="1254"/>
        <v>Empat Puluh Enam</v>
      </c>
    </row>
    <row r="12996" spans="10:12">
      <c r="J12996" s="31">
        <v>47</v>
      </c>
      <c r="K12996" s="33" t="s">
        <v>119</v>
      </c>
      <c r="L12996" s="31" t="str">
        <f t="shared" si="1254"/>
        <v>Empat Puluh Tujuh</v>
      </c>
    </row>
    <row r="12997" spans="10:12">
      <c r="J12997" s="31">
        <v>48</v>
      </c>
      <c r="K12997" s="33" t="s">
        <v>120</v>
      </c>
      <c r="L12997" s="31" t="str">
        <f t="shared" si="1254"/>
        <v>Empat Puluh Delapan</v>
      </c>
    </row>
    <row r="12998" spans="10:12">
      <c r="J12998" s="31">
        <v>49</v>
      </c>
      <c r="K12998" s="33" t="s">
        <v>121</v>
      </c>
      <c r="L12998" s="31" t="str">
        <f t="shared" si="1254"/>
        <v>Empat Puluh Sembilan</v>
      </c>
    </row>
    <row r="12999" spans="10:12">
      <c r="J12999" s="31">
        <v>50</v>
      </c>
      <c r="K12999" s="33" t="s">
        <v>122</v>
      </c>
      <c r="L12999" s="31" t="s">
        <v>123</v>
      </c>
    </row>
    <row r="13000" spans="10:12">
      <c r="J13000" s="31">
        <v>51</v>
      </c>
      <c r="K13000" s="33" t="s">
        <v>124</v>
      </c>
      <c r="L13000" s="31" t="str">
        <f t="shared" ref="L13000:L13008" si="1255">$L$53&amp;" "&amp;L12950</f>
        <v>Lima Puluh Satu</v>
      </c>
    </row>
    <row r="13001" spans="10:12">
      <c r="J13001" s="31">
        <v>52</v>
      </c>
      <c r="K13001" s="33" t="s">
        <v>125</v>
      </c>
      <c r="L13001" s="31" t="str">
        <f t="shared" si="1255"/>
        <v>Lima Puluh Dua</v>
      </c>
    </row>
    <row r="13002" spans="10:12">
      <c r="J13002" s="31">
        <v>53</v>
      </c>
      <c r="K13002" s="33" t="s">
        <v>126</v>
      </c>
      <c r="L13002" s="31" t="str">
        <f t="shared" si="1255"/>
        <v>Lima Puluh Tiga</v>
      </c>
    </row>
    <row r="13003" spans="10:12">
      <c r="J13003" s="31">
        <v>54</v>
      </c>
      <c r="K13003" s="33" t="s">
        <v>127</v>
      </c>
      <c r="L13003" s="31" t="str">
        <f t="shared" si="1255"/>
        <v>Lima Puluh Empat</v>
      </c>
    </row>
    <row r="13004" spans="10:12">
      <c r="J13004" s="31">
        <v>55</v>
      </c>
      <c r="K13004" s="33" t="s">
        <v>128</v>
      </c>
      <c r="L13004" s="31" t="str">
        <f t="shared" si="1255"/>
        <v>Lima Puluh Lima</v>
      </c>
    </row>
    <row r="13005" spans="10:12">
      <c r="J13005" s="31">
        <v>56</v>
      </c>
      <c r="K13005" s="33" t="s">
        <v>129</v>
      </c>
      <c r="L13005" s="31" t="str">
        <f t="shared" si="1255"/>
        <v>Lima Puluh Enam</v>
      </c>
    </row>
    <row r="13006" spans="10:12">
      <c r="J13006" s="31">
        <v>57</v>
      </c>
      <c r="K13006" s="33" t="s">
        <v>130</v>
      </c>
      <c r="L13006" s="31" t="str">
        <f t="shared" si="1255"/>
        <v>Lima Puluh Tujuh</v>
      </c>
    </row>
    <row r="13007" spans="10:12">
      <c r="J13007" s="31">
        <v>58</v>
      </c>
      <c r="K13007" s="33" t="s">
        <v>131</v>
      </c>
      <c r="L13007" s="31" t="str">
        <f t="shared" si="1255"/>
        <v>Lima Puluh Delapan</v>
      </c>
    </row>
    <row r="13008" spans="10:12">
      <c r="J13008" s="31">
        <v>59</v>
      </c>
      <c r="K13008" s="33" t="s">
        <v>132</v>
      </c>
      <c r="L13008" s="31" t="str">
        <f t="shared" si="1255"/>
        <v>Lima Puluh Sembilan</v>
      </c>
    </row>
    <row r="13009" spans="10:12">
      <c r="J13009" s="31">
        <v>60</v>
      </c>
      <c r="K13009" s="33" t="s">
        <v>133</v>
      </c>
      <c r="L13009" s="31" t="s">
        <v>134</v>
      </c>
    </row>
    <row r="13010" spans="10:12">
      <c r="J13010" s="31">
        <v>61</v>
      </c>
      <c r="K13010" s="33" t="s">
        <v>135</v>
      </c>
      <c r="L13010" s="31" t="str">
        <f t="shared" ref="L13010:L13018" si="1256">$L$63&amp;" "&amp;L12950</f>
        <v>Enam Puluh Satu</v>
      </c>
    </row>
    <row r="13011" spans="10:12">
      <c r="J13011" s="31">
        <v>62</v>
      </c>
      <c r="K13011" s="33" t="s">
        <v>136</v>
      </c>
      <c r="L13011" s="31" t="str">
        <f t="shared" si="1256"/>
        <v>Enam Puluh Dua</v>
      </c>
    </row>
    <row r="13012" spans="10:12">
      <c r="J13012" s="31">
        <v>63</v>
      </c>
      <c r="K13012" s="33" t="s">
        <v>137</v>
      </c>
      <c r="L13012" s="31" t="str">
        <f t="shared" si="1256"/>
        <v>Enam Puluh Tiga</v>
      </c>
    </row>
    <row r="13013" spans="10:12">
      <c r="J13013" s="31">
        <v>64</v>
      </c>
      <c r="K13013" s="33" t="s">
        <v>138</v>
      </c>
      <c r="L13013" s="31" t="str">
        <f t="shared" si="1256"/>
        <v>Enam Puluh Empat</v>
      </c>
    </row>
    <row r="13014" spans="10:12">
      <c r="J13014" s="31">
        <v>65</v>
      </c>
      <c r="K13014" s="33" t="s">
        <v>139</v>
      </c>
      <c r="L13014" s="31" t="str">
        <f t="shared" si="1256"/>
        <v>Enam Puluh Lima</v>
      </c>
    </row>
    <row r="13015" spans="10:12">
      <c r="J13015" s="31">
        <v>66</v>
      </c>
      <c r="K13015" s="33" t="s">
        <v>140</v>
      </c>
      <c r="L13015" s="31" t="str">
        <f t="shared" si="1256"/>
        <v>Enam Puluh Enam</v>
      </c>
    </row>
    <row r="13016" spans="10:12">
      <c r="J13016" s="31">
        <v>67</v>
      </c>
      <c r="K13016" s="33" t="s">
        <v>141</v>
      </c>
      <c r="L13016" s="31" t="str">
        <f t="shared" si="1256"/>
        <v>Enam Puluh Tujuh</v>
      </c>
    </row>
    <row r="13017" spans="10:12">
      <c r="J13017" s="31">
        <v>68</v>
      </c>
      <c r="K13017" s="33" t="s">
        <v>142</v>
      </c>
      <c r="L13017" s="31" t="str">
        <f t="shared" si="1256"/>
        <v>Enam Puluh Delapan</v>
      </c>
    </row>
    <row r="13018" spans="10:12">
      <c r="J13018" s="31">
        <v>69</v>
      </c>
      <c r="K13018" s="33" t="s">
        <v>143</v>
      </c>
      <c r="L13018" s="31" t="str">
        <f t="shared" si="1256"/>
        <v>Enam Puluh Sembilan</v>
      </c>
    </row>
    <row r="13019" spans="10:12">
      <c r="J13019" s="31">
        <v>70</v>
      </c>
      <c r="K13019" s="33" t="s">
        <v>144</v>
      </c>
      <c r="L13019" s="31" t="s">
        <v>145</v>
      </c>
    </row>
    <row r="13020" spans="10:12">
      <c r="J13020" s="31">
        <v>71</v>
      </c>
      <c r="K13020" s="33" t="s">
        <v>146</v>
      </c>
      <c r="L13020" s="31" t="str">
        <f t="shared" ref="L13020:L13028" si="1257">$L$73&amp;" "&amp;L12950</f>
        <v>Tujuh Puluh Satu</v>
      </c>
    </row>
    <row r="13021" spans="10:12">
      <c r="J13021" s="31">
        <v>72</v>
      </c>
      <c r="K13021" s="33" t="s">
        <v>147</v>
      </c>
      <c r="L13021" s="31" t="str">
        <f t="shared" si="1257"/>
        <v>Tujuh Puluh Dua</v>
      </c>
    </row>
    <row r="13022" spans="10:12">
      <c r="J13022" s="31">
        <v>73</v>
      </c>
      <c r="K13022" s="33" t="s">
        <v>148</v>
      </c>
      <c r="L13022" s="31" t="str">
        <f t="shared" si="1257"/>
        <v>Tujuh Puluh Tiga</v>
      </c>
    </row>
    <row r="13023" spans="10:12">
      <c r="J13023" s="31">
        <v>74</v>
      </c>
      <c r="K13023" s="33" t="s">
        <v>149</v>
      </c>
      <c r="L13023" s="31" t="str">
        <f t="shared" si="1257"/>
        <v>Tujuh Puluh Empat</v>
      </c>
    </row>
    <row r="13024" spans="10:12">
      <c r="J13024" s="31">
        <v>75</v>
      </c>
      <c r="K13024" s="33" t="s">
        <v>150</v>
      </c>
      <c r="L13024" s="31" t="str">
        <f t="shared" si="1257"/>
        <v>Tujuh Puluh Lima</v>
      </c>
    </row>
    <row r="13025" spans="10:12">
      <c r="J13025" s="31">
        <v>76</v>
      </c>
      <c r="K13025" s="33" t="s">
        <v>151</v>
      </c>
      <c r="L13025" s="31" t="str">
        <f t="shared" si="1257"/>
        <v>Tujuh Puluh Enam</v>
      </c>
    </row>
    <row r="13026" spans="10:12">
      <c r="J13026" s="31">
        <v>77</v>
      </c>
      <c r="K13026" s="33" t="s">
        <v>152</v>
      </c>
      <c r="L13026" s="31" t="str">
        <f t="shared" si="1257"/>
        <v>Tujuh Puluh Tujuh</v>
      </c>
    </row>
    <row r="13027" spans="10:12">
      <c r="J13027" s="31">
        <v>78</v>
      </c>
      <c r="K13027" s="33" t="s">
        <v>153</v>
      </c>
      <c r="L13027" s="31" t="str">
        <f t="shared" si="1257"/>
        <v>Tujuh Puluh Delapan</v>
      </c>
    </row>
    <row r="13028" spans="10:12">
      <c r="J13028" s="31">
        <v>79</v>
      </c>
      <c r="K13028" s="33" t="s">
        <v>154</v>
      </c>
      <c r="L13028" s="31" t="str">
        <f t="shared" si="1257"/>
        <v>Tujuh Puluh Sembilan</v>
      </c>
    </row>
    <row r="13029" spans="10:12">
      <c r="J13029" s="31">
        <v>80</v>
      </c>
      <c r="K13029" s="33" t="s">
        <v>155</v>
      </c>
      <c r="L13029" s="31" t="s">
        <v>156</v>
      </c>
    </row>
    <row r="13030" spans="10:12">
      <c r="J13030" s="31">
        <v>81</v>
      </c>
      <c r="K13030" s="33" t="s">
        <v>157</v>
      </c>
      <c r="L13030" s="31" t="str">
        <f t="shared" ref="L13030:L13038" si="1258">$L$83&amp;" "&amp;L12950</f>
        <v>Delapan Puluh Satu</v>
      </c>
    </row>
    <row r="13031" spans="10:12">
      <c r="J13031" s="31">
        <v>82</v>
      </c>
      <c r="K13031" s="33" t="s">
        <v>158</v>
      </c>
      <c r="L13031" s="31" t="str">
        <f t="shared" si="1258"/>
        <v>Delapan Puluh Dua</v>
      </c>
    </row>
    <row r="13032" spans="10:12">
      <c r="J13032" s="31">
        <v>83</v>
      </c>
      <c r="K13032" s="33" t="s">
        <v>159</v>
      </c>
      <c r="L13032" s="31" t="str">
        <f t="shared" si="1258"/>
        <v>Delapan Puluh Tiga</v>
      </c>
    </row>
    <row r="13033" spans="10:12">
      <c r="J13033" s="31">
        <v>84</v>
      </c>
      <c r="K13033" s="33" t="s">
        <v>160</v>
      </c>
      <c r="L13033" s="31" t="str">
        <f t="shared" si="1258"/>
        <v>Delapan Puluh Empat</v>
      </c>
    </row>
    <row r="13034" spans="10:12">
      <c r="J13034" s="31">
        <v>85</v>
      </c>
      <c r="K13034" s="33" t="s">
        <v>161</v>
      </c>
      <c r="L13034" s="31" t="str">
        <f t="shared" si="1258"/>
        <v>Delapan Puluh Lima</v>
      </c>
    </row>
    <row r="13035" spans="10:12">
      <c r="J13035" s="31">
        <v>86</v>
      </c>
      <c r="K13035" s="33" t="s">
        <v>162</v>
      </c>
      <c r="L13035" s="31" t="str">
        <f t="shared" si="1258"/>
        <v>Delapan Puluh Enam</v>
      </c>
    </row>
    <row r="13036" spans="10:12">
      <c r="J13036" s="31">
        <v>87</v>
      </c>
      <c r="K13036" s="33" t="s">
        <v>163</v>
      </c>
      <c r="L13036" s="31" t="str">
        <f t="shared" si="1258"/>
        <v>Delapan Puluh Tujuh</v>
      </c>
    </row>
    <row r="13037" spans="10:12">
      <c r="J13037" s="31">
        <v>88</v>
      </c>
      <c r="K13037" s="33" t="s">
        <v>164</v>
      </c>
      <c r="L13037" s="31" t="str">
        <f t="shared" si="1258"/>
        <v>Delapan Puluh Delapan</v>
      </c>
    </row>
    <row r="13038" spans="10:12">
      <c r="J13038" s="31">
        <v>89</v>
      </c>
      <c r="K13038" s="33" t="s">
        <v>165</v>
      </c>
      <c r="L13038" s="31" t="str">
        <f t="shared" si="1258"/>
        <v>Delapan Puluh Sembilan</v>
      </c>
    </row>
    <row r="13039" spans="10:12">
      <c r="J13039" s="31">
        <v>90</v>
      </c>
      <c r="K13039" s="33" t="s">
        <v>166</v>
      </c>
      <c r="L13039" s="31" t="s">
        <v>167</v>
      </c>
    </row>
    <row r="13040" spans="10:12">
      <c r="J13040" s="31">
        <v>91</v>
      </c>
      <c r="K13040" s="33" t="s">
        <v>168</v>
      </c>
      <c r="L13040" s="31" t="str">
        <f t="shared" ref="L13040:L13048" si="1259">$L$93&amp;" "&amp;L12950</f>
        <v>Sembilan Puluh Satu</v>
      </c>
    </row>
    <row r="13041" spans="1:12">
      <c r="J13041" s="31">
        <v>92</v>
      </c>
      <c r="K13041" s="33" t="s">
        <v>169</v>
      </c>
      <c r="L13041" s="31" t="str">
        <f t="shared" si="1259"/>
        <v>Sembilan Puluh Dua</v>
      </c>
    </row>
    <row r="13042" spans="1:12">
      <c r="J13042" s="31">
        <v>93</v>
      </c>
      <c r="K13042" s="33" t="s">
        <v>170</v>
      </c>
      <c r="L13042" s="31" t="str">
        <f t="shared" si="1259"/>
        <v>Sembilan Puluh Tiga</v>
      </c>
    </row>
    <row r="13043" spans="1:12">
      <c r="J13043" s="31">
        <v>94</v>
      </c>
      <c r="K13043" s="33" t="s">
        <v>171</v>
      </c>
      <c r="L13043" s="31" t="str">
        <f t="shared" si="1259"/>
        <v>Sembilan Puluh Empat</v>
      </c>
    </row>
    <row r="13044" spans="1:12">
      <c r="J13044" s="31">
        <v>95</v>
      </c>
      <c r="K13044" s="33" t="s">
        <v>172</v>
      </c>
      <c r="L13044" s="31" t="str">
        <f t="shared" si="1259"/>
        <v>Sembilan Puluh Lima</v>
      </c>
    </row>
    <row r="13045" spans="1:12">
      <c r="J13045" s="31">
        <v>96</v>
      </c>
      <c r="K13045" s="33" t="s">
        <v>173</v>
      </c>
      <c r="L13045" s="31" t="str">
        <f t="shared" si="1259"/>
        <v>Sembilan Puluh Enam</v>
      </c>
    </row>
    <row r="13046" spans="1:12">
      <c r="J13046" s="31">
        <v>97</v>
      </c>
      <c r="K13046" s="33" t="s">
        <v>174</v>
      </c>
      <c r="L13046" s="31" t="str">
        <f t="shared" si="1259"/>
        <v>Sembilan Puluh Tujuh</v>
      </c>
    </row>
    <row r="13047" spans="1:12">
      <c r="J13047" s="31">
        <v>98</v>
      </c>
      <c r="K13047" s="33" t="s">
        <v>175</v>
      </c>
      <c r="L13047" s="31" t="str">
        <f t="shared" si="1259"/>
        <v>Sembilan Puluh Delapan</v>
      </c>
    </row>
    <row r="13048" spans="1:12">
      <c r="J13048" s="31">
        <v>99</v>
      </c>
      <c r="K13048" s="33" t="s">
        <v>176</v>
      </c>
      <c r="L13048" s="31" t="str">
        <f t="shared" si="1259"/>
        <v>Sembilan Puluh Sembilan</v>
      </c>
    </row>
    <row r="13050" spans="1:12">
      <c r="A13050" s="30" t="e">
        <f>#REF!</f>
        <v>#REF!</v>
      </c>
      <c r="C13050" s="31" t="s">
        <v>362</v>
      </c>
    </row>
    <row r="13051" spans="1:12">
      <c r="A13051" s="32"/>
    </row>
    <row r="13052" spans="1:12">
      <c r="J13052" s="31">
        <v>0</v>
      </c>
      <c r="K13052" s="33" t="s">
        <v>48</v>
      </c>
      <c r="L13052" s="31" t="s">
        <v>49</v>
      </c>
    </row>
    <row r="13053" spans="1:12">
      <c r="A13053" s="34"/>
      <c r="J13053" s="31">
        <v>1</v>
      </c>
      <c r="K13053" s="33" t="s">
        <v>50</v>
      </c>
      <c r="L13053" s="31" t="s">
        <v>51</v>
      </c>
    </row>
    <row r="13054" spans="1:12">
      <c r="A13054" s="255" t="e">
        <f>TRIM(D13062&amp;E13062&amp;D13063&amp;E13063&amp;D13064&amp;E13064&amp;D13065&amp;E13065&amp;D13066&amp;E13066&amp;D13067&amp;E13067&amp;E13068&amp;D13068&amp;" Only")</f>
        <v>#REF!</v>
      </c>
      <c r="B13054" s="255"/>
      <c r="C13054" s="255"/>
      <c r="D13054" s="255"/>
      <c r="E13054" s="35"/>
      <c r="F13054" s="36"/>
      <c r="J13054" s="31">
        <v>2</v>
      </c>
      <c r="K13054" s="33" t="s">
        <v>52</v>
      </c>
      <c r="L13054" s="31" t="s">
        <v>53</v>
      </c>
    </row>
    <row r="13055" spans="1:12">
      <c r="A13055" s="37"/>
      <c r="B13055" s="37"/>
      <c r="C13055" s="37"/>
      <c r="D13055" s="37"/>
      <c r="E13055" s="35"/>
      <c r="F13055" s="36"/>
      <c r="J13055" s="31">
        <v>3</v>
      </c>
      <c r="K13055" s="33" t="s">
        <v>54</v>
      </c>
      <c r="L13055" s="31" t="s">
        <v>55</v>
      </c>
    </row>
    <row r="13056" spans="1:12">
      <c r="A13056" s="37"/>
      <c r="B13056" s="37"/>
      <c r="C13056" s="37"/>
      <c r="D13056" s="37"/>
      <c r="J13056" s="31">
        <v>4</v>
      </c>
      <c r="K13056" s="33" t="s">
        <v>56</v>
      </c>
      <c r="L13056" s="31" t="s">
        <v>57</v>
      </c>
    </row>
    <row r="13057" spans="1:12">
      <c r="A13057" s="255" t="e">
        <f>TRIM(D13072&amp;E13072&amp;D13073&amp;E13073&amp;D13074&amp;E13074&amp;D13075&amp;E13075&amp;D13076&amp;E13076&amp;D13077&amp;E13077&amp;D13078&amp;E13078&amp;" Rupiah")</f>
        <v>#REF!</v>
      </c>
      <c r="B13057" s="255"/>
      <c r="C13057" s="255"/>
      <c r="D13057" s="255"/>
      <c r="E13057" s="35"/>
      <c r="F13057" s="36"/>
      <c r="J13057" s="31">
        <v>5</v>
      </c>
      <c r="K13057" s="33" t="s">
        <v>58</v>
      </c>
      <c r="L13057" s="31" t="s">
        <v>59</v>
      </c>
    </row>
    <row r="13058" spans="1:12">
      <c r="A13058" s="35"/>
      <c r="B13058" s="35"/>
      <c r="C13058" s="35"/>
      <c r="D13058" s="35"/>
      <c r="E13058" s="35"/>
      <c r="F13058" s="36"/>
      <c r="J13058" s="31">
        <v>6</v>
      </c>
      <c r="K13058" s="33" t="s">
        <v>60</v>
      </c>
      <c r="L13058" s="31" t="s">
        <v>61</v>
      </c>
    </row>
    <row r="13059" spans="1:12">
      <c r="J13059" s="31">
        <v>7</v>
      </c>
      <c r="K13059" s="33" t="s">
        <v>62</v>
      </c>
      <c r="L13059" s="31" t="s">
        <v>63</v>
      </c>
    </row>
    <row r="13060" spans="1:12">
      <c r="J13060" s="31">
        <v>8</v>
      </c>
      <c r="K13060" s="33" t="s">
        <v>64</v>
      </c>
      <c r="L13060" s="31" t="s">
        <v>65</v>
      </c>
    </row>
    <row r="13061" spans="1:12">
      <c r="A13061" s="38" t="s">
        <v>66</v>
      </c>
      <c r="J13061" s="31">
        <v>9</v>
      </c>
      <c r="K13061" s="33" t="s">
        <v>67</v>
      </c>
      <c r="L13061" s="31" t="s">
        <v>68</v>
      </c>
    </row>
    <row r="13062" spans="1:12">
      <c r="A13062" s="31" t="s">
        <v>69</v>
      </c>
      <c r="B13062" s="39" t="e">
        <f>TRUNC(A13050/100000000)</f>
        <v>#REF!</v>
      </c>
      <c r="C13062" s="31" t="e">
        <f>B13062*100000000</f>
        <v>#REF!</v>
      </c>
      <c r="D13062" s="31" t="e">
        <f t="shared" ref="D13062:D13068" si="1260">IF(B13062&lt;1,"",VLOOKUP(B13062,$J$3:$K$102,2))</f>
        <v>#REF!</v>
      </c>
      <c r="E13062" s="31" t="e">
        <f>IF(B13062&lt;1,"",IF(B13062&gt;1," Hundreds "," Hundred "))</f>
        <v>#REF!</v>
      </c>
      <c r="J13062" s="31">
        <v>10</v>
      </c>
      <c r="K13062" s="33" t="s">
        <v>70</v>
      </c>
      <c r="L13062" s="31" t="s">
        <v>71</v>
      </c>
    </row>
    <row r="13063" spans="1:12">
      <c r="A13063" s="31" t="s">
        <v>72</v>
      </c>
      <c r="B13063" s="39" t="e">
        <f>TRUNC((A13050-C13062)/1000000)</f>
        <v>#REF!</v>
      </c>
      <c r="C13063" s="31" t="e">
        <f>B13063*1000000</f>
        <v>#REF!</v>
      </c>
      <c r="D13063" s="31" t="e">
        <f t="shared" si="1260"/>
        <v>#REF!</v>
      </c>
      <c r="E13063" s="31" t="e">
        <f>IF(B13062+B13063=0,"",IF(B13063=1," Million "," Millions "))</f>
        <v>#REF!</v>
      </c>
      <c r="J13063" s="31">
        <v>11</v>
      </c>
      <c r="K13063" s="33" t="s">
        <v>73</v>
      </c>
      <c r="L13063" s="31" t="s">
        <v>74</v>
      </c>
    </row>
    <row r="13064" spans="1:12">
      <c r="A13064" s="31" t="s">
        <v>75</v>
      </c>
      <c r="B13064" s="39" t="e">
        <f>TRUNC((A13050-SUM(C13062:C13063))/100000)</f>
        <v>#REF!</v>
      </c>
      <c r="C13064" s="31" t="e">
        <f>B13064*100000</f>
        <v>#REF!</v>
      </c>
      <c r="D13064" s="31" t="e">
        <f t="shared" si="1260"/>
        <v>#REF!</v>
      </c>
      <c r="E13064" s="31" t="e">
        <f>IF(B13064&lt;1,"",IF(B13064&gt;1," Hundreds "," Hundred "))</f>
        <v>#REF!</v>
      </c>
      <c r="J13064" s="31">
        <v>12</v>
      </c>
      <c r="K13064" s="33" t="s">
        <v>76</v>
      </c>
      <c r="L13064" s="31" t="str">
        <f t="shared" ref="L13064:L13071" si="1261">L13054&amp;" Belas"</f>
        <v>Dua Belas</v>
      </c>
    </row>
    <row r="13065" spans="1:12">
      <c r="A13065" s="33" t="s">
        <v>77</v>
      </c>
      <c r="B13065" s="40" t="e">
        <f>TRUNC((A13050-SUM(C13062:C13064))/1000)</f>
        <v>#REF!</v>
      </c>
      <c r="C13065" s="31" t="e">
        <f>B13065*1000</f>
        <v>#REF!</v>
      </c>
      <c r="D13065" s="31" t="e">
        <f t="shared" si="1260"/>
        <v>#REF!</v>
      </c>
      <c r="E13065" s="31" t="e">
        <f>IF(B13064+B13065=0,"",IF(B13065=1," Thousand "," Thousands "))</f>
        <v>#REF!</v>
      </c>
      <c r="J13065" s="31">
        <v>13</v>
      </c>
      <c r="K13065" s="33" t="s">
        <v>78</v>
      </c>
      <c r="L13065" s="31" t="str">
        <f t="shared" si="1261"/>
        <v>Tiga Belas</v>
      </c>
    </row>
    <row r="13066" spans="1:12">
      <c r="A13066" s="33" t="s">
        <v>79</v>
      </c>
      <c r="B13066" s="40" t="e">
        <f>TRUNC((A13050-SUM(C13062:C13065))/100)</f>
        <v>#REF!</v>
      </c>
      <c r="C13066" s="31" t="e">
        <f>B13066*100</f>
        <v>#REF!</v>
      </c>
      <c r="D13066" s="31" t="e">
        <f t="shared" si="1260"/>
        <v>#REF!</v>
      </c>
      <c r="E13066" s="31" t="e">
        <f>IF(B13066&lt;1,"",IF(B13066&gt;1," Hundreds "," Hundred "))</f>
        <v>#REF!</v>
      </c>
      <c r="J13066" s="31">
        <v>14</v>
      </c>
      <c r="K13066" s="33" t="s">
        <v>80</v>
      </c>
      <c r="L13066" s="31" t="str">
        <f t="shared" si="1261"/>
        <v>Empat Belas</v>
      </c>
    </row>
    <row r="13067" spans="1:12">
      <c r="A13067" s="33" t="s">
        <v>81</v>
      </c>
      <c r="B13067" s="41" t="e">
        <f>TRUNC((A13050-SUM(C13062:C13066)))</f>
        <v>#REF!</v>
      </c>
      <c r="C13067" s="42" t="e">
        <f>B13067</f>
        <v>#REF!</v>
      </c>
      <c r="D13067" s="31" t="e">
        <f t="shared" si="1260"/>
        <v>#REF!</v>
      </c>
      <c r="E13067" s="31" t="e">
        <f>IF(SUM(C13062:C13067)&lt;1,"",IF(B13068&lt;1,""," And "))</f>
        <v>#REF!</v>
      </c>
      <c r="J13067" s="31">
        <v>15</v>
      </c>
      <c r="K13067" s="33" t="s">
        <v>82</v>
      </c>
      <c r="L13067" s="31" t="str">
        <f t="shared" si="1261"/>
        <v>Lima Belas</v>
      </c>
    </row>
    <row r="13068" spans="1:12">
      <c r="A13068" s="33" t="s">
        <v>83</v>
      </c>
      <c r="B13068" s="40" t="e">
        <f>ROUND(A13050-SUM(C13062:C13067),2)*100</f>
        <v>#REF!</v>
      </c>
      <c r="D13068" s="43" t="e">
        <f t="shared" si="1260"/>
        <v>#REF!</v>
      </c>
      <c r="E13068" s="31" t="e">
        <f>IF(B13068&lt;1,"",IF(B13068=1," Cent "," Cents "))</f>
        <v>#REF!</v>
      </c>
      <c r="J13068" s="31">
        <v>16</v>
      </c>
      <c r="K13068" s="33" t="s">
        <v>84</v>
      </c>
      <c r="L13068" s="31" t="str">
        <f t="shared" si="1261"/>
        <v>Enam Belas</v>
      </c>
    </row>
    <row r="13069" spans="1:12">
      <c r="J13069" s="31">
        <v>17</v>
      </c>
      <c r="K13069" s="33" t="s">
        <v>85</v>
      </c>
      <c r="L13069" s="31" t="str">
        <f t="shared" si="1261"/>
        <v>Tujuh Belas</v>
      </c>
    </row>
    <row r="13070" spans="1:12">
      <c r="A13070" s="44"/>
      <c r="J13070" s="31">
        <v>18</v>
      </c>
      <c r="K13070" s="33" t="s">
        <v>86</v>
      </c>
      <c r="L13070" s="31" t="str">
        <f t="shared" si="1261"/>
        <v>Delapan Belas</v>
      </c>
    </row>
    <row r="13071" spans="1:12">
      <c r="A13071" s="38" t="s">
        <v>87</v>
      </c>
      <c r="J13071" s="31">
        <v>19</v>
      </c>
      <c r="K13071" s="33" t="s">
        <v>88</v>
      </c>
      <c r="L13071" s="31" t="str">
        <f t="shared" si="1261"/>
        <v>Sembilan Belas</v>
      </c>
    </row>
    <row r="13072" spans="1:12">
      <c r="A13072" s="31" t="s">
        <v>69</v>
      </c>
      <c r="B13072" s="39" t="e">
        <f>TRUNC(A13050/100000000)</f>
        <v>#REF!</v>
      </c>
      <c r="C13072" s="31" t="e">
        <f>B13072*100000000</f>
        <v>#REF!</v>
      </c>
      <c r="D13072" s="31" t="e">
        <f>IF(B13072&lt;1,"",IF(B13072=1,"",VLOOKUP(B13072,$J$3:$L$102,3)))</f>
        <v>#REF!</v>
      </c>
      <c r="E13072" s="31" t="e">
        <f>IF(B13072&lt;1,"",IF(B13072=1,"Seratus "," Ratus "))</f>
        <v>#REF!</v>
      </c>
      <c r="J13072" s="31">
        <v>20</v>
      </c>
      <c r="K13072" s="33" t="s">
        <v>89</v>
      </c>
      <c r="L13072" s="31" t="s">
        <v>90</v>
      </c>
    </row>
    <row r="13073" spans="1:12">
      <c r="A13073" s="31" t="s">
        <v>72</v>
      </c>
      <c r="B13073" s="39" t="e">
        <f>TRUNC((A13050-C13072)/1000000)</f>
        <v>#REF!</v>
      </c>
      <c r="C13073" s="31" t="e">
        <f>B13073*1000000</f>
        <v>#REF!</v>
      </c>
      <c r="D13073" s="31" t="e">
        <f>IF(B13073&lt;1,"",VLOOKUP(B13073,$J$3:$L$102,3))</f>
        <v>#REF!</v>
      </c>
      <c r="E13073" s="31" t="e">
        <f>IF(B13072+B13073=0,""," Juta ")</f>
        <v>#REF!</v>
      </c>
      <c r="J13073" s="31">
        <v>21</v>
      </c>
      <c r="K13073" s="33" t="s">
        <v>91</v>
      </c>
      <c r="L13073" s="31" t="str">
        <f t="shared" ref="L13073:L13081" si="1262">$L$23&amp;" "&amp;L13053</f>
        <v>Dua Puluh Satu</v>
      </c>
    </row>
    <row r="13074" spans="1:12">
      <c r="A13074" s="31" t="s">
        <v>75</v>
      </c>
      <c r="B13074" s="39" t="e">
        <f>TRUNC((A13050-SUM(C13072:C13073))/100000)</f>
        <v>#REF!</v>
      </c>
      <c r="C13074" s="31" t="e">
        <f>B13074*100000</f>
        <v>#REF!</v>
      </c>
      <c r="D13074" s="31" t="e">
        <f>IF(B13074&lt;1,"",IF(B13074=1,"",VLOOKUP(B13074,$J$3:$L$102,3)))</f>
        <v>#REF!</v>
      </c>
      <c r="E13074" s="31" t="e">
        <f>IF(B13074&lt;1,"",IF(B13074=1," Seratus "," Ratus "))</f>
        <v>#REF!</v>
      </c>
      <c r="J13074" s="31">
        <v>22</v>
      </c>
      <c r="K13074" s="33" t="s">
        <v>92</v>
      </c>
      <c r="L13074" s="31" t="str">
        <f t="shared" si="1262"/>
        <v>Dua Puluh Dua</v>
      </c>
    </row>
    <row r="13075" spans="1:12">
      <c r="A13075" s="33" t="s">
        <v>77</v>
      </c>
      <c r="B13075" s="40" t="e">
        <f>TRUNC((A13050-SUM(C13072:C13074))/1000)</f>
        <v>#REF!</v>
      </c>
      <c r="C13075" s="31" t="e">
        <f>B13075*1000</f>
        <v>#REF!</v>
      </c>
      <c r="D13075" s="31" t="e">
        <f>IF(B13075&lt;1,"",IF(B13075=1,"",VLOOKUP(B13075,$J$3:$L$102,3)))</f>
        <v>#REF!</v>
      </c>
      <c r="E13075" s="31" t="e">
        <f>IF(B13074+B13075&lt;1,"",IF(B13075=1," Seribu "," Ribu "))</f>
        <v>#REF!</v>
      </c>
      <c r="J13075" s="31">
        <v>23</v>
      </c>
      <c r="K13075" s="33" t="s">
        <v>93</v>
      </c>
      <c r="L13075" s="31" t="str">
        <f t="shared" si="1262"/>
        <v>Dua Puluh Tiga</v>
      </c>
    </row>
    <row r="13076" spans="1:12">
      <c r="A13076" s="33" t="s">
        <v>79</v>
      </c>
      <c r="B13076" s="40" t="e">
        <f>TRUNC((A13050-SUM(C13072:C13075))/100)</f>
        <v>#REF!</v>
      </c>
      <c r="C13076" s="31" t="e">
        <f>B13076*100</f>
        <v>#REF!</v>
      </c>
      <c r="D13076" s="31" t="e">
        <f>IF(B13076&lt;1,"",IF(B13076=1,"",VLOOKUP(B13076,$J$3:$L$102,3)))</f>
        <v>#REF!</v>
      </c>
      <c r="E13076" s="31" t="e">
        <f>IF(B13076&lt;1,"",IF(B13076=1," Seratus "," Ratus "))</f>
        <v>#REF!</v>
      </c>
      <c r="J13076" s="31">
        <v>24</v>
      </c>
      <c r="K13076" s="33" t="s">
        <v>94</v>
      </c>
      <c r="L13076" s="31" t="str">
        <f t="shared" si="1262"/>
        <v>Dua Puluh Empat</v>
      </c>
    </row>
    <row r="13077" spans="1:12">
      <c r="A13077" s="33" t="s">
        <v>81</v>
      </c>
      <c r="B13077" s="41" t="e">
        <f>TRUNC((A13050-SUM(C13072:C13076)))</f>
        <v>#REF!</v>
      </c>
      <c r="C13077" s="42" t="e">
        <f>B13077</f>
        <v>#REF!</v>
      </c>
      <c r="D13077" s="31" t="e">
        <f>IF(B13077&lt;1,"",VLOOKUP(B13077,$J$3:$L$102,3))</f>
        <v>#REF!</v>
      </c>
      <c r="E13077" s="31" t="e">
        <f>IF(SUM(C13072:C13077)&lt;1,"",IF(B13078&lt;1,""," Dan "))</f>
        <v>#REF!</v>
      </c>
      <c r="J13077" s="31">
        <v>25</v>
      </c>
      <c r="K13077" s="33" t="s">
        <v>95</v>
      </c>
      <c r="L13077" s="31" t="str">
        <f t="shared" si="1262"/>
        <v>Dua Puluh Lima</v>
      </c>
    </row>
    <row r="13078" spans="1:12">
      <c r="A13078" s="33" t="s">
        <v>83</v>
      </c>
      <c r="B13078" s="40" t="e">
        <f>ROUND(A13050-SUM(C13072:C13077),2)*100</f>
        <v>#REF!</v>
      </c>
      <c r="D13078" s="31" t="e">
        <f>IF(B13078&lt;1,"",VLOOKUP(B13078,$J$3:$L$102,3))</f>
        <v>#REF!</v>
      </c>
      <c r="E13078" s="31" t="e">
        <f>IF(B13078&lt;1,""," Sen ")</f>
        <v>#REF!</v>
      </c>
      <c r="J13078" s="31">
        <v>26</v>
      </c>
      <c r="K13078" s="33" t="s">
        <v>96</v>
      </c>
      <c r="L13078" s="31" t="str">
        <f t="shared" si="1262"/>
        <v>Dua Puluh Enam</v>
      </c>
    </row>
    <row r="13079" spans="1:12">
      <c r="J13079" s="31">
        <v>27</v>
      </c>
      <c r="K13079" s="33" t="s">
        <v>97</v>
      </c>
      <c r="L13079" s="31" t="str">
        <f t="shared" si="1262"/>
        <v>Dua Puluh Tujuh</v>
      </c>
    </row>
    <row r="13080" spans="1:12">
      <c r="J13080" s="31">
        <v>28</v>
      </c>
      <c r="K13080" s="33" t="s">
        <v>98</v>
      </c>
      <c r="L13080" s="31" t="str">
        <f t="shared" si="1262"/>
        <v>Dua Puluh Delapan</v>
      </c>
    </row>
    <row r="13081" spans="1:12">
      <c r="J13081" s="31">
        <v>29</v>
      </c>
      <c r="K13081" s="33" t="s">
        <v>99</v>
      </c>
      <c r="L13081" s="31" t="str">
        <f t="shared" si="1262"/>
        <v>Dua Puluh Sembilan</v>
      </c>
    </row>
    <row r="13082" spans="1:12">
      <c r="J13082" s="31">
        <v>30</v>
      </c>
      <c r="K13082" s="33" t="s">
        <v>100</v>
      </c>
      <c r="L13082" s="31" t="s">
        <v>101</v>
      </c>
    </row>
    <row r="13083" spans="1:12">
      <c r="J13083" s="31">
        <v>31</v>
      </c>
      <c r="K13083" s="33" t="s">
        <v>102</v>
      </c>
      <c r="L13083" s="31" t="str">
        <f t="shared" ref="L13083:L13091" si="1263">$L$33&amp;" "&amp;L13053</f>
        <v>Tiga Puluh Satu</v>
      </c>
    </row>
    <row r="13084" spans="1:12">
      <c r="J13084" s="31">
        <v>32</v>
      </c>
      <c r="K13084" s="33" t="s">
        <v>103</v>
      </c>
      <c r="L13084" s="31" t="str">
        <f t="shared" si="1263"/>
        <v>Tiga Puluh Dua</v>
      </c>
    </row>
    <row r="13085" spans="1:12">
      <c r="J13085" s="31">
        <v>33</v>
      </c>
      <c r="K13085" s="33" t="s">
        <v>104</v>
      </c>
      <c r="L13085" s="31" t="str">
        <f t="shared" si="1263"/>
        <v>Tiga Puluh Tiga</v>
      </c>
    </row>
    <row r="13086" spans="1:12">
      <c r="J13086" s="31">
        <v>34</v>
      </c>
      <c r="K13086" s="33" t="s">
        <v>105</v>
      </c>
      <c r="L13086" s="31" t="str">
        <f t="shared" si="1263"/>
        <v>Tiga Puluh Empat</v>
      </c>
    </row>
    <row r="13087" spans="1:12">
      <c r="J13087" s="31">
        <v>35</v>
      </c>
      <c r="K13087" s="33" t="s">
        <v>106</v>
      </c>
      <c r="L13087" s="31" t="str">
        <f t="shared" si="1263"/>
        <v>Tiga Puluh Lima</v>
      </c>
    </row>
    <row r="13088" spans="1:12">
      <c r="J13088" s="31">
        <v>36</v>
      </c>
      <c r="K13088" s="33" t="s">
        <v>107</v>
      </c>
      <c r="L13088" s="31" t="str">
        <f t="shared" si="1263"/>
        <v>Tiga Puluh Enam</v>
      </c>
    </row>
    <row r="13089" spans="1:12">
      <c r="J13089" s="31">
        <v>37</v>
      </c>
      <c r="K13089" s="33" t="s">
        <v>108</v>
      </c>
      <c r="L13089" s="31" t="str">
        <f t="shared" si="1263"/>
        <v>Tiga Puluh Tujuh</v>
      </c>
    </row>
    <row r="13090" spans="1:12">
      <c r="J13090" s="31">
        <v>38</v>
      </c>
      <c r="K13090" s="33" t="s">
        <v>109</v>
      </c>
      <c r="L13090" s="31" t="str">
        <f t="shared" si="1263"/>
        <v>Tiga Puluh Delapan</v>
      </c>
    </row>
    <row r="13091" spans="1:12">
      <c r="J13091" s="31">
        <v>39</v>
      </c>
      <c r="K13091" s="33" t="s">
        <v>110</v>
      </c>
      <c r="L13091" s="31" t="str">
        <f t="shared" si="1263"/>
        <v>Tiga Puluh Sembilan</v>
      </c>
    </row>
    <row r="13092" spans="1:12">
      <c r="B13092" s="35"/>
      <c r="C13092" s="35"/>
      <c r="D13092" s="35"/>
      <c r="J13092" s="31">
        <v>40</v>
      </c>
      <c r="K13092" s="33" t="s">
        <v>111</v>
      </c>
      <c r="L13092" s="31" t="s">
        <v>112</v>
      </c>
    </row>
    <row r="13093" spans="1:12">
      <c r="A13093" s="35"/>
      <c r="B13093" s="35"/>
      <c r="C13093" s="35"/>
      <c r="D13093" s="35"/>
      <c r="J13093" s="31">
        <v>41</v>
      </c>
      <c r="K13093" s="33" t="s">
        <v>113</v>
      </c>
      <c r="L13093" s="31" t="str">
        <f t="shared" ref="L13093:L13101" si="1264">$L$43&amp;" "&amp;L13053</f>
        <v>Empat Puluh Satu</v>
      </c>
    </row>
    <row r="13094" spans="1:12">
      <c r="J13094" s="31">
        <v>42</v>
      </c>
      <c r="K13094" s="33" t="s">
        <v>114</v>
      </c>
      <c r="L13094" s="31" t="str">
        <f t="shared" si="1264"/>
        <v>Empat Puluh Dua</v>
      </c>
    </row>
    <row r="13095" spans="1:12">
      <c r="A13095" s="38"/>
      <c r="J13095" s="31">
        <v>43</v>
      </c>
      <c r="K13095" s="33" t="s">
        <v>115</v>
      </c>
      <c r="L13095" s="31" t="str">
        <f t="shared" si="1264"/>
        <v>Empat Puluh Tiga</v>
      </c>
    </row>
    <row r="13096" spans="1:12">
      <c r="J13096" s="31">
        <v>44</v>
      </c>
      <c r="K13096" s="33" t="s">
        <v>116</v>
      </c>
      <c r="L13096" s="31" t="str">
        <f t="shared" si="1264"/>
        <v>Empat Puluh Empat</v>
      </c>
    </row>
    <row r="13097" spans="1:12">
      <c r="J13097" s="31">
        <v>45</v>
      </c>
      <c r="K13097" s="33" t="s">
        <v>117</v>
      </c>
      <c r="L13097" s="31" t="str">
        <f t="shared" si="1264"/>
        <v>Empat Puluh Lima</v>
      </c>
    </row>
    <row r="13098" spans="1:12">
      <c r="J13098" s="31">
        <v>46</v>
      </c>
      <c r="K13098" s="33" t="s">
        <v>118</v>
      </c>
      <c r="L13098" s="31" t="str">
        <f t="shared" si="1264"/>
        <v>Empat Puluh Enam</v>
      </c>
    </row>
    <row r="13099" spans="1:12">
      <c r="J13099" s="31">
        <v>47</v>
      </c>
      <c r="K13099" s="33" t="s">
        <v>119</v>
      </c>
      <c r="L13099" s="31" t="str">
        <f t="shared" si="1264"/>
        <v>Empat Puluh Tujuh</v>
      </c>
    </row>
    <row r="13100" spans="1:12">
      <c r="J13100" s="31">
        <v>48</v>
      </c>
      <c r="K13100" s="33" t="s">
        <v>120</v>
      </c>
      <c r="L13100" s="31" t="str">
        <f t="shared" si="1264"/>
        <v>Empat Puluh Delapan</v>
      </c>
    </row>
    <row r="13101" spans="1:12">
      <c r="J13101" s="31">
        <v>49</v>
      </c>
      <c r="K13101" s="33" t="s">
        <v>121</v>
      </c>
      <c r="L13101" s="31" t="str">
        <f t="shared" si="1264"/>
        <v>Empat Puluh Sembilan</v>
      </c>
    </row>
    <row r="13102" spans="1:12">
      <c r="J13102" s="31">
        <v>50</v>
      </c>
      <c r="K13102" s="33" t="s">
        <v>122</v>
      </c>
      <c r="L13102" s="31" t="s">
        <v>123</v>
      </c>
    </row>
    <row r="13103" spans="1:12">
      <c r="J13103" s="31">
        <v>51</v>
      </c>
      <c r="K13103" s="33" t="s">
        <v>124</v>
      </c>
      <c r="L13103" s="31" t="str">
        <f t="shared" ref="L13103:L13111" si="1265">$L$53&amp;" "&amp;L13053</f>
        <v>Lima Puluh Satu</v>
      </c>
    </row>
    <row r="13104" spans="1:12">
      <c r="J13104" s="31">
        <v>52</v>
      </c>
      <c r="K13104" s="33" t="s">
        <v>125</v>
      </c>
      <c r="L13104" s="31" t="str">
        <f t="shared" si="1265"/>
        <v>Lima Puluh Dua</v>
      </c>
    </row>
    <row r="13105" spans="10:12">
      <c r="J13105" s="31">
        <v>53</v>
      </c>
      <c r="K13105" s="33" t="s">
        <v>126</v>
      </c>
      <c r="L13105" s="31" t="str">
        <f t="shared" si="1265"/>
        <v>Lima Puluh Tiga</v>
      </c>
    </row>
    <row r="13106" spans="10:12">
      <c r="J13106" s="31">
        <v>54</v>
      </c>
      <c r="K13106" s="33" t="s">
        <v>127</v>
      </c>
      <c r="L13106" s="31" t="str">
        <f t="shared" si="1265"/>
        <v>Lima Puluh Empat</v>
      </c>
    </row>
    <row r="13107" spans="10:12">
      <c r="J13107" s="31">
        <v>55</v>
      </c>
      <c r="K13107" s="33" t="s">
        <v>128</v>
      </c>
      <c r="L13107" s="31" t="str">
        <f t="shared" si="1265"/>
        <v>Lima Puluh Lima</v>
      </c>
    </row>
    <row r="13108" spans="10:12">
      <c r="J13108" s="31">
        <v>56</v>
      </c>
      <c r="K13108" s="33" t="s">
        <v>129</v>
      </c>
      <c r="L13108" s="31" t="str">
        <f t="shared" si="1265"/>
        <v>Lima Puluh Enam</v>
      </c>
    </row>
    <row r="13109" spans="10:12">
      <c r="J13109" s="31">
        <v>57</v>
      </c>
      <c r="K13109" s="33" t="s">
        <v>130</v>
      </c>
      <c r="L13109" s="31" t="str">
        <f t="shared" si="1265"/>
        <v>Lima Puluh Tujuh</v>
      </c>
    </row>
    <row r="13110" spans="10:12">
      <c r="J13110" s="31">
        <v>58</v>
      </c>
      <c r="K13110" s="33" t="s">
        <v>131</v>
      </c>
      <c r="L13110" s="31" t="str">
        <f t="shared" si="1265"/>
        <v>Lima Puluh Delapan</v>
      </c>
    </row>
    <row r="13111" spans="10:12">
      <c r="J13111" s="31">
        <v>59</v>
      </c>
      <c r="K13111" s="33" t="s">
        <v>132</v>
      </c>
      <c r="L13111" s="31" t="str">
        <f t="shared" si="1265"/>
        <v>Lima Puluh Sembilan</v>
      </c>
    </row>
    <row r="13112" spans="10:12">
      <c r="J13112" s="31">
        <v>60</v>
      </c>
      <c r="K13112" s="33" t="s">
        <v>133</v>
      </c>
      <c r="L13112" s="31" t="s">
        <v>134</v>
      </c>
    </row>
    <row r="13113" spans="10:12">
      <c r="J13113" s="31">
        <v>61</v>
      </c>
      <c r="K13113" s="33" t="s">
        <v>135</v>
      </c>
      <c r="L13113" s="31" t="str">
        <f t="shared" ref="L13113:L13121" si="1266">$L$63&amp;" "&amp;L13053</f>
        <v>Enam Puluh Satu</v>
      </c>
    </row>
    <row r="13114" spans="10:12">
      <c r="J13114" s="31">
        <v>62</v>
      </c>
      <c r="K13114" s="33" t="s">
        <v>136</v>
      </c>
      <c r="L13114" s="31" t="str">
        <f t="shared" si="1266"/>
        <v>Enam Puluh Dua</v>
      </c>
    </row>
    <row r="13115" spans="10:12">
      <c r="J13115" s="31">
        <v>63</v>
      </c>
      <c r="K13115" s="33" t="s">
        <v>137</v>
      </c>
      <c r="L13115" s="31" t="str">
        <f t="shared" si="1266"/>
        <v>Enam Puluh Tiga</v>
      </c>
    </row>
    <row r="13116" spans="10:12">
      <c r="J13116" s="31">
        <v>64</v>
      </c>
      <c r="K13116" s="33" t="s">
        <v>138</v>
      </c>
      <c r="L13116" s="31" t="str">
        <f t="shared" si="1266"/>
        <v>Enam Puluh Empat</v>
      </c>
    </row>
    <row r="13117" spans="10:12">
      <c r="J13117" s="31">
        <v>65</v>
      </c>
      <c r="K13117" s="33" t="s">
        <v>139</v>
      </c>
      <c r="L13117" s="31" t="str">
        <f t="shared" si="1266"/>
        <v>Enam Puluh Lima</v>
      </c>
    </row>
    <row r="13118" spans="10:12">
      <c r="J13118" s="31">
        <v>66</v>
      </c>
      <c r="K13118" s="33" t="s">
        <v>140</v>
      </c>
      <c r="L13118" s="31" t="str">
        <f t="shared" si="1266"/>
        <v>Enam Puluh Enam</v>
      </c>
    </row>
    <row r="13119" spans="10:12">
      <c r="J13119" s="31">
        <v>67</v>
      </c>
      <c r="K13119" s="33" t="s">
        <v>141</v>
      </c>
      <c r="L13119" s="31" t="str">
        <f t="shared" si="1266"/>
        <v>Enam Puluh Tujuh</v>
      </c>
    </row>
    <row r="13120" spans="10:12">
      <c r="J13120" s="31">
        <v>68</v>
      </c>
      <c r="K13120" s="33" t="s">
        <v>142</v>
      </c>
      <c r="L13120" s="31" t="str">
        <f t="shared" si="1266"/>
        <v>Enam Puluh Delapan</v>
      </c>
    </row>
    <row r="13121" spans="10:12">
      <c r="J13121" s="31">
        <v>69</v>
      </c>
      <c r="K13121" s="33" t="s">
        <v>143</v>
      </c>
      <c r="L13121" s="31" t="str">
        <f t="shared" si="1266"/>
        <v>Enam Puluh Sembilan</v>
      </c>
    </row>
    <row r="13122" spans="10:12">
      <c r="J13122" s="31">
        <v>70</v>
      </c>
      <c r="K13122" s="33" t="s">
        <v>144</v>
      </c>
      <c r="L13122" s="31" t="s">
        <v>145</v>
      </c>
    </row>
    <row r="13123" spans="10:12">
      <c r="J13123" s="31">
        <v>71</v>
      </c>
      <c r="K13123" s="33" t="s">
        <v>146</v>
      </c>
      <c r="L13123" s="31" t="str">
        <f t="shared" ref="L13123:L13131" si="1267">$L$73&amp;" "&amp;L13053</f>
        <v>Tujuh Puluh Satu</v>
      </c>
    </row>
    <row r="13124" spans="10:12">
      <c r="J13124" s="31">
        <v>72</v>
      </c>
      <c r="K13124" s="33" t="s">
        <v>147</v>
      </c>
      <c r="L13124" s="31" t="str">
        <f t="shared" si="1267"/>
        <v>Tujuh Puluh Dua</v>
      </c>
    </row>
    <row r="13125" spans="10:12">
      <c r="J13125" s="31">
        <v>73</v>
      </c>
      <c r="K13125" s="33" t="s">
        <v>148</v>
      </c>
      <c r="L13125" s="31" t="str">
        <f t="shared" si="1267"/>
        <v>Tujuh Puluh Tiga</v>
      </c>
    </row>
    <row r="13126" spans="10:12">
      <c r="J13126" s="31">
        <v>74</v>
      </c>
      <c r="K13126" s="33" t="s">
        <v>149</v>
      </c>
      <c r="L13126" s="31" t="str">
        <f t="shared" si="1267"/>
        <v>Tujuh Puluh Empat</v>
      </c>
    </row>
    <row r="13127" spans="10:12">
      <c r="J13127" s="31">
        <v>75</v>
      </c>
      <c r="K13127" s="33" t="s">
        <v>150</v>
      </c>
      <c r="L13127" s="31" t="str">
        <f t="shared" si="1267"/>
        <v>Tujuh Puluh Lima</v>
      </c>
    </row>
    <row r="13128" spans="10:12">
      <c r="J13128" s="31">
        <v>76</v>
      </c>
      <c r="K13128" s="33" t="s">
        <v>151</v>
      </c>
      <c r="L13128" s="31" t="str">
        <f t="shared" si="1267"/>
        <v>Tujuh Puluh Enam</v>
      </c>
    </row>
    <row r="13129" spans="10:12">
      <c r="J13129" s="31">
        <v>77</v>
      </c>
      <c r="K13129" s="33" t="s">
        <v>152</v>
      </c>
      <c r="L13129" s="31" t="str">
        <f t="shared" si="1267"/>
        <v>Tujuh Puluh Tujuh</v>
      </c>
    </row>
    <row r="13130" spans="10:12">
      <c r="J13130" s="31">
        <v>78</v>
      </c>
      <c r="K13130" s="33" t="s">
        <v>153</v>
      </c>
      <c r="L13130" s="31" t="str">
        <f t="shared" si="1267"/>
        <v>Tujuh Puluh Delapan</v>
      </c>
    </row>
    <row r="13131" spans="10:12">
      <c r="J13131" s="31">
        <v>79</v>
      </c>
      <c r="K13131" s="33" t="s">
        <v>154</v>
      </c>
      <c r="L13131" s="31" t="str">
        <f t="shared" si="1267"/>
        <v>Tujuh Puluh Sembilan</v>
      </c>
    </row>
    <row r="13132" spans="10:12">
      <c r="J13132" s="31">
        <v>80</v>
      </c>
      <c r="K13132" s="33" t="s">
        <v>155</v>
      </c>
      <c r="L13132" s="31" t="s">
        <v>156</v>
      </c>
    </row>
    <row r="13133" spans="10:12">
      <c r="J13133" s="31">
        <v>81</v>
      </c>
      <c r="K13133" s="33" t="s">
        <v>157</v>
      </c>
      <c r="L13133" s="31" t="str">
        <f t="shared" ref="L13133:L13141" si="1268">$L$83&amp;" "&amp;L13053</f>
        <v>Delapan Puluh Satu</v>
      </c>
    </row>
    <row r="13134" spans="10:12">
      <c r="J13134" s="31">
        <v>82</v>
      </c>
      <c r="K13134" s="33" t="s">
        <v>158</v>
      </c>
      <c r="L13134" s="31" t="str">
        <f t="shared" si="1268"/>
        <v>Delapan Puluh Dua</v>
      </c>
    </row>
    <row r="13135" spans="10:12">
      <c r="J13135" s="31">
        <v>83</v>
      </c>
      <c r="K13135" s="33" t="s">
        <v>159</v>
      </c>
      <c r="L13135" s="31" t="str">
        <f t="shared" si="1268"/>
        <v>Delapan Puluh Tiga</v>
      </c>
    </row>
    <row r="13136" spans="10:12">
      <c r="J13136" s="31">
        <v>84</v>
      </c>
      <c r="K13136" s="33" t="s">
        <v>160</v>
      </c>
      <c r="L13136" s="31" t="str">
        <f t="shared" si="1268"/>
        <v>Delapan Puluh Empat</v>
      </c>
    </row>
    <row r="13137" spans="10:12">
      <c r="J13137" s="31">
        <v>85</v>
      </c>
      <c r="K13137" s="33" t="s">
        <v>161</v>
      </c>
      <c r="L13137" s="31" t="str">
        <f t="shared" si="1268"/>
        <v>Delapan Puluh Lima</v>
      </c>
    </row>
    <row r="13138" spans="10:12">
      <c r="J13138" s="31">
        <v>86</v>
      </c>
      <c r="K13138" s="33" t="s">
        <v>162</v>
      </c>
      <c r="L13138" s="31" t="str">
        <f t="shared" si="1268"/>
        <v>Delapan Puluh Enam</v>
      </c>
    </row>
    <row r="13139" spans="10:12">
      <c r="J13139" s="31">
        <v>87</v>
      </c>
      <c r="K13139" s="33" t="s">
        <v>163</v>
      </c>
      <c r="L13139" s="31" t="str">
        <f t="shared" si="1268"/>
        <v>Delapan Puluh Tujuh</v>
      </c>
    </row>
    <row r="13140" spans="10:12">
      <c r="J13140" s="31">
        <v>88</v>
      </c>
      <c r="K13140" s="33" t="s">
        <v>164</v>
      </c>
      <c r="L13140" s="31" t="str">
        <f t="shared" si="1268"/>
        <v>Delapan Puluh Delapan</v>
      </c>
    </row>
    <row r="13141" spans="10:12">
      <c r="J13141" s="31">
        <v>89</v>
      </c>
      <c r="K13141" s="33" t="s">
        <v>165</v>
      </c>
      <c r="L13141" s="31" t="str">
        <f t="shared" si="1268"/>
        <v>Delapan Puluh Sembilan</v>
      </c>
    </row>
    <row r="13142" spans="10:12">
      <c r="J13142" s="31">
        <v>90</v>
      </c>
      <c r="K13142" s="33" t="s">
        <v>166</v>
      </c>
      <c r="L13142" s="31" t="s">
        <v>167</v>
      </c>
    </row>
    <row r="13143" spans="10:12">
      <c r="J13143" s="31">
        <v>91</v>
      </c>
      <c r="K13143" s="33" t="s">
        <v>168</v>
      </c>
      <c r="L13143" s="31" t="str">
        <f t="shared" ref="L13143:L13151" si="1269">$L$93&amp;" "&amp;L13053</f>
        <v>Sembilan Puluh Satu</v>
      </c>
    </row>
    <row r="13144" spans="10:12">
      <c r="J13144" s="31">
        <v>92</v>
      </c>
      <c r="K13144" s="33" t="s">
        <v>169</v>
      </c>
      <c r="L13144" s="31" t="str">
        <f t="shared" si="1269"/>
        <v>Sembilan Puluh Dua</v>
      </c>
    </row>
    <row r="13145" spans="10:12">
      <c r="J13145" s="31">
        <v>93</v>
      </c>
      <c r="K13145" s="33" t="s">
        <v>170</v>
      </c>
      <c r="L13145" s="31" t="str">
        <f t="shared" si="1269"/>
        <v>Sembilan Puluh Tiga</v>
      </c>
    </row>
    <row r="13146" spans="10:12">
      <c r="J13146" s="31">
        <v>94</v>
      </c>
      <c r="K13146" s="33" t="s">
        <v>171</v>
      </c>
      <c r="L13146" s="31" t="str">
        <f t="shared" si="1269"/>
        <v>Sembilan Puluh Empat</v>
      </c>
    </row>
    <row r="13147" spans="10:12">
      <c r="J13147" s="31">
        <v>95</v>
      </c>
      <c r="K13147" s="33" t="s">
        <v>172</v>
      </c>
      <c r="L13147" s="31" t="str">
        <f t="shared" si="1269"/>
        <v>Sembilan Puluh Lima</v>
      </c>
    </row>
    <row r="13148" spans="10:12">
      <c r="J13148" s="31">
        <v>96</v>
      </c>
      <c r="K13148" s="33" t="s">
        <v>173</v>
      </c>
      <c r="L13148" s="31" t="str">
        <f t="shared" si="1269"/>
        <v>Sembilan Puluh Enam</v>
      </c>
    </row>
    <row r="13149" spans="10:12">
      <c r="J13149" s="31">
        <v>97</v>
      </c>
      <c r="K13149" s="33" t="s">
        <v>174</v>
      </c>
      <c r="L13149" s="31" t="str">
        <f t="shared" si="1269"/>
        <v>Sembilan Puluh Tujuh</v>
      </c>
    </row>
    <row r="13150" spans="10:12">
      <c r="J13150" s="31">
        <v>98</v>
      </c>
      <c r="K13150" s="33" t="s">
        <v>175</v>
      </c>
      <c r="L13150" s="31" t="str">
        <f t="shared" si="1269"/>
        <v>Sembilan Puluh Delapan</v>
      </c>
    </row>
    <row r="13151" spans="10:12">
      <c r="J13151" s="31">
        <v>99</v>
      </c>
      <c r="K13151" s="33" t="s">
        <v>176</v>
      </c>
      <c r="L13151" s="31" t="str">
        <f t="shared" si="1269"/>
        <v>Sembilan Puluh Sembilan</v>
      </c>
    </row>
    <row r="13153" spans="1:12">
      <c r="A13153" s="30" t="e">
        <f>#REF!</f>
        <v>#REF!</v>
      </c>
      <c r="C13153" s="31" t="s">
        <v>339</v>
      </c>
    </row>
    <row r="13154" spans="1:12">
      <c r="A13154" s="32"/>
    </row>
    <row r="13155" spans="1:12">
      <c r="J13155" s="31">
        <v>0</v>
      </c>
      <c r="K13155" s="33" t="s">
        <v>48</v>
      </c>
      <c r="L13155" s="31" t="s">
        <v>49</v>
      </c>
    </row>
    <row r="13156" spans="1:12">
      <c r="A13156" s="34"/>
      <c r="J13156" s="31">
        <v>1</v>
      </c>
      <c r="K13156" s="33" t="s">
        <v>50</v>
      </c>
      <c r="L13156" s="31" t="s">
        <v>51</v>
      </c>
    </row>
    <row r="13157" spans="1:12">
      <c r="A13157" s="255" t="e">
        <f>TRIM(D13165&amp;E13165&amp;D13166&amp;E13166&amp;D13167&amp;E13167&amp;D13168&amp;E13168&amp;D13169&amp;E13169&amp;D13170&amp;E13170&amp;E13171&amp;D13171&amp;" Only")</f>
        <v>#REF!</v>
      </c>
      <c r="B13157" s="255"/>
      <c r="C13157" s="255"/>
      <c r="D13157" s="255"/>
      <c r="E13157" s="35"/>
      <c r="F13157" s="36"/>
      <c r="J13157" s="31">
        <v>2</v>
      </c>
      <c r="K13157" s="33" t="s">
        <v>52</v>
      </c>
      <c r="L13157" s="31" t="s">
        <v>53</v>
      </c>
    </row>
    <row r="13158" spans="1:12">
      <c r="A13158" s="37"/>
      <c r="B13158" s="37"/>
      <c r="C13158" s="37"/>
      <c r="D13158" s="37"/>
      <c r="E13158" s="35"/>
      <c r="F13158" s="36"/>
      <c r="J13158" s="31">
        <v>3</v>
      </c>
      <c r="K13158" s="33" t="s">
        <v>54</v>
      </c>
      <c r="L13158" s="31" t="s">
        <v>55</v>
      </c>
    </row>
    <row r="13159" spans="1:12">
      <c r="A13159" s="37"/>
      <c r="B13159" s="37"/>
      <c r="C13159" s="37"/>
      <c r="D13159" s="37"/>
      <c r="J13159" s="31">
        <v>4</v>
      </c>
      <c r="K13159" s="33" t="s">
        <v>56</v>
      </c>
      <c r="L13159" s="31" t="s">
        <v>57</v>
      </c>
    </row>
    <row r="13160" spans="1:12">
      <c r="A13160" s="255" t="e">
        <f>TRIM(D13175&amp;E13175&amp;D13176&amp;E13176&amp;D13177&amp;E13177&amp;D13178&amp;E13178&amp;D13179&amp;E13179&amp;D13180&amp;E13180&amp;D13181&amp;E13181&amp;" Rupiah")</f>
        <v>#REF!</v>
      </c>
      <c r="B13160" s="255"/>
      <c r="C13160" s="255"/>
      <c r="D13160" s="255"/>
      <c r="E13160" s="35"/>
      <c r="F13160" s="36"/>
      <c r="J13160" s="31">
        <v>5</v>
      </c>
      <c r="K13160" s="33" t="s">
        <v>58</v>
      </c>
      <c r="L13160" s="31" t="s">
        <v>59</v>
      </c>
    </row>
    <row r="13161" spans="1:12">
      <c r="A13161" s="35"/>
      <c r="B13161" s="35"/>
      <c r="C13161" s="35"/>
      <c r="D13161" s="35"/>
      <c r="E13161" s="35"/>
      <c r="F13161" s="36"/>
      <c r="J13161" s="31">
        <v>6</v>
      </c>
      <c r="K13161" s="33" t="s">
        <v>60</v>
      </c>
      <c r="L13161" s="31" t="s">
        <v>61</v>
      </c>
    </row>
    <row r="13162" spans="1:12">
      <c r="J13162" s="31">
        <v>7</v>
      </c>
      <c r="K13162" s="33" t="s">
        <v>62</v>
      </c>
      <c r="L13162" s="31" t="s">
        <v>63</v>
      </c>
    </row>
    <row r="13163" spans="1:12">
      <c r="J13163" s="31">
        <v>8</v>
      </c>
      <c r="K13163" s="33" t="s">
        <v>64</v>
      </c>
      <c r="L13163" s="31" t="s">
        <v>65</v>
      </c>
    </row>
    <row r="13164" spans="1:12">
      <c r="A13164" s="38" t="s">
        <v>66</v>
      </c>
      <c r="J13164" s="31">
        <v>9</v>
      </c>
      <c r="K13164" s="33" t="s">
        <v>67</v>
      </c>
      <c r="L13164" s="31" t="s">
        <v>68</v>
      </c>
    </row>
    <row r="13165" spans="1:12">
      <c r="A13165" s="31" t="s">
        <v>69</v>
      </c>
      <c r="B13165" s="39" t="e">
        <f>TRUNC(A13153/100000000)</f>
        <v>#REF!</v>
      </c>
      <c r="C13165" s="31" t="e">
        <f>B13165*100000000</f>
        <v>#REF!</v>
      </c>
      <c r="D13165" s="31" t="e">
        <f t="shared" ref="D13165:D13171" si="1270">IF(B13165&lt;1,"",VLOOKUP(B13165,$J$3:$K$102,2))</f>
        <v>#REF!</v>
      </c>
      <c r="E13165" s="31" t="e">
        <f>IF(B13165&lt;1,"",IF(B13165&gt;1," Hundreds "," Hundred "))</f>
        <v>#REF!</v>
      </c>
      <c r="J13165" s="31">
        <v>10</v>
      </c>
      <c r="K13165" s="33" t="s">
        <v>70</v>
      </c>
      <c r="L13165" s="31" t="s">
        <v>71</v>
      </c>
    </row>
    <row r="13166" spans="1:12">
      <c r="A13166" s="31" t="s">
        <v>72</v>
      </c>
      <c r="B13166" s="39" t="e">
        <f>TRUNC((A13153-C13165)/1000000)</f>
        <v>#REF!</v>
      </c>
      <c r="C13166" s="31" t="e">
        <f>B13166*1000000</f>
        <v>#REF!</v>
      </c>
      <c r="D13166" s="31" t="e">
        <f t="shared" si="1270"/>
        <v>#REF!</v>
      </c>
      <c r="E13166" s="31" t="e">
        <f>IF(B13165+B13166=0,"",IF(B13166=1," Million "," Millions "))</f>
        <v>#REF!</v>
      </c>
      <c r="J13166" s="31">
        <v>11</v>
      </c>
      <c r="K13166" s="33" t="s">
        <v>73</v>
      </c>
      <c r="L13166" s="31" t="s">
        <v>74</v>
      </c>
    </row>
    <row r="13167" spans="1:12">
      <c r="A13167" s="31" t="s">
        <v>75</v>
      </c>
      <c r="B13167" s="39" t="e">
        <f>TRUNC((A13153-SUM(C13165:C13166))/100000)</f>
        <v>#REF!</v>
      </c>
      <c r="C13167" s="31" t="e">
        <f>B13167*100000</f>
        <v>#REF!</v>
      </c>
      <c r="D13167" s="31" t="e">
        <f t="shared" si="1270"/>
        <v>#REF!</v>
      </c>
      <c r="E13167" s="31" t="e">
        <f>IF(B13167&lt;1,"",IF(B13167&gt;1," Hundreds "," Hundred "))</f>
        <v>#REF!</v>
      </c>
      <c r="J13167" s="31">
        <v>12</v>
      </c>
      <c r="K13167" s="33" t="s">
        <v>76</v>
      </c>
      <c r="L13167" s="31" t="str">
        <f t="shared" ref="L13167:L13174" si="1271">L13157&amp;" Belas"</f>
        <v>Dua Belas</v>
      </c>
    </row>
    <row r="13168" spans="1:12">
      <c r="A13168" s="33" t="s">
        <v>77</v>
      </c>
      <c r="B13168" s="40" t="e">
        <f>TRUNC((A13153-SUM(C13165:C13167))/1000)</f>
        <v>#REF!</v>
      </c>
      <c r="C13168" s="31" t="e">
        <f>B13168*1000</f>
        <v>#REF!</v>
      </c>
      <c r="D13168" s="31" t="e">
        <f t="shared" si="1270"/>
        <v>#REF!</v>
      </c>
      <c r="E13168" s="31" t="e">
        <f>IF(B13167+B13168=0,"",IF(B13168=1," Thousand "," Thousands "))</f>
        <v>#REF!</v>
      </c>
      <c r="J13168" s="31">
        <v>13</v>
      </c>
      <c r="K13168" s="33" t="s">
        <v>78</v>
      </c>
      <c r="L13168" s="31" t="str">
        <f t="shared" si="1271"/>
        <v>Tiga Belas</v>
      </c>
    </row>
    <row r="13169" spans="1:12">
      <c r="A13169" s="33" t="s">
        <v>79</v>
      </c>
      <c r="B13169" s="40" t="e">
        <f>TRUNC((A13153-SUM(C13165:C13168))/100)</f>
        <v>#REF!</v>
      </c>
      <c r="C13169" s="31" t="e">
        <f>B13169*100</f>
        <v>#REF!</v>
      </c>
      <c r="D13169" s="31" t="e">
        <f t="shared" si="1270"/>
        <v>#REF!</v>
      </c>
      <c r="E13169" s="31" t="e">
        <f>IF(B13169&lt;1,"",IF(B13169&gt;1," Hundreds "," Hundred "))</f>
        <v>#REF!</v>
      </c>
      <c r="J13169" s="31">
        <v>14</v>
      </c>
      <c r="K13169" s="33" t="s">
        <v>80</v>
      </c>
      <c r="L13169" s="31" t="str">
        <f t="shared" si="1271"/>
        <v>Empat Belas</v>
      </c>
    </row>
    <row r="13170" spans="1:12">
      <c r="A13170" s="33" t="s">
        <v>81</v>
      </c>
      <c r="B13170" s="41" t="e">
        <f>TRUNC((A13153-SUM(C13165:C13169)))</f>
        <v>#REF!</v>
      </c>
      <c r="C13170" s="42" t="e">
        <f>B13170</f>
        <v>#REF!</v>
      </c>
      <c r="D13170" s="31" t="e">
        <f t="shared" si="1270"/>
        <v>#REF!</v>
      </c>
      <c r="E13170" s="31" t="e">
        <f>IF(SUM(C13165:C13170)&lt;1,"",IF(B13171&lt;1,""," And "))</f>
        <v>#REF!</v>
      </c>
      <c r="J13170" s="31">
        <v>15</v>
      </c>
      <c r="K13170" s="33" t="s">
        <v>82</v>
      </c>
      <c r="L13170" s="31" t="str">
        <f t="shared" si="1271"/>
        <v>Lima Belas</v>
      </c>
    </row>
    <row r="13171" spans="1:12">
      <c r="A13171" s="33" t="s">
        <v>83</v>
      </c>
      <c r="B13171" s="40" t="e">
        <f>ROUND(A13153-SUM(C13165:C13170),2)*100</f>
        <v>#REF!</v>
      </c>
      <c r="D13171" s="43" t="e">
        <f t="shared" si="1270"/>
        <v>#REF!</v>
      </c>
      <c r="E13171" s="31" t="e">
        <f>IF(B13171&lt;1,"",IF(B13171=1," Cent "," Cents "))</f>
        <v>#REF!</v>
      </c>
      <c r="J13171" s="31">
        <v>16</v>
      </c>
      <c r="K13171" s="33" t="s">
        <v>84</v>
      </c>
      <c r="L13171" s="31" t="str">
        <f t="shared" si="1271"/>
        <v>Enam Belas</v>
      </c>
    </row>
    <row r="13172" spans="1:12">
      <c r="J13172" s="31">
        <v>17</v>
      </c>
      <c r="K13172" s="33" t="s">
        <v>85</v>
      </c>
      <c r="L13172" s="31" t="str">
        <f t="shared" si="1271"/>
        <v>Tujuh Belas</v>
      </c>
    </row>
    <row r="13173" spans="1:12">
      <c r="A13173" s="44"/>
      <c r="J13173" s="31">
        <v>18</v>
      </c>
      <c r="K13173" s="33" t="s">
        <v>86</v>
      </c>
      <c r="L13173" s="31" t="str">
        <f t="shared" si="1271"/>
        <v>Delapan Belas</v>
      </c>
    </row>
    <row r="13174" spans="1:12">
      <c r="A13174" s="38" t="s">
        <v>87</v>
      </c>
      <c r="J13174" s="31">
        <v>19</v>
      </c>
      <c r="K13174" s="33" t="s">
        <v>88</v>
      </c>
      <c r="L13174" s="31" t="str">
        <f t="shared" si="1271"/>
        <v>Sembilan Belas</v>
      </c>
    </row>
    <row r="13175" spans="1:12">
      <c r="A13175" s="31" t="s">
        <v>69</v>
      </c>
      <c r="B13175" s="39" t="e">
        <f>TRUNC(A13153/100000000)</f>
        <v>#REF!</v>
      </c>
      <c r="C13175" s="31" t="e">
        <f>B13175*100000000</f>
        <v>#REF!</v>
      </c>
      <c r="D13175" s="31" t="e">
        <f>IF(B13175&lt;1,"",IF(B13175=1,"",VLOOKUP(B13175,$J$3:$L$102,3)))</f>
        <v>#REF!</v>
      </c>
      <c r="E13175" s="31" t="e">
        <f>IF(B13175&lt;1,"",IF(B13175=1,"Seratus "," Ratus "))</f>
        <v>#REF!</v>
      </c>
      <c r="J13175" s="31">
        <v>20</v>
      </c>
      <c r="K13175" s="33" t="s">
        <v>89</v>
      </c>
      <c r="L13175" s="31" t="s">
        <v>90</v>
      </c>
    </row>
    <row r="13176" spans="1:12">
      <c r="A13176" s="31" t="s">
        <v>72</v>
      </c>
      <c r="B13176" s="39" t="e">
        <f>TRUNC((A13153-C13175)/1000000)</f>
        <v>#REF!</v>
      </c>
      <c r="C13176" s="31" t="e">
        <f>B13176*1000000</f>
        <v>#REF!</v>
      </c>
      <c r="D13176" s="31" t="e">
        <f>IF(B13176&lt;1,"",VLOOKUP(B13176,$J$3:$L$102,3))</f>
        <v>#REF!</v>
      </c>
      <c r="E13176" s="31" t="e">
        <f>IF(B13175+B13176=0,""," Juta ")</f>
        <v>#REF!</v>
      </c>
      <c r="J13176" s="31">
        <v>21</v>
      </c>
      <c r="K13176" s="33" t="s">
        <v>91</v>
      </c>
      <c r="L13176" s="31" t="str">
        <f t="shared" ref="L13176:L13184" si="1272">$L$23&amp;" "&amp;L13156</f>
        <v>Dua Puluh Satu</v>
      </c>
    </row>
    <row r="13177" spans="1:12">
      <c r="A13177" s="31" t="s">
        <v>75</v>
      </c>
      <c r="B13177" s="39" t="e">
        <f>TRUNC((A13153-SUM(C13175:C13176))/100000)</f>
        <v>#REF!</v>
      </c>
      <c r="C13177" s="31" t="e">
        <f>B13177*100000</f>
        <v>#REF!</v>
      </c>
      <c r="D13177" s="31" t="e">
        <f>IF(B13177&lt;1,"",IF(B13177=1,"",VLOOKUP(B13177,$J$3:$L$102,3)))</f>
        <v>#REF!</v>
      </c>
      <c r="E13177" s="31" t="e">
        <f>IF(B13177&lt;1,"",IF(B13177=1," Seratus "," Ratus "))</f>
        <v>#REF!</v>
      </c>
      <c r="J13177" s="31">
        <v>22</v>
      </c>
      <c r="K13177" s="33" t="s">
        <v>92</v>
      </c>
      <c r="L13177" s="31" t="str">
        <f t="shared" si="1272"/>
        <v>Dua Puluh Dua</v>
      </c>
    </row>
    <row r="13178" spans="1:12">
      <c r="A13178" s="33" t="s">
        <v>77</v>
      </c>
      <c r="B13178" s="40" t="e">
        <f>TRUNC((A13153-SUM(C13175:C13177))/1000)</f>
        <v>#REF!</v>
      </c>
      <c r="C13178" s="31" t="e">
        <f>B13178*1000</f>
        <v>#REF!</v>
      </c>
      <c r="D13178" s="31" t="e">
        <f>IF(B13178&lt;1,"",IF(B13178=1,"",VLOOKUP(B13178,$J$3:$L$102,3)))</f>
        <v>#REF!</v>
      </c>
      <c r="E13178" s="31" t="e">
        <f>IF(B13177+B13178&lt;1,"",IF(B13178=1," Seribu "," Ribu "))</f>
        <v>#REF!</v>
      </c>
      <c r="J13178" s="31">
        <v>23</v>
      </c>
      <c r="K13178" s="33" t="s">
        <v>93</v>
      </c>
      <c r="L13178" s="31" t="str">
        <f t="shared" si="1272"/>
        <v>Dua Puluh Tiga</v>
      </c>
    </row>
    <row r="13179" spans="1:12">
      <c r="A13179" s="33" t="s">
        <v>79</v>
      </c>
      <c r="B13179" s="40" t="e">
        <f>TRUNC((A13153-SUM(C13175:C13178))/100)</f>
        <v>#REF!</v>
      </c>
      <c r="C13179" s="31" t="e">
        <f>B13179*100</f>
        <v>#REF!</v>
      </c>
      <c r="D13179" s="31" t="e">
        <f>IF(B13179&lt;1,"",IF(B13179=1,"",VLOOKUP(B13179,$J$3:$L$102,3)))</f>
        <v>#REF!</v>
      </c>
      <c r="E13179" s="31" t="e">
        <f>IF(B13179&lt;1,"",IF(B13179=1," Seratus "," Ratus "))</f>
        <v>#REF!</v>
      </c>
      <c r="J13179" s="31">
        <v>24</v>
      </c>
      <c r="K13179" s="33" t="s">
        <v>94</v>
      </c>
      <c r="L13179" s="31" t="str">
        <f t="shared" si="1272"/>
        <v>Dua Puluh Empat</v>
      </c>
    </row>
    <row r="13180" spans="1:12">
      <c r="A13180" s="33" t="s">
        <v>81</v>
      </c>
      <c r="B13180" s="41" t="e">
        <f>TRUNC((A13153-SUM(C13175:C13179)))</f>
        <v>#REF!</v>
      </c>
      <c r="C13180" s="42" t="e">
        <f>B13180</f>
        <v>#REF!</v>
      </c>
      <c r="D13180" s="31" t="e">
        <f>IF(B13180&lt;1,"",VLOOKUP(B13180,$J$3:$L$102,3))</f>
        <v>#REF!</v>
      </c>
      <c r="E13180" s="31" t="e">
        <f>IF(SUM(C13175:C13180)&lt;1,"",IF(B13181&lt;1,""," Dan "))</f>
        <v>#REF!</v>
      </c>
      <c r="J13180" s="31">
        <v>25</v>
      </c>
      <c r="K13180" s="33" t="s">
        <v>95</v>
      </c>
      <c r="L13180" s="31" t="str">
        <f t="shared" si="1272"/>
        <v>Dua Puluh Lima</v>
      </c>
    </row>
    <row r="13181" spans="1:12">
      <c r="A13181" s="33" t="s">
        <v>83</v>
      </c>
      <c r="B13181" s="40" t="e">
        <f>ROUND(A13153-SUM(C13175:C13180),2)*100</f>
        <v>#REF!</v>
      </c>
      <c r="D13181" s="31" t="e">
        <f>IF(B13181&lt;1,"",VLOOKUP(B13181,$J$3:$L$102,3))</f>
        <v>#REF!</v>
      </c>
      <c r="E13181" s="31" t="e">
        <f>IF(B13181&lt;1,""," Sen ")</f>
        <v>#REF!</v>
      </c>
      <c r="J13181" s="31">
        <v>26</v>
      </c>
      <c r="K13181" s="33" t="s">
        <v>96</v>
      </c>
      <c r="L13181" s="31" t="str">
        <f t="shared" si="1272"/>
        <v>Dua Puluh Enam</v>
      </c>
    </row>
    <row r="13182" spans="1:12">
      <c r="J13182" s="31">
        <v>27</v>
      </c>
      <c r="K13182" s="33" t="s">
        <v>97</v>
      </c>
      <c r="L13182" s="31" t="str">
        <f t="shared" si="1272"/>
        <v>Dua Puluh Tujuh</v>
      </c>
    </row>
    <row r="13183" spans="1:12">
      <c r="J13183" s="31">
        <v>28</v>
      </c>
      <c r="K13183" s="33" t="s">
        <v>98</v>
      </c>
      <c r="L13183" s="31" t="str">
        <f t="shared" si="1272"/>
        <v>Dua Puluh Delapan</v>
      </c>
    </row>
    <row r="13184" spans="1:12">
      <c r="J13184" s="31">
        <v>29</v>
      </c>
      <c r="K13184" s="33" t="s">
        <v>99</v>
      </c>
      <c r="L13184" s="31" t="str">
        <f t="shared" si="1272"/>
        <v>Dua Puluh Sembilan</v>
      </c>
    </row>
    <row r="13185" spans="1:12">
      <c r="J13185" s="31">
        <v>30</v>
      </c>
      <c r="K13185" s="33" t="s">
        <v>100</v>
      </c>
      <c r="L13185" s="31" t="s">
        <v>101</v>
      </c>
    </row>
    <row r="13186" spans="1:12">
      <c r="J13186" s="31">
        <v>31</v>
      </c>
      <c r="K13186" s="33" t="s">
        <v>102</v>
      </c>
      <c r="L13186" s="31" t="str">
        <f t="shared" ref="L13186:L13194" si="1273">$L$33&amp;" "&amp;L13156</f>
        <v>Tiga Puluh Satu</v>
      </c>
    </row>
    <row r="13187" spans="1:12">
      <c r="J13187" s="31">
        <v>32</v>
      </c>
      <c r="K13187" s="33" t="s">
        <v>103</v>
      </c>
      <c r="L13187" s="31" t="str">
        <f t="shared" si="1273"/>
        <v>Tiga Puluh Dua</v>
      </c>
    </row>
    <row r="13188" spans="1:12">
      <c r="J13188" s="31">
        <v>33</v>
      </c>
      <c r="K13188" s="33" t="s">
        <v>104</v>
      </c>
      <c r="L13188" s="31" t="str">
        <f t="shared" si="1273"/>
        <v>Tiga Puluh Tiga</v>
      </c>
    </row>
    <row r="13189" spans="1:12">
      <c r="J13189" s="31">
        <v>34</v>
      </c>
      <c r="K13189" s="33" t="s">
        <v>105</v>
      </c>
      <c r="L13189" s="31" t="str">
        <f t="shared" si="1273"/>
        <v>Tiga Puluh Empat</v>
      </c>
    </row>
    <row r="13190" spans="1:12">
      <c r="J13190" s="31">
        <v>35</v>
      </c>
      <c r="K13190" s="33" t="s">
        <v>106</v>
      </c>
      <c r="L13190" s="31" t="str">
        <f t="shared" si="1273"/>
        <v>Tiga Puluh Lima</v>
      </c>
    </row>
    <row r="13191" spans="1:12">
      <c r="J13191" s="31">
        <v>36</v>
      </c>
      <c r="K13191" s="33" t="s">
        <v>107</v>
      </c>
      <c r="L13191" s="31" t="str">
        <f t="shared" si="1273"/>
        <v>Tiga Puluh Enam</v>
      </c>
    </row>
    <row r="13192" spans="1:12">
      <c r="J13192" s="31">
        <v>37</v>
      </c>
      <c r="K13192" s="33" t="s">
        <v>108</v>
      </c>
      <c r="L13192" s="31" t="str">
        <f t="shared" si="1273"/>
        <v>Tiga Puluh Tujuh</v>
      </c>
    </row>
    <row r="13193" spans="1:12">
      <c r="J13193" s="31">
        <v>38</v>
      </c>
      <c r="K13193" s="33" t="s">
        <v>109</v>
      </c>
      <c r="L13193" s="31" t="str">
        <f t="shared" si="1273"/>
        <v>Tiga Puluh Delapan</v>
      </c>
    </row>
    <row r="13194" spans="1:12">
      <c r="J13194" s="31">
        <v>39</v>
      </c>
      <c r="K13194" s="33" t="s">
        <v>110</v>
      </c>
      <c r="L13194" s="31" t="str">
        <f t="shared" si="1273"/>
        <v>Tiga Puluh Sembilan</v>
      </c>
    </row>
    <row r="13195" spans="1:12">
      <c r="B13195" s="35"/>
      <c r="C13195" s="35"/>
      <c r="D13195" s="35"/>
      <c r="J13195" s="31">
        <v>40</v>
      </c>
      <c r="K13195" s="33" t="s">
        <v>111</v>
      </c>
      <c r="L13195" s="31" t="s">
        <v>112</v>
      </c>
    </row>
    <row r="13196" spans="1:12">
      <c r="A13196" s="35"/>
      <c r="B13196" s="35"/>
      <c r="C13196" s="35"/>
      <c r="D13196" s="35"/>
      <c r="J13196" s="31">
        <v>41</v>
      </c>
      <c r="K13196" s="33" t="s">
        <v>113</v>
      </c>
      <c r="L13196" s="31" t="str">
        <f t="shared" ref="L13196:L13204" si="1274">$L$43&amp;" "&amp;L13156</f>
        <v>Empat Puluh Satu</v>
      </c>
    </row>
    <row r="13197" spans="1:12">
      <c r="J13197" s="31">
        <v>42</v>
      </c>
      <c r="K13197" s="33" t="s">
        <v>114</v>
      </c>
      <c r="L13197" s="31" t="str">
        <f t="shared" si="1274"/>
        <v>Empat Puluh Dua</v>
      </c>
    </row>
    <row r="13198" spans="1:12">
      <c r="A13198" s="38"/>
      <c r="J13198" s="31">
        <v>43</v>
      </c>
      <c r="K13198" s="33" t="s">
        <v>115</v>
      </c>
      <c r="L13198" s="31" t="str">
        <f t="shared" si="1274"/>
        <v>Empat Puluh Tiga</v>
      </c>
    </row>
    <row r="13199" spans="1:12">
      <c r="J13199" s="31">
        <v>44</v>
      </c>
      <c r="K13199" s="33" t="s">
        <v>116</v>
      </c>
      <c r="L13199" s="31" t="str">
        <f t="shared" si="1274"/>
        <v>Empat Puluh Empat</v>
      </c>
    </row>
    <row r="13200" spans="1:12">
      <c r="J13200" s="31">
        <v>45</v>
      </c>
      <c r="K13200" s="33" t="s">
        <v>117</v>
      </c>
      <c r="L13200" s="31" t="str">
        <f t="shared" si="1274"/>
        <v>Empat Puluh Lima</v>
      </c>
    </row>
    <row r="13201" spans="10:12">
      <c r="J13201" s="31">
        <v>46</v>
      </c>
      <c r="K13201" s="33" t="s">
        <v>118</v>
      </c>
      <c r="L13201" s="31" t="str">
        <f t="shared" si="1274"/>
        <v>Empat Puluh Enam</v>
      </c>
    </row>
    <row r="13202" spans="10:12">
      <c r="J13202" s="31">
        <v>47</v>
      </c>
      <c r="K13202" s="33" t="s">
        <v>119</v>
      </c>
      <c r="L13202" s="31" t="str">
        <f t="shared" si="1274"/>
        <v>Empat Puluh Tujuh</v>
      </c>
    </row>
    <row r="13203" spans="10:12">
      <c r="J13203" s="31">
        <v>48</v>
      </c>
      <c r="K13203" s="33" t="s">
        <v>120</v>
      </c>
      <c r="L13203" s="31" t="str">
        <f t="shared" si="1274"/>
        <v>Empat Puluh Delapan</v>
      </c>
    </row>
    <row r="13204" spans="10:12">
      <c r="J13204" s="31">
        <v>49</v>
      </c>
      <c r="K13204" s="33" t="s">
        <v>121</v>
      </c>
      <c r="L13204" s="31" t="str">
        <f t="shared" si="1274"/>
        <v>Empat Puluh Sembilan</v>
      </c>
    </row>
    <row r="13205" spans="10:12">
      <c r="J13205" s="31">
        <v>50</v>
      </c>
      <c r="K13205" s="33" t="s">
        <v>122</v>
      </c>
      <c r="L13205" s="31" t="s">
        <v>123</v>
      </c>
    </row>
    <row r="13206" spans="10:12">
      <c r="J13206" s="31">
        <v>51</v>
      </c>
      <c r="K13206" s="33" t="s">
        <v>124</v>
      </c>
      <c r="L13206" s="31" t="str">
        <f t="shared" ref="L13206:L13214" si="1275">$L$53&amp;" "&amp;L13156</f>
        <v>Lima Puluh Satu</v>
      </c>
    </row>
    <row r="13207" spans="10:12">
      <c r="J13207" s="31">
        <v>52</v>
      </c>
      <c r="K13207" s="33" t="s">
        <v>125</v>
      </c>
      <c r="L13207" s="31" t="str">
        <f t="shared" si="1275"/>
        <v>Lima Puluh Dua</v>
      </c>
    </row>
    <row r="13208" spans="10:12">
      <c r="J13208" s="31">
        <v>53</v>
      </c>
      <c r="K13208" s="33" t="s">
        <v>126</v>
      </c>
      <c r="L13208" s="31" t="str">
        <f t="shared" si="1275"/>
        <v>Lima Puluh Tiga</v>
      </c>
    </row>
    <row r="13209" spans="10:12">
      <c r="J13209" s="31">
        <v>54</v>
      </c>
      <c r="K13209" s="33" t="s">
        <v>127</v>
      </c>
      <c r="L13209" s="31" t="str">
        <f t="shared" si="1275"/>
        <v>Lima Puluh Empat</v>
      </c>
    </row>
    <row r="13210" spans="10:12">
      <c r="J13210" s="31">
        <v>55</v>
      </c>
      <c r="K13210" s="33" t="s">
        <v>128</v>
      </c>
      <c r="L13210" s="31" t="str">
        <f t="shared" si="1275"/>
        <v>Lima Puluh Lima</v>
      </c>
    </row>
    <row r="13211" spans="10:12">
      <c r="J13211" s="31">
        <v>56</v>
      </c>
      <c r="K13211" s="33" t="s">
        <v>129</v>
      </c>
      <c r="L13211" s="31" t="str">
        <f t="shared" si="1275"/>
        <v>Lima Puluh Enam</v>
      </c>
    </row>
    <row r="13212" spans="10:12">
      <c r="J13212" s="31">
        <v>57</v>
      </c>
      <c r="K13212" s="33" t="s">
        <v>130</v>
      </c>
      <c r="L13212" s="31" t="str">
        <f t="shared" si="1275"/>
        <v>Lima Puluh Tujuh</v>
      </c>
    </row>
    <row r="13213" spans="10:12">
      <c r="J13213" s="31">
        <v>58</v>
      </c>
      <c r="K13213" s="33" t="s">
        <v>131</v>
      </c>
      <c r="L13213" s="31" t="str">
        <f t="shared" si="1275"/>
        <v>Lima Puluh Delapan</v>
      </c>
    </row>
    <row r="13214" spans="10:12">
      <c r="J13214" s="31">
        <v>59</v>
      </c>
      <c r="K13214" s="33" t="s">
        <v>132</v>
      </c>
      <c r="L13214" s="31" t="str">
        <f t="shared" si="1275"/>
        <v>Lima Puluh Sembilan</v>
      </c>
    </row>
    <row r="13215" spans="10:12">
      <c r="J13215" s="31">
        <v>60</v>
      </c>
      <c r="K13215" s="33" t="s">
        <v>133</v>
      </c>
      <c r="L13215" s="31" t="s">
        <v>134</v>
      </c>
    </row>
    <row r="13216" spans="10:12">
      <c r="J13216" s="31">
        <v>61</v>
      </c>
      <c r="K13216" s="33" t="s">
        <v>135</v>
      </c>
      <c r="L13216" s="31" t="str">
        <f t="shared" ref="L13216:L13224" si="1276">$L$63&amp;" "&amp;L13156</f>
        <v>Enam Puluh Satu</v>
      </c>
    </row>
    <row r="13217" spans="10:12">
      <c r="J13217" s="31">
        <v>62</v>
      </c>
      <c r="K13217" s="33" t="s">
        <v>136</v>
      </c>
      <c r="L13217" s="31" t="str">
        <f t="shared" si="1276"/>
        <v>Enam Puluh Dua</v>
      </c>
    </row>
    <row r="13218" spans="10:12">
      <c r="J13218" s="31">
        <v>63</v>
      </c>
      <c r="K13218" s="33" t="s">
        <v>137</v>
      </c>
      <c r="L13218" s="31" t="str">
        <f t="shared" si="1276"/>
        <v>Enam Puluh Tiga</v>
      </c>
    </row>
    <row r="13219" spans="10:12">
      <c r="J13219" s="31">
        <v>64</v>
      </c>
      <c r="K13219" s="33" t="s">
        <v>138</v>
      </c>
      <c r="L13219" s="31" t="str">
        <f t="shared" si="1276"/>
        <v>Enam Puluh Empat</v>
      </c>
    </row>
    <row r="13220" spans="10:12">
      <c r="J13220" s="31">
        <v>65</v>
      </c>
      <c r="K13220" s="33" t="s">
        <v>139</v>
      </c>
      <c r="L13220" s="31" t="str">
        <f t="shared" si="1276"/>
        <v>Enam Puluh Lima</v>
      </c>
    </row>
    <row r="13221" spans="10:12">
      <c r="J13221" s="31">
        <v>66</v>
      </c>
      <c r="K13221" s="33" t="s">
        <v>140</v>
      </c>
      <c r="L13221" s="31" t="str">
        <f t="shared" si="1276"/>
        <v>Enam Puluh Enam</v>
      </c>
    </row>
    <row r="13222" spans="10:12">
      <c r="J13222" s="31">
        <v>67</v>
      </c>
      <c r="K13222" s="33" t="s">
        <v>141</v>
      </c>
      <c r="L13222" s="31" t="str">
        <f t="shared" si="1276"/>
        <v>Enam Puluh Tujuh</v>
      </c>
    </row>
    <row r="13223" spans="10:12">
      <c r="J13223" s="31">
        <v>68</v>
      </c>
      <c r="K13223" s="33" t="s">
        <v>142</v>
      </c>
      <c r="L13223" s="31" t="str">
        <f t="shared" si="1276"/>
        <v>Enam Puluh Delapan</v>
      </c>
    </row>
    <row r="13224" spans="10:12">
      <c r="J13224" s="31">
        <v>69</v>
      </c>
      <c r="K13224" s="33" t="s">
        <v>143</v>
      </c>
      <c r="L13224" s="31" t="str">
        <f t="shared" si="1276"/>
        <v>Enam Puluh Sembilan</v>
      </c>
    </row>
    <row r="13225" spans="10:12">
      <c r="J13225" s="31">
        <v>70</v>
      </c>
      <c r="K13225" s="33" t="s">
        <v>144</v>
      </c>
      <c r="L13225" s="31" t="s">
        <v>145</v>
      </c>
    </row>
    <row r="13226" spans="10:12">
      <c r="J13226" s="31">
        <v>71</v>
      </c>
      <c r="K13226" s="33" t="s">
        <v>146</v>
      </c>
      <c r="L13226" s="31" t="str">
        <f t="shared" ref="L13226:L13234" si="1277">$L$73&amp;" "&amp;L13156</f>
        <v>Tujuh Puluh Satu</v>
      </c>
    </row>
    <row r="13227" spans="10:12">
      <c r="J13227" s="31">
        <v>72</v>
      </c>
      <c r="K13227" s="33" t="s">
        <v>147</v>
      </c>
      <c r="L13227" s="31" t="str">
        <f t="shared" si="1277"/>
        <v>Tujuh Puluh Dua</v>
      </c>
    </row>
    <row r="13228" spans="10:12">
      <c r="J13228" s="31">
        <v>73</v>
      </c>
      <c r="K13228" s="33" t="s">
        <v>148</v>
      </c>
      <c r="L13228" s="31" t="str">
        <f t="shared" si="1277"/>
        <v>Tujuh Puluh Tiga</v>
      </c>
    </row>
    <row r="13229" spans="10:12">
      <c r="J13229" s="31">
        <v>74</v>
      </c>
      <c r="K13229" s="33" t="s">
        <v>149</v>
      </c>
      <c r="L13229" s="31" t="str">
        <f t="shared" si="1277"/>
        <v>Tujuh Puluh Empat</v>
      </c>
    </row>
    <row r="13230" spans="10:12">
      <c r="J13230" s="31">
        <v>75</v>
      </c>
      <c r="K13230" s="33" t="s">
        <v>150</v>
      </c>
      <c r="L13230" s="31" t="str">
        <f t="shared" si="1277"/>
        <v>Tujuh Puluh Lima</v>
      </c>
    </row>
    <row r="13231" spans="10:12">
      <c r="J13231" s="31">
        <v>76</v>
      </c>
      <c r="K13231" s="33" t="s">
        <v>151</v>
      </c>
      <c r="L13231" s="31" t="str">
        <f t="shared" si="1277"/>
        <v>Tujuh Puluh Enam</v>
      </c>
    </row>
    <row r="13232" spans="10:12">
      <c r="J13232" s="31">
        <v>77</v>
      </c>
      <c r="K13232" s="33" t="s">
        <v>152</v>
      </c>
      <c r="L13232" s="31" t="str">
        <f t="shared" si="1277"/>
        <v>Tujuh Puluh Tujuh</v>
      </c>
    </row>
    <row r="13233" spans="10:12">
      <c r="J13233" s="31">
        <v>78</v>
      </c>
      <c r="K13233" s="33" t="s">
        <v>153</v>
      </c>
      <c r="L13233" s="31" t="str">
        <f t="shared" si="1277"/>
        <v>Tujuh Puluh Delapan</v>
      </c>
    </row>
    <row r="13234" spans="10:12">
      <c r="J13234" s="31">
        <v>79</v>
      </c>
      <c r="K13234" s="33" t="s">
        <v>154</v>
      </c>
      <c r="L13234" s="31" t="str">
        <f t="shared" si="1277"/>
        <v>Tujuh Puluh Sembilan</v>
      </c>
    </row>
    <row r="13235" spans="10:12">
      <c r="J13235" s="31">
        <v>80</v>
      </c>
      <c r="K13235" s="33" t="s">
        <v>155</v>
      </c>
      <c r="L13235" s="31" t="s">
        <v>156</v>
      </c>
    </row>
    <row r="13236" spans="10:12">
      <c r="J13236" s="31">
        <v>81</v>
      </c>
      <c r="K13236" s="33" t="s">
        <v>157</v>
      </c>
      <c r="L13236" s="31" t="str">
        <f t="shared" ref="L13236:L13244" si="1278">$L$83&amp;" "&amp;L13156</f>
        <v>Delapan Puluh Satu</v>
      </c>
    </row>
    <row r="13237" spans="10:12">
      <c r="J13237" s="31">
        <v>82</v>
      </c>
      <c r="K13237" s="33" t="s">
        <v>158</v>
      </c>
      <c r="L13237" s="31" t="str">
        <f t="shared" si="1278"/>
        <v>Delapan Puluh Dua</v>
      </c>
    </row>
    <row r="13238" spans="10:12">
      <c r="J13238" s="31">
        <v>83</v>
      </c>
      <c r="K13238" s="33" t="s">
        <v>159</v>
      </c>
      <c r="L13238" s="31" t="str">
        <f t="shared" si="1278"/>
        <v>Delapan Puluh Tiga</v>
      </c>
    </row>
    <row r="13239" spans="10:12">
      <c r="J13239" s="31">
        <v>84</v>
      </c>
      <c r="K13239" s="33" t="s">
        <v>160</v>
      </c>
      <c r="L13239" s="31" t="str">
        <f t="shared" si="1278"/>
        <v>Delapan Puluh Empat</v>
      </c>
    </row>
    <row r="13240" spans="10:12">
      <c r="J13240" s="31">
        <v>85</v>
      </c>
      <c r="K13240" s="33" t="s">
        <v>161</v>
      </c>
      <c r="L13240" s="31" t="str">
        <f t="shared" si="1278"/>
        <v>Delapan Puluh Lima</v>
      </c>
    </row>
    <row r="13241" spans="10:12">
      <c r="J13241" s="31">
        <v>86</v>
      </c>
      <c r="K13241" s="33" t="s">
        <v>162</v>
      </c>
      <c r="L13241" s="31" t="str">
        <f t="shared" si="1278"/>
        <v>Delapan Puluh Enam</v>
      </c>
    </row>
    <row r="13242" spans="10:12">
      <c r="J13242" s="31">
        <v>87</v>
      </c>
      <c r="K13242" s="33" t="s">
        <v>163</v>
      </c>
      <c r="L13242" s="31" t="str">
        <f t="shared" si="1278"/>
        <v>Delapan Puluh Tujuh</v>
      </c>
    </row>
    <row r="13243" spans="10:12">
      <c r="J13243" s="31">
        <v>88</v>
      </c>
      <c r="K13243" s="33" t="s">
        <v>164</v>
      </c>
      <c r="L13243" s="31" t="str">
        <f t="shared" si="1278"/>
        <v>Delapan Puluh Delapan</v>
      </c>
    </row>
    <row r="13244" spans="10:12">
      <c r="J13244" s="31">
        <v>89</v>
      </c>
      <c r="K13244" s="33" t="s">
        <v>165</v>
      </c>
      <c r="L13244" s="31" t="str">
        <f t="shared" si="1278"/>
        <v>Delapan Puluh Sembilan</v>
      </c>
    </row>
    <row r="13245" spans="10:12">
      <c r="J13245" s="31">
        <v>90</v>
      </c>
      <c r="K13245" s="33" t="s">
        <v>166</v>
      </c>
      <c r="L13245" s="31" t="s">
        <v>167</v>
      </c>
    </row>
    <row r="13246" spans="10:12">
      <c r="J13246" s="31">
        <v>91</v>
      </c>
      <c r="K13246" s="33" t="s">
        <v>168</v>
      </c>
      <c r="L13246" s="31" t="str">
        <f t="shared" ref="L13246:L13254" si="1279">$L$93&amp;" "&amp;L13156</f>
        <v>Sembilan Puluh Satu</v>
      </c>
    </row>
    <row r="13247" spans="10:12">
      <c r="J13247" s="31">
        <v>92</v>
      </c>
      <c r="K13247" s="33" t="s">
        <v>169</v>
      </c>
      <c r="L13247" s="31" t="str">
        <f t="shared" si="1279"/>
        <v>Sembilan Puluh Dua</v>
      </c>
    </row>
    <row r="13248" spans="10:12">
      <c r="J13248" s="31">
        <v>93</v>
      </c>
      <c r="K13248" s="33" t="s">
        <v>170</v>
      </c>
      <c r="L13248" s="31" t="str">
        <f t="shared" si="1279"/>
        <v>Sembilan Puluh Tiga</v>
      </c>
    </row>
    <row r="13249" spans="1:12">
      <c r="J13249" s="31">
        <v>94</v>
      </c>
      <c r="K13249" s="33" t="s">
        <v>171</v>
      </c>
      <c r="L13249" s="31" t="str">
        <f t="shared" si="1279"/>
        <v>Sembilan Puluh Empat</v>
      </c>
    </row>
    <row r="13250" spans="1:12">
      <c r="J13250" s="31">
        <v>95</v>
      </c>
      <c r="K13250" s="33" t="s">
        <v>172</v>
      </c>
      <c r="L13250" s="31" t="str">
        <f t="shared" si="1279"/>
        <v>Sembilan Puluh Lima</v>
      </c>
    </row>
    <row r="13251" spans="1:12">
      <c r="J13251" s="31">
        <v>96</v>
      </c>
      <c r="K13251" s="33" t="s">
        <v>173</v>
      </c>
      <c r="L13251" s="31" t="str">
        <f t="shared" si="1279"/>
        <v>Sembilan Puluh Enam</v>
      </c>
    </row>
    <row r="13252" spans="1:12">
      <c r="J13252" s="31">
        <v>97</v>
      </c>
      <c r="K13252" s="33" t="s">
        <v>174</v>
      </c>
      <c r="L13252" s="31" t="str">
        <f t="shared" si="1279"/>
        <v>Sembilan Puluh Tujuh</v>
      </c>
    </row>
    <row r="13253" spans="1:12">
      <c r="J13253" s="31">
        <v>98</v>
      </c>
      <c r="K13253" s="33" t="s">
        <v>175</v>
      </c>
      <c r="L13253" s="31" t="str">
        <f t="shared" si="1279"/>
        <v>Sembilan Puluh Delapan</v>
      </c>
    </row>
    <row r="13254" spans="1:12">
      <c r="J13254" s="31">
        <v>99</v>
      </c>
      <c r="K13254" s="33" t="s">
        <v>176</v>
      </c>
      <c r="L13254" s="31" t="str">
        <f t="shared" si="1279"/>
        <v>Sembilan Puluh Sembilan</v>
      </c>
    </row>
    <row r="13256" spans="1:12">
      <c r="A13256" s="30" t="e">
        <f>#REF!</f>
        <v>#REF!</v>
      </c>
      <c r="C13256" s="31" t="s">
        <v>363</v>
      </c>
    </row>
    <row r="13257" spans="1:12">
      <c r="A13257" s="32"/>
    </row>
    <row r="13258" spans="1:12">
      <c r="J13258" s="31">
        <v>0</v>
      </c>
      <c r="K13258" s="33" t="s">
        <v>48</v>
      </c>
      <c r="L13258" s="31" t="s">
        <v>49</v>
      </c>
    </row>
    <row r="13259" spans="1:12">
      <c r="A13259" s="34"/>
      <c r="J13259" s="31">
        <v>1</v>
      </c>
      <c r="K13259" s="33" t="s">
        <v>50</v>
      </c>
      <c r="L13259" s="31" t="s">
        <v>51</v>
      </c>
    </row>
    <row r="13260" spans="1:12">
      <c r="A13260" s="255" t="e">
        <f>TRIM(D13268&amp;E13268&amp;D13269&amp;E13269&amp;D13270&amp;E13270&amp;D13271&amp;E13271&amp;D13272&amp;E13272&amp;D13273&amp;E13273&amp;E13274&amp;D13274&amp;" Only")</f>
        <v>#REF!</v>
      </c>
      <c r="B13260" s="255"/>
      <c r="C13260" s="255"/>
      <c r="D13260" s="255"/>
      <c r="E13260" s="35"/>
      <c r="F13260" s="36"/>
      <c r="J13260" s="31">
        <v>2</v>
      </c>
      <c r="K13260" s="33" t="s">
        <v>52</v>
      </c>
      <c r="L13260" s="31" t="s">
        <v>53</v>
      </c>
    </row>
    <row r="13261" spans="1:12">
      <c r="A13261" s="37"/>
      <c r="B13261" s="37"/>
      <c r="C13261" s="37"/>
      <c r="D13261" s="37"/>
      <c r="E13261" s="35"/>
      <c r="F13261" s="36"/>
      <c r="J13261" s="31">
        <v>3</v>
      </c>
      <c r="K13261" s="33" t="s">
        <v>54</v>
      </c>
      <c r="L13261" s="31" t="s">
        <v>55</v>
      </c>
    </row>
    <row r="13262" spans="1:12">
      <c r="A13262" s="37"/>
      <c r="B13262" s="37"/>
      <c r="C13262" s="37"/>
      <c r="D13262" s="37"/>
      <c r="J13262" s="31">
        <v>4</v>
      </c>
      <c r="K13262" s="33" t="s">
        <v>56</v>
      </c>
      <c r="L13262" s="31" t="s">
        <v>57</v>
      </c>
    </row>
    <row r="13263" spans="1:12">
      <c r="A13263" s="255" t="e">
        <f>TRIM(D13278&amp;E13278&amp;D13279&amp;E13279&amp;D13280&amp;E13280&amp;D13281&amp;E13281&amp;D13282&amp;E13282&amp;D13283&amp;E13283&amp;D13284&amp;E13284&amp;" Rupiah")</f>
        <v>#REF!</v>
      </c>
      <c r="B13263" s="255"/>
      <c r="C13263" s="255"/>
      <c r="D13263" s="255"/>
      <c r="E13263" s="35"/>
      <c r="F13263" s="36"/>
      <c r="J13263" s="31">
        <v>5</v>
      </c>
      <c r="K13263" s="33" t="s">
        <v>58</v>
      </c>
      <c r="L13263" s="31" t="s">
        <v>59</v>
      </c>
    </row>
    <row r="13264" spans="1:12">
      <c r="A13264" s="35"/>
      <c r="B13264" s="35"/>
      <c r="C13264" s="35"/>
      <c r="D13264" s="35"/>
      <c r="E13264" s="35"/>
      <c r="F13264" s="36"/>
      <c r="J13264" s="31">
        <v>6</v>
      </c>
      <c r="K13264" s="33" t="s">
        <v>60</v>
      </c>
      <c r="L13264" s="31" t="s">
        <v>61</v>
      </c>
    </row>
    <row r="13265" spans="1:12">
      <c r="J13265" s="31">
        <v>7</v>
      </c>
      <c r="K13265" s="33" t="s">
        <v>62</v>
      </c>
      <c r="L13265" s="31" t="s">
        <v>63</v>
      </c>
    </row>
    <row r="13266" spans="1:12">
      <c r="J13266" s="31">
        <v>8</v>
      </c>
      <c r="K13266" s="33" t="s">
        <v>64</v>
      </c>
      <c r="L13266" s="31" t="s">
        <v>65</v>
      </c>
    </row>
    <row r="13267" spans="1:12">
      <c r="A13267" s="38" t="s">
        <v>66</v>
      </c>
      <c r="J13267" s="31">
        <v>9</v>
      </c>
      <c r="K13267" s="33" t="s">
        <v>67</v>
      </c>
      <c r="L13267" s="31" t="s">
        <v>68</v>
      </c>
    </row>
    <row r="13268" spans="1:12">
      <c r="A13268" s="31" t="s">
        <v>69</v>
      </c>
      <c r="B13268" s="39" t="e">
        <f>TRUNC(A13256/100000000)</f>
        <v>#REF!</v>
      </c>
      <c r="C13268" s="31" t="e">
        <f>B13268*100000000</f>
        <v>#REF!</v>
      </c>
      <c r="D13268" s="31" t="e">
        <f t="shared" ref="D13268:D13274" si="1280">IF(B13268&lt;1,"",VLOOKUP(B13268,$J$3:$K$102,2))</f>
        <v>#REF!</v>
      </c>
      <c r="E13268" s="31" t="e">
        <f>IF(B13268&lt;1,"",IF(B13268&gt;1," Hundreds "," Hundred "))</f>
        <v>#REF!</v>
      </c>
      <c r="J13268" s="31">
        <v>10</v>
      </c>
      <c r="K13268" s="33" t="s">
        <v>70</v>
      </c>
      <c r="L13268" s="31" t="s">
        <v>71</v>
      </c>
    </row>
    <row r="13269" spans="1:12">
      <c r="A13269" s="31" t="s">
        <v>72</v>
      </c>
      <c r="B13269" s="39" t="e">
        <f>TRUNC((A13256-C13268)/1000000)</f>
        <v>#REF!</v>
      </c>
      <c r="C13269" s="31" t="e">
        <f>B13269*1000000</f>
        <v>#REF!</v>
      </c>
      <c r="D13269" s="31" t="e">
        <f t="shared" si="1280"/>
        <v>#REF!</v>
      </c>
      <c r="E13269" s="31" t="e">
        <f>IF(B13268+B13269=0,"",IF(B13269=1," Million "," Millions "))</f>
        <v>#REF!</v>
      </c>
      <c r="J13269" s="31">
        <v>11</v>
      </c>
      <c r="K13269" s="33" t="s">
        <v>73</v>
      </c>
      <c r="L13269" s="31" t="s">
        <v>74</v>
      </c>
    </row>
    <row r="13270" spans="1:12">
      <c r="A13270" s="31" t="s">
        <v>75</v>
      </c>
      <c r="B13270" s="39" t="e">
        <f>TRUNC((A13256-SUM(C13268:C13269))/100000)</f>
        <v>#REF!</v>
      </c>
      <c r="C13270" s="31" t="e">
        <f>B13270*100000</f>
        <v>#REF!</v>
      </c>
      <c r="D13270" s="31" t="e">
        <f t="shared" si="1280"/>
        <v>#REF!</v>
      </c>
      <c r="E13270" s="31" t="e">
        <f>IF(B13270&lt;1,"",IF(B13270&gt;1," Hundreds "," Hundred "))</f>
        <v>#REF!</v>
      </c>
      <c r="J13270" s="31">
        <v>12</v>
      </c>
      <c r="K13270" s="33" t="s">
        <v>76</v>
      </c>
      <c r="L13270" s="31" t="str">
        <f t="shared" ref="L13270:L13277" si="1281">L13260&amp;" Belas"</f>
        <v>Dua Belas</v>
      </c>
    </row>
    <row r="13271" spans="1:12">
      <c r="A13271" s="33" t="s">
        <v>77</v>
      </c>
      <c r="B13271" s="40" t="e">
        <f>TRUNC((A13256-SUM(C13268:C13270))/1000)</f>
        <v>#REF!</v>
      </c>
      <c r="C13271" s="31" t="e">
        <f>B13271*1000</f>
        <v>#REF!</v>
      </c>
      <c r="D13271" s="31" t="e">
        <f t="shared" si="1280"/>
        <v>#REF!</v>
      </c>
      <c r="E13271" s="31" t="e">
        <f>IF(B13270+B13271=0,"",IF(B13271=1," Thousand "," Thousands "))</f>
        <v>#REF!</v>
      </c>
      <c r="J13271" s="31">
        <v>13</v>
      </c>
      <c r="K13271" s="33" t="s">
        <v>78</v>
      </c>
      <c r="L13271" s="31" t="str">
        <f t="shared" si="1281"/>
        <v>Tiga Belas</v>
      </c>
    </row>
    <row r="13272" spans="1:12">
      <c r="A13272" s="33" t="s">
        <v>79</v>
      </c>
      <c r="B13272" s="40" t="e">
        <f>TRUNC((A13256-SUM(C13268:C13271))/100)</f>
        <v>#REF!</v>
      </c>
      <c r="C13272" s="31" t="e">
        <f>B13272*100</f>
        <v>#REF!</v>
      </c>
      <c r="D13272" s="31" t="e">
        <f t="shared" si="1280"/>
        <v>#REF!</v>
      </c>
      <c r="E13272" s="31" t="e">
        <f>IF(B13272&lt;1,"",IF(B13272&gt;1," Hundreds "," Hundred "))</f>
        <v>#REF!</v>
      </c>
      <c r="J13272" s="31">
        <v>14</v>
      </c>
      <c r="K13272" s="33" t="s">
        <v>80</v>
      </c>
      <c r="L13272" s="31" t="str">
        <f t="shared" si="1281"/>
        <v>Empat Belas</v>
      </c>
    </row>
    <row r="13273" spans="1:12">
      <c r="A13273" s="33" t="s">
        <v>81</v>
      </c>
      <c r="B13273" s="41" t="e">
        <f>TRUNC((A13256-SUM(C13268:C13272)))</f>
        <v>#REF!</v>
      </c>
      <c r="C13273" s="42" t="e">
        <f>B13273</f>
        <v>#REF!</v>
      </c>
      <c r="D13273" s="31" t="e">
        <f t="shared" si="1280"/>
        <v>#REF!</v>
      </c>
      <c r="E13273" s="31" t="e">
        <f>IF(SUM(C13268:C13273)&lt;1,"",IF(B13274&lt;1,""," And "))</f>
        <v>#REF!</v>
      </c>
      <c r="J13273" s="31">
        <v>15</v>
      </c>
      <c r="K13273" s="33" t="s">
        <v>82</v>
      </c>
      <c r="L13273" s="31" t="str">
        <f t="shared" si="1281"/>
        <v>Lima Belas</v>
      </c>
    </row>
    <row r="13274" spans="1:12">
      <c r="A13274" s="33" t="s">
        <v>83</v>
      </c>
      <c r="B13274" s="40" t="e">
        <f>ROUND(A13256-SUM(C13268:C13273),2)*100</f>
        <v>#REF!</v>
      </c>
      <c r="D13274" s="43" t="e">
        <f t="shared" si="1280"/>
        <v>#REF!</v>
      </c>
      <c r="E13274" s="31" t="e">
        <f>IF(B13274&lt;1,"",IF(B13274=1," Cent "," Cents "))</f>
        <v>#REF!</v>
      </c>
      <c r="J13274" s="31">
        <v>16</v>
      </c>
      <c r="K13274" s="33" t="s">
        <v>84</v>
      </c>
      <c r="L13274" s="31" t="str">
        <f t="shared" si="1281"/>
        <v>Enam Belas</v>
      </c>
    </row>
    <row r="13275" spans="1:12">
      <c r="J13275" s="31">
        <v>17</v>
      </c>
      <c r="K13275" s="33" t="s">
        <v>85</v>
      </c>
      <c r="L13275" s="31" t="str">
        <f t="shared" si="1281"/>
        <v>Tujuh Belas</v>
      </c>
    </row>
    <row r="13276" spans="1:12">
      <c r="A13276" s="44"/>
      <c r="J13276" s="31">
        <v>18</v>
      </c>
      <c r="K13276" s="33" t="s">
        <v>86</v>
      </c>
      <c r="L13276" s="31" t="str">
        <f t="shared" si="1281"/>
        <v>Delapan Belas</v>
      </c>
    </row>
    <row r="13277" spans="1:12">
      <c r="A13277" s="38" t="s">
        <v>87</v>
      </c>
      <c r="J13277" s="31">
        <v>19</v>
      </c>
      <c r="K13277" s="33" t="s">
        <v>88</v>
      </c>
      <c r="L13277" s="31" t="str">
        <f t="shared" si="1281"/>
        <v>Sembilan Belas</v>
      </c>
    </row>
    <row r="13278" spans="1:12">
      <c r="A13278" s="31" t="s">
        <v>69</v>
      </c>
      <c r="B13278" s="39" t="e">
        <f>TRUNC(A13256/100000000)</f>
        <v>#REF!</v>
      </c>
      <c r="C13278" s="31" t="e">
        <f>B13278*100000000</f>
        <v>#REF!</v>
      </c>
      <c r="D13278" s="31" t="e">
        <f>IF(B13278&lt;1,"",IF(B13278=1,"",VLOOKUP(B13278,$J$3:$L$102,3)))</f>
        <v>#REF!</v>
      </c>
      <c r="E13278" s="31" t="e">
        <f>IF(B13278&lt;1,"",IF(B13278=1,"Seratus "," Ratus "))</f>
        <v>#REF!</v>
      </c>
      <c r="J13278" s="31">
        <v>20</v>
      </c>
      <c r="K13278" s="33" t="s">
        <v>89</v>
      </c>
      <c r="L13278" s="31" t="s">
        <v>90</v>
      </c>
    </row>
    <row r="13279" spans="1:12">
      <c r="A13279" s="31" t="s">
        <v>72</v>
      </c>
      <c r="B13279" s="39" t="e">
        <f>TRUNC((A13256-C13278)/1000000)</f>
        <v>#REF!</v>
      </c>
      <c r="C13279" s="31" t="e">
        <f>B13279*1000000</f>
        <v>#REF!</v>
      </c>
      <c r="D13279" s="31" t="e">
        <f>IF(B13279&lt;1,"",VLOOKUP(B13279,$J$3:$L$102,3))</f>
        <v>#REF!</v>
      </c>
      <c r="E13279" s="31" t="e">
        <f>IF(B13278+B13279=0,""," Juta ")</f>
        <v>#REF!</v>
      </c>
      <c r="J13279" s="31">
        <v>21</v>
      </c>
      <c r="K13279" s="33" t="s">
        <v>91</v>
      </c>
      <c r="L13279" s="31" t="str">
        <f t="shared" ref="L13279:L13287" si="1282">$L$23&amp;" "&amp;L13259</f>
        <v>Dua Puluh Satu</v>
      </c>
    </row>
    <row r="13280" spans="1:12">
      <c r="A13280" s="31" t="s">
        <v>75</v>
      </c>
      <c r="B13280" s="39" t="e">
        <f>TRUNC((A13256-SUM(C13278:C13279))/100000)</f>
        <v>#REF!</v>
      </c>
      <c r="C13280" s="31" t="e">
        <f>B13280*100000</f>
        <v>#REF!</v>
      </c>
      <c r="D13280" s="31" t="e">
        <f>IF(B13280&lt;1,"",IF(B13280=1,"",VLOOKUP(B13280,$J$3:$L$102,3)))</f>
        <v>#REF!</v>
      </c>
      <c r="E13280" s="31" t="e">
        <f>IF(B13280&lt;1,"",IF(B13280=1," Seratus "," Ratus "))</f>
        <v>#REF!</v>
      </c>
      <c r="J13280" s="31">
        <v>22</v>
      </c>
      <c r="K13280" s="33" t="s">
        <v>92</v>
      </c>
      <c r="L13280" s="31" t="str">
        <f t="shared" si="1282"/>
        <v>Dua Puluh Dua</v>
      </c>
    </row>
    <row r="13281" spans="1:12">
      <c r="A13281" s="33" t="s">
        <v>77</v>
      </c>
      <c r="B13281" s="40" t="e">
        <f>TRUNC((A13256-SUM(C13278:C13280))/1000)</f>
        <v>#REF!</v>
      </c>
      <c r="C13281" s="31" t="e">
        <f>B13281*1000</f>
        <v>#REF!</v>
      </c>
      <c r="D13281" s="31" t="e">
        <f>IF(B13281&lt;1,"",IF(B13281=1,"",VLOOKUP(B13281,$J$3:$L$102,3)))</f>
        <v>#REF!</v>
      </c>
      <c r="E13281" s="31" t="e">
        <f>IF(B13280+B13281&lt;1,"",IF(B13281=1," Seribu "," Ribu "))</f>
        <v>#REF!</v>
      </c>
      <c r="J13281" s="31">
        <v>23</v>
      </c>
      <c r="K13281" s="33" t="s">
        <v>93</v>
      </c>
      <c r="L13281" s="31" t="str">
        <f t="shared" si="1282"/>
        <v>Dua Puluh Tiga</v>
      </c>
    </row>
    <row r="13282" spans="1:12">
      <c r="A13282" s="33" t="s">
        <v>79</v>
      </c>
      <c r="B13282" s="40" t="e">
        <f>TRUNC((A13256-SUM(C13278:C13281))/100)</f>
        <v>#REF!</v>
      </c>
      <c r="C13282" s="31" t="e">
        <f>B13282*100</f>
        <v>#REF!</v>
      </c>
      <c r="D13282" s="31" t="e">
        <f>IF(B13282&lt;1,"",IF(B13282=1,"",VLOOKUP(B13282,$J$3:$L$102,3)))</f>
        <v>#REF!</v>
      </c>
      <c r="E13282" s="31" t="e">
        <f>IF(B13282&lt;1,"",IF(B13282=1," Seratus "," Ratus "))</f>
        <v>#REF!</v>
      </c>
      <c r="J13282" s="31">
        <v>24</v>
      </c>
      <c r="K13282" s="33" t="s">
        <v>94</v>
      </c>
      <c r="L13282" s="31" t="str">
        <f t="shared" si="1282"/>
        <v>Dua Puluh Empat</v>
      </c>
    </row>
    <row r="13283" spans="1:12">
      <c r="A13283" s="33" t="s">
        <v>81</v>
      </c>
      <c r="B13283" s="41" t="e">
        <f>TRUNC((A13256-SUM(C13278:C13282)))</f>
        <v>#REF!</v>
      </c>
      <c r="C13283" s="42" t="e">
        <f>B13283</f>
        <v>#REF!</v>
      </c>
      <c r="D13283" s="31" t="e">
        <f>IF(B13283&lt;1,"",VLOOKUP(B13283,$J$3:$L$102,3))</f>
        <v>#REF!</v>
      </c>
      <c r="E13283" s="31" t="e">
        <f>IF(SUM(C13278:C13283)&lt;1,"",IF(B13284&lt;1,""," Dan "))</f>
        <v>#REF!</v>
      </c>
      <c r="J13283" s="31">
        <v>25</v>
      </c>
      <c r="K13283" s="33" t="s">
        <v>95</v>
      </c>
      <c r="L13283" s="31" t="str">
        <f t="shared" si="1282"/>
        <v>Dua Puluh Lima</v>
      </c>
    </row>
    <row r="13284" spans="1:12">
      <c r="A13284" s="33" t="s">
        <v>83</v>
      </c>
      <c r="B13284" s="40" t="e">
        <f>ROUND(A13256-SUM(C13278:C13283),2)*100</f>
        <v>#REF!</v>
      </c>
      <c r="D13284" s="31" t="e">
        <f>IF(B13284&lt;1,"",VLOOKUP(B13284,$J$3:$L$102,3))</f>
        <v>#REF!</v>
      </c>
      <c r="E13284" s="31" t="e">
        <f>IF(B13284&lt;1,""," Sen ")</f>
        <v>#REF!</v>
      </c>
      <c r="J13284" s="31">
        <v>26</v>
      </c>
      <c r="K13284" s="33" t="s">
        <v>96</v>
      </c>
      <c r="L13284" s="31" t="str">
        <f t="shared" si="1282"/>
        <v>Dua Puluh Enam</v>
      </c>
    </row>
    <row r="13285" spans="1:12">
      <c r="J13285" s="31">
        <v>27</v>
      </c>
      <c r="K13285" s="33" t="s">
        <v>97</v>
      </c>
      <c r="L13285" s="31" t="str">
        <f t="shared" si="1282"/>
        <v>Dua Puluh Tujuh</v>
      </c>
    </row>
    <row r="13286" spans="1:12">
      <c r="J13286" s="31">
        <v>28</v>
      </c>
      <c r="K13286" s="33" t="s">
        <v>98</v>
      </c>
      <c r="L13286" s="31" t="str">
        <f t="shared" si="1282"/>
        <v>Dua Puluh Delapan</v>
      </c>
    </row>
    <row r="13287" spans="1:12">
      <c r="J13287" s="31">
        <v>29</v>
      </c>
      <c r="K13287" s="33" t="s">
        <v>99</v>
      </c>
      <c r="L13287" s="31" t="str">
        <f t="shared" si="1282"/>
        <v>Dua Puluh Sembilan</v>
      </c>
    </row>
    <row r="13288" spans="1:12">
      <c r="J13288" s="31">
        <v>30</v>
      </c>
      <c r="K13288" s="33" t="s">
        <v>100</v>
      </c>
      <c r="L13288" s="31" t="s">
        <v>101</v>
      </c>
    </row>
    <row r="13289" spans="1:12">
      <c r="J13289" s="31">
        <v>31</v>
      </c>
      <c r="K13289" s="33" t="s">
        <v>102</v>
      </c>
      <c r="L13289" s="31" t="str">
        <f t="shared" ref="L13289:L13297" si="1283">$L$33&amp;" "&amp;L13259</f>
        <v>Tiga Puluh Satu</v>
      </c>
    </row>
    <row r="13290" spans="1:12">
      <c r="J13290" s="31">
        <v>32</v>
      </c>
      <c r="K13290" s="33" t="s">
        <v>103</v>
      </c>
      <c r="L13290" s="31" t="str">
        <f t="shared" si="1283"/>
        <v>Tiga Puluh Dua</v>
      </c>
    </row>
    <row r="13291" spans="1:12">
      <c r="J13291" s="31">
        <v>33</v>
      </c>
      <c r="K13291" s="33" t="s">
        <v>104</v>
      </c>
      <c r="L13291" s="31" t="str">
        <f t="shared" si="1283"/>
        <v>Tiga Puluh Tiga</v>
      </c>
    </row>
    <row r="13292" spans="1:12">
      <c r="J13292" s="31">
        <v>34</v>
      </c>
      <c r="K13292" s="33" t="s">
        <v>105</v>
      </c>
      <c r="L13292" s="31" t="str">
        <f t="shared" si="1283"/>
        <v>Tiga Puluh Empat</v>
      </c>
    </row>
    <row r="13293" spans="1:12">
      <c r="J13293" s="31">
        <v>35</v>
      </c>
      <c r="K13293" s="33" t="s">
        <v>106</v>
      </c>
      <c r="L13293" s="31" t="str">
        <f t="shared" si="1283"/>
        <v>Tiga Puluh Lima</v>
      </c>
    </row>
    <row r="13294" spans="1:12">
      <c r="J13294" s="31">
        <v>36</v>
      </c>
      <c r="K13294" s="33" t="s">
        <v>107</v>
      </c>
      <c r="L13294" s="31" t="str">
        <f t="shared" si="1283"/>
        <v>Tiga Puluh Enam</v>
      </c>
    </row>
    <row r="13295" spans="1:12">
      <c r="J13295" s="31">
        <v>37</v>
      </c>
      <c r="K13295" s="33" t="s">
        <v>108</v>
      </c>
      <c r="L13295" s="31" t="str">
        <f t="shared" si="1283"/>
        <v>Tiga Puluh Tujuh</v>
      </c>
    </row>
    <row r="13296" spans="1:12">
      <c r="J13296" s="31">
        <v>38</v>
      </c>
      <c r="K13296" s="33" t="s">
        <v>109</v>
      </c>
      <c r="L13296" s="31" t="str">
        <f t="shared" si="1283"/>
        <v>Tiga Puluh Delapan</v>
      </c>
    </row>
    <row r="13297" spans="1:12">
      <c r="J13297" s="31">
        <v>39</v>
      </c>
      <c r="K13297" s="33" t="s">
        <v>110</v>
      </c>
      <c r="L13297" s="31" t="str">
        <f t="shared" si="1283"/>
        <v>Tiga Puluh Sembilan</v>
      </c>
    </row>
    <row r="13298" spans="1:12">
      <c r="B13298" s="35"/>
      <c r="C13298" s="35"/>
      <c r="D13298" s="35"/>
      <c r="J13298" s="31">
        <v>40</v>
      </c>
      <c r="K13298" s="33" t="s">
        <v>111</v>
      </c>
      <c r="L13298" s="31" t="s">
        <v>112</v>
      </c>
    </row>
    <row r="13299" spans="1:12">
      <c r="A13299" s="35"/>
      <c r="B13299" s="35"/>
      <c r="C13299" s="35"/>
      <c r="D13299" s="35"/>
      <c r="J13299" s="31">
        <v>41</v>
      </c>
      <c r="K13299" s="33" t="s">
        <v>113</v>
      </c>
      <c r="L13299" s="31" t="str">
        <f t="shared" ref="L13299:L13307" si="1284">$L$43&amp;" "&amp;L13259</f>
        <v>Empat Puluh Satu</v>
      </c>
    </row>
    <row r="13300" spans="1:12">
      <c r="J13300" s="31">
        <v>42</v>
      </c>
      <c r="K13300" s="33" t="s">
        <v>114</v>
      </c>
      <c r="L13300" s="31" t="str">
        <f t="shared" si="1284"/>
        <v>Empat Puluh Dua</v>
      </c>
    </row>
    <row r="13301" spans="1:12">
      <c r="A13301" s="38"/>
      <c r="J13301" s="31">
        <v>43</v>
      </c>
      <c r="K13301" s="33" t="s">
        <v>115</v>
      </c>
      <c r="L13301" s="31" t="str">
        <f t="shared" si="1284"/>
        <v>Empat Puluh Tiga</v>
      </c>
    </row>
    <row r="13302" spans="1:12">
      <c r="J13302" s="31">
        <v>44</v>
      </c>
      <c r="K13302" s="33" t="s">
        <v>116</v>
      </c>
      <c r="L13302" s="31" t="str">
        <f t="shared" si="1284"/>
        <v>Empat Puluh Empat</v>
      </c>
    </row>
    <row r="13303" spans="1:12">
      <c r="J13303" s="31">
        <v>45</v>
      </c>
      <c r="K13303" s="33" t="s">
        <v>117</v>
      </c>
      <c r="L13303" s="31" t="str">
        <f t="shared" si="1284"/>
        <v>Empat Puluh Lima</v>
      </c>
    </row>
    <row r="13304" spans="1:12">
      <c r="J13304" s="31">
        <v>46</v>
      </c>
      <c r="K13304" s="33" t="s">
        <v>118</v>
      </c>
      <c r="L13304" s="31" t="str">
        <f t="shared" si="1284"/>
        <v>Empat Puluh Enam</v>
      </c>
    </row>
    <row r="13305" spans="1:12">
      <c r="J13305" s="31">
        <v>47</v>
      </c>
      <c r="K13305" s="33" t="s">
        <v>119</v>
      </c>
      <c r="L13305" s="31" t="str">
        <f t="shared" si="1284"/>
        <v>Empat Puluh Tujuh</v>
      </c>
    </row>
    <row r="13306" spans="1:12">
      <c r="J13306" s="31">
        <v>48</v>
      </c>
      <c r="K13306" s="33" t="s">
        <v>120</v>
      </c>
      <c r="L13306" s="31" t="str">
        <f t="shared" si="1284"/>
        <v>Empat Puluh Delapan</v>
      </c>
    </row>
    <row r="13307" spans="1:12">
      <c r="J13307" s="31">
        <v>49</v>
      </c>
      <c r="K13307" s="33" t="s">
        <v>121</v>
      </c>
      <c r="L13307" s="31" t="str">
        <f t="shared" si="1284"/>
        <v>Empat Puluh Sembilan</v>
      </c>
    </row>
    <row r="13308" spans="1:12">
      <c r="J13308" s="31">
        <v>50</v>
      </c>
      <c r="K13308" s="33" t="s">
        <v>122</v>
      </c>
      <c r="L13308" s="31" t="s">
        <v>123</v>
      </c>
    </row>
    <row r="13309" spans="1:12">
      <c r="J13309" s="31">
        <v>51</v>
      </c>
      <c r="K13309" s="33" t="s">
        <v>124</v>
      </c>
      <c r="L13309" s="31" t="str">
        <f t="shared" ref="L13309:L13317" si="1285">$L$53&amp;" "&amp;L13259</f>
        <v>Lima Puluh Satu</v>
      </c>
    </row>
    <row r="13310" spans="1:12">
      <c r="J13310" s="31">
        <v>52</v>
      </c>
      <c r="K13310" s="33" t="s">
        <v>125</v>
      </c>
      <c r="L13310" s="31" t="str">
        <f t="shared" si="1285"/>
        <v>Lima Puluh Dua</v>
      </c>
    </row>
    <row r="13311" spans="1:12">
      <c r="J13311" s="31">
        <v>53</v>
      </c>
      <c r="K13311" s="33" t="s">
        <v>126</v>
      </c>
      <c r="L13311" s="31" t="str">
        <f t="shared" si="1285"/>
        <v>Lima Puluh Tiga</v>
      </c>
    </row>
    <row r="13312" spans="1:12">
      <c r="J13312" s="31">
        <v>54</v>
      </c>
      <c r="K13312" s="33" t="s">
        <v>127</v>
      </c>
      <c r="L13312" s="31" t="str">
        <f t="shared" si="1285"/>
        <v>Lima Puluh Empat</v>
      </c>
    </row>
    <row r="13313" spans="10:12">
      <c r="J13313" s="31">
        <v>55</v>
      </c>
      <c r="K13313" s="33" t="s">
        <v>128</v>
      </c>
      <c r="L13313" s="31" t="str">
        <f t="shared" si="1285"/>
        <v>Lima Puluh Lima</v>
      </c>
    </row>
    <row r="13314" spans="10:12">
      <c r="J13314" s="31">
        <v>56</v>
      </c>
      <c r="K13314" s="33" t="s">
        <v>129</v>
      </c>
      <c r="L13314" s="31" t="str">
        <f t="shared" si="1285"/>
        <v>Lima Puluh Enam</v>
      </c>
    </row>
    <row r="13315" spans="10:12">
      <c r="J13315" s="31">
        <v>57</v>
      </c>
      <c r="K13315" s="33" t="s">
        <v>130</v>
      </c>
      <c r="L13315" s="31" t="str">
        <f t="shared" si="1285"/>
        <v>Lima Puluh Tujuh</v>
      </c>
    </row>
    <row r="13316" spans="10:12">
      <c r="J13316" s="31">
        <v>58</v>
      </c>
      <c r="K13316" s="33" t="s">
        <v>131</v>
      </c>
      <c r="L13316" s="31" t="str">
        <f t="shared" si="1285"/>
        <v>Lima Puluh Delapan</v>
      </c>
    </row>
    <row r="13317" spans="10:12">
      <c r="J13317" s="31">
        <v>59</v>
      </c>
      <c r="K13317" s="33" t="s">
        <v>132</v>
      </c>
      <c r="L13317" s="31" t="str">
        <f t="shared" si="1285"/>
        <v>Lima Puluh Sembilan</v>
      </c>
    </row>
    <row r="13318" spans="10:12">
      <c r="J13318" s="31">
        <v>60</v>
      </c>
      <c r="K13318" s="33" t="s">
        <v>133</v>
      </c>
      <c r="L13318" s="31" t="s">
        <v>134</v>
      </c>
    </row>
    <row r="13319" spans="10:12">
      <c r="J13319" s="31">
        <v>61</v>
      </c>
      <c r="K13319" s="33" t="s">
        <v>135</v>
      </c>
      <c r="L13319" s="31" t="str">
        <f t="shared" ref="L13319:L13327" si="1286">$L$63&amp;" "&amp;L13259</f>
        <v>Enam Puluh Satu</v>
      </c>
    </row>
    <row r="13320" spans="10:12">
      <c r="J13320" s="31">
        <v>62</v>
      </c>
      <c r="K13320" s="33" t="s">
        <v>136</v>
      </c>
      <c r="L13320" s="31" t="str">
        <f t="shared" si="1286"/>
        <v>Enam Puluh Dua</v>
      </c>
    </row>
    <row r="13321" spans="10:12">
      <c r="J13321" s="31">
        <v>63</v>
      </c>
      <c r="K13321" s="33" t="s">
        <v>137</v>
      </c>
      <c r="L13321" s="31" t="str">
        <f t="shared" si="1286"/>
        <v>Enam Puluh Tiga</v>
      </c>
    </row>
    <row r="13322" spans="10:12">
      <c r="J13322" s="31">
        <v>64</v>
      </c>
      <c r="K13322" s="33" t="s">
        <v>138</v>
      </c>
      <c r="L13322" s="31" t="str">
        <f t="shared" si="1286"/>
        <v>Enam Puluh Empat</v>
      </c>
    </row>
    <row r="13323" spans="10:12">
      <c r="J13323" s="31">
        <v>65</v>
      </c>
      <c r="K13323" s="33" t="s">
        <v>139</v>
      </c>
      <c r="L13323" s="31" t="str">
        <f t="shared" si="1286"/>
        <v>Enam Puluh Lima</v>
      </c>
    </row>
    <row r="13324" spans="10:12">
      <c r="J13324" s="31">
        <v>66</v>
      </c>
      <c r="K13324" s="33" t="s">
        <v>140</v>
      </c>
      <c r="L13324" s="31" t="str">
        <f t="shared" si="1286"/>
        <v>Enam Puluh Enam</v>
      </c>
    </row>
    <row r="13325" spans="10:12">
      <c r="J13325" s="31">
        <v>67</v>
      </c>
      <c r="K13325" s="33" t="s">
        <v>141</v>
      </c>
      <c r="L13325" s="31" t="str">
        <f t="shared" si="1286"/>
        <v>Enam Puluh Tujuh</v>
      </c>
    </row>
    <row r="13326" spans="10:12">
      <c r="J13326" s="31">
        <v>68</v>
      </c>
      <c r="K13326" s="33" t="s">
        <v>142</v>
      </c>
      <c r="L13326" s="31" t="str">
        <f t="shared" si="1286"/>
        <v>Enam Puluh Delapan</v>
      </c>
    </row>
    <row r="13327" spans="10:12">
      <c r="J13327" s="31">
        <v>69</v>
      </c>
      <c r="K13327" s="33" t="s">
        <v>143</v>
      </c>
      <c r="L13327" s="31" t="str">
        <f t="shared" si="1286"/>
        <v>Enam Puluh Sembilan</v>
      </c>
    </row>
    <row r="13328" spans="10:12">
      <c r="J13328" s="31">
        <v>70</v>
      </c>
      <c r="K13328" s="33" t="s">
        <v>144</v>
      </c>
      <c r="L13328" s="31" t="s">
        <v>145</v>
      </c>
    </row>
    <row r="13329" spans="10:12">
      <c r="J13329" s="31">
        <v>71</v>
      </c>
      <c r="K13329" s="33" t="s">
        <v>146</v>
      </c>
      <c r="L13329" s="31" t="str">
        <f t="shared" ref="L13329:L13337" si="1287">$L$73&amp;" "&amp;L13259</f>
        <v>Tujuh Puluh Satu</v>
      </c>
    </row>
    <row r="13330" spans="10:12">
      <c r="J13330" s="31">
        <v>72</v>
      </c>
      <c r="K13330" s="33" t="s">
        <v>147</v>
      </c>
      <c r="L13330" s="31" t="str">
        <f t="shared" si="1287"/>
        <v>Tujuh Puluh Dua</v>
      </c>
    </row>
    <row r="13331" spans="10:12">
      <c r="J13331" s="31">
        <v>73</v>
      </c>
      <c r="K13331" s="33" t="s">
        <v>148</v>
      </c>
      <c r="L13331" s="31" t="str">
        <f t="shared" si="1287"/>
        <v>Tujuh Puluh Tiga</v>
      </c>
    </row>
    <row r="13332" spans="10:12">
      <c r="J13332" s="31">
        <v>74</v>
      </c>
      <c r="K13332" s="33" t="s">
        <v>149</v>
      </c>
      <c r="L13332" s="31" t="str">
        <f t="shared" si="1287"/>
        <v>Tujuh Puluh Empat</v>
      </c>
    </row>
    <row r="13333" spans="10:12">
      <c r="J13333" s="31">
        <v>75</v>
      </c>
      <c r="K13333" s="33" t="s">
        <v>150</v>
      </c>
      <c r="L13333" s="31" t="str">
        <f t="shared" si="1287"/>
        <v>Tujuh Puluh Lima</v>
      </c>
    </row>
    <row r="13334" spans="10:12">
      <c r="J13334" s="31">
        <v>76</v>
      </c>
      <c r="K13334" s="33" t="s">
        <v>151</v>
      </c>
      <c r="L13334" s="31" t="str">
        <f t="shared" si="1287"/>
        <v>Tujuh Puluh Enam</v>
      </c>
    </row>
    <row r="13335" spans="10:12">
      <c r="J13335" s="31">
        <v>77</v>
      </c>
      <c r="K13335" s="33" t="s">
        <v>152</v>
      </c>
      <c r="L13335" s="31" t="str">
        <f t="shared" si="1287"/>
        <v>Tujuh Puluh Tujuh</v>
      </c>
    </row>
    <row r="13336" spans="10:12">
      <c r="J13336" s="31">
        <v>78</v>
      </c>
      <c r="K13336" s="33" t="s">
        <v>153</v>
      </c>
      <c r="L13336" s="31" t="str">
        <f t="shared" si="1287"/>
        <v>Tujuh Puluh Delapan</v>
      </c>
    </row>
    <row r="13337" spans="10:12">
      <c r="J13337" s="31">
        <v>79</v>
      </c>
      <c r="K13337" s="33" t="s">
        <v>154</v>
      </c>
      <c r="L13337" s="31" t="str">
        <f t="shared" si="1287"/>
        <v>Tujuh Puluh Sembilan</v>
      </c>
    </row>
    <row r="13338" spans="10:12">
      <c r="J13338" s="31">
        <v>80</v>
      </c>
      <c r="K13338" s="33" t="s">
        <v>155</v>
      </c>
      <c r="L13338" s="31" t="s">
        <v>156</v>
      </c>
    </row>
    <row r="13339" spans="10:12">
      <c r="J13339" s="31">
        <v>81</v>
      </c>
      <c r="K13339" s="33" t="s">
        <v>157</v>
      </c>
      <c r="L13339" s="31" t="str">
        <f t="shared" ref="L13339:L13347" si="1288">$L$83&amp;" "&amp;L13259</f>
        <v>Delapan Puluh Satu</v>
      </c>
    </row>
    <row r="13340" spans="10:12">
      <c r="J13340" s="31">
        <v>82</v>
      </c>
      <c r="K13340" s="33" t="s">
        <v>158</v>
      </c>
      <c r="L13340" s="31" t="str">
        <f t="shared" si="1288"/>
        <v>Delapan Puluh Dua</v>
      </c>
    </row>
    <row r="13341" spans="10:12">
      <c r="J13341" s="31">
        <v>83</v>
      </c>
      <c r="K13341" s="33" t="s">
        <v>159</v>
      </c>
      <c r="L13341" s="31" t="str">
        <f t="shared" si="1288"/>
        <v>Delapan Puluh Tiga</v>
      </c>
    </row>
    <row r="13342" spans="10:12">
      <c r="J13342" s="31">
        <v>84</v>
      </c>
      <c r="K13342" s="33" t="s">
        <v>160</v>
      </c>
      <c r="L13342" s="31" t="str">
        <f t="shared" si="1288"/>
        <v>Delapan Puluh Empat</v>
      </c>
    </row>
    <row r="13343" spans="10:12">
      <c r="J13343" s="31">
        <v>85</v>
      </c>
      <c r="K13343" s="33" t="s">
        <v>161</v>
      </c>
      <c r="L13343" s="31" t="str">
        <f t="shared" si="1288"/>
        <v>Delapan Puluh Lima</v>
      </c>
    </row>
    <row r="13344" spans="10:12">
      <c r="J13344" s="31">
        <v>86</v>
      </c>
      <c r="K13344" s="33" t="s">
        <v>162</v>
      </c>
      <c r="L13344" s="31" t="str">
        <f t="shared" si="1288"/>
        <v>Delapan Puluh Enam</v>
      </c>
    </row>
    <row r="13345" spans="1:12">
      <c r="J13345" s="31">
        <v>87</v>
      </c>
      <c r="K13345" s="33" t="s">
        <v>163</v>
      </c>
      <c r="L13345" s="31" t="str">
        <f t="shared" si="1288"/>
        <v>Delapan Puluh Tujuh</v>
      </c>
    </row>
    <row r="13346" spans="1:12">
      <c r="J13346" s="31">
        <v>88</v>
      </c>
      <c r="K13346" s="33" t="s">
        <v>164</v>
      </c>
      <c r="L13346" s="31" t="str">
        <f t="shared" si="1288"/>
        <v>Delapan Puluh Delapan</v>
      </c>
    </row>
    <row r="13347" spans="1:12">
      <c r="J13347" s="31">
        <v>89</v>
      </c>
      <c r="K13347" s="33" t="s">
        <v>165</v>
      </c>
      <c r="L13347" s="31" t="str">
        <f t="shared" si="1288"/>
        <v>Delapan Puluh Sembilan</v>
      </c>
    </row>
    <row r="13348" spans="1:12">
      <c r="J13348" s="31">
        <v>90</v>
      </c>
      <c r="K13348" s="33" t="s">
        <v>166</v>
      </c>
      <c r="L13348" s="31" t="s">
        <v>167</v>
      </c>
    </row>
    <row r="13349" spans="1:12">
      <c r="J13349" s="31">
        <v>91</v>
      </c>
      <c r="K13349" s="33" t="s">
        <v>168</v>
      </c>
      <c r="L13349" s="31" t="str">
        <f t="shared" ref="L13349:L13357" si="1289">$L$93&amp;" "&amp;L13259</f>
        <v>Sembilan Puluh Satu</v>
      </c>
    </row>
    <row r="13350" spans="1:12">
      <c r="J13350" s="31">
        <v>92</v>
      </c>
      <c r="K13350" s="33" t="s">
        <v>169</v>
      </c>
      <c r="L13350" s="31" t="str">
        <f t="shared" si="1289"/>
        <v>Sembilan Puluh Dua</v>
      </c>
    </row>
    <row r="13351" spans="1:12">
      <c r="J13351" s="31">
        <v>93</v>
      </c>
      <c r="K13351" s="33" t="s">
        <v>170</v>
      </c>
      <c r="L13351" s="31" t="str">
        <f t="shared" si="1289"/>
        <v>Sembilan Puluh Tiga</v>
      </c>
    </row>
    <row r="13352" spans="1:12">
      <c r="J13352" s="31">
        <v>94</v>
      </c>
      <c r="K13352" s="33" t="s">
        <v>171</v>
      </c>
      <c r="L13352" s="31" t="str">
        <f t="shared" si="1289"/>
        <v>Sembilan Puluh Empat</v>
      </c>
    </row>
    <row r="13353" spans="1:12">
      <c r="J13353" s="31">
        <v>95</v>
      </c>
      <c r="K13353" s="33" t="s">
        <v>172</v>
      </c>
      <c r="L13353" s="31" t="str">
        <f t="shared" si="1289"/>
        <v>Sembilan Puluh Lima</v>
      </c>
    </row>
    <row r="13354" spans="1:12">
      <c r="J13354" s="31">
        <v>96</v>
      </c>
      <c r="K13354" s="33" t="s">
        <v>173</v>
      </c>
      <c r="L13354" s="31" t="str">
        <f t="shared" si="1289"/>
        <v>Sembilan Puluh Enam</v>
      </c>
    </row>
    <row r="13355" spans="1:12">
      <c r="J13355" s="31">
        <v>97</v>
      </c>
      <c r="K13355" s="33" t="s">
        <v>174</v>
      </c>
      <c r="L13355" s="31" t="str">
        <f t="shared" si="1289"/>
        <v>Sembilan Puluh Tujuh</v>
      </c>
    </row>
    <row r="13356" spans="1:12">
      <c r="J13356" s="31">
        <v>98</v>
      </c>
      <c r="K13356" s="33" t="s">
        <v>175</v>
      </c>
      <c r="L13356" s="31" t="str">
        <f t="shared" si="1289"/>
        <v>Sembilan Puluh Delapan</v>
      </c>
    </row>
    <row r="13357" spans="1:12">
      <c r="J13357" s="31">
        <v>99</v>
      </c>
      <c r="K13357" s="33" t="s">
        <v>176</v>
      </c>
      <c r="L13357" s="31" t="str">
        <f t="shared" si="1289"/>
        <v>Sembilan Puluh Sembilan</v>
      </c>
    </row>
    <row r="13359" spans="1:12">
      <c r="A13359" s="30" t="e">
        <f>#REF!</f>
        <v>#REF!</v>
      </c>
      <c r="C13359" s="31" t="s">
        <v>367</v>
      </c>
    </row>
    <row r="13360" spans="1:12">
      <c r="A13360" s="32"/>
    </row>
    <row r="13361" spans="1:12">
      <c r="J13361" s="31">
        <v>0</v>
      </c>
      <c r="K13361" s="33" t="s">
        <v>48</v>
      </c>
      <c r="L13361" s="31" t="s">
        <v>49</v>
      </c>
    </row>
    <row r="13362" spans="1:12">
      <c r="A13362" s="34"/>
      <c r="J13362" s="31">
        <v>1</v>
      </c>
      <c r="K13362" s="33" t="s">
        <v>50</v>
      </c>
      <c r="L13362" s="31" t="s">
        <v>51</v>
      </c>
    </row>
    <row r="13363" spans="1:12">
      <c r="A13363" s="255" t="e">
        <f>TRIM(D13371&amp;E13371&amp;D13372&amp;E13372&amp;D13373&amp;E13373&amp;D13374&amp;E13374&amp;D13375&amp;E13375&amp;D13376&amp;E13376&amp;E13377&amp;D13377&amp;" Only")</f>
        <v>#REF!</v>
      </c>
      <c r="B13363" s="255"/>
      <c r="C13363" s="255"/>
      <c r="D13363" s="255"/>
      <c r="E13363" s="35"/>
      <c r="F13363" s="36"/>
      <c r="J13363" s="31">
        <v>2</v>
      </c>
      <c r="K13363" s="33" t="s">
        <v>52</v>
      </c>
      <c r="L13363" s="31" t="s">
        <v>53</v>
      </c>
    </row>
    <row r="13364" spans="1:12">
      <c r="A13364" s="37"/>
      <c r="B13364" s="37"/>
      <c r="C13364" s="37"/>
      <c r="D13364" s="37"/>
      <c r="E13364" s="35"/>
      <c r="F13364" s="36"/>
      <c r="J13364" s="31">
        <v>3</v>
      </c>
      <c r="K13364" s="33" t="s">
        <v>54</v>
      </c>
      <c r="L13364" s="31" t="s">
        <v>55</v>
      </c>
    </row>
    <row r="13365" spans="1:12">
      <c r="A13365" s="37"/>
      <c r="B13365" s="37"/>
      <c r="C13365" s="37"/>
      <c r="D13365" s="37"/>
      <c r="J13365" s="31">
        <v>4</v>
      </c>
      <c r="K13365" s="33" t="s">
        <v>56</v>
      </c>
      <c r="L13365" s="31" t="s">
        <v>57</v>
      </c>
    </row>
    <row r="13366" spans="1:12">
      <c r="A13366" s="255" t="e">
        <f>TRIM(D13381&amp;E13381&amp;D13382&amp;E13382&amp;D13383&amp;E13383&amp;D13384&amp;E13384&amp;D13385&amp;E13385&amp;D13386&amp;E13386&amp;D13387&amp;E13387&amp;" Rupiah")</f>
        <v>#REF!</v>
      </c>
      <c r="B13366" s="255"/>
      <c r="C13366" s="255"/>
      <c r="D13366" s="255"/>
      <c r="E13366" s="35"/>
      <c r="F13366" s="36"/>
      <c r="J13366" s="31">
        <v>5</v>
      </c>
      <c r="K13366" s="33" t="s">
        <v>58</v>
      </c>
      <c r="L13366" s="31" t="s">
        <v>59</v>
      </c>
    </row>
    <row r="13367" spans="1:12">
      <c r="A13367" s="35"/>
      <c r="B13367" s="35"/>
      <c r="C13367" s="35"/>
      <c r="D13367" s="35"/>
      <c r="E13367" s="35"/>
      <c r="F13367" s="36"/>
      <c r="J13367" s="31">
        <v>6</v>
      </c>
      <c r="K13367" s="33" t="s">
        <v>60</v>
      </c>
      <c r="L13367" s="31" t="s">
        <v>61</v>
      </c>
    </row>
    <row r="13368" spans="1:12">
      <c r="J13368" s="31">
        <v>7</v>
      </c>
      <c r="K13368" s="33" t="s">
        <v>62</v>
      </c>
      <c r="L13368" s="31" t="s">
        <v>63</v>
      </c>
    </row>
    <row r="13369" spans="1:12">
      <c r="J13369" s="31">
        <v>8</v>
      </c>
      <c r="K13369" s="33" t="s">
        <v>64</v>
      </c>
      <c r="L13369" s="31" t="s">
        <v>65</v>
      </c>
    </row>
    <row r="13370" spans="1:12">
      <c r="A13370" s="38" t="s">
        <v>66</v>
      </c>
      <c r="J13370" s="31">
        <v>9</v>
      </c>
      <c r="K13370" s="33" t="s">
        <v>67</v>
      </c>
      <c r="L13370" s="31" t="s">
        <v>68</v>
      </c>
    </row>
    <row r="13371" spans="1:12">
      <c r="A13371" s="31" t="s">
        <v>69</v>
      </c>
      <c r="B13371" s="39" t="e">
        <f>TRUNC(A13359/100000000)</f>
        <v>#REF!</v>
      </c>
      <c r="C13371" s="31" t="e">
        <f>B13371*100000000</f>
        <v>#REF!</v>
      </c>
      <c r="D13371" s="31" t="e">
        <f t="shared" ref="D13371:D13377" si="1290">IF(B13371&lt;1,"",VLOOKUP(B13371,$J$3:$K$102,2))</f>
        <v>#REF!</v>
      </c>
      <c r="E13371" s="31" t="e">
        <f>IF(B13371&lt;1,"",IF(B13371&gt;1," Hundreds "," Hundred "))</f>
        <v>#REF!</v>
      </c>
      <c r="J13371" s="31">
        <v>10</v>
      </c>
      <c r="K13371" s="33" t="s">
        <v>70</v>
      </c>
      <c r="L13371" s="31" t="s">
        <v>71</v>
      </c>
    </row>
    <row r="13372" spans="1:12">
      <c r="A13372" s="31" t="s">
        <v>72</v>
      </c>
      <c r="B13372" s="39" t="e">
        <f>TRUNC((A13359-C13371)/1000000)</f>
        <v>#REF!</v>
      </c>
      <c r="C13372" s="31" t="e">
        <f>B13372*1000000</f>
        <v>#REF!</v>
      </c>
      <c r="D13372" s="31" t="e">
        <f t="shared" si="1290"/>
        <v>#REF!</v>
      </c>
      <c r="E13372" s="31" t="e">
        <f>IF(B13371+B13372=0,"",IF(B13372=1," Million "," Millions "))</f>
        <v>#REF!</v>
      </c>
      <c r="J13372" s="31">
        <v>11</v>
      </c>
      <c r="K13372" s="33" t="s">
        <v>73</v>
      </c>
      <c r="L13372" s="31" t="s">
        <v>74</v>
      </c>
    </row>
    <row r="13373" spans="1:12">
      <c r="A13373" s="31" t="s">
        <v>75</v>
      </c>
      <c r="B13373" s="39" t="e">
        <f>TRUNC((A13359-SUM(C13371:C13372))/100000)</f>
        <v>#REF!</v>
      </c>
      <c r="C13373" s="31" t="e">
        <f>B13373*100000</f>
        <v>#REF!</v>
      </c>
      <c r="D13373" s="31" t="e">
        <f t="shared" si="1290"/>
        <v>#REF!</v>
      </c>
      <c r="E13373" s="31" t="e">
        <f>IF(B13373&lt;1,"",IF(B13373&gt;1," Hundreds "," Hundred "))</f>
        <v>#REF!</v>
      </c>
      <c r="J13373" s="31">
        <v>12</v>
      </c>
      <c r="K13373" s="33" t="s">
        <v>76</v>
      </c>
      <c r="L13373" s="31" t="str">
        <f t="shared" ref="L13373:L13380" si="1291">L13363&amp;" Belas"</f>
        <v>Dua Belas</v>
      </c>
    </row>
    <row r="13374" spans="1:12">
      <c r="A13374" s="33" t="s">
        <v>77</v>
      </c>
      <c r="B13374" s="40" t="e">
        <f>TRUNC((A13359-SUM(C13371:C13373))/1000)</f>
        <v>#REF!</v>
      </c>
      <c r="C13374" s="31" t="e">
        <f>B13374*1000</f>
        <v>#REF!</v>
      </c>
      <c r="D13374" s="31" t="e">
        <f t="shared" si="1290"/>
        <v>#REF!</v>
      </c>
      <c r="E13374" s="31" t="e">
        <f>IF(B13373+B13374=0,"",IF(B13374=1," Thousand "," Thousands "))</f>
        <v>#REF!</v>
      </c>
      <c r="J13374" s="31">
        <v>13</v>
      </c>
      <c r="K13374" s="33" t="s">
        <v>78</v>
      </c>
      <c r="L13374" s="31" t="str">
        <f t="shared" si="1291"/>
        <v>Tiga Belas</v>
      </c>
    </row>
    <row r="13375" spans="1:12">
      <c r="A13375" s="33" t="s">
        <v>79</v>
      </c>
      <c r="B13375" s="40" t="e">
        <f>TRUNC((A13359-SUM(C13371:C13374))/100)</f>
        <v>#REF!</v>
      </c>
      <c r="C13375" s="31" t="e">
        <f>B13375*100</f>
        <v>#REF!</v>
      </c>
      <c r="D13375" s="31" t="e">
        <f t="shared" si="1290"/>
        <v>#REF!</v>
      </c>
      <c r="E13375" s="31" t="e">
        <f>IF(B13375&lt;1,"",IF(B13375&gt;1," Hundreds "," Hundred "))</f>
        <v>#REF!</v>
      </c>
      <c r="J13375" s="31">
        <v>14</v>
      </c>
      <c r="K13375" s="33" t="s">
        <v>80</v>
      </c>
      <c r="L13375" s="31" t="str">
        <f t="shared" si="1291"/>
        <v>Empat Belas</v>
      </c>
    </row>
    <row r="13376" spans="1:12">
      <c r="A13376" s="33" t="s">
        <v>81</v>
      </c>
      <c r="B13376" s="41" t="e">
        <f>TRUNC((A13359-SUM(C13371:C13375)))</f>
        <v>#REF!</v>
      </c>
      <c r="C13376" s="42" t="e">
        <f>B13376</f>
        <v>#REF!</v>
      </c>
      <c r="D13376" s="31" t="e">
        <f t="shared" si="1290"/>
        <v>#REF!</v>
      </c>
      <c r="E13376" s="31" t="e">
        <f>IF(SUM(C13371:C13376)&lt;1,"",IF(B13377&lt;1,""," And "))</f>
        <v>#REF!</v>
      </c>
      <c r="J13376" s="31">
        <v>15</v>
      </c>
      <c r="K13376" s="33" t="s">
        <v>82</v>
      </c>
      <c r="L13376" s="31" t="str">
        <f t="shared" si="1291"/>
        <v>Lima Belas</v>
      </c>
    </row>
    <row r="13377" spans="1:12">
      <c r="A13377" s="33" t="s">
        <v>83</v>
      </c>
      <c r="B13377" s="40" t="e">
        <f>ROUND(A13359-SUM(C13371:C13376),2)*100</f>
        <v>#REF!</v>
      </c>
      <c r="D13377" s="43" t="e">
        <f t="shared" si="1290"/>
        <v>#REF!</v>
      </c>
      <c r="E13377" s="31" t="e">
        <f>IF(B13377&lt;1,"",IF(B13377=1," Cent "," Cents "))</f>
        <v>#REF!</v>
      </c>
      <c r="J13377" s="31">
        <v>16</v>
      </c>
      <c r="K13377" s="33" t="s">
        <v>84</v>
      </c>
      <c r="L13377" s="31" t="str">
        <f t="shared" si="1291"/>
        <v>Enam Belas</v>
      </c>
    </row>
    <row r="13378" spans="1:12">
      <c r="J13378" s="31">
        <v>17</v>
      </c>
      <c r="K13378" s="33" t="s">
        <v>85</v>
      </c>
      <c r="L13378" s="31" t="str">
        <f t="shared" si="1291"/>
        <v>Tujuh Belas</v>
      </c>
    </row>
    <row r="13379" spans="1:12">
      <c r="A13379" s="44"/>
      <c r="J13379" s="31">
        <v>18</v>
      </c>
      <c r="K13379" s="33" t="s">
        <v>86</v>
      </c>
      <c r="L13379" s="31" t="str">
        <f t="shared" si="1291"/>
        <v>Delapan Belas</v>
      </c>
    </row>
    <row r="13380" spans="1:12">
      <c r="A13380" s="38" t="s">
        <v>87</v>
      </c>
      <c r="J13380" s="31">
        <v>19</v>
      </c>
      <c r="K13380" s="33" t="s">
        <v>88</v>
      </c>
      <c r="L13380" s="31" t="str">
        <f t="shared" si="1291"/>
        <v>Sembilan Belas</v>
      </c>
    </row>
    <row r="13381" spans="1:12">
      <c r="A13381" s="31" t="s">
        <v>69</v>
      </c>
      <c r="B13381" s="39" t="e">
        <f>TRUNC(A13359/100000000)</f>
        <v>#REF!</v>
      </c>
      <c r="C13381" s="31" t="e">
        <f>B13381*100000000</f>
        <v>#REF!</v>
      </c>
      <c r="D13381" s="31" t="e">
        <f>IF(B13381&lt;1,"",IF(B13381=1,"",VLOOKUP(B13381,$J$3:$L$102,3)))</f>
        <v>#REF!</v>
      </c>
      <c r="E13381" s="31" t="e">
        <f>IF(B13381&lt;1,"",IF(B13381=1,"Seratus "," Ratus "))</f>
        <v>#REF!</v>
      </c>
      <c r="J13381" s="31">
        <v>20</v>
      </c>
      <c r="K13381" s="33" t="s">
        <v>89</v>
      </c>
      <c r="L13381" s="31" t="s">
        <v>90</v>
      </c>
    </row>
    <row r="13382" spans="1:12">
      <c r="A13382" s="31" t="s">
        <v>72</v>
      </c>
      <c r="B13382" s="39" t="e">
        <f>TRUNC((A13359-C13381)/1000000)</f>
        <v>#REF!</v>
      </c>
      <c r="C13382" s="31" t="e">
        <f>B13382*1000000</f>
        <v>#REF!</v>
      </c>
      <c r="D13382" s="31" t="e">
        <f>IF(B13382&lt;1,"",VLOOKUP(B13382,$J$3:$L$102,3))</f>
        <v>#REF!</v>
      </c>
      <c r="E13382" s="31" t="e">
        <f>IF(B13381+B13382=0,""," Juta ")</f>
        <v>#REF!</v>
      </c>
      <c r="J13382" s="31">
        <v>21</v>
      </c>
      <c r="K13382" s="33" t="s">
        <v>91</v>
      </c>
      <c r="L13382" s="31" t="str">
        <f t="shared" ref="L13382:L13390" si="1292">$L$23&amp;" "&amp;L13362</f>
        <v>Dua Puluh Satu</v>
      </c>
    </row>
    <row r="13383" spans="1:12">
      <c r="A13383" s="31" t="s">
        <v>75</v>
      </c>
      <c r="B13383" s="39" t="e">
        <f>TRUNC((A13359-SUM(C13381:C13382))/100000)</f>
        <v>#REF!</v>
      </c>
      <c r="C13383" s="31" t="e">
        <f>B13383*100000</f>
        <v>#REF!</v>
      </c>
      <c r="D13383" s="31" t="e">
        <f>IF(B13383&lt;1,"",IF(B13383=1,"",VLOOKUP(B13383,$J$3:$L$102,3)))</f>
        <v>#REF!</v>
      </c>
      <c r="E13383" s="31" t="e">
        <f>IF(B13383&lt;1,"",IF(B13383=1," Seratus "," Ratus "))</f>
        <v>#REF!</v>
      </c>
      <c r="J13383" s="31">
        <v>22</v>
      </c>
      <c r="K13383" s="33" t="s">
        <v>92</v>
      </c>
      <c r="L13383" s="31" t="str">
        <f t="shared" si="1292"/>
        <v>Dua Puluh Dua</v>
      </c>
    </row>
    <row r="13384" spans="1:12">
      <c r="A13384" s="33" t="s">
        <v>77</v>
      </c>
      <c r="B13384" s="40" t="e">
        <f>TRUNC((A13359-SUM(C13381:C13383))/1000)</f>
        <v>#REF!</v>
      </c>
      <c r="C13384" s="31" t="e">
        <f>B13384*1000</f>
        <v>#REF!</v>
      </c>
      <c r="D13384" s="31" t="e">
        <f>IF(B13384&lt;1,"",IF(B13384=1,"",VLOOKUP(B13384,$J$3:$L$102,3)))</f>
        <v>#REF!</v>
      </c>
      <c r="E13384" s="31" t="e">
        <f>IF(B13383+B13384&lt;1,"",IF(B13384=1," Seribu "," Ribu "))</f>
        <v>#REF!</v>
      </c>
      <c r="J13384" s="31">
        <v>23</v>
      </c>
      <c r="K13384" s="33" t="s">
        <v>93</v>
      </c>
      <c r="L13384" s="31" t="str">
        <f t="shared" si="1292"/>
        <v>Dua Puluh Tiga</v>
      </c>
    </row>
    <row r="13385" spans="1:12">
      <c r="A13385" s="33" t="s">
        <v>79</v>
      </c>
      <c r="B13385" s="40" t="e">
        <f>TRUNC((A13359-SUM(C13381:C13384))/100)</f>
        <v>#REF!</v>
      </c>
      <c r="C13385" s="31" t="e">
        <f>B13385*100</f>
        <v>#REF!</v>
      </c>
      <c r="D13385" s="31" t="e">
        <f>IF(B13385&lt;1,"",IF(B13385=1,"",VLOOKUP(B13385,$J$3:$L$102,3)))</f>
        <v>#REF!</v>
      </c>
      <c r="E13385" s="31" t="e">
        <f>IF(B13385&lt;1,"",IF(B13385=1," Seratus "," Ratus "))</f>
        <v>#REF!</v>
      </c>
      <c r="J13385" s="31">
        <v>24</v>
      </c>
      <c r="K13385" s="33" t="s">
        <v>94</v>
      </c>
      <c r="L13385" s="31" t="str">
        <f t="shared" si="1292"/>
        <v>Dua Puluh Empat</v>
      </c>
    </row>
    <row r="13386" spans="1:12">
      <c r="A13386" s="33" t="s">
        <v>81</v>
      </c>
      <c r="B13386" s="41" t="e">
        <f>TRUNC((A13359-SUM(C13381:C13385)))</f>
        <v>#REF!</v>
      </c>
      <c r="C13386" s="42" t="e">
        <f>B13386</f>
        <v>#REF!</v>
      </c>
      <c r="D13386" s="31" t="e">
        <f>IF(B13386&lt;1,"",VLOOKUP(B13386,$J$3:$L$102,3))</f>
        <v>#REF!</v>
      </c>
      <c r="E13386" s="31" t="e">
        <f>IF(SUM(C13381:C13386)&lt;1,"",IF(B13387&lt;1,""," Dan "))</f>
        <v>#REF!</v>
      </c>
      <c r="J13386" s="31">
        <v>25</v>
      </c>
      <c r="K13386" s="33" t="s">
        <v>95</v>
      </c>
      <c r="L13386" s="31" t="str">
        <f t="shared" si="1292"/>
        <v>Dua Puluh Lima</v>
      </c>
    </row>
    <row r="13387" spans="1:12">
      <c r="A13387" s="33" t="s">
        <v>83</v>
      </c>
      <c r="B13387" s="40" t="e">
        <f>ROUND(A13359-SUM(C13381:C13386),2)*100</f>
        <v>#REF!</v>
      </c>
      <c r="D13387" s="31" t="e">
        <f>IF(B13387&lt;1,"",VLOOKUP(B13387,$J$3:$L$102,3))</f>
        <v>#REF!</v>
      </c>
      <c r="E13387" s="31" t="e">
        <f>IF(B13387&lt;1,""," Sen ")</f>
        <v>#REF!</v>
      </c>
      <c r="J13387" s="31">
        <v>26</v>
      </c>
      <c r="K13387" s="33" t="s">
        <v>96</v>
      </c>
      <c r="L13387" s="31" t="str">
        <f t="shared" si="1292"/>
        <v>Dua Puluh Enam</v>
      </c>
    </row>
    <row r="13388" spans="1:12">
      <c r="J13388" s="31">
        <v>27</v>
      </c>
      <c r="K13388" s="33" t="s">
        <v>97</v>
      </c>
      <c r="L13388" s="31" t="str">
        <f t="shared" si="1292"/>
        <v>Dua Puluh Tujuh</v>
      </c>
    </row>
    <row r="13389" spans="1:12">
      <c r="J13389" s="31">
        <v>28</v>
      </c>
      <c r="K13389" s="33" t="s">
        <v>98</v>
      </c>
      <c r="L13389" s="31" t="str">
        <f t="shared" si="1292"/>
        <v>Dua Puluh Delapan</v>
      </c>
    </row>
    <row r="13390" spans="1:12">
      <c r="J13390" s="31">
        <v>29</v>
      </c>
      <c r="K13390" s="33" t="s">
        <v>99</v>
      </c>
      <c r="L13390" s="31" t="str">
        <f t="shared" si="1292"/>
        <v>Dua Puluh Sembilan</v>
      </c>
    </row>
    <row r="13391" spans="1:12">
      <c r="J13391" s="31">
        <v>30</v>
      </c>
      <c r="K13391" s="33" t="s">
        <v>100</v>
      </c>
      <c r="L13391" s="31" t="s">
        <v>101</v>
      </c>
    </row>
    <row r="13392" spans="1:12">
      <c r="J13392" s="31">
        <v>31</v>
      </c>
      <c r="K13392" s="33" t="s">
        <v>102</v>
      </c>
      <c r="L13392" s="31" t="str">
        <f t="shared" ref="L13392:L13400" si="1293">$L$33&amp;" "&amp;L13362</f>
        <v>Tiga Puluh Satu</v>
      </c>
    </row>
    <row r="13393" spans="1:12">
      <c r="J13393" s="31">
        <v>32</v>
      </c>
      <c r="K13393" s="33" t="s">
        <v>103</v>
      </c>
      <c r="L13393" s="31" t="str">
        <f t="shared" si="1293"/>
        <v>Tiga Puluh Dua</v>
      </c>
    </row>
    <row r="13394" spans="1:12">
      <c r="J13394" s="31">
        <v>33</v>
      </c>
      <c r="K13394" s="33" t="s">
        <v>104</v>
      </c>
      <c r="L13394" s="31" t="str">
        <f t="shared" si="1293"/>
        <v>Tiga Puluh Tiga</v>
      </c>
    </row>
    <row r="13395" spans="1:12">
      <c r="J13395" s="31">
        <v>34</v>
      </c>
      <c r="K13395" s="33" t="s">
        <v>105</v>
      </c>
      <c r="L13395" s="31" t="str">
        <f t="shared" si="1293"/>
        <v>Tiga Puluh Empat</v>
      </c>
    </row>
    <row r="13396" spans="1:12">
      <c r="J13396" s="31">
        <v>35</v>
      </c>
      <c r="K13396" s="33" t="s">
        <v>106</v>
      </c>
      <c r="L13396" s="31" t="str">
        <f t="shared" si="1293"/>
        <v>Tiga Puluh Lima</v>
      </c>
    </row>
    <row r="13397" spans="1:12">
      <c r="J13397" s="31">
        <v>36</v>
      </c>
      <c r="K13397" s="33" t="s">
        <v>107</v>
      </c>
      <c r="L13397" s="31" t="str">
        <f t="shared" si="1293"/>
        <v>Tiga Puluh Enam</v>
      </c>
    </row>
    <row r="13398" spans="1:12">
      <c r="J13398" s="31">
        <v>37</v>
      </c>
      <c r="K13398" s="33" t="s">
        <v>108</v>
      </c>
      <c r="L13398" s="31" t="str">
        <f t="shared" si="1293"/>
        <v>Tiga Puluh Tujuh</v>
      </c>
    </row>
    <row r="13399" spans="1:12">
      <c r="J13399" s="31">
        <v>38</v>
      </c>
      <c r="K13399" s="33" t="s">
        <v>109</v>
      </c>
      <c r="L13399" s="31" t="str">
        <f t="shared" si="1293"/>
        <v>Tiga Puluh Delapan</v>
      </c>
    </row>
    <row r="13400" spans="1:12">
      <c r="J13400" s="31">
        <v>39</v>
      </c>
      <c r="K13400" s="33" t="s">
        <v>110</v>
      </c>
      <c r="L13400" s="31" t="str">
        <f t="shared" si="1293"/>
        <v>Tiga Puluh Sembilan</v>
      </c>
    </row>
    <row r="13401" spans="1:12">
      <c r="B13401" s="35"/>
      <c r="C13401" s="35"/>
      <c r="D13401" s="35"/>
      <c r="J13401" s="31">
        <v>40</v>
      </c>
      <c r="K13401" s="33" t="s">
        <v>111</v>
      </c>
      <c r="L13401" s="31" t="s">
        <v>112</v>
      </c>
    </row>
    <row r="13402" spans="1:12">
      <c r="A13402" s="35"/>
      <c r="B13402" s="35"/>
      <c r="C13402" s="35"/>
      <c r="D13402" s="35"/>
      <c r="J13402" s="31">
        <v>41</v>
      </c>
      <c r="K13402" s="33" t="s">
        <v>113</v>
      </c>
      <c r="L13402" s="31" t="str">
        <f t="shared" ref="L13402:L13410" si="1294">$L$43&amp;" "&amp;L13362</f>
        <v>Empat Puluh Satu</v>
      </c>
    </row>
    <row r="13403" spans="1:12">
      <c r="J13403" s="31">
        <v>42</v>
      </c>
      <c r="K13403" s="33" t="s">
        <v>114</v>
      </c>
      <c r="L13403" s="31" t="str">
        <f t="shared" si="1294"/>
        <v>Empat Puluh Dua</v>
      </c>
    </row>
    <row r="13404" spans="1:12">
      <c r="A13404" s="38"/>
      <c r="J13404" s="31">
        <v>43</v>
      </c>
      <c r="K13404" s="33" t="s">
        <v>115</v>
      </c>
      <c r="L13404" s="31" t="str">
        <f t="shared" si="1294"/>
        <v>Empat Puluh Tiga</v>
      </c>
    </row>
    <row r="13405" spans="1:12">
      <c r="J13405" s="31">
        <v>44</v>
      </c>
      <c r="K13405" s="33" t="s">
        <v>116</v>
      </c>
      <c r="L13405" s="31" t="str">
        <f t="shared" si="1294"/>
        <v>Empat Puluh Empat</v>
      </c>
    </row>
    <row r="13406" spans="1:12">
      <c r="J13406" s="31">
        <v>45</v>
      </c>
      <c r="K13406" s="33" t="s">
        <v>117</v>
      </c>
      <c r="L13406" s="31" t="str">
        <f t="shared" si="1294"/>
        <v>Empat Puluh Lima</v>
      </c>
    </row>
    <row r="13407" spans="1:12">
      <c r="J13407" s="31">
        <v>46</v>
      </c>
      <c r="K13407" s="33" t="s">
        <v>118</v>
      </c>
      <c r="L13407" s="31" t="str">
        <f t="shared" si="1294"/>
        <v>Empat Puluh Enam</v>
      </c>
    </row>
    <row r="13408" spans="1:12">
      <c r="J13408" s="31">
        <v>47</v>
      </c>
      <c r="K13408" s="33" t="s">
        <v>119</v>
      </c>
      <c r="L13408" s="31" t="str">
        <f t="shared" si="1294"/>
        <v>Empat Puluh Tujuh</v>
      </c>
    </row>
    <row r="13409" spans="10:12">
      <c r="J13409" s="31">
        <v>48</v>
      </c>
      <c r="K13409" s="33" t="s">
        <v>120</v>
      </c>
      <c r="L13409" s="31" t="str">
        <f t="shared" si="1294"/>
        <v>Empat Puluh Delapan</v>
      </c>
    </row>
    <row r="13410" spans="10:12">
      <c r="J13410" s="31">
        <v>49</v>
      </c>
      <c r="K13410" s="33" t="s">
        <v>121</v>
      </c>
      <c r="L13410" s="31" t="str">
        <f t="shared" si="1294"/>
        <v>Empat Puluh Sembilan</v>
      </c>
    </row>
    <row r="13411" spans="10:12">
      <c r="J13411" s="31">
        <v>50</v>
      </c>
      <c r="K13411" s="33" t="s">
        <v>122</v>
      </c>
      <c r="L13411" s="31" t="s">
        <v>123</v>
      </c>
    </row>
    <row r="13412" spans="10:12">
      <c r="J13412" s="31">
        <v>51</v>
      </c>
      <c r="K13412" s="33" t="s">
        <v>124</v>
      </c>
      <c r="L13412" s="31" t="str">
        <f t="shared" ref="L13412:L13420" si="1295">$L$53&amp;" "&amp;L13362</f>
        <v>Lima Puluh Satu</v>
      </c>
    </row>
    <row r="13413" spans="10:12">
      <c r="J13413" s="31">
        <v>52</v>
      </c>
      <c r="K13413" s="33" t="s">
        <v>125</v>
      </c>
      <c r="L13413" s="31" t="str">
        <f t="shared" si="1295"/>
        <v>Lima Puluh Dua</v>
      </c>
    </row>
    <row r="13414" spans="10:12">
      <c r="J13414" s="31">
        <v>53</v>
      </c>
      <c r="K13414" s="33" t="s">
        <v>126</v>
      </c>
      <c r="L13414" s="31" t="str">
        <f t="shared" si="1295"/>
        <v>Lima Puluh Tiga</v>
      </c>
    </row>
    <row r="13415" spans="10:12">
      <c r="J13415" s="31">
        <v>54</v>
      </c>
      <c r="K13415" s="33" t="s">
        <v>127</v>
      </c>
      <c r="L13415" s="31" t="str">
        <f t="shared" si="1295"/>
        <v>Lima Puluh Empat</v>
      </c>
    </row>
    <row r="13416" spans="10:12">
      <c r="J13416" s="31">
        <v>55</v>
      </c>
      <c r="K13416" s="33" t="s">
        <v>128</v>
      </c>
      <c r="L13416" s="31" t="str">
        <f t="shared" si="1295"/>
        <v>Lima Puluh Lima</v>
      </c>
    </row>
    <row r="13417" spans="10:12">
      <c r="J13417" s="31">
        <v>56</v>
      </c>
      <c r="K13417" s="33" t="s">
        <v>129</v>
      </c>
      <c r="L13417" s="31" t="str">
        <f t="shared" si="1295"/>
        <v>Lima Puluh Enam</v>
      </c>
    </row>
    <row r="13418" spans="10:12">
      <c r="J13418" s="31">
        <v>57</v>
      </c>
      <c r="K13418" s="33" t="s">
        <v>130</v>
      </c>
      <c r="L13418" s="31" t="str">
        <f t="shared" si="1295"/>
        <v>Lima Puluh Tujuh</v>
      </c>
    </row>
    <row r="13419" spans="10:12">
      <c r="J13419" s="31">
        <v>58</v>
      </c>
      <c r="K13419" s="33" t="s">
        <v>131</v>
      </c>
      <c r="L13419" s="31" t="str">
        <f t="shared" si="1295"/>
        <v>Lima Puluh Delapan</v>
      </c>
    </row>
    <row r="13420" spans="10:12">
      <c r="J13420" s="31">
        <v>59</v>
      </c>
      <c r="K13420" s="33" t="s">
        <v>132</v>
      </c>
      <c r="L13420" s="31" t="str">
        <f t="shared" si="1295"/>
        <v>Lima Puluh Sembilan</v>
      </c>
    </row>
    <row r="13421" spans="10:12">
      <c r="J13421" s="31">
        <v>60</v>
      </c>
      <c r="K13421" s="33" t="s">
        <v>133</v>
      </c>
      <c r="L13421" s="31" t="s">
        <v>134</v>
      </c>
    </row>
    <row r="13422" spans="10:12">
      <c r="J13422" s="31">
        <v>61</v>
      </c>
      <c r="K13422" s="33" t="s">
        <v>135</v>
      </c>
      <c r="L13422" s="31" t="str">
        <f t="shared" ref="L13422:L13430" si="1296">$L$63&amp;" "&amp;L13362</f>
        <v>Enam Puluh Satu</v>
      </c>
    </row>
    <row r="13423" spans="10:12">
      <c r="J13423" s="31">
        <v>62</v>
      </c>
      <c r="K13423" s="33" t="s">
        <v>136</v>
      </c>
      <c r="L13423" s="31" t="str">
        <f t="shared" si="1296"/>
        <v>Enam Puluh Dua</v>
      </c>
    </row>
    <row r="13424" spans="10:12">
      <c r="J13424" s="31">
        <v>63</v>
      </c>
      <c r="K13424" s="33" t="s">
        <v>137</v>
      </c>
      <c r="L13424" s="31" t="str">
        <f t="shared" si="1296"/>
        <v>Enam Puluh Tiga</v>
      </c>
    </row>
    <row r="13425" spans="10:12">
      <c r="J13425" s="31">
        <v>64</v>
      </c>
      <c r="K13425" s="33" t="s">
        <v>138</v>
      </c>
      <c r="L13425" s="31" t="str">
        <f t="shared" si="1296"/>
        <v>Enam Puluh Empat</v>
      </c>
    </row>
    <row r="13426" spans="10:12">
      <c r="J13426" s="31">
        <v>65</v>
      </c>
      <c r="K13426" s="33" t="s">
        <v>139</v>
      </c>
      <c r="L13426" s="31" t="str">
        <f t="shared" si="1296"/>
        <v>Enam Puluh Lima</v>
      </c>
    </row>
    <row r="13427" spans="10:12">
      <c r="J13427" s="31">
        <v>66</v>
      </c>
      <c r="K13427" s="33" t="s">
        <v>140</v>
      </c>
      <c r="L13427" s="31" t="str">
        <f t="shared" si="1296"/>
        <v>Enam Puluh Enam</v>
      </c>
    </row>
    <row r="13428" spans="10:12">
      <c r="J13428" s="31">
        <v>67</v>
      </c>
      <c r="K13428" s="33" t="s">
        <v>141</v>
      </c>
      <c r="L13428" s="31" t="str">
        <f t="shared" si="1296"/>
        <v>Enam Puluh Tujuh</v>
      </c>
    </row>
    <row r="13429" spans="10:12">
      <c r="J13429" s="31">
        <v>68</v>
      </c>
      <c r="K13429" s="33" t="s">
        <v>142</v>
      </c>
      <c r="L13429" s="31" t="str">
        <f t="shared" si="1296"/>
        <v>Enam Puluh Delapan</v>
      </c>
    </row>
    <row r="13430" spans="10:12">
      <c r="J13430" s="31">
        <v>69</v>
      </c>
      <c r="K13430" s="33" t="s">
        <v>143</v>
      </c>
      <c r="L13430" s="31" t="str">
        <f t="shared" si="1296"/>
        <v>Enam Puluh Sembilan</v>
      </c>
    </row>
    <row r="13431" spans="10:12">
      <c r="J13431" s="31">
        <v>70</v>
      </c>
      <c r="K13431" s="33" t="s">
        <v>144</v>
      </c>
      <c r="L13431" s="31" t="s">
        <v>145</v>
      </c>
    </row>
    <row r="13432" spans="10:12">
      <c r="J13432" s="31">
        <v>71</v>
      </c>
      <c r="K13432" s="33" t="s">
        <v>146</v>
      </c>
      <c r="L13432" s="31" t="str">
        <f t="shared" ref="L13432:L13440" si="1297">$L$73&amp;" "&amp;L13362</f>
        <v>Tujuh Puluh Satu</v>
      </c>
    </row>
    <row r="13433" spans="10:12">
      <c r="J13433" s="31">
        <v>72</v>
      </c>
      <c r="K13433" s="33" t="s">
        <v>147</v>
      </c>
      <c r="L13433" s="31" t="str">
        <f t="shared" si="1297"/>
        <v>Tujuh Puluh Dua</v>
      </c>
    </row>
    <row r="13434" spans="10:12">
      <c r="J13434" s="31">
        <v>73</v>
      </c>
      <c r="K13434" s="33" t="s">
        <v>148</v>
      </c>
      <c r="L13434" s="31" t="str">
        <f t="shared" si="1297"/>
        <v>Tujuh Puluh Tiga</v>
      </c>
    </row>
    <row r="13435" spans="10:12">
      <c r="J13435" s="31">
        <v>74</v>
      </c>
      <c r="K13435" s="33" t="s">
        <v>149</v>
      </c>
      <c r="L13435" s="31" t="str">
        <f t="shared" si="1297"/>
        <v>Tujuh Puluh Empat</v>
      </c>
    </row>
    <row r="13436" spans="10:12">
      <c r="J13436" s="31">
        <v>75</v>
      </c>
      <c r="K13436" s="33" t="s">
        <v>150</v>
      </c>
      <c r="L13436" s="31" t="str">
        <f t="shared" si="1297"/>
        <v>Tujuh Puluh Lima</v>
      </c>
    </row>
    <row r="13437" spans="10:12">
      <c r="J13437" s="31">
        <v>76</v>
      </c>
      <c r="K13437" s="33" t="s">
        <v>151</v>
      </c>
      <c r="L13437" s="31" t="str">
        <f t="shared" si="1297"/>
        <v>Tujuh Puluh Enam</v>
      </c>
    </row>
    <row r="13438" spans="10:12">
      <c r="J13438" s="31">
        <v>77</v>
      </c>
      <c r="K13438" s="33" t="s">
        <v>152</v>
      </c>
      <c r="L13438" s="31" t="str">
        <f t="shared" si="1297"/>
        <v>Tujuh Puluh Tujuh</v>
      </c>
    </row>
    <row r="13439" spans="10:12">
      <c r="J13439" s="31">
        <v>78</v>
      </c>
      <c r="K13439" s="33" t="s">
        <v>153</v>
      </c>
      <c r="L13439" s="31" t="str">
        <f t="shared" si="1297"/>
        <v>Tujuh Puluh Delapan</v>
      </c>
    </row>
    <row r="13440" spans="10:12">
      <c r="J13440" s="31">
        <v>79</v>
      </c>
      <c r="K13440" s="33" t="s">
        <v>154</v>
      </c>
      <c r="L13440" s="31" t="str">
        <f t="shared" si="1297"/>
        <v>Tujuh Puluh Sembilan</v>
      </c>
    </row>
    <row r="13441" spans="10:12">
      <c r="J13441" s="31">
        <v>80</v>
      </c>
      <c r="K13441" s="33" t="s">
        <v>155</v>
      </c>
      <c r="L13441" s="31" t="s">
        <v>156</v>
      </c>
    </row>
    <row r="13442" spans="10:12">
      <c r="J13442" s="31">
        <v>81</v>
      </c>
      <c r="K13442" s="33" t="s">
        <v>157</v>
      </c>
      <c r="L13442" s="31" t="str">
        <f t="shared" ref="L13442:L13450" si="1298">$L$83&amp;" "&amp;L13362</f>
        <v>Delapan Puluh Satu</v>
      </c>
    </row>
    <row r="13443" spans="10:12">
      <c r="J13443" s="31">
        <v>82</v>
      </c>
      <c r="K13443" s="33" t="s">
        <v>158</v>
      </c>
      <c r="L13443" s="31" t="str">
        <f t="shared" si="1298"/>
        <v>Delapan Puluh Dua</v>
      </c>
    </row>
    <row r="13444" spans="10:12">
      <c r="J13444" s="31">
        <v>83</v>
      </c>
      <c r="K13444" s="33" t="s">
        <v>159</v>
      </c>
      <c r="L13444" s="31" t="str">
        <f t="shared" si="1298"/>
        <v>Delapan Puluh Tiga</v>
      </c>
    </row>
    <row r="13445" spans="10:12">
      <c r="J13445" s="31">
        <v>84</v>
      </c>
      <c r="K13445" s="33" t="s">
        <v>160</v>
      </c>
      <c r="L13445" s="31" t="str">
        <f t="shared" si="1298"/>
        <v>Delapan Puluh Empat</v>
      </c>
    </row>
    <row r="13446" spans="10:12">
      <c r="J13446" s="31">
        <v>85</v>
      </c>
      <c r="K13446" s="33" t="s">
        <v>161</v>
      </c>
      <c r="L13446" s="31" t="str">
        <f t="shared" si="1298"/>
        <v>Delapan Puluh Lima</v>
      </c>
    </row>
    <row r="13447" spans="10:12">
      <c r="J13447" s="31">
        <v>86</v>
      </c>
      <c r="K13447" s="33" t="s">
        <v>162</v>
      </c>
      <c r="L13447" s="31" t="str">
        <f t="shared" si="1298"/>
        <v>Delapan Puluh Enam</v>
      </c>
    </row>
    <row r="13448" spans="10:12">
      <c r="J13448" s="31">
        <v>87</v>
      </c>
      <c r="K13448" s="33" t="s">
        <v>163</v>
      </c>
      <c r="L13448" s="31" t="str">
        <f t="shared" si="1298"/>
        <v>Delapan Puluh Tujuh</v>
      </c>
    </row>
    <row r="13449" spans="10:12">
      <c r="J13449" s="31">
        <v>88</v>
      </c>
      <c r="K13449" s="33" t="s">
        <v>164</v>
      </c>
      <c r="L13449" s="31" t="str">
        <f t="shared" si="1298"/>
        <v>Delapan Puluh Delapan</v>
      </c>
    </row>
    <row r="13450" spans="10:12">
      <c r="J13450" s="31">
        <v>89</v>
      </c>
      <c r="K13450" s="33" t="s">
        <v>165</v>
      </c>
      <c r="L13450" s="31" t="str">
        <f t="shared" si="1298"/>
        <v>Delapan Puluh Sembilan</v>
      </c>
    </row>
    <row r="13451" spans="10:12">
      <c r="J13451" s="31">
        <v>90</v>
      </c>
      <c r="K13451" s="33" t="s">
        <v>166</v>
      </c>
      <c r="L13451" s="31" t="s">
        <v>167</v>
      </c>
    </row>
    <row r="13452" spans="10:12">
      <c r="J13452" s="31">
        <v>91</v>
      </c>
      <c r="K13452" s="33" t="s">
        <v>168</v>
      </c>
      <c r="L13452" s="31" t="str">
        <f t="shared" ref="L13452:L13460" si="1299">$L$93&amp;" "&amp;L13362</f>
        <v>Sembilan Puluh Satu</v>
      </c>
    </row>
    <row r="13453" spans="10:12">
      <c r="J13453" s="31">
        <v>92</v>
      </c>
      <c r="K13453" s="33" t="s">
        <v>169</v>
      </c>
      <c r="L13453" s="31" t="str">
        <f t="shared" si="1299"/>
        <v>Sembilan Puluh Dua</v>
      </c>
    </row>
    <row r="13454" spans="10:12">
      <c r="J13454" s="31">
        <v>93</v>
      </c>
      <c r="K13454" s="33" t="s">
        <v>170</v>
      </c>
      <c r="L13454" s="31" t="str">
        <f t="shared" si="1299"/>
        <v>Sembilan Puluh Tiga</v>
      </c>
    </row>
    <row r="13455" spans="10:12">
      <c r="J13455" s="31">
        <v>94</v>
      </c>
      <c r="K13455" s="33" t="s">
        <v>171</v>
      </c>
      <c r="L13455" s="31" t="str">
        <f t="shared" si="1299"/>
        <v>Sembilan Puluh Empat</v>
      </c>
    </row>
    <row r="13456" spans="10:12">
      <c r="J13456" s="31">
        <v>95</v>
      </c>
      <c r="K13456" s="33" t="s">
        <v>172</v>
      </c>
      <c r="L13456" s="31" t="str">
        <f t="shared" si="1299"/>
        <v>Sembilan Puluh Lima</v>
      </c>
    </row>
    <row r="13457" spans="1:12">
      <c r="J13457" s="31">
        <v>96</v>
      </c>
      <c r="K13457" s="33" t="s">
        <v>173</v>
      </c>
      <c r="L13457" s="31" t="str">
        <f t="shared" si="1299"/>
        <v>Sembilan Puluh Enam</v>
      </c>
    </row>
    <row r="13458" spans="1:12">
      <c r="J13458" s="31">
        <v>97</v>
      </c>
      <c r="K13458" s="33" t="s">
        <v>174</v>
      </c>
      <c r="L13458" s="31" t="str">
        <f t="shared" si="1299"/>
        <v>Sembilan Puluh Tujuh</v>
      </c>
    </row>
    <row r="13459" spans="1:12">
      <c r="J13459" s="31">
        <v>98</v>
      </c>
      <c r="K13459" s="33" t="s">
        <v>175</v>
      </c>
      <c r="L13459" s="31" t="str">
        <f t="shared" si="1299"/>
        <v>Sembilan Puluh Delapan</v>
      </c>
    </row>
    <row r="13460" spans="1:12">
      <c r="J13460" s="31">
        <v>99</v>
      </c>
      <c r="K13460" s="33" t="s">
        <v>176</v>
      </c>
      <c r="L13460" s="31" t="str">
        <f t="shared" si="1299"/>
        <v>Sembilan Puluh Sembilan</v>
      </c>
    </row>
    <row r="13462" spans="1:12">
      <c r="A13462" s="30" t="e">
        <f>#REF!</f>
        <v>#REF!</v>
      </c>
      <c r="C13462" s="31" t="s">
        <v>365</v>
      </c>
    </row>
    <row r="13463" spans="1:12">
      <c r="A13463" s="32"/>
    </row>
    <row r="13464" spans="1:12">
      <c r="J13464" s="31">
        <v>0</v>
      </c>
      <c r="K13464" s="33" t="s">
        <v>48</v>
      </c>
      <c r="L13464" s="31" t="s">
        <v>49</v>
      </c>
    </row>
    <row r="13465" spans="1:12">
      <c r="A13465" s="34"/>
      <c r="J13465" s="31">
        <v>1</v>
      </c>
      <c r="K13465" s="33" t="s">
        <v>50</v>
      </c>
      <c r="L13465" s="31" t="s">
        <v>51</v>
      </c>
    </row>
    <row r="13466" spans="1:12">
      <c r="A13466" s="255" t="e">
        <f>TRIM(D13474&amp;E13474&amp;D13475&amp;E13475&amp;D13476&amp;E13476&amp;D13477&amp;E13477&amp;D13478&amp;E13478&amp;D13479&amp;E13479&amp;E13480&amp;D13480&amp;" Only")</f>
        <v>#REF!</v>
      </c>
      <c r="B13466" s="255"/>
      <c r="C13466" s="255"/>
      <c r="D13466" s="255"/>
      <c r="E13466" s="35"/>
      <c r="F13466" s="36"/>
      <c r="J13466" s="31">
        <v>2</v>
      </c>
      <c r="K13466" s="33" t="s">
        <v>52</v>
      </c>
      <c r="L13466" s="31" t="s">
        <v>53</v>
      </c>
    </row>
    <row r="13467" spans="1:12">
      <c r="A13467" s="37"/>
      <c r="B13467" s="37"/>
      <c r="C13467" s="37"/>
      <c r="D13467" s="37"/>
      <c r="E13467" s="35"/>
      <c r="F13467" s="36"/>
      <c r="J13467" s="31">
        <v>3</v>
      </c>
      <c r="K13467" s="33" t="s">
        <v>54</v>
      </c>
      <c r="L13467" s="31" t="s">
        <v>55</v>
      </c>
    </row>
    <row r="13468" spans="1:12">
      <c r="A13468" s="37"/>
      <c r="B13468" s="37"/>
      <c r="C13468" s="37"/>
      <c r="D13468" s="37"/>
      <c r="J13468" s="31">
        <v>4</v>
      </c>
      <c r="K13468" s="33" t="s">
        <v>56</v>
      </c>
      <c r="L13468" s="31" t="s">
        <v>57</v>
      </c>
    </row>
    <row r="13469" spans="1:12">
      <c r="A13469" s="255" t="e">
        <f>TRIM(D13484&amp;E13484&amp;D13485&amp;E13485&amp;D13486&amp;E13486&amp;D13487&amp;E13487&amp;D13488&amp;E13488&amp;D13489&amp;E13489&amp;D13490&amp;E13490&amp;" Rupiah")</f>
        <v>#REF!</v>
      </c>
      <c r="B13469" s="255"/>
      <c r="C13469" s="255"/>
      <c r="D13469" s="255"/>
      <c r="E13469" s="35"/>
      <c r="F13469" s="36"/>
      <c r="J13469" s="31">
        <v>5</v>
      </c>
      <c r="K13469" s="33" t="s">
        <v>58</v>
      </c>
      <c r="L13469" s="31" t="s">
        <v>59</v>
      </c>
    </row>
    <row r="13470" spans="1:12">
      <c r="A13470" s="35"/>
      <c r="B13470" s="35"/>
      <c r="C13470" s="35"/>
      <c r="D13470" s="35"/>
      <c r="E13470" s="35"/>
      <c r="F13470" s="36"/>
      <c r="J13470" s="31">
        <v>6</v>
      </c>
      <c r="K13470" s="33" t="s">
        <v>60</v>
      </c>
      <c r="L13470" s="31" t="s">
        <v>61</v>
      </c>
    </row>
    <row r="13471" spans="1:12">
      <c r="J13471" s="31">
        <v>7</v>
      </c>
      <c r="K13471" s="33" t="s">
        <v>62</v>
      </c>
      <c r="L13471" s="31" t="s">
        <v>63</v>
      </c>
    </row>
    <row r="13472" spans="1:12">
      <c r="J13472" s="31">
        <v>8</v>
      </c>
      <c r="K13472" s="33" t="s">
        <v>64</v>
      </c>
      <c r="L13472" s="31" t="s">
        <v>65</v>
      </c>
    </row>
    <row r="13473" spans="1:12">
      <c r="A13473" s="38" t="s">
        <v>66</v>
      </c>
      <c r="J13473" s="31">
        <v>9</v>
      </c>
      <c r="K13473" s="33" t="s">
        <v>67</v>
      </c>
      <c r="L13473" s="31" t="s">
        <v>68</v>
      </c>
    </row>
    <row r="13474" spans="1:12">
      <c r="A13474" s="31" t="s">
        <v>69</v>
      </c>
      <c r="B13474" s="39" t="e">
        <f>TRUNC(A13462/100000000)</f>
        <v>#REF!</v>
      </c>
      <c r="C13474" s="31" t="e">
        <f>B13474*100000000</f>
        <v>#REF!</v>
      </c>
      <c r="D13474" s="31" t="e">
        <f t="shared" ref="D13474:D13480" si="1300">IF(B13474&lt;1,"",VLOOKUP(B13474,$J$3:$K$102,2))</f>
        <v>#REF!</v>
      </c>
      <c r="E13474" s="31" t="e">
        <f>IF(B13474&lt;1,"",IF(B13474&gt;1," Hundreds "," Hundred "))</f>
        <v>#REF!</v>
      </c>
      <c r="J13474" s="31">
        <v>10</v>
      </c>
      <c r="K13474" s="33" t="s">
        <v>70</v>
      </c>
      <c r="L13474" s="31" t="s">
        <v>71</v>
      </c>
    </row>
    <row r="13475" spans="1:12">
      <c r="A13475" s="31" t="s">
        <v>72</v>
      </c>
      <c r="B13475" s="39" t="e">
        <f>TRUNC((A13462-C13474)/1000000)</f>
        <v>#REF!</v>
      </c>
      <c r="C13475" s="31" t="e">
        <f>B13475*1000000</f>
        <v>#REF!</v>
      </c>
      <c r="D13475" s="31" t="e">
        <f t="shared" si="1300"/>
        <v>#REF!</v>
      </c>
      <c r="E13475" s="31" t="e">
        <f>IF(B13474+B13475=0,"",IF(B13475=1," Million "," Millions "))</f>
        <v>#REF!</v>
      </c>
      <c r="J13475" s="31">
        <v>11</v>
      </c>
      <c r="K13475" s="33" t="s">
        <v>73</v>
      </c>
      <c r="L13475" s="31" t="s">
        <v>74</v>
      </c>
    </row>
    <row r="13476" spans="1:12">
      <c r="A13476" s="31" t="s">
        <v>75</v>
      </c>
      <c r="B13476" s="39" t="e">
        <f>TRUNC((A13462-SUM(C13474:C13475))/100000)</f>
        <v>#REF!</v>
      </c>
      <c r="C13476" s="31" t="e">
        <f>B13476*100000</f>
        <v>#REF!</v>
      </c>
      <c r="D13476" s="31" t="e">
        <f t="shared" si="1300"/>
        <v>#REF!</v>
      </c>
      <c r="E13476" s="31" t="e">
        <f>IF(B13476&lt;1,"",IF(B13476&gt;1," Hundreds "," Hundred "))</f>
        <v>#REF!</v>
      </c>
      <c r="J13476" s="31">
        <v>12</v>
      </c>
      <c r="K13476" s="33" t="s">
        <v>76</v>
      </c>
      <c r="L13476" s="31" t="str">
        <f t="shared" ref="L13476:L13483" si="1301">L13466&amp;" Belas"</f>
        <v>Dua Belas</v>
      </c>
    </row>
    <row r="13477" spans="1:12">
      <c r="A13477" s="33" t="s">
        <v>77</v>
      </c>
      <c r="B13477" s="40" t="e">
        <f>TRUNC((A13462-SUM(C13474:C13476))/1000)</f>
        <v>#REF!</v>
      </c>
      <c r="C13477" s="31" t="e">
        <f>B13477*1000</f>
        <v>#REF!</v>
      </c>
      <c r="D13477" s="31" t="e">
        <f t="shared" si="1300"/>
        <v>#REF!</v>
      </c>
      <c r="E13477" s="31" t="e">
        <f>IF(B13476+B13477=0,"",IF(B13477=1," Thousand "," Thousands "))</f>
        <v>#REF!</v>
      </c>
      <c r="J13477" s="31">
        <v>13</v>
      </c>
      <c r="K13477" s="33" t="s">
        <v>78</v>
      </c>
      <c r="L13477" s="31" t="str">
        <f t="shared" si="1301"/>
        <v>Tiga Belas</v>
      </c>
    </row>
    <row r="13478" spans="1:12">
      <c r="A13478" s="33" t="s">
        <v>79</v>
      </c>
      <c r="B13478" s="40" t="e">
        <f>TRUNC((A13462-SUM(C13474:C13477))/100)</f>
        <v>#REF!</v>
      </c>
      <c r="C13478" s="31" t="e">
        <f>B13478*100</f>
        <v>#REF!</v>
      </c>
      <c r="D13478" s="31" t="e">
        <f t="shared" si="1300"/>
        <v>#REF!</v>
      </c>
      <c r="E13478" s="31" t="e">
        <f>IF(B13478&lt;1,"",IF(B13478&gt;1," Hundreds "," Hundred "))</f>
        <v>#REF!</v>
      </c>
      <c r="J13478" s="31">
        <v>14</v>
      </c>
      <c r="K13478" s="33" t="s">
        <v>80</v>
      </c>
      <c r="L13478" s="31" t="str">
        <f t="shared" si="1301"/>
        <v>Empat Belas</v>
      </c>
    </row>
    <row r="13479" spans="1:12">
      <c r="A13479" s="33" t="s">
        <v>81</v>
      </c>
      <c r="B13479" s="41" t="e">
        <f>TRUNC((A13462-SUM(C13474:C13478)))</f>
        <v>#REF!</v>
      </c>
      <c r="C13479" s="42" t="e">
        <f>B13479</f>
        <v>#REF!</v>
      </c>
      <c r="D13479" s="31" t="e">
        <f t="shared" si="1300"/>
        <v>#REF!</v>
      </c>
      <c r="E13479" s="31" t="e">
        <f>IF(SUM(C13474:C13479)&lt;1,"",IF(B13480&lt;1,""," And "))</f>
        <v>#REF!</v>
      </c>
      <c r="J13479" s="31">
        <v>15</v>
      </c>
      <c r="K13479" s="33" t="s">
        <v>82</v>
      </c>
      <c r="L13479" s="31" t="str">
        <f t="shared" si="1301"/>
        <v>Lima Belas</v>
      </c>
    </row>
    <row r="13480" spans="1:12">
      <c r="A13480" s="33" t="s">
        <v>83</v>
      </c>
      <c r="B13480" s="40" t="e">
        <f>ROUND(A13462-SUM(C13474:C13479),2)*100</f>
        <v>#REF!</v>
      </c>
      <c r="D13480" s="43" t="e">
        <f t="shared" si="1300"/>
        <v>#REF!</v>
      </c>
      <c r="E13480" s="31" t="e">
        <f>IF(B13480&lt;1,"",IF(B13480=1," Cent "," Cents "))</f>
        <v>#REF!</v>
      </c>
      <c r="J13480" s="31">
        <v>16</v>
      </c>
      <c r="K13480" s="33" t="s">
        <v>84</v>
      </c>
      <c r="L13480" s="31" t="str">
        <f t="shared" si="1301"/>
        <v>Enam Belas</v>
      </c>
    </row>
    <row r="13481" spans="1:12">
      <c r="J13481" s="31">
        <v>17</v>
      </c>
      <c r="K13481" s="33" t="s">
        <v>85</v>
      </c>
      <c r="L13481" s="31" t="str">
        <f t="shared" si="1301"/>
        <v>Tujuh Belas</v>
      </c>
    </row>
    <row r="13482" spans="1:12">
      <c r="A13482" s="44"/>
      <c r="J13482" s="31">
        <v>18</v>
      </c>
      <c r="K13482" s="33" t="s">
        <v>86</v>
      </c>
      <c r="L13482" s="31" t="str">
        <f t="shared" si="1301"/>
        <v>Delapan Belas</v>
      </c>
    </row>
    <row r="13483" spans="1:12">
      <c r="A13483" s="38" t="s">
        <v>87</v>
      </c>
      <c r="J13483" s="31">
        <v>19</v>
      </c>
      <c r="K13483" s="33" t="s">
        <v>88</v>
      </c>
      <c r="L13483" s="31" t="str">
        <f t="shared" si="1301"/>
        <v>Sembilan Belas</v>
      </c>
    </row>
    <row r="13484" spans="1:12">
      <c r="A13484" s="31" t="s">
        <v>69</v>
      </c>
      <c r="B13484" s="39" t="e">
        <f>TRUNC(A13462/100000000)</f>
        <v>#REF!</v>
      </c>
      <c r="C13484" s="31" t="e">
        <f>B13484*100000000</f>
        <v>#REF!</v>
      </c>
      <c r="D13484" s="31" t="e">
        <f>IF(B13484&lt;1,"",IF(B13484=1,"",VLOOKUP(B13484,$J$3:$L$102,3)))</f>
        <v>#REF!</v>
      </c>
      <c r="E13484" s="31" t="e">
        <f>IF(B13484&lt;1,"",IF(B13484=1,"Seratus "," Ratus "))</f>
        <v>#REF!</v>
      </c>
      <c r="J13484" s="31">
        <v>20</v>
      </c>
      <c r="K13484" s="33" t="s">
        <v>89</v>
      </c>
      <c r="L13484" s="31" t="s">
        <v>90</v>
      </c>
    </row>
    <row r="13485" spans="1:12">
      <c r="A13485" s="31" t="s">
        <v>72</v>
      </c>
      <c r="B13485" s="39" t="e">
        <f>TRUNC((A13462-C13484)/1000000)</f>
        <v>#REF!</v>
      </c>
      <c r="C13485" s="31" t="e">
        <f>B13485*1000000</f>
        <v>#REF!</v>
      </c>
      <c r="D13485" s="31" t="e">
        <f>IF(B13485&lt;1,"",VLOOKUP(B13485,$J$3:$L$102,3))</f>
        <v>#REF!</v>
      </c>
      <c r="E13485" s="31" t="e">
        <f>IF(B13484+B13485=0,""," Juta ")</f>
        <v>#REF!</v>
      </c>
      <c r="J13485" s="31">
        <v>21</v>
      </c>
      <c r="K13485" s="33" t="s">
        <v>91</v>
      </c>
      <c r="L13485" s="31" t="str">
        <f t="shared" ref="L13485:L13493" si="1302">$L$23&amp;" "&amp;L13465</f>
        <v>Dua Puluh Satu</v>
      </c>
    </row>
    <row r="13486" spans="1:12">
      <c r="A13486" s="31" t="s">
        <v>75</v>
      </c>
      <c r="B13486" s="39" t="e">
        <f>TRUNC((A13462-SUM(C13484:C13485))/100000)</f>
        <v>#REF!</v>
      </c>
      <c r="C13486" s="31" t="e">
        <f>B13486*100000</f>
        <v>#REF!</v>
      </c>
      <c r="D13486" s="31" t="e">
        <f>IF(B13486&lt;1,"",IF(B13486=1,"",VLOOKUP(B13486,$J$3:$L$102,3)))</f>
        <v>#REF!</v>
      </c>
      <c r="E13486" s="31" t="e">
        <f>IF(B13486&lt;1,"",IF(B13486=1," Seratus "," Ratus "))</f>
        <v>#REF!</v>
      </c>
      <c r="J13486" s="31">
        <v>22</v>
      </c>
      <c r="K13486" s="33" t="s">
        <v>92</v>
      </c>
      <c r="L13486" s="31" t="str">
        <f t="shared" si="1302"/>
        <v>Dua Puluh Dua</v>
      </c>
    </row>
    <row r="13487" spans="1:12">
      <c r="A13487" s="33" t="s">
        <v>77</v>
      </c>
      <c r="B13487" s="40" t="e">
        <f>TRUNC((A13462-SUM(C13484:C13486))/1000)</f>
        <v>#REF!</v>
      </c>
      <c r="C13487" s="31" t="e">
        <f>B13487*1000</f>
        <v>#REF!</v>
      </c>
      <c r="D13487" s="31" t="e">
        <f>IF(B13487&lt;1,"",IF(B13487=1,"",VLOOKUP(B13487,$J$3:$L$102,3)))</f>
        <v>#REF!</v>
      </c>
      <c r="E13487" s="31" t="e">
        <f>IF(B13486+B13487&lt;1,"",IF(B13487=1," Seribu "," Ribu "))</f>
        <v>#REF!</v>
      </c>
      <c r="J13487" s="31">
        <v>23</v>
      </c>
      <c r="K13487" s="33" t="s">
        <v>93</v>
      </c>
      <c r="L13487" s="31" t="str">
        <f t="shared" si="1302"/>
        <v>Dua Puluh Tiga</v>
      </c>
    </row>
    <row r="13488" spans="1:12">
      <c r="A13488" s="33" t="s">
        <v>79</v>
      </c>
      <c r="B13488" s="40" t="e">
        <f>TRUNC((A13462-SUM(C13484:C13487))/100)</f>
        <v>#REF!</v>
      </c>
      <c r="C13488" s="31" t="e">
        <f>B13488*100</f>
        <v>#REF!</v>
      </c>
      <c r="D13488" s="31" t="e">
        <f>IF(B13488&lt;1,"",IF(B13488=1,"",VLOOKUP(B13488,$J$3:$L$102,3)))</f>
        <v>#REF!</v>
      </c>
      <c r="E13488" s="31" t="e">
        <f>IF(B13488&lt;1,"",IF(B13488=1," Seratus "," Ratus "))</f>
        <v>#REF!</v>
      </c>
      <c r="J13488" s="31">
        <v>24</v>
      </c>
      <c r="K13488" s="33" t="s">
        <v>94</v>
      </c>
      <c r="L13488" s="31" t="str">
        <f t="shared" si="1302"/>
        <v>Dua Puluh Empat</v>
      </c>
    </row>
    <row r="13489" spans="1:12">
      <c r="A13489" s="33" t="s">
        <v>81</v>
      </c>
      <c r="B13489" s="41" t="e">
        <f>TRUNC((A13462-SUM(C13484:C13488)))</f>
        <v>#REF!</v>
      </c>
      <c r="C13489" s="42" t="e">
        <f>B13489</f>
        <v>#REF!</v>
      </c>
      <c r="D13489" s="31" t="e">
        <f>IF(B13489&lt;1,"",VLOOKUP(B13489,$J$3:$L$102,3))</f>
        <v>#REF!</v>
      </c>
      <c r="E13489" s="31" t="e">
        <f>IF(SUM(C13484:C13489)&lt;1,"",IF(B13490&lt;1,""," Dan "))</f>
        <v>#REF!</v>
      </c>
      <c r="J13489" s="31">
        <v>25</v>
      </c>
      <c r="K13489" s="33" t="s">
        <v>95</v>
      </c>
      <c r="L13489" s="31" t="str">
        <f t="shared" si="1302"/>
        <v>Dua Puluh Lima</v>
      </c>
    </row>
    <row r="13490" spans="1:12">
      <c r="A13490" s="33" t="s">
        <v>83</v>
      </c>
      <c r="B13490" s="40" t="e">
        <f>ROUND(A13462-SUM(C13484:C13489),2)*100</f>
        <v>#REF!</v>
      </c>
      <c r="D13490" s="31" t="e">
        <f>IF(B13490&lt;1,"",VLOOKUP(B13490,$J$3:$L$102,3))</f>
        <v>#REF!</v>
      </c>
      <c r="E13490" s="31" t="e">
        <f>IF(B13490&lt;1,""," Sen ")</f>
        <v>#REF!</v>
      </c>
      <c r="J13490" s="31">
        <v>26</v>
      </c>
      <c r="K13490" s="33" t="s">
        <v>96</v>
      </c>
      <c r="L13490" s="31" t="str">
        <f t="shared" si="1302"/>
        <v>Dua Puluh Enam</v>
      </c>
    </row>
    <row r="13491" spans="1:12">
      <c r="J13491" s="31">
        <v>27</v>
      </c>
      <c r="K13491" s="33" t="s">
        <v>97</v>
      </c>
      <c r="L13491" s="31" t="str">
        <f t="shared" si="1302"/>
        <v>Dua Puluh Tujuh</v>
      </c>
    </row>
    <row r="13492" spans="1:12">
      <c r="J13492" s="31">
        <v>28</v>
      </c>
      <c r="K13492" s="33" t="s">
        <v>98</v>
      </c>
      <c r="L13492" s="31" t="str">
        <f t="shared" si="1302"/>
        <v>Dua Puluh Delapan</v>
      </c>
    </row>
    <row r="13493" spans="1:12">
      <c r="J13493" s="31">
        <v>29</v>
      </c>
      <c r="K13493" s="33" t="s">
        <v>99</v>
      </c>
      <c r="L13493" s="31" t="str">
        <f t="shared" si="1302"/>
        <v>Dua Puluh Sembilan</v>
      </c>
    </row>
    <row r="13494" spans="1:12">
      <c r="J13494" s="31">
        <v>30</v>
      </c>
      <c r="K13494" s="33" t="s">
        <v>100</v>
      </c>
      <c r="L13494" s="31" t="s">
        <v>101</v>
      </c>
    </row>
    <row r="13495" spans="1:12">
      <c r="J13495" s="31">
        <v>31</v>
      </c>
      <c r="K13495" s="33" t="s">
        <v>102</v>
      </c>
      <c r="L13495" s="31" t="str">
        <f t="shared" ref="L13495:L13503" si="1303">$L$33&amp;" "&amp;L13465</f>
        <v>Tiga Puluh Satu</v>
      </c>
    </row>
    <row r="13496" spans="1:12">
      <c r="J13496" s="31">
        <v>32</v>
      </c>
      <c r="K13496" s="33" t="s">
        <v>103</v>
      </c>
      <c r="L13496" s="31" t="str">
        <f t="shared" si="1303"/>
        <v>Tiga Puluh Dua</v>
      </c>
    </row>
    <row r="13497" spans="1:12">
      <c r="J13497" s="31">
        <v>33</v>
      </c>
      <c r="K13497" s="33" t="s">
        <v>104</v>
      </c>
      <c r="L13497" s="31" t="str">
        <f t="shared" si="1303"/>
        <v>Tiga Puluh Tiga</v>
      </c>
    </row>
    <row r="13498" spans="1:12">
      <c r="J13498" s="31">
        <v>34</v>
      </c>
      <c r="K13498" s="33" t="s">
        <v>105</v>
      </c>
      <c r="L13498" s="31" t="str">
        <f t="shared" si="1303"/>
        <v>Tiga Puluh Empat</v>
      </c>
    </row>
    <row r="13499" spans="1:12">
      <c r="J13499" s="31">
        <v>35</v>
      </c>
      <c r="K13499" s="33" t="s">
        <v>106</v>
      </c>
      <c r="L13499" s="31" t="str">
        <f t="shared" si="1303"/>
        <v>Tiga Puluh Lima</v>
      </c>
    </row>
    <row r="13500" spans="1:12">
      <c r="J13500" s="31">
        <v>36</v>
      </c>
      <c r="K13500" s="33" t="s">
        <v>107</v>
      </c>
      <c r="L13500" s="31" t="str">
        <f t="shared" si="1303"/>
        <v>Tiga Puluh Enam</v>
      </c>
    </row>
    <row r="13501" spans="1:12">
      <c r="J13501" s="31">
        <v>37</v>
      </c>
      <c r="K13501" s="33" t="s">
        <v>108</v>
      </c>
      <c r="L13501" s="31" t="str">
        <f t="shared" si="1303"/>
        <v>Tiga Puluh Tujuh</v>
      </c>
    </row>
    <row r="13502" spans="1:12">
      <c r="J13502" s="31">
        <v>38</v>
      </c>
      <c r="K13502" s="33" t="s">
        <v>109</v>
      </c>
      <c r="L13502" s="31" t="str">
        <f t="shared" si="1303"/>
        <v>Tiga Puluh Delapan</v>
      </c>
    </row>
    <row r="13503" spans="1:12">
      <c r="J13503" s="31">
        <v>39</v>
      </c>
      <c r="K13503" s="33" t="s">
        <v>110</v>
      </c>
      <c r="L13503" s="31" t="str">
        <f t="shared" si="1303"/>
        <v>Tiga Puluh Sembilan</v>
      </c>
    </row>
    <row r="13504" spans="1:12">
      <c r="B13504" s="35"/>
      <c r="C13504" s="35"/>
      <c r="D13504" s="35"/>
      <c r="J13504" s="31">
        <v>40</v>
      </c>
      <c r="K13504" s="33" t="s">
        <v>111</v>
      </c>
      <c r="L13504" s="31" t="s">
        <v>112</v>
      </c>
    </row>
    <row r="13505" spans="1:12">
      <c r="A13505" s="35"/>
      <c r="B13505" s="35"/>
      <c r="C13505" s="35"/>
      <c r="D13505" s="35"/>
      <c r="J13505" s="31">
        <v>41</v>
      </c>
      <c r="K13505" s="33" t="s">
        <v>113</v>
      </c>
      <c r="L13505" s="31" t="str">
        <f t="shared" ref="L13505:L13513" si="1304">$L$43&amp;" "&amp;L13465</f>
        <v>Empat Puluh Satu</v>
      </c>
    </row>
    <row r="13506" spans="1:12">
      <c r="J13506" s="31">
        <v>42</v>
      </c>
      <c r="K13506" s="33" t="s">
        <v>114</v>
      </c>
      <c r="L13506" s="31" t="str">
        <f t="shared" si="1304"/>
        <v>Empat Puluh Dua</v>
      </c>
    </row>
    <row r="13507" spans="1:12">
      <c r="A13507" s="38"/>
      <c r="J13507" s="31">
        <v>43</v>
      </c>
      <c r="K13507" s="33" t="s">
        <v>115</v>
      </c>
      <c r="L13507" s="31" t="str">
        <f t="shared" si="1304"/>
        <v>Empat Puluh Tiga</v>
      </c>
    </row>
    <row r="13508" spans="1:12">
      <c r="J13508" s="31">
        <v>44</v>
      </c>
      <c r="K13508" s="33" t="s">
        <v>116</v>
      </c>
      <c r="L13508" s="31" t="str">
        <f t="shared" si="1304"/>
        <v>Empat Puluh Empat</v>
      </c>
    </row>
    <row r="13509" spans="1:12">
      <c r="J13509" s="31">
        <v>45</v>
      </c>
      <c r="K13509" s="33" t="s">
        <v>117</v>
      </c>
      <c r="L13509" s="31" t="str">
        <f t="shared" si="1304"/>
        <v>Empat Puluh Lima</v>
      </c>
    </row>
    <row r="13510" spans="1:12">
      <c r="J13510" s="31">
        <v>46</v>
      </c>
      <c r="K13510" s="33" t="s">
        <v>118</v>
      </c>
      <c r="L13510" s="31" t="str">
        <f t="shared" si="1304"/>
        <v>Empat Puluh Enam</v>
      </c>
    </row>
    <row r="13511" spans="1:12">
      <c r="J13511" s="31">
        <v>47</v>
      </c>
      <c r="K13511" s="33" t="s">
        <v>119</v>
      </c>
      <c r="L13511" s="31" t="str">
        <f t="shared" si="1304"/>
        <v>Empat Puluh Tujuh</v>
      </c>
    </row>
    <row r="13512" spans="1:12">
      <c r="J13512" s="31">
        <v>48</v>
      </c>
      <c r="K13512" s="33" t="s">
        <v>120</v>
      </c>
      <c r="L13512" s="31" t="str">
        <f t="shared" si="1304"/>
        <v>Empat Puluh Delapan</v>
      </c>
    </row>
    <row r="13513" spans="1:12">
      <c r="J13513" s="31">
        <v>49</v>
      </c>
      <c r="K13513" s="33" t="s">
        <v>121</v>
      </c>
      <c r="L13513" s="31" t="str">
        <f t="shared" si="1304"/>
        <v>Empat Puluh Sembilan</v>
      </c>
    </row>
    <row r="13514" spans="1:12">
      <c r="J13514" s="31">
        <v>50</v>
      </c>
      <c r="K13514" s="33" t="s">
        <v>122</v>
      </c>
      <c r="L13514" s="31" t="s">
        <v>123</v>
      </c>
    </row>
    <row r="13515" spans="1:12">
      <c r="J13515" s="31">
        <v>51</v>
      </c>
      <c r="K13515" s="33" t="s">
        <v>124</v>
      </c>
      <c r="L13515" s="31" t="str">
        <f t="shared" ref="L13515:L13523" si="1305">$L$53&amp;" "&amp;L13465</f>
        <v>Lima Puluh Satu</v>
      </c>
    </row>
    <row r="13516" spans="1:12">
      <c r="J13516" s="31">
        <v>52</v>
      </c>
      <c r="K13516" s="33" t="s">
        <v>125</v>
      </c>
      <c r="L13516" s="31" t="str">
        <f t="shared" si="1305"/>
        <v>Lima Puluh Dua</v>
      </c>
    </row>
    <row r="13517" spans="1:12">
      <c r="J13517" s="31">
        <v>53</v>
      </c>
      <c r="K13517" s="33" t="s">
        <v>126</v>
      </c>
      <c r="L13517" s="31" t="str">
        <f t="shared" si="1305"/>
        <v>Lima Puluh Tiga</v>
      </c>
    </row>
    <row r="13518" spans="1:12">
      <c r="J13518" s="31">
        <v>54</v>
      </c>
      <c r="K13518" s="33" t="s">
        <v>127</v>
      </c>
      <c r="L13518" s="31" t="str">
        <f t="shared" si="1305"/>
        <v>Lima Puluh Empat</v>
      </c>
    </row>
    <row r="13519" spans="1:12">
      <c r="J13519" s="31">
        <v>55</v>
      </c>
      <c r="K13519" s="33" t="s">
        <v>128</v>
      </c>
      <c r="L13519" s="31" t="str">
        <f t="shared" si="1305"/>
        <v>Lima Puluh Lima</v>
      </c>
    </row>
    <row r="13520" spans="1:12">
      <c r="J13520" s="31">
        <v>56</v>
      </c>
      <c r="K13520" s="33" t="s">
        <v>129</v>
      </c>
      <c r="L13520" s="31" t="str">
        <f t="shared" si="1305"/>
        <v>Lima Puluh Enam</v>
      </c>
    </row>
    <row r="13521" spans="10:12">
      <c r="J13521" s="31">
        <v>57</v>
      </c>
      <c r="K13521" s="33" t="s">
        <v>130</v>
      </c>
      <c r="L13521" s="31" t="str">
        <f t="shared" si="1305"/>
        <v>Lima Puluh Tujuh</v>
      </c>
    </row>
    <row r="13522" spans="10:12">
      <c r="J13522" s="31">
        <v>58</v>
      </c>
      <c r="K13522" s="33" t="s">
        <v>131</v>
      </c>
      <c r="L13522" s="31" t="str">
        <f t="shared" si="1305"/>
        <v>Lima Puluh Delapan</v>
      </c>
    </row>
    <row r="13523" spans="10:12">
      <c r="J13523" s="31">
        <v>59</v>
      </c>
      <c r="K13523" s="33" t="s">
        <v>132</v>
      </c>
      <c r="L13523" s="31" t="str">
        <f t="shared" si="1305"/>
        <v>Lima Puluh Sembilan</v>
      </c>
    </row>
    <row r="13524" spans="10:12">
      <c r="J13524" s="31">
        <v>60</v>
      </c>
      <c r="K13524" s="33" t="s">
        <v>133</v>
      </c>
      <c r="L13524" s="31" t="s">
        <v>134</v>
      </c>
    </row>
    <row r="13525" spans="10:12">
      <c r="J13525" s="31">
        <v>61</v>
      </c>
      <c r="K13525" s="33" t="s">
        <v>135</v>
      </c>
      <c r="L13525" s="31" t="str">
        <f t="shared" ref="L13525:L13533" si="1306">$L$63&amp;" "&amp;L13465</f>
        <v>Enam Puluh Satu</v>
      </c>
    </row>
    <row r="13526" spans="10:12">
      <c r="J13526" s="31">
        <v>62</v>
      </c>
      <c r="K13526" s="33" t="s">
        <v>136</v>
      </c>
      <c r="L13526" s="31" t="str">
        <f t="shared" si="1306"/>
        <v>Enam Puluh Dua</v>
      </c>
    </row>
    <row r="13527" spans="10:12">
      <c r="J13527" s="31">
        <v>63</v>
      </c>
      <c r="K13527" s="33" t="s">
        <v>137</v>
      </c>
      <c r="L13527" s="31" t="str">
        <f t="shared" si="1306"/>
        <v>Enam Puluh Tiga</v>
      </c>
    </row>
    <row r="13528" spans="10:12">
      <c r="J13528" s="31">
        <v>64</v>
      </c>
      <c r="K13528" s="33" t="s">
        <v>138</v>
      </c>
      <c r="L13528" s="31" t="str">
        <f t="shared" si="1306"/>
        <v>Enam Puluh Empat</v>
      </c>
    </row>
    <row r="13529" spans="10:12">
      <c r="J13529" s="31">
        <v>65</v>
      </c>
      <c r="K13529" s="33" t="s">
        <v>139</v>
      </c>
      <c r="L13529" s="31" t="str">
        <f t="shared" si="1306"/>
        <v>Enam Puluh Lima</v>
      </c>
    </row>
    <row r="13530" spans="10:12">
      <c r="J13530" s="31">
        <v>66</v>
      </c>
      <c r="K13530" s="33" t="s">
        <v>140</v>
      </c>
      <c r="L13530" s="31" t="str">
        <f t="shared" si="1306"/>
        <v>Enam Puluh Enam</v>
      </c>
    </row>
    <row r="13531" spans="10:12">
      <c r="J13531" s="31">
        <v>67</v>
      </c>
      <c r="K13531" s="33" t="s">
        <v>141</v>
      </c>
      <c r="L13531" s="31" t="str">
        <f t="shared" si="1306"/>
        <v>Enam Puluh Tujuh</v>
      </c>
    </row>
    <row r="13532" spans="10:12">
      <c r="J13532" s="31">
        <v>68</v>
      </c>
      <c r="K13532" s="33" t="s">
        <v>142</v>
      </c>
      <c r="L13532" s="31" t="str">
        <f t="shared" si="1306"/>
        <v>Enam Puluh Delapan</v>
      </c>
    </row>
    <row r="13533" spans="10:12">
      <c r="J13533" s="31">
        <v>69</v>
      </c>
      <c r="K13533" s="33" t="s">
        <v>143</v>
      </c>
      <c r="L13533" s="31" t="str">
        <f t="shared" si="1306"/>
        <v>Enam Puluh Sembilan</v>
      </c>
    </row>
    <row r="13534" spans="10:12">
      <c r="J13534" s="31">
        <v>70</v>
      </c>
      <c r="K13534" s="33" t="s">
        <v>144</v>
      </c>
      <c r="L13534" s="31" t="s">
        <v>145</v>
      </c>
    </row>
    <row r="13535" spans="10:12">
      <c r="J13535" s="31">
        <v>71</v>
      </c>
      <c r="K13535" s="33" t="s">
        <v>146</v>
      </c>
      <c r="L13535" s="31" t="str">
        <f t="shared" ref="L13535:L13543" si="1307">$L$73&amp;" "&amp;L13465</f>
        <v>Tujuh Puluh Satu</v>
      </c>
    </row>
    <row r="13536" spans="10:12">
      <c r="J13536" s="31">
        <v>72</v>
      </c>
      <c r="K13536" s="33" t="s">
        <v>147</v>
      </c>
      <c r="L13536" s="31" t="str">
        <f t="shared" si="1307"/>
        <v>Tujuh Puluh Dua</v>
      </c>
    </row>
    <row r="13537" spans="10:12">
      <c r="J13537" s="31">
        <v>73</v>
      </c>
      <c r="K13537" s="33" t="s">
        <v>148</v>
      </c>
      <c r="L13537" s="31" t="str">
        <f t="shared" si="1307"/>
        <v>Tujuh Puluh Tiga</v>
      </c>
    </row>
    <row r="13538" spans="10:12">
      <c r="J13538" s="31">
        <v>74</v>
      </c>
      <c r="K13538" s="33" t="s">
        <v>149</v>
      </c>
      <c r="L13538" s="31" t="str">
        <f t="shared" si="1307"/>
        <v>Tujuh Puluh Empat</v>
      </c>
    </row>
    <row r="13539" spans="10:12">
      <c r="J13539" s="31">
        <v>75</v>
      </c>
      <c r="K13539" s="33" t="s">
        <v>150</v>
      </c>
      <c r="L13539" s="31" t="str">
        <f t="shared" si="1307"/>
        <v>Tujuh Puluh Lima</v>
      </c>
    </row>
    <row r="13540" spans="10:12">
      <c r="J13540" s="31">
        <v>76</v>
      </c>
      <c r="K13540" s="33" t="s">
        <v>151</v>
      </c>
      <c r="L13540" s="31" t="str">
        <f t="shared" si="1307"/>
        <v>Tujuh Puluh Enam</v>
      </c>
    </row>
    <row r="13541" spans="10:12">
      <c r="J13541" s="31">
        <v>77</v>
      </c>
      <c r="K13541" s="33" t="s">
        <v>152</v>
      </c>
      <c r="L13541" s="31" t="str">
        <f t="shared" si="1307"/>
        <v>Tujuh Puluh Tujuh</v>
      </c>
    </row>
    <row r="13542" spans="10:12">
      <c r="J13542" s="31">
        <v>78</v>
      </c>
      <c r="K13542" s="33" t="s">
        <v>153</v>
      </c>
      <c r="L13542" s="31" t="str">
        <f t="shared" si="1307"/>
        <v>Tujuh Puluh Delapan</v>
      </c>
    </row>
    <row r="13543" spans="10:12">
      <c r="J13543" s="31">
        <v>79</v>
      </c>
      <c r="K13543" s="33" t="s">
        <v>154</v>
      </c>
      <c r="L13543" s="31" t="str">
        <f t="shared" si="1307"/>
        <v>Tujuh Puluh Sembilan</v>
      </c>
    </row>
    <row r="13544" spans="10:12">
      <c r="J13544" s="31">
        <v>80</v>
      </c>
      <c r="K13544" s="33" t="s">
        <v>155</v>
      </c>
      <c r="L13544" s="31" t="s">
        <v>156</v>
      </c>
    </row>
    <row r="13545" spans="10:12">
      <c r="J13545" s="31">
        <v>81</v>
      </c>
      <c r="K13545" s="33" t="s">
        <v>157</v>
      </c>
      <c r="L13545" s="31" t="str">
        <f t="shared" ref="L13545:L13553" si="1308">$L$83&amp;" "&amp;L13465</f>
        <v>Delapan Puluh Satu</v>
      </c>
    </row>
    <row r="13546" spans="10:12">
      <c r="J13546" s="31">
        <v>82</v>
      </c>
      <c r="K13546" s="33" t="s">
        <v>158</v>
      </c>
      <c r="L13546" s="31" t="str">
        <f t="shared" si="1308"/>
        <v>Delapan Puluh Dua</v>
      </c>
    </row>
    <row r="13547" spans="10:12">
      <c r="J13547" s="31">
        <v>83</v>
      </c>
      <c r="K13547" s="33" t="s">
        <v>159</v>
      </c>
      <c r="L13547" s="31" t="str">
        <f t="shared" si="1308"/>
        <v>Delapan Puluh Tiga</v>
      </c>
    </row>
    <row r="13548" spans="10:12">
      <c r="J13548" s="31">
        <v>84</v>
      </c>
      <c r="K13548" s="33" t="s">
        <v>160</v>
      </c>
      <c r="L13548" s="31" t="str">
        <f t="shared" si="1308"/>
        <v>Delapan Puluh Empat</v>
      </c>
    </row>
    <row r="13549" spans="10:12">
      <c r="J13549" s="31">
        <v>85</v>
      </c>
      <c r="K13549" s="33" t="s">
        <v>161</v>
      </c>
      <c r="L13549" s="31" t="str">
        <f t="shared" si="1308"/>
        <v>Delapan Puluh Lima</v>
      </c>
    </row>
    <row r="13550" spans="10:12">
      <c r="J13550" s="31">
        <v>86</v>
      </c>
      <c r="K13550" s="33" t="s">
        <v>162</v>
      </c>
      <c r="L13550" s="31" t="str">
        <f t="shared" si="1308"/>
        <v>Delapan Puluh Enam</v>
      </c>
    </row>
    <row r="13551" spans="10:12">
      <c r="J13551" s="31">
        <v>87</v>
      </c>
      <c r="K13551" s="33" t="s">
        <v>163</v>
      </c>
      <c r="L13551" s="31" t="str">
        <f t="shared" si="1308"/>
        <v>Delapan Puluh Tujuh</v>
      </c>
    </row>
    <row r="13552" spans="10:12">
      <c r="J13552" s="31">
        <v>88</v>
      </c>
      <c r="K13552" s="33" t="s">
        <v>164</v>
      </c>
      <c r="L13552" s="31" t="str">
        <f t="shared" si="1308"/>
        <v>Delapan Puluh Delapan</v>
      </c>
    </row>
    <row r="13553" spans="1:12">
      <c r="J13553" s="31">
        <v>89</v>
      </c>
      <c r="K13553" s="33" t="s">
        <v>165</v>
      </c>
      <c r="L13553" s="31" t="str">
        <f t="shared" si="1308"/>
        <v>Delapan Puluh Sembilan</v>
      </c>
    </row>
    <row r="13554" spans="1:12">
      <c r="J13554" s="31">
        <v>90</v>
      </c>
      <c r="K13554" s="33" t="s">
        <v>166</v>
      </c>
      <c r="L13554" s="31" t="s">
        <v>167</v>
      </c>
    </row>
    <row r="13555" spans="1:12">
      <c r="J13555" s="31">
        <v>91</v>
      </c>
      <c r="K13555" s="33" t="s">
        <v>168</v>
      </c>
      <c r="L13555" s="31" t="str">
        <f t="shared" ref="L13555:L13563" si="1309">$L$93&amp;" "&amp;L13465</f>
        <v>Sembilan Puluh Satu</v>
      </c>
    </row>
    <row r="13556" spans="1:12">
      <c r="J13556" s="31">
        <v>92</v>
      </c>
      <c r="K13556" s="33" t="s">
        <v>169</v>
      </c>
      <c r="L13556" s="31" t="str">
        <f t="shared" si="1309"/>
        <v>Sembilan Puluh Dua</v>
      </c>
    </row>
    <row r="13557" spans="1:12">
      <c r="J13557" s="31">
        <v>93</v>
      </c>
      <c r="K13557" s="33" t="s">
        <v>170</v>
      </c>
      <c r="L13557" s="31" t="str">
        <f t="shared" si="1309"/>
        <v>Sembilan Puluh Tiga</v>
      </c>
    </row>
    <row r="13558" spans="1:12">
      <c r="J13558" s="31">
        <v>94</v>
      </c>
      <c r="K13558" s="33" t="s">
        <v>171</v>
      </c>
      <c r="L13558" s="31" t="str">
        <f t="shared" si="1309"/>
        <v>Sembilan Puluh Empat</v>
      </c>
    </row>
    <row r="13559" spans="1:12">
      <c r="J13559" s="31">
        <v>95</v>
      </c>
      <c r="K13559" s="33" t="s">
        <v>172</v>
      </c>
      <c r="L13559" s="31" t="str">
        <f t="shared" si="1309"/>
        <v>Sembilan Puluh Lima</v>
      </c>
    </row>
    <row r="13560" spans="1:12">
      <c r="J13560" s="31">
        <v>96</v>
      </c>
      <c r="K13560" s="33" t="s">
        <v>173</v>
      </c>
      <c r="L13560" s="31" t="str">
        <f t="shared" si="1309"/>
        <v>Sembilan Puluh Enam</v>
      </c>
    </row>
    <row r="13561" spans="1:12">
      <c r="J13561" s="31">
        <v>97</v>
      </c>
      <c r="K13561" s="33" t="s">
        <v>174</v>
      </c>
      <c r="L13561" s="31" t="str">
        <f t="shared" si="1309"/>
        <v>Sembilan Puluh Tujuh</v>
      </c>
    </row>
    <row r="13562" spans="1:12">
      <c r="J13562" s="31">
        <v>98</v>
      </c>
      <c r="K13562" s="33" t="s">
        <v>175</v>
      </c>
      <c r="L13562" s="31" t="str">
        <f t="shared" si="1309"/>
        <v>Sembilan Puluh Delapan</v>
      </c>
    </row>
    <row r="13563" spans="1:12">
      <c r="J13563" s="31">
        <v>99</v>
      </c>
      <c r="K13563" s="33" t="s">
        <v>176</v>
      </c>
      <c r="L13563" s="31" t="str">
        <f t="shared" si="1309"/>
        <v>Sembilan Puluh Sembilan</v>
      </c>
    </row>
    <row r="13565" spans="1:12">
      <c r="A13565" s="30" t="e">
        <f>#REF!</f>
        <v>#REF!</v>
      </c>
      <c r="C13565" s="31" t="s">
        <v>366</v>
      </c>
    </row>
    <row r="13566" spans="1:12">
      <c r="A13566" s="32"/>
    </row>
    <row r="13567" spans="1:12">
      <c r="J13567" s="31">
        <v>0</v>
      </c>
      <c r="K13567" s="33" t="s">
        <v>48</v>
      </c>
      <c r="L13567" s="31" t="s">
        <v>49</v>
      </c>
    </row>
    <row r="13568" spans="1:12">
      <c r="A13568" s="34"/>
      <c r="J13568" s="31">
        <v>1</v>
      </c>
      <c r="K13568" s="33" t="s">
        <v>50</v>
      </c>
      <c r="L13568" s="31" t="s">
        <v>51</v>
      </c>
    </row>
    <row r="13569" spans="1:12">
      <c r="A13569" s="255" t="e">
        <f>TRIM(D13577&amp;E13577&amp;D13578&amp;E13578&amp;D13579&amp;E13579&amp;D13580&amp;E13580&amp;D13581&amp;E13581&amp;D13582&amp;E13582&amp;E13583&amp;D13583&amp;" Only")</f>
        <v>#REF!</v>
      </c>
      <c r="B13569" s="255"/>
      <c r="C13569" s="255"/>
      <c r="D13569" s="255"/>
      <c r="E13569" s="35"/>
      <c r="F13569" s="36"/>
      <c r="J13569" s="31">
        <v>2</v>
      </c>
      <c r="K13569" s="33" t="s">
        <v>52</v>
      </c>
      <c r="L13569" s="31" t="s">
        <v>53</v>
      </c>
    </row>
    <row r="13570" spans="1:12">
      <c r="A13570" s="37"/>
      <c r="B13570" s="37"/>
      <c r="C13570" s="37"/>
      <c r="D13570" s="37"/>
      <c r="E13570" s="35"/>
      <c r="F13570" s="36"/>
      <c r="J13570" s="31">
        <v>3</v>
      </c>
      <c r="K13570" s="33" t="s">
        <v>54</v>
      </c>
      <c r="L13570" s="31" t="s">
        <v>55</v>
      </c>
    </row>
    <row r="13571" spans="1:12">
      <c r="A13571" s="37"/>
      <c r="B13571" s="37"/>
      <c r="C13571" s="37"/>
      <c r="D13571" s="37"/>
      <c r="J13571" s="31">
        <v>4</v>
      </c>
      <c r="K13571" s="33" t="s">
        <v>56</v>
      </c>
      <c r="L13571" s="31" t="s">
        <v>57</v>
      </c>
    </row>
    <row r="13572" spans="1:12">
      <c r="A13572" s="255" t="e">
        <f>TRIM(D13587&amp;E13587&amp;D13588&amp;E13588&amp;D13589&amp;E13589&amp;D13590&amp;E13590&amp;D13591&amp;E13591&amp;D13592&amp;E13592&amp;D13593&amp;E13593&amp;" Rupiah")</f>
        <v>#REF!</v>
      </c>
      <c r="B13572" s="255"/>
      <c r="C13572" s="255"/>
      <c r="D13572" s="255"/>
      <c r="E13572" s="35"/>
      <c r="F13572" s="36"/>
      <c r="J13572" s="31">
        <v>5</v>
      </c>
      <c r="K13572" s="33" t="s">
        <v>58</v>
      </c>
      <c r="L13572" s="31" t="s">
        <v>59</v>
      </c>
    </row>
    <row r="13573" spans="1:12">
      <c r="A13573" s="35"/>
      <c r="B13573" s="35"/>
      <c r="C13573" s="35"/>
      <c r="D13573" s="35"/>
      <c r="E13573" s="35"/>
      <c r="F13573" s="36"/>
      <c r="J13573" s="31">
        <v>6</v>
      </c>
      <c r="K13573" s="33" t="s">
        <v>60</v>
      </c>
      <c r="L13573" s="31" t="s">
        <v>61</v>
      </c>
    </row>
    <row r="13574" spans="1:12">
      <c r="J13574" s="31">
        <v>7</v>
      </c>
      <c r="K13574" s="33" t="s">
        <v>62</v>
      </c>
      <c r="L13574" s="31" t="s">
        <v>63</v>
      </c>
    </row>
    <row r="13575" spans="1:12">
      <c r="J13575" s="31">
        <v>8</v>
      </c>
      <c r="K13575" s="33" t="s">
        <v>64</v>
      </c>
      <c r="L13575" s="31" t="s">
        <v>65</v>
      </c>
    </row>
    <row r="13576" spans="1:12">
      <c r="A13576" s="38" t="s">
        <v>66</v>
      </c>
      <c r="J13576" s="31">
        <v>9</v>
      </c>
      <c r="K13576" s="33" t="s">
        <v>67</v>
      </c>
      <c r="L13576" s="31" t="s">
        <v>68</v>
      </c>
    </row>
    <row r="13577" spans="1:12">
      <c r="A13577" s="31" t="s">
        <v>69</v>
      </c>
      <c r="B13577" s="39" t="e">
        <f>TRUNC(A13565/100000000)</f>
        <v>#REF!</v>
      </c>
      <c r="C13577" s="31" t="e">
        <f>B13577*100000000</f>
        <v>#REF!</v>
      </c>
      <c r="D13577" s="31" t="e">
        <f t="shared" ref="D13577:D13583" si="1310">IF(B13577&lt;1,"",VLOOKUP(B13577,$J$3:$K$102,2))</f>
        <v>#REF!</v>
      </c>
      <c r="E13577" s="31" t="e">
        <f>IF(B13577&lt;1,"",IF(B13577&gt;1," Hundreds "," Hundred "))</f>
        <v>#REF!</v>
      </c>
      <c r="J13577" s="31">
        <v>10</v>
      </c>
      <c r="K13577" s="33" t="s">
        <v>70</v>
      </c>
      <c r="L13577" s="31" t="s">
        <v>71</v>
      </c>
    </row>
    <row r="13578" spans="1:12">
      <c r="A13578" s="31" t="s">
        <v>72</v>
      </c>
      <c r="B13578" s="39" t="e">
        <f>TRUNC((A13565-C13577)/1000000)</f>
        <v>#REF!</v>
      </c>
      <c r="C13578" s="31" t="e">
        <f>B13578*1000000</f>
        <v>#REF!</v>
      </c>
      <c r="D13578" s="31" t="e">
        <f t="shared" si="1310"/>
        <v>#REF!</v>
      </c>
      <c r="E13578" s="31" t="e">
        <f>IF(B13577+B13578=0,"",IF(B13578=1," Million "," Millions "))</f>
        <v>#REF!</v>
      </c>
      <c r="J13578" s="31">
        <v>11</v>
      </c>
      <c r="K13578" s="33" t="s">
        <v>73</v>
      </c>
      <c r="L13578" s="31" t="s">
        <v>74</v>
      </c>
    </row>
    <row r="13579" spans="1:12">
      <c r="A13579" s="31" t="s">
        <v>75</v>
      </c>
      <c r="B13579" s="39" t="e">
        <f>TRUNC((A13565-SUM(C13577:C13578))/100000)</f>
        <v>#REF!</v>
      </c>
      <c r="C13579" s="31" t="e">
        <f>B13579*100000</f>
        <v>#REF!</v>
      </c>
      <c r="D13579" s="31" t="e">
        <f t="shared" si="1310"/>
        <v>#REF!</v>
      </c>
      <c r="E13579" s="31" t="e">
        <f>IF(B13579&lt;1,"",IF(B13579&gt;1," Hundreds "," Hundred "))</f>
        <v>#REF!</v>
      </c>
      <c r="J13579" s="31">
        <v>12</v>
      </c>
      <c r="K13579" s="33" t="s">
        <v>76</v>
      </c>
      <c r="L13579" s="31" t="str">
        <f t="shared" ref="L13579:L13586" si="1311">L13569&amp;" Belas"</f>
        <v>Dua Belas</v>
      </c>
    </row>
    <row r="13580" spans="1:12">
      <c r="A13580" s="33" t="s">
        <v>77</v>
      </c>
      <c r="B13580" s="40" t="e">
        <f>TRUNC((A13565-SUM(C13577:C13579))/1000)</f>
        <v>#REF!</v>
      </c>
      <c r="C13580" s="31" t="e">
        <f>B13580*1000</f>
        <v>#REF!</v>
      </c>
      <c r="D13580" s="31" t="e">
        <f t="shared" si="1310"/>
        <v>#REF!</v>
      </c>
      <c r="E13580" s="31" t="e">
        <f>IF(B13579+B13580=0,"",IF(B13580=1," Thousand "," Thousands "))</f>
        <v>#REF!</v>
      </c>
      <c r="J13580" s="31">
        <v>13</v>
      </c>
      <c r="K13580" s="33" t="s">
        <v>78</v>
      </c>
      <c r="L13580" s="31" t="str">
        <f t="shared" si="1311"/>
        <v>Tiga Belas</v>
      </c>
    </row>
    <row r="13581" spans="1:12">
      <c r="A13581" s="33" t="s">
        <v>79</v>
      </c>
      <c r="B13581" s="40" t="e">
        <f>TRUNC((A13565-SUM(C13577:C13580))/100)</f>
        <v>#REF!</v>
      </c>
      <c r="C13581" s="31" t="e">
        <f>B13581*100</f>
        <v>#REF!</v>
      </c>
      <c r="D13581" s="31" t="e">
        <f t="shared" si="1310"/>
        <v>#REF!</v>
      </c>
      <c r="E13581" s="31" t="e">
        <f>IF(B13581&lt;1,"",IF(B13581&gt;1," Hundreds "," Hundred "))</f>
        <v>#REF!</v>
      </c>
      <c r="J13581" s="31">
        <v>14</v>
      </c>
      <c r="K13581" s="33" t="s">
        <v>80</v>
      </c>
      <c r="L13581" s="31" t="str">
        <f t="shared" si="1311"/>
        <v>Empat Belas</v>
      </c>
    </row>
    <row r="13582" spans="1:12">
      <c r="A13582" s="33" t="s">
        <v>81</v>
      </c>
      <c r="B13582" s="41" t="e">
        <f>TRUNC((A13565-SUM(C13577:C13581)))</f>
        <v>#REF!</v>
      </c>
      <c r="C13582" s="42" t="e">
        <f>B13582</f>
        <v>#REF!</v>
      </c>
      <c r="D13582" s="31" t="e">
        <f t="shared" si="1310"/>
        <v>#REF!</v>
      </c>
      <c r="E13582" s="31" t="e">
        <f>IF(SUM(C13577:C13582)&lt;1,"",IF(B13583&lt;1,""," And "))</f>
        <v>#REF!</v>
      </c>
      <c r="J13582" s="31">
        <v>15</v>
      </c>
      <c r="K13582" s="33" t="s">
        <v>82</v>
      </c>
      <c r="L13582" s="31" t="str">
        <f t="shared" si="1311"/>
        <v>Lima Belas</v>
      </c>
    </row>
    <row r="13583" spans="1:12">
      <c r="A13583" s="33" t="s">
        <v>83</v>
      </c>
      <c r="B13583" s="40" t="e">
        <f>ROUND(A13565-SUM(C13577:C13582),2)*100</f>
        <v>#REF!</v>
      </c>
      <c r="D13583" s="43" t="e">
        <f t="shared" si="1310"/>
        <v>#REF!</v>
      </c>
      <c r="E13583" s="31" t="e">
        <f>IF(B13583&lt;1,"",IF(B13583=1," Cent "," Cents "))</f>
        <v>#REF!</v>
      </c>
      <c r="J13583" s="31">
        <v>16</v>
      </c>
      <c r="K13583" s="33" t="s">
        <v>84</v>
      </c>
      <c r="L13583" s="31" t="str">
        <f t="shared" si="1311"/>
        <v>Enam Belas</v>
      </c>
    </row>
    <row r="13584" spans="1:12">
      <c r="J13584" s="31">
        <v>17</v>
      </c>
      <c r="K13584" s="33" t="s">
        <v>85</v>
      </c>
      <c r="L13584" s="31" t="str">
        <f t="shared" si="1311"/>
        <v>Tujuh Belas</v>
      </c>
    </row>
    <row r="13585" spans="1:12">
      <c r="A13585" s="44"/>
      <c r="J13585" s="31">
        <v>18</v>
      </c>
      <c r="K13585" s="33" t="s">
        <v>86</v>
      </c>
      <c r="L13585" s="31" t="str">
        <f t="shared" si="1311"/>
        <v>Delapan Belas</v>
      </c>
    </row>
    <row r="13586" spans="1:12">
      <c r="A13586" s="38" t="s">
        <v>87</v>
      </c>
      <c r="J13586" s="31">
        <v>19</v>
      </c>
      <c r="K13586" s="33" t="s">
        <v>88</v>
      </c>
      <c r="L13586" s="31" t="str">
        <f t="shared" si="1311"/>
        <v>Sembilan Belas</v>
      </c>
    </row>
    <row r="13587" spans="1:12">
      <c r="A13587" s="31" t="s">
        <v>69</v>
      </c>
      <c r="B13587" s="39" t="e">
        <f>TRUNC(A13565/100000000)</f>
        <v>#REF!</v>
      </c>
      <c r="C13587" s="31" t="e">
        <f>B13587*100000000</f>
        <v>#REF!</v>
      </c>
      <c r="D13587" s="31" t="e">
        <f>IF(B13587&lt;1,"",IF(B13587=1,"",VLOOKUP(B13587,$J$3:$L$102,3)))</f>
        <v>#REF!</v>
      </c>
      <c r="E13587" s="31" t="e">
        <f>IF(B13587&lt;1,"",IF(B13587=1,"Seratus "," Ratus "))</f>
        <v>#REF!</v>
      </c>
      <c r="J13587" s="31">
        <v>20</v>
      </c>
      <c r="K13587" s="33" t="s">
        <v>89</v>
      </c>
      <c r="L13587" s="31" t="s">
        <v>90</v>
      </c>
    </row>
    <row r="13588" spans="1:12">
      <c r="A13588" s="31" t="s">
        <v>72</v>
      </c>
      <c r="B13588" s="39" t="e">
        <f>TRUNC((A13565-C13587)/1000000)</f>
        <v>#REF!</v>
      </c>
      <c r="C13588" s="31" t="e">
        <f>B13588*1000000</f>
        <v>#REF!</v>
      </c>
      <c r="D13588" s="31" t="e">
        <f>IF(B13588&lt;1,"",VLOOKUP(B13588,$J$3:$L$102,3))</f>
        <v>#REF!</v>
      </c>
      <c r="E13588" s="31" t="e">
        <f>IF(B13587+B13588=0,""," Juta ")</f>
        <v>#REF!</v>
      </c>
      <c r="J13588" s="31">
        <v>21</v>
      </c>
      <c r="K13588" s="33" t="s">
        <v>91</v>
      </c>
      <c r="L13588" s="31" t="str">
        <f t="shared" ref="L13588:L13596" si="1312">$L$23&amp;" "&amp;L13568</f>
        <v>Dua Puluh Satu</v>
      </c>
    </row>
    <row r="13589" spans="1:12">
      <c r="A13589" s="31" t="s">
        <v>75</v>
      </c>
      <c r="B13589" s="39" t="e">
        <f>TRUNC((A13565-SUM(C13587:C13588))/100000)</f>
        <v>#REF!</v>
      </c>
      <c r="C13589" s="31" t="e">
        <f>B13589*100000</f>
        <v>#REF!</v>
      </c>
      <c r="D13589" s="31" t="e">
        <f>IF(B13589&lt;1,"",IF(B13589=1,"",VLOOKUP(B13589,$J$3:$L$102,3)))</f>
        <v>#REF!</v>
      </c>
      <c r="E13589" s="31" t="e">
        <f>IF(B13589&lt;1,"",IF(B13589=1," Seratus "," Ratus "))</f>
        <v>#REF!</v>
      </c>
      <c r="J13589" s="31">
        <v>22</v>
      </c>
      <c r="K13589" s="33" t="s">
        <v>92</v>
      </c>
      <c r="L13589" s="31" t="str">
        <f t="shared" si="1312"/>
        <v>Dua Puluh Dua</v>
      </c>
    </row>
    <row r="13590" spans="1:12">
      <c r="A13590" s="33" t="s">
        <v>77</v>
      </c>
      <c r="B13590" s="40" t="e">
        <f>TRUNC((A13565-SUM(C13587:C13589))/1000)</f>
        <v>#REF!</v>
      </c>
      <c r="C13590" s="31" t="e">
        <f>B13590*1000</f>
        <v>#REF!</v>
      </c>
      <c r="D13590" s="31" t="e">
        <f>IF(B13590&lt;1,"",IF(B13590=1,"",VLOOKUP(B13590,$J$3:$L$102,3)))</f>
        <v>#REF!</v>
      </c>
      <c r="E13590" s="31" t="e">
        <f>IF(B13589+B13590&lt;1,"",IF(B13590=1," Seribu "," Ribu "))</f>
        <v>#REF!</v>
      </c>
      <c r="J13590" s="31">
        <v>23</v>
      </c>
      <c r="K13590" s="33" t="s">
        <v>93</v>
      </c>
      <c r="L13590" s="31" t="str">
        <f t="shared" si="1312"/>
        <v>Dua Puluh Tiga</v>
      </c>
    </row>
    <row r="13591" spans="1:12">
      <c r="A13591" s="33" t="s">
        <v>79</v>
      </c>
      <c r="B13591" s="40" t="e">
        <f>TRUNC((A13565-SUM(C13587:C13590))/100)</f>
        <v>#REF!</v>
      </c>
      <c r="C13591" s="31" t="e">
        <f>B13591*100</f>
        <v>#REF!</v>
      </c>
      <c r="D13591" s="31" t="e">
        <f>IF(B13591&lt;1,"",IF(B13591=1,"",VLOOKUP(B13591,$J$3:$L$102,3)))</f>
        <v>#REF!</v>
      </c>
      <c r="E13591" s="31" t="e">
        <f>IF(B13591&lt;1,"",IF(B13591=1," Seratus "," Ratus "))</f>
        <v>#REF!</v>
      </c>
      <c r="J13591" s="31">
        <v>24</v>
      </c>
      <c r="K13591" s="33" t="s">
        <v>94</v>
      </c>
      <c r="L13591" s="31" t="str">
        <f t="shared" si="1312"/>
        <v>Dua Puluh Empat</v>
      </c>
    </row>
    <row r="13592" spans="1:12">
      <c r="A13592" s="33" t="s">
        <v>81</v>
      </c>
      <c r="B13592" s="41" t="e">
        <f>TRUNC((A13565-SUM(C13587:C13591)))</f>
        <v>#REF!</v>
      </c>
      <c r="C13592" s="42" t="e">
        <f>B13592</f>
        <v>#REF!</v>
      </c>
      <c r="D13592" s="31" t="e">
        <f>IF(B13592&lt;1,"",VLOOKUP(B13592,$J$3:$L$102,3))</f>
        <v>#REF!</v>
      </c>
      <c r="E13592" s="31" t="e">
        <f>IF(SUM(C13587:C13592)&lt;1,"",IF(B13593&lt;1,""," Dan "))</f>
        <v>#REF!</v>
      </c>
      <c r="J13592" s="31">
        <v>25</v>
      </c>
      <c r="K13592" s="33" t="s">
        <v>95</v>
      </c>
      <c r="L13592" s="31" t="str">
        <f t="shared" si="1312"/>
        <v>Dua Puluh Lima</v>
      </c>
    </row>
    <row r="13593" spans="1:12">
      <c r="A13593" s="33" t="s">
        <v>83</v>
      </c>
      <c r="B13593" s="40" t="e">
        <f>ROUND(A13565-SUM(C13587:C13592),2)*100</f>
        <v>#REF!</v>
      </c>
      <c r="D13593" s="31" t="e">
        <f>IF(B13593&lt;1,"",VLOOKUP(B13593,$J$3:$L$102,3))</f>
        <v>#REF!</v>
      </c>
      <c r="E13593" s="31" t="e">
        <f>IF(B13593&lt;1,""," Sen ")</f>
        <v>#REF!</v>
      </c>
      <c r="J13593" s="31">
        <v>26</v>
      </c>
      <c r="K13593" s="33" t="s">
        <v>96</v>
      </c>
      <c r="L13593" s="31" t="str">
        <f t="shared" si="1312"/>
        <v>Dua Puluh Enam</v>
      </c>
    </row>
    <row r="13594" spans="1:12">
      <c r="J13594" s="31">
        <v>27</v>
      </c>
      <c r="K13594" s="33" t="s">
        <v>97</v>
      </c>
      <c r="L13594" s="31" t="str">
        <f t="shared" si="1312"/>
        <v>Dua Puluh Tujuh</v>
      </c>
    </row>
    <row r="13595" spans="1:12">
      <c r="J13595" s="31">
        <v>28</v>
      </c>
      <c r="K13595" s="33" t="s">
        <v>98</v>
      </c>
      <c r="L13595" s="31" t="str">
        <f t="shared" si="1312"/>
        <v>Dua Puluh Delapan</v>
      </c>
    </row>
    <row r="13596" spans="1:12">
      <c r="J13596" s="31">
        <v>29</v>
      </c>
      <c r="K13596" s="33" t="s">
        <v>99</v>
      </c>
      <c r="L13596" s="31" t="str">
        <f t="shared" si="1312"/>
        <v>Dua Puluh Sembilan</v>
      </c>
    </row>
    <row r="13597" spans="1:12">
      <c r="J13597" s="31">
        <v>30</v>
      </c>
      <c r="K13597" s="33" t="s">
        <v>100</v>
      </c>
      <c r="L13597" s="31" t="s">
        <v>101</v>
      </c>
    </row>
    <row r="13598" spans="1:12">
      <c r="J13598" s="31">
        <v>31</v>
      </c>
      <c r="K13598" s="33" t="s">
        <v>102</v>
      </c>
      <c r="L13598" s="31" t="str">
        <f t="shared" ref="L13598:L13606" si="1313">$L$33&amp;" "&amp;L13568</f>
        <v>Tiga Puluh Satu</v>
      </c>
    </row>
    <row r="13599" spans="1:12">
      <c r="J13599" s="31">
        <v>32</v>
      </c>
      <c r="K13599" s="33" t="s">
        <v>103</v>
      </c>
      <c r="L13599" s="31" t="str">
        <f t="shared" si="1313"/>
        <v>Tiga Puluh Dua</v>
      </c>
    </row>
    <row r="13600" spans="1:12">
      <c r="J13600" s="31">
        <v>33</v>
      </c>
      <c r="K13600" s="33" t="s">
        <v>104</v>
      </c>
      <c r="L13600" s="31" t="str">
        <f t="shared" si="1313"/>
        <v>Tiga Puluh Tiga</v>
      </c>
    </row>
    <row r="13601" spans="1:12">
      <c r="J13601" s="31">
        <v>34</v>
      </c>
      <c r="K13601" s="33" t="s">
        <v>105</v>
      </c>
      <c r="L13601" s="31" t="str">
        <f t="shared" si="1313"/>
        <v>Tiga Puluh Empat</v>
      </c>
    </row>
    <row r="13602" spans="1:12">
      <c r="J13602" s="31">
        <v>35</v>
      </c>
      <c r="K13602" s="33" t="s">
        <v>106</v>
      </c>
      <c r="L13602" s="31" t="str">
        <f t="shared" si="1313"/>
        <v>Tiga Puluh Lima</v>
      </c>
    </row>
    <row r="13603" spans="1:12">
      <c r="J13603" s="31">
        <v>36</v>
      </c>
      <c r="K13603" s="33" t="s">
        <v>107</v>
      </c>
      <c r="L13603" s="31" t="str">
        <f t="shared" si="1313"/>
        <v>Tiga Puluh Enam</v>
      </c>
    </row>
    <row r="13604" spans="1:12">
      <c r="J13604" s="31">
        <v>37</v>
      </c>
      <c r="K13604" s="33" t="s">
        <v>108</v>
      </c>
      <c r="L13604" s="31" t="str">
        <f t="shared" si="1313"/>
        <v>Tiga Puluh Tujuh</v>
      </c>
    </row>
    <row r="13605" spans="1:12">
      <c r="J13605" s="31">
        <v>38</v>
      </c>
      <c r="K13605" s="33" t="s">
        <v>109</v>
      </c>
      <c r="L13605" s="31" t="str">
        <f t="shared" si="1313"/>
        <v>Tiga Puluh Delapan</v>
      </c>
    </row>
    <row r="13606" spans="1:12">
      <c r="J13606" s="31">
        <v>39</v>
      </c>
      <c r="K13606" s="33" t="s">
        <v>110</v>
      </c>
      <c r="L13606" s="31" t="str">
        <f t="shared" si="1313"/>
        <v>Tiga Puluh Sembilan</v>
      </c>
    </row>
    <row r="13607" spans="1:12">
      <c r="B13607" s="35"/>
      <c r="C13607" s="35"/>
      <c r="D13607" s="35"/>
      <c r="J13607" s="31">
        <v>40</v>
      </c>
      <c r="K13607" s="33" t="s">
        <v>111</v>
      </c>
      <c r="L13607" s="31" t="s">
        <v>112</v>
      </c>
    </row>
    <row r="13608" spans="1:12">
      <c r="A13608" s="35"/>
      <c r="B13608" s="35"/>
      <c r="C13608" s="35"/>
      <c r="D13608" s="35"/>
      <c r="J13608" s="31">
        <v>41</v>
      </c>
      <c r="K13608" s="33" t="s">
        <v>113</v>
      </c>
      <c r="L13608" s="31" t="str">
        <f t="shared" ref="L13608:L13616" si="1314">$L$43&amp;" "&amp;L13568</f>
        <v>Empat Puluh Satu</v>
      </c>
    </row>
    <row r="13609" spans="1:12">
      <c r="J13609" s="31">
        <v>42</v>
      </c>
      <c r="K13609" s="33" t="s">
        <v>114</v>
      </c>
      <c r="L13609" s="31" t="str">
        <f t="shared" si="1314"/>
        <v>Empat Puluh Dua</v>
      </c>
    </row>
    <row r="13610" spans="1:12">
      <c r="A13610" s="38"/>
      <c r="J13610" s="31">
        <v>43</v>
      </c>
      <c r="K13610" s="33" t="s">
        <v>115</v>
      </c>
      <c r="L13610" s="31" t="str">
        <f t="shared" si="1314"/>
        <v>Empat Puluh Tiga</v>
      </c>
    </row>
    <row r="13611" spans="1:12">
      <c r="J13611" s="31">
        <v>44</v>
      </c>
      <c r="K13611" s="33" t="s">
        <v>116</v>
      </c>
      <c r="L13611" s="31" t="str">
        <f t="shared" si="1314"/>
        <v>Empat Puluh Empat</v>
      </c>
    </row>
    <row r="13612" spans="1:12">
      <c r="J13612" s="31">
        <v>45</v>
      </c>
      <c r="K13612" s="33" t="s">
        <v>117</v>
      </c>
      <c r="L13612" s="31" t="str">
        <f t="shared" si="1314"/>
        <v>Empat Puluh Lima</v>
      </c>
    </row>
    <row r="13613" spans="1:12">
      <c r="J13613" s="31">
        <v>46</v>
      </c>
      <c r="K13613" s="33" t="s">
        <v>118</v>
      </c>
      <c r="L13613" s="31" t="str">
        <f t="shared" si="1314"/>
        <v>Empat Puluh Enam</v>
      </c>
    </row>
    <row r="13614" spans="1:12">
      <c r="J13614" s="31">
        <v>47</v>
      </c>
      <c r="K13614" s="33" t="s">
        <v>119</v>
      </c>
      <c r="L13614" s="31" t="str">
        <f t="shared" si="1314"/>
        <v>Empat Puluh Tujuh</v>
      </c>
    </row>
    <row r="13615" spans="1:12">
      <c r="J13615" s="31">
        <v>48</v>
      </c>
      <c r="K13615" s="33" t="s">
        <v>120</v>
      </c>
      <c r="L13615" s="31" t="str">
        <f t="shared" si="1314"/>
        <v>Empat Puluh Delapan</v>
      </c>
    </row>
    <row r="13616" spans="1:12">
      <c r="J13616" s="31">
        <v>49</v>
      </c>
      <c r="K13616" s="33" t="s">
        <v>121</v>
      </c>
      <c r="L13616" s="31" t="str">
        <f t="shared" si="1314"/>
        <v>Empat Puluh Sembilan</v>
      </c>
    </row>
    <row r="13617" spans="10:12">
      <c r="J13617" s="31">
        <v>50</v>
      </c>
      <c r="K13617" s="33" t="s">
        <v>122</v>
      </c>
      <c r="L13617" s="31" t="s">
        <v>123</v>
      </c>
    </row>
    <row r="13618" spans="10:12">
      <c r="J13618" s="31">
        <v>51</v>
      </c>
      <c r="K13618" s="33" t="s">
        <v>124</v>
      </c>
      <c r="L13618" s="31" t="str">
        <f t="shared" ref="L13618:L13626" si="1315">$L$53&amp;" "&amp;L13568</f>
        <v>Lima Puluh Satu</v>
      </c>
    </row>
    <row r="13619" spans="10:12">
      <c r="J13619" s="31">
        <v>52</v>
      </c>
      <c r="K13619" s="33" t="s">
        <v>125</v>
      </c>
      <c r="L13619" s="31" t="str">
        <f t="shared" si="1315"/>
        <v>Lima Puluh Dua</v>
      </c>
    </row>
    <row r="13620" spans="10:12">
      <c r="J13620" s="31">
        <v>53</v>
      </c>
      <c r="K13620" s="33" t="s">
        <v>126</v>
      </c>
      <c r="L13620" s="31" t="str">
        <f t="shared" si="1315"/>
        <v>Lima Puluh Tiga</v>
      </c>
    </row>
    <row r="13621" spans="10:12">
      <c r="J13621" s="31">
        <v>54</v>
      </c>
      <c r="K13621" s="33" t="s">
        <v>127</v>
      </c>
      <c r="L13621" s="31" t="str">
        <f t="shared" si="1315"/>
        <v>Lima Puluh Empat</v>
      </c>
    </row>
    <row r="13622" spans="10:12">
      <c r="J13622" s="31">
        <v>55</v>
      </c>
      <c r="K13622" s="33" t="s">
        <v>128</v>
      </c>
      <c r="L13622" s="31" t="str">
        <f t="shared" si="1315"/>
        <v>Lima Puluh Lima</v>
      </c>
    </row>
    <row r="13623" spans="10:12">
      <c r="J13623" s="31">
        <v>56</v>
      </c>
      <c r="K13623" s="33" t="s">
        <v>129</v>
      </c>
      <c r="L13623" s="31" t="str">
        <f t="shared" si="1315"/>
        <v>Lima Puluh Enam</v>
      </c>
    </row>
    <row r="13624" spans="10:12">
      <c r="J13624" s="31">
        <v>57</v>
      </c>
      <c r="K13624" s="33" t="s">
        <v>130</v>
      </c>
      <c r="L13624" s="31" t="str">
        <f t="shared" si="1315"/>
        <v>Lima Puluh Tujuh</v>
      </c>
    </row>
    <row r="13625" spans="10:12">
      <c r="J13625" s="31">
        <v>58</v>
      </c>
      <c r="K13625" s="33" t="s">
        <v>131</v>
      </c>
      <c r="L13625" s="31" t="str">
        <f t="shared" si="1315"/>
        <v>Lima Puluh Delapan</v>
      </c>
    </row>
    <row r="13626" spans="10:12">
      <c r="J13626" s="31">
        <v>59</v>
      </c>
      <c r="K13626" s="33" t="s">
        <v>132</v>
      </c>
      <c r="L13626" s="31" t="str">
        <f t="shared" si="1315"/>
        <v>Lima Puluh Sembilan</v>
      </c>
    </row>
    <row r="13627" spans="10:12">
      <c r="J13627" s="31">
        <v>60</v>
      </c>
      <c r="K13627" s="33" t="s">
        <v>133</v>
      </c>
      <c r="L13627" s="31" t="s">
        <v>134</v>
      </c>
    </row>
    <row r="13628" spans="10:12">
      <c r="J13628" s="31">
        <v>61</v>
      </c>
      <c r="K13628" s="33" t="s">
        <v>135</v>
      </c>
      <c r="L13628" s="31" t="str">
        <f t="shared" ref="L13628:L13636" si="1316">$L$63&amp;" "&amp;L13568</f>
        <v>Enam Puluh Satu</v>
      </c>
    </row>
    <row r="13629" spans="10:12">
      <c r="J13629" s="31">
        <v>62</v>
      </c>
      <c r="K13629" s="33" t="s">
        <v>136</v>
      </c>
      <c r="L13629" s="31" t="str">
        <f t="shared" si="1316"/>
        <v>Enam Puluh Dua</v>
      </c>
    </row>
    <row r="13630" spans="10:12">
      <c r="J13630" s="31">
        <v>63</v>
      </c>
      <c r="K13630" s="33" t="s">
        <v>137</v>
      </c>
      <c r="L13630" s="31" t="str">
        <f t="shared" si="1316"/>
        <v>Enam Puluh Tiga</v>
      </c>
    </row>
    <row r="13631" spans="10:12">
      <c r="J13631" s="31">
        <v>64</v>
      </c>
      <c r="K13631" s="33" t="s">
        <v>138</v>
      </c>
      <c r="L13631" s="31" t="str">
        <f t="shared" si="1316"/>
        <v>Enam Puluh Empat</v>
      </c>
    </row>
    <row r="13632" spans="10:12">
      <c r="J13632" s="31">
        <v>65</v>
      </c>
      <c r="K13632" s="33" t="s">
        <v>139</v>
      </c>
      <c r="L13632" s="31" t="str">
        <f t="shared" si="1316"/>
        <v>Enam Puluh Lima</v>
      </c>
    </row>
    <row r="13633" spans="10:12">
      <c r="J13633" s="31">
        <v>66</v>
      </c>
      <c r="K13633" s="33" t="s">
        <v>140</v>
      </c>
      <c r="L13633" s="31" t="str">
        <f t="shared" si="1316"/>
        <v>Enam Puluh Enam</v>
      </c>
    </row>
    <row r="13634" spans="10:12">
      <c r="J13634" s="31">
        <v>67</v>
      </c>
      <c r="K13634" s="33" t="s">
        <v>141</v>
      </c>
      <c r="L13634" s="31" t="str">
        <f t="shared" si="1316"/>
        <v>Enam Puluh Tujuh</v>
      </c>
    </row>
    <row r="13635" spans="10:12">
      <c r="J13635" s="31">
        <v>68</v>
      </c>
      <c r="K13635" s="33" t="s">
        <v>142</v>
      </c>
      <c r="L13635" s="31" t="str">
        <f t="shared" si="1316"/>
        <v>Enam Puluh Delapan</v>
      </c>
    </row>
    <row r="13636" spans="10:12">
      <c r="J13636" s="31">
        <v>69</v>
      </c>
      <c r="K13636" s="33" t="s">
        <v>143</v>
      </c>
      <c r="L13636" s="31" t="str">
        <f t="shared" si="1316"/>
        <v>Enam Puluh Sembilan</v>
      </c>
    </row>
    <row r="13637" spans="10:12">
      <c r="J13637" s="31">
        <v>70</v>
      </c>
      <c r="K13637" s="33" t="s">
        <v>144</v>
      </c>
      <c r="L13637" s="31" t="s">
        <v>145</v>
      </c>
    </row>
    <row r="13638" spans="10:12">
      <c r="J13638" s="31">
        <v>71</v>
      </c>
      <c r="K13638" s="33" t="s">
        <v>146</v>
      </c>
      <c r="L13638" s="31" t="str">
        <f t="shared" ref="L13638:L13646" si="1317">$L$73&amp;" "&amp;L13568</f>
        <v>Tujuh Puluh Satu</v>
      </c>
    </row>
    <row r="13639" spans="10:12">
      <c r="J13639" s="31">
        <v>72</v>
      </c>
      <c r="K13639" s="33" t="s">
        <v>147</v>
      </c>
      <c r="L13639" s="31" t="str">
        <f t="shared" si="1317"/>
        <v>Tujuh Puluh Dua</v>
      </c>
    </row>
    <row r="13640" spans="10:12">
      <c r="J13640" s="31">
        <v>73</v>
      </c>
      <c r="K13640" s="33" t="s">
        <v>148</v>
      </c>
      <c r="L13640" s="31" t="str">
        <f t="shared" si="1317"/>
        <v>Tujuh Puluh Tiga</v>
      </c>
    </row>
    <row r="13641" spans="10:12">
      <c r="J13641" s="31">
        <v>74</v>
      </c>
      <c r="K13641" s="33" t="s">
        <v>149</v>
      </c>
      <c r="L13641" s="31" t="str">
        <f t="shared" si="1317"/>
        <v>Tujuh Puluh Empat</v>
      </c>
    </row>
    <row r="13642" spans="10:12">
      <c r="J13642" s="31">
        <v>75</v>
      </c>
      <c r="K13642" s="33" t="s">
        <v>150</v>
      </c>
      <c r="L13642" s="31" t="str">
        <f t="shared" si="1317"/>
        <v>Tujuh Puluh Lima</v>
      </c>
    </row>
    <row r="13643" spans="10:12">
      <c r="J13643" s="31">
        <v>76</v>
      </c>
      <c r="K13643" s="33" t="s">
        <v>151</v>
      </c>
      <c r="L13643" s="31" t="str">
        <f t="shared" si="1317"/>
        <v>Tujuh Puluh Enam</v>
      </c>
    </row>
    <row r="13644" spans="10:12">
      <c r="J13644" s="31">
        <v>77</v>
      </c>
      <c r="K13644" s="33" t="s">
        <v>152</v>
      </c>
      <c r="L13644" s="31" t="str">
        <f t="shared" si="1317"/>
        <v>Tujuh Puluh Tujuh</v>
      </c>
    </row>
    <row r="13645" spans="10:12">
      <c r="J13645" s="31">
        <v>78</v>
      </c>
      <c r="K13645" s="33" t="s">
        <v>153</v>
      </c>
      <c r="L13645" s="31" t="str">
        <f t="shared" si="1317"/>
        <v>Tujuh Puluh Delapan</v>
      </c>
    </row>
    <row r="13646" spans="10:12">
      <c r="J13646" s="31">
        <v>79</v>
      </c>
      <c r="K13646" s="33" t="s">
        <v>154</v>
      </c>
      <c r="L13646" s="31" t="str">
        <f t="shared" si="1317"/>
        <v>Tujuh Puluh Sembilan</v>
      </c>
    </row>
    <row r="13647" spans="10:12">
      <c r="J13647" s="31">
        <v>80</v>
      </c>
      <c r="K13647" s="33" t="s">
        <v>155</v>
      </c>
      <c r="L13647" s="31" t="s">
        <v>156</v>
      </c>
    </row>
    <row r="13648" spans="10:12">
      <c r="J13648" s="31">
        <v>81</v>
      </c>
      <c r="K13648" s="33" t="s">
        <v>157</v>
      </c>
      <c r="L13648" s="31" t="str">
        <f t="shared" ref="L13648:L13656" si="1318">$L$83&amp;" "&amp;L13568</f>
        <v>Delapan Puluh Satu</v>
      </c>
    </row>
    <row r="13649" spans="10:12">
      <c r="J13649" s="31">
        <v>82</v>
      </c>
      <c r="K13649" s="33" t="s">
        <v>158</v>
      </c>
      <c r="L13649" s="31" t="str">
        <f t="shared" si="1318"/>
        <v>Delapan Puluh Dua</v>
      </c>
    </row>
    <row r="13650" spans="10:12">
      <c r="J13650" s="31">
        <v>83</v>
      </c>
      <c r="K13650" s="33" t="s">
        <v>159</v>
      </c>
      <c r="L13650" s="31" t="str">
        <f t="shared" si="1318"/>
        <v>Delapan Puluh Tiga</v>
      </c>
    </row>
    <row r="13651" spans="10:12">
      <c r="J13651" s="31">
        <v>84</v>
      </c>
      <c r="K13651" s="33" t="s">
        <v>160</v>
      </c>
      <c r="L13651" s="31" t="str">
        <f t="shared" si="1318"/>
        <v>Delapan Puluh Empat</v>
      </c>
    </row>
    <row r="13652" spans="10:12">
      <c r="J13652" s="31">
        <v>85</v>
      </c>
      <c r="K13652" s="33" t="s">
        <v>161</v>
      </c>
      <c r="L13652" s="31" t="str">
        <f t="shared" si="1318"/>
        <v>Delapan Puluh Lima</v>
      </c>
    </row>
    <row r="13653" spans="10:12">
      <c r="J13653" s="31">
        <v>86</v>
      </c>
      <c r="K13653" s="33" t="s">
        <v>162</v>
      </c>
      <c r="L13653" s="31" t="str">
        <f t="shared" si="1318"/>
        <v>Delapan Puluh Enam</v>
      </c>
    </row>
    <row r="13654" spans="10:12">
      <c r="J13654" s="31">
        <v>87</v>
      </c>
      <c r="K13654" s="33" t="s">
        <v>163</v>
      </c>
      <c r="L13654" s="31" t="str">
        <f t="shared" si="1318"/>
        <v>Delapan Puluh Tujuh</v>
      </c>
    </row>
    <row r="13655" spans="10:12">
      <c r="J13655" s="31">
        <v>88</v>
      </c>
      <c r="K13655" s="33" t="s">
        <v>164</v>
      </c>
      <c r="L13655" s="31" t="str">
        <f t="shared" si="1318"/>
        <v>Delapan Puluh Delapan</v>
      </c>
    </row>
    <row r="13656" spans="10:12">
      <c r="J13656" s="31">
        <v>89</v>
      </c>
      <c r="K13656" s="33" t="s">
        <v>165</v>
      </c>
      <c r="L13656" s="31" t="str">
        <f t="shared" si="1318"/>
        <v>Delapan Puluh Sembilan</v>
      </c>
    </row>
    <row r="13657" spans="10:12">
      <c r="J13657" s="31">
        <v>90</v>
      </c>
      <c r="K13657" s="33" t="s">
        <v>166</v>
      </c>
      <c r="L13657" s="31" t="s">
        <v>167</v>
      </c>
    </row>
    <row r="13658" spans="10:12">
      <c r="J13658" s="31">
        <v>91</v>
      </c>
      <c r="K13658" s="33" t="s">
        <v>168</v>
      </c>
      <c r="L13658" s="31" t="str">
        <f t="shared" ref="L13658:L13666" si="1319">$L$93&amp;" "&amp;L13568</f>
        <v>Sembilan Puluh Satu</v>
      </c>
    </row>
    <row r="13659" spans="10:12">
      <c r="J13659" s="31">
        <v>92</v>
      </c>
      <c r="K13659" s="33" t="s">
        <v>169</v>
      </c>
      <c r="L13659" s="31" t="str">
        <f t="shared" si="1319"/>
        <v>Sembilan Puluh Dua</v>
      </c>
    </row>
    <row r="13660" spans="10:12">
      <c r="J13660" s="31">
        <v>93</v>
      </c>
      <c r="K13660" s="33" t="s">
        <v>170</v>
      </c>
      <c r="L13660" s="31" t="str">
        <f t="shared" si="1319"/>
        <v>Sembilan Puluh Tiga</v>
      </c>
    </row>
    <row r="13661" spans="10:12">
      <c r="J13661" s="31">
        <v>94</v>
      </c>
      <c r="K13661" s="33" t="s">
        <v>171</v>
      </c>
      <c r="L13661" s="31" t="str">
        <f t="shared" si="1319"/>
        <v>Sembilan Puluh Empat</v>
      </c>
    </row>
    <row r="13662" spans="10:12">
      <c r="J13662" s="31">
        <v>95</v>
      </c>
      <c r="K13662" s="33" t="s">
        <v>172</v>
      </c>
      <c r="L13662" s="31" t="str">
        <f t="shared" si="1319"/>
        <v>Sembilan Puluh Lima</v>
      </c>
    </row>
    <row r="13663" spans="10:12">
      <c r="J13663" s="31">
        <v>96</v>
      </c>
      <c r="K13663" s="33" t="s">
        <v>173</v>
      </c>
      <c r="L13663" s="31" t="str">
        <f t="shared" si="1319"/>
        <v>Sembilan Puluh Enam</v>
      </c>
    </row>
    <row r="13664" spans="10:12">
      <c r="J13664" s="31">
        <v>97</v>
      </c>
      <c r="K13664" s="33" t="s">
        <v>174</v>
      </c>
      <c r="L13664" s="31" t="str">
        <f t="shared" si="1319"/>
        <v>Sembilan Puluh Tujuh</v>
      </c>
    </row>
    <row r="13665" spans="1:12">
      <c r="J13665" s="31">
        <v>98</v>
      </c>
      <c r="K13665" s="33" t="s">
        <v>175</v>
      </c>
      <c r="L13665" s="31" t="str">
        <f t="shared" si="1319"/>
        <v>Sembilan Puluh Delapan</v>
      </c>
    </row>
    <row r="13666" spans="1:12">
      <c r="J13666" s="31">
        <v>99</v>
      </c>
      <c r="K13666" s="33" t="s">
        <v>176</v>
      </c>
      <c r="L13666" s="31" t="str">
        <f t="shared" si="1319"/>
        <v>Sembilan Puluh Sembilan</v>
      </c>
    </row>
    <row r="13668" spans="1:12">
      <c r="A13668" s="30" t="e">
        <f>#REF!</f>
        <v>#REF!</v>
      </c>
      <c r="C13668" s="31" t="s">
        <v>368</v>
      </c>
    </row>
    <row r="13669" spans="1:12">
      <c r="A13669" s="32"/>
    </row>
    <row r="13670" spans="1:12">
      <c r="J13670" s="31">
        <v>0</v>
      </c>
      <c r="K13670" s="33" t="s">
        <v>48</v>
      </c>
      <c r="L13670" s="31" t="s">
        <v>49</v>
      </c>
    </row>
    <row r="13671" spans="1:12">
      <c r="A13671" s="34"/>
      <c r="J13671" s="31">
        <v>1</v>
      </c>
      <c r="K13671" s="33" t="s">
        <v>50</v>
      </c>
      <c r="L13671" s="31" t="s">
        <v>51</v>
      </c>
    </row>
    <row r="13672" spans="1:12">
      <c r="A13672" s="255" t="e">
        <f>TRIM(D13680&amp;E13680&amp;D13681&amp;E13681&amp;D13682&amp;E13682&amp;D13683&amp;E13683&amp;D13684&amp;E13684&amp;D13685&amp;E13685&amp;E13686&amp;D13686&amp;" Only")</f>
        <v>#REF!</v>
      </c>
      <c r="B13672" s="255"/>
      <c r="C13672" s="255"/>
      <c r="D13672" s="255"/>
      <c r="E13672" s="35"/>
      <c r="F13672" s="36"/>
      <c r="J13672" s="31">
        <v>2</v>
      </c>
      <c r="K13672" s="33" t="s">
        <v>52</v>
      </c>
      <c r="L13672" s="31" t="s">
        <v>53</v>
      </c>
    </row>
    <row r="13673" spans="1:12">
      <c r="A13673" s="37"/>
      <c r="B13673" s="37"/>
      <c r="C13673" s="37"/>
      <c r="D13673" s="37"/>
      <c r="E13673" s="35"/>
      <c r="F13673" s="36"/>
      <c r="J13673" s="31">
        <v>3</v>
      </c>
      <c r="K13673" s="33" t="s">
        <v>54</v>
      </c>
      <c r="L13673" s="31" t="s">
        <v>55</v>
      </c>
    </row>
    <row r="13674" spans="1:12">
      <c r="A13674" s="37"/>
      <c r="B13674" s="37"/>
      <c r="C13674" s="37"/>
      <c r="D13674" s="37"/>
      <c r="J13674" s="31">
        <v>4</v>
      </c>
      <c r="K13674" s="33" t="s">
        <v>56</v>
      </c>
      <c r="L13674" s="31" t="s">
        <v>57</v>
      </c>
    </row>
    <row r="13675" spans="1:12">
      <c r="A13675" s="255" t="e">
        <f>TRIM(D13690&amp;E13690&amp;D13691&amp;E13691&amp;D13692&amp;E13692&amp;D13693&amp;E13693&amp;D13694&amp;E13694&amp;D13695&amp;E13695&amp;D13696&amp;E13696&amp;" Rupiah")</f>
        <v>#REF!</v>
      </c>
      <c r="B13675" s="255"/>
      <c r="C13675" s="255"/>
      <c r="D13675" s="255"/>
      <c r="E13675" s="35"/>
      <c r="F13675" s="36"/>
      <c r="J13675" s="31">
        <v>5</v>
      </c>
      <c r="K13675" s="33" t="s">
        <v>58</v>
      </c>
      <c r="L13675" s="31" t="s">
        <v>59</v>
      </c>
    </row>
    <row r="13676" spans="1:12">
      <c r="A13676" s="35"/>
      <c r="B13676" s="35"/>
      <c r="C13676" s="35"/>
      <c r="D13676" s="35"/>
      <c r="E13676" s="35"/>
      <c r="F13676" s="36"/>
      <c r="J13676" s="31">
        <v>6</v>
      </c>
      <c r="K13676" s="33" t="s">
        <v>60</v>
      </c>
      <c r="L13676" s="31" t="s">
        <v>61</v>
      </c>
    </row>
    <row r="13677" spans="1:12">
      <c r="J13677" s="31">
        <v>7</v>
      </c>
      <c r="K13677" s="33" t="s">
        <v>62</v>
      </c>
      <c r="L13677" s="31" t="s">
        <v>63</v>
      </c>
    </row>
    <row r="13678" spans="1:12">
      <c r="J13678" s="31">
        <v>8</v>
      </c>
      <c r="K13678" s="33" t="s">
        <v>64</v>
      </c>
      <c r="L13678" s="31" t="s">
        <v>65</v>
      </c>
    </row>
    <row r="13679" spans="1:12">
      <c r="A13679" s="38" t="s">
        <v>66</v>
      </c>
      <c r="J13679" s="31">
        <v>9</v>
      </c>
      <c r="K13679" s="33" t="s">
        <v>67</v>
      </c>
      <c r="L13679" s="31" t="s">
        <v>68</v>
      </c>
    </row>
    <row r="13680" spans="1:12">
      <c r="A13680" s="31" t="s">
        <v>69</v>
      </c>
      <c r="B13680" s="39" t="e">
        <f>TRUNC(A13668/100000000)</f>
        <v>#REF!</v>
      </c>
      <c r="C13680" s="31" t="e">
        <f>B13680*100000000</f>
        <v>#REF!</v>
      </c>
      <c r="D13680" s="31" t="e">
        <f t="shared" ref="D13680:D13686" si="1320">IF(B13680&lt;1,"",VLOOKUP(B13680,$J$3:$K$102,2))</f>
        <v>#REF!</v>
      </c>
      <c r="E13680" s="31" t="e">
        <f>IF(B13680&lt;1,"",IF(B13680&gt;1," Hundreds "," Hundred "))</f>
        <v>#REF!</v>
      </c>
      <c r="J13680" s="31">
        <v>10</v>
      </c>
      <c r="K13680" s="33" t="s">
        <v>70</v>
      </c>
      <c r="L13680" s="31" t="s">
        <v>71</v>
      </c>
    </row>
    <row r="13681" spans="1:12">
      <c r="A13681" s="31" t="s">
        <v>72</v>
      </c>
      <c r="B13681" s="39" t="e">
        <f>TRUNC((A13668-C13680)/1000000)</f>
        <v>#REF!</v>
      </c>
      <c r="C13681" s="31" t="e">
        <f>B13681*1000000</f>
        <v>#REF!</v>
      </c>
      <c r="D13681" s="31" t="e">
        <f t="shared" si="1320"/>
        <v>#REF!</v>
      </c>
      <c r="E13681" s="31" t="e">
        <f>IF(B13680+B13681=0,"",IF(B13681=1," Million "," Millions "))</f>
        <v>#REF!</v>
      </c>
      <c r="J13681" s="31">
        <v>11</v>
      </c>
      <c r="K13681" s="33" t="s">
        <v>73</v>
      </c>
      <c r="L13681" s="31" t="s">
        <v>74</v>
      </c>
    </row>
    <row r="13682" spans="1:12">
      <c r="A13682" s="31" t="s">
        <v>75</v>
      </c>
      <c r="B13682" s="39" t="e">
        <f>TRUNC((A13668-SUM(C13680:C13681))/100000)</f>
        <v>#REF!</v>
      </c>
      <c r="C13682" s="31" t="e">
        <f>B13682*100000</f>
        <v>#REF!</v>
      </c>
      <c r="D13682" s="31" t="e">
        <f t="shared" si="1320"/>
        <v>#REF!</v>
      </c>
      <c r="E13682" s="31" t="e">
        <f>IF(B13682&lt;1,"",IF(B13682&gt;1," Hundreds "," Hundred "))</f>
        <v>#REF!</v>
      </c>
      <c r="J13682" s="31">
        <v>12</v>
      </c>
      <c r="K13682" s="33" t="s">
        <v>76</v>
      </c>
      <c r="L13682" s="31" t="str">
        <f t="shared" ref="L13682:L13689" si="1321">L13672&amp;" Belas"</f>
        <v>Dua Belas</v>
      </c>
    </row>
    <row r="13683" spans="1:12">
      <c r="A13683" s="33" t="s">
        <v>77</v>
      </c>
      <c r="B13683" s="40" t="e">
        <f>TRUNC((A13668-SUM(C13680:C13682))/1000)</f>
        <v>#REF!</v>
      </c>
      <c r="C13683" s="31" t="e">
        <f>B13683*1000</f>
        <v>#REF!</v>
      </c>
      <c r="D13683" s="31" t="e">
        <f t="shared" si="1320"/>
        <v>#REF!</v>
      </c>
      <c r="E13683" s="31" t="e">
        <f>IF(B13682+B13683=0,"",IF(B13683=1," Thousand "," Thousands "))</f>
        <v>#REF!</v>
      </c>
      <c r="J13683" s="31">
        <v>13</v>
      </c>
      <c r="K13683" s="33" t="s">
        <v>78</v>
      </c>
      <c r="L13683" s="31" t="str">
        <f t="shared" si="1321"/>
        <v>Tiga Belas</v>
      </c>
    </row>
    <row r="13684" spans="1:12">
      <c r="A13684" s="33" t="s">
        <v>79</v>
      </c>
      <c r="B13684" s="40" t="e">
        <f>TRUNC((A13668-SUM(C13680:C13683))/100)</f>
        <v>#REF!</v>
      </c>
      <c r="C13684" s="31" t="e">
        <f>B13684*100</f>
        <v>#REF!</v>
      </c>
      <c r="D13684" s="31" t="e">
        <f t="shared" si="1320"/>
        <v>#REF!</v>
      </c>
      <c r="E13684" s="31" t="e">
        <f>IF(B13684&lt;1,"",IF(B13684&gt;1," Hundreds "," Hundred "))</f>
        <v>#REF!</v>
      </c>
      <c r="J13684" s="31">
        <v>14</v>
      </c>
      <c r="K13684" s="33" t="s">
        <v>80</v>
      </c>
      <c r="L13684" s="31" t="str">
        <f t="shared" si="1321"/>
        <v>Empat Belas</v>
      </c>
    </row>
    <row r="13685" spans="1:12">
      <c r="A13685" s="33" t="s">
        <v>81</v>
      </c>
      <c r="B13685" s="41" t="e">
        <f>TRUNC((A13668-SUM(C13680:C13684)))</f>
        <v>#REF!</v>
      </c>
      <c r="C13685" s="42" t="e">
        <f>B13685</f>
        <v>#REF!</v>
      </c>
      <c r="D13685" s="31" t="e">
        <f t="shared" si="1320"/>
        <v>#REF!</v>
      </c>
      <c r="E13685" s="31" t="e">
        <f>IF(SUM(C13680:C13685)&lt;1,"",IF(B13686&lt;1,""," And "))</f>
        <v>#REF!</v>
      </c>
      <c r="J13685" s="31">
        <v>15</v>
      </c>
      <c r="K13685" s="33" t="s">
        <v>82</v>
      </c>
      <c r="L13685" s="31" t="str">
        <f t="shared" si="1321"/>
        <v>Lima Belas</v>
      </c>
    </row>
    <row r="13686" spans="1:12">
      <c r="A13686" s="33" t="s">
        <v>83</v>
      </c>
      <c r="B13686" s="40" t="e">
        <f>ROUND(A13668-SUM(C13680:C13685),2)*100</f>
        <v>#REF!</v>
      </c>
      <c r="D13686" s="43" t="e">
        <f t="shared" si="1320"/>
        <v>#REF!</v>
      </c>
      <c r="E13686" s="31" t="e">
        <f>IF(B13686&lt;1,"",IF(B13686=1," Cent "," Cents "))</f>
        <v>#REF!</v>
      </c>
      <c r="J13686" s="31">
        <v>16</v>
      </c>
      <c r="K13686" s="33" t="s">
        <v>84</v>
      </c>
      <c r="L13686" s="31" t="str">
        <f t="shared" si="1321"/>
        <v>Enam Belas</v>
      </c>
    </row>
    <row r="13687" spans="1:12">
      <c r="J13687" s="31">
        <v>17</v>
      </c>
      <c r="K13687" s="33" t="s">
        <v>85</v>
      </c>
      <c r="L13687" s="31" t="str">
        <f t="shared" si="1321"/>
        <v>Tujuh Belas</v>
      </c>
    </row>
    <row r="13688" spans="1:12">
      <c r="A13688" s="44"/>
      <c r="J13688" s="31">
        <v>18</v>
      </c>
      <c r="K13688" s="33" t="s">
        <v>86</v>
      </c>
      <c r="L13688" s="31" t="str">
        <f t="shared" si="1321"/>
        <v>Delapan Belas</v>
      </c>
    </row>
    <row r="13689" spans="1:12">
      <c r="A13689" s="38" t="s">
        <v>87</v>
      </c>
      <c r="J13689" s="31">
        <v>19</v>
      </c>
      <c r="K13689" s="33" t="s">
        <v>88</v>
      </c>
      <c r="L13689" s="31" t="str">
        <f t="shared" si="1321"/>
        <v>Sembilan Belas</v>
      </c>
    </row>
    <row r="13690" spans="1:12">
      <c r="A13690" s="31" t="s">
        <v>69</v>
      </c>
      <c r="B13690" s="39" t="e">
        <f>TRUNC(A13668/100000000)</f>
        <v>#REF!</v>
      </c>
      <c r="C13690" s="31" t="e">
        <f>B13690*100000000</f>
        <v>#REF!</v>
      </c>
      <c r="D13690" s="31" t="e">
        <f>IF(B13690&lt;1,"",IF(B13690=1,"",VLOOKUP(B13690,$J$3:$L$102,3)))</f>
        <v>#REF!</v>
      </c>
      <c r="E13690" s="31" t="e">
        <f>IF(B13690&lt;1,"",IF(B13690=1,"Seratus "," Ratus "))</f>
        <v>#REF!</v>
      </c>
      <c r="J13690" s="31">
        <v>20</v>
      </c>
      <c r="K13690" s="33" t="s">
        <v>89</v>
      </c>
      <c r="L13690" s="31" t="s">
        <v>90</v>
      </c>
    </row>
    <row r="13691" spans="1:12">
      <c r="A13691" s="31" t="s">
        <v>72</v>
      </c>
      <c r="B13691" s="39" t="e">
        <f>TRUNC((A13668-C13690)/1000000)</f>
        <v>#REF!</v>
      </c>
      <c r="C13691" s="31" t="e">
        <f>B13691*1000000</f>
        <v>#REF!</v>
      </c>
      <c r="D13691" s="31" t="e">
        <f>IF(B13691&lt;1,"",VLOOKUP(B13691,$J$3:$L$102,3))</f>
        <v>#REF!</v>
      </c>
      <c r="E13691" s="31" t="e">
        <f>IF(B13690+B13691=0,""," Juta ")</f>
        <v>#REF!</v>
      </c>
      <c r="J13691" s="31">
        <v>21</v>
      </c>
      <c r="K13691" s="33" t="s">
        <v>91</v>
      </c>
      <c r="L13691" s="31" t="str">
        <f t="shared" ref="L13691:L13699" si="1322">$L$23&amp;" "&amp;L13671</f>
        <v>Dua Puluh Satu</v>
      </c>
    </row>
    <row r="13692" spans="1:12">
      <c r="A13692" s="31" t="s">
        <v>75</v>
      </c>
      <c r="B13692" s="39" t="e">
        <f>TRUNC((A13668-SUM(C13690:C13691))/100000)</f>
        <v>#REF!</v>
      </c>
      <c r="C13692" s="31" t="e">
        <f>B13692*100000</f>
        <v>#REF!</v>
      </c>
      <c r="D13692" s="31" t="e">
        <f>IF(B13692&lt;1,"",IF(B13692=1,"",VLOOKUP(B13692,$J$3:$L$102,3)))</f>
        <v>#REF!</v>
      </c>
      <c r="E13692" s="31" t="e">
        <f>IF(B13692&lt;1,"",IF(B13692=1," Seratus "," Ratus "))</f>
        <v>#REF!</v>
      </c>
      <c r="J13692" s="31">
        <v>22</v>
      </c>
      <c r="K13692" s="33" t="s">
        <v>92</v>
      </c>
      <c r="L13692" s="31" t="str">
        <f t="shared" si="1322"/>
        <v>Dua Puluh Dua</v>
      </c>
    </row>
    <row r="13693" spans="1:12">
      <c r="A13693" s="33" t="s">
        <v>77</v>
      </c>
      <c r="B13693" s="40" t="e">
        <f>TRUNC((A13668-SUM(C13690:C13692))/1000)</f>
        <v>#REF!</v>
      </c>
      <c r="C13693" s="31" t="e">
        <f>B13693*1000</f>
        <v>#REF!</v>
      </c>
      <c r="D13693" s="31" t="e">
        <f>IF(B13693&lt;1,"",IF(B13693=1,"",VLOOKUP(B13693,$J$3:$L$102,3)))</f>
        <v>#REF!</v>
      </c>
      <c r="E13693" s="31" t="e">
        <f>IF(B13692+B13693&lt;1,"",IF(B13693=1," Seribu "," Ribu "))</f>
        <v>#REF!</v>
      </c>
      <c r="J13693" s="31">
        <v>23</v>
      </c>
      <c r="K13693" s="33" t="s">
        <v>93</v>
      </c>
      <c r="L13693" s="31" t="str">
        <f t="shared" si="1322"/>
        <v>Dua Puluh Tiga</v>
      </c>
    </row>
    <row r="13694" spans="1:12">
      <c r="A13694" s="33" t="s">
        <v>79</v>
      </c>
      <c r="B13694" s="40" t="e">
        <f>TRUNC((A13668-SUM(C13690:C13693))/100)</f>
        <v>#REF!</v>
      </c>
      <c r="C13694" s="31" t="e">
        <f>B13694*100</f>
        <v>#REF!</v>
      </c>
      <c r="D13694" s="31" t="e">
        <f>IF(B13694&lt;1,"",IF(B13694=1,"",VLOOKUP(B13694,$J$3:$L$102,3)))</f>
        <v>#REF!</v>
      </c>
      <c r="E13694" s="31" t="e">
        <f>IF(B13694&lt;1,"",IF(B13694=1," Seratus "," Ratus "))</f>
        <v>#REF!</v>
      </c>
      <c r="J13694" s="31">
        <v>24</v>
      </c>
      <c r="K13694" s="33" t="s">
        <v>94</v>
      </c>
      <c r="L13694" s="31" t="str">
        <f t="shared" si="1322"/>
        <v>Dua Puluh Empat</v>
      </c>
    </row>
    <row r="13695" spans="1:12">
      <c r="A13695" s="33" t="s">
        <v>81</v>
      </c>
      <c r="B13695" s="41" t="e">
        <f>TRUNC((A13668-SUM(C13690:C13694)))</f>
        <v>#REF!</v>
      </c>
      <c r="C13695" s="42" t="e">
        <f>B13695</f>
        <v>#REF!</v>
      </c>
      <c r="D13695" s="31" t="e">
        <f>IF(B13695&lt;1,"",VLOOKUP(B13695,$J$3:$L$102,3))</f>
        <v>#REF!</v>
      </c>
      <c r="E13695" s="31" t="e">
        <f>IF(SUM(C13690:C13695)&lt;1,"",IF(B13696&lt;1,""," Dan "))</f>
        <v>#REF!</v>
      </c>
      <c r="J13695" s="31">
        <v>25</v>
      </c>
      <c r="K13695" s="33" t="s">
        <v>95</v>
      </c>
      <c r="L13695" s="31" t="str">
        <f t="shared" si="1322"/>
        <v>Dua Puluh Lima</v>
      </c>
    </row>
    <row r="13696" spans="1:12">
      <c r="A13696" s="33" t="s">
        <v>83</v>
      </c>
      <c r="B13696" s="40" t="e">
        <f>ROUND(A13668-SUM(C13690:C13695),2)*100</f>
        <v>#REF!</v>
      </c>
      <c r="D13696" s="31" t="e">
        <f>IF(B13696&lt;1,"",VLOOKUP(B13696,$J$3:$L$102,3))</f>
        <v>#REF!</v>
      </c>
      <c r="E13696" s="31" t="e">
        <f>IF(B13696&lt;1,""," Sen ")</f>
        <v>#REF!</v>
      </c>
      <c r="J13696" s="31">
        <v>26</v>
      </c>
      <c r="K13696" s="33" t="s">
        <v>96</v>
      </c>
      <c r="L13696" s="31" t="str">
        <f t="shared" si="1322"/>
        <v>Dua Puluh Enam</v>
      </c>
    </row>
    <row r="13697" spans="1:12">
      <c r="J13697" s="31">
        <v>27</v>
      </c>
      <c r="K13697" s="33" t="s">
        <v>97</v>
      </c>
      <c r="L13697" s="31" t="str">
        <f t="shared" si="1322"/>
        <v>Dua Puluh Tujuh</v>
      </c>
    </row>
    <row r="13698" spans="1:12">
      <c r="J13698" s="31">
        <v>28</v>
      </c>
      <c r="K13698" s="33" t="s">
        <v>98</v>
      </c>
      <c r="L13698" s="31" t="str">
        <f t="shared" si="1322"/>
        <v>Dua Puluh Delapan</v>
      </c>
    </row>
    <row r="13699" spans="1:12">
      <c r="J13699" s="31">
        <v>29</v>
      </c>
      <c r="K13699" s="33" t="s">
        <v>99</v>
      </c>
      <c r="L13699" s="31" t="str">
        <f t="shared" si="1322"/>
        <v>Dua Puluh Sembilan</v>
      </c>
    </row>
    <row r="13700" spans="1:12">
      <c r="J13700" s="31">
        <v>30</v>
      </c>
      <c r="K13700" s="33" t="s">
        <v>100</v>
      </c>
      <c r="L13700" s="31" t="s">
        <v>101</v>
      </c>
    </row>
    <row r="13701" spans="1:12">
      <c r="J13701" s="31">
        <v>31</v>
      </c>
      <c r="K13701" s="33" t="s">
        <v>102</v>
      </c>
      <c r="L13701" s="31" t="str">
        <f t="shared" ref="L13701:L13709" si="1323">$L$33&amp;" "&amp;L13671</f>
        <v>Tiga Puluh Satu</v>
      </c>
    </row>
    <row r="13702" spans="1:12">
      <c r="J13702" s="31">
        <v>32</v>
      </c>
      <c r="K13702" s="33" t="s">
        <v>103</v>
      </c>
      <c r="L13702" s="31" t="str">
        <f t="shared" si="1323"/>
        <v>Tiga Puluh Dua</v>
      </c>
    </row>
    <row r="13703" spans="1:12">
      <c r="J13703" s="31">
        <v>33</v>
      </c>
      <c r="K13703" s="33" t="s">
        <v>104</v>
      </c>
      <c r="L13703" s="31" t="str">
        <f t="shared" si="1323"/>
        <v>Tiga Puluh Tiga</v>
      </c>
    </row>
    <row r="13704" spans="1:12">
      <c r="J13704" s="31">
        <v>34</v>
      </c>
      <c r="K13704" s="33" t="s">
        <v>105</v>
      </c>
      <c r="L13704" s="31" t="str">
        <f t="shared" si="1323"/>
        <v>Tiga Puluh Empat</v>
      </c>
    </row>
    <row r="13705" spans="1:12">
      <c r="J13705" s="31">
        <v>35</v>
      </c>
      <c r="K13705" s="33" t="s">
        <v>106</v>
      </c>
      <c r="L13705" s="31" t="str">
        <f t="shared" si="1323"/>
        <v>Tiga Puluh Lima</v>
      </c>
    </row>
    <row r="13706" spans="1:12">
      <c r="J13706" s="31">
        <v>36</v>
      </c>
      <c r="K13706" s="33" t="s">
        <v>107</v>
      </c>
      <c r="L13706" s="31" t="str">
        <f t="shared" si="1323"/>
        <v>Tiga Puluh Enam</v>
      </c>
    </row>
    <row r="13707" spans="1:12">
      <c r="J13707" s="31">
        <v>37</v>
      </c>
      <c r="K13707" s="33" t="s">
        <v>108</v>
      </c>
      <c r="L13707" s="31" t="str">
        <f t="shared" si="1323"/>
        <v>Tiga Puluh Tujuh</v>
      </c>
    </row>
    <row r="13708" spans="1:12">
      <c r="J13708" s="31">
        <v>38</v>
      </c>
      <c r="K13708" s="33" t="s">
        <v>109</v>
      </c>
      <c r="L13708" s="31" t="str">
        <f t="shared" si="1323"/>
        <v>Tiga Puluh Delapan</v>
      </c>
    </row>
    <row r="13709" spans="1:12">
      <c r="J13709" s="31">
        <v>39</v>
      </c>
      <c r="K13709" s="33" t="s">
        <v>110</v>
      </c>
      <c r="L13709" s="31" t="str">
        <f t="shared" si="1323"/>
        <v>Tiga Puluh Sembilan</v>
      </c>
    </row>
    <row r="13710" spans="1:12">
      <c r="B13710" s="35"/>
      <c r="C13710" s="35"/>
      <c r="D13710" s="35"/>
      <c r="J13710" s="31">
        <v>40</v>
      </c>
      <c r="K13710" s="33" t="s">
        <v>111</v>
      </c>
      <c r="L13710" s="31" t="s">
        <v>112</v>
      </c>
    </row>
    <row r="13711" spans="1:12">
      <c r="A13711" s="35"/>
      <c r="B13711" s="35"/>
      <c r="C13711" s="35"/>
      <c r="D13711" s="35"/>
      <c r="J13711" s="31">
        <v>41</v>
      </c>
      <c r="K13711" s="33" t="s">
        <v>113</v>
      </c>
      <c r="L13711" s="31" t="str">
        <f t="shared" ref="L13711:L13719" si="1324">$L$43&amp;" "&amp;L13671</f>
        <v>Empat Puluh Satu</v>
      </c>
    </row>
    <row r="13712" spans="1:12">
      <c r="J13712" s="31">
        <v>42</v>
      </c>
      <c r="K13712" s="33" t="s">
        <v>114</v>
      </c>
      <c r="L13712" s="31" t="str">
        <f t="shared" si="1324"/>
        <v>Empat Puluh Dua</v>
      </c>
    </row>
    <row r="13713" spans="1:12">
      <c r="A13713" s="38"/>
      <c r="J13713" s="31">
        <v>43</v>
      </c>
      <c r="K13713" s="33" t="s">
        <v>115</v>
      </c>
      <c r="L13713" s="31" t="str">
        <f t="shared" si="1324"/>
        <v>Empat Puluh Tiga</v>
      </c>
    </row>
    <row r="13714" spans="1:12">
      <c r="J13714" s="31">
        <v>44</v>
      </c>
      <c r="K13714" s="33" t="s">
        <v>116</v>
      </c>
      <c r="L13714" s="31" t="str">
        <f t="shared" si="1324"/>
        <v>Empat Puluh Empat</v>
      </c>
    </row>
    <row r="13715" spans="1:12">
      <c r="J13715" s="31">
        <v>45</v>
      </c>
      <c r="K13715" s="33" t="s">
        <v>117</v>
      </c>
      <c r="L13715" s="31" t="str">
        <f t="shared" si="1324"/>
        <v>Empat Puluh Lima</v>
      </c>
    </row>
    <row r="13716" spans="1:12">
      <c r="J13716" s="31">
        <v>46</v>
      </c>
      <c r="K13716" s="33" t="s">
        <v>118</v>
      </c>
      <c r="L13716" s="31" t="str">
        <f t="shared" si="1324"/>
        <v>Empat Puluh Enam</v>
      </c>
    </row>
    <row r="13717" spans="1:12">
      <c r="J13717" s="31">
        <v>47</v>
      </c>
      <c r="K13717" s="33" t="s">
        <v>119</v>
      </c>
      <c r="L13717" s="31" t="str">
        <f t="shared" si="1324"/>
        <v>Empat Puluh Tujuh</v>
      </c>
    </row>
    <row r="13718" spans="1:12">
      <c r="J13718" s="31">
        <v>48</v>
      </c>
      <c r="K13718" s="33" t="s">
        <v>120</v>
      </c>
      <c r="L13718" s="31" t="str">
        <f t="shared" si="1324"/>
        <v>Empat Puluh Delapan</v>
      </c>
    </row>
    <row r="13719" spans="1:12">
      <c r="J13719" s="31">
        <v>49</v>
      </c>
      <c r="K13719" s="33" t="s">
        <v>121</v>
      </c>
      <c r="L13719" s="31" t="str">
        <f t="shared" si="1324"/>
        <v>Empat Puluh Sembilan</v>
      </c>
    </row>
    <row r="13720" spans="1:12">
      <c r="J13720" s="31">
        <v>50</v>
      </c>
      <c r="K13720" s="33" t="s">
        <v>122</v>
      </c>
      <c r="L13720" s="31" t="s">
        <v>123</v>
      </c>
    </row>
    <row r="13721" spans="1:12">
      <c r="J13721" s="31">
        <v>51</v>
      </c>
      <c r="K13721" s="33" t="s">
        <v>124</v>
      </c>
      <c r="L13721" s="31" t="str">
        <f t="shared" ref="L13721:L13729" si="1325">$L$53&amp;" "&amp;L13671</f>
        <v>Lima Puluh Satu</v>
      </c>
    </row>
    <row r="13722" spans="1:12">
      <c r="J13722" s="31">
        <v>52</v>
      </c>
      <c r="K13722" s="33" t="s">
        <v>125</v>
      </c>
      <c r="L13722" s="31" t="str">
        <f t="shared" si="1325"/>
        <v>Lima Puluh Dua</v>
      </c>
    </row>
    <row r="13723" spans="1:12">
      <c r="J13723" s="31">
        <v>53</v>
      </c>
      <c r="K13723" s="33" t="s">
        <v>126</v>
      </c>
      <c r="L13723" s="31" t="str">
        <f t="shared" si="1325"/>
        <v>Lima Puluh Tiga</v>
      </c>
    </row>
    <row r="13724" spans="1:12">
      <c r="J13724" s="31">
        <v>54</v>
      </c>
      <c r="K13724" s="33" t="s">
        <v>127</v>
      </c>
      <c r="L13724" s="31" t="str">
        <f t="shared" si="1325"/>
        <v>Lima Puluh Empat</v>
      </c>
    </row>
    <row r="13725" spans="1:12">
      <c r="J13725" s="31">
        <v>55</v>
      </c>
      <c r="K13725" s="33" t="s">
        <v>128</v>
      </c>
      <c r="L13725" s="31" t="str">
        <f t="shared" si="1325"/>
        <v>Lima Puluh Lima</v>
      </c>
    </row>
    <row r="13726" spans="1:12">
      <c r="J13726" s="31">
        <v>56</v>
      </c>
      <c r="K13726" s="33" t="s">
        <v>129</v>
      </c>
      <c r="L13726" s="31" t="str">
        <f t="shared" si="1325"/>
        <v>Lima Puluh Enam</v>
      </c>
    </row>
    <row r="13727" spans="1:12">
      <c r="J13727" s="31">
        <v>57</v>
      </c>
      <c r="K13727" s="33" t="s">
        <v>130</v>
      </c>
      <c r="L13727" s="31" t="str">
        <f t="shared" si="1325"/>
        <v>Lima Puluh Tujuh</v>
      </c>
    </row>
    <row r="13728" spans="1:12">
      <c r="J13728" s="31">
        <v>58</v>
      </c>
      <c r="K13728" s="33" t="s">
        <v>131</v>
      </c>
      <c r="L13728" s="31" t="str">
        <f t="shared" si="1325"/>
        <v>Lima Puluh Delapan</v>
      </c>
    </row>
    <row r="13729" spans="10:12">
      <c r="J13729" s="31">
        <v>59</v>
      </c>
      <c r="K13729" s="33" t="s">
        <v>132</v>
      </c>
      <c r="L13729" s="31" t="str">
        <f t="shared" si="1325"/>
        <v>Lima Puluh Sembilan</v>
      </c>
    </row>
    <row r="13730" spans="10:12">
      <c r="J13730" s="31">
        <v>60</v>
      </c>
      <c r="K13730" s="33" t="s">
        <v>133</v>
      </c>
      <c r="L13730" s="31" t="s">
        <v>134</v>
      </c>
    </row>
    <row r="13731" spans="10:12">
      <c r="J13731" s="31">
        <v>61</v>
      </c>
      <c r="K13731" s="33" t="s">
        <v>135</v>
      </c>
      <c r="L13731" s="31" t="str">
        <f t="shared" ref="L13731:L13739" si="1326">$L$63&amp;" "&amp;L13671</f>
        <v>Enam Puluh Satu</v>
      </c>
    </row>
    <row r="13732" spans="10:12">
      <c r="J13732" s="31">
        <v>62</v>
      </c>
      <c r="K13732" s="33" t="s">
        <v>136</v>
      </c>
      <c r="L13732" s="31" t="str">
        <f t="shared" si="1326"/>
        <v>Enam Puluh Dua</v>
      </c>
    </row>
    <row r="13733" spans="10:12">
      <c r="J13733" s="31">
        <v>63</v>
      </c>
      <c r="K13733" s="33" t="s">
        <v>137</v>
      </c>
      <c r="L13733" s="31" t="str">
        <f t="shared" si="1326"/>
        <v>Enam Puluh Tiga</v>
      </c>
    </row>
    <row r="13734" spans="10:12">
      <c r="J13734" s="31">
        <v>64</v>
      </c>
      <c r="K13734" s="33" t="s">
        <v>138</v>
      </c>
      <c r="L13734" s="31" t="str">
        <f t="shared" si="1326"/>
        <v>Enam Puluh Empat</v>
      </c>
    </row>
    <row r="13735" spans="10:12">
      <c r="J13735" s="31">
        <v>65</v>
      </c>
      <c r="K13735" s="33" t="s">
        <v>139</v>
      </c>
      <c r="L13735" s="31" t="str">
        <f t="shared" si="1326"/>
        <v>Enam Puluh Lima</v>
      </c>
    </row>
    <row r="13736" spans="10:12">
      <c r="J13736" s="31">
        <v>66</v>
      </c>
      <c r="K13736" s="33" t="s">
        <v>140</v>
      </c>
      <c r="L13736" s="31" t="str">
        <f t="shared" si="1326"/>
        <v>Enam Puluh Enam</v>
      </c>
    </row>
    <row r="13737" spans="10:12">
      <c r="J13737" s="31">
        <v>67</v>
      </c>
      <c r="K13737" s="33" t="s">
        <v>141</v>
      </c>
      <c r="L13737" s="31" t="str">
        <f t="shared" si="1326"/>
        <v>Enam Puluh Tujuh</v>
      </c>
    </row>
    <row r="13738" spans="10:12">
      <c r="J13738" s="31">
        <v>68</v>
      </c>
      <c r="K13738" s="33" t="s">
        <v>142</v>
      </c>
      <c r="L13738" s="31" t="str">
        <f t="shared" si="1326"/>
        <v>Enam Puluh Delapan</v>
      </c>
    </row>
    <row r="13739" spans="10:12">
      <c r="J13739" s="31">
        <v>69</v>
      </c>
      <c r="K13739" s="33" t="s">
        <v>143</v>
      </c>
      <c r="L13739" s="31" t="str">
        <f t="shared" si="1326"/>
        <v>Enam Puluh Sembilan</v>
      </c>
    </row>
    <row r="13740" spans="10:12">
      <c r="J13740" s="31">
        <v>70</v>
      </c>
      <c r="K13740" s="33" t="s">
        <v>144</v>
      </c>
      <c r="L13740" s="31" t="s">
        <v>145</v>
      </c>
    </row>
    <row r="13741" spans="10:12">
      <c r="J13741" s="31">
        <v>71</v>
      </c>
      <c r="K13741" s="33" t="s">
        <v>146</v>
      </c>
      <c r="L13741" s="31" t="str">
        <f t="shared" ref="L13741:L13749" si="1327">$L$73&amp;" "&amp;L13671</f>
        <v>Tujuh Puluh Satu</v>
      </c>
    </row>
    <row r="13742" spans="10:12">
      <c r="J13742" s="31">
        <v>72</v>
      </c>
      <c r="K13742" s="33" t="s">
        <v>147</v>
      </c>
      <c r="L13742" s="31" t="str">
        <f t="shared" si="1327"/>
        <v>Tujuh Puluh Dua</v>
      </c>
    </row>
    <row r="13743" spans="10:12">
      <c r="J13743" s="31">
        <v>73</v>
      </c>
      <c r="K13743" s="33" t="s">
        <v>148</v>
      </c>
      <c r="L13743" s="31" t="str">
        <f t="shared" si="1327"/>
        <v>Tujuh Puluh Tiga</v>
      </c>
    </row>
    <row r="13744" spans="10:12">
      <c r="J13744" s="31">
        <v>74</v>
      </c>
      <c r="K13744" s="33" t="s">
        <v>149</v>
      </c>
      <c r="L13744" s="31" t="str">
        <f t="shared" si="1327"/>
        <v>Tujuh Puluh Empat</v>
      </c>
    </row>
    <row r="13745" spans="10:12">
      <c r="J13745" s="31">
        <v>75</v>
      </c>
      <c r="K13745" s="33" t="s">
        <v>150</v>
      </c>
      <c r="L13745" s="31" t="str">
        <f t="shared" si="1327"/>
        <v>Tujuh Puluh Lima</v>
      </c>
    </row>
    <row r="13746" spans="10:12">
      <c r="J13746" s="31">
        <v>76</v>
      </c>
      <c r="K13746" s="33" t="s">
        <v>151</v>
      </c>
      <c r="L13746" s="31" t="str">
        <f t="shared" si="1327"/>
        <v>Tujuh Puluh Enam</v>
      </c>
    </row>
    <row r="13747" spans="10:12">
      <c r="J13747" s="31">
        <v>77</v>
      </c>
      <c r="K13747" s="33" t="s">
        <v>152</v>
      </c>
      <c r="L13747" s="31" t="str">
        <f t="shared" si="1327"/>
        <v>Tujuh Puluh Tujuh</v>
      </c>
    </row>
    <row r="13748" spans="10:12">
      <c r="J13748" s="31">
        <v>78</v>
      </c>
      <c r="K13748" s="33" t="s">
        <v>153</v>
      </c>
      <c r="L13748" s="31" t="str">
        <f t="shared" si="1327"/>
        <v>Tujuh Puluh Delapan</v>
      </c>
    </row>
    <row r="13749" spans="10:12">
      <c r="J13749" s="31">
        <v>79</v>
      </c>
      <c r="K13749" s="33" t="s">
        <v>154</v>
      </c>
      <c r="L13749" s="31" t="str">
        <f t="shared" si="1327"/>
        <v>Tujuh Puluh Sembilan</v>
      </c>
    </row>
    <row r="13750" spans="10:12">
      <c r="J13750" s="31">
        <v>80</v>
      </c>
      <c r="K13750" s="33" t="s">
        <v>155</v>
      </c>
      <c r="L13750" s="31" t="s">
        <v>156</v>
      </c>
    </row>
    <row r="13751" spans="10:12">
      <c r="J13751" s="31">
        <v>81</v>
      </c>
      <c r="K13751" s="33" t="s">
        <v>157</v>
      </c>
      <c r="L13751" s="31" t="str">
        <f t="shared" ref="L13751:L13759" si="1328">$L$83&amp;" "&amp;L13671</f>
        <v>Delapan Puluh Satu</v>
      </c>
    </row>
    <row r="13752" spans="10:12">
      <c r="J13752" s="31">
        <v>82</v>
      </c>
      <c r="K13752" s="33" t="s">
        <v>158</v>
      </c>
      <c r="L13752" s="31" t="str">
        <f t="shared" si="1328"/>
        <v>Delapan Puluh Dua</v>
      </c>
    </row>
    <row r="13753" spans="10:12">
      <c r="J13753" s="31">
        <v>83</v>
      </c>
      <c r="K13753" s="33" t="s">
        <v>159</v>
      </c>
      <c r="L13753" s="31" t="str">
        <f t="shared" si="1328"/>
        <v>Delapan Puluh Tiga</v>
      </c>
    </row>
    <row r="13754" spans="10:12">
      <c r="J13754" s="31">
        <v>84</v>
      </c>
      <c r="K13754" s="33" t="s">
        <v>160</v>
      </c>
      <c r="L13754" s="31" t="str">
        <f t="shared" si="1328"/>
        <v>Delapan Puluh Empat</v>
      </c>
    </row>
    <row r="13755" spans="10:12">
      <c r="J13755" s="31">
        <v>85</v>
      </c>
      <c r="K13755" s="33" t="s">
        <v>161</v>
      </c>
      <c r="L13755" s="31" t="str">
        <f t="shared" si="1328"/>
        <v>Delapan Puluh Lima</v>
      </c>
    </row>
    <row r="13756" spans="10:12">
      <c r="J13756" s="31">
        <v>86</v>
      </c>
      <c r="K13756" s="33" t="s">
        <v>162</v>
      </c>
      <c r="L13756" s="31" t="str">
        <f t="shared" si="1328"/>
        <v>Delapan Puluh Enam</v>
      </c>
    </row>
    <row r="13757" spans="10:12">
      <c r="J13757" s="31">
        <v>87</v>
      </c>
      <c r="K13757" s="33" t="s">
        <v>163</v>
      </c>
      <c r="L13757" s="31" t="str">
        <f t="shared" si="1328"/>
        <v>Delapan Puluh Tujuh</v>
      </c>
    </row>
    <row r="13758" spans="10:12">
      <c r="J13758" s="31">
        <v>88</v>
      </c>
      <c r="K13758" s="33" t="s">
        <v>164</v>
      </c>
      <c r="L13758" s="31" t="str">
        <f t="shared" si="1328"/>
        <v>Delapan Puluh Delapan</v>
      </c>
    </row>
    <row r="13759" spans="10:12">
      <c r="J13759" s="31">
        <v>89</v>
      </c>
      <c r="K13759" s="33" t="s">
        <v>165</v>
      </c>
      <c r="L13759" s="31" t="str">
        <f t="shared" si="1328"/>
        <v>Delapan Puluh Sembilan</v>
      </c>
    </row>
    <row r="13760" spans="10:12">
      <c r="J13760" s="31">
        <v>90</v>
      </c>
      <c r="K13760" s="33" t="s">
        <v>166</v>
      </c>
      <c r="L13760" s="31" t="s">
        <v>167</v>
      </c>
    </row>
    <row r="13761" spans="1:12">
      <c r="J13761" s="31">
        <v>91</v>
      </c>
      <c r="K13761" s="33" t="s">
        <v>168</v>
      </c>
      <c r="L13761" s="31" t="str">
        <f t="shared" ref="L13761:L13769" si="1329">$L$93&amp;" "&amp;L13671</f>
        <v>Sembilan Puluh Satu</v>
      </c>
    </row>
    <row r="13762" spans="1:12">
      <c r="J13762" s="31">
        <v>92</v>
      </c>
      <c r="K13762" s="33" t="s">
        <v>169</v>
      </c>
      <c r="L13762" s="31" t="str">
        <f t="shared" si="1329"/>
        <v>Sembilan Puluh Dua</v>
      </c>
    </row>
    <row r="13763" spans="1:12">
      <c r="J13763" s="31">
        <v>93</v>
      </c>
      <c r="K13763" s="33" t="s">
        <v>170</v>
      </c>
      <c r="L13763" s="31" t="str">
        <f t="shared" si="1329"/>
        <v>Sembilan Puluh Tiga</v>
      </c>
    </row>
    <row r="13764" spans="1:12">
      <c r="J13764" s="31">
        <v>94</v>
      </c>
      <c r="K13764" s="33" t="s">
        <v>171</v>
      </c>
      <c r="L13764" s="31" t="str">
        <f t="shared" si="1329"/>
        <v>Sembilan Puluh Empat</v>
      </c>
    </row>
    <row r="13765" spans="1:12">
      <c r="J13765" s="31">
        <v>95</v>
      </c>
      <c r="K13765" s="33" t="s">
        <v>172</v>
      </c>
      <c r="L13765" s="31" t="str">
        <f t="shared" si="1329"/>
        <v>Sembilan Puluh Lima</v>
      </c>
    </row>
    <row r="13766" spans="1:12">
      <c r="J13766" s="31">
        <v>96</v>
      </c>
      <c r="K13766" s="33" t="s">
        <v>173</v>
      </c>
      <c r="L13766" s="31" t="str">
        <f t="shared" si="1329"/>
        <v>Sembilan Puluh Enam</v>
      </c>
    </row>
    <row r="13767" spans="1:12">
      <c r="J13767" s="31">
        <v>97</v>
      </c>
      <c r="K13767" s="33" t="s">
        <v>174</v>
      </c>
      <c r="L13767" s="31" t="str">
        <f t="shared" si="1329"/>
        <v>Sembilan Puluh Tujuh</v>
      </c>
    </row>
    <row r="13768" spans="1:12">
      <c r="J13768" s="31">
        <v>98</v>
      </c>
      <c r="K13768" s="33" t="s">
        <v>175</v>
      </c>
      <c r="L13768" s="31" t="str">
        <f t="shared" si="1329"/>
        <v>Sembilan Puluh Delapan</v>
      </c>
    </row>
    <row r="13769" spans="1:12">
      <c r="J13769" s="31">
        <v>99</v>
      </c>
      <c r="K13769" s="33" t="s">
        <v>176</v>
      </c>
      <c r="L13769" s="31" t="str">
        <f t="shared" si="1329"/>
        <v>Sembilan Puluh Sembilan</v>
      </c>
    </row>
    <row r="13771" spans="1:12">
      <c r="A13771" s="30" t="e">
        <f>#REF!</f>
        <v>#REF!</v>
      </c>
      <c r="C13771" s="31" t="s">
        <v>369</v>
      </c>
    </row>
    <row r="13772" spans="1:12">
      <c r="A13772" s="32"/>
    </row>
    <row r="13773" spans="1:12">
      <c r="J13773" s="31">
        <v>0</v>
      </c>
      <c r="K13773" s="33" t="s">
        <v>48</v>
      </c>
      <c r="L13773" s="31" t="s">
        <v>49</v>
      </c>
    </row>
    <row r="13774" spans="1:12">
      <c r="A13774" s="34"/>
      <c r="J13774" s="31">
        <v>1</v>
      </c>
      <c r="K13774" s="33" t="s">
        <v>50</v>
      </c>
      <c r="L13774" s="31" t="s">
        <v>51</v>
      </c>
    </row>
    <row r="13775" spans="1:12">
      <c r="A13775" s="255" t="e">
        <f>TRIM(D13783&amp;E13783&amp;D13784&amp;E13784&amp;D13785&amp;E13785&amp;D13786&amp;E13786&amp;D13787&amp;E13787&amp;D13788&amp;E13788&amp;E13789&amp;D13789&amp;" Only")</f>
        <v>#REF!</v>
      </c>
      <c r="B13775" s="255"/>
      <c r="C13775" s="255"/>
      <c r="D13775" s="255"/>
      <c r="E13775" s="35"/>
      <c r="F13775" s="36"/>
      <c r="J13775" s="31">
        <v>2</v>
      </c>
      <c r="K13775" s="33" t="s">
        <v>52</v>
      </c>
      <c r="L13775" s="31" t="s">
        <v>53</v>
      </c>
    </row>
    <row r="13776" spans="1:12">
      <c r="A13776" s="37"/>
      <c r="B13776" s="37"/>
      <c r="C13776" s="37"/>
      <c r="D13776" s="37"/>
      <c r="E13776" s="35"/>
      <c r="F13776" s="36"/>
      <c r="J13776" s="31">
        <v>3</v>
      </c>
      <c r="K13776" s="33" t="s">
        <v>54</v>
      </c>
      <c r="L13776" s="31" t="s">
        <v>55</v>
      </c>
    </row>
    <row r="13777" spans="1:12">
      <c r="A13777" s="37"/>
      <c r="B13777" s="37"/>
      <c r="C13777" s="37"/>
      <c r="D13777" s="37"/>
      <c r="J13777" s="31">
        <v>4</v>
      </c>
      <c r="K13777" s="33" t="s">
        <v>56</v>
      </c>
      <c r="L13777" s="31" t="s">
        <v>57</v>
      </c>
    </row>
    <row r="13778" spans="1:12">
      <c r="A13778" s="255" t="e">
        <f>TRIM(D13793&amp;E13793&amp;D13794&amp;E13794&amp;D13795&amp;E13795&amp;D13796&amp;E13796&amp;D13797&amp;E13797&amp;D13798&amp;E13798&amp;D13799&amp;E13799&amp;" Rupiah")</f>
        <v>#REF!</v>
      </c>
      <c r="B13778" s="255"/>
      <c r="C13778" s="255"/>
      <c r="D13778" s="255"/>
      <c r="E13778" s="35"/>
      <c r="F13778" s="36"/>
      <c r="J13778" s="31">
        <v>5</v>
      </c>
      <c r="K13778" s="33" t="s">
        <v>58</v>
      </c>
      <c r="L13778" s="31" t="s">
        <v>59</v>
      </c>
    </row>
    <row r="13779" spans="1:12">
      <c r="A13779" s="35"/>
      <c r="B13779" s="35"/>
      <c r="C13779" s="35"/>
      <c r="D13779" s="35"/>
      <c r="E13779" s="35"/>
      <c r="F13779" s="36"/>
      <c r="J13779" s="31">
        <v>6</v>
      </c>
      <c r="K13779" s="33" t="s">
        <v>60</v>
      </c>
      <c r="L13779" s="31" t="s">
        <v>61</v>
      </c>
    </row>
    <row r="13780" spans="1:12">
      <c r="J13780" s="31">
        <v>7</v>
      </c>
      <c r="K13780" s="33" t="s">
        <v>62</v>
      </c>
      <c r="L13780" s="31" t="s">
        <v>63</v>
      </c>
    </row>
    <row r="13781" spans="1:12">
      <c r="J13781" s="31">
        <v>8</v>
      </c>
      <c r="K13781" s="33" t="s">
        <v>64</v>
      </c>
      <c r="L13781" s="31" t="s">
        <v>65</v>
      </c>
    </row>
    <row r="13782" spans="1:12">
      <c r="A13782" s="38" t="s">
        <v>66</v>
      </c>
      <c r="J13782" s="31">
        <v>9</v>
      </c>
      <c r="K13782" s="33" t="s">
        <v>67</v>
      </c>
      <c r="L13782" s="31" t="s">
        <v>68</v>
      </c>
    </row>
    <row r="13783" spans="1:12">
      <c r="A13783" s="31" t="s">
        <v>69</v>
      </c>
      <c r="B13783" s="39" t="e">
        <f>TRUNC(A13771/100000000)</f>
        <v>#REF!</v>
      </c>
      <c r="C13783" s="31" t="e">
        <f>B13783*100000000</f>
        <v>#REF!</v>
      </c>
      <c r="D13783" s="31" t="e">
        <f t="shared" ref="D13783:D13789" si="1330">IF(B13783&lt;1,"",VLOOKUP(B13783,$J$3:$K$102,2))</f>
        <v>#REF!</v>
      </c>
      <c r="E13783" s="31" t="e">
        <f>IF(B13783&lt;1,"",IF(B13783&gt;1," Hundreds "," Hundred "))</f>
        <v>#REF!</v>
      </c>
      <c r="J13783" s="31">
        <v>10</v>
      </c>
      <c r="K13783" s="33" t="s">
        <v>70</v>
      </c>
      <c r="L13783" s="31" t="s">
        <v>71</v>
      </c>
    </row>
    <row r="13784" spans="1:12">
      <c r="A13784" s="31" t="s">
        <v>72</v>
      </c>
      <c r="B13784" s="39" t="e">
        <f>TRUNC((A13771-C13783)/1000000)</f>
        <v>#REF!</v>
      </c>
      <c r="C13784" s="31" t="e">
        <f>B13784*1000000</f>
        <v>#REF!</v>
      </c>
      <c r="D13784" s="31" t="e">
        <f t="shared" si="1330"/>
        <v>#REF!</v>
      </c>
      <c r="E13784" s="31" t="e">
        <f>IF(B13783+B13784=0,"",IF(B13784=1," Million "," Millions "))</f>
        <v>#REF!</v>
      </c>
      <c r="J13784" s="31">
        <v>11</v>
      </c>
      <c r="K13784" s="33" t="s">
        <v>73</v>
      </c>
      <c r="L13784" s="31" t="s">
        <v>74</v>
      </c>
    </row>
    <row r="13785" spans="1:12">
      <c r="A13785" s="31" t="s">
        <v>75</v>
      </c>
      <c r="B13785" s="39" t="e">
        <f>TRUNC((A13771-SUM(C13783:C13784))/100000)</f>
        <v>#REF!</v>
      </c>
      <c r="C13785" s="31" t="e">
        <f>B13785*100000</f>
        <v>#REF!</v>
      </c>
      <c r="D13785" s="31" t="e">
        <f t="shared" si="1330"/>
        <v>#REF!</v>
      </c>
      <c r="E13785" s="31" t="e">
        <f>IF(B13785&lt;1,"",IF(B13785&gt;1," Hundreds "," Hundred "))</f>
        <v>#REF!</v>
      </c>
      <c r="J13785" s="31">
        <v>12</v>
      </c>
      <c r="K13785" s="33" t="s">
        <v>76</v>
      </c>
      <c r="L13785" s="31" t="str">
        <f t="shared" ref="L13785:L13792" si="1331">L13775&amp;" Belas"</f>
        <v>Dua Belas</v>
      </c>
    </row>
    <row r="13786" spans="1:12">
      <c r="A13786" s="33" t="s">
        <v>77</v>
      </c>
      <c r="B13786" s="40" t="e">
        <f>TRUNC((A13771-SUM(C13783:C13785))/1000)</f>
        <v>#REF!</v>
      </c>
      <c r="C13786" s="31" t="e">
        <f>B13786*1000</f>
        <v>#REF!</v>
      </c>
      <c r="D13786" s="31" t="e">
        <f t="shared" si="1330"/>
        <v>#REF!</v>
      </c>
      <c r="E13786" s="31" t="e">
        <f>IF(B13785+B13786=0,"",IF(B13786=1," Thousand "," Thousands "))</f>
        <v>#REF!</v>
      </c>
      <c r="J13786" s="31">
        <v>13</v>
      </c>
      <c r="K13786" s="33" t="s">
        <v>78</v>
      </c>
      <c r="L13786" s="31" t="str">
        <f t="shared" si="1331"/>
        <v>Tiga Belas</v>
      </c>
    </row>
    <row r="13787" spans="1:12">
      <c r="A13787" s="33" t="s">
        <v>79</v>
      </c>
      <c r="B13787" s="40" t="e">
        <f>TRUNC((A13771-SUM(C13783:C13786))/100)</f>
        <v>#REF!</v>
      </c>
      <c r="C13787" s="31" t="e">
        <f>B13787*100</f>
        <v>#REF!</v>
      </c>
      <c r="D13787" s="31" t="e">
        <f t="shared" si="1330"/>
        <v>#REF!</v>
      </c>
      <c r="E13787" s="31" t="e">
        <f>IF(B13787&lt;1,"",IF(B13787&gt;1," Hundreds "," Hundred "))</f>
        <v>#REF!</v>
      </c>
      <c r="J13787" s="31">
        <v>14</v>
      </c>
      <c r="K13787" s="33" t="s">
        <v>80</v>
      </c>
      <c r="L13787" s="31" t="str">
        <f t="shared" si="1331"/>
        <v>Empat Belas</v>
      </c>
    </row>
    <row r="13788" spans="1:12">
      <c r="A13788" s="33" t="s">
        <v>81</v>
      </c>
      <c r="B13788" s="41" t="e">
        <f>TRUNC((A13771-SUM(C13783:C13787)))</f>
        <v>#REF!</v>
      </c>
      <c r="C13788" s="42" t="e">
        <f>B13788</f>
        <v>#REF!</v>
      </c>
      <c r="D13788" s="31" t="e">
        <f t="shared" si="1330"/>
        <v>#REF!</v>
      </c>
      <c r="E13788" s="31" t="e">
        <f>IF(SUM(C13783:C13788)&lt;1,"",IF(B13789&lt;1,""," And "))</f>
        <v>#REF!</v>
      </c>
      <c r="J13788" s="31">
        <v>15</v>
      </c>
      <c r="K13788" s="33" t="s">
        <v>82</v>
      </c>
      <c r="L13788" s="31" t="str">
        <f t="shared" si="1331"/>
        <v>Lima Belas</v>
      </c>
    </row>
    <row r="13789" spans="1:12">
      <c r="A13789" s="33" t="s">
        <v>83</v>
      </c>
      <c r="B13789" s="40" t="e">
        <f>ROUND(A13771-SUM(C13783:C13788),2)*100</f>
        <v>#REF!</v>
      </c>
      <c r="D13789" s="43" t="e">
        <f t="shared" si="1330"/>
        <v>#REF!</v>
      </c>
      <c r="E13789" s="31" t="e">
        <f>IF(B13789&lt;1,"",IF(B13789=1," Cent "," Cents "))</f>
        <v>#REF!</v>
      </c>
      <c r="J13789" s="31">
        <v>16</v>
      </c>
      <c r="K13789" s="33" t="s">
        <v>84</v>
      </c>
      <c r="L13789" s="31" t="str">
        <f t="shared" si="1331"/>
        <v>Enam Belas</v>
      </c>
    </row>
    <row r="13790" spans="1:12">
      <c r="J13790" s="31">
        <v>17</v>
      </c>
      <c r="K13790" s="33" t="s">
        <v>85</v>
      </c>
      <c r="L13790" s="31" t="str">
        <f t="shared" si="1331"/>
        <v>Tujuh Belas</v>
      </c>
    </row>
    <row r="13791" spans="1:12">
      <c r="A13791" s="44"/>
      <c r="J13791" s="31">
        <v>18</v>
      </c>
      <c r="K13791" s="33" t="s">
        <v>86</v>
      </c>
      <c r="L13791" s="31" t="str">
        <f t="shared" si="1331"/>
        <v>Delapan Belas</v>
      </c>
    </row>
    <row r="13792" spans="1:12">
      <c r="A13792" s="38" t="s">
        <v>87</v>
      </c>
      <c r="J13792" s="31">
        <v>19</v>
      </c>
      <c r="K13792" s="33" t="s">
        <v>88</v>
      </c>
      <c r="L13792" s="31" t="str">
        <f t="shared" si="1331"/>
        <v>Sembilan Belas</v>
      </c>
    </row>
    <row r="13793" spans="1:12">
      <c r="A13793" s="31" t="s">
        <v>69</v>
      </c>
      <c r="B13793" s="39" t="e">
        <f>TRUNC(A13771/100000000)</f>
        <v>#REF!</v>
      </c>
      <c r="C13793" s="31" t="e">
        <f>B13793*100000000</f>
        <v>#REF!</v>
      </c>
      <c r="D13793" s="31" t="e">
        <f>IF(B13793&lt;1,"",IF(B13793=1,"",VLOOKUP(B13793,$J$3:$L$102,3)))</f>
        <v>#REF!</v>
      </c>
      <c r="E13793" s="31" t="e">
        <f>IF(B13793&lt;1,"",IF(B13793=1,"Seratus "," Ratus "))</f>
        <v>#REF!</v>
      </c>
      <c r="J13793" s="31">
        <v>20</v>
      </c>
      <c r="K13793" s="33" t="s">
        <v>89</v>
      </c>
      <c r="L13793" s="31" t="s">
        <v>90</v>
      </c>
    </row>
    <row r="13794" spans="1:12">
      <c r="A13794" s="31" t="s">
        <v>72</v>
      </c>
      <c r="B13794" s="39" t="e">
        <f>TRUNC((A13771-C13793)/1000000)</f>
        <v>#REF!</v>
      </c>
      <c r="C13794" s="31" t="e">
        <f>B13794*1000000</f>
        <v>#REF!</v>
      </c>
      <c r="D13794" s="31" t="e">
        <f>IF(B13794&lt;1,"",VLOOKUP(B13794,$J$3:$L$102,3))</f>
        <v>#REF!</v>
      </c>
      <c r="E13794" s="31" t="e">
        <f>IF(B13793+B13794=0,""," Juta ")</f>
        <v>#REF!</v>
      </c>
      <c r="J13794" s="31">
        <v>21</v>
      </c>
      <c r="K13794" s="33" t="s">
        <v>91</v>
      </c>
      <c r="L13794" s="31" t="str">
        <f t="shared" ref="L13794:L13802" si="1332">$L$23&amp;" "&amp;L13774</f>
        <v>Dua Puluh Satu</v>
      </c>
    </row>
    <row r="13795" spans="1:12">
      <c r="A13795" s="31" t="s">
        <v>75</v>
      </c>
      <c r="B13795" s="39" t="e">
        <f>TRUNC((A13771-SUM(C13793:C13794))/100000)</f>
        <v>#REF!</v>
      </c>
      <c r="C13795" s="31" t="e">
        <f>B13795*100000</f>
        <v>#REF!</v>
      </c>
      <c r="D13795" s="31" t="e">
        <f>IF(B13795&lt;1,"",IF(B13795=1,"",VLOOKUP(B13795,$J$3:$L$102,3)))</f>
        <v>#REF!</v>
      </c>
      <c r="E13795" s="31" t="e">
        <f>IF(B13795&lt;1,"",IF(B13795=1," Seratus "," Ratus "))</f>
        <v>#REF!</v>
      </c>
      <c r="J13795" s="31">
        <v>22</v>
      </c>
      <c r="K13795" s="33" t="s">
        <v>92</v>
      </c>
      <c r="L13795" s="31" t="str">
        <f t="shared" si="1332"/>
        <v>Dua Puluh Dua</v>
      </c>
    </row>
    <row r="13796" spans="1:12">
      <c r="A13796" s="33" t="s">
        <v>77</v>
      </c>
      <c r="B13796" s="40" t="e">
        <f>TRUNC((A13771-SUM(C13793:C13795))/1000)</f>
        <v>#REF!</v>
      </c>
      <c r="C13796" s="31" t="e">
        <f>B13796*1000</f>
        <v>#REF!</v>
      </c>
      <c r="D13796" s="31" t="e">
        <f>IF(B13796&lt;1,"",IF(B13796=1,"",VLOOKUP(B13796,$J$3:$L$102,3)))</f>
        <v>#REF!</v>
      </c>
      <c r="E13796" s="31" t="e">
        <f>IF(B13795+B13796&lt;1,"",IF(B13796=1," Seribu "," Ribu "))</f>
        <v>#REF!</v>
      </c>
      <c r="J13796" s="31">
        <v>23</v>
      </c>
      <c r="K13796" s="33" t="s">
        <v>93</v>
      </c>
      <c r="L13796" s="31" t="str">
        <f t="shared" si="1332"/>
        <v>Dua Puluh Tiga</v>
      </c>
    </row>
    <row r="13797" spans="1:12">
      <c r="A13797" s="33" t="s">
        <v>79</v>
      </c>
      <c r="B13797" s="40" t="e">
        <f>TRUNC((A13771-SUM(C13793:C13796))/100)</f>
        <v>#REF!</v>
      </c>
      <c r="C13797" s="31" t="e">
        <f>B13797*100</f>
        <v>#REF!</v>
      </c>
      <c r="D13797" s="31" t="e">
        <f>IF(B13797&lt;1,"",IF(B13797=1,"",VLOOKUP(B13797,$J$3:$L$102,3)))</f>
        <v>#REF!</v>
      </c>
      <c r="E13797" s="31" t="e">
        <f>IF(B13797&lt;1,"",IF(B13797=1," Seratus "," Ratus "))</f>
        <v>#REF!</v>
      </c>
      <c r="J13797" s="31">
        <v>24</v>
      </c>
      <c r="K13797" s="33" t="s">
        <v>94</v>
      </c>
      <c r="L13797" s="31" t="str">
        <f t="shared" si="1332"/>
        <v>Dua Puluh Empat</v>
      </c>
    </row>
    <row r="13798" spans="1:12">
      <c r="A13798" s="33" t="s">
        <v>81</v>
      </c>
      <c r="B13798" s="41" t="e">
        <f>TRUNC((A13771-SUM(C13793:C13797)))</f>
        <v>#REF!</v>
      </c>
      <c r="C13798" s="42" t="e">
        <f>B13798</f>
        <v>#REF!</v>
      </c>
      <c r="D13798" s="31" t="e">
        <f>IF(B13798&lt;1,"",VLOOKUP(B13798,$J$3:$L$102,3))</f>
        <v>#REF!</v>
      </c>
      <c r="E13798" s="31" t="e">
        <f>IF(SUM(C13793:C13798)&lt;1,"",IF(B13799&lt;1,""," Dan "))</f>
        <v>#REF!</v>
      </c>
      <c r="J13798" s="31">
        <v>25</v>
      </c>
      <c r="K13798" s="33" t="s">
        <v>95</v>
      </c>
      <c r="L13798" s="31" t="str">
        <f t="shared" si="1332"/>
        <v>Dua Puluh Lima</v>
      </c>
    </row>
    <row r="13799" spans="1:12">
      <c r="A13799" s="33" t="s">
        <v>83</v>
      </c>
      <c r="B13799" s="40" t="e">
        <f>ROUND(A13771-SUM(C13793:C13798),2)*100</f>
        <v>#REF!</v>
      </c>
      <c r="D13799" s="31" t="e">
        <f>IF(B13799&lt;1,"",VLOOKUP(B13799,$J$3:$L$102,3))</f>
        <v>#REF!</v>
      </c>
      <c r="E13799" s="31" t="e">
        <f>IF(B13799&lt;1,""," Sen ")</f>
        <v>#REF!</v>
      </c>
      <c r="J13799" s="31">
        <v>26</v>
      </c>
      <c r="K13799" s="33" t="s">
        <v>96</v>
      </c>
      <c r="L13799" s="31" t="str">
        <f t="shared" si="1332"/>
        <v>Dua Puluh Enam</v>
      </c>
    </row>
    <row r="13800" spans="1:12">
      <c r="J13800" s="31">
        <v>27</v>
      </c>
      <c r="K13800" s="33" t="s">
        <v>97</v>
      </c>
      <c r="L13800" s="31" t="str">
        <f t="shared" si="1332"/>
        <v>Dua Puluh Tujuh</v>
      </c>
    </row>
    <row r="13801" spans="1:12">
      <c r="J13801" s="31">
        <v>28</v>
      </c>
      <c r="K13801" s="33" t="s">
        <v>98</v>
      </c>
      <c r="L13801" s="31" t="str">
        <f t="shared" si="1332"/>
        <v>Dua Puluh Delapan</v>
      </c>
    </row>
    <row r="13802" spans="1:12">
      <c r="J13802" s="31">
        <v>29</v>
      </c>
      <c r="K13802" s="33" t="s">
        <v>99</v>
      </c>
      <c r="L13802" s="31" t="str">
        <f t="shared" si="1332"/>
        <v>Dua Puluh Sembilan</v>
      </c>
    </row>
    <row r="13803" spans="1:12">
      <c r="J13803" s="31">
        <v>30</v>
      </c>
      <c r="K13803" s="33" t="s">
        <v>100</v>
      </c>
      <c r="L13803" s="31" t="s">
        <v>101</v>
      </c>
    </row>
    <row r="13804" spans="1:12">
      <c r="J13804" s="31">
        <v>31</v>
      </c>
      <c r="K13804" s="33" t="s">
        <v>102</v>
      </c>
      <c r="L13804" s="31" t="str">
        <f t="shared" ref="L13804:L13812" si="1333">$L$33&amp;" "&amp;L13774</f>
        <v>Tiga Puluh Satu</v>
      </c>
    </row>
    <row r="13805" spans="1:12">
      <c r="J13805" s="31">
        <v>32</v>
      </c>
      <c r="K13805" s="33" t="s">
        <v>103</v>
      </c>
      <c r="L13805" s="31" t="str">
        <f t="shared" si="1333"/>
        <v>Tiga Puluh Dua</v>
      </c>
    </row>
    <row r="13806" spans="1:12">
      <c r="J13806" s="31">
        <v>33</v>
      </c>
      <c r="K13806" s="33" t="s">
        <v>104</v>
      </c>
      <c r="L13806" s="31" t="str">
        <f t="shared" si="1333"/>
        <v>Tiga Puluh Tiga</v>
      </c>
    </row>
    <row r="13807" spans="1:12">
      <c r="J13807" s="31">
        <v>34</v>
      </c>
      <c r="K13807" s="33" t="s">
        <v>105</v>
      </c>
      <c r="L13807" s="31" t="str">
        <f t="shared" si="1333"/>
        <v>Tiga Puluh Empat</v>
      </c>
    </row>
    <row r="13808" spans="1:12">
      <c r="J13808" s="31">
        <v>35</v>
      </c>
      <c r="K13808" s="33" t="s">
        <v>106</v>
      </c>
      <c r="L13808" s="31" t="str">
        <f t="shared" si="1333"/>
        <v>Tiga Puluh Lima</v>
      </c>
    </row>
    <row r="13809" spans="1:12">
      <c r="J13809" s="31">
        <v>36</v>
      </c>
      <c r="K13809" s="33" t="s">
        <v>107</v>
      </c>
      <c r="L13809" s="31" t="str">
        <f t="shared" si="1333"/>
        <v>Tiga Puluh Enam</v>
      </c>
    </row>
    <row r="13810" spans="1:12">
      <c r="J13810" s="31">
        <v>37</v>
      </c>
      <c r="K13810" s="33" t="s">
        <v>108</v>
      </c>
      <c r="L13810" s="31" t="str">
        <f t="shared" si="1333"/>
        <v>Tiga Puluh Tujuh</v>
      </c>
    </row>
    <row r="13811" spans="1:12">
      <c r="J13811" s="31">
        <v>38</v>
      </c>
      <c r="K13811" s="33" t="s">
        <v>109</v>
      </c>
      <c r="L13811" s="31" t="str">
        <f t="shared" si="1333"/>
        <v>Tiga Puluh Delapan</v>
      </c>
    </row>
    <row r="13812" spans="1:12">
      <c r="J13812" s="31">
        <v>39</v>
      </c>
      <c r="K13812" s="33" t="s">
        <v>110</v>
      </c>
      <c r="L13812" s="31" t="str">
        <f t="shared" si="1333"/>
        <v>Tiga Puluh Sembilan</v>
      </c>
    </row>
    <row r="13813" spans="1:12">
      <c r="B13813" s="35"/>
      <c r="C13813" s="35"/>
      <c r="D13813" s="35"/>
      <c r="J13813" s="31">
        <v>40</v>
      </c>
      <c r="K13813" s="33" t="s">
        <v>111</v>
      </c>
      <c r="L13813" s="31" t="s">
        <v>112</v>
      </c>
    </row>
    <row r="13814" spans="1:12">
      <c r="A13814" s="35"/>
      <c r="B13814" s="35"/>
      <c r="C13814" s="35"/>
      <c r="D13814" s="35"/>
      <c r="J13814" s="31">
        <v>41</v>
      </c>
      <c r="K13814" s="33" t="s">
        <v>113</v>
      </c>
      <c r="L13814" s="31" t="str">
        <f t="shared" ref="L13814:L13822" si="1334">$L$43&amp;" "&amp;L13774</f>
        <v>Empat Puluh Satu</v>
      </c>
    </row>
    <row r="13815" spans="1:12">
      <c r="J13815" s="31">
        <v>42</v>
      </c>
      <c r="K13815" s="33" t="s">
        <v>114</v>
      </c>
      <c r="L13815" s="31" t="str">
        <f t="shared" si="1334"/>
        <v>Empat Puluh Dua</v>
      </c>
    </row>
    <row r="13816" spans="1:12">
      <c r="A13816" s="38"/>
      <c r="J13816" s="31">
        <v>43</v>
      </c>
      <c r="K13816" s="33" t="s">
        <v>115</v>
      </c>
      <c r="L13816" s="31" t="str">
        <f t="shared" si="1334"/>
        <v>Empat Puluh Tiga</v>
      </c>
    </row>
    <row r="13817" spans="1:12">
      <c r="J13817" s="31">
        <v>44</v>
      </c>
      <c r="K13817" s="33" t="s">
        <v>116</v>
      </c>
      <c r="L13817" s="31" t="str">
        <f t="shared" si="1334"/>
        <v>Empat Puluh Empat</v>
      </c>
    </row>
    <row r="13818" spans="1:12">
      <c r="J13818" s="31">
        <v>45</v>
      </c>
      <c r="K13818" s="33" t="s">
        <v>117</v>
      </c>
      <c r="L13818" s="31" t="str">
        <f t="shared" si="1334"/>
        <v>Empat Puluh Lima</v>
      </c>
    </row>
    <row r="13819" spans="1:12">
      <c r="J13819" s="31">
        <v>46</v>
      </c>
      <c r="K13819" s="33" t="s">
        <v>118</v>
      </c>
      <c r="L13819" s="31" t="str">
        <f t="shared" si="1334"/>
        <v>Empat Puluh Enam</v>
      </c>
    </row>
    <row r="13820" spans="1:12">
      <c r="J13820" s="31">
        <v>47</v>
      </c>
      <c r="K13820" s="33" t="s">
        <v>119</v>
      </c>
      <c r="L13820" s="31" t="str">
        <f t="shared" si="1334"/>
        <v>Empat Puluh Tujuh</v>
      </c>
    </row>
    <row r="13821" spans="1:12">
      <c r="J13821" s="31">
        <v>48</v>
      </c>
      <c r="K13821" s="33" t="s">
        <v>120</v>
      </c>
      <c r="L13821" s="31" t="str">
        <f t="shared" si="1334"/>
        <v>Empat Puluh Delapan</v>
      </c>
    </row>
    <row r="13822" spans="1:12">
      <c r="J13822" s="31">
        <v>49</v>
      </c>
      <c r="K13822" s="33" t="s">
        <v>121</v>
      </c>
      <c r="L13822" s="31" t="str">
        <f t="shared" si="1334"/>
        <v>Empat Puluh Sembilan</v>
      </c>
    </row>
    <row r="13823" spans="1:12">
      <c r="J13823" s="31">
        <v>50</v>
      </c>
      <c r="K13823" s="33" t="s">
        <v>122</v>
      </c>
      <c r="L13823" s="31" t="s">
        <v>123</v>
      </c>
    </row>
    <row r="13824" spans="1:12">
      <c r="J13824" s="31">
        <v>51</v>
      </c>
      <c r="K13824" s="33" t="s">
        <v>124</v>
      </c>
      <c r="L13824" s="31" t="str">
        <f t="shared" ref="L13824:L13832" si="1335">$L$53&amp;" "&amp;L13774</f>
        <v>Lima Puluh Satu</v>
      </c>
    </row>
    <row r="13825" spans="10:12">
      <c r="J13825" s="31">
        <v>52</v>
      </c>
      <c r="K13825" s="33" t="s">
        <v>125</v>
      </c>
      <c r="L13825" s="31" t="str">
        <f t="shared" si="1335"/>
        <v>Lima Puluh Dua</v>
      </c>
    </row>
    <row r="13826" spans="10:12">
      <c r="J13826" s="31">
        <v>53</v>
      </c>
      <c r="K13826" s="33" t="s">
        <v>126</v>
      </c>
      <c r="L13826" s="31" t="str">
        <f t="shared" si="1335"/>
        <v>Lima Puluh Tiga</v>
      </c>
    </row>
    <row r="13827" spans="10:12">
      <c r="J13827" s="31">
        <v>54</v>
      </c>
      <c r="K13827" s="33" t="s">
        <v>127</v>
      </c>
      <c r="L13827" s="31" t="str">
        <f t="shared" si="1335"/>
        <v>Lima Puluh Empat</v>
      </c>
    </row>
    <row r="13828" spans="10:12">
      <c r="J13828" s="31">
        <v>55</v>
      </c>
      <c r="K13828" s="33" t="s">
        <v>128</v>
      </c>
      <c r="L13828" s="31" t="str">
        <f t="shared" si="1335"/>
        <v>Lima Puluh Lima</v>
      </c>
    </row>
    <row r="13829" spans="10:12">
      <c r="J13829" s="31">
        <v>56</v>
      </c>
      <c r="K13829" s="33" t="s">
        <v>129</v>
      </c>
      <c r="L13829" s="31" t="str">
        <f t="shared" si="1335"/>
        <v>Lima Puluh Enam</v>
      </c>
    </row>
    <row r="13830" spans="10:12">
      <c r="J13830" s="31">
        <v>57</v>
      </c>
      <c r="K13830" s="33" t="s">
        <v>130</v>
      </c>
      <c r="L13830" s="31" t="str">
        <f t="shared" si="1335"/>
        <v>Lima Puluh Tujuh</v>
      </c>
    </row>
    <row r="13831" spans="10:12">
      <c r="J13831" s="31">
        <v>58</v>
      </c>
      <c r="K13831" s="33" t="s">
        <v>131</v>
      </c>
      <c r="L13831" s="31" t="str">
        <f t="shared" si="1335"/>
        <v>Lima Puluh Delapan</v>
      </c>
    </row>
    <row r="13832" spans="10:12">
      <c r="J13832" s="31">
        <v>59</v>
      </c>
      <c r="K13832" s="33" t="s">
        <v>132</v>
      </c>
      <c r="L13832" s="31" t="str">
        <f t="shared" si="1335"/>
        <v>Lima Puluh Sembilan</v>
      </c>
    </row>
    <row r="13833" spans="10:12">
      <c r="J13833" s="31">
        <v>60</v>
      </c>
      <c r="K13833" s="33" t="s">
        <v>133</v>
      </c>
      <c r="L13833" s="31" t="s">
        <v>134</v>
      </c>
    </row>
    <row r="13834" spans="10:12">
      <c r="J13834" s="31">
        <v>61</v>
      </c>
      <c r="K13834" s="33" t="s">
        <v>135</v>
      </c>
      <c r="L13834" s="31" t="str">
        <f t="shared" ref="L13834:L13842" si="1336">$L$63&amp;" "&amp;L13774</f>
        <v>Enam Puluh Satu</v>
      </c>
    </row>
    <row r="13835" spans="10:12">
      <c r="J13835" s="31">
        <v>62</v>
      </c>
      <c r="K13835" s="33" t="s">
        <v>136</v>
      </c>
      <c r="L13835" s="31" t="str">
        <f t="shared" si="1336"/>
        <v>Enam Puluh Dua</v>
      </c>
    </row>
    <row r="13836" spans="10:12">
      <c r="J13836" s="31">
        <v>63</v>
      </c>
      <c r="K13836" s="33" t="s">
        <v>137</v>
      </c>
      <c r="L13836" s="31" t="str">
        <f t="shared" si="1336"/>
        <v>Enam Puluh Tiga</v>
      </c>
    </row>
    <row r="13837" spans="10:12">
      <c r="J13837" s="31">
        <v>64</v>
      </c>
      <c r="K13837" s="33" t="s">
        <v>138</v>
      </c>
      <c r="L13837" s="31" t="str">
        <f t="shared" si="1336"/>
        <v>Enam Puluh Empat</v>
      </c>
    </row>
    <row r="13838" spans="10:12">
      <c r="J13838" s="31">
        <v>65</v>
      </c>
      <c r="K13838" s="33" t="s">
        <v>139</v>
      </c>
      <c r="L13838" s="31" t="str">
        <f t="shared" si="1336"/>
        <v>Enam Puluh Lima</v>
      </c>
    </row>
    <row r="13839" spans="10:12">
      <c r="J13839" s="31">
        <v>66</v>
      </c>
      <c r="K13839" s="33" t="s">
        <v>140</v>
      </c>
      <c r="L13839" s="31" t="str">
        <f t="shared" si="1336"/>
        <v>Enam Puluh Enam</v>
      </c>
    </row>
    <row r="13840" spans="10:12">
      <c r="J13840" s="31">
        <v>67</v>
      </c>
      <c r="K13840" s="33" t="s">
        <v>141</v>
      </c>
      <c r="L13840" s="31" t="str">
        <f t="shared" si="1336"/>
        <v>Enam Puluh Tujuh</v>
      </c>
    </row>
    <row r="13841" spans="10:12">
      <c r="J13841" s="31">
        <v>68</v>
      </c>
      <c r="K13841" s="33" t="s">
        <v>142</v>
      </c>
      <c r="L13841" s="31" t="str">
        <f t="shared" si="1336"/>
        <v>Enam Puluh Delapan</v>
      </c>
    </row>
    <row r="13842" spans="10:12">
      <c r="J13842" s="31">
        <v>69</v>
      </c>
      <c r="K13842" s="33" t="s">
        <v>143</v>
      </c>
      <c r="L13842" s="31" t="str">
        <f t="shared" si="1336"/>
        <v>Enam Puluh Sembilan</v>
      </c>
    </row>
    <row r="13843" spans="10:12">
      <c r="J13843" s="31">
        <v>70</v>
      </c>
      <c r="K13843" s="33" t="s">
        <v>144</v>
      </c>
      <c r="L13843" s="31" t="s">
        <v>145</v>
      </c>
    </row>
    <row r="13844" spans="10:12">
      <c r="J13844" s="31">
        <v>71</v>
      </c>
      <c r="K13844" s="33" t="s">
        <v>146</v>
      </c>
      <c r="L13844" s="31" t="str">
        <f t="shared" ref="L13844:L13852" si="1337">$L$73&amp;" "&amp;L13774</f>
        <v>Tujuh Puluh Satu</v>
      </c>
    </row>
    <row r="13845" spans="10:12">
      <c r="J13845" s="31">
        <v>72</v>
      </c>
      <c r="K13845" s="33" t="s">
        <v>147</v>
      </c>
      <c r="L13845" s="31" t="str">
        <f t="shared" si="1337"/>
        <v>Tujuh Puluh Dua</v>
      </c>
    </row>
    <row r="13846" spans="10:12">
      <c r="J13846" s="31">
        <v>73</v>
      </c>
      <c r="K13846" s="33" t="s">
        <v>148</v>
      </c>
      <c r="L13846" s="31" t="str">
        <f t="shared" si="1337"/>
        <v>Tujuh Puluh Tiga</v>
      </c>
    </row>
    <row r="13847" spans="10:12">
      <c r="J13847" s="31">
        <v>74</v>
      </c>
      <c r="K13847" s="33" t="s">
        <v>149</v>
      </c>
      <c r="L13847" s="31" t="str">
        <f t="shared" si="1337"/>
        <v>Tujuh Puluh Empat</v>
      </c>
    </row>
    <row r="13848" spans="10:12">
      <c r="J13848" s="31">
        <v>75</v>
      </c>
      <c r="K13848" s="33" t="s">
        <v>150</v>
      </c>
      <c r="L13848" s="31" t="str">
        <f t="shared" si="1337"/>
        <v>Tujuh Puluh Lima</v>
      </c>
    </row>
    <row r="13849" spans="10:12">
      <c r="J13849" s="31">
        <v>76</v>
      </c>
      <c r="K13849" s="33" t="s">
        <v>151</v>
      </c>
      <c r="L13849" s="31" t="str">
        <f t="shared" si="1337"/>
        <v>Tujuh Puluh Enam</v>
      </c>
    </row>
    <row r="13850" spans="10:12">
      <c r="J13850" s="31">
        <v>77</v>
      </c>
      <c r="K13850" s="33" t="s">
        <v>152</v>
      </c>
      <c r="L13850" s="31" t="str">
        <f t="shared" si="1337"/>
        <v>Tujuh Puluh Tujuh</v>
      </c>
    </row>
    <row r="13851" spans="10:12">
      <c r="J13851" s="31">
        <v>78</v>
      </c>
      <c r="K13851" s="33" t="s">
        <v>153</v>
      </c>
      <c r="L13851" s="31" t="str">
        <f t="shared" si="1337"/>
        <v>Tujuh Puluh Delapan</v>
      </c>
    </row>
    <row r="13852" spans="10:12">
      <c r="J13852" s="31">
        <v>79</v>
      </c>
      <c r="K13852" s="33" t="s">
        <v>154</v>
      </c>
      <c r="L13852" s="31" t="str">
        <f t="shared" si="1337"/>
        <v>Tujuh Puluh Sembilan</v>
      </c>
    </row>
    <row r="13853" spans="10:12">
      <c r="J13853" s="31">
        <v>80</v>
      </c>
      <c r="K13853" s="33" t="s">
        <v>155</v>
      </c>
      <c r="L13853" s="31" t="s">
        <v>156</v>
      </c>
    </row>
    <row r="13854" spans="10:12">
      <c r="J13854" s="31">
        <v>81</v>
      </c>
      <c r="K13854" s="33" t="s">
        <v>157</v>
      </c>
      <c r="L13854" s="31" t="str">
        <f t="shared" ref="L13854:L13862" si="1338">$L$83&amp;" "&amp;L13774</f>
        <v>Delapan Puluh Satu</v>
      </c>
    </row>
    <row r="13855" spans="10:12">
      <c r="J13855" s="31">
        <v>82</v>
      </c>
      <c r="K13855" s="33" t="s">
        <v>158</v>
      </c>
      <c r="L13855" s="31" t="str">
        <f t="shared" si="1338"/>
        <v>Delapan Puluh Dua</v>
      </c>
    </row>
    <row r="13856" spans="10:12">
      <c r="J13856" s="31">
        <v>83</v>
      </c>
      <c r="K13856" s="33" t="s">
        <v>159</v>
      </c>
      <c r="L13856" s="31" t="str">
        <f t="shared" si="1338"/>
        <v>Delapan Puluh Tiga</v>
      </c>
    </row>
    <row r="13857" spans="10:12">
      <c r="J13857" s="31">
        <v>84</v>
      </c>
      <c r="K13857" s="33" t="s">
        <v>160</v>
      </c>
      <c r="L13857" s="31" t="str">
        <f t="shared" si="1338"/>
        <v>Delapan Puluh Empat</v>
      </c>
    </row>
    <row r="13858" spans="10:12">
      <c r="J13858" s="31">
        <v>85</v>
      </c>
      <c r="K13858" s="33" t="s">
        <v>161</v>
      </c>
      <c r="L13858" s="31" t="str">
        <f t="shared" si="1338"/>
        <v>Delapan Puluh Lima</v>
      </c>
    </row>
    <row r="13859" spans="10:12">
      <c r="J13859" s="31">
        <v>86</v>
      </c>
      <c r="K13859" s="33" t="s">
        <v>162</v>
      </c>
      <c r="L13859" s="31" t="str">
        <f t="shared" si="1338"/>
        <v>Delapan Puluh Enam</v>
      </c>
    </row>
    <row r="13860" spans="10:12">
      <c r="J13860" s="31">
        <v>87</v>
      </c>
      <c r="K13860" s="33" t="s">
        <v>163</v>
      </c>
      <c r="L13860" s="31" t="str">
        <f t="shared" si="1338"/>
        <v>Delapan Puluh Tujuh</v>
      </c>
    </row>
    <row r="13861" spans="10:12">
      <c r="J13861" s="31">
        <v>88</v>
      </c>
      <c r="K13861" s="33" t="s">
        <v>164</v>
      </c>
      <c r="L13861" s="31" t="str">
        <f t="shared" si="1338"/>
        <v>Delapan Puluh Delapan</v>
      </c>
    </row>
    <row r="13862" spans="10:12">
      <c r="J13862" s="31">
        <v>89</v>
      </c>
      <c r="K13862" s="33" t="s">
        <v>165</v>
      </c>
      <c r="L13862" s="31" t="str">
        <f t="shared" si="1338"/>
        <v>Delapan Puluh Sembilan</v>
      </c>
    </row>
    <row r="13863" spans="10:12">
      <c r="J13863" s="31">
        <v>90</v>
      </c>
      <c r="K13863" s="33" t="s">
        <v>166</v>
      </c>
      <c r="L13863" s="31" t="s">
        <v>167</v>
      </c>
    </row>
    <row r="13864" spans="10:12">
      <c r="J13864" s="31">
        <v>91</v>
      </c>
      <c r="K13864" s="33" t="s">
        <v>168</v>
      </c>
      <c r="L13864" s="31" t="str">
        <f t="shared" ref="L13864:L13872" si="1339">$L$93&amp;" "&amp;L13774</f>
        <v>Sembilan Puluh Satu</v>
      </c>
    </row>
    <row r="13865" spans="10:12">
      <c r="J13865" s="31">
        <v>92</v>
      </c>
      <c r="K13865" s="33" t="s">
        <v>169</v>
      </c>
      <c r="L13865" s="31" t="str">
        <f t="shared" si="1339"/>
        <v>Sembilan Puluh Dua</v>
      </c>
    </row>
    <row r="13866" spans="10:12">
      <c r="J13866" s="31">
        <v>93</v>
      </c>
      <c r="K13866" s="33" t="s">
        <v>170</v>
      </c>
      <c r="L13866" s="31" t="str">
        <f t="shared" si="1339"/>
        <v>Sembilan Puluh Tiga</v>
      </c>
    </row>
    <row r="13867" spans="10:12">
      <c r="J13867" s="31">
        <v>94</v>
      </c>
      <c r="K13867" s="33" t="s">
        <v>171</v>
      </c>
      <c r="L13867" s="31" t="str">
        <f t="shared" si="1339"/>
        <v>Sembilan Puluh Empat</v>
      </c>
    </row>
    <row r="13868" spans="10:12">
      <c r="J13868" s="31">
        <v>95</v>
      </c>
      <c r="K13868" s="33" t="s">
        <v>172</v>
      </c>
      <c r="L13868" s="31" t="str">
        <f t="shared" si="1339"/>
        <v>Sembilan Puluh Lima</v>
      </c>
    </row>
    <row r="13869" spans="10:12">
      <c r="J13869" s="31">
        <v>96</v>
      </c>
      <c r="K13869" s="33" t="s">
        <v>173</v>
      </c>
      <c r="L13869" s="31" t="str">
        <f t="shared" si="1339"/>
        <v>Sembilan Puluh Enam</v>
      </c>
    </row>
    <row r="13870" spans="10:12">
      <c r="J13870" s="31">
        <v>97</v>
      </c>
      <c r="K13870" s="33" t="s">
        <v>174</v>
      </c>
      <c r="L13870" s="31" t="str">
        <f t="shared" si="1339"/>
        <v>Sembilan Puluh Tujuh</v>
      </c>
    </row>
    <row r="13871" spans="10:12">
      <c r="J13871" s="31">
        <v>98</v>
      </c>
      <c r="K13871" s="33" t="s">
        <v>175</v>
      </c>
      <c r="L13871" s="31" t="str">
        <f t="shared" si="1339"/>
        <v>Sembilan Puluh Delapan</v>
      </c>
    </row>
    <row r="13872" spans="10:12">
      <c r="J13872" s="31">
        <v>99</v>
      </c>
      <c r="K13872" s="33" t="s">
        <v>176</v>
      </c>
      <c r="L13872" s="31" t="str">
        <f t="shared" si="1339"/>
        <v>Sembilan Puluh Sembilan</v>
      </c>
    </row>
    <row r="13874" spans="1:12">
      <c r="A13874" s="30" t="e">
        <f>#REF!</f>
        <v>#REF!</v>
      </c>
      <c r="C13874" s="31" t="s">
        <v>370</v>
      </c>
    </row>
    <row r="13875" spans="1:12">
      <c r="A13875" s="32"/>
    </row>
    <row r="13876" spans="1:12">
      <c r="J13876" s="31">
        <v>0</v>
      </c>
      <c r="K13876" s="33" t="s">
        <v>48</v>
      </c>
      <c r="L13876" s="31" t="s">
        <v>49</v>
      </c>
    </row>
    <row r="13877" spans="1:12">
      <c r="A13877" s="34"/>
      <c r="J13877" s="31">
        <v>1</v>
      </c>
      <c r="K13877" s="33" t="s">
        <v>50</v>
      </c>
      <c r="L13877" s="31" t="s">
        <v>51</v>
      </c>
    </row>
    <row r="13878" spans="1:12">
      <c r="A13878" s="255" t="e">
        <f>TRIM(D13886&amp;E13886&amp;D13887&amp;E13887&amp;D13888&amp;E13888&amp;D13889&amp;E13889&amp;D13890&amp;E13890&amp;D13891&amp;E13891&amp;E13892&amp;D13892&amp;" Only")</f>
        <v>#REF!</v>
      </c>
      <c r="B13878" s="255"/>
      <c r="C13878" s="255"/>
      <c r="D13878" s="255"/>
      <c r="E13878" s="35"/>
      <c r="F13878" s="36"/>
      <c r="J13878" s="31">
        <v>2</v>
      </c>
      <c r="K13878" s="33" t="s">
        <v>52</v>
      </c>
      <c r="L13878" s="31" t="s">
        <v>53</v>
      </c>
    </row>
    <row r="13879" spans="1:12">
      <c r="A13879" s="37"/>
      <c r="B13879" s="37"/>
      <c r="C13879" s="37"/>
      <c r="D13879" s="37"/>
      <c r="E13879" s="35"/>
      <c r="F13879" s="36"/>
      <c r="J13879" s="31">
        <v>3</v>
      </c>
      <c r="K13879" s="33" t="s">
        <v>54</v>
      </c>
      <c r="L13879" s="31" t="s">
        <v>55</v>
      </c>
    </row>
    <row r="13880" spans="1:12">
      <c r="A13880" s="37"/>
      <c r="B13880" s="37"/>
      <c r="C13880" s="37"/>
      <c r="D13880" s="37"/>
      <c r="J13880" s="31">
        <v>4</v>
      </c>
      <c r="K13880" s="33" t="s">
        <v>56</v>
      </c>
      <c r="L13880" s="31" t="s">
        <v>57</v>
      </c>
    </row>
    <row r="13881" spans="1:12">
      <c r="A13881" s="255" t="e">
        <f>TRIM(D13896&amp;E13896&amp;D13897&amp;E13897&amp;D13898&amp;E13898&amp;D13899&amp;E13899&amp;D13900&amp;E13900&amp;D13901&amp;E13901&amp;D13902&amp;E13902&amp;" Rupiah")</f>
        <v>#REF!</v>
      </c>
      <c r="B13881" s="255"/>
      <c r="C13881" s="255"/>
      <c r="D13881" s="255"/>
      <c r="E13881" s="35"/>
      <c r="F13881" s="36"/>
      <c r="J13881" s="31">
        <v>5</v>
      </c>
      <c r="K13881" s="33" t="s">
        <v>58</v>
      </c>
      <c r="L13881" s="31" t="s">
        <v>59</v>
      </c>
    </row>
    <row r="13882" spans="1:12">
      <c r="A13882" s="35"/>
      <c r="B13882" s="35"/>
      <c r="C13882" s="35"/>
      <c r="D13882" s="35"/>
      <c r="E13882" s="35"/>
      <c r="F13882" s="36"/>
      <c r="J13882" s="31">
        <v>6</v>
      </c>
      <c r="K13882" s="33" t="s">
        <v>60</v>
      </c>
      <c r="L13882" s="31" t="s">
        <v>61</v>
      </c>
    </row>
    <row r="13883" spans="1:12">
      <c r="J13883" s="31">
        <v>7</v>
      </c>
      <c r="K13883" s="33" t="s">
        <v>62</v>
      </c>
      <c r="L13883" s="31" t="s">
        <v>63</v>
      </c>
    </row>
    <row r="13884" spans="1:12">
      <c r="J13884" s="31">
        <v>8</v>
      </c>
      <c r="K13884" s="33" t="s">
        <v>64</v>
      </c>
      <c r="L13884" s="31" t="s">
        <v>65</v>
      </c>
    </row>
    <row r="13885" spans="1:12">
      <c r="A13885" s="38" t="s">
        <v>66</v>
      </c>
      <c r="J13885" s="31">
        <v>9</v>
      </c>
      <c r="K13885" s="33" t="s">
        <v>67</v>
      </c>
      <c r="L13885" s="31" t="s">
        <v>68</v>
      </c>
    </row>
    <row r="13886" spans="1:12">
      <c r="A13886" s="31" t="s">
        <v>69</v>
      </c>
      <c r="B13886" s="39" t="e">
        <f>TRUNC(A13874/100000000)</f>
        <v>#REF!</v>
      </c>
      <c r="C13886" s="31" t="e">
        <f>B13886*100000000</f>
        <v>#REF!</v>
      </c>
      <c r="D13886" s="31" t="e">
        <f t="shared" ref="D13886:D13892" si="1340">IF(B13886&lt;1,"",VLOOKUP(B13886,$J$3:$K$102,2))</f>
        <v>#REF!</v>
      </c>
      <c r="E13886" s="31" t="e">
        <f>IF(B13886&lt;1,"",IF(B13886&gt;1," Hundreds "," Hundred "))</f>
        <v>#REF!</v>
      </c>
      <c r="J13886" s="31">
        <v>10</v>
      </c>
      <c r="K13886" s="33" t="s">
        <v>70</v>
      </c>
      <c r="L13886" s="31" t="s">
        <v>71</v>
      </c>
    </row>
    <row r="13887" spans="1:12">
      <c r="A13887" s="31" t="s">
        <v>72</v>
      </c>
      <c r="B13887" s="39" t="e">
        <f>TRUNC((A13874-C13886)/1000000)</f>
        <v>#REF!</v>
      </c>
      <c r="C13887" s="31" t="e">
        <f>B13887*1000000</f>
        <v>#REF!</v>
      </c>
      <c r="D13887" s="31" t="e">
        <f t="shared" si="1340"/>
        <v>#REF!</v>
      </c>
      <c r="E13887" s="31" t="e">
        <f>IF(B13886+B13887=0,"",IF(B13887=1," Million "," Millions "))</f>
        <v>#REF!</v>
      </c>
      <c r="J13887" s="31">
        <v>11</v>
      </c>
      <c r="K13887" s="33" t="s">
        <v>73</v>
      </c>
      <c r="L13887" s="31" t="s">
        <v>74</v>
      </c>
    </row>
    <row r="13888" spans="1:12">
      <c r="A13888" s="31" t="s">
        <v>75</v>
      </c>
      <c r="B13888" s="39" t="e">
        <f>TRUNC((A13874-SUM(C13886:C13887))/100000)</f>
        <v>#REF!</v>
      </c>
      <c r="C13888" s="31" t="e">
        <f>B13888*100000</f>
        <v>#REF!</v>
      </c>
      <c r="D13888" s="31" t="e">
        <f t="shared" si="1340"/>
        <v>#REF!</v>
      </c>
      <c r="E13888" s="31" t="e">
        <f>IF(B13888&lt;1,"",IF(B13888&gt;1," Hundreds "," Hundred "))</f>
        <v>#REF!</v>
      </c>
      <c r="J13888" s="31">
        <v>12</v>
      </c>
      <c r="K13888" s="33" t="s">
        <v>76</v>
      </c>
      <c r="L13888" s="31" t="str">
        <f t="shared" ref="L13888:L13895" si="1341">L13878&amp;" Belas"</f>
        <v>Dua Belas</v>
      </c>
    </row>
    <row r="13889" spans="1:12">
      <c r="A13889" s="33" t="s">
        <v>77</v>
      </c>
      <c r="B13889" s="40" t="e">
        <f>TRUNC((A13874-SUM(C13886:C13888))/1000)</f>
        <v>#REF!</v>
      </c>
      <c r="C13889" s="31" t="e">
        <f>B13889*1000</f>
        <v>#REF!</v>
      </c>
      <c r="D13889" s="31" t="e">
        <f t="shared" si="1340"/>
        <v>#REF!</v>
      </c>
      <c r="E13889" s="31" t="e">
        <f>IF(B13888+B13889=0,"",IF(B13889=1," Thousand "," Thousands "))</f>
        <v>#REF!</v>
      </c>
      <c r="J13889" s="31">
        <v>13</v>
      </c>
      <c r="K13889" s="33" t="s">
        <v>78</v>
      </c>
      <c r="L13889" s="31" t="str">
        <f t="shared" si="1341"/>
        <v>Tiga Belas</v>
      </c>
    </row>
    <row r="13890" spans="1:12">
      <c r="A13890" s="33" t="s">
        <v>79</v>
      </c>
      <c r="B13890" s="40" t="e">
        <f>TRUNC((A13874-SUM(C13886:C13889))/100)</f>
        <v>#REF!</v>
      </c>
      <c r="C13890" s="31" t="e">
        <f>B13890*100</f>
        <v>#REF!</v>
      </c>
      <c r="D13890" s="31" t="e">
        <f t="shared" si="1340"/>
        <v>#REF!</v>
      </c>
      <c r="E13890" s="31" t="e">
        <f>IF(B13890&lt;1,"",IF(B13890&gt;1," Hundreds "," Hundred "))</f>
        <v>#REF!</v>
      </c>
      <c r="J13890" s="31">
        <v>14</v>
      </c>
      <c r="K13890" s="33" t="s">
        <v>80</v>
      </c>
      <c r="L13890" s="31" t="str">
        <f t="shared" si="1341"/>
        <v>Empat Belas</v>
      </c>
    </row>
    <row r="13891" spans="1:12">
      <c r="A13891" s="33" t="s">
        <v>81</v>
      </c>
      <c r="B13891" s="41" t="e">
        <f>TRUNC((A13874-SUM(C13886:C13890)))</f>
        <v>#REF!</v>
      </c>
      <c r="C13891" s="42" t="e">
        <f>B13891</f>
        <v>#REF!</v>
      </c>
      <c r="D13891" s="31" t="e">
        <f t="shared" si="1340"/>
        <v>#REF!</v>
      </c>
      <c r="E13891" s="31" t="e">
        <f>IF(SUM(C13886:C13891)&lt;1,"",IF(B13892&lt;1,""," And "))</f>
        <v>#REF!</v>
      </c>
      <c r="J13891" s="31">
        <v>15</v>
      </c>
      <c r="K13891" s="33" t="s">
        <v>82</v>
      </c>
      <c r="L13891" s="31" t="str">
        <f t="shared" si="1341"/>
        <v>Lima Belas</v>
      </c>
    </row>
    <row r="13892" spans="1:12">
      <c r="A13892" s="33" t="s">
        <v>83</v>
      </c>
      <c r="B13892" s="40" t="e">
        <f>ROUND(A13874-SUM(C13886:C13891),2)*100</f>
        <v>#REF!</v>
      </c>
      <c r="D13892" s="43" t="e">
        <f t="shared" si="1340"/>
        <v>#REF!</v>
      </c>
      <c r="E13892" s="31" t="e">
        <f>IF(B13892&lt;1,"",IF(B13892=1," Cent "," Cents "))</f>
        <v>#REF!</v>
      </c>
      <c r="J13892" s="31">
        <v>16</v>
      </c>
      <c r="K13892" s="33" t="s">
        <v>84</v>
      </c>
      <c r="L13892" s="31" t="str">
        <f t="shared" si="1341"/>
        <v>Enam Belas</v>
      </c>
    </row>
    <row r="13893" spans="1:12">
      <c r="J13893" s="31">
        <v>17</v>
      </c>
      <c r="K13893" s="33" t="s">
        <v>85</v>
      </c>
      <c r="L13893" s="31" t="str">
        <f t="shared" si="1341"/>
        <v>Tujuh Belas</v>
      </c>
    </row>
    <row r="13894" spans="1:12">
      <c r="A13894" s="44"/>
      <c r="J13894" s="31">
        <v>18</v>
      </c>
      <c r="K13894" s="33" t="s">
        <v>86</v>
      </c>
      <c r="L13894" s="31" t="str">
        <f t="shared" si="1341"/>
        <v>Delapan Belas</v>
      </c>
    </row>
    <row r="13895" spans="1:12">
      <c r="A13895" s="38" t="s">
        <v>87</v>
      </c>
      <c r="J13895" s="31">
        <v>19</v>
      </c>
      <c r="K13895" s="33" t="s">
        <v>88</v>
      </c>
      <c r="L13895" s="31" t="str">
        <f t="shared" si="1341"/>
        <v>Sembilan Belas</v>
      </c>
    </row>
    <row r="13896" spans="1:12">
      <c r="A13896" s="31" t="s">
        <v>69</v>
      </c>
      <c r="B13896" s="39" t="e">
        <f>TRUNC(A13874/100000000)</f>
        <v>#REF!</v>
      </c>
      <c r="C13896" s="31" t="e">
        <f>B13896*100000000</f>
        <v>#REF!</v>
      </c>
      <c r="D13896" s="31" t="e">
        <f>IF(B13896&lt;1,"",IF(B13896=1,"",VLOOKUP(B13896,$J$3:$L$102,3)))</f>
        <v>#REF!</v>
      </c>
      <c r="E13896" s="31" t="e">
        <f>IF(B13896&lt;1,"",IF(B13896=1,"Seratus "," Ratus "))</f>
        <v>#REF!</v>
      </c>
      <c r="J13896" s="31">
        <v>20</v>
      </c>
      <c r="K13896" s="33" t="s">
        <v>89</v>
      </c>
      <c r="L13896" s="31" t="s">
        <v>90</v>
      </c>
    </row>
    <row r="13897" spans="1:12">
      <c r="A13897" s="31" t="s">
        <v>72</v>
      </c>
      <c r="B13897" s="39" t="e">
        <f>TRUNC((A13874-C13896)/1000000)</f>
        <v>#REF!</v>
      </c>
      <c r="C13897" s="31" t="e">
        <f>B13897*1000000</f>
        <v>#REF!</v>
      </c>
      <c r="D13897" s="31" t="e">
        <f>IF(B13897&lt;1,"",VLOOKUP(B13897,$J$3:$L$102,3))</f>
        <v>#REF!</v>
      </c>
      <c r="E13897" s="31" t="e">
        <f>IF(B13896+B13897=0,""," Juta ")</f>
        <v>#REF!</v>
      </c>
      <c r="J13897" s="31">
        <v>21</v>
      </c>
      <c r="K13897" s="33" t="s">
        <v>91</v>
      </c>
      <c r="L13897" s="31" t="str">
        <f t="shared" ref="L13897:L13905" si="1342">$L$23&amp;" "&amp;L13877</f>
        <v>Dua Puluh Satu</v>
      </c>
    </row>
    <row r="13898" spans="1:12">
      <c r="A13898" s="31" t="s">
        <v>75</v>
      </c>
      <c r="B13898" s="39" t="e">
        <f>TRUNC((A13874-SUM(C13896:C13897))/100000)</f>
        <v>#REF!</v>
      </c>
      <c r="C13898" s="31" t="e">
        <f>B13898*100000</f>
        <v>#REF!</v>
      </c>
      <c r="D13898" s="31" t="e">
        <f>IF(B13898&lt;1,"",IF(B13898=1,"",VLOOKUP(B13898,$J$3:$L$102,3)))</f>
        <v>#REF!</v>
      </c>
      <c r="E13898" s="31" t="e">
        <f>IF(B13898&lt;1,"",IF(B13898=1," Seratus "," Ratus "))</f>
        <v>#REF!</v>
      </c>
      <c r="J13898" s="31">
        <v>22</v>
      </c>
      <c r="K13898" s="33" t="s">
        <v>92</v>
      </c>
      <c r="L13898" s="31" t="str">
        <f t="shared" si="1342"/>
        <v>Dua Puluh Dua</v>
      </c>
    </row>
    <row r="13899" spans="1:12">
      <c r="A13899" s="33" t="s">
        <v>77</v>
      </c>
      <c r="B13899" s="40" t="e">
        <f>TRUNC((A13874-SUM(C13896:C13898))/1000)</f>
        <v>#REF!</v>
      </c>
      <c r="C13899" s="31" t="e">
        <f>B13899*1000</f>
        <v>#REF!</v>
      </c>
      <c r="D13899" s="31" t="e">
        <f>IF(B13899&lt;1,"",IF(B13899=1,"",VLOOKUP(B13899,$J$3:$L$102,3)))</f>
        <v>#REF!</v>
      </c>
      <c r="E13899" s="31" t="e">
        <f>IF(B13898+B13899&lt;1,"",IF(B13899=1," Seribu "," Ribu "))</f>
        <v>#REF!</v>
      </c>
      <c r="J13899" s="31">
        <v>23</v>
      </c>
      <c r="K13899" s="33" t="s">
        <v>93</v>
      </c>
      <c r="L13899" s="31" t="str">
        <f t="shared" si="1342"/>
        <v>Dua Puluh Tiga</v>
      </c>
    </row>
    <row r="13900" spans="1:12">
      <c r="A13900" s="33" t="s">
        <v>79</v>
      </c>
      <c r="B13900" s="40" t="e">
        <f>TRUNC((A13874-SUM(C13896:C13899))/100)</f>
        <v>#REF!</v>
      </c>
      <c r="C13900" s="31" t="e">
        <f>B13900*100</f>
        <v>#REF!</v>
      </c>
      <c r="D13900" s="31" t="e">
        <f>IF(B13900&lt;1,"",IF(B13900=1,"",VLOOKUP(B13900,$J$3:$L$102,3)))</f>
        <v>#REF!</v>
      </c>
      <c r="E13900" s="31" t="e">
        <f>IF(B13900&lt;1,"",IF(B13900=1," Seratus "," Ratus "))</f>
        <v>#REF!</v>
      </c>
      <c r="J13900" s="31">
        <v>24</v>
      </c>
      <c r="K13900" s="33" t="s">
        <v>94</v>
      </c>
      <c r="L13900" s="31" t="str">
        <f t="shared" si="1342"/>
        <v>Dua Puluh Empat</v>
      </c>
    </row>
    <row r="13901" spans="1:12">
      <c r="A13901" s="33" t="s">
        <v>81</v>
      </c>
      <c r="B13901" s="41" t="e">
        <f>TRUNC((A13874-SUM(C13896:C13900)))</f>
        <v>#REF!</v>
      </c>
      <c r="C13901" s="42" t="e">
        <f>B13901</f>
        <v>#REF!</v>
      </c>
      <c r="D13901" s="31" t="e">
        <f>IF(B13901&lt;1,"",VLOOKUP(B13901,$J$3:$L$102,3))</f>
        <v>#REF!</v>
      </c>
      <c r="E13901" s="31" t="e">
        <f>IF(SUM(C13896:C13901)&lt;1,"",IF(B13902&lt;1,""," Dan "))</f>
        <v>#REF!</v>
      </c>
      <c r="J13901" s="31">
        <v>25</v>
      </c>
      <c r="K13901" s="33" t="s">
        <v>95</v>
      </c>
      <c r="L13901" s="31" t="str">
        <f t="shared" si="1342"/>
        <v>Dua Puluh Lima</v>
      </c>
    </row>
    <row r="13902" spans="1:12">
      <c r="A13902" s="33" t="s">
        <v>83</v>
      </c>
      <c r="B13902" s="40" t="e">
        <f>ROUND(A13874-SUM(C13896:C13901),2)*100</f>
        <v>#REF!</v>
      </c>
      <c r="D13902" s="31" t="e">
        <f>IF(B13902&lt;1,"",VLOOKUP(B13902,$J$3:$L$102,3))</f>
        <v>#REF!</v>
      </c>
      <c r="E13902" s="31" t="e">
        <f>IF(B13902&lt;1,""," Sen ")</f>
        <v>#REF!</v>
      </c>
      <c r="J13902" s="31">
        <v>26</v>
      </c>
      <c r="K13902" s="33" t="s">
        <v>96</v>
      </c>
      <c r="L13902" s="31" t="str">
        <f t="shared" si="1342"/>
        <v>Dua Puluh Enam</v>
      </c>
    </row>
    <row r="13903" spans="1:12">
      <c r="J13903" s="31">
        <v>27</v>
      </c>
      <c r="K13903" s="33" t="s">
        <v>97</v>
      </c>
      <c r="L13903" s="31" t="str">
        <f t="shared" si="1342"/>
        <v>Dua Puluh Tujuh</v>
      </c>
    </row>
    <row r="13904" spans="1:12">
      <c r="J13904" s="31">
        <v>28</v>
      </c>
      <c r="K13904" s="33" t="s">
        <v>98</v>
      </c>
      <c r="L13904" s="31" t="str">
        <f t="shared" si="1342"/>
        <v>Dua Puluh Delapan</v>
      </c>
    </row>
    <row r="13905" spans="1:12">
      <c r="J13905" s="31">
        <v>29</v>
      </c>
      <c r="K13905" s="33" t="s">
        <v>99</v>
      </c>
      <c r="L13905" s="31" t="str">
        <f t="shared" si="1342"/>
        <v>Dua Puluh Sembilan</v>
      </c>
    </row>
    <row r="13906" spans="1:12">
      <c r="J13906" s="31">
        <v>30</v>
      </c>
      <c r="K13906" s="33" t="s">
        <v>100</v>
      </c>
      <c r="L13906" s="31" t="s">
        <v>101</v>
      </c>
    </row>
    <row r="13907" spans="1:12">
      <c r="J13907" s="31">
        <v>31</v>
      </c>
      <c r="K13907" s="33" t="s">
        <v>102</v>
      </c>
      <c r="L13907" s="31" t="str">
        <f t="shared" ref="L13907:L13915" si="1343">$L$33&amp;" "&amp;L13877</f>
        <v>Tiga Puluh Satu</v>
      </c>
    </row>
    <row r="13908" spans="1:12">
      <c r="J13908" s="31">
        <v>32</v>
      </c>
      <c r="K13908" s="33" t="s">
        <v>103</v>
      </c>
      <c r="L13908" s="31" t="str">
        <f t="shared" si="1343"/>
        <v>Tiga Puluh Dua</v>
      </c>
    </row>
    <row r="13909" spans="1:12">
      <c r="J13909" s="31">
        <v>33</v>
      </c>
      <c r="K13909" s="33" t="s">
        <v>104</v>
      </c>
      <c r="L13909" s="31" t="str">
        <f t="shared" si="1343"/>
        <v>Tiga Puluh Tiga</v>
      </c>
    </row>
    <row r="13910" spans="1:12">
      <c r="J13910" s="31">
        <v>34</v>
      </c>
      <c r="K13910" s="33" t="s">
        <v>105</v>
      </c>
      <c r="L13910" s="31" t="str">
        <f t="shared" si="1343"/>
        <v>Tiga Puluh Empat</v>
      </c>
    </row>
    <row r="13911" spans="1:12">
      <c r="J13911" s="31">
        <v>35</v>
      </c>
      <c r="K13911" s="33" t="s">
        <v>106</v>
      </c>
      <c r="L13911" s="31" t="str">
        <f t="shared" si="1343"/>
        <v>Tiga Puluh Lima</v>
      </c>
    </row>
    <row r="13912" spans="1:12">
      <c r="J13912" s="31">
        <v>36</v>
      </c>
      <c r="K13912" s="33" t="s">
        <v>107</v>
      </c>
      <c r="L13912" s="31" t="str">
        <f t="shared" si="1343"/>
        <v>Tiga Puluh Enam</v>
      </c>
    </row>
    <row r="13913" spans="1:12">
      <c r="J13913" s="31">
        <v>37</v>
      </c>
      <c r="K13913" s="33" t="s">
        <v>108</v>
      </c>
      <c r="L13913" s="31" t="str">
        <f t="shared" si="1343"/>
        <v>Tiga Puluh Tujuh</v>
      </c>
    </row>
    <row r="13914" spans="1:12">
      <c r="J13914" s="31">
        <v>38</v>
      </c>
      <c r="K13914" s="33" t="s">
        <v>109</v>
      </c>
      <c r="L13914" s="31" t="str">
        <f t="shared" si="1343"/>
        <v>Tiga Puluh Delapan</v>
      </c>
    </row>
    <row r="13915" spans="1:12">
      <c r="J13915" s="31">
        <v>39</v>
      </c>
      <c r="K13915" s="33" t="s">
        <v>110</v>
      </c>
      <c r="L13915" s="31" t="str">
        <f t="shared" si="1343"/>
        <v>Tiga Puluh Sembilan</v>
      </c>
    </row>
    <row r="13916" spans="1:12">
      <c r="B13916" s="35"/>
      <c r="C13916" s="35"/>
      <c r="D13916" s="35"/>
      <c r="J13916" s="31">
        <v>40</v>
      </c>
      <c r="K13916" s="33" t="s">
        <v>111</v>
      </c>
      <c r="L13916" s="31" t="s">
        <v>112</v>
      </c>
    </row>
    <row r="13917" spans="1:12">
      <c r="A13917" s="35"/>
      <c r="B13917" s="35"/>
      <c r="C13917" s="35"/>
      <c r="D13917" s="35"/>
      <c r="J13917" s="31">
        <v>41</v>
      </c>
      <c r="K13917" s="33" t="s">
        <v>113</v>
      </c>
      <c r="L13917" s="31" t="str">
        <f t="shared" ref="L13917:L13925" si="1344">$L$43&amp;" "&amp;L13877</f>
        <v>Empat Puluh Satu</v>
      </c>
    </row>
    <row r="13918" spans="1:12">
      <c r="J13918" s="31">
        <v>42</v>
      </c>
      <c r="K13918" s="33" t="s">
        <v>114</v>
      </c>
      <c r="L13918" s="31" t="str">
        <f t="shared" si="1344"/>
        <v>Empat Puluh Dua</v>
      </c>
    </row>
    <row r="13919" spans="1:12">
      <c r="A13919" s="38"/>
      <c r="J13919" s="31">
        <v>43</v>
      </c>
      <c r="K13919" s="33" t="s">
        <v>115</v>
      </c>
      <c r="L13919" s="31" t="str">
        <f t="shared" si="1344"/>
        <v>Empat Puluh Tiga</v>
      </c>
    </row>
    <row r="13920" spans="1:12">
      <c r="J13920" s="31">
        <v>44</v>
      </c>
      <c r="K13920" s="33" t="s">
        <v>116</v>
      </c>
      <c r="L13920" s="31" t="str">
        <f t="shared" si="1344"/>
        <v>Empat Puluh Empat</v>
      </c>
    </row>
    <row r="13921" spans="10:12">
      <c r="J13921" s="31">
        <v>45</v>
      </c>
      <c r="K13921" s="33" t="s">
        <v>117</v>
      </c>
      <c r="L13921" s="31" t="str">
        <f t="shared" si="1344"/>
        <v>Empat Puluh Lima</v>
      </c>
    </row>
    <row r="13922" spans="10:12">
      <c r="J13922" s="31">
        <v>46</v>
      </c>
      <c r="K13922" s="33" t="s">
        <v>118</v>
      </c>
      <c r="L13922" s="31" t="str">
        <f t="shared" si="1344"/>
        <v>Empat Puluh Enam</v>
      </c>
    </row>
    <row r="13923" spans="10:12">
      <c r="J13923" s="31">
        <v>47</v>
      </c>
      <c r="K13923" s="33" t="s">
        <v>119</v>
      </c>
      <c r="L13923" s="31" t="str">
        <f t="shared" si="1344"/>
        <v>Empat Puluh Tujuh</v>
      </c>
    </row>
    <row r="13924" spans="10:12">
      <c r="J13924" s="31">
        <v>48</v>
      </c>
      <c r="K13924" s="33" t="s">
        <v>120</v>
      </c>
      <c r="L13924" s="31" t="str">
        <f t="shared" si="1344"/>
        <v>Empat Puluh Delapan</v>
      </c>
    </row>
    <row r="13925" spans="10:12">
      <c r="J13925" s="31">
        <v>49</v>
      </c>
      <c r="K13925" s="33" t="s">
        <v>121</v>
      </c>
      <c r="L13925" s="31" t="str">
        <f t="shared" si="1344"/>
        <v>Empat Puluh Sembilan</v>
      </c>
    </row>
    <row r="13926" spans="10:12">
      <c r="J13926" s="31">
        <v>50</v>
      </c>
      <c r="K13926" s="33" t="s">
        <v>122</v>
      </c>
      <c r="L13926" s="31" t="s">
        <v>123</v>
      </c>
    </row>
    <row r="13927" spans="10:12">
      <c r="J13927" s="31">
        <v>51</v>
      </c>
      <c r="K13927" s="33" t="s">
        <v>124</v>
      </c>
      <c r="L13927" s="31" t="str">
        <f t="shared" ref="L13927:L13935" si="1345">$L$53&amp;" "&amp;L13877</f>
        <v>Lima Puluh Satu</v>
      </c>
    </row>
    <row r="13928" spans="10:12">
      <c r="J13928" s="31">
        <v>52</v>
      </c>
      <c r="K13928" s="33" t="s">
        <v>125</v>
      </c>
      <c r="L13928" s="31" t="str">
        <f t="shared" si="1345"/>
        <v>Lima Puluh Dua</v>
      </c>
    </row>
    <row r="13929" spans="10:12">
      <c r="J13929" s="31">
        <v>53</v>
      </c>
      <c r="K13929" s="33" t="s">
        <v>126</v>
      </c>
      <c r="L13929" s="31" t="str">
        <f t="shared" si="1345"/>
        <v>Lima Puluh Tiga</v>
      </c>
    </row>
    <row r="13930" spans="10:12">
      <c r="J13930" s="31">
        <v>54</v>
      </c>
      <c r="K13930" s="33" t="s">
        <v>127</v>
      </c>
      <c r="L13930" s="31" t="str">
        <f t="shared" si="1345"/>
        <v>Lima Puluh Empat</v>
      </c>
    </row>
    <row r="13931" spans="10:12">
      <c r="J13931" s="31">
        <v>55</v>
      </c>
      <c r="K13931" s="33" t="s">
        <v>128</v>
      </c>
      <c r="L13931" s="31" t="str">
        <f t="shared" si="1345"/>
        <v>Lima Puluh Lima</v>
      </c>
    </row>
    <row r="13932" spans="10:12">
      <c r="J13932" s="31">
        <v>56</v>
      </c>
      <c r="K13932" s="33" t="s">
        <v>129</v>
      </c>
      <c r="L13932" s="31" t="str">
        <f t="shared" si="1345"/>
        <v>Lima Puluh Enam</v>
      </c>
    </row>
    <row r="13933" spans="10:12">
      <c r="J13933" s="31">
        <v>57</v>
      </c>
      <c r="K13933" s="33" t="s">
        <v>130</v>
      </c>
      <c r="L13933" s="31" t="str">
        <f t="shared" si="1345"/>
        <v>Lima Puluh Tujuh</v>
      </c>
    </row>
    <row r="13934" spans="10:12">
      <c r="J13934" s="31">
        <v>58</v>
      </c>
      <c r="K13934" s="33" t="s">
        <v>131</v>
      </c>
      <c r="L13934" s="31" t="str">
        <f t="shared" si="1345"/>
        <v>Lima Puluh Delapan</v>
      </c>
    </row>
    <row r="13935" spans="10:12">
      <c r="J13935" s="31">
        <v>59</v>
      </c>
      <c r="K13935" s="33" t="s">
        <v>132</v>
      </c>
      <c r="L13935" s="31" t="str">
        <f t="shared" si="1345"/>
        <v>Lima Puluh Sembilan</v>
      </c>
    </row>
    <row r="13936" spans="10:12">
      <c r="J13936" s="31">
        <v>60</v>
      </c>
      <c r="K13936" s="33" t="s">
        <v>133</v>
      </c>
      <c r="L13936" s="31" t="s">
        <v>134</v>
      </c>
    </row>
    <row r="13937" spans="10:12">
      <c r="J13937" s="31">
        <v>61</v>
      </c>
      <c r="K13937" s="33" t="s">
        <v>135</v>
      </c>
      <c r="L13937" s="31" t="str">
        <f t="shared" ref="L13937:L13945" si="1346">$L$63&amp;" "&amp;L13877</f>
        <v>Enam Puluh Satu</v>
      </c>
    </row>
    <row r="13938" spans="10:12">
      <c r="J13938" s="31">
        <v>62</v>
      </c>
      <c r="K13938" s="33" t="s">
        <v>136</v>
      </c>
      <c r="L13938" s="31" t="str">
        <f t="shared" si="1346"/>
        <v>Enam Puluh Dua</v>
      </c>
    </row>
    <row r="13939" spans="10:12">
      <c r="J13939" s="31">
        <v>63</v>
      </c>
      <c r="K13939" s="33" t="s">
        <v>137</v>
      </c>
      <c r="L13939" s="31" t="str">
        <f t="shared" si="1346"/>
        <v>Enam Puluh Tiga</v>
      </c>
    </row>
    <row r="13940" spans="10:12">
      <c r="J13940" s="31">
        <v>64</v>
      </c>
      <c r="K13940" s="33" t="s">
        <v>138</v>
      </c>
      <c r="L13940" s="31" t="str">
        <f t="shared" si="1346"/>
        <v>Enam Puluh Empat</v>
      </c>
    </row>
    <row r="13941" spans="10:12">
      <c r="J13941" s="31">
        <v>65</v>
      </c>
      <c r="K13941" s="33" t="s">
        <v>139</v>
      </c>
      <c r="L13941" s="31" t="str">
        <f t="shared" si="1346"/>
        <v>Enam Puluh Lima</v>
      </c>
    </row>
    <row r="13942" spans="10:12">
      <c r="J13942" s="31">
        <v>66</v>
      </c>
      <c r="K13942" s="33" t="s">
        <v>140</v>
      </c>
      <c r="L13942" s="31" t="str">
        <f t="shared" si="1346"/>
        <v>Enam Puluh Enam</v>
      </c>
    </row>
    <row r="13943" spans="10:12">
      <c r="J13943" s="31">
        <v>67</v>
      </c>
      <c r="K13943" s="33" t="s">
        <v>141</v>
      </c>
      <c r="L13943" s="31" t="str">
        <f t="shared" si="1346"/>
        <v>Enam Puluh Tujuh</v>
      </c>
    </row>
    <row r="13944" spans="10:12">
      <c r="J13944" s="31">
        <v>68</v>
      </c>
      <c r="K13944" s="33" t="s">
        <v>142</v>
      </c>
      <c r="L13944" s="31" t="str">
        <f t="shared" si="1346"/>
        <v>Enam Puluh Delapan</v>
      </c>
    </row>
    <row r="13945" spans="10:12">
      <c r="J13945" s="31">
        <v>69</v>
      </c>
      <c r="K13945" s="33" t="s">
        <v>143</v>
      </c>
      <c r="L13945" s="31" t="str">
        <f t="shared" si="1346"/>
        <v>Enam Puluh Sembilan</v>
      </c>
    </row>
    <row r="13946" spans="10:12">
      <c r="J13946" s="31">
        <v>70</v>
      </c>
      <c r="K13946" s="33" t="s">
        <v>144</v>
      </c>
      <c r="L13946" s="31" t="s">
        <v>145</v>
      </c>
    </row>
    <row r="13947" spans="10:12">
      <c r="J13947" s="31">
        <v>71</v>
      </c>
      <c r="K13947" s="33" t="s">
        <v>146</v>
      </c>
      <c r="L13947" s="31" t="str">
        <f t="shared" ref="L13947:L13955" si="1347">$L$73&amp;" "&amp;L13877</f>
        <v>Tujuh Puluh Satu</v>
      </c>
    </row>
    <row r="13948" spans="10:12">
      <c r="J13948" s="31">
        <v>72</v>
      </c>
      <c r="K13948" s="33" t="s">
        <v>147</v>
      </c>
      <c r="L13948" s="31" t="str">
        <f t="shared" si="1347"/>
        <v>Tujuh Puluh Dua</v>
      </c>
    </row>
    <row r="13949" spans="10:12">
      <c r="J13949" s="31">
        <v>73</v>
      </c>
      <c r="K13949" s="33" t="s">
        <v>148</v>
      </c>
      <c r="L13949" s="31" t="str">
        <f t="shared" si="1347"/>
        <v>Tujuh Puluh Tiga</v>
      </c>
    </row>
    <row r="13950" spans="10:12">
      <c r="J13950" s="31">
        <v>74</v>
      </c>
      <c r="K13950" s="33" t="s">
        <v>149</v>
      </c>
      <c r="L13950" s="31" t="str">
        <f t="shared" si="1347"/>
        <v>Tujuh Puluh Empat</v>
      </c>
    </row>
    <row r="13951" spans="10:12">
      <c r="J13951" s="31">
        <v>75</v>
      </c>
      <c r="K13951" s="33" t="s">
        <v>150</v>
      </c>
      <c r="L13951" s="31" t="str">
        <f t="shared" si="1347"/>
        <v>Tujuh Puluh Lima</v>
      </c>
    </row>
    <row r="13952" spans="10:12">
      <c r="J13952" s="31">
        <v>76</v>
      </c>
      <c r="K13952" s="33" t="s">
        <v>151</v>
      </c>
      <c r="L13952" s="31" t="str">
        <f t="shared" si="1347"/>
        <v>Tujuh Puluh Enam</v>
      </c>
    </row>
    <row r="13953" spans="10:12">
      <c r="J13953" s="31">
        <v>77</v>
      </c>
      <c r="K13953" s="33" t="s">
        <v>152</v>
      </c>
      <c r="L13953" s="31" t="str">
        <f t="shared" si="1347"/>
        <v>Tujuh Puluh Tujuh</v>
      </c>
    </row>
    <row r="13954" spans="10:12">
      <c r="J13954" s="31">
        <v>78</v>
      </c>
      <c r="K13954" s="33" t="s">
        <v>153</v>
      </c>
      <c r="L13954" s="31" t="str">
        <f t="shared" si="1347"/>
        <v>Tujuh Puluh Delapan</v>
      </c>
    </row>
    <row r="13955" spans="10:12">
      <c r="J13955" s="31">
        <v>79</v>
      </c>
      <c r="K13955" s="33" t="s">
        <v>154</v>
      </c>
      <c r="L13955" s="31" t="str">
        <f t="shared" si="1347"/>
        <v>Tujuh Puluh Sembilan</v>
      </c>
    </row>
    <row r="13956" spans="10:12">
      <c r="J13956" s="31">
        <v>80</v>
      </c>
      <c r="K13956" s="33" t="s">
        <v>155</v>
      </c>
      <c r="L13956" s="31" t="s">
        <v>156</v>
      </c>
    </row>
    <row r="13957" spans="10:12">
      <c r="J13957" s="31">
        <v>81</v>
      </c>
      <c r="K13957" s="33" t="s">
        <v>157</v>
      </c>
      <c r="L13957" s="31" t="str">
        <f t="shared" ref="L13957:L13965" si="1348">$L$83&amp;" "&amp;L13877</f>
        <v>Delapan Puluh Satu</v>
      </c>
    </row>
    <row r="13958" spans="10:12">
      <c r="J13958" s="31">
        <v>82</v>
      </c>
      <c r="K13958" s="33" t="s">
        <v>158</v>
      </c>
      <c r="L13958" s="31" t="str">
        <f t="shared" si="1348"/>
        <v>Delapan Puluh Dua</v>
      </c>
    </row>
    <row r="13959" spans="10:12">
      <c r="J13959" s="31">
        <v>83</v>
      </c>
      <c r="K13959" s="33" t="s">
        <v>159</v>
      </c>
      <c r="L13959" s="31" t="str">
        <f t="shared" si="1348"/>
        <v>Delapan Puluh Tiga</v>
      </c>
    </row>
    <row r="13960" spans="10:12">
      <c r="J13960" s="31">
        <v>84</v>
      </c>
      <c r="K13960" s="33" t="s">
        <v>160</v>
      </c>
      <c r="L13960" s="31" t="str">
        <f t="shared" si="1348"/>
        <v>Delapan Puluh Empat</v>
      </c>
    </row>
    <row r="13961" spans="10:12">
      <c r="J13961" s="31">
        <v>85</v>
      </c>
      <c r="K13961" s="33" t="s">
        <v>161</v>
      </c>
      <c r="L13961" s="31" t="str">
        <f t="shared" si="1348"/>
        <v>Delapan Puluh Lima</v>
      </c>
    </row>
    <row r="13962" spans="10:12">
      <c r="J13962" s="31">
        <v>86</v>
      </c>
      <c r="K13962" s="33" t="s">
        <v>162</v>
      </c>
      <c r="L13962" s="31" t="str">
        <f t="shared" si="1348"/>
        <v>Delapan Puluh Enam</v>
      </c>
    </row>
    <row r="13963" spans="10:12">
      <c r="J13963" s="31">
        <v>87</v>
      </c>
      <c r="K13963" s="33" t="s">
        <v>163</v>
      </c>
      <c r="L13963" s="31" t="str">
        <f t="shared" si="1348"/>
        <v>Delapan Puluh Tujuh</v>
      </c>
    </row>
    <row r="13964" spans="10:12">
      <c r="J13964" s="31">
        <v>88</v>
      </c>
      <c r="K13964" s="33" t="s">
        <v>164</v>
      </c>
      <c r="L13964" s="31" t="str">
        <f t="shared" si="1348"/>
        <v>Delapan Puluh Delapan</v>
      </c>
    </row>
    <row r="13965" spans="10:12">
      <c r="J13965" s="31">
        <v>89</v>
      </c>
      <c r="K13965" s="33" t="s">
        <v>165</v>
      </c>
      <c r="L13965" s="31" t="str">
        <f t="shared" si="1348"/>
        <v>Delapan Puluh Sembilan</v>
      </c>
    </row>
    <row r="13966" spans="10:12">
      <c r="J13966" s="31">
        <v>90</v>
      </c>
      <c r="K13966" s="33" t="s">
        <v>166</v>
      </c>
      <c r="L13966" s="31" t="s">
        <v>167</v>
      </c>
    </row>
    <row r="13967" spans="10:12">
      <c r="J13967" s="31">
        <v>91</v>
      </c>
      <c r="K13967" s="33" t="s">
        <v>168</v>
      </c>
      <c r="L13967" s="31" t="str">
        <f t="shared" ref="L13967:L13975" si="1349">$L$93&amp;" "&amp;L13877</f>
        <v>Sembilan Puluh Satu</v>
      </c>
    </row>
    <row r="13968" spans="10:12">
      <c r="J13968" s="31">
        <v>92</v>
      </c>
      <c r="K13968" s="33" t="s">
        <v>169</v>
      </c>
      <c r="L13968" s="31" t="str">
        <f t="shared" si="1349"/>
        <v>Sembilan Puluh Dua</v>
      </c>
    </row>
    <row r="13969" spans="1:12">
      <c r="J13969" s="31">
        <v>93</v>
      </c>
      <c r="K13969" s="33" t="s">
        <v>170</v>
      </c>
      <c r="L13969" s="31" t="str">
        <f t="shared" si="1349"/>
        <v>Sembilan Puluh Tiga</v>
      </c>
    </row>
    <row r="13970" spans="1:12">
      <c r="J13970" s="31">
        <v>94</v>
      </c>
      <c r="K13970" s="33" t="s">
        <v>171</v>
      </c>
      <c r="L13970" s="31" t="str">
        <f t="shared" si="1349"/>
        <v>Sembilan Puluh Empat</v>
      </c>
    </row>
    <row r="13971" spans="1:12">
      <c r="J13971" s="31">
        <v>95</v>
      </c>
      <c r="K13971" s="33" t="s">
        <v>172</v>
      </c>
      <c r="L13971" s="31" t="str">
        <f t="shared" si="1349"/>
        <v>Sembilan Puluh Lima</v>
      </c>
    </row>
    <row r="13972" spans="1:12">
      <c r="J13972" s="31">
        <v>96</v>
      </c>
      <c r="K13972" s="33" t="s">
        <v>173</v>
      </c>
      <c r="L13972" s="31" t="str">
        <f t="shared" si="1349"/>
        <v>Sembilan Puluh Enam</v>
      </c>
    </row>
    <row r="13973" spans="1:12">
      <c r="J13973" s="31">
        <v>97</v>
      </c>
      <c r="K13973" s="33" t="s">
        <v>174</v>
      </c>
      <c r="L13973" s="31" t="str">
        <f t="shared" si="1349"/>
        <v>Sembilan Puluh Tujuh</v>
      </c>
    </row>
    <row r="13974" spans="1:12">
      <c r="J13974" s="31">
        <v>98</v>
      </c>
      <c r="K13974" s="33" t="s">
        <v>175</v>
      </c>
      <c r="L13974" s="31" t="str">
        <f t="shared" si="1349"/>
        <v>Sembilan Puluh Delapan</v>
      </c>
    </row>
    <row r="13975" spans="1:12">
      <c r="J13975" s="31">
        <v>99</v>
      </c>
      <c r="K13975" s="33" t="s">
        <v>176</v>
      </c>
      <c r="L13975" s="31" t="str">
        <f t="shared" si="1349"/>
        <v>Sembilan Puluh Sembilan</v>
      </c>
    </row>
    <row r="13977" spans="1:12">
      <c r="A13977" s="30" t="e">
        <f>#REF!</f>
        <v>#REF!</v>
      </c>
      <c r="C13977" s="31" t="s">
        <v>197</v>
      </c>
    </row>
    <row r="13978" spans="1:12">
      <c r="A13978" s="32"/>
    </row>
    <row r="13979" spans="1:12">
      <c r="J13979" s="31">
        <v>0</v>
      </c>
      <c r="K13979" s="33" t="s">
        <v>48</v>
      </c>
      <c r="L13979" s="31" t="s">
        <v>49</v>
      </c>
    </row>
    <row r="13980" spans="1:12">
      <c r="A13980" s="34"/>
      <c r="J13980" s="31">
        <v>1</v>
      </c>
      <c r="K13980" s="33" t="s">
        <v>50</v>
      </c>
      <c r="L13980" s="31" t="s">
        <v>51</v>
      </c>
    </row>
    <row r="13981" spans="1:12">
      <c r="A13981" s="255" t="e">
        <f>TRIM(D13989&amp;E13989&amp;D13990&amp;E13990&amp;D13991&amp;E13991&amp;D13992&amp;E13992&amp;D13993&amp;E13993&amp;D13994&amp;E13994&amp;E13995&amp;D13995&amp;" Only")</f>
        <v>#REF!</v>
      </c>
      <c r="B13981" s="255"/>
      <c r="C13981" s="255"/>
      <c r="D13981" s="255"/>
      <c r="E13981" s="35"/>
      <c r="F13981" s="36"/>
      <c r="J13981" s="31">
        <v>2</v>
      </c>
      <c r="K13981" s="33" t="s">
        <v>52</v>
      </c>
      <c r="L13981" s="31" t="s">
        <v>53</v>
      </c>
    </row>
    <row r="13982" spans="1:12">
      <c r="A13982" s="37"/>
      <c r="B13982" s="37"/>
      <c r="C13982" s="37"/>
      <c r="D13982" s="37"/>
      <c r="E13982" s="35"/>
      <c r="F13982" s="36"/>
      <c r="J13982" s="31">
        <v>3</v>
      </c>
      <c r="K13982" s="33" t="s">
        <v>54</v>
      </c>
      <c r="L13982" s="31" t="s">
        <v>55</v>
      </c>
    </row>
    <row r="13983" spans="1:12">
      <c r="A13983" s="37"/>
      <c r="B13983" s="37"/>
      <c r="C13983" s="37"/>
      <c r="D13983" s="37"/>
      <c r="J13983" s="31">
        <v>4</v>
      </c>
      <c r="K13983" s="33" t="s">
        <v>56</v>
      </c>
      <c r="L13983" s="31" t="s">
        <v>57</v>
      </c>
    </row>
    <row r="13984" spans="1:12">
      <c r="A13984" s="255" t="e">
        <f>TRIM(D13999&amp;E13999&amp;D14000&amp;E14000&amp;D14001&amp;E14001&amp;D14002&amp;E14002&amp;D14003&amp;E14003&amp;D14004&amp;E14004&amp;D14005&amp;E14005&amp;" Rupiah")</f>
        <v>#REF!</v>
      </c>
      <c r="B13984" s="255"/>
      <c r="C13984" s="255"/>
      <c r="D13984" s="255"/>
      <c r="E13984" s="35"/>
      <c r="F13984" s="36"/>
      <c r="J13984" s="31">
        <v>5</v>
      </c>
      <c r="K13984" s="33" t="s">
        <v>58</v>
      </c>
      <c r="L13984" s="31" t="s">
        <v>59</v>
      </c>
    </row>
    <row r="13985" spans="1:12">
      <c r="A13985" s="35"/>
      <c r="B13985" s="35"/>
      <c r="C13985" s="35"/>
      <c r="D13985" s="35"/>
      <c r="E13985" s="35"/>
      <c r="F13985" s="36"/>
      <c r="J13985" s="31">
        <v>6</v>
      </c>
      <c r="K13985" s="33" t="s">
        <v>60</v>
      </c>
      <c r="L13985" s="31" t="s">
        <v>61</v>
      </c>
    </row>
    <row r="13986" spans="1:12">
      <c r="J13986" s="31">
        <v>7</v>
      </c>
      <c r="K13986" s="33" t="s">
        <v>62</v>
      </c>
      <c r="L13986" s="31" t="s">
        <v>63</v>
      </c>
    </row>
    <row r="13987" spans="1:12">
      <c r="J13987" s="31">
        <v>8</v>
      </c>
      <c r="K13987" s="33" t="s">
        <v>64</v>
      </c>
      <c r="L13987" s="31" t="s">
        <v>65</v>
      </c>
    </row>
    <row r="13988" spans="1:12">
      <c r="A13988" s="38" t="s">
        <v>66</v>
      </c>
      <c r="J13988" s="31">
        <v>9</v>
      </c>
      <c r="K13988" s="33" t="s">
        <v>67</v>
      </c>
      <c r="L13988" s="31" t="s">
        <v>68</v>
      </c>
    </row>
    <row r="13989" spans="1:12">
      <c r="A13989" s="31" t="s">
        <v>69</v>
      </c>
      <c r="B13989" s="39" t="e">
        <f>TRUNC(A13977/100000000)</f>
        <v>#REF!</v>
      </c>
      <c r="C13989" s="31" t="e">
        <f>B13989*100000000</f>
        <v>#REF!</v>
      </c>
      <c r="D13989" s="31" t="e">
        <f t="shared" ref="D13989:D13995" si="1350">IF(B13989&lt;1,"",VLOOKUP(B13989,$J$3:$K$102,2))</f>
        <v>#REF!</v>
      </c>
      <c r="E13989" s="31" t="e">
        <f>IF(B13989&lt;1,"",IF(B13989&gt;1," Hundreds "," Hundred "))</f>
        <v>#REF!</v>
      </c>
      <c r="J13989" s="31">
        <v>10</v>
      </c>
      <c r="K13989" s="33" t="s">
        <v>70</v>
      </c>
      <c r="L13989" s="31" t="s">
        <v>71</v>
      </c>
    </row>
    <row r="13990" spans="1:12">
      <c r="A13990" s="31" t="s">
        <v>72</v>
      </c>
      <c r="B13990" s="39" t="e">
        <f>TRUNC((A13977-C13989)/1000000)</f>
        <v>#REF!</v>
      </c>
      <c r="C13990" s="31" t="e">
        <f>B13990*1000000</f>
        <v>#REF!</v>
      </c>
      <c r="D13990" s="31" t="e">
        <f t="shared" si="1350"/>
        <v>#REF!</v>
      </c>
      <c r="E13990" s="31" t="e">
        <f>IF(B13989+B13990=0,"",IF(B13990=1," Million "," Millions "))</f>
        <v>#REF!</v>
      </c>
      <c r="J13990" s="31">
        <v>11</v>
      </c>
      <c r="K13990" s="33" t="s">
        <v>73</v>
      </c>
      <c r="L13990" s="31" t="s">
        <v>74</v>
      </c>
    </row>
    <row r="13991" spans="1:12">
      <c r="A13991" s="31" t="s">
        <v>75</v>
      </c>
      <c r="B13991" s="39" t="e">
        <f>TRUNC((A13977-SUM(C13989:C13990))/100000)</f>
        <v>#REF!</v>
      </c>
      <c r="C13991" s="31" t="e">
        <f>B13991*100000</f>
        <v>#REF!</v>
      </c>
      <c r="D13991" s="31" t="e">
        <f t="shared" si="1350"/>
        <v>#REF!</v>
      </c>
      <c r="E13991" s="31" t="e">
        <f>IF(B13991&lt;1,"",IF(B13991&gt;1," Hundreds "," Hundred "))</f>
        <v>#REF!</v>
      </c>
      <c r="J13991" s="31">
        <v>12</v>
      </c>
      <c r="K13991" s="33" t="s">
        <v>76</v>
      </c>
      <c r="L13991" s="31" t="str">
        <f t="shared" ref="L13991:L13998" si="1351">L13981&amp;" Belas"</f>
        <v>Dua Belas</v>
      </c>
    </row>
    <row r="13992" spans="1:12">
      <c r="A13992" s="33" t="s">
        <v>77</v>
      </c>
      <c r="B13992" s="40" t="e">
        <f>TRUNC((A13977-SUM(C13989:C13991))/1000)</f>
        <v>#REF!</v>
      </c>
      <c r="C13992" s="31" t="e">
        <f>B13992*1000</f>
        <v>#REF!</v>
      </c>
      <c r="D13992" s="31" t="e">
        <f t="shared" si="1350"/>
        <v>#REF!</v>
      </c>
      <c r="E13992" s="31" t="e">
        <f>IF(B13991+B13992=0,"",IF(B13992=1," Thousand "," Thousands "))</f>
        <v>#REF!</v>
      </c>
      <c r="J13992" s="31">
        <v>13</v>
      </c>
      <c r="K13992" s="33" t="s">
        <v>78</v>
      </c>
      <c r="L13992" s="31" t="str">
        <f t="shared" si="1351"/>
        <v>Tiga Belas</v>
      </c>
    </row>
    <row r="13993" spans="1:12">
      <c r="A13993" s="33" t="s">
        <v>79</v>
      </c>
      <c r="B13993" s="40" t="e">
        <f>TRUNC((A13977-SUM(C13989:C13992))/100)</f>
        <v>#REF!</v>
      </c>
      <c r="C13993" s="31" t="e">
        <f>B13993*100</f>
        <v>#REF!</v>
      </c>
      <c r="D13993" s="31" t="e">
        <f t="shared" si="1350"/>
        <v>#REF!</v>
      </c>
      <c r="E13993" s="31" t="e">
        <f>IF(B13993&lt;1,"",IF(B13993&gt;1," Hundreds "," Hundred "))</f>
        <v>#REF!</v>
      </c>
      <c r="J13993" s="31">
        <v>14</v>
      </c>
      <c r="K13993" s="33" t="s">
        <v>80</v>
      </c>
      <c r="L13993" s="31" t="str">
        <f t="shared" si="1351"/>
        <v>Empat Belas</v>
      </c>
    </row>
    <row r="13994" spans="1:12">
      <c r="A13994" s="33" t="s">
        <v>81</v>
      </c>
      <c r="B13994" s="41" t="e">
        <f>TRUNC((A13977-SUM(C13989:C13993)))</f>
        <v>#REF!</v>
      </c>
      <c r="C13994" s="42" t="e">
        <f>B13994</f>
        <v>#REF!</v>
      </c>
      <c r="D13994" s="31" t="e">
        <f t="shared" si="1350"/>
        <v>#REF!</v>
      </c>
      <c r="E13994" s="31" t="e">
        <f>IF(SUM(C13989:C13994)&lt;1,"",IF(B13995&lt;1,""," And "))</f>
        <v>#REF!</v>
      </c>
      <c r="J13994" s="31">
        <v>15</v>
      </c>
      <c r="K13994" s="33" t="s">
        <v>82</v>
      </c>
      <c r="L13994" s="31" t="str">
        <f t="shared" si="1351"/>
        <v>Lima Belas</v>
      </c>
    </row>
    <row r="13995" spans="1:12">
      <c r="A13995" s="33" t="s">
        <v>83</v>
      </c>
      <c r="B13995" s="40" t="e">
        <f>ROUND(A13977-SUM(C13989:C13994),2)*100</f>
        <v>#REF!</v>
      </c>
      <c r="D13995" s="43" t="e">
        <f t="shared" si="1350"/>
        <v>#REF!</v>
      </c>
      <c r="E13995" s="31" t="e">
        <f>IF(B13995&lt;1,"",IF(B13995=1," Cent "," Cents "))</f>
        <v>#REF!</v>
      </c>
      <c r="J13995" s="31">
        <v>16</v>
      </c>
      <c r="K13995" s="33" t="s">
        <v>84</v>
      </c>
      <c r="L13995" s="31" t="str">
        <f t="shared" si="1351"/>
        <v>Enam Belas</v>
      </c>
    </row>
    <row r="13996" spans="1:12">
      <c r="J13996" s="31">
        <v>17</v>
      </c>
      <c r="K13996" s="33" t="s">
        <v>85</v>
      </c>
      <c r="L13996" s="31" t="str">
        <f t="shared" si="1351"/>
        <v>Tujuh Belas</v>
      </c>
    </row>
    <row r="13997" spans="1:12">
      <c r="A13997" s="44"/>
      <c r="J13997" s="31">
        <v>18</v>
      </c>
      <c r="K13997" s="33" t="s">
        <v>86</v>
      </c>
      <c r="L13997" s="31" t="str">
        <f t="shared" si="1351"/>
        <v>Delapan Belas</v>
      </c>
    </row>
    <row r="13998" spans="1:12">
      <c r="A13998" s="38" t="s">
        <v>87</v>
      </c>
      <c r="J13998" s="31">
        <v>19</v>
      </c>
      <c r="K13998" s="33" t="s">
        <v>88</v>
      </c>
      <c r="L13998" s="31" t="str">
        <f t="shared" si="1351"/>
        <v>Sembilan Belas</v>
      </c>
    </row>
    <row r="13999" spans="1:12">
      <c r="A13999" s="31" t="s">
        <v>69</v>
      </c>
      <c r="B13999" s="39" t="e">
        <f>TRUNC(A13977/100000000)</f>
        <v>#REF!</v>
      </c>
      <c r="C13999" s="31" t="e">
        <f>B13999*100000000</f>
        <v>#REF!</v>
      </c>
      <c r="D13999" s="31" t="e">
        <f>IF(B13999&lt;1,"",IF(B13999=1,"",VLOOKUP(B13999,$J$3:$L$102,3)))</f>
        <v>#REF!</v>
      </c>
      <c r="E13999" s="31" t="e">
        <f>IF(B13999&lt;1,"",IF(B13999=1,"Seratus "," Ratus "))</f>
        <v>#REF!</v>
      </c>
      <c r="J13999" s="31">
        <v>20</v>
      </c>
      <c r="K13999" s="33" t="s">
        <v>89</v>
      </c>
      <c r="L13999" s="31" t="s">
        <v>90</v>
      </c>
    </row>
    <row r="14000" spans="1:12">
      <c r="A14000" s="31" t="s">
        <v>72</v>
      </c>
      <c r="B14000" s="39" t="e">
        <f>TRUNC((A13977-C13999)/1000000)</f>
        <v>#REF!</v>
      </c>
      <c r="C14000" s="31" t="e">
        <f>B14000*1000000</f>
        <v>#REF!</v>
      </c>
      <c r="D14000" s="31" t="e">
        <f>IF(B14000&lt;1,"",VLOOKUP(B14000,$J$3:$L$102,3))</f>
        <v>#REF!</v>
      </c>
      <c r="E14000" s="31" t="e">
        <f>IF(B13999+B14000=0,""," Juta ")</f>
        <v>#REF!</v>
      </c>
      <c r="J14000" s="31">
        <v>21</v>
      </c>
      <c r="K14000" s="33" t="s">
        <v>91</v>
      </c>
      <c r="L14000" s="31" t="str">
        <f t="shared" ref="L14000:L14008" si="1352">$L$23&amp;" "&amp;L13980</f>
        <v>Dua Puluh Satu</v>
      </c>
    </row>
    <row r="14001" spans="1:12">
      <c r="A14001" s="31" t="s">
        <v>75</v>
      </c>
      <c r="B14001" s="39" t="e">
        <f>TRUNC((A13977-SUM(C13999:C14000))/100000)</f>
        <v>#REF!</v>
      </c>
      <c r="C14001" s="31" t="e">
        <f>B14001*100000</f>
        <v>#REF!</v>
      </c>
      <c r="D14001" s="31" t="e">
        <f>IF(B14001&lt;1,"",IF(B14001=1,"",VLOOKUP(B14001,$J$3:$L$102,3)))</f>
        <v>#REF!</v>
      </c>
      <c r="E14001" s="31" t="e">
        <f>IF(B14001&lt;1,"",IF(B14001=1," Seratus "," Ratus "))</f>
        <v>#REF!</v>
      </c>
      <c r="J14001" s="31">
        <v>22</v>
      </c>
      <c r="K14001" s="33" t="s">
        <v>92</v>
      </c>
      <c r="L14001" s="31" t="str">
        <f t="shared" si="1352"/>
        <v>Dua Puluh Dua</v>
      </c>
    </row>
    <row r="14002" spans="1:12">
      <c r="A14002" s="33" t="s">
        <v>77</v>
      </c>
      <c r="B14002" s="40" t="e">
        <f>TRUNC((A13977-SUM(C13999:C14001))/1000)</f>
        <v>#REF!</v>
      </c>
      <c r="C14002" s="31" t="e">
        <f>B14002*1000</f>
        <v>#REF!</v>
      </c>
      <c r="D14002" s="31" t="e">
        <f>IF(B14002&lt;1,"",IF(B14002=1,"",VLOOKUP(B14002,$J$3:$L$102,3)))</f>
        <v>#REF!</v>
      </c>
      <c r="E14002" s="31" t="e">
        <f>IF(B14001+B14002&lt;1,"",IF(B14002=1," Seribu "," Ribu "))</f>
        <v>#REF!</v>
      </c>
      <c r="J14002" s="31">
        <v>23</v>
      </c>
      <c r="K14002" s="33" t="s">
        <v>93</v>
      </c>
      <c r="L14002" s="31" t="str">
        <f t="shared" si="1352"/>
        <v>Dua Puluh Tiga</v>
      </c>
    </row>
    <row r="14003" spans="1:12">
      <c r="A14003" s="33" t="s">
        <v>79</v>
      </c>
      <c r="B14003" s="40" t="e">
        <f>TRUNC((A13977-SUM(C13999:C14002))/100)</f>
        <v>#REF!</v>
      </c>
      <c r="C14003" s="31" t="e">
        <f>B14003*100</f>
        <v>#REF!</v>
      </c>
      <c r="D14003" s="31" t="e">
        <f>IF(B14003&lt;1,"",IF(B14003=1,"",VLOOKUP(B14003,$J$3:$L$102,3)))</f>
        <v>#REF!</v>
      </c>
      <c r="E14003" s="31" t="e">
        <f>IF(B14003&lt;1,"",IF(B14003=1," Seratus "," Ratus "))</f>
        <v>#REF!</v>
      </c>
      <c r="J14003" s="31">
        <v>24</v>
      </c>
      <c r="K14003" s="33" t="s">
        <v>94</v>
      </c>
      <c r="L14003" s="31" t="str">
        <f t="shared" si="1352"/>
        <v>Dua Puluh Empat</v>
      </c>
    </row>
    <row r="14004" spans="1:12">
      <c r="A14004" s="33" t="s">
        <v>81</v>
      </c>
      <c r="B14004" s="41" t="e">
        <f>TRUNC((A13977-SUM(C13999:C14003)))</f>
        <v>#REF!</v>
      </c>
      <c r="C14004" s="42" t="e">
        <f>B14004</f>
        <v>#REF!</v>
      </c>
      <c r="D14004" s="31" t="e">
        <f>IF(B14004&lt;1,"",VLOOKUP(B14004,$J$3:$L$102,3))</f>
        <v>#REF!</v>
      </c>
      <c r="E14004" s="31" t="e">
        <f>IF(SUM(C13999:C14004)&lt;1,"",IF(B14005&lt;1,""," Dan "))</f>
        <v>#REF!</v>
      </c>
      <c r="J14004" s="31">
        <v>25</v>
      </c>
      <c r="K14004" s="33" t="s">
        <v>95</v>
      </c>
      <c r="L14004" s="31" t="str">
        <f t="shared" si="1352"/>
        <v>Dua Puluh Lima</v>
      </c>
    </row>
    <row r="14005" spans="1:12">
      <c r="A14005" s="33" t="s">
        <v>83</v>
      </c>
      <c r="B14005" s="40" t="e">
        <f>ROUND(A13977-SUM(C13999:C14004),2)*100</f>
        <v>#REF!</v>
      </c>
      <c r="D14005" s="31" t="e">
        <f>IF(B14005&lt;1,"",VLOOKUP(B14005,$J$3:$L$102,3))</f>
        <v>#REF!</v>
      </c>
      <c r="E14005" s="31" t="e">
        <f>IF(B14005&lt;1,""," Sen ")</f>
        <v>#REF!</v>
      </c>
      <c r="J14005" s="31">
        <v>26</v>
      </c>
      <c r="K14005" s="33" t="s">
        <v>96</v>
      </c>
      <c r="L14005" s="31" t="str">
        <f t="shared" si="1352"/>
        <v>Dua Puluh Enam</v>
      </c>
    </row>
    <row r="14006" spans="1:12">
      <c r="J14006" s="31">
        <v>27</v>
      </c>
      <c r="K14006" s="33" t="s">
        <v>97</v>
      </c>
      <c r="L14006" s="31" t="str">
        <f t="shared" si="1352"/>
        <v>Dua Puluh Tujuh</v>
      </c>
    </row>
    <row r="14007" spans="1:12">
      <c r="J14007" s="31">
        <v>28</v>
      </c>
      <c r="K14007" s="33" t="s">
        <v>98</v>
      </c>
      <c r="L14007" s="31" t="str">
        <f t="shared" si="1352"/>
        <v>Dua Puluh Delapan</v>
      </c>
    </row>
    <row r="14008" spans="1:12">
      <c r="J14008" s="31">
        <v>29</v>
      </c>
      <c r="K14008" s="33" t="s">
        <v>99</v>
      </c>
      <c r="L14008" s="31" t="str">
        <f t="shared" si="1352"/>
        <v>Dua Puluh Sembilan</v>
      </c>
    </row>
    <row r="14009" spans="1:12">
      <c r="J14009" s="31">
        <v>30</v>
      </c>
      <c r="K14009" s="33" t="s">
        <v>100</v>
      </c>
      <c r="L14009" s="31" t="s">
        <v>101</v>
      </c>
    </row>
    <row r="14010" spans="1:12">
      <c r="J14010" s="31">
        <v>31</v>
      </c>
      <c r="K14010" s="33" t="s">
        <v>102</v>
      </c>
      <c r="L14010" s="31" t="str">
        <f t="shared" ref="L14010:L14018" si="1353">$L$33&amp;" "&amp;L13980</f>
        <v>Tiga Puluh Satu</v>
      </c>
    </row>
    <row r="14011" spans="1:12">
      <c r="J14011" s="31">
        <v>32</v>
      </c>
      <c r="K14011" s="33" t="s">
        <v>103</v>
      </c>
      <c r="L14011" s="31" t="str">
        <f t="shared" si="1353"/>
        <v>Tiga Puluh Dua</v>
      </c>
    </row>
    <row r="14012" spans="1:12">
      <c r="J14012" s="31">
        <v>33</v>
      </c>
      <c r="K14012" s="33" t="s">
        <v>104</v>
      </c>
      <c r="L14012" s="31" t="str">
        <f t="shared" si="1353"/>
        <v>Tiga Puluh Tiga</v>
      </c>
    </row>
    <row r="14013" spans="1:12">
      <c r="J14013" s="31">
        <v>34</v>
      </c>
      <c r="K14013" s="33" t="s">
        <v>105</v>
      </c>
      <c r="L14013" s="31" t="str">
        <f t="shared" si="1353"/>
        <v>Tiga Puluh Empat</v>
      </c>
    </row>
    <row r="14014" spans="1:12">
      <c r="J14014" s="31">
        <v>35</v>
      </c>
      <c r="K14014" s="33" t="s">
        <v>106</v>
      </c>
      <c r="L14014" s="31" t="str">
        <f t="shared" si="1353"/>
        <v>Tiga Puluh Lima</v>
      </c>
    </row>
    <row r="14015" spans="1:12">
      <c r="J14015" s="31">
        <v>36</v>
      </c>
      <c r="K14015" s="33" t="s">
        <v>107</v>
      </c>
      <c r="L14015" s="31" t="str">
        <f t="shared" si="1353"/>
        <v>Tiga Puluh Enam</v>
      </c>
    </row>
    <row r="14016" spans="1:12">
      <c r="J14016" s="31">
        <v>37</v>
      </c>
      <c r="K14016" s="33" t="s">
        <v>108</v>
      </c>
      <c r="L14016" s="31" t="str">
        <f t="shared" si="1353"/>
        <v>Tiga Puluh Tujuh</v>
      </c>
    </row>
    <row r="14017" spans="1:12">
      <c r="J14017" s="31">
        <v>38</v>
      </c>
      <c r="K14017" s="33" t="s">
        <v>109</v>
      </c>
      <c r="L14017" s="31" t="str">
        <f t="shared" si="1353"/>
        <v>Tiga Puluh Delapan</v>
      </c>
    </row>
    <row r="14018" spans="1:12">
      <c r="J14018" s="31">
        <v>39</v>
      </c>
      <c r="K14018" s="33" t="s">
        <v>110</v>
      </c>
      <c r="L14018" s="31" t="str">
        <f t="shared" si="1353"/>
        <v>Tiga Puluh Sembilan</v>
      </c>
    </row>
    <row r="14019" spans="1:12">
      <c r="B14019" s="35"/>
      <c r="C14019" s="35"/>
      <c r="D14019" s="35"/>
      <c r="J14019" s="31">
        <v>40</v>
      </c>
      <c r="K14019" s="33" t="s">
        <v>111</v>
      </c>
      <c r="L14019" s="31" t="s">
        <v>112</v>
      </c>
    </row>
    <row r="14020" spans="1:12">
      <c r="A14020" s="35"/>
      <c r="B14020" s="35"/>
      <c r="C14020" s="35"/>
      <c r="D14020" s="35"/>
      <c r="J14020" s="31">
        <v>41</v>
      </c>
      <c r="K14020" s="33" t="s">
        <v>113</v>
      </c>
      <c r="L14020" s="31" t="str">
        <f t="shared" ref="L14020:L14028" si="1354">$L$43&amp;" "&amp;L13980</f>
        <v>Empat Puluh Satu</v>
      </c>
    </row>
    <row r="14021" spans="1:12">
      <c r="J14021" s="31">
        <v>42</v>
      </c>
      <c r="K14021" s="33" t="s">
        <v>114</v>
      </c>
      <c r="L14021" s="31" t="str">
        <f t="shared" si="1354"/>
        <v>Empat Puluh Dua</v>
      </c>
    </row>
    <row r="14022" spans="1:12">
      <c r="A14022" s="38"/>
      <c r="J14022" s="31">
        <v>43</v>
      </c>
      <c r="K14022" s="33" t="s">
        <v>115</v>
      </c>
      <c r="L14022" s="31" t="str">
        <f t="shared" si="1354"/>
        <v>Empat Puluh Tiga</v>
      </c>
    </row>
    <row r="14023" spans="1:12">
      <c r="J14023" s="31">
        <v>44</v>
      </c>
      <c r="K14023" s="33" t="s">
        <v>116</v>
      </c>
      <c r="L14023" s="31" t="str">
        <f t="shared" si="1354"/>
        <v>Empat Puluh Empat</v>
      </c>
    </row>
    <row r="14024" spans="1:12">
      <c r="J14024" s="31">
        <v>45</v>
      </c>
      <c r="K14024" s="33" t="s">
        <v>117</v>
      </c>
      <c r="L14024" s="31" t="str">
        <f t="shared" si="1354"/>
        <v>Empat Puluh Lima</v>
      </c>
    </row>
    <row r="14025" spans="1:12">
      <c r="J14025" s="31">
        <v>46</v>
      </c>
      <c r="K14025" s="33" t="s">
        <v>118</v>
      </c>
      <c r="L14025" s="31" t="str">
        <f t="shared" si="1354"/>
        <v>Empat Puluh Enam</v>
      </c>
    </row>
    <row r="14026" spans="1:12">
      <c r="J14026" s="31">
        <v>47</v>
      </c>
      <c r="K14026" s="33" t="s">
        <v>119</v>
      </c>
      <c r="L14026" s="31" t="str">
        <f t="shared" si="1354"/>
        <v>Empat Puluh Tujuh</v>
      </c>
    </row>
    <row r="14027" spans="1:12">
      <c r="J14027" s="31">
        <v>48</v>
      </c>
      <c r="K14027" s="33" t="s">
        <v>120</v>
      </c>
      <c r="L14027" s="31" t="str">
        <f t="shared" si="1354"/>
        <v>Empat Puluh Delapan</v>
      </c>
    </row>
    <row r="14028" spans="1:12">
      <c r="J14028" s="31">
        <v>49</v>
      </c>
      <c r="K14028" s="33" t="s">
        <v>121</v>
      </c>
      <c r="L14028" s="31" t="str">
        <f t="shared" si="1354"/>
        <v>Empat Puluh Sembilan</v>
      </c>
    </row>
    <row r="14029" spans="1:12">
      <c r="J14029" s="31">
        <v>50</v>
      </c>
      <c r="K14029" s="33" t="s">
        <v>122</v>
      </c>
      <c r="L14029" s="31" t="s">
        <v>123</v>
      </c>
    </row>
    <row r="14030" spans="1:12">
      <c r="J14030" s="31">
        <v>51</v>
      </c>
      <c r="K14030" s="33" t="s">
        <v>124</v>
      </c>
      <c r="L14030" s="31" t="str">
        <f t="shared" ref="L14030:L14038" si="1355">$L$53&amp;" "&amp;L13980</f>
        <v>Lima Puluh Satu</v>
      </c>
    </row>
    <row r="14031" spans="1:12">
      <c r="J14031" s="31">
        <v>52</v>
      </c>
      <c r="K14031" s="33" t="s">
        <v>125</v>
      </c>
      <c r="L14031" s="31" t="str">
        <f t="shared" si="1355"/>
        <v>Lima Puluh Dua</v>
      </c>
    </row>
    <row r="14032" spans="1:12">
      <c r="J14032" s="31">
        <v>53</v>
      </c>
      <c r="K14032" s="33" t="s">
        <v>126</v>
      </c>
      <c r="L14032" s="31" t="str">
        <f t="shared" si="1355"/>
        <v>Lima Puluh Tiga</v>
      </c>
    </row>
    <row r="14033" spans="10:12">
      <c r="J14033" s="31">
        <v>54</v>
      </c>
      <c r="K14033" s="33" t="s">
        <v>127</v>
      </c>
      <c r="L14033" s="31" t="str">
        <f t="shared" si="1355"/>
        <v>Lima Puluh Empat</v>
      </c>
    </row>
    <row r="14034" spans="10:12">
      <c r="J14034" s="31">
        <v>55</v>
      </c>
      <c r="K14034" s="33" t="s">
        <v>128</v>
      </c>
      <c r="L14034" s="31" t="str">
        <f t="shared" si="1355"/>
        <v>Lima Puluh Lima</v>
      </c>
    </row>
    <row r="14035" spans="10:12">
      <c r="J14035" s="31">
        <v>56</v>
      </c>
      <c r="K14035" s="33" t="s">
        <v>129</v>
      </c>
      <c r="L14035" s="31" t="str">
        <f t="shared" si="1355"/>
        <v>Lima Puluh Enam</v>
      </c>
    </row>
    <row r="14036" spans="10:12">
      <c r="J14036" s="31">
        <v>57</v>
      </c>
      <c r="K14036" s="33" t="s">
        <v>130</v>
      </c>
      <c r="L14036" s="31" t="str">
        <f t="shared" si="1355"/>
        <v>Lima Puluh Tujuh</v>
      </c>
    </row>
    <row r="14037" spans="10:12">
      <c r="J14037" s="31">
        <v>58</v>
      </c>
      <c r="K14037" s="33" t="s">
        <v>131</v>
      </c>
      <c r="L14037" s="31" t="str">
        <f t="shared" si="1355"/>
        <v>Lima Puluh Delapan</v>
      </c>
    </row>
    <row r="14038" spans="10:12">
      <c r="J14038" s="31">
        <v>59</v>
      </c>
      <c r="K14038" s="33" t="s">
        <v>132</v>
      </c>
      <c r="L14038" s="31" t="str">
        <f t="shared" si="1355"/>
        <v>Lima Puluh Sembilan</v>
      </c>
    </row>
    <row r="14039" spans="10:12">
      <c r="J14039" s="31">
        <v>60</v>
      </c>
      <c r="K14039" s="33" t="s">
        <v>133</v>
      </c>
      <c r="L14039" s="31" t="s">
        <v>134</v>
      </c>
    </row>
    <row r="14040" spans="10:12">
      <c r="J14040" s="31">
        <v>61</v>
      </c>
      <c r="K14040" s="33" t="s">
        <v>135</v>
      </c>
      <c r="L14040" s="31" t="str">
        <f t="shared" ref="L14040:L14048" si="1356">$L$63&amp;" "&amp;L13980</f>
        <v>Enam Puluh Satu</v>
      </c>
    </row>
    <row r="14041" spans="10:12">
      <c r="J14041" s="31">
        <v>62</v>
      </c>
      <c r="K14041" s="33" t="s">
        <v>136</v>
      </c>
      <c r="L14041" s="31" t="str">
        <f t="shared" si="1356"/>
        <v>Enam Puluh Dua</v>
      </c>
    </row>
    <row r="14042" spans="10:12">
      <c r="J14042" s="31">
        <v>63</v>
      </c>
      <c r="K14042" s="33" t="s">
        <v>137</v>
      </c>
      <c r="L14042" s="31" t="str">
        <f t="shared" si="1356"/>
        <v>Enam Puluh Tiga</v>
      </c>
    </row>
    <row r="14043" spans="10:12">
      <c r="J14043" s="31">
        <v>64</v>
      </c>
      <c r="K14043" s="33" t="s">
        <v>138</v>
      </c>
      <c r="L14043" s="31" t="str">
        <f t="shared" si="1356"/>
        <v>Enam Puluh Empat</v>
      </c>
    </row>
    <row r="14044" spans="10:12">
      <c r="J14044" s="31">
        <v>65</v>
      </c>
      <c r="K14044" s="33" t="s">
        <v>139</v>
      </c>
      <c r="L14044" s="31" t="str">
        <f t="shared" si="1356"/>
        <v>Enam Puluh Lima</v>
      </c>
    </row>
    <row r="14045" spans="10:12">
      <c r="J14045" s="31">
        <v>66</v>
      </c>
      <c r="K14045" s="33" t="s">
        <v>140</v>
      </c>
      <c r="L14045" s="31" t="str">
        <f t="shared" si="1356"/>
        <v>Enam Puluh Enam</v>
      </c>
    </row>
    <row r="14046" spans="10:12">
      <c r="J14046" s="31">
        <v>67</v>
      </c>
      <c r="K14046" s="33" t="s">
        <v>141</v>
      </c>
      <c r="L14046" s="31" t="str">
        <f t="shared" si="1356"/>
        <v>Enam Puluh Tujuh</v>
      </c>
    </row>
    <row r="14047" spans="10:12">
      <c r="J14047" s="31">
        <v>68</v>
      </c>
      <c r="K14047" s="33" t="s">
        <v>142</v>
      </c>
      <c r="L14047" s="31" t="str">
        <f t="shared" si="1356"/>
        <v>Enam Puluh Delapan</v>
      </c>
    </row>
    <row r="14048" spans="10:12">
      <c r="J14048" s="31">
        <v>69</v>
      </c>
      <c r="K14048" s="33" t="s">
        <v>143</v>
      </c>
      <c r="L14048" s="31" t="str">
        <f t="shared" si="1356"/>
        <v>Enam Puluh Sembilan</v>
      </c>
    </row>
    <row r="14049" spans="10:12">
      <c r="J14049" s="31">
        <v>70</v>
      </c>
      <c r="K14049" s="33" t="s">
        <v>144</v>
      </c>
      <c r="L14049" s="31" t="s">
        <v>145</v>
      </c>
    </row>
    <row r="14050" spans="10:12">
      <c r="J14050" s="31">
        <v>71</v>
      </c>
      <c r="K14050" s="33" t="s">
        <v>146</v>
      </c>
      <c r="L14050" s="31" t="str">
        <f t="shared" ref="L14050:L14058" si="1357">$L$73&amp;" "&amp;L13980</f>
        <v>Tujuh Puluh Satu</v>
      </c>
    </row>
    <row r="14051" spans="10:12">
      <c r="J14051" s="31">
        <v>72</v>
      </c>
      <c r="K14051" s="33" t="s">
        <v>147</v>
      </c>
      <c r="L14051" s="31" t="str">
        <f t="shared" si="1357"/>
        <v>Tujuh Puluh Dua</v>
      </c>
    </row>
    <row r="14052" spans="10:12">
      <c r="J14052" s="31">
        <v>73</v>
      </c>
      <c r="K14052" s="33" t="s">
        <v>148</v>
      </c>
      <c r="L14052" s="31" t="str">
        <f t="shared" si="1357"/>
        <v>Tujuh Puluh Tiga</v>
      </c>
    </row>
    <row r="14053" spans="10:12">
      <c r="J14053" s="31">
        <v>74</v>
      </c>
      <c r="K14053" s="33" t="s">
        <v>149</v>
      </c>
      <c r="L14053" s="31" t="str">
        <f t="shared" si="1357"/>
        <v>Tujuh Puluh Empat</v>
      </c>
    </row>
    <row r="14054" spans="10:12">
      <c r="J14054" s="31">
        <v>75</v>
      </c>
      <c r="K14054" s="33" t="s">
        <v>150</v>
      </c>
      <c r="L14054" s="31" t="str">
        <f t="shared" si="1357"/>
        <v>Tujuh Puluh Lima</v>
      </c>
    </row>
    <row r="14055" spans="10:12">
      <c r="J14055" s="31">
        <v>76</v>
      </c>
      <c r="K14055" s="33" t="s">
        <v>151</v>
      </c>
      <c r="L14055" s="31" t="str">
        <f t="shared" si="1357"/>
        <v>Tujuh Puluh Enam</v>
      </c>
    </row>
    <row r="14056" spans="10:12">
      <c r="J14056" s="31">
        <v>77</v>
      </c>
      <c r="K14056" s="33" t="s">
        <v>152</v>
      </c>
      <c r="L14056" s="31" t="str">
        <f t="shared" si="1357"/>
        <v>Tujuh Puluh Tujuh</v>
      </c>
    </row>
    <row r="14057" spans="10:12">
      <c r="J14057" s="31">
        <v>78</v>
      </c>
      <c r="K14057" s="33" t="s">
        <v>153</v>
      </c>
      <c r="L14057" s="31" t="str">
        <f t="shared" si="1357"/>
        <v>Tujuh Puluh Delapan</v>
      </c>
    </row>
    <row r="14058" spans="10:12">
      <c r="J14058" s="31">
        <v>79</v>
      </c>
      <c r="K14058" s="33" t="s">
        <v>154</v>
      </c>
      <c r="L14058" s="31" t="str">
        <f t="shared" si="1357"/>
        <v>Tujuh Puluh Sembilan</v>
      </c>
    </row>
    <row r="14059" spans="10:12">
      <c r="J14059" s="31">
        <v>80</v>
      </c>
      <c r="K14059" s="33" t="s">
        <v>155</v>
      </c>
      <c r="L14059" s="31" t="s">
        <v>156</v>
      </c>
    </row>
    <row r="14060" spans="10:12">
      <c r="J14060" s="31">
        <v>81</v>
      </c>
      <c r="K14060" s="33" t="s">
        <v>157</v>
      </c>
      <c r="L14060" s="31" t="str">
        <f t="shared" ref="L14060:L14068" si="1358">$L$83&amp;" "&amp;L13980</f>
        <v>Delapan Puluh Satu</v>
      </c>
    </row>
    <row r="14061" spans="10:12">
      <c r="J14061" s="31">
        <v>82</v>
      </c>
      <c r="K14061" s="33" t="s">
        <v>158</v>
      </c>
      <c r="L14061" s="31" t="str">
        <f t="shared" si="1358"/>
        <v>Delapan Puluh Dua</v>
      </c>
    </row>
    <row r="14062" spans="10:12">
      <c r="J14062" s="31">
        <v>83</v>
      </c>
      <c r="K14062" s="33" t="s">
        <v>159</v>
      </c>
      <c r="L14062" s="31" t="str">
        <f t="shared" si="1358"/>
        <v>Delapan Puluh Tiga</v>
      </c>
    </row>
    <row r="14063" spans="10:12">
      <c r="J14063" s="31">
        <v>84</v>
      </c>
      <c r="K14063" s="33" t="s">
        <v>160</v>
      </c>
      <c r="L14063" s="31" t="str">
        <f t="shared" si="1358"/>
        <v>Delapan Puluh Empat</v>
      </c>
    </row>
    <row r="14064" spans="10:12">
      <c r="J14064" s="31">
        <v>85</v>
      </c>
      <c r="K14064" s="33" t="s">
        <v>161</v>
      </c>
      <c r="L14064" s="31" t="str">
        <f t="shared" si="1358"/>
        <v>Delapan Puluh Lima</v>
      </c>
    </row>
    <row r="14065" spans="1:12">
      <c r="J14065" s="31">
        <v>86</v>
      </c>
      <c r="K14065" s="33" t="s">
        <v>162</v>
      </c>
      <c r="L14065" s="31" t="str">
        <f t="shared" si="1358"/>
        <v>Delapan Puluh Enam</v>
      </c>
    </row>
    <row r="14066" spans="1:12">
      <c r="J14066" s="31">
        <v>87</v>
      </c>
      <c r="K14066" s="33" t="s">
        <v>163</v>
      </c>
      <c r="L14066" s="31" t="str">
        <f t="shared" si="1358"/>
        <v>Delapan Puluh Tujuh</v>
      </c>
    </row>
    <row r="14067" spans="1:12">
      <c r="J14067" s="31">
        <v>88</v>
      </c>
      <c r="K14067" s="33" t="s">
        <v>164</v>
      </c>
      <c r="L14067" s="31" t="str">
        <f t="shared" si="1358"/>
        <v>Delapan Puluh Delapan</v>
      </c>
    </row>
    <row r="14068" spans="1:12">
      <c r="J14068" s="31">
        <v>89</v>
      </c>
      <c r="K14068" s="33" t="s">
        <v>165</v>
      </c>
      <c r="L14068" s="31" t="str">
        <f t="shared" si="1358"/>
        <v>Delapan Puluh Sembilan</v>
      </c>
    </row>
    <row r="14069" spans="1:12">
      <c r="J14069" s="31">
        <v>90</v>
      </c>
      <c r="K14069" s="33" t="s">
        <v>166</v>
      </c>
      <c r="L14069" s="31" t="s">
        <v>167</v>
      </c>
    </row>
    <row r="14070" spans="1:12">
      <c r="J14070" s="31">
        <v>91</v>
      </c>
      <c r="K14070" s="33" t="s">
        <v>168</v>
      </c>
      <c r="L14070" s="31" t="str">
        <f t="shared" ref="L14070:L14078" si="1359">$L$93&amp;" "&amp;L13980</f>
        <v>Sembilan Puluh Satu</v>
      </c>
    </row>
    <row r="14071" spans="1:12">
      <c r="J14071" s="31">
        <v>92</v>
      </c>
      <c r="K14071" s="33" t="s">
        <v>169</v>
      </c>
      <c r="L14071" s="31" t="str">
        <f t="shared" si="1359"/>
        <v>Sembilan Puluh Dua</v>
      </c>
    </row>
    <row r="14072" spans="1:12">
      <c r="J14072" s="31">
        <v>93</v>
      </c>
      <c r="K14072" s="33" t="s">
        <v>170</v>
      </c>
      <c r="L14072" s="31" t="str">
        <f t="shared" si="1359"/>
        <v>Sembilan Puluh Tiga</v>
      </c>
    </row>
    <row r="14073" spans="1:12">
      <c r="J14073" s="31">
        <v>94</v>
      </c>
      <c r="K14073" s="33" t="s">
        <v>171</v>
      </c>
      <c r="L14073" s="31" t="str">
        <f t="shared" si="1359"/>
        <v>Sembilan Puluh Empat</v>
      </c>
    </row>
    <row r="14074" spans="1:12">
      <c r="J14074" s="31">
        <v>95</v>
      </c>
      <c r="K14074" s="33" t="s">
        <v>172</v>
      </c>
      <c r="L14074" s="31" t="str">
        <f t="shared" si="1359"/>
        <v>Sembilan Puluh Lima</v>
      </c>
    </row>
    <row r="14075" spans="1:12">
      <c r="J14075" s="31">
        <v>96</v>
      </c>
      <c r="K14075" s="33" t="s">
        <v>173</v>
      </c>
      <c r="L14075" s="31" t="str">
        <f t="shared" si="1359"/>
        <v>Sembilan Puluh Enam</v>
      </c>
    </row>
    <row r="14076" spans="1:12">
      <c r="J14076" s="31">
        <v>97</v>
      </c>
      <c r="K14076" s="33" t="s">
        <v>174</v>
      </c>
      <c r="L14076" s="31" t="str">
        <f t="shared" si="1359"/>
        <v>Sembilan Puluh Tujuh</v>
      </c>
    </row>
    <row r="14077" spans="1:12">
      <c r="J14077" s="31">
        <v>98</v>
      </c>
      <c r="K14077" s="33" t="s">
        <v>175</v>
      </c>
      <c r="L14077" s="31" t="str">
        <f t="shared" si="1359"/>
        <v>Sembilan Puluh Delapan</v>
      </c>
    </row>
    <row r="14078" spans="1:12">
      <c r="J14078" s="31">
        <v>99</v>
      </c>
      <c r="K14078" s="33" t="s">
        <v>176</v>
      </c>
      <c r="L14078" s="31" t="str">
        <f t="shared" si="1359"/>
        <v>Sembilan Puluh Sembilan</v>
      </c>
    </row>
    <row r="14080" spans="1:12">
      <c r="A14080" s="30" t="e">
        <f>#REF!</f>
        <v>#REF!</v>
      </c>
      <c r="C14080" s="31" t="s">
        <v>371</v>
      </c>
    </row>
    <row r="14081" spans="1:12">
      <c r="A14081" s="32"/>
    </row>
    <row r="14082" spans="1:12">
      <c r="J14082" s="31">
        <v>0</v>
      </c>
      <c r="K14082" s="33" t="s">
        <v>48</v>
      </c>
      <c r="L14082" s="31" t="s">
        <v>49</v>
      </c>
    </row>
    <row r="14083" spans="1:12">
      <c r="A14083" s="34"/>
      <c r="J14083" s="31">
        <v>1</v>
      </c>
      <c r="K14083" s="33" t="s">
        <v>50</v>
      </c>
      <c r="L14083" s="31" t="s">
        <v>51</v>
      </c>
    </row>
    <row r="14084" spans="1:12">
      <c r="A14084" s="255" t="e">
        <f>TRIM(D14092&amp;E14092&amp;D14093&amp;E14093&amp;D14094&amp;E14094&amp;D14095&amp;E14095&amp;D14096&amp;E14096&amp;D14097&amp;E14097&amp;E14098&amp;D14098&amp;" Only")</f>
        <v>#REF!</v>
      </c>
      <c r="B14084" s="255"/>
      <c r="C14084" s="255"/>
      <c r="D14084" s="255"/>
      <c r="E14084" s="35"/>
      <c r="F14084" s="36"/>
      <c r="J14084" s="31">
        <v>2</v>
      </c>
      <c r="K14084" s="33" t="s">
        <v>52</v>
      </c>
      <c r="L14084" s="31" t="s">
        <v>53</v>
      </c>
    </row>
    <row r="14085" spans="1:12">
      <c r="A14085" s="37"/>
      <c r="B14085" s="37"/>
      <c r="C14085" s="37"/>
      <c r="D14085" s="37"/>
      <c r="E14085" s="35"/>
      <c r="F14085" s="36"/>
      <c r="J14085" s="31">
        <v>3</v>
      </c>
      <c r="K14085" s="33" t="s">
        <v>54</v>
      </c>
      <c r="L14085" s="31" t="s">
        <v>55</v>
      </c>
    </row>
    <row r="14086" spans="1:12">
      <c r="A14086" s="37"/>
      <c r="B14086" s="37"/>
      <c r="C14086" s="37"/>
      <c r="D14086" s="37"/>
      <c r="J14086" s="31">
        <v>4</v>
      </c>
      <c r="K14086" s="33" t="s">
        <v>56</v>
      </c>
      <c r="L14086" s="31" t="s">
        <v>57</v>
      </c>
    </row>
    <row r="14087" spans="1:12">
      <c r="A14087" s="255" t="e">
        <f>TRIM(D14102&amp;E14102&amp;D14103&amp;E14103&amp;D14104&amp;E14104&amp;D14105&amp;E14105&amp;D14106&amp;E14106&amp;D14107&amp;E14107&amp;D14108&amp;E14108&amp;" Rupiah")</f>
        <v>#REF!</v>
      </c>
      <c r="B14087" s="255"/>
      <c r="C14087" s="255"/>
      <c r="D14087" s="255"/>
      <c r="E14087" s="35"/>
      <c r="F14087" s="36"/>
      <c r="J14087" s="31">
        <v>5</v>
      </c>
      <c r="K14087" s="33" t="s">
        <v>58</v>
      </c>
      <c r="L14087" s="31" t="s">
        <v>59</v>
      </c>
    </row>
    <row r="14088" spans="1:12">
      <c r="A14088" s="35"/>
      <c r="B14088" s="35"/>
      <c r="C14088" s="35"/>
      <c r="D14088" s="35"/>
      <c r="E14088" s="35"/>
      <c r="F14088" s="36"/>
      <c r="J14088" s="31">
        <v>6</v>
      </c>
      <c r="K14088" s="33" t="s">
        <v>60</v>
      </c>
      <c r="L14088" s="31" t="s">
        <v>61</v>
      </c>
    </row>
    <row r="14089" spans="1:12">
      <c r="J14089" s="31">
        <v>7</v>
      </c>
      <c r="K14089" s="33" t="s">
        <v>62</v>
      </c>
      <c r="L14089" s="31" t="s">
        <v>63</v>
      </c>
    </row>
    <row r="14090" spans="1:12">
      <c r="J14090" s="31">
        <v>8</v>
      </c>
      <c r="K14090" s="33" t="s">
        <v>64</v>
      </c>
      <c r="L14090" s="31" t="s">
        <v>65</v>
      </c>
    </row>
    <row r="14091" spans="1:12">
      <c r="A14091" s="38" t="s">
        <v>66</v>
      </c>
      <c r="J14091" s="31">
        <v>9</v>
      </c>
      <c r="K14091" s="33" t="s">
        <v>67</v>
      </c>
      <c r="L14091" s="31" t="s">
        <v>68</v>
      </c>
    </row>
    <row r="14092" spans="1:12">
      <c r="A14092" s="31" t="s">
        <v>69</v>
      </c>
      <c r="B14092" s="39" t="e">
        <f>TRUNC(A14080/100000000)</f>
        <v>#REF!</v>
      </c>
      <c r="C14092" s="31" t="e">
        <f>B14092*100000000</f>
        <v>#REF!</v>
      </c>
      <c r="D14092" s="31" t="e">
        <f t="shared" ref="D14092:D14098" si="1360">IF(B14092&lt;1,"",VLOOKUP(B14092,$J$3:$K$102,2))</f>
        <v>#REF!</v>
      </c>
      <c r="E14092" s="31" t="e">
        <f>IF(B14092&lt;1,"",IF(B14092&gt;1," Hundreds "," Hundred "))</f>
        <v>#REF!</v>
      </c>
      <c r="J14092" s="31">
        <v>10</v>
      </c>
      <c r="K14092" s="33" t="s">
        <v>70</v>
      </c>
      <c r="L14092" s="31" t="s">
        <v>71</v>
      </c>
    </row>
    <row r="14093" spans="1:12">
      <c r="A14093" s="31" t="s">
        <v>72</v>
      </c>
      <c r="B14093" s="39" t="e">
        <f>TRUNC((A14080-C14092)/1000000)</f>
        <v>#REF!</v>
      </c>
      <c r="C14093" s="31" t="e">
        <f>B14093*1000000</f>
        <v>#REF!</v>
      </c>
      <c r="D14093" s="31" t="e">
        <f t="shared" si="1360"/>
        <v>#REF!</v>
      </c>
      <c r="E14093" s="31" t="e">
        <f>IF(B14092+B14093=0,"",IF(B14093=1," Million "," Millions "))</f>
        <v>#REF!</v>
      </c>
      <c r="J14093" s="31">
        <v>11</v>
      </c>
      <c r="K14093" s="33" t="s">
        <v>73</v>
      </c>
      <c r="L14093" s="31" t="s">
        <v>74</v>
      </c>
    </row>
    <row r="14094" spans="1:12">
      <c r="A14094" s="31" t="s">
        <v>75</v>
      </c>
      <c r="B14094" s="39" t="e">
        <f>TRUNC((A14080-SUM(C14092:C14093))/100000)</f>
        <v>#REF!</v>
      </c>
      <c r="C14094" s="31" t="e">
        <f>B14094*100000</f>
        <v>#REF!</v>
      </c>
      <c r="D14094" s="31" t="e">
        <f t="shared" si="1360"/>
        <v>#REF!</v>
      </c>
      <c r="E14094" s="31" t="e">
        <f>IF(B14094&lt;1,"",IF(B14094&gt;1," Hundreds "," Hundred "))</f>
        <v>#REF!</v>
      </c>
      <c r="J14094" s="31">
        <v>12</v>
      </c>
      <c r="K14094" s="33" t="s">
        <v>76</v>
      </c>
      <c r="L14094" s="31" t="str">
        <f t="shared" ref="L14094:L14101" si="1361">L14084&amp;" Belas"</f>
        <v>Dua Belas</v>
      </c>
    </row>
    <row r="14095" spans="1:12">
      <c r="A14095" s="33" t="s">
        <v>77</v>
      </c>
      <c r="B14095" s="40" t="e">
        <f>TRUNC((A14080-SUM(C14092:C14094))/1000)</f>
        <v>#REF!</v>
      </c>
      <c r="C14095" s="31" t="e">
        <f>B14095*1000</f>
        <v>#REF!</v>
      </c>
      <c r="D14095" s="31" t="e">
        <f t="shared" si="1360"/>
        <v>#REF!</v>
      </c>
      <c r="E14095" s="31" t="e">
        <f>IF(B14094+B14095=0,"",IF(B14095=1," Thousand "," Thousands "))</f>
        <v>#REF!</v>
      </c>
      <c r="J14095" s="31">
        <v>13</v>
      </c>
      <c r="K14095" s="33" t="s">
        <v>78</v>
      </c>
      <c r="L14095" s="31" t="str">
        <f t="shared" si="1361"/>
        <v>Tiga Belas</v>
      </c>
    </row>
    <row r="14096" spans="1:12">
      <c r="A14096" s="33" t="s">
        <v>79</v>
      </c>
      <c r="B14096" s="40" t="e">
        <f>TRUNC((A14080-SUM(C14092:C14095))/100)</f>
        <v>#REF!</v>
      </c>
      <c r="C14096" s="31" t="e">
        <f>B14096*100</f>
        <v>#REF!</v>
      </c>
      <c r="D14096" s="31" t="e">
        <f t="shared" si="1360"/>
        <v>#REF!</v>
      </c>
      <c r="E14096" s="31" t="e">
        <f>IF(B14096&lt;1,"",IF(B14096&gt;1," Hundreds "," Hundred "))</f>
        <v>#REF!</v>
      </c>
      <c r="J14096" s="31">
        <v>14</v>
      </c>
      <c r="K14096" s="33" t="s">
        <v>80</v>
      </c>
      <c r="L14096" s="31" t="str">
        <f t="shared" si="1361"/>
        <v>Empat Belas</v>
      </c>
    </row>
    <row r="14097" spans="1:12">
      <c r="A14097" s="33" t="s">
        <v>81</v>
      </c>
      <c r="B14097" s="41" t="e">
        <f>TRUNC((A14080-SUM(C14092:C14096)))</f>
        <v>#REF!</v>
      </c>
      <c r="C14097" s="42" t="e">
        <f>B14097</f>
        <v>#REF!</v>
      </c>
      <c r="D14097" s="31" t="e">
        <f t="shared" si="1360"/>
        <v>#REF!</v>
      </c>
      <c r="E14097" s="31" t="e">
        <f>IF(SUM(C14092:C14097)&lt;1,"",IF(B14098&lt;1,""," And "))</f>
        <v>#REF!</v>
      </c>
      <c r="J14097" s="31">
        <v>15</v>
      </c>
      <c r="K14097" s="33" t="s">
        <v>82</v>
      </c>
      <c r="L14097" s="31" t="str">
        <f t="shared" si="1361"/>
        <v>Lima Belas</v>
      </c>
    </row>
    <row r="14098" spans="1:12">
      <c r="A14098" s="33" t="s">
        <v>83</v>
      </c>
      <c r="B14098" s="40" t="e">
        <f>ROUND(A14080-SUM(C14092:C14097),2)*100</f>
        <v>#REF!</v>
      </c>
      <c r="D14098" s="43" t="e">
        <f t="shared" si="1360"/>
        <v>#REF!</v>
      </c>
      <c r="E14098" s="31" t="e">
        <f>IF(B14098&lt;1,"",IF(B14098=1," Cent "," Cents "))</f>
        <v>#REF!</v>
      </c>
      <c r="J14098" s="31">
        <v>16</v>
      </c>
      <c r="K14098" s="33" t="s">
        <v>84</v>
      </c>
      <c r="L14098" s="31" t="str">
        <f t="shared" si="1361"/>
        <v>Enam Belas</v>
      </c>
    </row>
    <row r="14099" spans="1:12">
      <c r="J14099" s="31">
        <v>17</v>
      </c>
      <c r="K14099" s="33" t="s">
        <v>85</v>
      </c>
      <c r="L14099" s="31" t="str">
        <f t="shared" si="1361"/>
        <v>Tujuh Belas</v>
      </c>
    </row>
    <row r="14100" spans="1:12">
      <c r="A14100" s="44"/>
      <c r="J14100" s="31">
        <v>18</v>
      </c>
      <c r="K14100" s="33" t="s">
        <v>86</v>
      </c>
      <c r="L14100" s="31" t="str">
        <f t="shared" si="1361"/>
        <v>Delapan Belas</v>
      </c>
    </row>
    <row r="14101" spans="1:12">
      <c r="A14101" s="38" t="s">
        <v>87</v>
      </c>
      <c r="J14101" s="31">
        <v>19</v>
      </c>
      <c r="K14101" s="33" t="s">
        <v>88</v>
      </c>
      <c r="L14101" s="31" t="str">
        <f t="shared" si="1361"/>
        <v>Sembilan Belas</v>
      </c>
    </row>
    <row r="14102" spans="1:12">
      <c r="A14102" s="31" t="s">
        <v>69</v>
      </c>
      <c r="B14102" s="39" t="e">
        <f>TRUNC(A14080/100000000)</f>
        <v>#REF!</v>
      </c>
      <c r="C14102" s="31" t="e">
        <f>B14102*100000000</f>
        <v>#REF!</v>
      </c>
      <c r="D14102" s="31" t="e">
        <f>IF(B14102&lt;1,"",IF(B14102=1,"",VLOOKUP(B14102,$J$3:$L$102,3)))</f>
        <v>#REF!</v>
      </c>
      <c r="E14102" s="31" t="e">
        <f>IF(B14102&lt;1,"",IF(B14102=1,"Seratus "," Ratus "))</f>
        <v>#REF!</v>
      </c>
      <c r="J14102" s="31">
        <v>20</v>
      </c>
      <c r="K14102" s="33" t="s">
        <v>89</v>
      </c>
      <c r="L14102" s="31" t="s">
        <v>90</v>
      </c>
    </row>
    <row r="14103" spans="1:12">
      <c r="A14103" s="31" t="s">
        <v>72</v>
      </c>
      <c r="B14103" s="39" t="e">
        <f>TRUNC((A14080-C14102)/1000000)</f>
        <v>#REF!</v>
      </c>
      <c r="C14103" s="31" t="e">
        <f>B14103*1000000</f>
        <v>#REF!</v>
      </c>
      <c r="D14103" s="31" t="e">
        <f>IF(B14103&lt;1,"",VLOOKUP(B14103,$J$3:$L$102,3))</f>
        <v>#REF!</v>
      </c>
      <c r="E14103" s="31" t="e">
        <f>IF(B14102+B14103=0,""," Juta ")</f>
        <v>#REF!</v>
      </c>
      <c r="J14103" s="31">
        <v>21</v>
      </c>
      <c r="K14103" s="33" t="s">
        <v>91</v>
      </c>
      <c r="L14103" s="31" t="str">
        <f t="shared" ref="L14103:L14111" si="1362">$L$23&amp;" "&amp;L14083</f>
        <v>Dua Puluh Satu</v>
      </c>
    </row>
    <row r="14104" spans="1:12">
      <c r="A14104" s="31" t="s">
        <v>75</v>
      </c>
      <c r="B14104" s="39" t="e">
        <f>TRUNC((A14080-SUM(C14102:C14103))/100000)</f>
        <v>#REF!</v>
      </c>
      <c r="C14104" s="31" t="e">
        <f>B14104*100000</f>
        <v>#REF!</v>
      </c>
      <c r="D14104" s="31" t="e">
        <f>IF(B14104&lt;1,"",IF(B14104=1,"",VLOOKUP(B14104,$J$3:$L$102,3)))</f>
        <v>#REF!</v>
      </c>
      <c r="E14104" s="31" t="e">
        <f>IF(B14104&lt;1,"",IF(B14104=1," Seratus "," Ratus "))</f>
        <v>#REF!</v>
      </c>
      <c r="J14104" s="31">
        <v>22</v>
      </c>
      <c r="K14104" s="33" t="s">
        <v>92</v>
      </c>
      <c r="L14104" s="31" t="str">
        <f t="shared" si="1362"/>
        <v>Dua Puluh Dua</v>
      </c>
    </row>
    <row r="14105" spans="1:12">
      <c r="A14105" s="33" t="s">
        <v>77</v>
      </c>
      <c r="B14105" s="40" t="e">
        <f>TRUNC((A14080-SUM(C14102:C14104))/1000)</f>
        <v>#REF!</v>
      </c>
      <c r="C14105" s="31" t="e">
        <f>B14105*1000</f>
        <v>#REF!</v>
      </c>
      <c r="D14105" s="31" t="e">
        <f>IF(B14105&lt;1,"",IF(B14105=1,"",VLOOKUP(B14105,$J$3:$L$102,3)))</f>
        <v>#REF!</v>
      </c>
      <c r="E14105" s="31" t="e">
        <f>IF(B14104+B14105&lt;1,"",IF(B14105=1," Seribu "," Ribu "))</f>
        <v>#REF!</v>
      </c>
      <c r="J14105" s="31">
        <v>23</v>
      </c>
      <c r="K14105" s="33" t="s">
        <v>93</v>
      </c>
      <c r="L14105" s="31" t="str">
        <f t="shared" si="1362"/>
        <v>Dua Puluh Tiga</v>
      </c>
    </row>
    <row r="14106" spans="1:12">
      <c r="A14106" s="33" t="s">
        <v>79</v>
      </c>
      <c r="B14106" s="40" t="e">
        <f>TRUNC((A14080-SUM(C14102:C14105))/100)</f>
        <v>#REF!</v>
      </c>
      <c r="C14106" s="31" t="e">
        <f>B14106*100</f>
        <v>#REF!</v>
      </c>
      <c r="D14106" s="31" t="e">
        <f>IF(B14106&lt;1,"",IF(B14106=1,"",VLOOKUP(B14106,$J$3:$L$102,3)))</f>
        <v>#REF!</v>
      </c>
      <c r="E14106" s="31" t="e">
        <f>IF(B14106&lt;1,"",IF(B14106=1," Seratus "," Ratus "))</f>
        <v>#REF!</v>
      </c>
      <c r="J14106" s="31">
        <v>24</v>
      </c>
      <c r="K14106" s="33" t="s">
        <v>94</v>
      </c>
      <c r="L14106" s="31" t="str">
        <f t="shared" si="1362"/>
        <v>Dua Puluh Empat</v>
      </c>
    </row>
    <row r="14107" spans="1:12">
      <c r="A14107" s="33" t="s">
        <v>81</v>
      </c>
      <c r="B14107" s="41" t="e">
        <f>TRUNC((A14080-SUM(C14102:C14106)))</f>
        <v>#REF!</v>
      </c>
      <c r="C14107" s="42" t="e">
        <f>B14107</f>
        <v>#REF!</v>
      </c>
      <c r="D14107" s="31" t="e">
        <f>IF(B14107&lt;1,"",VLOOKUP(B14107,$J$3:$L$102,3))</f>
        <v>#REF!</v>
      </c>
      <c r="E14107" s="31" t="e">
        <f>IF(SUM(C14102:C14107)&lt;1,"",IF(B14108&lt;1,""," Dan "))</f>
        <v>#REF!</v>
      </c>
      <c r="J14107" s="31">
        <v>25</v>
      </c>
      <c r="K14107" s="33" t="s">
        <v>95</v>
      </c>
      <c r="L14107" s="31" t="str">
        <f t="shared" si="1362"/>
        <v>Dua Puluh Lima</v>
      </c>
    </row>
    <row r="14108" spans="1:12">
      <c r="A14108" s="33" t="s">
        <v>83</v>
      </c>
      <c r="B14108" s="40" t="e">
        <f>ROUND(A14080-SUM(C14102:C14107),2)*100</f>
        <v>#REF!</v>
      </c>
      <c r="D14108" s="31" t="e">
        <f>IF(B14108&lt;1,"",VLOOKUP(B14108,$J$3:$L$102,3))</f>
        <v>#REF!</v>
      </c>
      <c r="E14108" s="31" t="e">
        <f>IF(B14108&lt;1,""," Sen ")</f>
        <v>#REF!</v>
      </c>
      <c r="J14108" s="31">
        <v>26</v>
      </c>
      <c r="K14108" s="33" t="s">
        <v>96</v>
      </c>
      <c r="L14108" s="31" t="str">
        <f t="shared" si="1362"/>
        <v>Dua Puluh Enam</v>
      </c>
    </row>
    <row r="14109" spans="1:12">
      <c r="J14109" s="31">
        <v>27</v>
      </c>
      <c r="K14109" s="33" t="s">
        <v>97</v>
      </c>
      <c r="L14109" s="31" t="str">
        <f t="shared" si="1362"/>
        <v>Dua Puluh Tujuh</v>
      </c>
    </row>
    <row r="14110" spans="1:12">
      <c r="J14110" s="31">
        <v>28</v>
      </c>
      <c r="K14110" s="33" t="s">
        <v>98</v>
      </c>
      <c r="L14110" s="31" t="str">
        <f t="shared" si="1362"/>
        <v>Dua Puluh Delapan</v>
      </c>
    </row>
    <row r="14111" spans="1:12">
      <c r="J14111" s="31">
        <v>29</v>
      </c>
      <c r="K14111" s="33" t="s">
        <v>99</v>
      </c>
      <c r="L14111" s="31" t="str">
        <f t="shared" si="1362"/>
        <v>Dua Puluh Sembilan</v>
      </c>
    </row>
    <row r="14112" spans="1:12">
      <c r="J14112" s="31">
        <v>30</v>
      </c>
      <c r="K14112" s="33" t="s">
        <v>100</v>
      </c>
      <c r="L14112" s="31" t="s">
        <v>101</v>
      </c>
    </row>
    <row r="14113" spans="1:12">
      <c r="J14113" s="31">
        <v>31</v>
      </c>
      <c r="K14113" s="33" t="s">
        <v>102</v>
      </c>
      <c r="L14113" s="31" t="str">
        <f t="shared" ref="L14113:L14121" si="1363">$L$33&amp;" "&amp;L14083</f>
        <v>Tiga Puluh Satu</v>
      </c>
    </row>
    <row r="14114" spans="1:12">
      <c r="J14114" s="31">
        <v>32</v>
      </c>
      <c r="K14114" s="33" t="s">
        <v>103</v>
      </c>
      <c r="L14114" s="31" t="str">
        <f t="shared" si="1363"/>
        <v>Tiga Puluh Dua</v>
      </c>
    </row>
    <row r="14115" spans="1:12">
      <c r="J14115" s="31">
        <v>33</v>
      </c>
      <c r="K14115" s="33" t="s">
        <v>104</v>
      </c>
      <c r="L14115" s="31" t="str">
        <f t="shared" si="1363"/>
        <v>Tiga Puluh Tiga</v>
      </c>
    </row>
    <row r="14116" spans="1:12">
      <c r="J14116" s="31">
        <v>34</v>
      </c>
      <c r="K14116" s="33" t="s">
        <v>105</v>
      </c>
      <c r="L14116" s="31" t="str">
        <f t="shared" si="1363"/>
        <v>Tiga Puluh Empat</v>
      </c>
    </row>
    <row r="14117" spans="1:12">
      <c r="J14117" s="31">
        <v>35</v>
      </c>
      <c r="K14117" s="33" t="s">
        <v>106</v>
      </c>
      <c r="L14117" s="31" t="str">
        <f t="shared" si="1363"/>
        <v>Tiga Puluh Lima</v>
      </c>
    </row>
    <row r="14118" spans="1:12">
      <c r="J14118" s="31">
        <v>36</v>
      </c>
      <c r="K14118" s="33" t="s">
        <v>107</v>
      </c>
      <c r="L14118" s="31" t="str">
        <f t="shared" si="1363"/>
        <v>Tiga Puluh Enam</v>
      </c>
    </row>
    <row r="14119" spans="1:12">
      <c r="J14119" s="31">
        <v>37</v>
      </c>
      <c r="K14119" s="33" t="s">
        <v>108</v>
      </c>
      <c r="L14119" s="31" t="str">
        <f t="shared" si="1363"/>
        <v>Tiga Puluh Tujuh</v>
      </c>
    </row>
    <row r="14120" spans="1:12">
      <c r="J14120" s="31">
        <v>38</v>
      </c>
      <c r="K14120" s="33" t="s">
        <v>109</v>
      </c>
      <c r="L14120" s="31" t="str">
        <f t="shared" si="1363"/>
        <v>Tiga Puluh Delapan</v>
      </c>
    </row>
    <row r="14121" spans="1:12">
      <c r="J14121" s="31">
        <v>39</v>
      </c>
      <c r="K14121" s="33" t="s">
        <v>110</v>
      </c>
      <c r="L14121" s="31" t="str">
        <f t="shared" si="1363"/>
        <v>Tiga Puluh Sembilan</v>
      </c>
    </row>
    <row r="14122" spans="1:12">
      <c r="B14122" s="35"/>
      <c r="C14122" s="35"/>
      <c r="D14122" s="35"/>
      <c r="J14122" s="31">
        <v>40</v>
      </c>
      <c r="K14122" s="33" t="s">
        <v>111</v>
      </c>
      <c r="L14122" s="31" t="s">
        <v>112</v>
      </c>
    </row>
    <row r="14123" spans="1:12">
      <c r="A14123" s="35"/>
      <c r="B14123" s="35"/>
      <c r="C14123" s="35"/>
      <c r="D14123" s="35"/>
      <c r="J14123" s="31">
        <v>41</v>
      </c>
      <c r="K14123" s="33" t="s">
        <v>113</v>
      </c>
      <c r="L14123" s="31" t="str">
        <f t="shared" ref="L14123:L14131" si="1364">$L$43&amp;" "&amp;L14083</f>
        <v>Empat Puluh Satu</v>
      </c>
    </row>
    <row r="14124" spans="1:12">
      <c r="J14124" s="31">
        <v>42</v>
      </c>
      <c r="K14124" s="33" t="s">
        <v>114</v>
      </c>
      <c r="L14124" s="31" t="str">
        <f t="shared" si="1364"/>
        <v>Empat Puluh Dua</v>
      </c>
    </row>
    <row r="14125" spans="1:12">
      <c r="A14125" s="38"/>
      <c r="J14125" s="31">
        <v>43</v>
      </c>
      <c r="K14125" s="33" t="s">
        <v>115</v>
      </c>
      <c r="L14125" s="31" t="str">
        <f t="shared" si="1364"/>
        <v>Empat Puluh Tiga</v>
      </c>
    </row>
    <row r="14126" spans="1:12">
      <c r="J14126" s="31">
        <v>44</v>
      </c>
      <c r="K14126" s="33" t="s">
        <v>116</v>
      </c>
      <c r="L14126" s="31" t="str">
        <f t="shared" si="1364"/>
        <v>Empat Puluh Empat</v>
      </c>
    </row>
    <row r="14127" spans="1:12">
      <c r="J14127" s="31">
        <v>45</v>
      </c>
      <c r="K14127" s="33" t="s">
        <v>117</v>
      </c>
      <c r="L14127" s="31" t="str">
        <f t="shared" si="1364"/>
        <v>Empat Puluh Lima</v>
      </c>
    </row>
    <row r="14128" spans="1:12">
      <c r="J14128" s="31">
        <v>46</v>
      </c>
      <c r="K14128" s="33" t="s">
        <v>118</v>
      </c>
      <c r="L14128" s="31" t="str">
        <f t="shared" si="1364"/>
        <v>Empat Puluh Enam</v>
      </c>
    </row>
    <row r="14129" spans="10:12">
      <c r="J14129" s="31">
        <v>47</v>
      </c>
      <c r="K14129" s="33" t="s">
        <v>119</v>
      </c>
      <c r="L14129" s="31" t="str">
        <f t="shared" si="1364"/>
        <v>Empat Puluh Tujuh</v>
      </c>
    </row>
    <row r="14130" spans="10:12">
      <c r="J14130" s="31">
        <v>48</v>
      </c>
      <c r="K14130" s="33" t="s">
        <v>120</v>
      </c>
      <c r="L14130" s="31" t="str">
        <f t="shared" si="1364"/>
        <v>Empat Puluh Delapan</v>
      </c>
    </row>
    <row r="14131" spans="10:12">
      <c r="J14131" s="31">
        <v>49</v>
      </c>
      <c r="K14131" s="33" t="s">
        <v>121</v>
      </c>
      <c r="L14131" s="31" t="str">
        <f t="shared" si="1364"/>
        <v>Empat Puluh Sembilan</v>
      </c>
    </row>
    <row r="14132" spans="10:12">
      <c r="J14132" s="31">
        <v>50</v>
      </c>
      <c r="K14132" s="33" t="s">
        <v>122</v>
      </c>
      <c r="L14132" s="31" t="s">
        <v>123</v>
      </c>
    </row>
    <row r="14133" spans="10:12">
      <c r="J14133" s="31">
        <v>51</v>
      </c>
      <c r="K14133" s="33" t="s">
        <v>124</v>
      </c>
      <c r="L14133" s="31" t="str">
        <f t="shared" ref="L14133:L14141" si="1365">$L$53&amp;" "&amp;L14083</f>
        <v>Lima Puluh Satu</v>
      </c>
    </row>
    <row r="14134" spans="10:12">
      <c r="J14134" s="31">
        <v>52</v>
      </c>
      <c r="K14134" s="33" t="s">
        <v>125</v>
      </c>
      <c r="L14134" s="31" t="str">
        <f t="shared" si="1365"/>
        <v>Lima Puluh Dua</v>
      </c>
    </row>
    <row r="14135" spans="10:12">
      <c r="J14135" s="31">
        <v>53</v>
      </c>
      <c r="K14135" s="33" t="s">
        <v>126</v>
      </c>
      <c r="L14135" s="31" t="str">
        <f t="shared" si="1365"/>
        <v>Lima Puluh Tiga</v>
      </c>
    </row>
    <row r="14136" spans="10:12">
      <c r="J14136" s="31">
        <v>54</v>
      </c>
      <c r="K14136" s="33" t="s">
        <v>127</v>
      </c>
      <c r="L14136" s="31" t="str">
        <f t="shared" si="1365"/>
        <v>Lima Puluh Empat</v>
      </c>
    </row>
    <row r="14137" spans="10:12">
      <c r="J14137" s="31">
        <v>55</v>
      </c>
      <c r="K14137" s="33" t="s">
        <v>128</v>
      </c>
      <c r="L14137" s="31" t="str">
        <f t="shared" si="1365"/>
        <v>Lima Puluh Lima</v>
      </c>
    </row>
    <row r="14138" spans="10:12">
      <c r="J14138" s="31">
        <v>56</v>
      </c>
      <c r="K14138" s="33" t="s">
        <v>129</v>
      </c>
      <c r="L14138" s="31" t="str">
        <f t="shared" si="1365"/>
        <v>Lima Puluh Enam</v>
      </c>
    </row>
    <row r="14139" spans="10:12">
      <c r="J14139" s="31">
        <v>57</v>
      </c>
      <c r="K14139" s="33" t="s">
        <v>130</v>
      </c>
      <c r="L14139" s="31" t="str">
        <f t="shared" si="1365"/>
        <v>Lima Puluh Tujuh</v>
      </c>
    </row>
    <row r="14140" spans="10:12">
      <c r="J14140" s="31">
        <v>58</v>
      </c>
      <c r="K14140" s="33" t="s">
        <v>131</v>
      </c>
      <c r="L14140" s="31" t="str">
        <f t="shared" si="1365"/>
        <v>Lima Puluh Delapan</v>
      </c>
    </row>
    <row r="14141" spans="10:12">
      <c r="J14141" s="31">
        <v>59</v>
      </c>
      <c r="K14141" s="33" t="s">
        <v>132</v>
      </c>
      <c r="L14141" s="31" t="str">
        <f t="shared" si="1365"/>
        <v>Lima Puluh Sembilan</v>
      </c>
    </row>
    <row r="14142" spans="10:12">
      <c r="J14142" s="31">
        <v>60</v>
      </c>
      <c r="K14142" s="33" t="s">
        <v>133</v>
      </c>
      <c r="L14142" s="31" t="s">
        <v>134</v>
      </c>
    </row>
    <row r="14143" spans="10:12">
      <c r="J14143" s="31">
        <v>61</v>
      </c>
      <c r="K14143" s="33" t="s">
        <v>135</v>
      </c>
      <c r="L14143" s="31" t="str">
        <f t="shared" ref="L14143:L14151" si="1366">$L$63&amp;" "&amp;L14083</f>
        <v>Enam Puluh Satu</v>
      </c>
    </row>
    <row r="14144" spans="10:12">
      <c r="J14144" s="31">
        <v>62</v>
      </c>
      <c r="K14144" s="33" t="s">
        <v>136</v>
      </c>
      <c r="L14144" s="31" t="str">
        <f t="shared" si="1366"/>
        <v>Enam Puluh Dua</v>
      </c>
    </row>
    <row r="14145" spans="10:12">
      <c r="J14145" s="31">
        <v>63</v>
      </c>
      <c r="K14145" s="33" t="s">
        <v>137</v>
      </c>
      <c r="L14145" s="31" t="str">
        <f t="shared" si="1366"/>
        <v>Enam Puluh Tiga</v>
      </c>
    </row>
    <row r="14146" spans="10:12">
      <c r="J14146" s="31">
        <v>64</v>
      </c>
      <c r="K14146" s="33" t="s">
        <v>138</v>
      </c>
      <c r="L14146" s="31" t="str">
        <f t="shared" si="1366"/>
        <v>Enam Puluh Empat</v>
      </c>
    </row>
    <row r="14147" spans="10:12">
      <c r="J14147" s="31">
        <v>65</v>
      </c>
      <c r="K14147" s="33" t="s">
        <v>139</v>
      </c>
      <c r="L14147" s="31" t="str">
        <f t="shared" si="1366"/>
        <v>Enam Puluh Lima</v>
      </c>
    </row>
    <row r="14148" spans="10:12">
      <c r="J14148" s="31">
        <v>66</v>
      </c>
      <c r="K14148" s="33" t="s">
        <v>140</v>
      </c>
      <c r="L14148" s="31" t="str">
        <f t="shared" si="1366"/>
        <v>Enam Puluh Enam</v>
      </c>
    </row>
    <row r="14149" spans="10:12">
      <c r="J14149" s="31">
        <v>67</v>
      </c>
      <c r="K14149" s="33" t="s">
        <v>141</v>
      </c>
      <c r="L14149" s="31" t="str">
        <f t="shared" si="1366"/>
        <v>Enam Puluh Tujuh</v>
      </c>
    </row>
    <row r="14150" spans="10:12">
      <c r="J14150" s="31">
        <v>68</v>
      </c>
      <c r="K14150" s="33" t="s">
        <v>142</v>
      </c>
      <c r="L14150" s="31" t="str">
        <f t="shared" si="1366"/>
        <v>Enam Puluh Delapan</v>
      </c>
    </row>
    <row r="14151" spans="10:12">
      <c r="J14151" s="31">
        <v>69</v>
      </c>
      <c r="K14151" s="33" t="s">
        <v>143</v>
      </c>
      <c r="L14151" s="31" t="str">
        <f t="shared" si="1366"/>
        <v>Enam Puluh Sembilan</v>
      </c>
    </row>
    <row r="14152" spans="10:12">
      <c r="J14152" s="31">
        <v>70</v>
      </c>
      <c r="K14152" s="33" t="s">
        <v>144</v>
      </c>
      <c r="L14152" s="31" t="s">
        <v>145</v>
      </c>
    </row>
    <row r="14153" spans="10:12">
      <c r="J14153" s="31">
        <v>71</v>
      </c>
      <c r="K14153" s="33" t="s">
        <v>146</v>
      </c>
      <c r="L14153" s="31" t="str">
        <f t="shared" ref="L14153:L14161" si="1367">$L$73&amp;" "&amp;L14083</f>
        <v>Tujuh Puluh Satu</v>
      </c>
    </row>
    <row r="14154" spans="10:12">
      <c r="J14154" s="31">
        <v>72</v>
      </c>
      <c r="K14154" s="33" t="s">
        <v>147</v>
      </c>
      <c r="L14154" s="31" t="str">
        <f t="shared" si="1367"/>
        <v>Tujuh Puluh Dua</v>
      </c>
    </row>
    <row r="14155" spans="10:12">
      <c r="J14155" s="31">
        <v>73</v>
      </c>
      <c r="K14155" s="33" t="s">
        <v>148</v>
      </c>
      <c r="L14155" s="31" t="str">
        <f t="shared" si="1367"/>
        <v>Tujuh Puluh Tiga</v>
      </c>
    </row>
    <row r="14156" spans="10:12">
      <c r="J14156" s="31">
        <v>74</v>
      </c>
      <c r="K14156" s="33" t="s">
        <v>149</v>
      </c>
      <c r="L14156" s="31" t="str">
        <f t="shared" si="1367"/>
        <v>Tujuh Puluh Empat</v>
      </c>
    </row>
    <row r="14157" spans="10:12">
      <c r="J14157" s="31">
        <v>75</v>
      </c>
      <c r="K14157" s="33" t="s">
        <v>150</v>
      </c>
      <c r="L14157" s="31" t="str">
        <f t="shared" si="1367"/>
        <v>Tujuh Puluh Lima</v>
      </c>
    </row>
    <row r="14158" spans="10:12">
      <c r="J14158" s="31">
        <v>76</v>
      </c>
      <c r="K14158" s="33" t="s">
        <v>151</v>
      </c>
      <c r="L14158" s="31" t="str">
        <f t="shared" si="1367"/>
        <v>Tujuh Puluh Enam</v>
      </c>
    </row>
    <row r="14159" spans="10:12">
      <c r="J14159" s="31">
        <v>77</v>
      </c>
      <c r="K14159" s="33" t="s">
        <v>152</v>
      </c>
      <c r="L14159" s="31" t="str">
        <f t="shared" si="1367"/>
        <v>Tujuh Puluh Tujuh</v>
      </c>
    </row>
    <row r="14160" spans="10:12">
      <c r="J14160" s="31">
        <v>78</v>
      </c>
      <c r="K14160" s="33" t="s">
        <v>153</v>
      </c>
      <c r="L14160" s="31" t="str">
        <f t="shared" si="1367"/>
        <v>Tujuh Puluh Delapan</v>
      </c>
    </row>
    <row r="14161" spans="10:12">
      <c r="J14161" s="31">
        <v>79</v>
      </c>
      <c r="K14161" s="33" t="s">
        <v>154</v>
      </c>
      <c r="L14161" s="31" t="str">
        <f t="shared" si="1367"/>
        <v>Tujuh Puluh Sembilan</v>
      </c>
    </row>
    <row r="14162" spans="10:12">
      <c r="J14162" s="31">
        <v>80</v>
      </c>
      <c r="K14162" s="33" t="s">
        <v>155</v>
      </c>
      <c r="L14162" s="31" t="s">
        <v>156</v>
      </c>
    </row>
    <row r="14163" spans="10:12">
      <c r="J14163" s="31">
        <v>81</v>
      </c>
      <c r="K14163" s="33" t="s">
        <v>157</v>
      </c>
      <c r="L14163" s="31" t="str">
        <f t="shared" ref="L14163:L14171" si="1368">$L$83&amp;" "&amp;L14083</f>
        <v>Delapan Puluh Satu</v>
      </c>
    </row>
    <row r="14164" spans="10:12">
      <c r="J14164" s="31">
        <v>82</v>
      </c>
      <c r="K14164" s="33" t="s">
        <v>158</v>
      </c>
      <c r="L14164" s="31" t="str">
        <f t="shared" si="1368"/>
        <v>Delapan Puluh Dua</v>
      </c>
    </row>
    <row r="14165" spans="10:12">
      <c r="J14165" s="31">
        <v>83</v>
      </c>
      <c r="K14165" s="33" t="s">
        <v>159</v>
      </c>
      <c r="L14165" s="31" t="str">
        <f t="shared" si="1368"/>
        <v>Delapan Puluh Tiga</v>
      </c>
    </row>
    <row r="14166" spans="10:12">
      <c r="J14166" s="31">
        <v>84</v>
      </c>
      <c r="K14166" s="33" t="s">
        <v>160</v>
      </c>
      <c r="L14166" s="31" t="str">
        <f t="shared" si="1368"/>
        <v>Delapan Puluh Empat</v>
      </c>
    </row>
    <row r="14167" spans="10:12">
      <c r="J14167" s="31">
        <v>85</v>
      </c>
      <c r="K14167" s="33" t="s">
        <v>161</v>
      </c>
      <c r="L14167" s="31" t="str">
        <f t="shared" si="1368"/>
        <v>Delapan Puluh Lima</v>
      </c>
    </row>
    <row r="14168" spans="10:12">
      <c r="J14168" s="31">
        <v>86</v>
      </c>
      <c r="K14168" s="33" t="s">
        <v>162</v>
      </c>
      <c r="L14168" s="31" t="str">
        <f t="shared" si="1368"/>
        <v>Delapan Puluh Enam</v>
      </c>
    </row>
    <row r="14169" spans="10:12">
      <c r="J14169" s="31">
        <v>87</v>
      </c>
      <c r="K14169" s="33" t="s">
        <v>163</v>
      </c>
      <c r="L14169" s="31" t="str">
        <f t="shared" si="1368"/>
        <v>Delapan Puluh Tujuh</v>
      </c>
    </row>
    <row r="14170" spans="10:12">
      <c r="J14170" s="31">
        <v>88</v>
      </c>
      <c r="K14170" s="33" t="s">
        <v>164</v>
      </c>
      <c r="L14170" s="31" t="str">
        <f t="shared" si="1368"/>
        <v>Delapan Puluh Delapan</v>
      </c>
    </row>
    <row r="14171" spans="10:12">
      <c r="J14171" s="31">
        <v>89</v>
      </c>
      <c r="K14171" s="33" t="s">
        <v>165</v>
      </c>
      <c r="L14171" s="31" t="str">
        <f t="shared" si="1368"/>
        <v>Delapan Puluh Sembilan</v>
      </c>
    </row>
    <row r="14172" spans="10:12">
      <c r="J14172" s="31">
        <v>90</v>
      </c>
      <c r="K14172" s="33" t="s">
        <v>166</v>
      </c>
      <c r="L14172" s="31" t="s">
        <v>167</v>
      </c>
    </row>
    <row r="14173" spans="10:12">
      <c r="J14173" s="31">
        <v>91</v>
      </c>
      <c r="K14173" s="33" t="s">
        <v>168</v>
      </c>
      <c r="L14173" s="31" t="str">
        <f t="shared" ref="L14173:L14181" si="1369">$L$93&amp;" "&amp;L14083</f>
        <v>Sembilan Puluh Satu</v>
      </c>
    </row>
    <row r="14174" spans="10:12">
      <c r="J14174" s="31">
        <v>92</v>
      </c>
      <c r="K14174" s="33" t="s">
        <v>169</v>
      </c>
      <c r="L14174" s="31" t="str">
        <f t="shared" si="1369"/>
        <v>Sembilan Puluh Dua</v>
      </c>
    </row>
    <row r="14175" spans="10:12">
      <c r="J14175" s="31">
        <v>93</v>
      </c>
      <c r="K14175" s="33" t="s">
        <v>170</v>
      </c>
      <c r="L14175" s="31" t="str">
        <f t="shared" si="1369"/>
        <v>Sembilan Puluh Tiga</v>
      </c>
    </row>
    <row r="14176" spans="10:12">
      <c r="J14176" s="31">
        <v>94</v>
      </c>
      <c r="K14176" s="33" t="s">
        <v>171</v>
      </c>
      <c r="L14176" s="31" t="str">
        <f t="shared" si="1369"/>
        <v>Sembilan Puluh Empat</v>
      </c>
    </row>
    <row r="14177" spans="1:12">
      <c r="J14177" s="31">
        <v>95</v>
      </c>
      <c r="K14177" s="33" t="s">
        <v>172</v>
      </c>
      <c r="L14177" s="31" t="str">
        <f t="shared" si="1369"/>
        <v>Sembilan Puluh Lima</v>
      </c>
    </row>
    <row r="14178" spans="1:12">
      <c r="J14178" s="31">
        <v>96</v>
      </c>
      <c r="K14178" s="33" t="s">
        <v>173</v>
      </c>
      <c r="L14178" s="31" t="str">
        <f t="shared" si="1369"/>
        <v>Sembilan Puluh Enam</v>
      </c>
    </row>
    <row r="14179" spans="1:12">
      <c r="J14179" s="31">
        <v>97</v>
      </c>
      <c r="K14179" s="33" t="s">
        <v>174</v>
      </c>
      <c r="L14179" s="31" t="str">
        <f t="shared" si="1369"/>
        <v>Sembilan Puluh Tujuh</v>
      </c>
    </row>
    <row r="14180" spans="1:12">
      <c r="J14180" s="31">
        <v>98</v>
      </c>
      <c r="K14180" s="33" t="s">
        <v>175</v>
      </c>
      <c r="L14180" s="31" t="str">
        <f t="shared" si="1369"/>
        <v>Sembilan Puluh Delapan</v>
      </c>
    </row>
    <row r="14181" spans="1:12">
      <c r="J14181" s="31">
        <v>99</v>
      </c>
      <c r="K14181" s="33" t="s">
        <v>176</v>
      </c>
      <c r="L14181" s="31" t="str">
        <f t="shared" si="1369"/>
        <v>Sembilan Puluh Sembilan</v>
      </c>
    </row>
    <row r="14183" spans="1:12">
      <c r="A14183" s="30" t="e">
        <f>#REF!</f>
        <v>#REF!</v>
      </c>
      <c r="C14183" s="31" t="s">
        <v>372</v>
      </c>
    </row>
    <row r="14184" spans="1:12">
      <c r="A14184" s="32"/>
    </row>
    <row r="14185" spans="1:12">
      <c r="J14185" s="31">
        <v>0</v>
      </c>
      <c r="K14185" s="33" t="s">
        <v>48</v>
      </c>
      <c r="L14185" s="31" t="s">
        <v>49</v>
      </c>
    </row>
    <row r="14186" spans="1:12">
      <c r="A14186" s="34"/>
      <c r="J14186" s="31">
        <v>1</v>
      </c>
      <c r="K14186" s="33" t="s">
        <v>50</v>
      </c>
      <c r="L14186" s="31" t="s">
        <v>51</v>
      </c>
    </row>
    <row r="14187" spans="1:12">
      <c r="A14187" s="255" t="e">
        <f>TRIM(D14195&amp;E14195&amp;D14196&amp;E14196&amp;D14197&amp;E14197&amp;D14198&amp;E14198&amp;D14199&amp;E14199&amp;D14200&amp;E14200&amp;E14201&amp;D14201&amp;" Only")</f>
        <v>#REF!</v>
      </c>
      <c r="B14187" s="255"/>
      <c r="C14187" s="255"/>
      <c r="D14187" s="255"/>
      <c r="E14187" s="35"/>
      <c r="F14187" s="36"/>
      <c r="J14187" s="31">
        <v>2</v>
      </c>
      <c r="K14187" s="33" t="s">
        <v>52</v>
      </c>
      <c r="L14187" s="31" t="s">
        <v>53</v>
      </c>
    </row>
    <row r="14188" spans="1:12">
      <c r="A14188" s="37"/>
      <c r="B14188" s="37"/>
      <c r="C14188" s="37"/>
      <c r="D14188" s="37"/>
      <c r="E14188" s="35"/>
      <c r="F14188" s="36"/>
      <c r="J14188" s="31">
        <v>3</v>
      </c>
      <c r="K14188" s="33" t="s">
        <v>54</v>
      </c>
      <c r="L14188" s="31" t="s">
        <v>55</v>
      </c>
    </row>
    <row r="14189" spans="1:12">
      <c r="A14189" s="37"/>
      <c r="B14189" s="37"/>
      <c r="C14189" s="37"/>
      <c r="D14189" s="37"/>
      <c r="J14189" s="31">
        <v>4</v>
      </c>
      <c r="K14189" s="33" t="s">
        <v>56</v>
      </c>
      <c r="L14189" s="31" t="s">
        <v>57</v>
      </c>
    </row>
    <row r="14190" spans="1:12">
      <c r="A14190" s="255" t="e">
        <f>TRIM(D14205&amp;E14205&amp;D14206&amp;E14206&amp;D14207&amp;E14207&amp;D14208&amp;E14208&amp;D14209&amp;E14209&amp;D14210&amp;E14210&amp;D14211&amp;E14211&amp;" Rupiah")</f>
        <v>#REF!</v>
      </c>
      <c r="B14190" s="255"/>
      <c r="C14190" s="255"/>
      <c r="D14190" s="255"/>
      <c r="E14190" s="35"/>
      <c r="F14190" s="36"/>
      <c r="J14190" s="31">
        <v>5</v>
      </c>
      <c r="K14190" s="33" t="s">
        <v>58</v>
      </c>
      <c r="L14190" s="31" t="s">
        <v>59</v>
      </c>
    </row>
    <row r="14191" spans="1:12">
      <c r="A14191" s="35"/>
      <c r="B14191" s="35"/>
      <c r="C14191" s="35"/>
      <c r="D14191" s="35"/>
      <c r="E14191" s="35"/>
      <c r="F14191" s="36"/>
      <c r="J14191" s="31">
        <v>6</v>
      </c>
      <c r="K14191" s="33" t="s">
        <v>60</v>
      </c>
      <c r="L14191" s="31" t="s">
        <v>61</v>
      </c>
    </row>
    <row r="14192" spans="1:12">
      <c r="J14192" s="31">
        <v>7</v>
      </c>
      <c r="K14192" s="33" t="s">
        <v>62</v>
      </c>
      <c r="L14192" s="31" t="s">
        <v>63</v>
      </c>
    </row>
    <row r="14193" spans="1:12">
      <c r="J14193" s="31">
        <v>8</v>
      </c>
      <c r="K14193" s="33" t="s">
        <v>64</v>
      </c>
      <c r="L14193" s="31" t="s">
        <v>65</v>
      </c>
    </row>
    <row r="14194" spans="1:12">
      <c r="A14194" s="38" t="s">
        <v>66</v>
      </c>
      <c r="J14194" s="31">
        <v>9</v>
      </c>
      <c r="K14194" s="33" t="s">
        <v>67</v>
      </c>
      <c r="L14194" s="31" t="s">
        <v>68</v>
      </c>
    </row>
    <row r="14195" spans="1:12">
      <c r="A14195" s="31" t="s">
        <v>69</v>
      </c>
      <c r="B14195" s="39" t="e">
        <f>TRUNC(A14183/100000000)</f>
        <v>#REF!</v>
      </c>
      <c r="C14195" s="31" t="e">
        <f>B14195*100000000</f>
        <v>#REF!</v>
      </c>
      <c r="D14195" s="31" t="e">
        <f t="shared" ref="D14195:D14201" si="1370">IF(B14195&lt;1,"",VLOOKUP(B14195,$J$3:$K$102,2))</f>
        <v>#REF!</v>
      </c>
      <c r="E14195" s="31" t="e">
        <f>IF(B14195&lt;1,"",IF(B14195&gt;1," Hundreds "," Hundred "))</f>
        <v>#REF!</v>
      </c>
      <c r="J14195" s="31">
        <v>10</v>
      </c>
      <c r="K14195" s="33" t="s">
        <v>70</v>
      </c>
      <c r="L14195" s="31" t="s">
        <v>71</v>
      </c>
    </row>
    <row r="14196" spans="1:12">
      <c r="A14196" s="31" t="s">
        <v>72</v>
      </c>
      <c r="B14196" s="39" t="e">
        <f>TRUNC((A14183-C14195)/1000000)</f>
        <v>#REF!</v>
      </c>
      <c r="C14196" s="31" t="e">
        <f>B14196*1000000</f>
        <v>#REF!</v>
      </c>
      <c r="D14196" s="31" t="e">
        <f t="shared" si="1370"/>
        <v>#REF!</v>
      </c>
      <c r="E14196" s="31" t="e">
        <f>IF(B14195+B14196=0,"",IF(B14196=1," Million "," Millions "))</f>
        <v>#REF!</v>
      </c>
      <c r="J14196" s="31">
        <v>11</v>
      </c>
      <c r="K14196" s="33" t="s">
        <v>73</v>
      </c>
      <c r="L14196" s="31" t="s">
        <v>74</v>
      </c>
    </row>
    <row r="14197" spans="1:12">
      <c r="A14197" s="31" t="s">
        <v>75</v>
      </c>
      <c r="B14197" s="39" t="e">
        <f>TRUNC((A14183-SUM(C14195:C14196))/100000)</f>
        <v>#REF!</v>
      </c>
      <c r="C14197" s="31" t="e">
        <f>B14197*100000</f>
        <v>#REF!</v>
      </c>
      <c r="D14197" s="31" t="e">
        <f t="shared" si="1370"/>
        <v>#REF!</v>
      </c>
      <c r="E14197" s="31" t="e">
        <f>IF(B14197&lt;1,"",IF(B14197&gt;1," Hundreds "," Hundred "))</f>
        <v>#REF!</v>
      </c>
      <c r="J14197" s="31">
        <v>12</v>
      </c>
      <c r="K14197" s="33" t="s">
        <v>76</v>
      </c>
      <c r="L14197" s="31" t="str">
        <f t="shared" ref="L14197:L14204" si="1371">L14187&amp;" Belas"</f>
        <v>Dua Belas</v>
      </c>
    </row>
    <row r="14198" spans="1:12">
      <c r="A14198" s="33" t="s">
        <v>77</v>
      </c>
      <c r="B14198" s="40" t="e">
        <f>TRUNC((A14183-SUM(C14195:C14197))/1000)</f>
        <v>#REF!</v>
      </c>
      <c r="C14198" s="31" t="e">
        <f>B14198*1000</f>
        <v>#REF!</v>
      </c>
      <c r="D14198" s="31" t="e">
        <f t="shared" si="1370"/>
        <v>#REF!</v>
      </c>
      <c r="E14198" s="31" t="e">
        <f>IF(B14197+B14198=0,"",IF(B14198=1," Thousand "," Thousands "))</f>
        <v>#REF!</v>
      </c>
      <c r="J14198" s="31">
        <v>13</v>
      </c>
      <c r="K14198" s="33" t="s">
        <v>78</v>
      </c>
      <c r="L14198" s="31" t="str">
        <f t="shared" si="1371"/>
        <v>Tiga Belas</v>
      </c>
    </row>
    <row r="14199" spans="1:12">
      <c r="A14199" s="33" t="s">
        <v>79</v>
      </c>
      <c r="B14199" s="40" t="e">
        <f>TRUNC((A14183-SUM(C14195:C14198))/100)</f>
        <v>#REF!</v>
      </c>
      <c r="C14199" s="31" t="e">
        <f>B14199*100</f>
        <v>#REF!</v>
      </c>
      <c r="D14199" s="31" t="e">
        <f t="shared" si="1370"/>
        <v>#REF!</v>
      </c>
      <c r="E14199" s="31" t="e">
        <f>IF(B14199&lt;1,"",IF(B14199&gt;1," Hundreds "," Hundred "))</f>
        <v>#REF!</v>
      </c>
      <c r="J14199" s="31">
        <v>14</v>
      </c>
      <c r="K14199" s="33" t="s">
        <v>80</v>
      </c>
      <c r="L14199" s="31" t="str">
        <f t="shared" si="1371"/>
        <v>Empat Belas</v>
      </c>
    </row>
    <row r="14200" spans="1:12">
      <c r="A14200" s="33" t="s">
        <v>81</v>
      </c>
      <c r="B14200" s="41" t="e">
        <f>TRUNC((A14183-SUM(C14195:C14199)))</f>
        <v>#REF!</v>
      </c>
      <c r="C14200" s="42" t="e">
        <f>B14200</f>
        <v>#REF!</v>
      </c>
      <c r="D14200" s="31" t="e">
        <f t="shared" si="1370"/>
        <v>#REF!</v>
      </c>
      <c r="E14200" s="31" t="e">
        <f>IF(SUM(C14195:C14200)&lt;1,"",IF(B14201&lt;1,""," And "))</f>
        <v>#REF!</v>
      </c>
      <c r="J14200" s="31">
        <v>15</v>
      </c>
      <c r="K14200" s="33" t="s">
        <v>82</v>
      </c>
      <c r="L14200" s="31" t="str">
        <f t="shared" si="1371"/>
        <v>Lima Belas</v>
      </c>
    </row>
    <row r="14201" spans="1:12">
      <c r="A14201" s="33" t="s">
        <v>83</v>
      </c>
      <c r="B14201" s="40" t="e">
        <f>ROUND(A14183-SUM(C14195:C14200),2)*100</f>
        <v>#REF!</v>
      </c>
      <c r="D14201" s="43" t="e">
        <f t="shared" si="1370"/>
        <v>#REF!</v>
      </c>
      <c r="E14201" s="31" t="e">
        <f>IF(B14201&lt;1,"",IF(B14201=1," Cent "," Cents "))</f>
        <v>#REF!</v>
      </c>
      <c r="J14201" s="31">
        <v>16</v>
      </c>
      <c r="K14201" s="33" t="s">
        <v>84</v>
      </c>
      <c r="L14201" s="31" t="str">
        <f t="shared" si="1371"/>
        <v>Enam Belas</v>
      </c>
    </row>
    <row r="14202" spans="1:12">
      <c r="J14202" s="31">
        <v>17</v>
      </c>
      <c r="K14202" s="33" t="s">
        <v>85</v>
      </c>
      <c r="L14202" s="31" t="str">
        <f t="shared" si="1371"/>
        <v>Tujuh Belas</v>
      </c>
    </row>
    <row r="14203" spans="1:12">
      <c r="A14203" s="44"/>
      <c r="J14203" s="31">
        <v>18</v>
      </c>
      <c r="K14203" s="33" t="s">
        <v>86</v>
      </c>
      <c r="L14203" s="31" t="str">
        <f t="shared" si="1371"/>
        <v>Delapan Belas</v>
      </c>
    </row>
    <row r="14204" spans="1:12">
      <c r="A14204" s="38" t="s">
        <v>87</v>
      </c>
      <c r="J14204" s="31">
        <v>19</v>
      </c>
      <c r="K14204" s="33" t="s">
        <v>88</v>
      </c>
      <c r="L14204" s="31" t="str">
        <f t="shared" si="1371"/>
        <v>Sembilan Belas</v>
      </c>
    </row>
    <row r="14205" spans="1:12">
      <c r="A14205" s="31" t="s">
        <v>69</v>
      </c>
      <c r="B14205" s="39" t="e">
        <f>TRUNC(A14183/100000000)</f>
        <v>#REF!</v>
      </c>
      <c r="C14205" s="31" t="e">
        <f>B14205*100000000</f>
        <v>#REF!</v>
      </c>
      <c r="D14205" s="31" t="e">
        <f>IF(B14205&lt;1,"",IF(B14205=1,"",VLOOKUP(B14205,$J$3:$L$102,3)))</f>
        <v>#REF!</v>
      </c>
      <c r="E14205" s="31" t="e">
        <f>IF(B14205&lt;1,"",IF(B14205=1,"Seratus "," Ratus "))</f>
        <v>#REF!</v>
      </c>
      <c r="J14205" s="31">
        <v>20</v>
      </c>
      <c r="K14205" s="33" t="s">
        <v>89</v>
      </c>
      <c r="L14205" s="31" t="s">
        <v>90</v>
      </c>
    </row>
    <row r="14206" spans="1:12">
      <c r="A14206" s="31" t="s">
        <v>72</v>
      </c>
      <c r="B14206" s="39" t="e">
        <f>TRUNC((A14183-C14205)/1000000)</f>
        <v>#REF!</v>
      </c>
      <c r="C14206" s="31" t="e">
        <f>B14206*1000000</f>
        <v>#REF!</v>
      </c>
      <c r="D14206" s="31" t="e">
        <f>IF(B14206&lt;1,"",VLOOKUP(B14206,$J$3:$L$102,3))</f>
        <v>#REF!</v>
      </c>
      <c r="E14206" s="31" t="e">
        <f>IF(B14205+B14206=0,""," Juta ")</f>
        <v>#REF!</v>
      </c>
      <c r="J14206" s="31">
        <v>21</v>
      </c>
      <c r="K14206" s="33" t="s">
        <v>91</v>
      </c>
      <c r="L14206" s="31" t="str">
        <f t="shared" ref="L14206:L14214" si="1372">$L$23&amp;" "&amp;L14186</f>
        <v>Dua Puluh Satu</v>
      </c>
    </row>
    <row r="14207" spans="1:12">
      <c r="A14207" s="31" t="s">
        <v>75</v>
      </c>
      <c r="B14207" s="39" t="e">
        <f>TRUNC((A14183-SUM(C14205:C14206))/100000)</f>
        <v>#REF!</v>
      </c>
      <c r="C14207" s="31" t="e">
        <f>B14207*100000</f>
        <v>#REF!</v>
      </c>
      <c r="D14207" s="31" t="e">
        <f>IF(B14207&lt;1,"",IF(B14207=1,"",VLOOKUP(B14207,$J$3:$L$102,3)))</f>
        <v>#REF!</v>
      </c>
      <c r="E14207" s="31" t="e">
        <f>IF(B14207&lt;1,"",IF(B14207=1," Seratus "," Ratus "))</f>
        <v>#REF!</v>
      </c>
      <c r="J14207" s="31">
        <v>22</v>
      </c>
      <c r="K14207" s="33" t="s">
        <v>92</v>
      </c>
      <c r="L14207" s="31" t="str">
        <f t="shared" si="1372"/>
        <v>Dua Puluh Dua</v>
      </c>
    </row>
    <row r="14208" spans="1:12">
      <c r="A14208" s="33" t="s">
        <v>77</v>
      </c>
      <c r="B14208" s="40" t="e">
        <f>TRUNC((A14183-SUM(C14205:C14207))/1000)</f>
        <v>#REF!</v>
      </c>
      <c r="C14208" s="31" t="e">
        <f>B14208*1000</f>
        <v>#REF!</v>
      </c>
      <c r="D14208" s="31" t="e">
        <f>IF(B14208&lt;1,"",IF(B14208=1,"",VLOOKUP(B14208,$J$3:$L$102,3)))</f>
        <v>#REF!</v>
      </c>
      <c r="E14208" s="31" t="e">
        <f>IF(B14207+B14208&lt;1,"",IF(B14208=1," Seribu "," Ribu "))</f>
        <v>#REF!</v>
      </c>
      <c r="J14208" s="31">
        <v>23</v>
      </c>
      <c r="K14208" s="33" t="s">
        <v>93</v>
      </c>
      <c r="L14208" s="31" t="str">
        <f t="shared" si="1372"/>
        <v>Dua Puluh Tiga</v>
      </c>
    </row>
    <row r="14209" spans="1:12">
      <c r="A14209" s="33" t="s">
        <v>79</v>
      </c>
      <c r="B14209" s="40" t="e">
        <f>TRUNC((A14183-SUM(C14205:C14208))/100)</f>
        <v>#REF!</v>
      </c>
      <c r="C14209" s="31" t="e">
        <f>B14209*100</f>
        <v>#REF!</v>
      </c>
      <c r="D14209" s="31" t="e">
        <f>IF(B14209&lt;1,"",IF(B14209=1,"",VLOOKUP(B14209,$J$3:$L$102,3)))</f>
        <v>#REF!</v>
      </c>
      <c r="E14209" s="31" t="e">
        <f>IF(B14209&lt;1,"",IF(B14209=1," Seratus "," Ratus "))</f>
        <v>#REF!</v>
      </c>
      <c r="J14209" s="31">
        <v>24</v>
      </c>
      <c r="K14209" s="33" t="s">
        <v>94</v>
      </c>
      <c r="L14209" s="31" t="str">
        <f t="shared" si="1372"/>
        <v>Dua Puluh Empat</v>
      </c>
    </row>
    <row r="14210" spans="1:12">
      <c r="A14210" s="33" t="s">
        <v>81</v>
      </c>
      <c r="B14210" s="41" t="e">
        <f>TRUNC((A14183-SUM(C14205:C14209)))</f>
        <v>#REF!</v>
      </c>
      <c r="C14210" s="42" t="e">
        <f>B14210</f>
        <v>#REF!</v>
      </c>
      <c r="D14210" s="31" t="e">
        <f>IF(B14210&lt;1,"",VLOOKUP(B14210,$J$3:$L$102,3))</f>
        <v>#REF!</v>
      </c>
      <c r="E14210" s="31" t="e">
        <f>IF(SUM(C14205:C14210)&lt;1,"",IF(B14211&lt;1,""," Dan "))</f>
        <v>#REF!</v>
      </c>
      <c r="J14210" s="31">
        <v>25</v>
      </c>
      <c r="K14210" s="33" t="s">
        <v>95</v>
      </c>
      <c r="L14210" s="31" t="str">
        <f t="shared" si="1372"/>
        <v>Dua Puluh Lima</v>
      </c>
    </row>
    <row r="14211" spans="1:12">
      <c r="A14211" s="33" t="s">
        <v>83</v>
      </c>
      <c r="B14211" s="40" t="e">
        <f>ROUND(A14183-SUM(C14205:C14210),2)*100</f>
        <v>#REF!</v>
      </c>
      <c r="D14211" s="31" t="e">
        <f>IF(B14211&lt;1,"",VLOOKUP(B14211,$J$3:$L$102,3))</f>
        <v>#REF!</v>
      </c>
      <c r="E14211" s="31" t="e">
        <f>IF(B14211&lt;1,""," Sen ")</f>
        <v>#REF!</v>
      </c>
      <c r="J14211" s="31">
        <v>26</v>
      </c>
      <c r="K14211" s="33" t="s">
        <v>96</v>
      </c>
      <c r="L14211" s="31" t="str">
        <f t="shared" si="1372"/>
        <v>Dua Puluh Enam</v>
      </c>
    </row>
    <row r="14212" spans="1:12">
      <c r="J14212" s="31">
        <v>27</v>
      </c>
      <c r="K14212" s="33" t="s">
        <v>97</v>
      </c>
      <c r="L14212" s="31" t="str">
        <f t="shared" si="1372"/>
        <v>Dua Puluh Tujuh</v>
      </c>
    </row>
    <row r="14213" spans="1:12">
      <c r="J14213" s="31">
        <v>28</v>
      </c>
      <c r="K14213" s="33" t="s">
        <v>98</v>
      </c>
      <c r="L14213" s="31" t="str">
        <f t="shared" si="1372"/>
        <v>Dua Puluh Delapan</v>
      </c>
    </row>
    <row r="14214" spans="1:12">
      <c r="J14214" s="31">
        <v>29</v>
      </c>
      <c r="K14214" s="33" t="s">
        <v>99</v>
      </c>
      <c r="L14214" s="31" t="str">
        <f t="shared" si="1372"/>
        <v>Dua Puluh Sembilan</v>
      </c>
    </row>
    <row r="14215" spans="1:12">
      <c r="J14215" s="31">
        <v>30</v>
      </c>
      <c r="K14215" s="33" t="s">
        <v>100</v>
      </c>
      <c r="L14215" s="31" t="s">
        <v>101</v>
      </c>
    </row>
    <row r="14216" spans="1:12">
      <c r="J14216" s="31">
        <v>31</v>
      </c>
      <c r="K14216" s="33" t="s">
        <v>102</v>
      </c>
      <c r="L14216" s="31" t="str">
        <f t="shared" ref="L14216:L14224" si="1373">$L$33&amp;" "&amp;L14186</f>
        <v>Tiga Puluh Satu</v>
      </c>
    </row>
    <row r="14217" spans="1:12">
      <c r="J14217" s="31">
        <v>32</v>
      </c>
      <c r="K14217" s="33" t="s">
        <v>103</v>
      </c>
      <c r="L14217" s="31" t="str">
        <f t="shared" si="1373"/>
        <v>Tiga Puluh Dua</v>
      </c>
    </row>
    <row r="14218" spans="1:12">
      <c r="J14218" s="31">
        <v>33</v>
      </c>
      <c r="K14218" s="33" t="s">
        <v>104</v>
      </c>
      <c r="L14218" s="31" t="str">
        <f t="shared" si="1373"/>
        <v>Tiga Puluh Tiga</v>
      </c>
    </row>
    <row r="14219" spans="1:12">
      <c r="J14219" s="31">
        <v>34</v>
      </c>
      <c r="K14219" s="33" t="s">
        <v>105</v>
      </c>
      <c r="L14219" s="31" t="str">
        <f t="shared" si="1373"/>
        <v>Tiga Puluh Empat</v>
      </c>
    </row>
    <row r="14220" spans="1:12">
      <c r="J14220" s="31">
        <v>35</v>
      </c>
      <c r="K14220" s="33" t="s">
        <v>106</v>
      </c>
      <c r="L14220" s="31" t="str">
        <f t="shared" si="1373"/>
        <v>Tiga Puluh Lima</v>
      </c>
    </row>
    <row r="14221" spans="1:12">
      <c r="J14221" s="31">
        <v>36</v>
      </c>
      <c r="K14221" s="33" t="s">
        <v>107</v>
      </c>
      <c r="L14221" s="31" t="str">
        <f t="shared" si="1373"/>
        <v>Tiga Puluh Enam</v>
      </c>
    </row>
    <row r="14222" spans="1:12">
      <c r="J14222" s="31">
        <v>37</v>
      </c>
      <c r="K14222" s="33" t="s">
        <v>108</v>
      </c>
      <c r="L14222" s="31" t="str">
        <f t="shared" si="1373"/>
        <v>Tiga Puluh Tujuh</v>
      </c>
    </row>
    <row r="14223" spans="1:12">
      <c r="J14223" s="31">
        <v>38</v>
      </c>
      <c r="K14223" s="33" t="s">
        <v>109</v>
      </c>
      <c r="L14223" s="31" t="str">
        <f t="shared" si="1373"/>
        <v>Tiga Puluh Delapan</v>
      </c>
    </row>
    <row r="14224" spans="1:12">
      <c r="J14224" s="31">
        <v>39</v>
      </c>
      <c r="K14224" s="33" t="s">
        <v>110</v>
      </c>
      <c r="L14224" s="31" t="str">
        <f t="shared" si="1373"/>
        <v>Tiga Puluh Sembilan</v>
      </c>
    </row>
    <row r="14225" spans="1:12">
      <c r="B14225" s="35"/>
      <c r="C14225" s="35"/>
      <c r="D14225" s="35"/>
      <c r="J14225" s="31">
        <v>40</v>
      </c>
      <c r="K14225" s="33" t="s">
        <v>111</v>
      </c>
      <c r="L14225" s="31" t="s">
        <v>112</v>
      </c>
    </row>
    <row r="14226" spans="1:12">
      <c r="A14226" s="35"/>
      <c r="B14226" s="35"/>
      <c r="C14226" s="35"/>
      <c r="D14226" s="35"/>
      <c r="J14226" s="31">
        <v>41</v>
      </c>
      <c r="K14226" s="33" t="s">
        <v>113</v>
      </c>
      <c r="L14226" s="31" t="str">
        <f t="shared" ref="L14226:L14234" si="1374">$L$43&amp;" "&amp;L14186</f>
        <v>Empat Puluh Satu</v>
      </c>
    </row>
    <row r="14227" spans="1:12">
      <c r="J14227" s="31">
        <v>42</v>
      </c>
      <c r="K14227" s="33" t="s">
        <v>114</v>
      </c>
      <c r="L14227" s="31" t="str">
        <f t="shared" si="1374"/>
        <v>Empat Puluh Dua</v>
      </c>
    </row>
    <row r="14228" spans="1:12">
      <c r="A14228" s="38"/>
      <c r="J14228" s="31">
        <v>43</v>
      </c>
      <c r="K14228" s="33" t="s">
        <v>115</v>
      </c>
      <c r="L14228" s="31" t="str">
        <f t="shared" si="1374"/>
        <v>Empat Puluh Tiga</v>
      </c>
    </row>
    <row r="14229" spans="1:12">
      <c r="J14229" s="31">
        <v>44</v>
      </c>
      <c r="K14229" s="33" t="s">
        <v>116</v>
      </c>
      <c r="L14229" s="31" t="str">
        <f t="shared" si="1374"/>
        <v>Empat Puluh Empat</v>
      </c>
    </row>
    <row r="14230" spans="1:12">
      <c r="J14230" s="31">
        <v>45</v>
      </c>
      <c r="K14230" s="33" t="s">
        <v>117</v>
      </c>
      <c r="L14230" s="31" t="str">
        <f t="shared" si="1374"/>
        <v>Empat Puluh Lima</v>
      </c>
    </row>
    <row r="14231" spans="1:12">
      <c r="J14231" s="31">
        <v>46</v>
      </c>
      <c r="K14231" s="33" t="s">
        <v>118</v>
      </c>
      <c r="L14231" s="31" t="str">
        <f t="shared" si="1374"/>
        <v>Empat Puluh Enam</v>
      </c>
    </row>
    <row r="14232" spans="1:12">
      <c r="J14232" s="31">
        <v>47</v>
      </c>
      <c r="K14232" s="33" t="s">
        <v>119</v>
      </c>
      <c r="L14232" s="31" t="str">
        <f t="shared" si="1374"/>
        <v>Empat Puluh Tujuh</v>
      </c>
    </row>
    <row r="14233" spans="1:12">
      <c r="J14233" s="31">
        <v>48</v>
      </c>
      <c r="K14233" s="33" t="s">
        <v>120</v>
      </c>
      <c r="L14233" s="31" t="str">
        <f t="shared" si="1374"/>
        <v>Empat Puluh Delapan</v>
      </c>
    </row>
    <row r="14234" spans="1:12">
      <c r="J14234" s="31">
        <v>49</v>
      </c>
      <c r="K14234" s="33" t="s">
        <v>121</v>
      </c>
      <c r="L14234" s="31" t="str">
        <f t="shared" si="1374"/>
        <v>Empat Puluh Sembilan</v>
      </c>
    </row>
    <row r="14235" spans="1:12">
      <c r="J14235" s="31">
        <v>50</v>
      </c>
      <c r="K14235" s="33" t="s">
        <v>122</v>
      </c>
      <c r="L14235" s="31" t="s">
        <v>123</v>
      </c>
    </row>
    <row r="14236" spans="1:12">
      <c r="J14236" s="31">
        <v>51</v>
      </c>
      <c r="K14236" s="33" t="s">
        <v>124</v>
      </c>
      <c r="L14236" s="31" t="str">
        <f t="shared" ref="L14236:L14244" si="1375">$L$53&amp;" "&amp;L14186</f>
        <v>Lima Puluh Satu</v>
      </c>
    </row>
    <row r="14237" spans="1:12">
      <c r="J14237" s="31">
        <v>52</v>
      </c>
      <c r="K14237" s="33" t="s">
        <v>125</v>
      </c>
      <c r="L14237" s="31" t="str">
        <f t="shared" si="1375"/>
        <v>Lima Puluh Dua</v>
      </c>
    </row>
    <row r="14238" spans="1:12">
      <c r="J14238" s="31">
        <v>53</v>
      </c>
      <c r="K14238" s="33" t="s">
        <v>126</v>
      </c>
      <c r="L14238" s="31" t="str">
        <f t="shared" si="1375"/>
        <v>Lima Puluh Tiga</v>
      </c>
    </row>
    <row r="14239" spans="1:12">
      <c r="J14239" s="31">
        <v>54</v>
      </c>
      <c r="K14239" s="33" t="s">
        <v>127</v>
      </c>
      <c r="L14239" s="31" t="str">
        <f t="shared" si="1375"/>
        <v>Lima Puluh Empat</v>
      </c>
    </row>
    <row r="14240" spans="1:12">
      <c r="J14240" s="31">
        <v>55</v>
      </c>
      <c r="K14240" s="33" t="s">
        <v>128</v>
      </c>
      <c r="L14240" s="31" t="str">
        <f t="shared" si="1375"/>
        <v>Lima Puluh Lima</v>
      </c>
    </row>
    <row r="14241" spans="10:12">
      <c r="J14241" s="31">
        <v>56</v>
      </c>
      <c r="K14241" s="33" t="s">
        <v>129</v>
      </c>
      <c r="L14241" s="31" t="str">
        <f t="shared" si="1375"/>
        <v>Lima Puluh Enam</v>
      </c>
    </row>
    <row r="14242" spans="10:12">
      <c r="J14242" s="31">
        <v>57</v>
      </c>
      <c r="K14242" s="33" t="s">
        <v>130</v>
      </c>
      <c r="L14242" s="31" t="str">
        <f t="shared" si="1375"/>
        <v>Lima Puluh Tujuh</v>
      </c>
    </row>
    <row r="14243" spans="10:12">
      <c r="J14243" s="31">
        <v>58</v>
      </c>
      <c r="K14243" s="33" t="s">
        <v>131</v>
      </c>
      <c r="L14243" s="31" t="str">
        <f t="shared" si="1375"/>
        <v>Lima Puluh Delapan</v>
      </c>
    </row>
    <row r="14244" spans="10:12">
      <c r="J14244" s="31">
        <v>59</v>
      </c>
      <c r="K14244" s="33" t="s">
        <v>132</v>
      </c>
      <c r="L14244" s="31" t="str">
        <f t="shared" si="1375"/>
        <v>Lima Puluh Sembilan</v>
      </c>
    </row>
    <row r="14245" spans="10:12">
      <c r="J14245" s="31">
        <v>60</v>
      </c>
      <c r="K14245" s="33" t="s">
        <v>133</v>
      </c>
      <c r="L14245" s="31" t="s">
        <v>134</v>
      </c>
    </row>
    <row r="14246" spans="10:12">
      <c r="J14246" s="31">
        <v>61</v>
      </c>
      <c r="K14246" s="33" t="s">
        <v>135</v>
      </c>
      <c r="L14246" s="31" t="str">
        <f t="shared" ref="L14246:L14254" si="1376">$L$63&amp;" "&amp;L14186</f>
        <v>Enam Puluh Satu</v>
      </c>
    </row>
    <row r="14247" spans="10:12">
      <c r="J14247" s="31">
        <v>62</v>
      </c>
      <c r="K14247" s="33" t="s">
        <v>136</v>
      </c>
      <c r="L14247" s="31" t="str">
        <f t="shared" si="1376"/>
        <v>Enam Puluh Dua</v>
      </c>
    </row>
    <row r="14248" spans="10:12">
      <c r="J14248" s="31">
        <v>63</v>
      </c>
      <c r="K14248" s="33" t="s">
        <v>137</v>
      </c>
      <c r="L14248" s="31" t="str">
        <f t="shared" si="1376"/>
        <v>Enam Puluh Tiga</v>
      </c>
    </row>
    <row r="14249" spans="10:12">
      <c r="J14249" s="31">
        <v>64</v>
      </c>
      <c r="K14249" s="33" t="s">
        <v>138</v>
      </c>
      <c r="L14249" s="31" t="str">
        <f t="shared" si="1376"/>
        <v>Enam Puluh Empat</v>
      </c>
    </row>
    <row r="14250" spans="10:12">
      <c r="J14250" s="31">
        <v>65</v>
      </c>
      <c r="K14250" s="33" t="s">
        <v>139</v>
      </c>
      <c r="L14250" s="31" t="str">
        <f t="shared" si="1376"/>
        <v>Enam Puluh Lima</v>
      </c>
    </row>
    <row r="14251" spans="10:12">
      <c r="J14251" s="31">
        <v>66</v>
      </c>
      <c r="K14251" s="33" t="s">
        <v>140</v>
      </c>
      <c r="L14251" s="31" t="str">
        <f t="shared" si="1376"/>
        <v>Enam Puluh Enam</v>
      </c>
    </row>
    <row r="14252" spans="10:12">
      <c r="J14252" s="31">
        <v>67</v>
      </c>
      <c r="K14252" s="33" t="s">
        <v>141</v>
      </c>
      <c r="L14252" s="31" t="str">
        <f t="shared" si="1376"/>
        <v>Enam Puluh Tujuh</v>
      </c>
    </row>
    <row r="14253" spans="10:12">
      <c r="J14253" s="31">
        <v>68</v>
      </c>
      <c r="K14253" s="33" t="s">
        <v>142</v>
      </c>
      <c r="L14253" s="31" t="str">
        <f t="shared" si="1376"/>
        <v>Enam Puluh Delapan</v>
      </c>
    </row>
    <row r="14254" spans="10:12">
      <c r="J14254" s="31">
        <v>69</v>
      </c>
      <c r="K14254" s="33" t="s">
        <v>143</v>
      </c>
      <c r="L14254" s="31" t="str">
        <f t="shared" si="1376"/>
        <v>Enam Puluh Sembilan</v>
      </c>
    </row>
    <row r="14255" spans="10:12">
      <c r="J14255" s="31">
        <v>70</v>
      </c>
      <c r="K14255" s="33" t="s">
        <v>144</v>
      </c>
      <c r="L14255" s="31" t="s">
        <v>145</v>
      </c>
    </row>
    <row r="14256" spans="10:12">
      <c r="J14256" s="31">
        <v>71</v>
      </c>
      <c r="K14256" s="33" t="s">
        <v>146</v>
      </c>
      <c r="L14256" s="31" t="str">
        <f t="shared" ref="L14256:L14264" si="1377">$L$73&amp;" "&amp;L14186</f>
        <v>Tujuh Puluh Satu</v>
      </c>
    </row>
    <row r="14257" spans="10:12">
      <c r="J14257" s="31">
        <v>72</v>
      </c>
      <c r="K14257" s="33" t="s">
        <v>147</v>
      </c>
      <c r="L14257" s="31" t="str">
        <f t="shared" si="1377"/>
        <v>Tujuh Puluh Dua</v>
      </c>
    </row>
    <row r="14258" spans="10:12">
      <c r="J14258" s="31">
        <v>73</v>
      </c>
      <c r="K14258" s="33" t="s">
        <v>148</v>
      </c>
      <c r="L14258" s="31" t="str">
        <f t="shared" si="1377"/>
        <v>Tujuh Puluh Tiga</v>
      </c>
    </row>
    <row r="14259" spans="10:12">
      <c r="J14259" s="31">
        <v>74</v>
      </c>
      <c r="K14259" s="33" t="s">
        <v>149</v>
      </c>
      <c r="L14259" s="31" t="str">
        <f t="shared" si="1377"/>
        <v>Tujuh Puluh Empat</v>
      </c>
    </row>
    <row r="14260" spans="10:12">
      <c r="J14260" s="31">
        <v>75</v>
      </c>
      <c r="K14260" s="33" t="s">
        <v>150</v>
      </c>
      <c r="L14260" s="31" t="str">
        <f t="shared" si="1377"/>
        <v>Tujuh Puluh Lima</v>
      </c>
    </row>
    <row r="14261" spans="10:12">
      <c r="J14261" s="31">
        <v>76</v>
      </c>
      <c r="K14261" s="33" t="s">
        <v>151</v>
      </c>
      <c r="L14261" s="31" t="str">
        <f t="shared" si="1377"/>
        <v>Tujuh Puluh Enam</v>
      </c>
    </row>
    <row r="14262" spans="10:12">
      <c r="J14262" s="31">
        <v>77</v>
      </c>
      <c r="K14262" s="33" t="s">
        <v>152</v>
      </c>
      <c r="L14262" s="31" t="str">
        <f t="shared" si="1377"/>
        <v>Tujuh Puluh Tujuh</v>
      </c>
    </row>
    <row r="14263" spans="10:12">
      <c r="J14263" s="31">
        <v>78</v>
      </c>
      <c r="K14263" s="33" t="s">
        <v>153</v>
      </c>
      <c r="L14263" s="31" t="str">
        <f t="shared" si="1377"/>
        <v>Tujuh Puluh Delapan</v>
      </c>
    </row>
    <row r="14264" spans="10:12">
      <c r="J14264" s="31">
        <v>79</v>
      </c>
      <c r="K14264" s="33" t="s">
        <v>154</v>
      </c>
      <c r="L14264" s="31" t="str">
        <f t="shared" si="1377"/>
        <v>Tujuh Puluh Sembilan</v>
      </c>
    </row>
    <row r="14265" spans="10:12">
      <c r="J14265" s="31">
        <v>80</v>
      </c>
      <c r="K14265" s="33" t="s">
        <v>155</v>
      </c>
      <c r="L14265" s="31" t="s">
        <v>156</v>
      </c>
    </row>
    <row r="14266" spans="10:12">
      <c r="J14266" s="31">
        <v>81</v>
      </c>
      <c r="K14266" s="33" t="s">
        <v>157</v>
      </c>
      <c r="L14266" s="31" t="str">
        <f t="shared" ref="L14266:L14274" si="1378">$L$83&amp;" "&amp;L14186</f>
        <v>Delapan Puluh Satu</v>
      </c>
    </row>
    <row r="14267" spans="10:12">
      <c r="J14267" s="31">
        <v>82</v>
      </c>
      <c r="K14267" s="33" t="s">
        <v>158</v>
      </c>
      <c r="L14267" s="31" t="str">
        <f t="shared" si="1378"/>
        <v>Delapan Puluh Dua</v>
      </c>
    </row>
    <row r="14268" spans="10:12">
      <c r="J14268" s="31">
        <v>83</v>
      </c>
      <c r="K14268" s="33" t="s">
        <v>159</v>
      </c>
      <c r="L14268" s="31" t="str">
        <f t="shared" si="1378"/>
        <v>Delapan Puluh Tiga</v>
      </c>
    </row>
    <row r="14269" spans="10:12">
      <c r="J14269" s="31">
        <v>84</v>
      </c>
      <c r="K14269" s="33" t="s">
        <v>160</v>
      </c>
      <c r="L14269" s="31" t="str">
        <f t="shared" si="1378"/>
        <v>Delapan Puluh Empat</v>
      </c>
    </row>
    <row r="14270" spans="10:12">
      <c r="J14270" s="31">
        <v>85</v>
      </c>
      <c r="K14270" s="33" t="s">
        <v>161</v>
      </c>
      <c r="L14270" s="31" t="str">
        <f t="shared" si="1378"/>
        <v>Delapan Puluh Lima</v>
      </c>
    </row>
    <row r="14271" spans="10:12">
      <c r="J14271" s="31">
        <v>86</v>
      </c>
      <c r="K14271" s="33" t="s">
        <v>162</v>
      </c>
      <c r="L14271" s="31" t="str">
        <f t="shared" si="1378"/>
        <v>Delapan Puluh Enam</v>
      </c>
    </row>
    <row r="14272" spans="10:12">
      <c r="J14272" s="31">
        <v>87</v>
      </c>
      <c r="K14272" s="33" t="s">
        <v>163</v>
      </c>
      <c r="L14272" s="31" t="str">
        <f t="shared" si="1378"/>
        <v>Delapan Puluh Tujuh</v>
      </c>
    </row>
    <row r="14273" spans="1:12">
      <c r="J14273" s="31">
        <v>88</v>
      </c>
      <c r="K14273" s="33" t="s">
        <v>164</v>
      </c>
      <c r="L14273" s="31" t="str">
        <f t="shared" si="1378"/>
        <v>Delapan Puluh Delapan</v>
      </c>
    </row>
    <row r="14274" spans="1:12">
      <c r="J14274" s="31">
        <v>89</v>
      </c>
      <c r="K14274" s="33" t="s">
        <v>165</v>
      </c>
      <c r="L14274" s="31" t="str">
        <f t="shared" si="1378"/>
        <v>Delapan Puluh Sembilan</v>
      </c>
    </row>
    <row r="14275" spans="1:12">
      <c r="J14275" s="31">
        <v>90</v>
      </c>
      <c r="K14275" s="33" t="s">
        <v>166</v>
      </c>
      <c r="L14275" s="31" t="s">
        <v>167</v>
      </c>
    </row>
    <row r="14276" spans="1:12">
      <c r="J14276" s="31">
        <v>91</v>
      </c>
      <c r="K14276" s="33" t="s">
        <v>168</v>
      </c>
      <c r="L14276" s="31" t="str">
        <f t="shared" ref="L14276:L14284" si="1379">$L$93&amp;" "&amp;L14186</f>
        <v>Sembilan Puluh Satu</v>
      </c>
    </row>
    <row r="14277" spans="1:12">
      <c r="J14277" s="31">
        <v>92</v>
      </c>
      <c r="K14277" s="33" t="s">
        <v>169</v>
      </c>
      <c r="L14277" s="31" t="str">
        <f t="shared" si="1379"/>
        <v>Sembilan Puluh Dua</v>
      </c>
    </row>
    <row r="14278" spans="1:12">
      <c r="J14278" s="31">
        <v>93</v>
      </c>
      <c r="K14278" s="33" t="s">
        <v>170</v>
      </c>
      <c r="L14278" s="31" t="str">
        <f t="shared" si="1379"/>
        <v>Sembilan Puluh Tiga</v>
      </c>
    </row>
    <row r="14279" spans="1:12">
      <c r="J14279" s="31">
        <v>94</v>
      </c>
      <c r="K14279" s="33" t="s">
        <v>171</v>
      </c>
      <c r="L14279" s="31" t="str">
        <f t="shared" si="1379"/>
        <v>Sembilan Puluh Empat</v>
      </c>
    </row>
    <row r="14280" spans="1:12">
      <c r="J14280" s="31">
        <v>95</v>
      </c>
      <c r="K14280" s="33" t="s">
        <v>172</v>
      </c>
      <c r="L14280" s="31" t="str">
        <f t="shared" si="1379"/>
        <v>Sembilan Puluh Lima</v>
      </c>
    </row>
    <row r="14281" spans="1:12">
      <c r="J14281" s="31">
        <v>96</v>
      </c>
      <c r="K14281" s="33" t="s">
        <v>173</v>
      </c>
      <c r="L14281" s="31" t="str">
        <f t="shared" si="1379"/>
        <v>Sembilan Puluh Enam</v>
      </c>
    </row>
    <row r="14282" spans="1:12">
      <c r="J14282" s="31">
        <v>97</v>
      </c>
      <c r="K14282" s="33" t="s">
        <v>174</v>
      </c>
      <c r="L14282" s="31" t="str">
        <f t="shared" si="1379"/>
        <v>Sembilan Puluh Tujuh</v>
      </c>
    </row>
    <row r="14283" spans="1:12">
      <c r="J14283" s="31">
        <v>98</v>
      </c>
      <c r="K14283" s="33" t="s">
        <v>175</v>
      </c>
      <c r="L14283" s="31" t="str">
        <f t="shared" si="1379"/>
        <v>Sembilan Puluh Delapan</v>
      </c>
    </row>
    <row r="14284" spans="1:12">
      <c r="J14284" s="31">
        <v>99</v>
      </c>
      <c r="K14284" s="33" t="s">
        <v>176</v>
      </c>
      <c r="L14284" s="31" t="str">
        <f t="shared" si="1379"/>
        <v>Sembilan Puluh Sembilan</v>
      </c>
    </row>
    <row r="14286" spans="1:12">
      <c r="A14286" s="30" t="e">
        <f>#REF!</f>
        <v>#REF!</v>
      </c>
      <c r="C14286" s="31" t="s">
        <v>373</v>
      </c>
    </row>
    <row r="14287" spans="1:12">
      <c r="A14287" s="32"/>
    </row>
    <row r="14288" spans="1:12">
      <c r="J14288" s="31">
        <v>0</v>
      </c>
      <c r="K14288" s="33" t="s">
        <v>48</v>
      </c>
      <c r="L14288" s="31" t="s">
        <v>49</v>
      </c>
    </row>
    <row r="14289" spans="1:12">
      <c r="A14289" s="34"/>
      <c r="J14289" s="31">
        <v>1</v>
      </c>
      <c r="K14289" s="33" t="s">
        <v>50</v>
      </c>
      <c r="L14289" s="31" t="s">
        <v>51</v>
      </c>
    </row>
    <row r="14290" spans="1:12">
      <c r="A14290" s="255" t="e">
        <f>TRIM(D14298&amp;E14298&amp;D14299&amp;E14299&amp;D14300&amp;E14300&amp;D14301&amp;E14301&amp;D14302&amp;E14302&amp;D14303&amp;E14303&amp;E14304&amp;D14304&amp;" Only")</f>
        <v>#REF!</v>
      </c>
      <c r="B14290" s="255"/>
      <c r="C14290" s="255"/>
      <c r="D14290" s="255"/>
      <c r="E14290" s="35"/>
      <c r="F14290" s="36"/>
      <c r="J14290" s="31">
        <v>2</v>
      </c>
      <c r="K14290" s="33" t="s">
        <v>52</v>
      </c>
      <c r="L14290" s="31" t="s">
        <v>53</v>
      </c>
    </row>
    <row r="14291" spans="1:12">
      <c r="A14291" s="37"/>
      <c r="B14291" s="37"/>
      <c r="C14291" s="37"/>
      <c r="D14291" s="37"/>
      <c r="E14291" s="35"/>
      <c r="F14291" s="36"/>
      <c r="J14291" s="31">
        <v>3</v>
      </c>
      <c r="K14291" s="33" t="s">
        <v>54</v>
      </c>
      <c r="L14291" s="31" t="s">
        <v>55</v>
      </c>
    </row>
    <row r="14292" spans="1:12">
      <c r="A14292" s="37"/>
      <c r="B14292" s="37"/>
      <c r="C14292" s="37"/>
      <c r="D14292" s="37"/>
      <c r="J14292" s="31">
        <v>4</v>
      </c>
      <c r="K14292" s="33" t="s">
        <v>56</v>
      </c>
      <c r="L14292" s="31" t="s">
        <v>57</v>
      </c>
    </row>
    <row r="14293" spans="1:12">
      <c r="A14293" s="255" t="e">
        <f>TRIM(D14308&amp;E14308&amp;D14309&amp;E14309&amp;D14310&amp;E14310&amp;D14311&amp;E14311&amp;D14312&amp;E14312&amp;D14313&amp;E14313&amp;D14314&amp;E14314&amp;" Rupiah")</f>
        <v>#REF!</v>
      </c>
      <c r="B14293" s="255"/>
      <c r="C14293" s="255"/>
      <c r="D14293" s="255"/>
      <c r="E14293" s="35"/>
      <c r="F14293" s="36"/>
      <c r="J14293" s="31">
        <v>5</v>
      </c>
      <c r="K14293" s="33" t="s">
        <v>58</v>
      </c>
      <c r="L14293" s="31" t="s">
        <v>59</v>
      </c>
    </row>
    <row r="14294" spans="1:12">
      <c r="A14294" s="35"/>
      <c r="B14294" s="35"/>
      <c r="C14294" s="35"/>
      <c r="D14294" s="35"/>
      <c r="E14294" s="35"/>
      <c r="F14294" s="36"/>
      <c r="J14294" s="31">
        <v>6</v>
      </c>
      <c r="K14294" s="33" t="s">
        <v>60</v>
      </c>
      <c r="L14294" s="31" t="s">
        <v>61</v>
      </c>
    </row>
    <row r="14295" spans="1:12">
      <c r="J14295" s="31">
        <v>7</v>
      </c>
      <c r="K14295" s="33" t="s">
        <v>62</v>
      </c>
      <c r="L14295" s="31" t="s">
        <v>63</v>
      </c>
    </row>
    <row r="14296" spans="1:12">
      <c r="J14296" s="31">
        <v>8</v>
      </c>
      <c r="K14296" s="33" t="s">
        <v>64</v>
      </c>
      <c r="L14296" s="31" t="s">
        <v>65</v>
      </c>
    </row>
    <row r="14297" spans="1:12">
      <c r="A14297" s="38" t="s">
        <v>66</v>
      </c>
      <c r="J14297" s="31">
        <v>9</v>
      </c>
      <c r="K14297" s="33" t="s">
        <v>67</v>
      </c>
      <c r="L14297" s="31" t="s">
        <v>68</v>
      </c>
    </row>
    <row r="14298" spans="1:12">
      <c r="A14298" s="31" t="s">
        <v>69</v>
      </c>
      <c r="B14298" s="39" t="e">
        <f>TRUNC(A14286/100000000)</f>
        <v>#REF!</v>
      </c>
      <c r="C14298" s="31" t="e">
        <f>B14298*100000000</f>
        <v>#REF!</v>
      </c>
      <c r="D14298" s="31" t="e">
        <f t="shared" ref="D14298:D14304" si="1380">IF(B14298&lt;1,"",VLOOKUP(B14298,$J$3:$K$102,2))</f>
        <v>#REF!</v>
      </c>
      <c r="E14298" s="31" t="e">
        <f>IF(B14298&lt;1,"",IF(B14298&gt;1," Hundreds "," Hundred "))</f>
        <v>#REF!</v>
      </c>
      <c r="J14298" s="31">
        <v>10</v>
      </c>
      <c r="K14298" s="33" t="s">
        <v>70</v>
      </c>
      <c r="L14298" s="31" t="s">
        <v>71</v>
      </c>
    </row>
    <row r="14299" spans="1:12">
      <c r="A14299" s="31" t="s">
        <v>72</v>
      </c>
      <c r="B14299" s="39" t="e">
        <f>TRUNC((A14286-C14298)/1000000)</f>
        <v>#REF!</v>
      </c>
      <c r="C14299" s="31" t="e">
        <f>B14299*1000000</f>
        <v>#REF!</v>
      </c>
      <c r="D14299" s="31" t="e">
        <f t="shared" si="1380"/>
        <v>#REF!</v>
      </c>
      <c r="E14299" s="31" t="e">
        <f>IF(B14298+B14299=0,"",IF(B14299=1," Million "," Millions "))</f>
        <v>#REF!</v>
      </c>
      <c r="J14299" s="31">
        <v>11</v>
      </c>
      <c r="K14299" s="33" t="s">
        <v>73</v>
      </c>
      <c r="L14299" s="31" t="s">
        <v>74</v>
      </c>
    </row>
    <row r="14300" spans="1:12">
      <c r="A14300" s="31" t="s">
        <v>75</v>
      </c>
      <c r="B14300" s="39" t="e">
        <f>TRUNC((A14286-SUM(C14298:C14299))/100000)</f>
        <v>#REF!</v>
      </c>
      <c r="C14300" s="31" t="e">
        <f>B14300*100000</f>
        <v>#REF!</v>
      </c>
      <c r="D14300" s="31" t="e">
        <f t="shared" si="1380"/>
        <v>#REF!</v>
      </c>
      <c r="E14300" s="31" t="e">
        <f>IF(B14300&lt;1,"",IF(B14300&gt;1," Hundreds "," Hundred "))</f>
        <v>#REF!</v>
      </c>
      <c r="J14300" s="31">
        <v>12</v>
      </c>
      <c r="K14300" s="33" t="s">
        <v>76</v>
      </c>
      <c r="L14300" s="31" t="str">
        <f t="shared" ref="L14300:L14307" si="1381">L14290&amp;" Belas"</f>
        <v>Dua Belas</v>
      </c>
    </row>
    <row r="14301" spans="1:12">
      <c r="A14301" s="33" t="s">
        <v>77</v>
      </c>
      <c r="B14301" s="40" t="e">
        <f>TRUNC((A14286-SUM(C14298:C14300))/1000)</f>
        <v>#REF!</v>
      </c>
      <c r="C14301" s="31" t="e">
        <f>B14301*1000</f>
        <v>#REF!</v>
      </c>
      <c r="D14301" s="31" t="e">
        <f t="shared" si="1380"/>
        <v>#REF!</v>
      </c>
      <c r="E14301" s="31" t="e">
        <f>IF(B14300+B14301=0,"",IF(B14301=1," Thousand "," Thousands "))</f>
        <v>#REF!</v>
      </c>
      <c r="J14301" s="31">
        <v>13</v>
      </c>
      <c r="K14301" s="33" t="s">
        <v>78</v>
      </c>
      <c r="L14301" s="31" t="str">
        <f t="shared" si="1381"/>
        <v>Tiga Belas</v>
      </c>
    </row>
    <row r="14302" spans="1:12">
      <c r="A14302" s="33" t="s">
        <v>79</v>
      </c>
      <c r="B14302" s="40" t="e">
        <f>TRUNC((A14286-SUM(C14298:C14301))/100)</f>
        <v>#REF!</v>
      </c>
      <c r="C14302" s="31" t="e">
        <f>B14302*100</f>
        <v>#REF!</v>
      </c>
      <c r="D14302" s="31" t="e">
        <f t="shared" si="1380"/>
        <v>#REF!</v>
      </c>
      <c r="E14302" s="31" t="e">
        <f>IF(B14302&lt;1,"",IF(B14302&gt;1," Hundreds "," Hundred "))</f>
        <v>#REF!</v>
      </c>
      <c r="J14302" s="31">
        <v>14</v>
      </c>
      <c r="K14302" s="33" t="s">
        <v>80</v>
      </c>
      <c r="L14302" s="31" t="str">
        <f t="shared" si="1381"/>
        <v>Empat Belas</v>
      </c>
    </row>
    <row r="14303" spans="1:12">
      <c r="A14303" s="33" t="s">
        <v>81</v>
      </c>
      <c r="B14303" s="41" t="e">
        <f>TRUNC((A14286-SUM(C14298:C14302)))</f>
        <v>#REF!</v>
      </c>
      <c r="C14303" s="42" t="e">
        <f>B14303</f>
        <v>#REF!</v>
      </c>
      <c r="D14303" s="31" t="e">
        <f t="shared" si="1380"/>
        <v>#REF!</v>
      </c>
      <c r="E14303" s="31" t="e">
        <f>IF(SUM(C14298:C14303)&lt;1,"",IF(B14304&lt;1,""," And "))</f>
        <v>#REF!</v>
      </c>
      <c r="J14303" s="31">
        <v>15</v>
      </c>
      <c r="K14303" s="33" t="s">
        <v>82</v>
      </c>
      <c r="L14303" s="31" t="str">
        <f t="shared" si="1381"/>
        <v>Lima Belas</v>
      </c>
    </row>
    <row r="14304" spans="1:12">
      <c r="A14304" s="33" t="s">
        <v>83</v>
      </c>
      <c r="B14304" s="40" t="e">
        <f>ROUND(A14286-SUM(C14298:C14303),2)*100</f>
        <v>#REF!</v>
      </c>
      <c r="D14304" s="43" t="e">
        <f t="shared" si="1380"/>
        <v>#REF!</v>
      </c>
      <c r="E14304" s="31" t="e">
        <f>IF(B14304&lt;1,"",IF(B14304=1," Cent "," Cents "))</f>
        <v>#REF!</v>
      </c>
      <c r="J14304" s="31">
        <v>16</v>
      </c>
      <c r="K14304" s="33" t="s">
        <v>84</v>
      </c>
      <c r="L14304" s="31" t="str">
        <f t="shared" si="1381"/>
        <v>Enam Belas</v>
      </c>
    </row>
    <row r="14305" spans="1:12">
      <c r="J14305" s="31">
        <v>17</v>
      </c>
      <c r="K14305" s="33" t="s">
        <v>85</v>
      </c>
      <c r="L14305" s="31" t="str">
        <f t="shared" si="1381"/>
        <v>Tujuh Belas</v>
      </c>
    </row>
    <row r="14306" spans="1:12">
      <c r="A14306" s="44"/>
      <c r="J14306" s="31">
        <v>18</v>
      </c>
      <c r="K14306" s="33" t="s">
        <v>86</v>
      </c>
      <c r="L14306" s="31" t="str">
        <f t="shared" si="1381"/>
        <v>Delapan Belas</v>
      </c>
    </row>
    <row r="14307" spans="1:12">
      <c r="A14307" s="38" t="s">
        <v>87</v>
      </c>
      <c r="J14307" s="31">
        <v>19</v>
      </c>
      <c r="K14307" s="33" t="s">
        <v>88</v>
      </c>
      <c r="L14307" s="31" t="str">
        <f t="shared" si="1381"/>
        <v>Sembilan Belas</v>
      </c>
    </row>
    <row r="14308" spans="1:12">
      <c r="A14308" s="31" t="s">
        <v>69</v>
      </c>
      <c r="B14308" s="39" t="e">
        <f>TRUNC(A14286/100000000)</f>
        <v>#REF!</v>
      </c>
      <c r="C14308" s="31" t="e">
        <f>B14308*100000000</f>
        <v>#REF!</v>
      </c>
      <c r="D14308" s="31" t="e">
        <f>IF(B14308&lt;1,"",IF(B14308=1,"",VLOOKUP(B14308,$J$3:$L$102,3)))</f>
        <v>#REF!</v>
      </c>
      <c r="E14308" s="31" t="e">
        <f>IF(B14308&lt;1,"",IF(B14308=1,"Seratus "," Ratus "))</f>
        <v>#REF!</v>
      </c>
      <c r="J14308" s="31">
        <v>20</v>
      </c>
      <c r="K14308" s="33" t="s">
        <v>89</v>
      </c>
      <c r="L14308" s="31" t="s">
        <v>90</v>
      </c>
    </row>
    <row r="14309" spans="1:12">
      <c r="A14309" s="31" t="s">
        <v>72</v>
      </c>
      <c r="B14309" s="39" t="e">
        <f>TRUNC((A14286-C14308)/1000000)</f>
        <v>#REF!</v>
      </c>
      <c r="C14309" s="31" t="e">
        <f>B14309*1000000</f>
        <v>#REF!</v>
      </c>
      <c r="D14309" s="31" t="e">
        <f>IF(B14309&lt;1,"",VLOOKUP(B14309,$J$3:$L$102,3))</f>
        <v>#REF!</v>
      </c>
      <c r="E14309" s="31" t="e">
        <f>IF(B14308+B14309=0,""," Juta ")</f>
        <v>#REF!</v>
      </c>
      <c r="J14309" s="31">
        <v>21</v>
      </c>
      <c r="K14309" s="33" t="s">
        <v>91</v>
      </c>
      <c r="L14309" s="31" t="str">
        <f t="shared" ref="L14309:L14317" si="1382">$L$23&amp;" "&amp;L14289</f>
        <v>Dua Puluh Satu</v>
      </c>
    </row>
    <row r="14310" spans="1:12">
      <c r="A14310" s="31" t="s">
        <v>75</v>
      </c>
      <c r="B14310" s="39" t="e">
        <f>TRUNC((A14286-SUM(C14308:C14309))/100000)</f>
        <v>#REF!</v>
      </c>
      <c r="C14310" s="31" t="e">
        <f>B14310*100000</f>
        <v>#REF!</v>
      </c>
      <c r="D14310" s="31" t="e">
        <f>IF(B14310&lt;1,"",IF(B14310=1,"",VLOOKUP(B14310,$J$3:$L$102,3)))</f>
        <v>#REF!</v>
      </c>
      <c r="E14310" s="31" t="e">
        <f>IF(B14310&lt;1,"",IF(B14310=1," Seratus "," Ratus "))</f>
        <v>#REF!</v>
      </c>
      <c r="J14310" s="31">
        <v>22</v>
      </c>
      <c r="K14310" s="33" t="s">
        <v>92</v>
      </c>
      <c r="L14310" s="31" t="str">
        <f t="shared" si="1382"/>
        <v>Dua Puluh Dua</v>
      </c>
    </row>
    <row r="14311" spans="1:12">
      <c r="A14311" s="33" t="s">
        <v>77</v>
      </c>
      <c r="B14311" s="40" t="e">
        <f>TRUNC((A14286-SUM(C14308:C14310))/1000)</f>
        <v>#REF!</v>
      </c>
      <c r="C14311" s="31" t="e">
        <f>B14311*1000</f>
        <v>#REF!</v>
      </c>
      <c r="D14311" s="31" t="e">
        <f>IF(B14311&lt;1,"",IF(B14311=1,"",VLOOKUP(B14311,$J$3:$L$102,3)))</f>
        <v>#REF!</v>
      </c>
      <c r="E14311" s="31" t="e">
        <f>IF(B14310+B14311&lt;1,"",IF(B14311=1," Seribu "," Ribu "))</f>
        <v>#REF!</v>
      </c>
      <c r="J14311" s="31">
        <v>23</v>
      </c>
      <c r="K14311" s="33" t="s">
        <v>93</v>
      </c>
      <c r="L14311" s="31" t="str">
        <f t="shared" si="1382"/>
        <v>Dua Puluh Tiga</v>
      </c>
    </row>
    <row r="14312" spans="1:12">
      <c r="A14312" s="33" t="s">
        <v>79</v>
      </c>
      <c r="B14312" s="40" t="e">
        <f>TRUNC((A14286-SUM(C14308:C14311))/100)</f>
        <v>#REF!</v>
      </c>
      <c r="C14312" s="31" t="e">
        <f>B14312*100</f>
        <v>#REF!</v>
      </c>
      <c r="D14312" s="31" t="e">
        <f>IF(B14312&lt;1,"",IF(B14312=1,"",VLOOKUP(B14312,$J$3:$L$102,3)))</f>
        <v>#REF!</v>
      </c>
      <c r="E14312" s="31" t="e">
        <f>IF(B14312&lt;1,"",IF(B14312=1," Seratus "," Ratus "))</f>
        <v>#REF!</v>
      </c>
      <c r="J14312" s="31">
        <v>24</v>
      </c>
      <c r="K14312" s="33" t="s">
        <v>94</v>
      </c>
      <c r="L14312" s="31" t="str">
        <f t="shared" si="1382"/>
        <v>Dua Puluh Empat</v>
      </c>
    </row>
    <row r="14313" spans="1:12">
      <c r="A14313" s="33" t="s">
        <v>81</v>
      </c>
      <c r="B14313" s="41" t="e">
        <f>TRUNC((A14286-SUM(C14308:C14312)))</f>
        <v>#REF!</v>
      </c>
      <c r="C14313" s="42" t="e">
        <f>B14313</f>
        <v>#REF!</v>
      </c>
      <c r="D14313" s="31" t="e">
        <f>IF(B14313&lt;1,"",VLOOKUP(B14313,$J$3:$L$102,3))</f>
        <v>#REF!</v>
      </c>
      <c r="E14313" s="31" t="e">
        <f>IF(SUM(C14308:C14313)&lt;1,"",IF(B14314&lt;1,""," Dan "))</f>
        <v>#REF!</v>
      </c>
      <c r="J14313" s="31">
        <v>25</v>
      </c>
      <c r="K14313" s="33" t="s">
        <v>95</v>
      </c>
      <c r="L14313" s="31" t="str">
        <f t="shared" si="1382"/>
        <v>Dua Puluh Lima</v>
      </c>
    </row>
    <row r="14314" spans="1:12">
      <c r="A14314" s="33" t="s">
        <v>83</v>
      </c>
      <c r="B14314" s="40" t="e">
        <f>ROUND(A14286-SUM(C14308:C14313),2)*100</f>
        <v>#REF!</v>
      </c>
      <c r="D14314" s="31" t="e">
        <f>IF(B14314&lt;1,"",VLOOKUP(B14314,$J$3:$L$102,3))</f>
        <v>#REF!</v>
      </c>
      <c r="E14314" s="31" t="e">
        <f>IF(B14314&lt;1,""," Sen ")</f>
        <v>#REF!</v>
      </c>
      <c r="J14314" s="31">
        <v>26</v>
      </c>
      <c r="K14314" s="33" t="s">
        <v>96</v>
      </c>
      <c r="L14314" s="31" t="str">
        <f t="shared" si="1382"/>
        <v>Dua Puluh Enam</v>
      </c>
    </row>
    <row r="14315" spans="1:12">
      <c r="J14315" s="31">
        <v>27</v>
      </c>
      <c r="K14315" s="33" t="s">
        <v>97</v>
      </c>
      <c r="L14315" s="31" t="str">
        <f t="shared" si="1382"/>
        <v>Dua Puluh Tujuh</v>
      </c>
    </row>
    <row r="14316" spans="1:12">
      <c r="J14316" s="31">
        <v>28</v>
      </c>
      <c r="K14316" s="33" t="s">
        <v>98</v>
      </c>
      <c r="L14316" s="31" t="str">
        <f t="shared" si="1382"/>
        <v>Dua Puluh Delapan</v>
      </c>
    </row>
    <row r="14317" spans="1:12">
      <c r="J14317" s="31">
        <v>29</v>
      </c>
      <c r="K14317" s="33" t="s">
        <v>99</v>
      </c>
      <c r="L14317" s="31" t="str">
        <f t="shared" si="1382"/>
        <v>Dua Puluh Sembilan</v>
      </c>
    </row>
    <row r="14318" spans="1:12">
      <c r="J14318" s="31">
        <v>30</v>
      </c>
      <c r="K14318" s="33" t="s">
        <v>100</v>
      </c>
      <c r="L14318" s="31" t="s">
        <v>101</v>
      </c>
    </row>
    <row r="14319" spans="1:12">
      <c r="J14319" s="31">
        <v>31</v>
      </c>
      <c r="K14319" s="33" t="s">
        <v>102</v>
      </c>
      <c r="L14319" s="31" t="str">
        <f t="shared" ref="L14319:L14327" si="1383">$L$33&amp;" "&amp;L14289</f>
        <v>Tiga Puluh Satu</v>
      </c>
    </row>
    <row r="14320" spans="1:12">
      <c r="J14320" s="31">
        <v>32</v>
      </c>
      <c r="K14320" s="33" t="s">
        <v>103</v>
      </c>
      <c r="L14320" s="31" t="str">
        <f t="shared" si="1383"/>
        <v>Tiga Puluh Dua</v>
      </c>
    </row>
    <row r="14321" spans="1:12">
      <c r="J14321" s="31">
        <v>33</v>
      </c>
      <c r="K14321" s="33" t="s">
        <v>104</v>
      </c>
      <c r="L14321" s="31" t="str">
        <f t="shared" si="1383"/>
        <v>Tiga Puluh Tiga</v>
      </c>
    </row>
    <row r="14322" spans="1:12">
      <c r="J14322" s="31">
        <v>34</v>
      </c>
      <c r="K14322" s="33" t="s">
        <v>105</v>
      </c>
      <c r="L14322" s="31" t="str">
        <f t="shared" si="1383"/>
        <v>Tiga Puluh Empat</v>
      </c>
    </row>
    <row r="14323" spans="1:12">
      <c r="J14323" s="31">
        <v>35</v>
      </c>
      <c r="K14323" s="33" t="s">
        <v>106</v>
      </c>
      <c r="L14323" s="31" t="str">
        <f t="shared" si="1383"/>
        <v>Tiga Puluh Lima</v>
      </c>
    </row>
    <row r="14324" spans="1:12">
      <c r="J14324" s="31">
        <v>36</v>
      </c>
      <c r="K14324" s="33" t="s">
        <v>107</v>
      </c>
      <c r="L14324" s="31" t="str">
        <f t="shared" si="1383"/>
        <v>Tiga Puluh Enam</v>
      </c>
    </row>
    <row r="14325" spans="1:12">
      <c r="J14325" s="31">
        <v>37</v>
      </c>
      <c r="K14325" s="33" t="s">
        <v>108</v>
      </c>
      <c r="L14325" s="31" t="str">
        <f t="shared" si="1383"/>
        <v>Tiga Puluh Tujuh</v>
      </c>
    </row>
    <row r="14326" spans="1:12">
      <c r="J14326" s="31">
        <v>38</v>
      </c>
      <c r="K14326" s="33" t="s">
        <v>109</v>
      </c>
      <c r="L14326" s="31" t="str">
        <f t="shared" si="1383"/>
        <v>Tiga Puluh Delapan</v>
      </c>
    </row>
    <row r="14327" spans="1:12">
      <c r="J14327" s="31">
        <v>39</v>
      </c>
      <c r="K14327" s="33" t="s">
        <v>110</v>
      </c>
      <c r="L14327" s="31" t="str">
        <f t="shared" si="1383"/>
        <v>Tiga Puluh Sembilan</v>
      </c>
    </row>
    <row r="14328" spans="1:12">
      <c r="B14328" s="35"/>
      <c r="C14328" s="35"/>
      <c r="D14328" s="35"/>
      <c r="J14328" s="31">
        <v>40</v>
      </c>
      <c r="K14328" s="33" t="s">
        <v>111</v>
      </c>
      <c r="L14328" s="31" t="s">
        <v>112</v>
      </c>
    </row>
    <row r="14329" spans="1:12">
      <c r="A14329" s="35"/>
      <c r="B14329" s="35"/>
      <c r="C14329" s="35"/>
      <c r="D14329" s="35"/>
      <c r="J14329" s="31">
        <v>41</v>
      </c>
      <c r="K14329" s="33" t="s">
        <v>113</v>
      </c>
      <c r="L14329" s="31" t="str">
        <f t="shared" ref="L14329:L14337" si="1384">$L$43&amp;" "&amp;L14289</f>
        <v>Empat Puluh Satu</v>
      </c>
    </row>
    <row r="14330" spans="1:12">
      <c r="J14330" s="31">
        <v>42</v>
      </c>
      <c r="K14330" s="33" t="s">
        <v>114</v>
      </c>
      <c r="L14330" s="31" t="str">
        <f t="shared" si="1384"/>
        <v>Empat Puluh Dua</v>
      </c>
    </row>
    <row r="14331" spans="1:12">
      <c r="A14331" s="38"/>
      <c r="J14331" s="31">
        <v>43</v>
      </c>
      <c r="K14331" s="33" t="s">
        <v>115</v>
      </c>
      <c r="L14331" s="31" t="str">
        <f t="shared" si="1384"/>
        <v>Empat Puluh Tiga</v>
      </c>
    </row>
    <row r="14332" spans="1:12">
      <c r="J14332" s="31">
        <v>44</v>
      </c>
      <c r="K14332" s="33" t="s">
        <v>116</v>
      </c>
      <c r="L14332" s="31" t="str">
        <f t="shared" si="1384"/>
        <v>Empat Puluh Empat</v>
      </c>
    </row>
    <row r="14333" spans="1:12">
      <c r="J14333" s="31">
        <v>45</v>
      </c>
      <c r="K14333" s="33" t="s">
        <v>117</v>
      </c>
      <c r="L14333" s="31" t="str">
        <f t="shared" si="1384"/>
        <v>Empat Puluh Lima</v>
      </c>
    </row>
    <row r="14334" spans="1:12">
      <c r="J14334" s="31">
        <v>46</v>
      </c>
      <c r="K14334" s="33" t="s">
        <v>118</v>
      </c>
      <c r="L14334" s="31" t="str">
        <f t="shared" si="1384"/>
        <v>Empat Puluh Enam</v>
      </c>
    </row>
    <row r="14335" spans="1:12">
      <c r="J14335" s="31">
        <v>47</v>
      </c>
      <c r="K14335" s="33" t="s">
        <v>119</v>
      </c>
      <c r="L14335" s="31" t="str">
        <f t="shared" si="1384"/>
        <v>Empat Puluh Tujuh</v>
      </c>
    </row>
    <row r="14336" spans="1:12">
      <c r="J14336" s="31">
        <v>48</v>
      </c>
      <c r="K14336" s="33" t="s">
        <v>120</v>
      </c>
      <c r="L14336" s="31" t="str">
        <f t="shared" si="1384"/>
        <v>Empat Puluh Delapan</v>
      </c>
    </row>
    <row r="14337" spans="10:12">
      <c r="J14337" s="31">
        <v>49</v>
      </c>
      <c r="K14337" s="33" t="s">
        <v>121</v>
      </c>
      <c r="L14337" s="31" t="str">
        <f t="shared" si="1384"/>
        <v>Empat Puluh Sembilan</v>
      </c>
    </row>
    <row r="14338" spans="10:12">
      <c r="J14338" s="31">
        <v>50</v>
      </c>
      <c r="K14338" s="33" t="s">
        <v>122</v>
      </c>
      <c r="L14338" s="31" t="s">
        <v>123</v>
      </c>
    </row>
    <row r="14339" spans="10:12">
      <c r="J14339" s="31">
        <v>51</v>
      </c>
      <c r="K14339" s="33" t="s">
        <v>124</v>
      </c>
      <c r="L14339" s="31" t="str">
        <f t="shared" ref="L14339:L14347" si="1385">$L$53&amp;" "&amp;L14289</f>
        <v>Lima Puluh Satu</v>
      </c>
    </row>
    <row r="14340" spans="10:12">
      <c r="J14340" s="31">
        <v>52</v>
      </c>
      <c r="K14340" s="33" t="s">
        <v>125</v>
      </c>
      <c r="L14340" s="31" t="str">
        <f t="shared" si="1385"/>
        <v>Lima Puluh Dua</v>
      </c>
    </row>
    <row r="14341" spans="10:12">
      <c r="J14341" s="31">
        <v>53</v>
      </c>
      <c r="K14341" s="33" t="s">
        <v>126</v>
      </c>
      <c r="L14341" s="31" t="str">
        <f t="shared" si="1385"/>
        <v>Lima Puluh Tiga</v>
      </c>
    </row>
    <row r="14342" spans="10:12">
      <c r="J14342" s="31">
        <v>54</v>
      </c>
      <c r="K14342" s="33" t="s">
        <v>127</v>
      </c>
      <c r="L14342" s="31" t="str">
        <f t="shared" si="1385"/>
        <v>Lima Puluh Empat</v>
      </c>
    </row>
    <row r="14343" spans="10:12">
      <c r="J14343" s="31">
        <v>55</v>
      </c>
      <c r="K14343" s="33" t="s">
        <v>128</v>
      </c>
      <c r="L14343" s="31" t="str">
        <f t="shared" si="1385"/>
        <v>Lima Puluh Lima</v>
      </c>
    </row>
    <row r="14344" spans="10:12">
      <c r="J14344" s="31">
        <v>56</v>
      </c>
      <c r="K14344" s="33" t="s">
        <v>129</v>
      </c>
      <c r="L14344" s="31" t="str">
        <f t="shared" si="1385"/>
        <v>Lima Puluh Enam</v>
      </c>
    </row>
    <row r="14345" spans="10:12">
      <c r="J14345" s="31">
        <v>57</v>
      </c>
      <c r="K14345" s="33" t="s">
        <v>130</v>
      </c>
      <c r="L14345" s="31" t="str">
        <f t="shared" si="1385"/>
        <v>Lima Puluh Tujuh</v>
      </c>
    </row>
    <row r="14346" spans="10:12">
      <c r="J14346" s="31">
        <v>58</v>
      </c>
      <c r="K14346" s="33" t="s">
        <v>131</v>
      </c>
      <c r="L14346" s="31" t="str">
        <f t="shared" si="1385"/>
        <v>Lima Puluh Delapan</v>
      </c>
    </row>
    <row r="14347" spans="10:12">
      <c r="J14347" s="31">
        <v>59</v>
      </c>
      <c r="K14347" s="33" t="s">
        <v>132</v>
      </c>
      <c r="L14347" s="31" t="str">
        <f t="shared" si="1385"/>
        <v>Lima Puluh Sembilan</v>
      </c>
    </row>
    <row r="14348" spans="10:12">
      <c r="J14348" s="31">
        <v>60</v>
      </c>
      <c r="K14348" s="33" t="s">
        <v>133</v>
      </c>
      <c r="L14348" s="31" t="s">
        <v>134</v>
      </c>
    </row>
    <row r="14349" spans="10:12">
      <c r="J14349" s="31">
        <v>61</v>
      </c>
      <c r="K14349" s="33" t="s">
        <v>135</v>
      </c>
      <c r="L14349" s="31" t="str">
        <f t="shared" ref="L14349:L14357" si="1386">$L$63&amp;" "&amp;L14289</f>
        <v>Enam Puluh Satu</v>
      </c>
    </row>
    <row r="14350" spans="10:12">
      <c r="J14350" s="31">
        <v>62</v>
      </c>
      <c r="K14350" s="33" t="s">
        <v>136</v>
      </c>
      <c r="L14350" s="31" t="str">
        <f t="shared" si="1386"/>
        <v>Enam Puluh Dua</v>
      </c>
    </row>
    <row r="14351" spans="10:12">
      <c r="J14351" s="31">
        <v>63</v>
      </c>
      <c r="K14351" s="33" t="s">
        <v>137</v>
      </c>
      <c r="L14351" s="31" t="str">
        <f t="shared" si="1386"/>
        <v>Enam Puluh Tiga</v>
      </c>
    </row>
    <row r="14352" spans="10:12">
      <c r="J14352" s="31">
        <v>64</v>
      </c>
      <c r="K14352" s="33" t="s">
        <v>138</v>
      </c>
      <c r="L14352" s="31" t="str">
        <f t="shared" si="1386"/>
        <v>Enam Puluh Empat</v>
      </c>
    </row>
    <row r="14353" spans="10:12">
      <c r="J14353" s="31">
        <v>65</v>
      </c>
      <c r="K14353" s="33" t="s">
        <v>139</v>
      </c>
      <c r="L14353" s="31" t="str">
        <f t="shared" si="1386"/>
        <v>Enam Puluh Lima</v>
      </c>
    </row>
    <row r="14354" spans="10:12">
      <c r="J14354" s="31">
        <v>66</v>
      </c>
      <c r="K14354" s="33" t="s">
        <v>140</v>
      </c>
      <c r="L14354" s="31" t="str">
        <f t="shared" si="1386"/>
        <v>Enam Puluh Enam</v>
      </c>
    </row>
    <row r="14355" spans="10:12">
      <c r="J14355" s="31">
        <v>67</v>
      </c>
      <c r="K14355" s="33" t="s">
        <v>141</v>
      </c>
      <c r="L14355" s="31" t="str">
        <f t="shared" si="1386"/>
        <v>Enam Puluh Tujuh</v>
      </c>
    </row>
    <row r="14356" spans="10:12">
      <c r="J14356" s="31">
        <v>68</v>
      </c>
      <c r="K14356" s="33" t="s">
        <v>142</v>
      </c>
      <c r="L14356" s="31" t="str">
        <f t="shared" si="1386"/>
        <v>Enam Puluh Delapan</v>
      </c>
    </row>
    <row r="14357" spans="10:12">
      <c r="J14357" s="31">
        <v>69</v>
      </c>
      <c r="K14357" s="33" t="s">
        <v>143</v>
      </c>
      <c r="L14357" s="31" t="str">
        <f t="shared" si="1386"/>
        <v>Enam Puluh Sembilan</v>
      </c>
    </row>
    <row r="14358" spans="10:12">
      <c r="J14358" s="31">
        <v>70</v>
      </c>
      <c r="K14358" s="33" t="s">
        <v>144</v>
      </c>
      <c r="L14358" s="31" t="s">
        <v>145</v>
      </c>
    </row>
    <row r="14359" spans="10:12">
      <c r="J14359" s="31">
        <v>71</v>
      </c>
      <c r="K14359" s="33" t="s">
        <v>146</v>
      </c>
      <c r="L14359" s="31" t="str">
        <f t="shared" ref="L14359:L14367" si="1387">$L$73&amp;" "&amp;L14289</f>
        <v>Tujuh Puluh Satu</v>
      </c>
    </row>
    <row r="14360" spans="10:12">
      <c r="J14360" s="31">
        <v>72</v>
      </c>
      <c r="K14360" s="33" t="s">
        <v>147</v>
      </c>
      <c r="L14360" s="31" t="str">
        <f t="shared" si="1387"/>
        <v>Tujuh Puluh Dua</v>
      </c>
    </row>
    <row r="14361" spans="10:12">
      <c r="J14361" s="31">
        <v>73</v>
      </c>
      <c r="K14361" s="33" t="s">
        <v>148</v>
      </c>
      <c r="L14361" s="31" t="str">
        <f t="shared" si="1387"/>
        <v>Tujuh Puluh Tiga</v>
      </c>
    </row>
    <row r="14362" spans="10:12">
      <c r="J14362" s="31">
        <v>74</v>
      </c>
      <c r="K14362" s="33" t="s">
        <v>149</v>
      </c>
      <c r="L14362" s="31" t="str">
        <f t="shared" si="1387"/>
        <v>Tujuh Puluh Empat</v>
      </c>
    </row>
    <row r="14363" spans="10:12">
      <c r="J14363" s="31">
        <v>75</v>
      </c>
      <c r="K14363" s="33" t="s">
        <v>150</v>
      </c>
      <c r="L14363" s="31" t="str">
        <f t="shared" si="1387"/>
        <v>Tujuh Puluh Lima</v>
      </c>
    </row>
    <row r="14364" spans="10:12">
      <c r="J14364" s="31">
        <v>76</v>
      </c>
      <c r="K14364" s="33" t="s">
        <v>151</v>
      </c>
      <c r="L14364" s="31" t="str">
        <f t="shared" si="1387"/>
        <v>Tujuh Puluh Enam</v>
      </c>
    </row>
    <row r="14365" spans="10:12">
      <c r="J14365" s="31">
        <v>77</v>
      </c>
      <c r="K14365" s="33" t="s">
        <v>152</v>
      </c>
      <c r="L14365" s="31" t="str">
        <f t="shared" si="1387"/>
        <v>Tujuh Puluh Tujuh</v>
      </c>
    </row>
    <row r="14366" spans="10:12">
      <c r="J14366" s="31">
        <v>78</v>
      </c>
      <c r="K14366" s="33" t="s">
        <v>153</v>
      </c>
      <c r="L14366" s="31" t="str">
        <f t="shared" si="1387"/>
        <v>Tujuh Puluh Delapan</v>
      </c>
    </row>
    <row r="14367" spans="10:12">
      <c r="J14367" s="31">
        <v>79</v>
      </c>
      <c r="K14367" s="33" t="s">
        <v>154</v>
      </c>
      <c r="L14367" s="31" t="str">
        <f t="shared" si="1387"/>
        <v>Tujuh Puluh Sembilan</v>
      </c>
    </row>
    <row r="14368" spans="10:12">
      <c r="J14368" s="31">
        <v>80</v>
      </c>
      <c r="K14368" s="33" t="s">
        <v>155</v>
      </c>
      <c r="L14368" s="31" t="s">
        <v>156</v>
      </c>
    </row>
    <row r="14369" spans="10:12">
      <c r="J14369" s="31">
        <v>81</v>
      </c>
      <c r="K14369" s="33" t="s">
        <v>157</v>
      </c>
      <c r="L14369" s="31" t="str">
        <f t="shared" ref="L14369:L14377" si="1388">$L$83&amp;" "&amp;L14289</f>
        <v>Delapan Puluh Satu</v>
      </c>
    </row>
    <row r="14370" spans="10:12">
      <c r="J14370" s="31">
        <v>82</v>
      </c>
      <c r="K14370" s="33" t="s">
        <v>158</v>
      </c>
      <c r="L14370" s="31" t="str">
        <f t="shared" si="1388"/>
        <v>Delapan Puluh Dua</v>
      </c>
    </row>
    <row r="14371" spans="10:12">
      <c r="J14371" s="31">
        <v>83</v>
      </c>
      <c r="K14371" s="33" t="s">
        <v>159</v>
      </c>
      <c r="L14371" s="31" t="str">
        <f t="shared" si="1388"/>
        <v>Delapan Puluh Tiga</v>
      </c>
    </row>
    <row r="14372" spans="10:12">
      <c r="J14372" s="31">
        <v>84</v>
      </c>
      <c r="K14372" s="33" t="s">
        <v>160</v>
      </c>
      <c r="L14372" s="31" t="str">
        <f t="shared" si="1388"/>
        <v>Delapan Puluh Empat</v>
      </c>
    </row>
    <row r="14373" spans="10:12">
      <c r="J14373" s="31">
        <v>85</v>
      </c>
      <c r="K14373" s="33" t="s">
        <v>161</v>
      </c>
      <c r="L14373" s="31" t="str">
        <f t="shared" si="1388"/>
        <v>Delapan Puluh Lima</v>
      </c>
    </row>
    <row r="14374" spans="10:12">
      <c r="J14374" s="31">
        <v>86</v>
      </c>
      <c r="K14374" s="33" t="s">
        <v>162</v>
      </c>
      <c r="L14374" s="31" t="str">
        <f t="shared" si="1388"/>
        <v>Delapan Puluh Enam</v>
      </c>
    </row>
    <row r="14375" spans="10:12">
      <c r="J14375" s="31">
        <v>87</v>
      </c>
      <c r="K14375" s="33" t="s">
        <v>163</v>
      </c>
      <c r="L14375" s="31" t="str">
        <f t="shared" si="1388"/>
        <v>Delapan Puluh Tujuh</v>
      </c>
    </row>
    <row r="14376" spans="10:12">
      <c r="J14376" s="31">
        <v>88</v>
      </c>
      <c r="K14376" s="33" t="s">
        <v>164</v>
      </c>
      <c r="L14376" s="31" t="str">
        <f t="shared" si="1388"/>
        <v>Delapan Puluh Delapan</v>
      </c>
    </row>
    <row r="14377" spans="10:12">
      <c r="J14377" s="31">
        <v>89</v>
      </c>
      <c r="K14377" s="33" t="s">
        <v>165</v>
      </c>
      <c r="L14377" s="31" t="str">
        <f t="shared" si="1388"/>
        <v>Delapan Puluh Sembilan</v>
      </c>
    </row>
    <row r="14378" spans="10:12">
      <c r="J14378" s="31">
        <v>90</v>
      </c>
      <c r="K14378" s="33" t="s">
        <v>166</v>
      </c>
      <c r="L14378" s="31" t="s">
        <v>167</v>
      </c>
    </row>
    <row r="14379" spans="10:12">
      <c r="J14379" s="31">
        <v>91</v>
      </c>
      <c r="K14379" s="33" t="s">
        <v>168</v>
      </c>
      <c r="L14379" s="31" t="str">
        <f t="shared" ref="L14379:L14387" si="1389">$L$93&amp;" "&amp;L14289</f>
        <v>Sembilan Puluh Satu</v>
      </c>
    </row>
    <row r="14380" spans="10:12">
      <c r="J14380" s="31">
        <v>92</v>
      </c>
      <c r="K14380" s="33" t="s">
        <v>169</v>
      </c>
      <c r="L14380" s="31" t="str">
        <f t="shared" si="1389"/>
        <v>Sembilan Puluh Dua</v>
      </c>
    </row>
    <row r="14381" spans="10:12">
      <c r="J14381" s="31">
        <v>93</v>
      </c>
      <c r="K14381" s="33" t="s">
        <v>170</v>
      </c>
      <c r="L14381" s="31" t="str">
        <f t="shared" si="1389"/>
        <v>Sembilan Puluh Tiga</v>
      </c>
    </row>
    <row r="14382" spans="10:12">
      <c r="J14382" s="31">
        <v>94</v>
      </c>
      <c r="K14382" s="33" t="s">
        <v>171</v>
      </c>
      <c r="L14382" s="31" t="str">
        <f t="shared" si="1389"/>
        <v>Sembilan Puluh Empat</v>
      </c>
    </row>
    <row r="14383" spans="10:12">
      <c r="J14383" s="31">
        <v>95</v>
      </c>
      <c r="K14383" s="33" t="s">
        <v>172</v>
      </c>
      <c r="L14383" s="31" t="str">
        <f t="shared" si="1389"/>
        <v>Sembilan Puluh Lima</v>
      </c>
    </row>
    <row r="14384" spans="10:12">
      <c r="J14384" s="31">
        <v>96</v>
      </c>
      <c r="K14384" s="33" t="s">
        <v>173</v>
      </c>
      <c r="L14384" s="31" t="str">
        <f t="shared" si="1389"/>
        <v>Sembilan Puluh Enam</v>
      </c>
    </row>
    <row r="14385" spans="1:12">
      <c r="J14385" s="31">
        <v>97</v>
      </c>
      <c r="K14385" s="33" t="s">
        <v>174</v>
      </c>
      <c r="L14385" s="31" t="str">
        <f t="shared" si="1389"/>
        <v>Sembilan Puluh Tujuh</v>
      </c>
    </row>
    <row r="14386" spans="1:12">
      <c r="J14386" s="31">
        <v>98</v>
      </c>
      <c r="K14386" s="33" t="s">
        <v>175</v>
      </c>
      <c r="L14386" s="31" t="str">
        <f t="shared" si="1389"/>
        <v>Sembilan Puluh Delapan</v>
      </c>
    </row>
    <row r="14387" spans="1:12">
      <c r="J14387" s="31">
        <v>99</v>
      </c>
      <c r="K14387" s="33" t="s">
        <v>176</v>
      </c>
      <c r="L14387" s="31" t="str">
        <f t="shared" si="1389"/>
        <v>Sembilan Puluh Sembilan</v>
      </c>
    </row>
    <row r="14389" spans="1:12">
      <c r="A14389" s="30" t="e">
        <f>#REF!</f>
        <v>#REF!</v>
      </c>
      <c r="C14389" s="31" t="s">
        <v>374</v>
      </c>
    </row>
    <row r="14390" spans="1:12">
      <c r="A14390" s="32"/>
    </row>
    <row r="14391" spans="1:12">
      <c r="J14391" s="31">
        <v>0</v>
      </c>
      <c r="K14391" s="33" t="s">
        <v>48</v>
      </c>
      <c r="L14391" s="31" t="s">
        <v>49</v>
      </c>
    </row>
    <row r="14392" spans="1:12">
      <c r="A14392" s="34"/>
      <c r="J14392" s="31">
        <v>1</v>
      </c>
      <c r="K14392" s="33" t="s">
        <v>50</v>
      </c>
      <c r="L14392" s="31" t="s">
        <v>51</v>
      </c>
    </row>
    <row r="14393" spans="1:12">
      <c r="A14393" s="255" t="e">
        <f>TRIM(D14401&amp;E14401&amp;D14402&amp;E14402&amp;D14403&amp;E14403&amp;D14404&amp;E14404&amp;D14405&amp;E14405&amp;D14406&amp;E14406&amp;E14407&amp;D14407&amp;" Only")</f>
        <v>#REF!</v>
      </c>
      <c r="B14393" s="255"/>
      <c r="C14393" s="255"/>
      <c r="D14393" s="255"/>
      <c r="E14393" s="35"/>
      <c r="F14393" s="36"/>
      <c r="J14393" s="31">
        <v>2</v>
      </c>
      <c r="K14393" s="33" t="s">
        <v>52</v>
      </c>
      <c r="L14393" s="31" t="s">
        <v>53</v>
      </c>
    </row>
    <row r="14394" spans="1:12">
      <c r="A14394" s="37"/>
      <c r="B14394" s="37"/>
      <c r="C14394" s="37"/>
      <c r="D14394" s="37"/>
      <c r="E14394" s="35"/>
      <c r="F14394" s="36"/>
      <c r="J14394" s="31">
        <v>3</v>
      </c>
      <c r="K14394" s="33" t="s">
        <v>54</v>
      </c>
      <c r="L14394" s="31" t="s">
        <v>55</v>
      </c>
    </row>
    <row r="14395" spans="1:12">
      <c r="A14395" s="37"/>
      <c r="B14395" s="37"/>
      <c r="C14395" s="37"/>
      <c r="D14395" s="37"/>
      <c r="J14395" s="31">
        <v>4</v>
      </c>
      <c r="K14395" s="33" t="s">
        <v>56</v>
      </c>
      <c r="L14395" s="31" t="s">
        <v>57</v>
      </c>
    </row>
    <row r="14396" spans="1:12">
      <c r="A14396" s="255" t="e">
        <f>TRIM(D14411&amp;E14411&amp;D14412&amp;E14412&amp;D14413&amp;E14413&amp;D14414&amp;E14414&amp;D14415&amp;E14415&amp;D14416&amp;E14416&amp;D14417&amp;E14417&amp;" Rupiah")</f>
        <v>#REF!</v>
      </c>
      <c r="B14396" s="255"/>
      <c r="C14396" s="255"/>
      <c r="D14396" s="255"/>
      <c r="E14396" s="35"/>
      <c r="F14396" s="36"/>
      <c r="J14396" s="31">
        <v>5</v>
      </c>
      <c r="K14396" s="33" t="s">
        <v>58</v>
      </c>
      <c r="L14396" s="31" t="s">
        <v>59</v>
      </c>
    </row>
    <row r="14397" spans="1:12">
      <c r="A14397" s="35"/>
      <c r="B14397" s="35"/>
      <c r="C14397" s="35"/>
      <c r="D14397" s="35"/>
      <c r="E14397" s="35"/>
      <c r="F14397" s="36"/>
      <c r="J14397" s="31">
        <v>6</v>
      </c>
      <c r="K14397" s="33" t="s">
        <v>60</v>
      </c>
      <c r="L14397" s="31" t="s">
        <v>61</v>
      </c>
    </row>
    <row r="14398" spans="1:12">
      <c r="J14398" s="31">
        <v>7</v>
      </c>
      <c r="K14398" s="33" t="s">
        <v>62</v>
      </c>
      <c r="L14398" s="31" t="s">
        <v>63</v>
      </c>
    </row>
    <row r="14399" spans="1:12">
      <c r="J14399" s="31">
        <v>8</v>
      </c>
      <c r="K14399" s="33" t="s">
        <v>64</v>
      </c>
      <c r="L14399" s="31" t="s">
        <v>65</v>
      </c>
    </row>
    <row r="14400" spans="1:12">
      <c r="A14400" s="38" t="s">
        <v>66</v>
      </c>
      <c r="J14400" s="31">
        <v>9</v>
      </c>
      <c r="K14400" s="33" t="s">
        <v>67</v>
      </c>
      <c r="L14400" s="31" t="s">
        <v>68</v>
      </c>
    </row>
    <row r="14401" spans="1:12">
      <c r="A14401" s="31" t="s">
        <v>69</v>
      </c>
      <c r="B14401" s="39" t="e">
        <f>TRUNC(A14389/100000000)</f>
        <v>#REF!</v>
      </c>
      <c r="C14401" s="31" t="e">
        <f>B14401*100000000</f>
        <v>#REF!</v>
      </c>
      <c r="D14401" s="31" t="e">
        <f t="shared" ref="D14401:D14407" si="1390">IF(B14401&lt;1,"",VLOOKUP(B14401,$J$3:$K$102,2))</f>
        <v>#REF!</v>
      </c>
      <c r="E14401" s="31" t="e">
        <f>IF(B14401&lt;1,"",IF(B14401&gt;1," Hundreds "," Hundred "))</f>
        <v>#REF!</v>
      </c>
      <c r="J14401" s="31">
        <v>10</v>
      </c>
      <c r="K14401" s="33" t="s">
        <v>70</v>
      </c>
      <c r="L14401" s="31" t="s">
        <v>71</v>
      </c>
    </row>
    <row r="14402" spans="1:12">
      <c r="A14402" s="31" t="s">
        <v>72</v>
      </c>
      <c r="B14402" s="39" t="e">
        <f>TRUNC((A14389-C14401)/1000000)</f>
        <v>#REF!</v>
      </c>
      <c r="C14402" s="31" t="e">
        <f>B14402*1000000</f>
        <v>#REF!</v>
      </c>
      <c r="D14402" s="31" t="e">
        <f t="shared" si="1390"/>
        <v>#REF!</v>
      </c>
      <c r="E14402" s="31" t="e">
        <f>IF(B14401+B14402=0,"",IF(B14402=1," Million "," Millions "))</f>
        <v>#REF!</v>
      </c>
      <c r="J14402" s="31">
        <v>11</v>
      </c>
      <c r="K14402" s="33" t="s">
        <v>73</v>
      </c>
      <c r="L14402" s="31" t="s">
        <v>74</v>
      </c>
    </row>
    <row r="14403" spans="1:12">
      <c r="A14403" s="31" t="s">
        <v>75</v>
      </c>
      <c r="B14403" s="39" t="e">
        <f>TRUNC((A14389-SUM(C14401:C14402))/100000)</f>
        <v>#REF!</v>
      </c>
      <c r="C14403" s="31" t="e">
        <f>B14403*100000</f>
        <v>#REF!</v>
      </c>
      <c r="D14403" s="31" t="e">
        <f t="shared" si="1390"/>
        <v>#REF!</v>
      </c>
      <c r="E14403" s="31" t="e">
        <f>IF(B14403&lt;1,"",IF(B14403&gt;1," Hundreds "," Hundred "))</f>
        <v>#REF!</v>
      </c>
      <c r="J14403" s="31">
        <v>12</v>
      </c>
      <c r="K14403" s="33" t="s">
        <v>76</v>
      </c>
      <c r="L14403" s="31" t="str">
        <f t="shared" ref="L14403:L14410" si="1391">L14393&amp;" Belas"</f>
        <v>Dua Belas</v>
      </c>
    </row>
    <row r="14404" spans="1:12">
      <c r="A14404" s="33" t="s">
        <v>77</v>
      </c>
      <c r="B14404" s="40" t="e">
        <f>TRUNC((A14389-SUM(C14401:C14403))/1000)</f>
        <v>#REF!</v>
      </c>
      <c r="C14404" s="31" t="e">
        <f>B14404*1000</f>
        <v>#REF!</v>
      </c>
      <c r="D14404" s="31" t="e">
        <f t="shared" si="1390"/>
        <v>#REF!</v>
      </c>
      <c r="E14404" s="31" t="e">
        <f>IF(B14403+B14404=0,"",IF(B14404=1," Thousand "," Thousands "))</f>
        <v>#REF!</v>
      </c>
      <c r="J14404" s="31">
        <v>13</v>
      </c>
      <c r="K14404" s="33" t="s">
        <v>78</v>
      </c>
      <c r="L14404" s="31" t="str">
        <f t="shared" si="1391"/>
        <v>Tiga Belas</v>
      </c>
    </row>
    <row r="14405" spans="1:12">
      <c r="A14405" s="33" t="s">
        <v>79</v>
      </c>
      <c r="B14405" s="40" t="e">
        <f>TRUNC((A14389-SUM(C14401:C14404))/100)</f>
        <v>#REF!</v>
      </c>
      <c r="C14405" s="31" t="e">
        <f>B14405*100</f>
        <v>#REF!</v>
      </c>
      <c r="D14405" s="31" t="e">
        <f t="shared" si="1390"/>
        <v>#REF!</v>
      </c>
      <c r="E14405" s="31" t="e">
        <f>IF(B14405&lt;1,"",IF(B14405&gt;1," Hundreds "," Hundred "))</f>
        <v>#REF!</v>
      </c>
      <c r="J14405" s="31">
        <v>14</v>
      </c>
      <c r="K14405" s="33" t="s">
        <v>80</v>
      </c>
      <c r="L14405" s="31" t="str">
        <f t="shared" si="1391"/>
        <v>Empat Belas</v>
      </c>
    </row>
    <row r="14406" spans="1:12">
      <c r="A14406" s="33" t="s">
        <v>81</v>
      </c>
      <c r="B14406" s="41" t="e">
        <f>TRUNC((A14389-SUM(C14401:C14405)))</f>
        <v>#REF!</v>
      </c>
      <c r="C14406" s="42" t="e">
        <f>B14406</f>
        <v>#REF!</v>
      </c>
      <c r="D14406" s="31" t="e">
        <f t="shared" si="1390"/>
        <v>#REF!</v>
      </c>
      <c r="E14406" s="31" t="e">
        <f>IF(SUM(C14401:C14406)&lt;1,"",IF(B14407&lt;1,""," And "))</f>
        <v>#REF!</v>
      </c>
      <c r="J14406" s="31">
        <v>15</v>
      </c>
      <c r="K14406" s="33" t="s">
        <v>82</v>
      </c>
      <c r="L14406" s="31" t="str">
        <f t="shared" si="1391"/>
        <v>Lima Belas</v>
      </c>
    </row>
    <row r="14407" spans="1:12">
      <c r="A14407" s="33" t="s">
        <v>83</v>
      </c>
      <c r="B14407" s="40" t="e">
        <f>ROUND(A14389-SUM(C14401:C14406),2)*100</f>
        <v>#REF!</v>
      </c>
      <c r="D14407" s="43" t="e">
        <f t="shared" si="1390"/>
        <v>#REF!</v>
      </c>
      <c r="E14407" s="31" t="e">
        <f>IF(B14407&lt;1,"",IF(B14407=1," Cent "," Cents "))</f>
        <v>#REF!</v>
      </c>
      <c r="J14407" s="31">
        <v>16</v>
      </c>
      <c r="K14407" s="33" t="s">
        <v>84</v>
      </c>
      <c r="L14407" s="31" t="str">
        <f t="shared" si="1391"/>
        <v>Enam Belas</v>
      </c>
    </row>
    <row r="14408" spans="1:12">
      <c r="J14408" s="31">
        <v>17</v>
      </c>
      <c r="K14408" s="33" t="s">
        <v>85</v>
      </c>
      <c r="L14408" s="31" t="str">
        <f t="shared" si="1391"/>
        <v>Tujuh Belas</v>
      </c>
    </row>
    <row r="14409" spans="1:12">
      <c r="A14409" s="44"/>
      <c r="J14409" s="31">
        <v>18</v>
      </c>
      <c r="K14409" s="33" t="s">
        <v>86</v>
      </c>
      <c r="L14409" s="31" t="str">
        <f t="shared" si="1391"/>
        <v>Delapan Belas</v>
      </c>
    </row>
    <row r="14410" spans="1:12">
      <c r="A14410" s="38" t="s">
        <v>87</v>
      </c>
      <c r="J14410" s="31">
        <v>19</v>
      </c>
      <c r="K14410" s="33" t="s">
        <v>88</v>
      </c>
      <c r="L14410" s="31" t="str">
        <f t="shared" si="1391"/>
        <v>Sembilan Belas</v>
      </c>
    </row>
    <row r="14411" spans="1:12">
      <c r="A14411" s="31" t="s">
        <v>69</v>
      </c>
      <c r="B14411" s="39" t="e">
        <f>TRUNC(A14389/100000000)</f>
        <v>#REF!</v>
      </c>
      <c r="C14411" s="31" t="e">
        <f>B14411*100000000</f>
        <v>#REF!</v>
      </c>
      <c r="D14411" s="31" t="e">
        <f>IF(B14411&lt;1,"",IF(B14411=1,"",VLOOKUP(B14411,$J$3:$L$102,3)))</f>
        <v>#REF!</v>
      </c>
      <c r="E14411" s="31" t="e">
        <f>IF(B14411&lt;1,"",IF(B14411=1,"Seratus "," Ratus "))</f>
        <v>#REF!</v>
      </c>
      <c r="J14411" s="31">
        <v>20</v>
      </c>
      <c r="K14411" s="33" t="s">
        <v>89</v>
      </c>
      <c r="L14411" s="31" t="s">
        <v>90</v>
      </c>
    </row>
    <row r="14412" spans="1:12">
      <c r="A14412" s="31" t="s">
        <v>72</v>
      </c>
      <c r="B14412" s="39" t="e">
        <f>TRUNC((A14389-C14411)/1000000)</f>
        <v>#REF!</v>
      </c>
      <c r="C14412" s="31" t="e">
        <f>B14412*1000000</f>
        <v>#REF!</v>
      </c>
      <c r="D14412" s="31" t="e">
        <f>IF(B14412&lt;1,"",VLOOKUP(B14412,$J$3:$L$102,3))</f>
        <v>#REF!</v>
      </c>
      <c r="E14412" s="31" t="e">
        <f>IF(B14411+B14412=0,""," Juta ")</f>
        <v>#REF!</v>
      </c>
      <c r="J14412" s="31">
        <v>21</v>
      </c>
      <c r="K14412" s="33" t="s">
        <v>91</v>
      </c>
      <c r="L14412" s="31" t="str">
        <f t="shared" ref="L14412:L14420" si="1392">$L$23&amp;" "&amp;L14392</f>
        <v>Dua Puluh Satu</v>
      </c>
    </row>
    <row r="14413" spans="1:12">
      <c r="A14413" s="31" t="s">
        <v>75</v>
      </c>
      <c r="B14413" s="39" t="e">
        <f>TRUNC((A14389-SUM(C14411:C14412))/100000)</f>
        <v>#REF!</v>
      </c>
      <c r="C14413" s="31" t="e">
        <f>B14413*100000</f>
        <v>#REF!</v>
      </c>
      <c r="D14413" s="31" t="e">
        <f>IF(B14413&lt;1,"",IF(B14413=1,"",VLOOKUP(B14413,$J$3:$L$102,3)))</f>
        <v>#REF!</v>
      </c>
      <c r="E14413" s="31" t="e">
        <f>IF(B14413&lt;1,"",IF(B14413=1," Seratus "," Ratus "))</f>
        <v>#REF!</v>
      </c>
      <c r="J14413" s="31">
        <v>22</v>
      </c>
      <c r="K14413" s="33" t="s">
        <v>92</v>
      </c>
      <c r="L14413" s="31" t="str">
        <f t="shared" si="1392"/>
        <v>Dua Puluh Dua</v>
      </c>
    </row>
    <row r="14414" spans="1:12">
      <c r="A14414" s="33" t="s">
        <v>77</v>
      </c>
      <c r="B14414" s="40" t="e">
        <f>TRUNC((A14389-SUM(C14411:C14413))/1000)</f>
        <v>#REF!</v>
      </c>
      <c r="C14414" s="31" t="e">
        <f>B14414*1000</f>
        <v>#REF!</v>
      </c>
      <c r="D14414" s="31" t="e">
        <f>IF(B14414&lt;1,"",IF(B14414=1,"",VLOOKUP(B14414,$J$3:$L$102,3)))</f>
        <v>#REF!</v>
      </c>
      <c r="E14414" s="31" t="e">
        <f>IF(B14413+B14414&lt;1,"",IF(B14414=1," Seribu "," Ribu "))</f>
        <v>#REF!</v>
      </c>
      <c r="J14414" s="31">
        <v>23</v>
      </c>
      <c r="K14414" s="33" t="s">
        <v>93</v>
      </c>
      <c r="L14414" s="31" t="str">
        <f t="shared" si="1392"/>
        <v>Dua Puluh Tiga</v>
      </c>
    </row>
    <row r="14415" spans="1:12">
      <c r="A14415" s="33" t="s">
        <v>79</v>
      </c>
      <c r="B14415" s="40" t="e">
        <f>TRUNC((A14389-SUM(C14411:C14414))/100)</f>
        <v>#REF!</v>
      </c>
      <c r="C14415" s="31" t="e">
        <f>B14415*100</f>
        <v>#REF!</v>
      </c>
      <c r="D14415" s="31" t="e">
        <f>IF(B14415&lt;1,"",IF(B14415=1,"",VLOOKUP(B14415,$J$3:$L$102,3)))</f>
        <v>#REF!</v>
      </c>
      <c r="E14415" s="31" t="e">
        <f>IF(B14415&lt;1,"",IF(B14415=1," Seratus "," Ratus "))</f>
        <v>#REF!</v>
      </c>
      <c r="J14415" s="31">
        <v>24</v>
      </c>
      <c r="K14415" s="33" t="s">
        <v>94</v>
      </c>
      <c r="L14415" s="31" t="str">
        <f t="shared" si="1392"/>
        <v>Dua Puluh Empat</v>
      </c>
    </row>
    <row r="14416" spans="1:12">
      <c r="A14416" s="33" t="s">
        <v>81</v>
      </c>
      <c r="B14416" s="41" t="e">
        <f>TRUNC((A14389-SUM(C14411:C14415)))</f>
        <v>#REF!</v>
      </c>
      <c r="C14416" s="42" t="e">
        <f>B14416</f>
        <v>#REF!</v>
      </c>
      <c r="D14416" s="31" t="e">
        <f>IF(B14416&lt;1,"",VLOOKUP(B14416,$J$3:$L$102,3))</f>
        <v>#REF!</v>
      </c>
      <c r="E14416" s="31" t="e">
        <f>IF(SUM(C14411:C14416)&lt;1,"",IF(B14417&lt;1,""," Dan "))</f>
        <v>#REF!</v>
      </c>
      <c r="J14416" s="31">
        <v>25</v>
      </c>
      <c r="K14416" s="33" t="s">
        <v>95</v>
      </c>
      <c r="L14416" s="31" t="str">
        <f t="shared" si="1392"/>
        <v>Dua Puluh Lima</v>
      </c>
    </row>
    <row r="14417" spans="1:12">
      <c r="A14417" s="33" t="s">
        <v>83</v>
      </c>
      <c r="B14417" s="40" t="e">
        <f>ROUND(A14389-SUM(C14411:C14416),2)*100</f>
        <v>#REF!</v>
      </c>
      <c r="D14417" s="31" t="e">
        <f>IF(B14417&lt;1,"",VLOOKUP(B14417,$J$3:$L$102,3))</f>
        <v>#REF!</v>
      </c>
      <c r="E14417" s="31" t="e">
        <f>IF(B14417&lt;1,""," Sen ")</f>
        <v>#REF!</v>
      </c>
      <c r="J14417" s="31">
        <v>26</v>
      </c>
      <c r="K14417" s="33" t="s">
        <v>96</v>
      </c>
      <c r="L14417" s="31" t="str">
        <f t="shared" si="1392"/>
        <v>Dua Puluh Enam</v>
      </c>
    </row>
    <row r="14418" spans="1:12">
      <c r="J14418" s="31">
        <v>27</v>
      </c>
      <c r="K14418" s="33" t="s">
        <v>97</v>
      </c>
      <c r="L14418" s="31" t="str">
        <f t="shared" si="1392"/>
        <v>Dua Puluh Tujuh</v>
      </c>
    </row>
    <row r="14419" spans="1:12">
      <c r="J14419" s="31">
        <v>28</v>
      </c>
      <c r="K14419" s="33" t="s">
        <v>98</v>
      </c>
      <c r="L14419" s="31" t="str">
        <f t="shared" si="1392"/>
        <v>Dua Puluh Delapan</v>
      </c>
    </row>
    <row r="14420" spans="1:12">
      <c r="J14420" s="31">
        <v>29</v>
      </c>
      <c r="K14420" s="33" t="s">
        <v>99</v>
      </c>
      <c r="L14420" s="31" t="str">
        <f t="shared" si="1392"/>
        <v>Dua Puluh Sembilan</v>
      </c>
    </row>
    <row r="14421" spans="1:12">
      <c r="J14421" s="31">
        <v>30</v>
      </c>
      <c r="K14421" s="33" t="s">
        <v>100</v>
      </c>
      <c r="L14421" s="31" t="s">
        <v>101</v>
      </c>
    </row>
    <row r="14422" spans="1:12">
      <c r="J14422" s="31">
        <v>31</v>
      </c>
      <c r="K14422" s="33" t="s">
        <v>102</v>
      </c>
      <c r="L14422" s="31" t="str">
        <f t="shared" ref="L14422:L14430" si="1393">$L$33&amp;" "&amp;L14392</f>
        <v>Tiga Puluh Satu</v>
      </c>
    </row>
    <row r="14423" spans="1:12">
      <c r="J14423" s="31">
        <v>32</v>
      </c>
      <c r="K14423" s="33" t="s">
        <v>103</v>
      </c>
      <c r="L14423" s="31" t="str">
        <f t="shared" si="1393"/>
        <v>Tiga Puluh Dua</v>
      </c>
    </row>
    <row r="14424" spans="1:12">
      <c r="J14424" s="31">
        <v>33</v>
      </c>
      <c r="K14424" s="33" t="s">
        <v>104</v>
      </c>
      <c r="L14424" s="31" t="str">
        <f t="shared" si="1393"/>
        <v>Tiga Puluh Tiga</v>
      </c>
    </row>
    <row r="14425" spans="1:12">
      <c r="J14425" s="31">
        <v>34</v>
      </c>
      <c r="K14425" s="33" t="s">
        <v>105</v>
      </c>
      <c r="L14425" s="31" t="str">
        <f t="shared" si="1393"/>
        <v>Tiga Puluh Empat</v>
      </c>
    </row>
    <row r="14426" spans="1:12">
      <c r="J14426" s="31">
        <v>35</v>
      </c>
      <c r="K14426" s="33" t="s">
        <v>106</v>
      </c>
      <c r="L14426" s="31" t="str">
        <f t="shared" si="1393"/>
        <v>Tiga Puluh Lima</v>
      </c>
    </row>
    <row r="14427" spans="1:12">
      <c r="J14427" s="31">
        <v>36</v>
      </c>
      <c r="K14427" s="33" t="s">
        <v>107</v>
      </c>
      <c r="L14427" s="31" t="str">
        <f t="shared" si="1393"/>
        <v>Tiga Puluh Enam</v>
      </c>
    </row>
    <row r="14428" spans="1:12">
      <c r="J14428" s="31">
        <v>37</v>
      </c>
      <c r="K14428" s="33" t="s">
        <v>108</v>
      </c>
      <c r="L14428" s="31" t="str">
        <f t="shared" si="1393"/>
        <v>Tiga Puluh Tujuh</v>
      </c>
    </row>
    <row r="14429" spans="1:12">
      <c r="J14429" s="31">
        <v>38</v>
      </c>
      <c r="K14429" s="33" t="s">
        <v>109</v>
      </c>
      <c r="L14429" s="31" t="str">
        <f t="shared" si="1393"/>
        <v>Tiga Puluh Delapan</v>
      </c>
    </row>
    <row r="14430" spans="1:12">
      <c r="J14430" s="31">
        <v>39</v>
      </c>
      <c r="K14430" s="33" t="s">
        <v>110</v>
      </c>
      <c r="L14430" s="31" t="str">
        <f t="shared" si="1393"/>
        <v>Tiga Puluh Sembilan</v>
      </c>
    </row>
    <row r="14431" spans="1:12">
      <c r="B14431" s="35"/>
      <c r="C14431" s="35"/>
      <c r="D14431" s="35"/>
      <c r="J14431" s="31">
        <v>40</v>
      </c>
      <c r="K14431" s="33" t="s">
        <v>111</v>
      </c>
      <c r="L14431" s="31" t="s">
        <v>112</v>
      </c>
    </row>
    <row r="14432" spans="1:12">
      <c r="A14432" s="35"/>
      <c r="B14432" s="35"/>
      <c r="C14432" s="35"/>
      <c r="D14432" s="35"/>
      <c r="J14432" s="31">
        <v>41</v>
      </c>
      <c r="K14432" s="33" t="s">
        <v>113</v>
      </c>
      <c r="L14432" s="31" t="str">
        <f t="shared" ref="L14432:L14440" si="1394">$L$43&amp;" "&amp;L14392</f>
        <v>Empat Puluh Satu</v>
      </c>
    </row>
    <row r="14433" spans="1:12">
      <c r="J14433" s="31">
        <v>42</v>
      </c>
      <c r="K14433" s="33" t="s">
        <v>114</v>
      </c>
      <c r="L14433" s="31" t="str">
        <f t="shared" si="1394"/>
        <v>Empat Puluh Dua</v>
      </c>
    </row>
    <row r="14434" spans="1:12">
      <c r="A14434" s="38"/>
      <c r="J14434" s="31">
        <v>43</v>
      </c>
      <c r="K14434" s="33" t="s">
        <v>115</v>
      </c>
      <c r="L14434" s="31" t="str">
        <f t="shared" si="1394"/>
        <v>Empat Puluh Tiga</v>
      </c>
    </row>
    <row r="14435" spans="1:12">
      <c r="J14435" s="31">
        <v>44</v>
      </c>
      <c r="K14435" s="33" t="s">
        <v>116</v>
      </c>
      <c r="L14435" s="31" t="str">
        <f t="shared" si="1394"/>
        <v>Empat Puluh Empat</v>
      </c>
    </row>
    <row r="14436" spans="1:12">
      <c r="J14436" s="31">
        <v>45</v>
      </c>
      <c r="K14436" s="33" t="s">
        <v>117</v>
      </c>
      <c r="L14436" s="31" t="str">
        <f t="shared" si="1394"/>
        <v>Empat Puluh Lima</v>
      </c>
    </row>
    <row r="14437" spans="1:12">
      <c r="J14437" s="31">
        <v>46</v>
      </c>
      <c r="K14437" s="33" t="s">
        <v>118</v>
      </c>
      <c r="L14437" s="31" t="str">
        <f t="shared" si="1394"/>
        <v>Empat Puluh Enam</v>
      </c>
    </row>
    <row r="14438" spans="1:12">
      <c r="J14438" s="31">
        <v>47</v>
      </c>
      <c r="K14438" s="33" t="s">
        <v>119</v>
      </c>
      <c r="L14438" s="31" t="str">
        <f t="shared" si="1394"/>
        <v>Empat Puluh Tujuh</v>
      </c>
    </row>
    <row r="14439" spans="1:12">
      <c r="J14439" s="31">
        <v>48</v>
      </c>
      <c r="K14439" s="33" t="s">
        <v>120</v>
      </c>
      <c r="L14439" s="31" t="str">
        <f t="shared" si="1394"/>
        <v>Empat Puluh Delapan</v>
      </c>
    </row>
    <row r="14440" spans="1:12">
      <c r="J14440" s="31">
        <v>49</v>
      </c>
      <c r="K14440" s="33" t="s">
        <v>121</v>
      </c>
      <c r="L14440" s="31" t="str">
        <f t="shared" si="1394"/>
        <v>Empat Puluh Sembilan</v>
      </c>
    </row>
    <row r="14441" spans="1:12">
      <c r="J14441" s="31">
        <v>50</v>
      </c>
      <c r="K14441" s="33" t="s">
        <v>122</v>
      </c>
      <c r="L14441" s="31" t="s">
        <v>123</v>
      </c>
    </row>
    <row r="14442" spans="1:12">
      <c r="J14442" s="31">
        <v>51</v>
      </c>
      <c r="K14442" s="33" t="s">
        <v>124</v>
      </c>
      <c r="L14442" s="31" t="str">
        <f t="shared" ref="L14442:L14450" si="1395">$L$53&amp;" "&amp;L14392</f>
        <v>Lima Puluh Satu</v>
      </c>
    </row>
    <row r="14443" spans="1:12">
      <c r="J14443" s="31">
        <v>52</v>
      </c>
      <c r="K14443" s="33" t="s">
        <v>125</v>
      </c>
      <c r="L14443" s="31" t="str">
        <f t="shared" si="1395"/>
        <v>Lima Puluh Dua</v>
      </c>
    </row>
    <row r="14444" spans="1:12">
      <c r="J14444" s="31">
        <v>53</v>
      </c>
      <c r="K14444" s="33" t="s">
        <v>126</v>
      </c>
      <c r="L14444" s="31" t="str">
        <f t="shared" si="1395"/>
        <v>Lima Puluh Tiga</v>
      </c>
    </row>
    <row r="14445" spans="1:12">
      <c r="J14445" s="31">
        <v>54</v>
      </c>
      <c r="K14445" s="33" t="s">
        <v>127</v>
      </c>
      <c r="L14445" s="31" t="str">
        <f t="shared" si="1395"/>
        <v>Lima Puluh Empat</v>
      </c>
    </row>
    <row r="14446" spans="1:12">
      <c r="J14446" s="31">
        <v>55</v>
      </c>
      <c r="K14446" s="33" t="s">
        <v>128</v>
      </c>
      <c r="L14446" s="31" t="str">
        <f t="shared" si="1395"/>
        <v>Lima Puluh Lima</v>
      </c>
    </row>
    <row r="14447" spans="1:12">
      <c r="J14447" s="31">
        <v>56</v>
      </c>
      <c r="K14447" s="33" t="s">
        <v>129</v>
      </c>
      <c r="L14447" s="31" t="str">
        <f t="shared" si="1395"/>
        <v>Lima Puluh Enam</v>
      </c>
    </row>
    <row r="14448" spans="1:12">
      <c r="J14448" s="31">
        <v>57</v>
      </c>
      <c r="K14448" s="33" t="s">
        <v>130</v>
      </c>
      <c r="L14448" s="31" t="str">
        <f t="shared" si="1395"/>
        <v>Lima Puluh Tujuh</v>
      </c>
    </row>
    <row r="14449" spans="10:12">
      <c r="J14449" s="31">
        <v>58</v>
      </c>
      <c r="K14449" s="33" t="s">
        <v>131</v>
      </c>
      <c r="L14449" s="31" t="str">
        <f t="shared" si="1395"/>
        <v>Lima Puluh Delapan</v>
      </c>
    </row>
    <row r="14450" spans="10:12">
      <c r="J14450" s="31">
        <v>59</v>
      </c>
      <c r="K14450" s="33" t="s">
        <v>132</v>
      </c>
      <c r="L14450" s="31" t="str">
        <f t="shared" si="1395"/>
        <v>Lima Puluh Sembilan</v>
      </c>
    </row>
    <row r="14451" spans="10:12">
      <c r="J14451" s="31">
        <v>60</v>
      </c>
      <c r="K14451" s="33" t="s">
        <v>133</v>
      </c>
      <c r="L14451" s="31" t="s">
        <v>134</v>
      </c>
    </row>
    <row r="14452" spans="10:12">
      <c r="J14452" s="31">
        <v>61</v>
      </c>
      <c r="K14452" s="33" t="s">
        <v>135</v>
      </c>
      <c r="L14452" s="31" t="str">
        <f t="shared" ref="L14452:L14460" si="1396">$L$63&amp;" "&amp;L14392</f>
        <v>Enam Puluh Satu</v>
      </c>
    </row>
    <row r="14453" spans="10:12">
      <c r="J14453" s="31">
        <v>62</v>
      </c>
      <c r="K14453" s="33" t="s">
        <v>136</v>
      </c>
      <c r="L14453" s="31" t="str">
        <f t="shared" si="1396"/>
        <v>Enam Puluh Dua</v>
      </c>
    </row>
    <row r="14454" spans="10:12">
      <c r="J14454" s="31">
        <v>63</v>
      </c>
      <c r="K14454" s="33" t="s">
        <v>137</v>
      </c>
      <c r="L14454" s="31" t="str">
        <f t="shared" si="1396"/>
        <v>Enam Puluh Tiga</v>
      </c>
    </row>
    <row r="14455" spans="10:12">
      <c r="J14455" s="31">
        <v>64</v>
      </c>
      <c r="K14455" s="33" t="s">
        <v>138</v>
      </c>
      <c r="L14455" s="31" t="str">
        <f t="shared" si="1396"/>
        <v>Enam Puluh Empat</v>
      </c>
    </row>
    <row r="14456" spans="10:12">
      <c r="J14456" s="31">
        <v>65</v>
      </c>
      <c r="K14456" s="33" t="s">
        <v>139</v>
      </c>
      <c r="L14456" s="31" t="str">
        <f t="shared" si="1396"/>
        <v>Enam Puluh Lima</v>
      </c>
    </row>
    <row r="14457" spans="10:12">
      <c r="J14457" s="31">
        <v>66</v>
      </c>
      <c r="K14457" s="33" t="s">
        <v>140</v>
      </c>
      <c r="L14457" s="31" t="str">
        <f t="shared" si="1396"/>
        <v>Enam Puluh Enam</v>
      </c>
    </row>
    <row r="14458" spans="10:12">
      <c r="J14458" s="31">
        <v>67</v>
      </c>
      <c r="K14458" s="33" t="s">
        <v>141</v>
      </c>
      <c r="L14458" s="31" t="str">
        <f t="shared" si="1396"/>
        <v>Enam Puluh Tujuh</v>
      </c>
    </row>
    <row r="14459" spans="10:12">
      <c r="J14459" s="31">
        <v>68</v>
      </c>
      <c r="K14459" s="33" t="s">
        <v>142</v>
      </c>
      <c r="L14459" s="31" t="str">
        <f t="shared" si="1396"/>
        <v>Enam Puluh Delapan</v>
      </c>
    </row>
    <row r="14460" spans="10:12">
      <c r="J14460" s="31">
        <v>69</v>
      </c>
      <c r="K14460" s="33" t="s">
        <v>143</v>
      </c>
      <c r="L14460" s="31" t="str">
        <f t="shared" si="1396"/>
        <v>Enam Puluh Sembilan</v>
      </c>
    </row>
    <row r="14461" spans="10:12">
      <c r="J14461" s="31">
        <v>70</v>
      </c>
      <c r="K14461" s="33" t="s">
        <v>144</v>
      </c>
      <c r="L14461" s="31" t="s">
        <v>145</v>
      </c>
    </row>
    <row r="14462" spans="10:12">
      <c r="J14462" s="31">
        <v>71</v>
      </c>
      <c r="K14462" s="33" t="s">
        <v>146</v>
      </c>
      <c r="L14462" s="31" t="str">
        <f t="shared" ref="L14462:L14470" si="1397">$L$73&amp;" "&amp;L14392</f>
        <v>Tujuh Puluh Satu</v>
      </c>
    </row>
    <row r="14463" spans="10:12">
      <c r="J14463" s="31">
        <v>72</v>
      </c>
      <c r="K14463" s="33" t="s">
        <v>147</v>
      </c>
      <c r="L14463" s="31" t="str">
        <f t="shared" si="1397"/>
        <v>Tujuh Puluh Dua</v>
      </c>
    </row>
    <row r="14464" spans="10:12">
      <c r="J14464" s="31">
        <v>73</v>
      </c>
      <c r="K14464" s="33" t="s">
        <v>148</v>
      </c>
      <c r="L14464" s="31" t="str">
        <f t="shared" si="1397"/>
        <v>Tujuh Puluh Tiga</v>
      </c>
    </row>
    <row r="14465" spans="10:12">
      <c r="J14465" s="31">
        <v>74</v>
      </c>
      <c r="K14465" s="33" t="s">
        <v>149</v>
      </c>
      <c r="L14465" s="31" t="str">
        <f t="shared" si="1397"/>
        <v>Tujuh Puluh Empat</v>
      </c>
    </row>
    <row r="14466" spans="10:12">
      <c r="J14466" s="31">
        <v>75</v>
      </c>
      <c r="K14466" s="33" t="s">
        <v>150</v>
      </c>
      <c r="L14466" s="31" t="str">
        <f t="shared" si="1397"/>
        <v>Tujuh Puluh Lima</v>
      </c>
    </row>
    <row r="14467" spans="10:12">
      <c r="J14467" s="31">
        <v>76</v>
      </c>
      <c r="K14467" s="33" t="s">
        <v>151</v>
      </c>
      <c r="L14467" s="31" t="str">
        <f t="shared" si="1397"/>
        <v>Tujuh Puluh Enam</v>
      </c>
    </row>
    <row r="14468" spans="10:12">
      <c r="J14468" s="31">
        <v>77</v>
      </c>
      <c r="K14468" s="33" t="s">
        <v>152</v>
      </c>
      <c r="L14468" s="31" t="str">
        <f t="shared" si="1397"/>
        <v>Tujuh Puluh Tujuh</v>
      </c>
    </row>
    <row r="14469" spans="10:12">
      <c r="J14469" s="31">
        <v>78</v>
      </c>
      <c r="K14469" s="33" t="s">
        <v>153</v>
      </c>
      <c r="L14469" s="31" t="str">
        <f t="shared" si="1397"/>
        <v>Tujuh Puluh Delapan</v>
      </c>
    </row>
    <row r="14470" spans="10:12">
      <c r="J14470" s="31">
        <v>79</v>
      </c>
      <c r="K14470" s="33" t="s">
        <v>154</v>
      </c>
      <c r="L14470" s="31" t="str">
        <f t="shared" si="1397"/>
        <v>Tujuh Puluh Sembilan</v>
      </c>
    </row>
    <row r="14471" spans="10:12">
      <c r="J14471" s="31">
        <v>80</v>
      </c>
      <c r="K14471" s="33" t="s">
        <v>155</v>
      </c>
      <c r="L14471" s="31" t="s">
        <v>156</v>
      </c>
    </row>
    <row r="14472" spans="10:12">
      <c r="J14472" s="31">
        <v>81</v>
      </c>
      <c r="K14472" s="33" t="s">
        <v>157</v>
      </c>
      <c r="L14472" s="31" t="str">
        <f t="shared" ref="L14472:L14480" si="1398">$L$83&amp;" "&amp;L14392</f>
        <v>Delapan Puluh Satu</v>
      </c>
    </row>
    <row r="14473" spans="10:12">
      <c r="J14473" s="31">
        <v>82</v>
      </c>
      <c r="K14473" s="33" t="s">
        <v>158</v>
      </c>
      <c r="L14473" s="31" t="str">
        <f t="shared" si="1398"/>
        <v>Delapan Puluh Dua</v>
      </c>
    </row>
    <row r="14474" spans="10:12">
      <c r="J14474" s="31">
        <v>83</v>
      </c>
      <c r="K14474" s="33" t="s">
        <v>159</v>
      </c>
      <c r="L14474" s="31" t="str">
        <f t="shared" si="1398"/>
        <v>Delapan Puluh Tiga</v>
      </c>
    </row>
    <row r="14475" spans="10:12">
      <c r="J14475" s="31">
        <v>84</v>
      </c>
      <c r="K14475" s="33" t="s">
        <v>160</v>
      </c>
      <c r="L14475" s="31" t="str">
        <f t="shared" si="1398"/>
        <v>Delapan Puluh Empat</v>
      </c>
    </row>
    <row r="14476" spans="10:12">
      <c r="J14476" s="31">
        <v>85</v>
      </c>
      <c r="K14476" s="33" t="s">
        <v>161</v>
      </c>
      <c r="L14476" s="31" t="str">
        <f t="shared" si="1398"/>
        <v>Delapan Puluh Lima</v>
      </c>
    </row>
    <row r="14477" spans="10:12">
      <c r="J14477" s="31">
        <v>86</v>
      </c>
      <c r="K14477" s="33" t="s">
        <v>162</v>
      </c>
      <c r="L14477" s="31" t="str">
        <f t="shared" si="1398"/>
        <v>Delapan Puluh Enam</v>
      </c>
    </row>
    <row r="14478" spans="10:12">
      <c r="J14478" s="31">
        <v>87</v>
      </c>
      <c r="K14478" s="33" t="s">
        <v>163</v>
      </c>
      <c r="L14478" s="31" t="str">
        <f t="shared" si="1398"/>
        <v>Delapan Puluh Tujuh</v>
      </c>
    </row>
    <row r="14479" spans="10:12">
      <c r="J14479" s="31">
        <v>88</v>
      </c>
      <c r="K14479" s="33" t="s">
        <v>164</v>
      </c>
      <c r="L14479" s="31" t="str">
        <f t="shared" si="1398"/>
        <v>Delapan Puluh Delapan</v>
      </c>
    </row>
    <row r="14480" spans="10:12">
      <c r="J14480" s="31">
        <v>89</v>
      </c>
      <c r="K14480" s="33" t="s">
        <v>165</v>
      </c>
      <c r="L14480" s="31" t="str">
        <f t="shared" si="1398"/>
        <v>Delapan Puluh Sembilan</v>
      </c>
    </row>
    <row r="14481" spans="1:12">
      <c r="J14481" s="31">
        <v>90</v>
      </c>
      <c r="K14481" s="33" t="s">
        <v>166</v>
      </c>
      <c r="L14481" s="31" t="s">
        <v>167</v>
      </c>
    </row>
    <row r="14482" spans="1:12">
      <c r="J14482" s="31">
        <v>91</v>
      </c>
      <c r="K14482" s="33" t="s">
        <v>168</v>
      </c>
      <c r="L14482" s="31" t="str">
        <f t="shared" ref="L14482:L14490" si="1399">$L$93&amp;" "&amp;L14392</f>
        <v>Sembilan Puluh Satu</v>
      </c>
    </row>
    <row r="14483" spans="1:12">
      <c r="J14483" s="31">
        <v>92</v>
      </c>
      <c r="K14483" s="33" t="s">
        <v>169</v>
      </c>
      <c r="L14483" s="31" t="str">
        <f t="shared" si="1399"/>
        <v>Sembilan Puluh Dua</v>
      </c>
    </row>
    <row r="14484" spans="1:12">
      <c r="J14484" s="31">
        <v>93</v>
      </c>
      <c r="K14484" s="33" t="s">
        <v>170</v>
      </c>
      <c r="L14484" s="31" t="str">
        <f t="shared" si="1399"/>
        <v>Sembilan Puluh Tiga</v>
      </c>
    </row>
    <row r="14485" spans="1:12">
      <c r="J14485" s="31">
        <v>94</v>
      </c>
      <c r="K14485" s="33" t="s">
        <v>171</v>
      </c>
      <c r="L14485" s="31" t="str">
        <f t="shared" si="1399"/>
        <v>Sembilan Puluh Empat</v>
      </c>
    </row>
    <row r="14486" spans="1:12">
      <c r="J14486" s="31">
        <v>95</v>
      </c>
      <c r="K14486" s="33" t="s">
        <v>172</v>
      </c>
      <c r="L14486" s="31" t="str">
        <f t="shared" si="1399"/>
        <v>Sembilan Puluh Lima</v>
      </c>
    </row>
    <row r="14487" spans="1:12">
      <c r="J14487" s="31">
        <v>96</v>
      </c>
      <c r="K14487" s="33" t="s">
        <v>173</v>
      </c>
      <c r="L14487" s="31" t="str">
        <f t="shared" si="1399"/>
        <v>Sembilan Puluh Enam</v>
      </c>
    </row>
    <row r="14488" spans="1:12">
      <c r="J14488" s="31">
        <v>97</v>
      </c>
      <c r="K14488" s="33" t="s">
        <v>174</v>
      </c>
      <c r="L14488" s="31" t="str">
        <f t="shared" si="1399"/>
        <v>Sembilan Puluh Tujuh</v>
      </c>
    </row>
    <row r="14489" spans="1:12">
      <c r="J14489" s="31">
        <v>98</v>
      </c>
      <c r="K14489" s="33" t="s">
        <v>175</v>
      </c>
      <c r="L14489" s="31" t="str">
        <f t="shared" si="1399"/>
        <v>Sembilan Puluh Delapan</v>
      </c>
    </row>
    <row r="14490" spans="1:12">
      <c r="J14490" s="31">
        <v>99</v>
      </c>
      <c r="K14490" s="33" t="s">
        <v>176</v>
      </c>
      <c r="L14490" s="31" t="str">
        <f t="shared" si="1399"/>
        <v>Sembilan Puluh Sembilan</v>
      </c>
    </row>
    <row r="14492" spans="1:12">
      <c r="A14492" s="30" t="e">
        <f>#REF!</f>
        <v>#REF!</v>
      </c>
      <c r="C14492" s="31" t="s">
        <v>375</v>
      </c>
    </row>
    <row r="14493" spans="1:12">
      <c r="A14493" s="32"/>
    </row>
    <row r="14494" spans="1:12">
      <c r="J14494" s="31">
        <v>0</v>
      </c>
      <c r="K14494" s="33" t="s">
        <v>48</v>
      </c>
      <c r="L14494" s="31" t="s">
        <v>49</v>
      </c>
    </row>
    <row r="14495" spans="1:12">
      <c r="A14495" s="34"/>
      <c r="J14495" s="31">
        <v>1</v>
      </c>
      <c r="K14495" s="33" t="s">
        <v>50</v>
      </c>
      <c r="L14495" s="31" t="s">
        <v>51</v>
      </c>
    </row>
    <row r="14496" spans="1:12">
      <c r="A14496" s="255" t="e">
        <f>TRIM(D14504&amp;E14504&amp;D14505&amp;E14505&amp;D14506&amp;E14506&amp;D14507&amp;E14507&amp;D14508&amp;E14508&amp;D14509&amp;E14509&amp;E14510&amp;D14510&amp;" Only")</f>
        <v>#REF!</v>
      </c>
      <c r="B14496" s="255"/>
      <c r="C14496" s="255"/>
      <c r="D14496" s="255"/>
      <c r="E14496" s="35"/>
      <c r="F14496" s="36"/>
      <c r="J14496" s="31">
        <v>2</v>
      </c>
      <c r="K14496" s="33" t="s">
        <v>52</v>
      </c>
      <c r="L14496" s="31" t="s">
        <v>53</v>
      </c>
    </row>
    <row r="14497" spans="1:12">
      <c r="A14497" s="37"/>
      <c r="B14497" s="37"/>
      <c r="C14497" s="37"/>
      <c r="D14497" s="37"/>
      <c r="E14497" s="35"/>
      <c r="F14497" s="36"/>
      <c r="J14497" s="31">
        <v>3</v>
      </c>
      <c r="K14497" s="33" t="s">
        <v>54</v>
      </c>
      <c r="L14497" s="31" t="s">
        <v>55</v>
      </c>
    </row>
    <row r="14498" spans="1:12">
      <c r="A14498" s="37"/>
      <c r="B14498" s="37"/>
      <c r="C14498" s="37"/>
      <c r="D14498" s="37"/>
      <c r="J14498" s="31">
        <v>4</v>
      </c>
      <c r="K14498" s="33" t="s">
        <v>56</v>
      </c>
      <c r="L14498" s="31" t="s">
        <v>57</v>
      </c>
    </row>
    <row r="14499" spans="1:12">
      <c r="A14499" s="255" t="e">
        <f>TRIM(D14514&amp;E14514&amp;D14515&amp;E14515&amp;D14516&amp;E14516&amp;D14517&amp;E14517&amp;D14518&amp;E14518&amp;D14519&amp;E14519&amp;D14520&amp;E14520&amp;" Rupiah")</f>
        <v>#REF!</v>
      </c>
      <c r="B14499" s="255"/>
      <c r="C14499" s="255"/>
      <c r="D14499" s="255"/>
      <c r="E14499" s="35"/>
      <c r="F14499" s="36"/>
      <c r="J14499" s="31">
        <v>5</v>
      </c>
      <c r="K14499" s="33" t="s">
        <v>58</v>
      </c>
      <c r="L14499" s="31" t="s">
        <v>59</v>
      </c>
    </row>
    <row r="14500" spans="1:12">
      <c r="A14500" s="35"/>
      <c r="B14500" s="35"/>
      <c r="C14500" s="35"/>
      <c r="D14500" s="35"/>
      <c r="E14500" s="35"/>
      <c r="F14500" s="36"/>
      <c r="J14500" s="31">
        <v>6</v>
      </c>
      <c r="K14500" s="33" t="s">
        <v>60</v>
      </c>
      <c r="L14500" s="31" t="s">
        <v>61</v>
      </c>
    </row>
    <row r="14501" spans="1:12">
      <c r="J14501" s="31">
        <v>7</v>
      </c>
      <c r="K14501" s="33" t="s">
        <v>62</v>
      </c>
      <c r="L14501" s="31" t="s">
        <v>63</v>
      </c>
    </row>
    <row r="14502" spans="1:12">
      <c r="J14502" s="31">
        <v>8</v>
      </c>
      <c r="K14502" s="33" t="s">
        <v>64</v>
      </c>
      <c r="L14502" s="31" t="s">
        <v>65</v>
      </c>
    </row>
    <row r="14503" spans="1:12">
      <c r="A14503" s="38" t="s">
        <v>66</v>
      </c>
      <c r="J14503" s="31">
        <v>9</v>
      </c>
      <c r="K14503" s="33" t="s">
        <v>67</v>
      </c>
      <c r="L14503" s="31" t="s">
        <v>68</v>
      </c>
    </row>
    <row r="14504" spans="1:12">
      <c r="A14504" s="31" t="s">
        <v>69</v>
      </c>
      <c r="B14504" s="39" t="e">
        <f>TRUNC(A14492/100000000)</f>
        <v>#REF!</v>
      </c>
      <c r="C14504" s="31" t="e">
        <f>B14504*100000000</f>
        <v>#REF!</v>
      </c>
      <c r="D14504" s="31" t="e">
        <f t="shared" ref="D14504:D14510" si="1400">IF(B14504&lt;1,"",VLOOKUP(B14504,$J$3:$K$102,2))</f>
        <v>#REF!</v>
      </c>
      <c r="E14504" s="31" t="e">
        <f>IF(B14504&lt;1,"",IF(B14504&gt;1," Hundreds "," Hundred "))</f>
        <v>#REF!</v>
      </c>
      <c r="J14504" s="31">
        <v>10</v>
      </c>
      <c r="K14504" s="33" t="s">
        <v>70</v>
      </c>
      <c r="L14504" s="31" t="s">
        <v>71</v>
      </c>
    </row>
    <row r="14505" spans="1:12">
      <c r="A14505" s="31" t="s">
        <v>72</v>
      </c>
      <c r="B14505" s="39" t="e">
        <f>TRUNC((A14492-C14504)/1000000)</f>
        <v>#REF!</v>
      </c>
      <c r="C14505" s="31" t="e">
        <f>B14505*1000000</f>
        <v>#REF!</v>
      </c>
      <c r="D14505" s="31" t="e">
        <f t="shared" si="1400"/>
        <v>#REF!</v>
      </c>
      <c r="E14505" s="31" t="e">
        <f>IF(B14504+B14505=0,"",IF(B14505=1," Million "," Millions "))</f>
        <v>#REF!</v>
      </c>
      <c r="J14505" s="31">
        <v>11</v>
      </c>
      <c r="K14505" s="33" t="s">
        <v>73</v>
      </c>
      <c r="L14505" s="31" t="s">
        <v>74</v>
      </c>
    </row>
    <row r="14506" spans="1:12">
      <c r="A14506" s="31" t="s">
        <v>75</v>
      </c>
      <c r="B14506" s="39" t="e">
        <f>TRUNC((A14492-SUM(C14504:C14505))/100000)</f>
        <v>#REF!</v>
      </c>
      <c r="C14506" s="31" t="e">
        <f>B14506*100000</f>
        <v>#REF!</v>
      </c>
      <c r="D14506" s="31" t="e">
        <f t="shared" si="1400"/>
        <v>#REF!</v>
      </c>
      <c r="E14506" s="31" t="e">
        <f>IF(B14506&lt;1,"",IF(B14506&gt;1," Hundreds "," Hundred "))</f>
        <v>#REF!</v>
      </c>
      <c r="J14506" s="31">
        <v>12</v>
      </c>
      <c r="K14506" s="33" t="s">
        <v>76</v>
      </c>
      <c r="L14506" s="31" t="str">
        <f t="shared" ref="L14506:L14513" si="1401">L14496&amp;" Belas"</f>
        <v>Dua Belas</v>
      </c>
    </row>
    <row r="14507" spans="1:12">
      <c r="A14507" s="33" t="s">
        <v>77</v>
      </c>
      <c r="B14507" s="40" t="e">
        <f>TRUNC((A14492-SUM(C14504:C14506))/1000)</f>
        <v>#REF!</v>
      </c>
      <c r="C14507" s="31" t="e">
        <f>B14507*1000</f>
        <v>#REF!</v>
      </c>
      <c r="D14507" s="31" t="e">
        <f t="shared" si="1400"/>
        <v>#REF!</v>
      </c>
      <c r="E14507" s="31" t="e">
        <f>IF(B14506+B14507=0,"",IF(B14507=1," Thousand "," Thousands "))</f>
        <v>#REF!</v>
      </c>
      <c r="J14507" s="31">
        <v>13</v>
      </c>
      <c r="K14507" s="33" t="s">
        <v>78</v>
      </c>
      <c r="L14507" s="31" t="str">
        <f t="shared" si="1401"/>
        <v>Tiga Belas</v>
      </c>
    </row>
    <row r="14508" spans="1:12">
      <c r="A14508" s="33" t="s">
        <v>79</v>
      </c>
      <c r="B14508" s="40" t="e">
        <f>TRUNC((A14492-SUM(C14504:C14507))/100)</f>
        <v>#REF!</v>
      </c>
      <c r="C14508" s="31" t="e">
        <f>B14508*100</f>
        <v>#REF!</v>
      </c>
      <c r="D14508" s="31" t="e">
        <f t="shared" si="1400"/>
        <v>#REF!</v>
      </c>
      <c r="E14508" s="31" t="e">
        <f>IF(B14508&lt;1,"",IF(B14508&gt;1," Hundreds "," Hundred "))</f>
        <v>#REF!</v>
      </c>
      <c r="J14508" s="31">
        <v>14</v>
      </c>
      <c r="K14508" s="33" t="s">
        <v>80</v>
      </c>
      <c r="L14508" s="31" t="str">
        <f t="shared" si="1401"/>
        <v>Empat Belas</v>
      </c>
    </row>
    <row r="14509" spans="1:12">
      <c r="A14509" s="33" t="s">
        <v>81</v>
      </c>
      <c r="B14509" s="41" t="e">
        <f>TRUNC((A14492-SUM(C14504:C14508)))</f>
        <v>#REF!</v>
      </c>
      <c r="C14509" s="42" t="e">
        <f>B14509</f>
        <v>#REF!</v>
      </c>
      <c r="D14509" s="31" t="e">
        <f t="shared" si="1400"/>
        <v>#REF!</v>
      </c>
      <c r="E14509" s="31" t="e">
        <f>IF(SUM(C14504:C14509)&lt;1,"",IF(B14510&lt;1,""," And "))</f>
        <v>#REF!</v>
      </c>
      <c r="J14509" s="31">
        <v>15</v>
      </c>
      <c r="K14509" s="33" t="s">
        <v>82</v>
      </c>
      <c r="L14509" s="31" t="str">
        <f t="shared" si="1401"/>
        <v>Lima Belas</v>
      </c>
    </row>
    <row r="14510" spans="1:12">
      <c r="A14510" s="33" t="s">
        <v>83</v>
      </c>
      <c r="B14510" s="40" t="e">
        <f>ROUND(A14492-SUM(C14504:C14509),2)*100</f>
        <v>#REF!</v>
      </c>
      <c r="D14510" s="43" t="e">
        <f t="shared" si="1400"/>
        <v>#REF!</v>
      </c>
      <c r="E14510" s="31" t="e">
        <f>IF(B14510&lt;1,"",IF(B14510=1," Cent "," Cents "))</f>
        <v>#REF!</v>
      </c>
      <c r="J14510" s="31">
        <v>16</v>
      </c>
      <c r="K14510" s="33" t="s">
        <v>84</v>
      </c>
      <c r="L14510" s="31" t="str">
        <f t="shared" si="1401"/>
        <v>Enam Belas</v>
      </c>
    </row>
    <row r="14511" spans="1:12">
      <c r="J14511" s="31">
        <v>17</v>
      </c>
      <c r="K14511" s="33" t="s">
        <v>85</v>
      </c>
      <c r="L14511" s="31" t="str">
        <f t="shared" si="1401"/>
        <v>Tujuh Belas</v>
      </c>
    </row>
    <row r="14512" spans="1:12">
      <c r="A14512" s="44"/>
      <c r="J14512" s="31">
        <v>18</v>
      </c>
      <c r="K14512" s="33" t="s">
        <v>86</v>
      </c>
      <c r="L14512" s="31" t="str">
        <f t="shared" si="1401"/>
        <v>Delapan Belas</v>
      </c>
    </row>
    <row r="14513" spans="1:12">
      <c r="A14513" s="38" t="s">
        <v>87</v>
      </c>
      <c r="J14513" s="31">
        <v>19</v>
      </c>
      <c r="K14513" s="33" t="s">
        <v>88</v>
      </c>
      <c r="L14513" s="31" t="str">
        <f t="shared" si="1401"/>
        <v>Sembilan Belas</v>
      </c>
    </row>
    <row r="14514" spans="1:12">
      <c r="A14514" s="31" t="s">
        <v>69</v>
      </c>
      <c r="B14514" s="39" t="e">
        <f>TRUNC(A14492/100000000)</f>
        <v>#REF!</v>
      </c>
      <c r="C14514" s="31" t="e">
        <f>B14514*100000000</f>
        <v>#REF!</v>
      </c>
      <c r="D14514" s="31" t="e">
        <f>IF(B14514&lt;1,"",IF(B14514=1,"",VLOOKUP(B14514,$J$3:$L$102,3)))</f>
        <v>#REF!</v>
      </c>
      <c r="E14514" s="31" t="e">
        <f>IF(B14514&lt;1,"",IF(B14514=1,"Seratus "," Ratus "))</f>
        <v>#REF!</v>
      </c>
      <c r="J14514" s="31">
        <v>20</v>
      </c>
      <c r="K14514" s="33" t="s">
        <v>89</v>
      </c>
      <c r="L14514" s="31" t="s">
        <v>90</v>
      </c>
    </row>
    <row r="14515" spans="1:12">
      <c r="A14515" s="31" t="s">
        <v>72</v>
      </c>
      <c r="B14515" s="39" t="e">
        <f>TRUNC((A14492-C14514)/1000000)</f>
        <v>#REF!</v>
      </c>
      <c r="C14515" s="31" t="e">
        <f>B14515*1000000</f>
        <v>#REF!</v>
      </c>
      <c r="D14515" s="31" t="e">
        <f>IF(B14515&lt;1,"",VLOOKUP(B14515,$J$3:$L$102,3))</f>
        <v>#REF!</v>
      </c>
      <c r="E14515" s="31" t="e">
        <f>IF(B14514+B14515=0,""," Juta ")</f>
        <v>#REF!</v>
      </c>
      <c r="J14515" s="31">
        <v>21</v>
      </c>
      <c r="K14515" s="33" t="s">
        <v>91</v>
      </c>
      <c r="L14515" s="31" t="str">
        <f t="shared" ref="L14515:L14523" si="1402">$L$23&amp;" "&amp;L14495</f>
        <v>Dua Puluh Satu</v>
      </c>
    </row>
    <row r="14516" spans="1:12">
      <c r="A14516" s="31" t="s">
        <v>75</v>
      </c>
      <c r="B14516" s="39" t="e">
        <f>TRUNC((A14492-SUM(C14514:C14515))/100000)</f>
        <v>#REF!</v>
      </c>
      <c r="C14516" s="31" t="e">
        <f>B14516*100000</f>
        <v>#REF!</v>
      </c>
      <c r="D14516" s="31" t="e">
        <f>IF(B14516&lt;1,"",IF(B14516=1,"",VLOOKUP(B14516,$J$3:$L$102,3)))</f>
        <v>#REF!</v>
      </c>
      <c r="E14516" s="31" t="e">
        <f>IF(B14516&lt;1,"",IF(B14516=1," Seratus "," Ratus "))</f>
        <v>#REF!</v>
      </c>
      <c r="J14516" s="31">
        <v>22</v>
      </c>
      <c r="K14516" s="33" t="s">
        <v>92</v>
      </c>
      <c r="L14516" s="31" t="str">
        <f t="shared" si="1402"/>
        <v>Dua Puluh Dua</v>
      </c>
    </row>
    <row r="14517" spans="1:12">
      <c r="A14517" s="33" t="s">
        <v>77</v>
      </c>
      <c r="B14517" s="40" t="e">
        <f>TRUNC((A14492-SUM(C14514:C14516))/1000)</f>
        <v>#REF!</v>
      </c>
      <c r="C14517" s="31" t="e">
        <f>B14517*1000</f>
        <v>#REF!</v>
      </c>
      <c r="D14517" s="31" t="e">
        <f>IF(B14517&lt;1,"",IF(B14517=1,"",VLOOKUP(B14517,$J$3:$L$102,3)))</f>
        <v>#REF!</v>
      </c>
      <c r="E14517" s="31" t="e">
        <f>IF(B14516+B14517&lt;1,"",IF(B14517=1," Seribu "," Ribu "))</f>
        <v>#REF!</v>
      </c>
      <c r="J14517" s="31">
        <v>23</v>
      </c>
      <c r="K14517" s="33" t="s">
        <v>93</v>
      </c>
      <c r="L14517" s="31" t="str">
        <f t="shared" si="1402"/>
        <v>Dua Puluh Tiga</v>
      </c>
    </row>
    <row r="14518" spans="1:12">
      <c r="A14518" s="33" t="s">
        <v>79</v>
      </c>
      <c r="B14518" s="40" t="e">
        <f>TRUNC((A14492-SUM(C14514:C14517))/100)</f>
        <v>#REF!</v>
      </c>
      <c r="C14518" s="31" t="e">
        <f>B14518*100</f>
        <v>#REF!</v>
      </c>
      <c r="D14518" s="31" t="e">
        <f>IF(B14518&lt;1,"",IF(B14518=1,"",VLOOKUP(B14518,$J$3:$L$102,3)))</f>
        <v>#REF!</v>
      </c>
      <c r="E14518" s="31" t="e">
        <f>IF(B14518&lt;1,"",IF(B14518=1," Seratus "," Ratus "))</f>
        <v>#REF!</v>
      </c>
      <c r="J14518" s="31">
        <v>24</v>
      </c>
      <c r="K14518" s="33" t="s">
        <v>94</v>
      </c>
      <c r="L14518" s="31" t="str">
        <f t="shared" si="1402"/>
        <v>Dua Puluh Empat</v>
      </c>
    </row>
    <row r="14519" spans="1:12">
      <c r="A14519" s="33" t="s">
        <v>81</v>
      </c>
      <c r="B14519" s="41" t="e">
        <f>TRUNC((A14492-SUM(C14514:C14518)))</f>
        <v>#REF!</v>
      </c>
      <c r="C14519" s="42" t="e">
        <f>B14519</f>
        <v>#REF!</v>
      </c>
      <c r="D14519" s="31" t="e">
        <f>IF(B14519&lt;1,"",VLOOKUP(B14519,$J$3:$L$102,3))</f>
        <v>#REF!</v>
      </c>
      <c r="E14519" s="31" t="e">
        <f>IF(SUM(C14514:C14519)&lt;1,"",IF(B14520&lt;1,""," Dan "))</f>
        <v>#REF!</v>
      </c>
      <c r="J14519" s="31">
        <v>25</v>
      </c>
      <c r="K14519" s="33" t="s">
        <v>95</v>
      </c>
      <c r="L14519" s="31" t="str">
        <f t="shared" si="1402"/>
        <v>Dua Puluh Lima</v>
      </c>
    </row>
    <row r="14520" spans="1:12">
      <c r="A14520" s="33" t="s">
        <v>83</v>
      </c>
      <c r="B14520" s="40" t="e">
        <f>ROUND(A14492-SUM(C14514:C14519),2)*100</f>
        <v>#REF!</v>
      </c>
      <c r="D14520" s="31" t="e">
        <f>IF(B14520&lt;1,"",VLOOKUP(B14520,$J$3:$L$102,3))</f>
        <v>#REF!</v>
      </c>
      <c r="E14520" s="31" t="e">
        <f>IF(B14520&lt;1,""," Sen ")</f>
        <v>#REF!</v>
      </c>
      <c r="J14520" s="31">
        <v>26</v>
      </c>
      <c r="K14520" s="33" t="s">
        <v>96</v>
      </c>
      <c r="L14520" s="31" t="str">
        <f t="shared" si="1402"/>
        <v>Dua Puluh Enam</v>
      </c>
    </row>
    <row r="14521" spans="1:12">
      <c r="J14521" s="31">
        <v>27</v>
      </c>
      <c r="K14521" s="33" t="s">
        <v>97</v>
      </c>
      <c r="L14521" s="31" t="str">
        <f t="shared" si="1402"/>
        <v>Dua Puluh Tujuh</v>
      </c>
    </row>
    <row r="14522" spans="1:12">
      <c r="J14522" s="31">
        <v>28</v>
      </c>
      <c r="K14522" s="33" t="s">
        <v>98</v>
      </c>
      <c r="L14522" s="31" t="str">
        <f t="shared" si="1402"/>
        <v>Dua Puluh Delapan</v>
      </c>
    </row>
    <row r="14523" spans="1:12">
      <c r="J14523" s="31">
        <v>29</v>
      </c>
      <c r="K14523" s="33" t="s">
        <v>99</v>
      </c>
      <c r="L14523" s="31" t="str">
        <f t="shared" si="1402"/>
        <v>Dua Puluh Sembilan</v>
      </c>
    </row>
    <row r="14524" spans="1:12">
      <c r="J14524" s="31">
        <v>30</v>
      </c>
      <c r="K14524" s="33" t="s">
        <v>100</v>
      </c>
      <c r="L14524" s="31" t="s">
        <v>101</v>
      </c>
    </row>
    <row r="14525" spans="1:12">
      <c r="J14525" s="31">
        <v>31</v>
      </c>
      <c r="K14525" s="33" t="s">
        <v>102</v>
      </c>
      <c r="L14525" s="31" t="str">
        <f t="shared" ref="L14525:L14533" si="1403">$L$33&amp;" "&amp;L14495</f>
        <v>Tiga Puluh Satu</v>
      </c>
    </row>
    <row r="14526" spans="1:12">
      <c r="J14526" s="31">
        <v>32</v>
      </c>
      <c r="K14526" s="33" t="s">
        <v>103</v>
      </c>
      <c r="L14526" s="31" t="str">
        <f t="shared" si="1403"/>
        <v>Tiga Puluh Dua</v>
      </c>
    </row>
    <row r="14527" spans="1:12">
      <c r="J14527" s="31">
        <v>33</v>
      </c>
      <c r="K14527" s="33" t="s">
        <v>104</v>
      </c>
      <c r="L14527" s="31" t="str">
        <f t="shared" si="1403"/>
        <v>Tiga Puluh Tiga</v>
      </c>
    </row>
    <row r="14528" spans="1:12">
      <c r="J14528" s="31">
        <v>34</v>
      </c>
      <c r="K14528" s="33" t="s">
        <v>105</v>
      </c>
      <c r="L14528" s="31" t="str">
        <f t="shared" si="1403"/>
        <v>Tiga Puluh Empat</v>
      </c>
    </row>
    <row r="14529" spans="1:12">
      <c r="J14529" s="31">
        <v>35</v>
      </c>
      <c r="K14529" s="33" t="s">
        <v>106</v>
      </c>
      <c r="L14529" s="31" t="str">
        <f t="shared" si="1403"/>
        <v>Tiga Puluh Lima</v>
      </c>
    </row>
    <row r="14530" spans="1:12">
      <c r="J14530" s="31">
        <v>36</v>
      </c>
      <c r="K14530" s="33" t="s">
        <v>107</v>
      </c>
      <c r="L14530" s="31" t="str">
        <f t="shared" si="1403"/>
        <v>Tiga Puluh Enam</v>
      </c>
    </row>
    <row r="14531" spans="1:12">
      <c r="J14531" s="31">
        <v>37</v>
      </c>
      <c r="K14531" s="33" t="s">
        <v>108</v>
      </c>
      <c r="L14531" s="31" t="str">
        <f t="shared" si="1403"/>
        <v>Tiga Puluh Tujuh</v>
      </c>
    </row>
    <row r="14532" spans="1:12">
      <c r="J14532" s="31">
        <v>38</v>
      </c>
      <c r="K14532" s="33" t="s">
        <v>109</v>
      </c>
      <c r="L14532" s="31" t="str">
        <f t="shared" si="1403"/>
        <v>Tiga Puluh Delapan</v>
      </c>
    </row>
    <row r="14533" spans="1:12">
      <c r="J14533" s="31">
        <v>39</v>
      </c>
      <c r="K14533" s="33" t="s">
        <v>110</v>
      </c>
      <c r="L14533" s="31" t="str">
        <f t="shared" si="1403"/>
        <v>Tiga Puluh Sembilan</v>
      </c>
    </row>
    <row r="14534" spans="1:12">
      <c r="B14534" s="35"/>
      <c r="C14534" s="35"/>
      <c r="D14534" s="35"/>
      <c r="J14534" s="31">
        <v>40</v>
      </c>
      <c r="K14534" s="33" t="s">
        <v>111</v>
      </c>
      <c r="L14534" s="31" t="s">
        <v>112</v>
      </c>
    </row>
    <row r="14535" spans="1:12">
      <c r="A14535" s="35"/>
      <c r="B14535" s="35"/>
      <c r="C14535" s="35"/>
      <c r="D14535" s="35"/>
      <c r="J14535" s="31">
        <v>41</v>
      </c>
      <c r="K14535" s="33" t="s">
        <v>113</v>
      </c>
      <c r="L14535" s="31" t="str">
        <f t="shared" ref="L14535:L14543" si="1404">$L$43&amp;" "&amp;L14495</f>
        <v>Empat Puluh Satu</v>
      </c>
    </row>
    <row r="14536" spans="1:12">
      <c r="J14536" s="31">
        <v>42</v>
      </c>
      <c r="K14536" s="33" t="s">
        <v>114</v>
      </c>
      <c r="L14536" s="31" t="str">
        <f t="shared" si="1404"/>
        <v>Empat Puluh Dua</v>
      </c>
    </row>
    <row r="14537" spans="1:12">
      <c r="A14537" s="38"/>
      <c r="J14537" s="31">
        <v>43</v>
      </c>
      <c r="K14537" s="33" t="s">
        <v>115</v>
      </c>
      <c r="L14537" s="31" t="str">
        <f t="shared" si="1404"/>
        <v>Empat Puluh Tiga</v>
      </c>
    </row>
    <row r="14538" spans="1:12">
      <c r="J14538" s="31">
        <v>44</v>
      </c>
      <c r="K14538" s="33" t="s">
        <v>116</v>
      </c>
      <c r="L14538" s="31" t="str">
        <f t="shared" si="1404"/>
        <v>Empat Puluh Empat</v>
      </c>
    </row>
    <row r="14539" spans="1:12">
      <c r="J14539" s="31">
        <v>45</v>
      </c>
      <c r="K14539" s="33" t="s">
        <v>117</v>
      </c>
      <c r="L14539" s="31" t="str">
        <f t="shared" si="1404"/>
        <v>Empat Puluh Lima</v>
      </c>
    </row>
    <row r="14540" spans="1:12">
      <c r="J14540" s="31">
        <v>46</v>
      </c>
      <c r="K14540" s="33" t="s">
        <v>118</v>
      </c>
      <c r="L14540" s="31" t="str">
        <f t="shared" si="1404"/>
        <v>Empat Puluh Enam</v>
      </c>
    </row>
    <row r="14541" spans="1:12">
      <c r="J14541" s="31">
        <v>47</v>
      </c>
      <c r="K14541" s="33" t="s">
        <v>119</v>
      </c>
      <c r="L14541" s="31" t="str">
        <f t="shared" si="1404"/>
        <v>Empat Puluh Tujuh</v>
      </c>
    </row>
    <row r="14542" spans="1:12">
      <c r="J14542" s="31">
        <v>48</v>
      </c>
      <c r="K14542" s="33" t="s">
        <v>120</v>
      </c>
      <c r="L14542" s="31" t="str">
        <f t="shared" si="1404"/>
        <v>Empat Puluh Delapan</v>
      </c>
    </row>
    <row r="14543" spans="1:12">
      <c r="J14543" s="31">
        <v>49</v>
      </c>
      <c r="K14543" s="33" t="s">
        <v>121</v>
      </c>
      <c r="L14543" s="31" t="str">
        <f t="shared" si="1404"/>
        <v>Empat Puluh Sembilan</v>
      </c>
    </row>
    <row r="14544" spans="1:12">
      <c r="J14544" s="31">
        <v>50</v>
      </c>
      <c r="K14544" s="33" t="s">
        <v>122</v>
      </c>
      <c r="L14544" s="31" t="s">
        <v>123</v>
      </c>
    </row>
    <row r="14545" spans="10:12">
      <c r="J14545" s="31">
        <v>51</v>
      </c>
      <c r="K14545" s="33" t="s">
        <v>124</v>
      </c>
      <c r="L14545" s="31" t="str">
        <f t="shared" ref="L14545:L14553" si="1405">$L$53&amp;" "&amp;L14495</f>
        <v>Lima Puluh Satu</v>
      </c>
    </row>
    <row r="14546" spans="10:12">
      <c r="J14546" s="31">
        <v>52</v>
      </c>
      <c r="K14546" s="33" t="s">
        <v>125</v>
      </c>
      <c r="L14546" s="31" t="str">
        <f t="shared" si="1405"/>
        <v>Lima Puluh Dua</v>
      </c>
    </row>
    <row r="14547" spans="10:12">
      <c r="J14547" s="31">
        <v>53</v>
      </c>
      <c r="K14547" s="33" t="s">
        <v>126</v>
      </c>
      <c r="L14547" s="31" t="str">
        <f t="shared" si="1405"/>
        <v>Lima Puluh Tiga</v>
      </c>
    </row>
    <row r="14548" spans="10:12">
      <c r="J14548" s="31">
        <v>54</v>
      </c>
      <c r="K14548" s="33" t="s">
        <v>127</v>
      </c>
      <c r="L14548" s="31" t="str">
        <f t="shared" si="1405"/>
        <v>Lima Puluh Empat</v>
      </c>
    </row>
    <row r="14549" spans="10:12">
      <c r="J14549" s="31">
        <v>55</v>
      </c>
      <c r="K14549" s="33" t="s">
        <v>128</v>
      </c>
      <c r="L14549" s="31" t="str">
        <f t="shared" si="1405"/>
        <v>Lima Puluh Lima</v>
      </c>
    </row>
    <row r="14550" spans="10:12">
      <c r="J14550" s="31">
        <v>56</v>
      </c>
      <c r="K14550" s="33" t="s">
        <v>129</v>
      </c>
      <c r="L14550" s="31" t="str">
        <f t="shared" si="1405"/>
        <v>Lima Puluh Enam</v>
      </c>
    </row>
    <row r="14551" spans="10:12">
      <c r="J14551" s="31">
        <v>57</v>
      </c>
      <c r="K14551" s="33" t="s">
        <v>130</v>
      </c>
      <c r="L14551" s="31" t="str">
        <f t="shared" si="1405"/>
        <v>Lima Puluh Tujuh</v>
      </c>
    </row>
    <row r="14552" spans="10:12">
      <c r="J14552" s="31">
        <v>58</v>
      </c>
      <c r="K14552" s="33" t="s">
        <v>131</v>
      </c>
      <c r="L14552" s="31" t="str">
        <f t="shared" si="1405"/>
        <v>Lima Puluh Delapan</v>
      </c>
    </row>
    <row r="14553" spans="10:12">
      <c r="J14553" s="31">
        <v>59</v>
      </c>
      <c r="K14553" s="33" t="s">
        <v>132</v>
      </c>
      <c r="L14553" s="31" t="str">
        <f t="shared" si="1405"/>
        <v>Lima Puluh Sembilan</v>
      </c>
    </row>
    <row r="14554" spans="10:12">
      <c r="J14554" s="31">
        <v>60</v>
      </c>
      <c r="K14554" s="33" t="s">
        <v>133</v>
      </c>
      <c r="L14554" s="31" t="s">
        <v>134</v>
      </c>
    </row>
    <row r="14555" spans="10:12">
      <c r="J14555" s="31">
        <v>61</v>
      </c>
      <c r="K14555" s="33" t="s">
        <v>135</v>
      </c>
      <c r="L14555" s="31" t="str">
        <f t="shared" ref="L14555:L14563" si="1406">$L$63&amp;" "&amp;L14495</f>
        <v>Enam Puluh Satu</v>
      </c>
    </row>
    <row r="14556" spans="10:12">
      <c r="J14556" s="31">
        <v>62</v>
      </c>
      <c r="K14556" s="33" t="s">
        <v>136</v>
      </c>
      <c r="L14556" s="31" t="str">
        <f t="shared" si="1406"/>
        <v>Enam Puluh Dua</v>
      </c>
    </row>
    <row r="14557" spans="10:12">
      <c r="J14557" s="31">
        <v>63</v>
      </c>
      <c r="K14557" s="33" t="s">
        <v>137</v>
      </c>
      <c r="L14557" s="31" t="str">
        <f t="shared" si="1406"/>
        <v>Enam Puluh Tiga</v>
      </c>
    </row>
    <row r="14558" spans="10:12">
      <c r="J14558" s="31">
        <v>64</v>
      </c>
      <c r="K14558" s="33" t="s">
        <v>138</v>
      </c>
      <c r="L14558" s="31" t="str">
        <f t="shared" si="1406"/>
        <v>Enam Puluh Empat</v>
      </c>
    </row>
    <row r="14559" spans="10:12">
      <c r="J14559" s="31">
        <v>65</v>
      </c>
      <c r="K14559" s="33" t="s">
        <v>139</v>
      </c>
      <c r="L14559" s="31" t="str">
        <f t="shared" si="1406"/>
        <v>Enam Puluh Lima</v>
      </c>
    </row>
    <row r="14560" spans="10:12">
      <c r="J14560" s="31">
        <v>66</v>
      </c>
      <c r="K14560" s="33" t="s">
        <v>140</v>
      </c>
      <c r="L14560" s="31" t="str">
        <f t="shared" si="1406"/>
        <v>Enam Puluh Enam</v>
      </c>
    </row>
    <row r="14561" spans="10:12">
      <c r="J14561" s="31">
        <v>67</v>
      </c>
      <c r="K14561" s="33" t="s">
        <v>141</v>
      </c>
      <c r="L14561" s="31" t="str">
        <f t="shared" si="1406"/>
        <v>Enam Puluh Tujuh</v>
      </c>
    </row>
    <row r="14562" spans="10:12">
      <c r="J14562" s="31">
        <v>68</v>
      </c>
      <c r="K14562" s="33" t="s">
        <v>142</v>
      </c>
      <c r="L14562" s="31" t="str">
        <f t="shared" si="1406"/>
        <v>Enam Puluh Delapan</v>
      </c>
    </row>
    <row r="14563" spans="10:12">
      <c r="J14563" s="31">
        <v>69</v>
      </c>
      <c r="K14563" s="33" t="s">
        <v>143</v>
      </c>
      <c r="L14563" s="31" t="str">
        <f t="shared" si="1406"/>
        <v>Enam Puluh Sembilan</v>
      </c>
    </row>
    <row r="14564" spans="10:12">
      <c r="J14564" s="31">
        <v>70</v>
      </c>
      <c r="K14564" s="33" t="s">
        <v>144</v>
      </c>
      <c r="L14564" s="31" t="s">
        <v>145</v>
      </c>
    </row>
    <row r="14565" spans="10:12">
      <c r="J14565" s="31">
        <v>71</v>
      </c>
      <c r="K14565" s="33" t="s">
        <v>146</v>
      </c>
      <c r="L14565" s="31" t="str">
        <f t="shared" ref="L14565:L14573" si="1407">$L$73&amp;" "&amp;L14495</f>
        <v>Tujuh Puluh Satu</v>
      </c>
    </row>
    <row r="14566" spans="10:12">
      <c r="J14566" s="31">
        <v>72</v>
      </c>
      <c r="K14566" s="33" t="s">
        <v>147</v>
      </c>
      <c r="L14566" s="31" t="str">
        <f t="shared" si="1407"/>
        <v>Tujuh Puluh Dua</v>
      </c>
    </row>
    <row r="14567" spans="10:12">
      <c r="J14567" s="31">
        <v>73</v>
      </c>
      <c r="K14567" s="33" t="s">
        <v>148</v>
      </c>
      <c r="L14567" s="31" t="str">
        <f t="shared" si="1407"/>
        <v>Tujuh Puluh Tiga</v>
      </c>
    </row>
    <row r="14568" spans="10:12">
      <c r="J14568" s="31">
        <v>74</v>
      </c>
      <c r="K14568" s="33" t="s">
        <v>149</v>
      </c>
      <c r="L14568" s="31" t="str">
        <f t="shared" si="1407"/>
        <v>Tujuh Puluh Empat</v>
      </c>
    </row>
    <row r="14569" spans="10:12">
      <c r="J14569" s="31">
        <v>75</v>
      </c>
      <c r="K14569" s="33" t="s">
        <v>150</v>
      </c>
      <c r="L14569" s="31" t="str">
        <f t="shared" si="1407"/>
        <v>Tujuh Puluh Lima</v>
      </c>
    </row>
    <row r="14570" spans="10:12">
      <c r="J14570" s="31">
        <v>76</v>
      </c>
      <c r="K14570" s="33" t="s">
        <v>151</v>
      </c>
      <c r="L14570" s="31" t="str">
        <f t="shared" si="1407"/>
        <v>Tujuh Puluh Enam</v>
      </c>
    </row>
    <row r="14571" spans="10:12">
      <c r="J14571" s="31">
        <v>77</v>
      </c>
      <c r="K14571" s="33" t="s">
        <v>152</v>
      </c>
      <c r="L14571" s="31" t="str">
        <f t="shared" si="1407"/>
        <v>Tujuh Puluh Tujuh</v>
      </c>
    </row>
    <row r="14572" spans="10:12">
      <c r="J14572" s="31">
        <v>78</v>
      </c>
      <c r="K14572" s="33" t="s">
        <v>153</v>
      </c>
      <c r="L14572" s="31" t="str">
        <f t="shared" si="1407"/>
        <v>Tujuh Puluh Delapan</v>
      </c>
    </row>
    <row r="14573" spans="10:12">
      <c r="J14573" s="31">
        <v>79</v>
      </c>
      <c r="K14573" s="33" t="s">
        <v>154</v>
      </c>
      <c r="L14573" s="31" t="str">
        <f t="shared" si="1407"/>
        <v>Tujuh Puluh Sembilan</v>
      </c>
    </row>
    <row r="14574" spans="10:12">
      <c r="J14574" s="31">
        <v>80</v>
      </c>
      <c r="K14574" s="33" t="s">
        <v>155</v>
      </c>
      <c r="L14574" s="31" t="s">
        <v>156</v>
      </c>
    </row>
    <row r="14575" spans="10:12">
      <c r="J14575" s="31">
        <v>81</v>
      </c>
      <c r="K14575" s="33" t="s">
        <v>157</v>
      </c>
      <c r="L14575" s="31" t="str">
        <f t="shared" ref="L14575:L14583" si="1408">$L$83&amp;" "&amp;L14495</f>
        <v>Delapan Puluh Satu</v>
      </c>
    </row>
    <row r="14576" spans="10:12">
      <c r="J14576" s="31">
        <v>82</v>
      </c>
      <c r="K14576" s="33" t="s">
        <v>158</v>
      </c>
      <c r="L14576" s="31" t="str">
        <f t="shared" si="1408"/>
        <v>Delapan Puluh Dua</v>
      </c>
    </row>
    <row r="14577" spans="10:12">
      <c r="J14577" s="31">
        <v>83</v>
      </c>
      <c r="K14577" s="33" t="s">
        <v>159</v>
      </c>
      <c r="L14577" s="31" t="str">
        <f t="shared" si="1408"/>
        <v>Delapan Puluh Tiga</v>
      </c>
    </row>
    <row r="14578" spans="10:12">
      <c r="J14578" s="31">
        <v>84</v>
      </c>
      <c r="K14578" s="33" t="s">
        <v>160</v>
      </c>
      <c r="L14578" s="31" t="str">
        <f t="shared" si="1408"/>
        <v>Delapan Puluh Empat</v>
      </c>
    </row>
    <row r="14579" spans="10:12">
      <c r="J14579" s="31">
        <v>85</v>
      </c>
      <c r="K14579" s="33" t="s">
        <v>161</v>
      </c>
      <c r="L14579" s="31" t="str">
        <f t="shared" si="1408"/>
        <v>Delapan Puluh Lima</v>
      </c>
    </row>
    <row r="14580" spans="10:12">
      <c r="J14580" s="31">
        <v>86</v>
      </c>
      <c r="K14580" s="33" t="s">
        <v>162</v>
      </c>
      <c r="L14580" s="31" t="str">
        <f t="shared" si="1408"/>
        <v>Delapan Puluh Enam</v>
      </c>
    </row>
    <row r="14581" spans="10:12">
      <c r="J14581" s="31">
        <v>87</v>
      </c>
      <c r="K14581" s="33" t="s">
        <v>163</v>
      </c>
      <c r="L14581" s="31" t="str">
        <f t="shared" si="1408"/>
        <v>Delapan Puluh Tujuh</v>
      </c>
    </row>
    <row r="14582" spans="10:12">
      <c r="J14582" s="31">
        <v>88</v>
      </c>
      <c r="K14582" s="33" t="s">
        <v>164</v>
      </c>
      <c r="L14582" s="31" t="str">
        <f t="shared" si="1408"/>
        <v>Delapan Puluh Delapan</v>
      </c>
    </row>
    <row r="14583" spans="10:12">
      <c r="J14583" s="31">
        <v>89</v>
      </c>
      <c r="K14583" s="33" t="s">
        <v>165</v>
      </c>
      <c r="L14583" s="31" t="str">
        <f t="shared" si="1408"/>
        <v>Delapan Puluh Sembilan</v>
      </c>
    </row>
    <row r="14584" spans="10:12">
      <c r="J14584" s="31">
        <v>90</v>
      </c>
      <c r="K14584" s="33" t="s">
        <v>166</v>
      </c>
      <c r="L14584" s="31" t="s">
        <v>167</v>
      </c>
    </row>
    <row r="14585" spans="10:12">
      <c r="J14585" s="31">
        <v>91</v>
      </c>
      <c r="K14585" s="33" t="s">
        <v>168</v>
      </c>
      <c r="L14585" s="31" t="str">
        <f t="shared" ref="L14585:L14593" si="1409">$L$93&amp;" "&amp;L14495</f>
        <v>Sembilan Puluh Satu</v>
      </c>
    </row>
    <row r="14586" spans="10:12">
      <c r="J14586" s="31">
        <v>92</v>
      </c>
      <c r="K14586" s="33" t="s">
        <v>169</v>
      </c>
      <c r="L14586" s="31" t="str">
        <f t="shared" si="1409"/>
        <v>Sembilan Puluh Dua</v>
      </c>
    </row>
    <row r="14587" spans="10:12">
      <c r="J14587" s="31">
        <v>93</v>
      </c>
      <c r="K14587" s="33" t="s">
        <v>170</v>
      </c>
      <c r="L14587" s="31" t="str">
        <f t="shared" si="1409"/>
        <v>Sembilan Puluh Tiga</v>
      </c>
    </row>
    <row r="14588" spans="10:12">
      <c r="J14588" s="31">
        <v>94</v>
      </c>
      <c r="K14588" s="33" t="s">
        <v>171</v>
      </c>
      <c r="L14588" s="31" t="str">
        <f t="shared" si="1409"/>
        <v>Sembilan Puluh Empat</v>
      </c>
    </row>
    <row r="14589" spans="10:12">
      <c r="J14589" s="31">
        <v>95</v>
      </c>
      <c r="K14589" s="33" t="s">
        <v>172</v>
      </c>
      <c r="L14589" s="31" t="str">
        <f t="shared" si="1409"/>
        <v>Sembilan Puluh Lima</v>
      </c>
    </row>
    <row r="14590" spans="10:12">
      <c r="J14590" s="31">
        <v>96</v>
      </c>
      <c r="K14590" s="33" t="s">
        <v>173</v>
      </c>
      <c r="L14590" s="31" t="str">
        <f t="shared" si="1409"/>
        <v>Sembilan Puluh Enam</v>
      </c>
    </row>
    <row r="14591" spans="10:12">
      <c r="J14591" s="31">
        <v>97</v>
      </c>
      <c r="K14591" s="33" t="s">
        <v>174</v>
      </c>
      <c r="L14591" s="31" t="str">
        <f t="shared" si="1409"/>
        <v>Sembilan Puluh Tujuh</v>
      </c>
    </row>
    <row r="14592" spans="10:12">
      <c r="J14592" s="31">
        <v>98</v>
      </c>
      <c r="K14592" s="33" t="s">
        <v>175</v>
      </c>
      <c r="L14592" s="31" t="str">
        <f t="shared" si="1409"/>
        <v>Sembilan Puluh Delapan</v>
      </c>
    </row>
    <row r="14593" spans="1:12">
      <c r="J14593" s="31">
        <v>99</v>
      </c>
      <c r="K14593" s="33" t="s">
        <v>176</v>
      </c>
      <c r="L14593" s="31" t="str">
        <f t="shared" si="1409"/>
        <v>Sembilan Puluh Sembilan</v>
      </c>
    </row>
    <row r="14595" spans="1:12">
      <c r="A14595" s="30" t="e">
        <f>#REF!</f>
        <v>#REF!</v>
      </c>
      <c r="C14595" s="31" t="s">
        <v>376</v>
      </c>
    </row>
    <row r="14596" spans="1:12">
      <c r="A14596" s="32"/>
    </row>
    <row r="14597" spans="1:12">
      <c r="J14597" s="31">
        <v>0</v>
      </c>
      <c r="K14597" s="33" t="s">
        <v>48</v>
      </c>
      <c r="L14597" s="31" t="s">
        <v>49</v>
      </c>
    </row>
    <row r="14598" spans="1:12">
      <c r="A14598" s="34"/>
      <c r="J14598" s="31">
        <v>1</v>
      </c>
      <c r="K14598" s="33" t="s">
        <v>50</v>
      </c>
      <c r="L14598" s="31" t="s">
        <v>51</v>
      </c>
    </row>
    <row r="14599" spans="1:12">
      <c r="A14599" s="255" t="e">
        <f>TRIM(D14607&amp;E14607&amp;D14608&amp;E14608&amp;D14609&amp;E14609&amp;D14610&amp;E14610&amp;D14611&amp;E14611&amp;D14612&amp;E14612&amp;E14613&amp;D14613&amp;" Only")</f>
        <v>#REF!</v>
      </c>
      <c r="B14599" s="255"/>
      <c r="C14599" s="255"/>
      <c r="D14599" s="255"/>
      <c r="E14599" s="35"/>
      <c r="F14599" s="36"/>
      <c r="J14599" s="31">
        <v>2</v>
      </c>
      <c r="K14599" s="33" t="s">
        <v>52</v>
      </c>
      <c r="L14599" s="31" t="s">
        <v>53</v>
      </c>
    </row>
    <row r="14600" spans="1:12">
      <c r="A14600" s="37"/>
      <c r="B14600" s="37"/>
      <c r="C14600" s="37"/>
      <c r="D14600" s="37"/>
      <c r="E14600" s="35"/>
      <c r="F14600" s="36"/>
      <c r="J14600" s="31">
        <v>3</v>
      </c>
      <c r="K14600" s="33" t="s">
        <v>54</v>
      </c>
      <c r="L14600" s="31" t="s">
        <v>55</v>
      </c>
    </row>
    <row r="14601" spans="1:12">
      <c r="A14601" s="37"/>
      <c r="B14601" s="37"/>
      <c r="C14601" s="37"/>
      <c r="D14601" s="37"/>
      <c r="J14601" s="31">
        <v>4</v>
      </c>
      <c r="K14601" s="33" t="s">
        <v>56</v>
      </c>
      <c r="L14601" s="31" t="s">
        <v>57</v>
      </c>
    </row>
    <row r="14602" spans="1:12">
      <c r="A14602" s="255" t="e">
        <f>TRIM(D14617&amp;E14617&amp;D14618&amp;E14618&amp;D14619&amp;E14619&amp;D14620&amp;E14620&amp;D14621&amp;E14621&amp;D14622&amp;E14622&amp;D14623&amp;E14623&amp;" Rupiah")</f>
        <v>#REF!</v>
      </c>
      <c r="B14602" s="255"/>
      <c r="C14602" s="255"/>
      <c r="D14602" s="255"/>
      <c r="E14602" s="35"/>
      <c r="F14602" s="36"/>
      <c r="J14602" s="31">
        <v>5</v>
      </c>
      <c r="K14602" s="33" t="s">
        <v>58</v>
      </c>
      <c r="L14602" s="31" t="s">
        <v>59</v>
      </c>
    </row>
    <row r="14603" spans="1:12">
      <c r="A14603" s="35"/>
      <c r="B14603" s="35"/>
      <c r="C14603" s="35"/>
      <c r="D14603" s="35"/>
      <c r="E14603" s="35"/>
      <c r="F14603" s="36"/>
      <c r="J14603" s="31">
        <v>6</v>
      </c>
      <c r="K14603" s="33" t="s">
        <v>60</v>
      </c>
      <c r="L14603" s="31" t="s">
        <v>61</v>
      </c>
    </row>
    <row r="14604" spans="1:12">
      <c r="J14604" s="31">
        <v>7</v>
      </c>
      <c r="K14604" s="33" t="s">
        <v>62</v>
      </c>
      <c r="L14604" s="31" t="s">
        <v>63</v>
      </c>
    </row>
    <row r="14605" spans="1:12">
      <c r="J14605" s="31">
        <v>8</v>
      </c>
      <c r="K14605" s="33" t="s">
        <v>64</v>
      </c>
      <c r="L14605" s="31" t="s">
        <v>65</v>
      </c>
    </row>
    <row r="14606" spans="1:12">
      <c r="A14606" s="38" t="s">
        <v>66</v>
      </c>
      <c r="J14606" s="31">
        <v>9</v>
      </c>
      <c r="K14606" s="33" t="s">
        <v>67</v>
      </c>
      <c r="L14606" s="31" t="s">
        <v>68</v>
      </c>
    </row>
    <row r="14607" spans="1:12">
      <c r="A14607" s="31" t="s">
        <v>69</v>
      </c>
      <c r="B14607" s="39" t="e">
        <f>TRUNC(A14595/100000000)</f>
        <v>#REF!</v>
      </c>
      <c r="C14607" s="31" t="e">
        <f>B14607*100000000</f>
        <v>#REF!</v>
      </c>
      <c r="D14607" s="31" t="e">
        <f t="shared" ref="D14607:D14613" si="1410">IF(B14607&lt;1,"",VLOOKUP(B14607,$J$3:$K$102,2))</f>
        <v>#REF!</v>
      </c>
      <c r="E14607" s="31" t="e">
        <f>IF(B14607&lt;1,"",IF(B14607&gt;1," Hundreds "," Hundred "))</f>
        <v>#REF!</v>
      </c>
      <c r="J14607" s="31">
        <v>10</v>
      </c>
      <c r="K14607" s="33" t="s">
        <v>70</v>
      </c>
      <c r="L14607" s="31" t="s">
        <v>71</v>
      </c>
    </row>
    <row r="14608" spans="1:12">
      <c r="A14608" s="31" t="s">
        <v>72</v>
      </c>
      <c r="B14608" s="39" t="e">
        <f>TRUNC((A14595-C14607)/1000000)</f>
        <v>#REF!</v>
      </c>
      <c r="C14608" s="31" t="e">
        <f>B14608*1000000</f>
        <v>#REF!</v>
      </c>
      <c r="D14608" s="31" t="e">
        <f t="shared" si="1410"/>
        <v>#REF!</v>
      </c>
      <c r="E14608" s="31" t="e">
        <f>IF(B14607+B14608=0,"",IF(B14608=1," Million "," Millions "))</f>
        <v>#REF!</v>
      </c>
      <c r="J14608" s="31">
        <v>11</v>
      </c>
      <c r="K14608" s="33" t="s">
        <v>73</v>
      </c>
      <c r="L14608" s="31" t="s">
        <v>74</v>
      </c>
    </row>
    <row r="14609" spans="1:12">
      <c r="A14609" s="31" t="s">
        <v>75</v>
      </c>
      <c r="B14609" s="39" t="e">
        <f>TRUNC((A14595-SUM(C14607:C14608))/100000)</f>
        <v>#REF!</v>
      </c>
      <c r="C14609" s="31" t="e">
        <f>B14609*100000</f>
        <v>#REF!</v>
      </c>
      <c r="D14609" s="31" t="e">
        <f t="shared" si="1410"/>
        <v>#REF!</v>
      </c>
      <c r="E14609" s="31" t="e">
        <f>IF(B14609&lt;1,"",IF(B14609&gt;1," Hundreds "," Hundred "))</f>
        <v>#REF!</v>
      </c>
      <c r="J14609" s="31">
        <v>12</v>
      </c>
      <c r="K14609" s="33" t="s">
        <v>76</v>
      </c>
      <c r="L14609" s="31" t="str">
        <f t="shared" ref="L14609:L14616" si="1411">L14599&amp;" Belas"</f>
        <v>Dua Belas</v>
      </c>
    </row>
    <row r="14610" spans="1:12">
      <c r="A14610" s="33" t="s">
        <v>77</v>
      </c>
      <c r="B14610" s="40" t="e">
        <f>TRUNC((A14595-SUM(C14607:C14609))/1000)</f>
        <v>#REF!</v>
      </c>
      <c r="C14610" s="31" t="e">
        <f>B14610*1000</f>
        <v>#REF!</v>
      </c>
      <c r="D14610" s="31" t="e">
        <f t="shared" si="1410"/>
        <v>#REF!</v>
      </c>
      <c r="E14610" s="31" t="e">
        <f>IF(B14609+B14610=0,"",IF(B14610=1," Thousand "," Thousands "))</f>
        <v>#REF!</v>
      </c>
      <c r="J14610" s="31">
        <v>13</v>
      </c>
      <c r="K14610" s="33" t="s">
        <v>78</v>
      </c>
      <c r="L14610" s="31" t="str">
        <f t="shared" si="1411"/>
        <v>Tiga Belas</v>
      </c>
    </row>
    <row r="14611" spans="1:12">
      <c r="A14611" s="33" t="s">
        <v>79</v>
      </c>
      <c r="B14611" s="40" t="e">
        <f>TRUNC((A14595-SUM(C14607:C14610))/100)</f>
        <v>#REF!</v>
      </c>
      <c r="C14611" s="31" t="e">
        <f>B14611*100</f>
        <v>#REF!</v>
      </c>
      <c r="D14611" s="31" t="e">
        <f t="shared" si="1410"/>
        <v>#REF!</v>
      </c>
      <c r="E14611" s="31" t="e">
        <f>IF(B14611&lt;1,"",IF(B14611&gt;1," Hundreds "," Hundred "))</f>
        <v>#REF!</v>
      </c>
      <c r="J14611" s="31">
        <v>14</v>
      </c>
      <c r="K14611" s="33" t="s">
        <v>80</v>
      </c>
      <c r="L14611" s="31" t="str">
        <f t="shared" si="1411"/>
        <v>Empat Belas</v>
      </c>
    </row>
    <row r="14612" spans="1:12">
      <c r="A14612" s="33" t="s">
        <v>81</v>
      </c>
      <c r="B14612" s="41" t="e">
        <f>TRUNC((A14595-SUM(C14607:C14611)))</f>
        <v>#REF!</v>
      </c>
      <c r="C14612" s="42" t="e">
        <f>B14612</f>
        <v>#REF!</v>
      </c>
      <c r="D14612" s="31" t="e">
        <f t="shared" si="1410"/>
        <v>#REF!</v>
      </c>
      <c r="E14612" s="31" t="e">
        <f>IF(SUM(C14607:C14612)&lt;1,"",IF(B14613&lt;1,""," And "))</f>
        <v>#REF!</v>
      </c>
      <c r="J14612" s="31">
        <v>15</v>
      </c>
      <c r="K14612" s="33" t="s">
        <v>82</v>
      </c>
      <c r="L14612" s="31" t="str">
        <f t="shared" si="1411"/>
        <v>Lima Belas</v>
      </c>
    </row>
    <row r="14613" spans="1:12">
      <c r="A14613" s="33" t="s">
        <v>83</v>
      </c>
      <c r="B14613" s="40" t="e">
        <f>ROUND(A14595-SUM(C14607:C14612),2)*100</f>
        <v>#REF!</v>
      </c>
      <c r="D14613" s="43" t="e">
        <f t="shared" si="1410"/>
        <v>#REF!</v>
      </c>
      <c r="E14613" s="31" t="e">
        <f>IF(B14613&lt;1,"",IF(B14613=1," Cent "," Cents "))</f>
        <v>#REF!</v>
      </c>
      <c r="J14613" s="31">
        <v>16</v>
      </c>
      <c r="K14613" s="33" t="s">
        <v>84</v>
      </c>
      <c r="L14613" s="31" t="str">
        <f t="shared" si="1411"/>
        <v>Enam Belas</v>
      </c>
    </row>
    <row r="14614" spans="1:12">
      <c r="J14614" s="31">
        <v>17</v>
      </c>
      <c r="K14614" s="33" t="s">
        <v>85</v>
      </c>
      <c r="L14614" s="31" t="str">
        <f t="shared" si="1411"/>
        <v>Tujuh Belas</v>
      </c>
    </row>
    <row r="14615" spans="1:12">
      <c r="A14615" s="44"/>
      <c r="J14615" s="31">
        <v>18</v>
      </c>
      <c r="K14615" s="33" t="s">
        <v>86</v>
      </c>
      <c r="L14615" s="31" t="str">
        <f t="shared" si="1411"/>
        <v>Delapan Belas</v>
      </c>
    </row>
    <row r="14616" spans="1:12">
      <c r="A14616" s="38" t="s">
        <v>87</v>
      </c>
      <c r="J14616" s="31">
        <v>19</v>
      </c>
      <c r="K14616" s="33" t="s">
        <v>88</v>
      </c>
      <c r="L14616" s="31" t="str">
        <f t="shared" si="1411"/>
        <v>Sembilan Belas</v>
      </c>
    </row>
    <row r="14617" spans="1:12">
      <c r="A14617" s="31" t="s">
        <v>69</v>
      </c>
      <c r="B14617" s="39" t="e">
        <f>TRUNC(A14595/100000000)</f>
        <v>#REF!</v>
      </c>
      <c r="C14617" s="31" t="e">
        <f>B14617*100000000</f>
        <v>#REF!</v>
      </c>
      <c r="D14617" s="31" t="e">
        <f>IF(B14617&lt;1,"",IF(B14617=1,"",VLOOKUP(B14617,$J$3:$L$102,3)))</f>
        <v>#REF!</v>
      </c>
      <c r="E14617" s="31" t="e">
        <f>IF(B14617&lt;1,"",IF(B14617=1,"Seratus "," Ratus "))</f>
        <v>#REF!</v>
      </c>
      <c r="J14617" s="31">
        <v>20</v>
      </c>
      <c r="K14617" s="33" t="s">
        <v>89</v>
      </c>
      <c r="L14617" s="31" t="s">
        <v>90</v>
      </c>
    </row>
    <row r="14618" spans="1:12">
      <c r="A14618" s="31" t="s">
        <v>72</v>
      </c>
      <c r="B14618" s="39" t="e">
        <f>TRUNC((A14595-C14617)/1000000)</f>
        <v>#REF!</v>
      </c>
      <c r="C14618" s="31" t="e">
        <f>B14618*1000000</f>
        <v>#REF!</v>
      </c>
      <c r="D14618" s="31" t="e">
        <f>IF(B14618&lt;1,"",VLOOKUP(B14618,$J$3:$L$102,3))</f>
        <v>#REF!</v>
      </c>
      <c r="E14618" s="31" t="e">
        <f>IF(B14617+B14618=0,""," Juta ")</f>
        <v>#REF!</v>
      </c>
      <c r="J14618" s="31">
        <v>21</v>
      </c>
      <c r="K14618" s="33" t="s">
        <v>91</v>
      </c>
      <c r="L14618" s="31" t="str">
        <f t="shared" ref="L14618:L14626" si="1412">$L$23&amp;" "&amp;L14598</f>
        <v>Dua Puluh Satu</v>
      </c>
    </row>
    <row r="14619" spans="1:12">
      <c r="A14619" s="31" t="s">
        <v>75</v>
      </c>
      <c r="B14619" s="39" t="e">
        <f>TRUNC((A14595-SUM(C14617:C14618))/100000)</f>
        <v>#REF!</v>
      </c>
      <c r="C14619" s="31" t="e">
        <f>B14619*100000</f>
        <v>#REF!</v>
      </c>
      <c r="D14619" s="31" t="e">
        <f>IF(B14619&lt;1,"",IF(B14619=1,"",VLOOKUP(B14619,$J$3:$L$102,3)))</f>
        <v>#REF!</v>
      </c>
      <c r="E14619" s="31" t="e">
        <f>IF(B14619&lt;1,"",IF(B14619=1," Seratus "," Ratus "))</f>
        <v>#REF!</v>
      </c>
      <c r="J14619" s="31">
        <v>22</v>
      </c>
      <c r="K14619" s="33" t="s">
        <v>92</v>
      </c>
      <c r="L14619" s="31" t="str">
        <f t="shared" si="1412"/>
        <v>Dua Puluh Dua</v>
      </c>
    </row>
    <row r="14620" spans="1:12">
      <c r="A14620" s="33" t="s">
        <v>77</v>
      </c>
      <c r="B14620" s="40" t="e">
        <f>TRUNC((A14595-SUM(C14617:C14619))/1000)</f>
        <v>#REF!</v>
      </c>
      <c r="C14620" s="31" t="e">
        <f>B14620*1000</f>
        <v>#REF!</v>
      </c>
      <c r="D14620" s="31" t="e">
        <f>IF(B14620&lt;1,"",IF(B14620=1,"",VLOOKUP(B14620,$J$3:$L$102,3)))</f>
        <v>#REF!</v>
      </c>
      <c r="E14620" s="31" t="e">
        <f>IF(B14619+B14620&lt;1,"",IF(B14620=1," Seribu "," Ribu "))</f>
        <v>#REF!</v>
      </c>
      <c r="J14620" s="31">
        <v>23</v>
      </c>
      <c r="K14620" s="33" t="s">
        <v>93</v>
      </c>
      <c r="L14620" s="31" t="str">
        <f t="shared" si="1412"/>
        <v>Dua Puluh Tiga</v>
      </c>
    </row>
    <row r="14621" spans="1:12">
      <c r="A14621" s="33" t="s">
        <v>79</v>
      </c>
      <c r="B14621" s="40" t="e">
        <f>TRUNC((A14595-SUM(C14617:C14620))/100)</f>
        <v>#REF!</v>
      </c>
      <c r="C14621" s="31" t="e">
        <f>B14621*100</f>
        <v>#REF!</v>
      </c>
      <c r="D14621" s="31" t="e">
        <f>IF(B14621&lt;1,"",IF(B14621=1,"",VLOOKUP(B14621,$J$3:$L$102,3)))</f>
        <v>#REF!</v>
      </c>
      <c r="E14621" s="31" t="e">
        <f>IF(B14621&lt;1,"",IF(B14621=1," Seratus "," Ratus "))</f>
        <v>#REF!</v>
      </c>
      <c r="J14621" s="31">
        <v>24</v>
      </c>
      <c r="K14621" s="33" t="s">
        <v>94</v>
      </c>
      <c r="L14621" s="31" t="str">
        <f t="shared" si="1412"/>
        <v>Dua Puluh Empat</v>
      </c>
    </row>
    <row r="14622" spans="1:12">
      <c r="A14622" s="33" t="s">
        <v>81</v>
      </c>
      <c r="B14622" s="41" t="e">
        <f>TRUNC((A14595-SUM(C14617:C14621)))</f>
        <v>#REF!</v>
      </c>
      <c r="C14622" s="42" t="e">
        <f>B14622</f>
        <v>#REF!</v>
      </c>
      <c r="D14622" s="31" t="e">
        <f>IF(B14622&lt;1,"",VLOOKUP(B14622,$J$3:$L$102,3))</f>
        <v>#REF!</v>
      </c>
      <c r="E14622" s="31" t="e">
        <f>IF(SUM(C14617:C14622)&lt;1,"",IF(B14623&lt;1,""," Dan "))</f>
        <v>#REF!</v>
      </c>
      <c r="J14622" s="31">
        <v>25</v>
      </c>
      <c r="K14622" s="33" t="s">
        <v>95</v>
      </c>
      <c r="L14622" s="31" t="str">
        <f t="shared" si="1412"/>
        <v>Dua Puluh Lima</v>
      </c>
    </row>
    <row r="14623" spans="1:12">
      <c r="A14623" s="33" t="s">
        <v>83</v>
      </c>
      <c r="B14623" s="40" t="e">
        <f>ROUND(A14595-SUM(C14617:C14622),2)*100</f>
        <v>#REF!</v>
      </c>
      <c r="D14623" s="31" t="e">
        <f>IF(B14623&lt;1,"",VLOOKUP(B14623,$J$3:$L$102,3))</f>
        <v>#REF!</v>
      </c>
      <c r="E14623" s="31" t="e">
        <f>IF(B14623&lt;1,""," Sen ")</f>
        <v>#REF!</v>
      </c>
      <c r="J14623" s="31">
        <v>26</v>
      </c>
      <c r="K14623" s="33" t="s">
        <v>96</v>
      </c>
      <c r="L14623" s="31" t="str">
        <f t="shared" si="1412"/>
        <v>Dua Puluh Enam</v>
      </c>
    </row>
    <row r="14624" spans="1:12">
      <c r="J14624" s="31">
        <v>27</v>
      </c>
      <c r="K14624" s="33" t="s">
        <v>97</v>
      </c>
      <c r="L14624" s="31" t="str">
        <f t="shared" si="1412"/>
        <v>Dua Puluh Tujuh</v>
      </c>
    </row>
    <row r="14625" spans="1:12">
      <c r="J14625" s="31">
        <v>28</v>
      </c>
      <c r="K14625" s="33" t="s">
        <v>98</v>
      </c>
      <c r="L14625" s="31" t="str">
        <f t="shared" si="1412"/>
        <v>Dua Puluh Delapan</v>
      </c>
    </row>
    <row r="14626" spans="1:12">
      <c r="J14626" s="31">
        <v>29</v>
      </c>
      <c r="K14626" s="33" t="s">
        <v>99</v>
      </c>
      <c r="L14626" s="31" t="str">
        <f t="shared" si="1412"/>
        <v>Dua Puluh Sembilan</v>
      </c>
    </row>
    <row r="14627" spans="1:12">
      <c r="J14627" s="31">
        <v>30</v>
      </c>
      <c r="K14627" s="33" t="s">
        <v>100</v>
      </c>
      <c r="L14627" s="31" t="s">
        <v>101</v>
      </c>
    </row>
    <row r="14628" spans="1:12">
      <c r="J14628" s="31">
        <v>31</v>
      </c>
      <c r="K14628" s="33" t="s">
        <v>102</v>
      </c>
      <c r="L14628" s="31" t="str">
        <f t="shared" ref="L14628:L14636" si="1413">$L$33&amp;" "&amp;L14598</f>
        <v>Tiga Puluh Satu</v>
      </c>
    </row>
    <row r="14629" spans="1:12">
      <c r="J14629" s="31">
        <v>32</v>
      </c>
      <c r="K14629" s="33" t="s">
        <v>103</v>
      </c>
      <c r="L14629" s="31" t="str">
        <f t="shared" si="1413"/>
        <v>Tiga Puluh Dua</v>
      </c>
    </row>
    <row r="14630" spans="1:12">
      <c r="J14630" s="31">
        <v>33</v>
      </c>
      <c r="K14630" s="33" t="s">
        <v>104</v>
      </c>
      <c r="L14630" s="31" t="str">
        <f t="shared" si="1413"/>
        <v>Tiga Puluh Tiga</v>
      </c>
    </row>
    <row r="14631" spans="1:12">
      <c r="J14631" s="31">
        <v>34</v>
      </c>
      <c r="K14631" s="33" t="s">
        <v>105</v>
      </c>
      <c r="L14631" s="31" t="str">
        <f t="shared" si="1413"/>
        <v>Tiga Puluh Empat</v>
      </c>
    </row>
    <row r="14632" spans="1:12">
      <c r="J14632" s="31">
        <v>35</v>
      </c>
      <c r="K14632" s="33" t="s">
        <v>106</v>
      </c>
      <c r="L14632" s="31" t="str">
        <f t="shared" si="1413"/>
        <v>Tiga Puluh Lima</v>
      </c>
    </row>
    <row r="14633" spans="1:12">
      <c r="J14633" s="31">
        <v>36</v>
      </c>
      <c r="K14633" s="33" t="s">
        <v>107</v>
      </c>
      <c r="L14633" s="31" t="str">
        <f t="shared" si="1413"/>
        <v>Tiga Puluh Enam</v>
      </c>
    </row>
    <row r="14634" spans="1:12">
      <c r="J14634" s="31">
        <v>37</v>
      </c>
      <c r="K14634" s="33" t="s">
        <v>108</v>
      </c>
      <c r="L14634" s="31" t="str">
        <f t="shared" si="1413"/>
        <v>Tiga Puluh Tujuh</v>
      </c>
    </row>
    <row r="14635" spans="1:12">
      <c r="J14635" s="31">
        <v>38</v>
      </c>
      <c r="K14635" s="33" t="s">
        <v>109</v>
      </c>
      <c r="L14635" s="31" t="str">
        <f t="shared" si="1413"/>
        <v>Tiga Puluh Delapan</v>
      </c>
    </row>
    <row r="14636" spans="1:12">
      <c r="J14636" s="31">
        <v>39</v>
      </c>
      <c r="K14636" s="33" t="s">
        <v>110</v>
      </c>
      <c r="L14636" s="31" t="str">
        <f t="shared" si="1413"/>
        <v>Tiga Puluh Sembilan</v>
      </c>
    </row>
    <row r="14637" spans="1:12">
      <c r="B14637" s="35"/>
      <c r="C14637" s="35"/>
      <c r="D14637" s="35"/>
      <c r="J14637" s="31">
        <v>40</v>
      </c>
      <c r="K14637" s="33" t="s">
        <v>111</v>
      </c>
      <c r="L14637" s="31" t="s">
        <v>112</v>
      </c>
    </row>
    <row r="14638" spans="1:12">
      <c r="A14638" s="35"/>
      <c r="B14638" s="35"/>
      <c r="C14638" s="35"/>
      <c r="D14638" s="35"/>
      <c r="J14638" s="31">
        <v>41</v>
      </c>
      <c r="K14638" s="33" t="s">
        <v>113</v>
      </c>
      <c r="L14638" s="31" t="str">
        <f t="shared" ref="L14638:L14646" si="1414">$L$43&amp;" "&amp;L14598</f>
        <v>Empat Puluh Satu</v>
      </c>
    </row>
    <row r="14639" spans="1:12">
      <c r="J14639" s="31">
        <v>42</v>
      </c>
      <c r="K14639" s="33" t="s">
        <v>114</v>
      </c>
      <c r="L14639" s="31" t="str">
        <f t="shared" si="1414"/>
        <v>Empat Puluh Dua</v>
      </c>
    </row>
    <row r="14640" spans="1:12">
      <c r="A14640" s="38"/>
      <c r="J14640" s="31">
        <v>43</v>
      </c>
      <c r="K14640" s="33" t="s">
        <v>115</v>
      </c>
      <c r="L14640" s="31" t="str">
        <f t="shared" si="1414"/>
        <v>Empat Puluh Tiga</v>
      </c>
    </row>
    <row r="14641" spans="10:12">
      <c r="J14641" s="31">
        <v>44</v>
      </c>
      <c r="K14641" s="33" t="s">
        <v>116</v>
      </c>
      <c r="L14641" s="31" t="str">
        <f t="shared" si="1414"/>
        <v>Empat Puluh Empat</v>
      </c>
    </row>
    <row r="14642" spans="10:12">
      <c r="J14642" s="31">
        <v>45</v>
      </c>
      <c r="K14642" s="33" t="s">
        <v>117</v>
      </c>
      <c r="L14642" s="31" t="str">
        <f t="shared" si="1414"/>
        <v>Empat Puluh Lima</v>
      </c>
    </row>
    <row r="14643" spans="10:12">
      <c r="J14643" s="31">
        <v>46</v>
      </c>
      <c r="K14643" s="33" t="s">
        <v>118</v>
      </c>
      <c r="L14643" s="31" t="str">
        <f t="shared" si="1414"/>
        <v>Empat Puluh Enam</v>
      </c>
    </row>
    <row r="14644" spans="10:12">
      <c r="J14644" s="31">
        <v>47</v>
      </c>
      <c r="K14644" s="33" t="s">
        <v>119</v>
      </c>
      <c r="L14644" s="31" t="str">
        <f t="shared" si="1414"/>
        <v>Empat Puluh Tujuh</v>
      </c>
    </row>
    <row r="14645" spans="10:12">
      <c r="J14645" s="31">
        <v>48</v>
      </c>
      <c r="K14645" s="33" t="s">
        <v>120</v>
      </c>
      <c r="L14645" s="31" t="str">
        <f t="shared" si="1414"/>
        <v>Empat Puluh Delapan</v>
      </c>
    </row>
    <row r="14646" spans="10:12">
      <c r="J14646" s="31">
        <v>49</v>
      </c>
      <c r="K14646" s="33" t="s">
        <v>121</v>
      </c>
      <c r="L14646" s="31" t="str">
        <f t="shared" si="1414"/>
        <v>Empat Puluh Sembilan</v>
      </c>
    </row>
    <row r="14647" spans="10:12">
      <c r="J14647" s="31">
        <v>50</v>
      </c>
      <c r="K14647" s="33" t="s">
        <v>122</v>
      </c>
      <c r="L14647" s="31" t="s">
        <v>123</v>
      </c>
    </row>
    <row r="14648" spans="10:12">
      <c r="J14648" s="31">
        <v>51</v>
      </c>
      <c r="K14648" s="33" t="s">
        <v>124</v>
      </c>
      <c r="L14648" s="31" t="str">
        <f t="shared" ref="L14648:L14656" si="1415">$L$53&amp;" "&amp;L14598</f>
        <v>Lima Puluh Satu</v>
      </c>
    </row>
    <row r="14649" spans="10:12">
      <c r="J14649" s="31">
        <v>52</v>
      </c>
      <c r="K14649" s="33" t="s">
        <v>125</v>
      </c>
      <c r="L14649" s="31" t="str">
        <f t="shared" si="1415"/>
        <v>Lima Puluh Dua</v>
      </c>
    </row>
    <row r="14650" spans="10:12">
      <c r="J14650" s="31">
        <v>53</v>
      </c>
      <c r="K14650" s="33" t="s">
        <v>126</v>
      </c>
      <c r="L14650" s="31" t="str">
        <f t="shared" si="1415"/>
        <v>Lima Puluh Tiga</v>
      </c>
    </row>
    <row r="14651" spans="10:12">
      <c r="J14651" s="31">
        <v>54</v>
      </c>
      <c r="K14651" s="33" t="s">
        <v>127</v>
      </c>
      <c r="L14651" s="31" t="str">
        <f t="shared" si="1415"/>
        <v>Lima Puluh Empat</v>
      </c>
    </row>
    <row r="14652" spans="10:12">
      <c r="J14652" s="31">
        <v>55</v>
      </c>
      <c r="K14652" s="33" t="s">
        <v>128</v>
      </c>
      <c r="L14652" s="31" t="str">
        <f t="shared" si="1415"/>
        <v>Lima Puluh Lima</v>
      </c>
    </row>
    <row r="14653" spans="10:12">
      <c r="J14653" s="31">
        <v>56</v>
      </c>
      <c r="K14653" s="33" t="s">
        <v>129</v>
      </c>
      <c r="L14653" s="31" t="str">
        <f t="shared" si="1415"/>
        <v>Lima Puluh Enam</v>
      </c>
    </row>
    <row r="14654" spans="10:12">
      <c r="J14654" s="31">
        <v>57</v>
      </c>
      <c r="K14654" s="33" t="s">
        <v>130</v>
      </c>
      <c r="L14654" s="31" t="str">
        <f t="shared" si="1415"/>
        <v>Lima Puluh Tujuh</v>
      </c>
    </row>
    <row r="14655" spans="10:12">
      <c r="J14655" s="31">
        <v>58</v>
      </c>
      <c r="K14655" s="33" t="s">
        <v>131</v>
      </c>
      <c r="L14655" s="31" t="str">
        <f t="shared" si="1415"/>
        <v>Lima Puluh Delapan</v>
      </c>
    </row>
    <row r="14656" spans="10:12">
      <c r="J14656" s="31">
        <v>59</v>
      </c>
      <c r="K14656" s="33" t="s">
        <v>132</v>
      </c>
      <c r="L14656" s="31" t="str">
        <f t="shared" si="1415"/>
        <v>Lima Puluh Sembilan</v>
      </c>
    </row>
    <row r="14657" spans="10:12">
      <c r="J14657" s="31">
        <v>60</v>
      </c>
      <c r="K14657" s="33" t="s">
        <v>133</v>
      </c>
      <c r="L14657" s="31" t="s">
        <v>134</v>
      </c>
    </row>
    <row r="14658" spans="10:12">
      <c r="J14658" s="31">
        <v>61</v>
      </c>
      <c r="K14658" s="33" t="s">
        <v>135</v>
      </c>
      <c r="L14658" s="31" t="str">
        <f t="shared" ref="L14658:L14666" si="1416">$L$63&amp;" "&amp;L14598</f>
        <v>Enam Puluh Satu</v>
      </c>
    </row>
    <row r="14659" spans="10:12">
      <c r="J14659" s="31">
        <v>62</v>
      </c>
      <c r="K14659" s="33" t="s">
        <v>136</v>
      </c>
      <c r="L14659" s="31" t="str">
        <f t="shared" si="1416"/>
        <v>Enam Puluh Dua</v>
      </c>
    </row>
    <row r="14660" spans="10:12">
      <c r="J14660" s="31">
        <v>63</v>
      </c>
      <c r="K14660" s="33" t="s">
        <v>137</v>
      </c>
      <c r="L14660" s="31" t="str">
        <f t="shared" si="1416"/>
        <v>Enam Puluh Tiga</v>
      </c>
    </row>
    <row r="14661" spans="10:12">
      <c r="J14661" s="31">
        <v>64</v>
      </c>
      <c r="K14661" s="33" t="s">
        <v>138</v>
      </c>
      <c r="L14661" s="31" t="str">
        <f t="shared" si="1416"/>
        <v>Enam Puluh Empat</v>
      </c>
    </row>
    <row r="14662" spans="10:12">
      <c r="J14662" s="31">
        <v>65</v>
      </c>
      <c r="K14662" s="33" t="s">
        <v>139</v>
      </c>
      <c r="L14662" s="31" t="str">
        <f t="shared" si="1416"/>
        <v>Enam Puluh Lima</v>
      </c>
    </row>
    <row r="14663" spans="10:12">
      <c r="J14663" s="31">
        <v>66</v>
      </c>
      <c r="K14663" s="33" t="s">
        <v>140</v>
      </c>
      <c r="L14663" s="31" t="str">
        <f t="shared" si="1416"/>
        <v>Enam Puluh Enam</v>
      </c>
    </row>
    <row r="14664" spans="10:12">
      <c r="J14664" s="31">
        <v>67</v>
      </c>
      <c r="K14664" s="33" t="s">
        <v>141</v>
      </c>
      <c r="L14664" s="31" t="str">
        <f t="shared" si="1416"/>
        <v>Enam Puluh Tujuh</v>
      </c>
    </row>
    <row r="14665" spans="10:12">
      <c r="J14665" s="31">
        <v>68</v>
      </c>
      <c r="K14665" s="33" t="s">
        <v>142</v>
      </c>
      <c r="L14665" s="31" t="str">
        <f t="shared" si="1416"/>
        <v>Enam Puluh Delapan</v>
      </c>
    </row>
    <row r="14666" spans="10:12">
      <c r="J14666" s="31">
        <v>69</v>
      </c>
      <c r="K14666" s="33" t="s">
        <v>143</v>
      </c>
      <c r="L14666" s="31" t="str">
        <f t="shared" si="1416"/>
        <v>Enam Puluh Sembilan</v>
      </c>
    </row>
    <row r="14667" spans="10:12">
      <c r="J14667" s="31">
        <v>70</v>
      </c>
      <c r="K14667" s="33" t="s">
        <v>144</v>
      </c>
      <c r="L14667" s="31" t="s">
        <v>145</v>
      </c>
    </row>
    <row r="14668" spans="10:12">
      <c r="J14668" s="31">
        <v>71</v>
      </c>
      <c r="K14668" s="33" t="s">
        <v>146</v>
      </c>
      <c r="L14668" s="31" t="str">
        <f t="shared" ref="L14668:L14676" si="1417">$L$73&amp;" "&amp;L14598</f>
        <v>Tujuh Puluh Satu</v>
      </c>
    </row>
    <row r="14669" spans="10:12">
      <c r="J14669" s="31">
        <v>72</v>
      </c>
      <c r="K14669" s="33" t="s">
        <v>147</v>
      </c>
      <c r="L14669" s="31" t="str">
        <f t="shared" si="1417"/>
        <v>Tujuh Puluh Dua</v>
      </c>
    </row>
    <row r="14670" spans="10:12">
      <c r="J14670" s="31">
        <v>73</v>
      </c>
      <c r="K14670" s="33" t="s">
        <v>148</v>
      </c>
      <c r="L14670" s="31" t="str">
        <f t="shared" si="1417"/>
        <v>Tujuh Puluh Tiga</v>
      </c>
    </row>
    <row r="14671" spans="10:12">
      <c r="J14671" s="31">
        <v>74</v>
      </c>
      <c r="K14671" s="33" t="s">
        <v>149</v>
      </c>
      <c r="L14671" s="31" t="str">
        <f t="shared" si="1417"/>
        <v>Tujuh Puluh Empat</v>
      </c>
    </row>
    <row r="14672" spans="10:12">
      <c r="J14672" s="31">
        <v>75</v>
      </c>
      <c r="K14672" s="33" t="s">
        <v>150</v>
      </c>
      <c r="L14672" s="31" t="str">
        <f t="shared" si="1417"/>
        <v>Tujuh Puluh Lima</v>
      </c>
    </row>
    <row r="14673" spans="10:12">
      <c r="J14673" s="31">
        <v>76</v>
      </c>
      <c r="K14673" s="33" t="s">
        <v>151</v>
      </c>
      <c r="L14673" s="31" t="str">
        <f t="shared" si="1417"/>
        <v>Tujuh Puluh Enam</v>
      </c>
    </row>
    <row r="14674" spans="10:12">
      <c r="J14674" s="31">
        <v>77</v>
      </c>
      <c r="K14674" s="33" t="s">
        <v>152</v>
      </c>
      <c r="L14674" s="31" t="str">
        <f t="shared" si="1417"/>
        <v>Tujuh Puluh Tujuh</v>
      </c>
    </row>
    <row r="14675" spans="10:12">
      <c r="J14675" s="31">
        <v>78</v>
      </c>
      <c r="K14675" s="33" t="s">
        <v>153</v>
      </c>
      <c r="L14675" s="31" t="str">
        <f t="shared" si="1417"/>
        <v>Tujuh Puluh Delapan</v>
      </c>
    </row>
    <row r="14676" spans="10:12">
      <c r="J14676" s="31">
        <v>79</v>
      </c>
      <c r="K14676" s="33" t="s">
        <v>154</v>
      </c>
      <c r="L14676" s="31" t="str">
        <f t="shared" si="1417"/>
        <v>Tujuh Puluh Sembilan</v>
      </c>
    </row>
    <row r="14677" spans="10:12">
      <c r="J14677" s="31">
        <v>80</v>
      </c>
      <c r="K14677" s="33" t="s">
        <v>155</v>
      </c>
      <c r="L14677" s="31" t="s">
        <v>156</v>
      </c>
    </row>
    <row r="14678" spans="10:12">
      <c r="J14678" s="31">
        <v>81</v>
      </c>
      <c r="K14678" s="33" t="s">
        <v>157</v>
      </c>
      <c r="L14678" s="31" t="str">
        <f t="shared" ref="L14678:L14686" si="1418">$L$83&amp;" "&amp;L14598</f>
        <v>Delapan Puluh Satu</v>
      </c>
    </row>
    <row r="14679" spans="10:12">
      <c r="J14679" s="31">
        <v>82</v>
      </c>
      <c r="K14679" s="33" t="s">
        <v>158</v>
      </c>
      <c r="L14679" s="31" t="str">
        <f t="shared" si="1418"/>
        <v>Delapan Puluh Dua</v>
      </c>
    </row>
    <row r="14680" spans="10:12">
      <c r="J14680" s="31">
        <v>83</v>
      </c>
      <c r="K14680" s="33" t="s">
        <v>159</v>
      </c>
      <c r="L14680" s="31" t="str">
        <f t="shared" si="1418"/>
        <v>Delapan Puluh Tiga</v>
      </c>
    </row>
    <row r="14681" spans="10:12">
      <c r="J14681" s="31">
        <v>84</v>
      </c>
      <c r="K14681" s="33" t="s">
        <v>160</v>
      </c>
      <c r="L14681" s="31" t="str">
        <f t="shared" si="1418"/>
        <v>Delapan Puluh Empat</v>
      </c>
    </row>
    <row r="14682" spans="10:12">
      <c r="J14682" s="31">
        <v>85</v>
      </c>
      <c r="K14682" s="33" t="s">
        <v>161</v>
      </c>
      <c r="L14682" s="31" t="str">
        <f t="shared" si="1418"/>
        <v>Delapan Puluh Lima</v>
      </c>
    </row>
    <row r="14683" spans="10:12">
      <c r="J14683" s="31">
        <v>86</v>
      </c>
      <c r="K14683" s="33" t="s">
        <v>162</v>
      </c>
      <c r="L14683" s="31" t="str">
        <f t="shared" si="1418"/>
        <v>Delapan Puluh Enam</v>
      </c>
    </row>
    <row r="14684" spans="10:12">
      <c r="J14684" s="31">
        <v>87</v>
      </c>
      <c r="K14684" s="33" t="s">
        <v>163</v>
      </c>
      <c r="L14684" s="31" t="str">
        <f t="shared" si="1418"/>
        <v>Delapan Puluh Tujuh</v>
      </c>
    </row>
    <row r="14685" spans="10:12">
      <c r="J14685" s="31">
        <v>88</v>
      </c>
      <c r="K14685" s="33" t="s">
        <v>164</v>
      </c>
      <c r="L14685" s="31" t="str">
        <f t="shared" si="1418"/>
        <v>Delapan Puluh Delapan</v>
      </c>
    </row>
    <row r="14686" spans="10:12">
      <c r="J14686" s="31">
        <v>89</v>
      </c>
      <c r="K14686" s="33" t="s">
        <v>165</v>
      </c>
      <c r="L14686" s="31" t="str">
        <f t="shared" si="1418"/>
        <v>Delapan Puluh Sembilan</v>
      </c>
    </row>
    <row r="14687" spans="10:12">
      <c r="J14687" s="31">
        <v>90</v>
      </c>
      <c r="K14687" s="33" t="s">
        <v>166</v>
      </c>
      <c r="L14687" s="31" t="s">
        <v>167</v>
      </c>
    </row>
    <row r="14688" spans="10:12">
      <c r="J14688" s="31">
        <v>91</v>
      </c>
      <c r="K14688" s="33" t="s">
        <v>168</v>
      </c>
      <c r="L14688" s="31" t="str">
        <f t="shared" ref="L14688:L14696" si="1419">$L$93&amp;" "&amp;L14598</f>
        <v>Sembilan Puluh Satu</v>
      </c>
    </row>
    <row r="14689" spans="1:12">
      <c r="J14689" s="31">
        <v>92</v>
      </c>
      <c r="K14689" s="33" t="s">
        <v>169</v>
      </c>
      <c r="L14689" s="31" t="str">
        <f t="shared" si="1419"/>
        <v>Sembilan Puluh Dua</v>
      </c>
    </row>
    <row r="14690" spans="1:12">
      <c r="J14690" s="31">
        <v>93</v>
      </c>
      <c r="K14690" s="33" t="s">
        <v>170</v>
      </c>
      <c r="L14690" s="31" t="str">
        <f t="shared" si="1419"/>
        <v>Sembilan Puluh Tiga</v>
      </c>
    </row>
    <row r="14691" spans="1:12">
      <c r="J14691" s="31">
        <v>94</v>
      </c>
      <c r="K14691" s="33" t="s">
        <v>171</v>
      </c>
      <c r="L14691" s="31" t="str">
        <f t="shared" si="1419"/>
        <v>Sembilan Puluh Empat</v>
      </c>
    </row>
    <row r="14692" spans="1:12">
      <c r="J14692" s="31">
        <v>95</v>
      </c>
      <c r="K14692" s="33" t="s">
        <v>172</v>
      </c>
      <c r="L14692" s="31" t="str">
        <f t="shared" si="1419"/>
        <v>Sembilan Puluh Lima</v>
      </c>
    </row>
    <row r="14693" spans="1:12">
      <c r="J14693" s="31">
        <v>96</v>
      </c>
      <c r="K14693" s="33" t="s">
        <v>173</v>
      </c>
      <c r="L14693" s="31" t="str">
        <f t="shared" si="1419"/>
        <v>Sembilan Puluh Enam</v>
      </c>
    </row>
    <row r="14694" spans="1:12">
      <c r="J14694" s="31">
        <v>97</v>
      </c>
      <c r="K14694" s="33" t="s">
        <v>174</v>
      </c>
      <c r="L14694" s="31" t="str">
        <f t="shared" si="1419"/>
        <v>Sembilan Puluh Tujuh</v>
      </c>
    </row>
    <row r="14695" spans="1:12">
      <c r="J14695" s="31">
        <v>98</v>
      </c>
      <c r="K14695" s="33" t="s">
        <v>175</v>
      </c>
      <c r="L14695" s="31" t="str">
        <f t="shared" si="1419"/>
        <v>Sembilan Puluh Delapan</v>
      </c>
    </row>
    <row r="14696" spans="1:12">
      <c r="J14696" s="31">
        <v>99</v>
      </c>
      <c r="K14696" s="33" t="s">
        <v>176</v>
      </c>
      <c r="L14696" s="31" t="str">
        <f t="shared" si="1419"/>
        <v>Sembilan Puluh Sembilan</v>
      </c>
    </row>
    <row r="14698" spans="1:12">
      <c r="A14698" s="30" t="e">
        <f>#REF!</f>
        <v>#REF!</v>
      </c>
      <c r="C14698" s="31" t="s">
        <v>377</v>
      </c>
    </row>
    <row r="14699" spans="1:12">
      <c r="A14699" s="32"/>
    </row>
    <row r="14700" spans="1:12">
      <c r="J14700" s="31">
        <v>0</v>
      </c>
      <c r="K14700" s="33" t="s">
        <v>48</v>
      </c>
      <c r="L14700" s="31" t="s">
        <v>49</v>
      </c>
    </row>
    <row r="14701" spans="1:12">
      <c r="A14701" s="34"/>
      <c r="J14701" s="31">
        <v>1</v>
      </c>
      <c r="K14701" s="33" t="s">
        <v>50</v>
      </c>
      <c r="L14701" s="31" t="s">
        <v>51</v>
      </c>
    </row>
    <row r="14702" spans="1:12">
      <c r="A14702" s="255" t="e">
        <f>TRIM(D14710&amp;E14710&amp;D14711&amp;E14711&amp;D14712&amp;E14712&amp;D14713&amp;E14713&amp;D14714&amp;E14714&amp;D14715&amp;E14715&amp;E14716&amp;D14716&amp;" Only")</f>
        <v>#REF!</v>
      </c>
      <c r="B14702" s="255"/>
      <c r="C14702" s="255"/>
      <c r="D14702" s="255"/>
      <c r="E14702" s="35"/>
      <c r="F14702" s="36"/>
      <c r="J14702" s="31">
        <v>2</v>
      </c>
      <c r="K14702" s="33" t="s">
        <v>52</v>
      </c>
      <c r="L14702" s="31" t="s">
        <v>53</v>
      </c>
    </row>
    <row r="14703" spans="1:12">
      <c r="A14703" s="37"/>
      <c r="B14703" s="37"/>
      <c r="C14703" s="37"/>
      <c r="D14703" s="37"/>
      <c r="E14703" s="35"/>
      <c r="F14703" s="36"/>
      <c r="J14703" s="31">
        <v>3</v>
      </c>
      <c r="K14703" s="33" t="s">
        <v>54</v>
      </c>
      <c r="L14703" s="31" t="s">
        <v>55</v>
      </c>
    </row>
    <row r="14704" spans="1:12">
      <c r="A14704" s="37"/>
      <c r="B14704" s="37"/>
      <c r="C14704" s="37"/>
      <c r="D14704" s="37"/>
      <c r="J14704" s="31">
        <v>4</v>
      </c>
      <c r="K14704" s="33" t="s">
        <v>56</v>
      </c>
      <c r="L14704" s="31" t="s">
        <v>57</v>
      </c>
    </row>
    <row r="14705" spans="1:12">
      <c r="A14705" s="255" t="e">
        <f>TRIM(D14720&amp;E14720&amp;D14721&amp;E14721&amp;D14722&amp;E14722&amp;D14723&amp;E14723&amp;D14724&amp;E14724&amp;D14725&amp;E14725&amp;D14726&amp;E14726&amp;" Rupiah")</f>
        <v>#REF!</v>
      </c>
      <c r="B14705" s="255"/>
      <c r="C14705" s="255"/>
      <c r="D14705" s="255"/>
      <c r="E14705" s="35"/>
      <c r="F14705" s="36"/>
      <c r="J14705" s="31">
        <v>5</v>
      </c>
      <c r="K14705" s="33" t="s">
        <v>58</v>
      </c>
      <c r="L14705" s="31" t="s">
        <v>59</v>
      </c>
    </row>
    <row r="14706" spans="1:12">
      <c r="A14706" s="35"/>
      <c r="B14706" s="35"/>
      <c r="C14706" s="35"/>
      <c r="D14706" s="35"/>
      <c r="E14706" s="35"/>
      <c r="F14706" s="36"/>
      <c r="J14706" s="31">
        <v>6</v>
      </c>
      <c r="K14706" s="33" t="s">
        <v>60</v>
      </c>
      <c r="L14706" s="31" t="s">
        <v>61</v>
      </c>
    </row>
    <row r="14707" spans="1:12">
      <c r="J14707" s="31">
        <v>7</v>
      </c>
      <c r="K14707" s="33" t="s">
        <v>62</v>
      </c>
      <c r="L14707" s="31" t="s">
        <v>63</v>
      </c>
    </row>
    <row r="14708" spans="1:12">
      <c r="J14708" s="31">
        <v>8</v>
      </c>
      <c r="K14708" s="33" t="s">
        <v>64</v>
      </c>
      <c r="L14708" s="31" t="s">
        <v>65</v>
      </c>
    </row>
    <row r="14709" spans="1:12">
      <c r="A14709" s="38" t="s">
        <v>66</v>
      </c>
      <c r="J14709" s="31">
        <v>9</v>
      </c>
      <c r="K14709" s="33" t="s">
        <v>67</v>
      </c>
      <c r="L14709" s="31" t="s">
        <v>68</v>
      </c>
    </row>
    <row r="14710" spans="1:12">
      <c r="A14710" s="31" t="s">
        <v>69</v>
      </c>
      <c r="B14710" s="39" t="e">
        <f>TRUNC(A14698/100000000)</f>
        <v>#REF!</v>
      </c>
      <c r="C14710" s="31" t="e">
        <f>B14710*100000000</f>
        <v>#REF!</v>
      </c>
      <c r="D14710" s="31" t="e">
        <f t="shared" ref="D14710:D14716" si="1420">IF(B14710&lt;1,"",VLOOKUP(B14710,$J$3:$K$102,2))</f>
        <v>#REF!</v>
      </c>
      <c r="E14710" s="31" t="e">
        <f>IF(B14710&lt;1,"",IF(B14710&gt;1," Hundreds "," Hundred "))</f>
        <v>#REF!</v>
      </c>
      <c r="J14710" s="31">
        <v>10</v>
      </c>
      <c r="K14710" s="33" t="s">
        <v>70</v>
      </c>
      <c r="L14710" s="31" t="s">
        <v>71</v>
      </c>
    </row>
    <row r="14711" spans="1:12">
      <c r="A14711" s="31" t="s">
        <v>72</v>
      </c>
      <c r="B14711" s="39" t="e">
        <f>TRUNC((A14698-C14710)/1000000)</f>
        <v>#REF!</v>
      </c>
      <c r="C14711" s="31" t="e">
        <f>B14711*1000000</f>
        <v>#REF!</v>
      </c>
      <c r="D14711" s="31" t="e">
        <f t="shared" si="1420"/>
        <v>#REF!</v>
      </c>
      <c r="E14711" s="31" t="e">
        <f>IF(B14710+B14711=0,"",IF(B14711=1," Million "," Millions "))</f>
        <v>#REF!</v>
      </c>
      <c r="J14711" s="31">
        <v>11</v>
      </c>
      <c r="K14711" s="33" t="s">
        <v>73</v>
      </c>
      <c r="L14711" s="31" t="s">
        <v>74</v>
      </c>
    </row>
    <row r="14712" spans="1:12">
      <c r="A14712" s="31" t="s">
        <v>75</v>
      </c>
      <c r="B14712" s="39" t="e">
        <f>TRUNC((A14698-SUM(C14710:C14711))/100000)</f>
        <v>#REF!</v>
      </c>
      <c r="C14712" s="31" t="e">
        <f>B14712*100000</f>
        <v>#REF!</v>
      </c>
      <c r="D14712" s="31" t="e">
        <f t="shared" si="1420"/>
        <v>#REF!</v>
      </c>
      <c r="E14712" s="31" t="e">
        <f>IF(B14712&lt;1,"",IF(B14712&gt;1," Hundreds "," Hundred "))</f>
        <v>#REF!</v>
      </c>
      <c r="J14712" s="31">
        <v>12</v>
      </c>
      <c r="K14712" s="33" t="s">
        <v>76</v>
      </c>
      <c r="L14712" s="31" t="str">
        <f t="shared" ref="L14712:L14719" si="1421">L14702&amp;" Belas"</f>
        <v>Dua Belas</v>
      </c>
    </row>
    <row r="14713" spans="1:12">
      <c r="A14713" s="33" t="s">
        <v>77</v>
      </c>
      <c r="B14713" s="40" t="e">
        <f>TRUNC((A14698-SUM(C14710:C14712))/1000)</f>
        <v>#REF!</v>
      </c>
      <c r="C14713" s="31" t="e">
        <f>B14713*1000</f>
        <v>#REF!</v>
      </c>
      <c r="D14713" s="31" t="e">
        <f t="shared" si="1420"/>
        <v>#REF!</v>
      </c>
      <c r="E14713" s="31" t="e">
        <f>IF(B14712+B14713=0,"",IF(B14713=1," Thousand "," Thousands "))</f>
        <v>#REF!</v>
      </c>
      <c r="J14713" s="31">
        <v>13</v>
      </c>
      <c r="K14713" s="33" t="s">
        <v>78</v>
      </c>
      <c r="L14713" s="31" t="str">
        <f t="shared" si="1421"/>
        <v>Tiga Belas</v>
      </c>
    </row>
    <row r="14714" spans="1:12">
      <c r="A14714" s="33" t="s">
        <v>79</v>
      </c>
      <c r="B14714" s="40" t="e">
        <f>TRUNC((A14698-SUM(C14710:C14713))/100)</f>
        <v>#REF!</v>
      </c>
      <c r="C14714" s="31" t="e">
        <f>B14714*100</f>
        <v>#REF!</v>
      </c>
      <c r="D14714" s="31" t="e">
        <f t="shared" si="1420"/>
        <v>#REF!</v>
      </c>
      <c r="E14714" s="31" t="e">
        <f>IF(B14714&lt;1,"",IF(B14714&gt;1," Hundreds "," Hundred "))</f>
        <v>#REF!</v>
      </c>
      <c r="J14714" s="31">
        <v>14</v>
      </c>
      <c r="K14714" s="33" t="s">
        <v>80</v>
      </c>
      <c r="L14714" s="31" t="str">
        <f t="shared" si="1421"/>
        <v>Empat Belas</v>
      </c>
    </row>
    <row r="14715" spans="1:12">
      <c r="A14715" s="33" t="s">
        <v>81</v>
      </c>
      <c r="B14715" s="41" t="e">
        <f>TRUNC((A14698-SUM(C14710:C14714)))</f>
        <v>#REF!</v>
      </c>
      <c r="C14715" s="42" t="e">
        <f>B14715</f>
        <v>#REF!</v>
      </c>
      <c r="D14715" s="31" t="e">
        <f t="shared" si="1420"/>
        <v>#REF!</v>
      </c>
      <c r="E14715" s="31" t="e">
        <f>IF(SUM(C14710:C14715)&lt;1,"",IF(B14716&lt;1,""," And "))</f>
        <v>#REF!</v>
      </c>
      <c r="J14715" s="31">
        <v>15</v>
      </c>
      <c r="K14715" s="33" t="s">
        <v>82</v>
      </c>
      <c r="L14715" s="31" t="str">
        <f t="shared" si="1421"/>
        <v>Lima Belas</v>
      </c>
    </row>
    <row r="14716" spans="1:12">
      <c r="A14716" s="33" t="s">
        <v>83</v>
      </c>
      <c r="B14716" s="40" t="e">
        <f>ROUND(A14698-SUM(C14710:C14715),2)*100</f>
        <v>#REF!</v>
      </c>
      <c r="D14716" s="43" t="e">
        <f t="shared" si="1420"/>
        <v>#REF!</v>
      </c>
      <c r="E14716" s="31" t="e">
        <f>IF(B14716&lt;1,"",IF(B14716=1," Cent "," Cents "))</f>
        <v>#REF!</v>
      </c>
      <c r="J14716" s="31">
        <v>16</v>
      </c>
      <c r="K14716" s="33" t="s">
        <v>84</v>
      </c>
      <c r="L14716" s="31" t="str">
        <f t="shared" si="1421"/>
        <v>Enam Belas</v>
      </c>
    </row>
    <row r="14717" spans="1:12">
      <c r="J14717" s="31">
        <v>17</v>
      </c>
      <c r="K14717" s="33" t="s">
        <v>85</v>
      </c>
      <c r="L14717" s="31" t="str">
        <f t="shared" si="1421"/>
        <v>Tujuh Belas</v>
      </c>
    </row>
    <row r="14718" spans="1:12">
      <c r="A14718" s="44"/>
      <c r="J14718" s="31">
        <v>18</v>
      </c>
      <c r="K14718" s="33" t="s">
        <v>86</v>
      </c>
      <c r="L14718" s="31" t="str">
        <f t="shared" si="1421"/>
        <v>Delapan Belas</v>
      </c>
    </row>
    <row r="14719" spans="1:12">
      <c r="A14719" s="38" t="s">
        <v>87</v>
      </c>
      <c r="J14719" s="31">
        <v>19</v>
      </c>
      <c r="K14719" s="33" t="s">
        <v>88</v>
      </c>
      <c r="L14719" s="31" t="str">
        <f t="shared" si="1421"/>
        <v>Sembilan Belas</v>
      </c>
    </row>
    <row r="14720" spans="1:12">
      <c r="A14720" s="31" t="s">
        <v>69</v>
      </c>
      <c r="B14720" s="39" t="e">
        <f>TRUNC(A14698/100000000)</f>
        <v>#REF!</v>
      </c>
      <c r="C14720" s="31" t="e">
        <f>B14720*100000000</f>
        <v>#REF!</v>
      </c>
      <c r="D14720" s="31" t="e">
        <f>IF(B14720&lt;1,"",IF(B14720=1,"",VLOOKUP(B14720,$J$3:$L$102,3)))</f>
        <v>#REF!</v>
      </c>
      <c r="E14720" s="31" t="e">
        <f>IF(B14720&lt;1,"",IF(B14720=1,"Seratus "," Ratus "))</f>
        <v>#REF!</v>
      </c>
      <c r="J14720" s="31">
        <v>20</v>
      </c>
      <c r="K14720" s="33" t="s">
        <v>89</v>
      </c>
      <c r="L14720" s="31" t="s">
        <v>90</v>
      </c>
    </row>
    <row r="14721" spans="1:12">
      <c r="A14721" s="31" t="s">
        <v>72</v>
      </c>
      <c r="B14721" s="39" t="e">
        <f>TRUNC((A14698-C14720)/1000000)</f>
        <v>#REF!</v>
      </c>
      <c r="C14721" s="31" t="e">
        <f>B14721*1000000</f>
        <v>#REF!</v>
      </c>
      <c r="D14721" s="31" t="e">
        <f>IF(B14721&lt;1,"",VLOOKUP(B14721,$J$3:$L$102,3))</f>
        <v>#REF!</v>
      </c>
      <c r="E14721" s="31" t="e">
        <f>IF(B14720+B14721=0,""," Juta ")</f>
        <v>#REF!</v>
      </c>
      <c r="J14721" s="31">
        <v>21</v>
      </c>
      <c r="K14721" s="33" t="s">
        <v>91</v>
      </c>
      <c r="L14721" s="31" t="str">
        <f t="shared" ref="L14721:L14729" si="1422">$L$23&amp;" "&amp;L14701</f>
        <v>Dua Puluh Satu</v>
      </c>
    </row>
    <row r="14722" spans="1:12">
      <c r="A14722" s="31" t="s">
        <v>75</v>
      </c>
      <c r="B14722" s="39" t="e">
        <f>TRUNC((A14698-SUM(C14720:C14721))/100000)</f>
        <v>#REF!</v>
      </c>
      <c r="C14722" s="31" t="e">
        <f>B14722*100000</f>
        <v>#REF!</v>
      </c>
      <c r="D14722" s="31" t="e">
        <f>IF(B14722&lt;1,"",IF(B14722=1,"",VLOOKUP(B14722,$J$3:$L$102,3)))</f>
        <v>#REF!</v>
      </c>
      <c r="E14722" s="31" t="e">
        <f>IF(B14722&lt;1,"",IF(B14722=1," Seratus "," Ratus "))</f>
        <v>#REF!</v>
      </c>
      <c r="J14722" s="31">
        <v>22</v>
      </c>
      <c r="K14722" s="33" t="s">
        <v>92</v>
      </c>
      <c r="L14722" s="31" t="str">
        <f t="shared" si="1422"/>
        <v>Dua Puluh Dua</v>
      </c>
    </row>
    <row r="14723" spans="1:12">
      <c r="A14723" s="33" t="s">
        <v>77</v>
      </c>
      <c r="B14723" s="40" t="e">
        <f>TRUNC((A14698-SUM(C14720:C14722))/1000)</f>
        <v>#REF!</v>
      </c>
      <c r="C14723" s="31" t="e">
        <f>B14723*1000</f>
        <v>#REF!</v>
      </c>
      <c r="D14723" s="31" t="e">
        <f>IF(B14723&lt;1,"",IF(B14723=1,"",VLOOKUP(B14723,$J$3:$L$102,3)))</f>
        <v>#REF!</v>
      </c>
      <c r="E14723" s="31" t="e">
        <f>IF(B14722+B14723&lt;1,"",IF(B14723=1," Seribu "," Ribu "))</f>
        <v>#REF!</v>
      </c>
      <c r="J14723" s="31">
        <v>23</v>
      </c>
      <c r="K14723" s="33" t="s">
        <v>93</v>
      </c>
      <c r="L14723" s="31" t="str">
        <f t="shared" si="1422"/>
        <v>Dua Puluh Tiga</v>
      </c>
    </row>
    <row r="14724" spans="1:12">
      <c r="A14724" s="33" t="s">
        <v>79</v>
      </c>
      <c r="B14724" s="40" t="e">
        <f>TRUNC((A14698-SUM(C14720:C14723))/100)</f>
        <v>#REF!</v>
      </c>
      <c r="C14724" s="31" t="e">
        <f>B14724*100</f>
        <v>#REF!</v>
      </c>
      <c r="D14724" s="31" t="e">
        <f>IF(B14724&lt;1,"",IF(B14724=1,"",VLOOKUP(B14724,$J$3:$L$102,3)))</f>
        <v>#REF!</v>
      </c>
      <c r="E14724" s="31" t="e">
        <f>IF(B14724&lt;1,"",IF(B14724=1," Seratus "," Ratus "))</f>
        <v>#REF!</v>
      </c>
      <c r="J14724" s="31">
        <v>24</v>
      </c>
      <c r="K14724" s="33" t="s">
        <v>94</v>
      </c>
      <c r="L14724" s="31" t="str">
        <f t="shared" si="1422"/>
        <v>Dua Puluh Empat</v>
      </c>
    </row>
    <row r="14725" spans="1:12">
      <c r="A14725" s="33" t="s">
        <v>81</v>
      </c>
      <c r="B14725" s="41" t="e">
        <f>TRUNC((A14698-SUM(C14720:C14724)))</f>
        <v>#REF!</v>
      </c>
      <c r="C14725" s="42" t="e">
        <f>B14725</f>
        <v>#REF!</v>
      </c>
      <c r="D14725" s="31" t="e">
        <f>IF(B14725&lt;1,"",VLOOKUP(B14725,$J$3:$L$102,3))</f>
        <v>#REF!</v>
      </c>
      <c r="E14725" s="31" t="e">
        <f>IF(SUM(C14720:C14725)&lt;1,"",IF(B14726&lt;1,""," Dan "))</f>
        <v>#REF!</v>
      </c>
      <c r="J14725" s="31">
        <v>25</v>
      </c>
      <c r="K14725" s="33" t="s">
        <v>95</v>
      </c>
      <c r="L14725" s="31" t="str">
        <f t="shared" si="1422"/>
        <v>Dua Puluh Lima</v>
      </c>
    </row>
    <row r="14726" spans="1:12">
      <c r="A14726" s="33" t="s">
        <v>83</v>
      </c>
      <c r="B14726" s="40" t="e">
        <f>ROUND(A14698-SUM(C14720:C14725),2)*100</f>
        <v>#REF!</v>
      </c>
      <c r="D14726" s="31" t="e">
        <f>IF(B14726&lt;1,"",VLOOKUP(B14726,$J$3:$L$102,3))</f>
        <v>#REF!</v>
      </c>
      <c r="E14726" s="31" t="e">
        <f>IF(B14726&lt;1,""," Sen ")</f>
        <v>#REF!</v>
      </c>
      <c r="J14726" s="31">
        <v>26</v>
      </c>
      <c r="K14726" s="33" t="s">
        <v>96</v>
      </c>
      <c r="L14726" s="31" t="str">
        <f t="shared" si="1422"/>
        <v>Dua Puluh Enam</v>
      </c>
    </row>
    <row r="14727" spans="1:12">
      <c r="J14727" s="31">
        <v>27</v>
      </c>
      <c r="K14727" s="33" t="s">
        <v>97</v>
      </c>
      <c r="L14727" s="31" t="str">
        <f t="shared" si="1422"/>
        <v>Dua Puluh Tujuh</v>
      </c>
    </row>
    <row r="14728" spans="1:12">
      <c r="J14728" s="31">
        <v>28</v>
      </c>
      <c r="K14728" s="33" t="s">
        <v>98</v>
      </c>
      <c r="L14728" s="31" t="str">
        <f t="shared" si="1422"/>
        <v>Dua Puluh Delapan</v>
      </c>
    </row>
    <row r="14729" spans="1:12">
      <c r="J14729" s="31">
        <v>29</v>
      </c>
      <c r="K14729" s="33" t="s">
        <v>99</v>
      </c>
      <c r="L14729" s="31" t="str">
        <f t="shared" si="1422"/>
        <v>Dua Puluh Sembilan</v>
      </c>
    </row>
    <row r="14730" spans="1:12">
      <c r="J14730" s="31">
        <v>30</v>
      </c>
      <c r="K14730" s="33" t="s">
        <v>100</v>
      </c>
      <c r="L14730" s="31" t="s">
        <v>101</v>
      </c>
    </row>
    <row r="14731" spans="1:12">
      <c r="J14731" s="31">
        <v>31</v>
      </c>
      <c r="K14731" s="33" t="s">
        <v>102</v>
      </c>
      <c r="L14731" s="31" t="str">
        <f t="shared" ref="L14731:L14739" si="1423">$L$33&amp;" "&amp;L14701</f>
        <v>Tiga Puluh Satu</v>
      </c>
    </row>
    <row r="14732" spans="1:12">
      <c r="J14732" s="31">
        <v>32</v>
      </c>
      <c r="K14732" s="33" t="s">
        <v>103</v>
      </c>
      <c r="L14732" s="31" t="str">
        <f t="shared" si="1423"/>
        <v>Tiga Puluh Dua</v>
      </c>
    </row>
    <row r="14733" spans="1:12">
      <c r="J14733" s="31">
        <v>33</v>
      </c>
      <c r="K14733" s="33" t="s">
        <v>104</v>
      </c>
      <c r="L14733" s="31" t="str">
        <f t="shared" si="1423"/>
        <v>Tiga Puluh Tiga</v>
      </c>
    </row>
    <row r="14734" spans="1:12">
      <c r="J14734" s="31">
        <v>34</v>
      </c>
      <c r="K14734" s="33" t="s">
        <v>105</v>
      </c>
      <c r="L14734" s="31" t="str">
        <f t="shared" si="1423"/>
        <v>Tiga Puluh Empat</v>
      </c>
    </row>
    <row r="14735" spans="1:12">
      <c r="J14735" s="31">
        <v>35</v>
      </c>
      <c r="K14735" s="33" t="s">
        <v>106</v>
      </c>
      <c r="L14735" s="31" t="str">
        <f t="shared" si="1423"/>
        <v>Tiga Puluh Lima</v>
      </c>
    </row>
    <row r="14736" spans="1:12">
      <c r="J14736" s="31">
        <v>36</v>
      </c>
      <c r="K14736" s="33" t="s">
        <v>107</v>
      </c>
      <c r="L14736" s="31" t="str">
        <f t="shared" si="1423"/>
        <v>Tiga Puluh Enam</v>
      </c>
    </row>
    <row r="14737" spans="1:12">
      <c r="J14737" s="31">
        <v>37</v>
      </c>
      <c r="K14737" s="33" t="s">
        <v>108</v>
      </c>
      <c r="L14737" s="31" t="str">
        <f t="shared" si="1423"/>
        <v>Tiga Puluh Tujuh</v>
      </c>
    </row>
    <row r="14738" spans="1:12">
      <c r="J14738" s="31">
        <v>38</v>
      </c>
      <c r="K14738" s="33" t="s">
        <v>109</v>
      </c>
      <c r="L14738" s="31" t="str">
        <f t="shared" si="1423"/>
        <v>Tiga Puluh Delapan</v>
      </c>
    </row>
    <row r="14739" spans="1:12">
      <c r="J14739" s="31">
        <v>39</v>
      </c>
      <c r="K14739" s="33" t="s">
        <v>110</v>
      </c>
      <c r="L14739" s="31" t="str">
        <f t="shared" si="1423"/>
        <v>Tiga Puluh Sembilan</v>
      </c>
    </row>
    <row r="14740" spans="1:12">
      <c r="B14740" s="35"/>
      <c r="C14740" s="35"/>
      <c r="D14740" s="35"/>
      <c r="J14740" s="31">
        <v>40</v>
      </c>
      <c r="K14740" s="33" t="s">
        <v>111</v>
      </c>
      <c r="L14740" s="31" t="s">
        <v>112</v>
      </c>
    </row>
    <row r="14741" spans="1:12">
      <c r="A14741" s="35"/>
      <c r="B14741" s="35"/>
      <c r="C14741" s="35"/>
      <c r="D14741" s="35"/>
      <c r="J14741" s="31">
        <v>41</v>
      </c>
      <c r="K14741" s="33" t="s">
        <v>113</v>
      </c>
      <c r="L14741" s="31" t="str">
        <f t="shared" ref="L14741:L14749" si="1424">$L$43&amp;" "&amp;L14701</f>
        <v>Empat Puluh Satu</v>
      </c>
    </row>
    <row r="14742" spans="1:12">
      <c r="J14742" s="31">
        <v>42</v>
      </c>
      <c r="K14742" s="33" t="s">
        <v>114</v>
      </c>
      <c r="L14742" s="31" t="str">
        <f t="shared" si="1424"/>
        <v>Empat Puluh Dua</v>
      </c>
    </row>
    <row r="14743" spans="1:12">
      <c r="A14743" s="38"/>
      <c r="J14743" s="31">
        <v>43</v>
      </c>
      <c r="K14743" s="33" t="s">
        <v>115</v>
      </c>
      <c r="L14743" s="31" t="str">
        <f t="shared" si="1424"/>
        <v>Empat Puluh Tiga</v>
      </c>
    </row>
    <row r="14744" spans="1:12">
      <c r="J14744" s="31">
        <v>44</v>
      </c>
      <c r="K14744" s="33" t="s">
        <v>116</v>
      </c>
      <c r="L14744" s="31" t="str">
        <f t="shared" si="1424"/>
        <v>Empat Puluh Empat</v>
      </c>
    </row>
    <row r="14745" spans="1:12">
      <c r="J14745" s="31">
        <v>45</v>
      </c>
      <c r="K14745" s="33" t="s">
        <v>117</v>
      </c>
      <c r="L14745" s="31" t="str">
        <f t="shared" si="1424"/>
        <v>Empat Puluh Lima</v>
      </c>
    </row>
    <row r="14746" spans="1:12">
      <c r="J14746" s="31">
        <v>46</v>
      </c>
      <c r="K14746" s="33" t="s">
        <v>118</v>
      </c>
      <c r="L14746" s="31" t="str">
        <f t="shared" si="1424"/>
        <v>Empat Puluh Enam</v>
      </c>
    </row>
    <row r="14747" spans="1:12">
      <c r="J14747" s="31">
        <v>47</v>
      </c>
      <c r="K14747" s="33" t="s">
        <v>119</v>
      </c>
      <c r="L14747" s="31" t="str">
        <f t="shared" si="1424"/>
        <v>Empat Puluh Tujuh</v>
      </c>
    </row>
    <row r="14748" spans="1:12">
      <c r="J14748" s="31">
        <v>48</v>
      </c>
      <c r="K14748" s="33" t="s">
        <v>120</v>
      </c>
      <c r="L14748" s="31" t="str">
        <f t="shared" si="1424"/>
        <v>Empat Puluh Delapan</v>
      </c>
    </row>
    <row r="14749" spans="1:12">
      <c r="J14749" s="31">
        <v>49</v>
      </c>
      <c r="K14749" s="33" t="s">
        <v>121</v>
      </c>
      <c r="L14749" s="31" t="str">
        <f t="shared" si="1424"/>
        <v>Empat Puluh Sembilan</v>
      </c>
    </row>
    <row r="14750" spans="1:12">
      <c r="J14750" s="31">
        <v>50</v>
      </c>
      <c r="K14750" s="33" t="s">
        <v>122</v>
      </c>
      <c r="L14750" s="31" t="s">
        <v>123</v>
      </c>
    </row>
    <row r="14751" spans="1:12">
      <c r="J14751" s="31">
        <v>51</v>
      </c>
      <c r="K14751" s="33" t="s">
        <v>124</v>
      </c>
      <c r="L14751" s="31" t="str">
        <f t="shared" ref="L14751:L14759" si="1425">$L$53&amp;" "&amp;L14701</f>
        <v>Lima Puluh Satu</v>
      </c>
    </row>
    <row r="14752" spans="1:12">
      <c r="J14752" s="31">
        <v>52</v>
      </c>
      <c r="K14752" s="33" t="s">
        <v>125</v>
      </c>
      <c r="L14752" s="31" t="str">
        <f t="shared" si="1425"/>
        <v>Lima Puluh Dua</v>
      </c>
    </row>
    <row r="14753" spans="10:12">
      <c r="J14753" s="31">
        <v>53</v>
      </c>
      <c r="K14753" s="33" t="s">
        <v>126</v>
      </c>
      <c r="L14753" s="31" t="str">
        <f t="shared" si="1425"/>
        <v>Lima Puluh Tiga</v>
      </c>
    </row>
    <row r="14754" spans="10:12">
      <c r="J14754" s="31">
        <v>54</v>
      </c>
      <c r="K14754" s="33" t="s">
        <v>127</v>
      </c>
      <c r="L14754" s="31" t="str">
        <f t="shared" si="1425"/>
        <v>Lima Puluh Empat</v>
      </c>
    </row>
    <row r="14755" spans="10:12">
      <c r="J14755" s="31">
        <v>55</v>
      </c>
      <c r="K14755" s="33" t="s">
        <v>128</v>
      </c>
      <c r="L14755" s="31" t="str">
        <f t="shared" si="1425"/>
        <v>Lima Puluh Lima</v>
      </c>
    </row>
    <row r="14756" spans="10:12">
      <c r="J14756" s="31">
        <v>56</v>
      </c>
      <c r="K14756" s="33" t="s">
        <v>129</v>
      </c>
      <c r="L14756" s="31" t="str">
        <f t="shared" si="1425"/>
        <v>Lima Puluh Enam</v>
      </c>
    </row>
    <row r="14757" spans="10:12">
      <c r="J14757" s="31">
        <v>57</v>
      </c>
      <c r="K14757" s="33" t="s">
        <v>130</v>
      </c>
      <c r="L14757" s="31" t="str">
        <f t="shared" si="1425"/>
        <v>Lima Puluh Tujuh</v>
      </c>
    </row>
    <row r="14758" spans="10:12">
      <c r="J14758" s="31">
        <v>58</v>
      </c>
      <c r="K14758" s="33" t="s">
        <v>131</v>
      </c>
      <c r="L14758" s="31" t="str">
        <f t="shared" si="1425"/>
        <v>Lima Puluh Delapan</v>
      </c>
    </row>
    <row r="14759" spans="10:12">
      <c r="J14759" s="31">
        <v>59</v>
      </c>
      <c r="K14759" s="33" t="s">
        <v>132</v>
      </c>
      <c r="L14759" s="31" t="str">
        <f t="shared" si="1425"/>
        <v>Lima Puluh Sembilan</v>
      </c>
    </row>
    <row r="14760" spans="10:12">
      <c r="J14760" s="31">
        <v>60</v>
      </c>
      <c r="K14760" s="33" t="s">
        <v>133</v>
      </c>
      <c r="L14760" s="31" t="s">
        <v>134</v>
      </c>
    </row>
    <row r="14761" spans="10:12">
      <c r="J14761" s="31">
        <v>61</v>
      </c>
      <c r="K14761" s="33" t="s">
        <v>135</v>
      </c>
      <c r="L14761" s="31" t="str">
        <f t="shared" ref="L14761:L14769" si="1426">$L$63&amp;" "&amp;L14701</f>
        <v>Enam Puluh Satu</v>
      </c>
    </row>
    <row r="14762" spans="10:12">
      <c r="J14762" s="31">
        <v>62</v>
      </c>
      <c r="K14762" s="33" t="s">
        <v>136</v>
      </c>
      <c r="L14762" s="31" t="str">
        <f t="shared" si="1426"/>
        <v>Enam Puluh Dua</v>
      </c>
    </row>
    <row r="14763" spans="10:12">
      <c r="J14763" s="31">
        <v>63</v>
      </c>
      <c r="K14763" s="33" t="s">
        <v>137</v>
      </c>
      <c r="L14763" s="31" t="str">
        <f t="shared" si="1426"/>
        <v>Enam Puluh Tiga</v>
      </c>
    </row>
    <row r="14764" spans="10:12">
      <c r="J14764" s="31">
        <v>64</v>
      </c>
      <c r="K14764" s="33" t="s">
        <v>138</v>
      </c>
      <c r="L14764" s="31" t="str">
        <f t="shared" si="1426"/>
        <v>Enam Puluh Empat</v>
      </c>
    </row>
    <row r="14765" spans="10:12">
      <c r="J14765" s="31">
        <v>65</v>
      </c>
      <c r="K14765" s="33" t="s">
        <v>139</v>
      </c>
      <c r="L14765" s="31" t="str">
        <f t="shared" si="1426"/>
        <v>Enam Puluh Lima</v>
      </c>
    </row>
    <row r="14766" spans="10:12">
      <c r="J14766" s="31">
        <v>66</v>
      </c>
      <c r="K14766" s="33" t="s">
        <v>140</v>
      </c>
      <c r="L14766" s="31" t="str">
        <f t="shared" si="1426"/>
        <v>Enam Puluh Enam</v>
      </c>
    </row>
    <row r="14767" spans="10:12">
      <c r="J14767" s="31">
        <v>67</v>
      </c>
      <c r="K14767" s="33" t="s">
        <v>141</v>
      </c>
      <c r="L14767" s="31" t="str">
        <f t="shared" si="1426"/>
        <v>Enam Puluh Tujuh</v>
      </c>
    </row>
    <row r="14768" spans="10:12">
      <c r="J14768" s="31">
        <v>68</v>
      </c>
      <c r="K14768" s="33" t="s">
        <v>142</v>
      </c>
      <c r="L14768" s="31" t="str">
        <f t="shared" si="1426"/>
        <v>Enam Puluh Delapan</v>
      </c>
    </row>
    <row r="14769" spans="10:12">
      <c r="J14769" s="31">
        <v>69</v>
      </c>
      <c r="K14769" s="33" t="s">
        <v>143</v>
      </c>
      <c r="L14769" s="31" t="str">
        <f t="shared" si="1426"/>
        <v>Enam Puluh Sembilan</v>
      </c>
    </row>
    <row r="14770" spans="10:12">
      <c r="J14770" s="31">
        <v>70</v>
      </c>
      <c r="K14770" s="33" t="s">
        <v>144</v>
      </c>
      <c r="L14770" s="31" t="s">
        <v>145</v>
      </c>
    </row>
    <row r="14771" spans="10:12">
      <c r="J14771" s="31">
        <v>71</v>
      </c>
      <c r="K14771" s="33" t="s">
        <v>146</v>
      </c>
      <c r="L14771" s="31" t="str">
        <f t="shared" ref="L14771:L14779" si="1427">$L$73&amp;" "&amp;L14701</f>
        <v>Tujuh Puluh Satu</v>
      </c>
    </row>
    <row r="14772" spans="10:12">
      <c r="J14772" s="31">
        <v>72</v>
      </c>
      <c r="K14772" s="33" t="s">
        <v>147</v>
      </c>
      <c r="L14772" s="31" t="str">
        <f t="shared" si="1427"/>
        <v>Tujuh Puluh Dua</v>
      </c>
    </row>
    <row r="14773" spans="10:12">
      <c r="J14773" s="31">
        <v>73</v>
      </c>
      <c r="K14773" s="33" t="s">
        <v>148</v>
      </c>
      <c r="L14773" s="31" t="str">
        <f t="shared" si="1427"/>
        <v>Tujuh Puluh Tiga</v>
      </c>
    </row>
    <row r="14774" spans="10:12">
      <c r="J14774" s="31">
        <v>74</v>
      </c>
      <c r="K14774" s="33" t="s">
        <v>149</v>
      </c>
      <c r="L14774" s="31" t="str">
        <f t="shared" si="1427"/>
        <v>Tujuh Puluh Empat</v>
      </c>
    </row>
    <row r="14775" spans="10:12">
      <c r="J14775" s="31">
        <v>75</v>
      </c>
      <c r="K14775" s="33" t="s">
        <v>150</v>
      </c>
      <c r="L14775" s="31" t="str">
        <f t="shared" si="1427"/>
        <v>Tujuh Puluh Lima</v>
      </c>
    </row>
    <row r="14776" spans="10:12">
      <c r="J14776" s="31">
        <v>76</v>
      </c>
      <c r="K14776" s="33" t="s">
        <v>151</v>
      </c>
      <c r="L14776" s="31" t="str">
        <f t="shared" si="1427"/>
        <v>Tujuh Puluh Enam</v>
      </c>
    </row>
    <row r="14777" spans="10:12">
      <c r="J14777" s="31">
        <v>77</v>
      </c>
      <c r="K14777" s="33" t="s">
        <v>152</v>
      </c>
      <c r="L14777" s="31" t="str">
        <f t="shared" si="1427"/>
        <v>Tujuh Puluh Tujuh</v>
      </c>
    </row>
    <row r="14778" spans="10:12">
      <c r="J14778" s="31">
        <v>78</v>
      </c>
      <c r="K14778" s="33" t="s">
        <v>153</v>
      </c>
      <c r="L14778" s="31" t="str">
        <f t="shared" si="1427"/>
        <v>Tujuh Puluh Delapan</v>
      </c>
    </row>
    <row r="14779" spans="10:12">
      <c r="J14779" s="31">
        <v>79</v>
      </c>
      <c r="K14779" s="33" t="s">
        <v>154</v>
      </c>
      <c r="L14779" s="31" t="str">
        <f t="shared" si="1427"/>
        <v>Tujuh Puluh Sembilan</v>
      </c>
    </row>
    <row r="14780" spans="10:12">
      <c r="J14780" s="31">
        <v>80</v>
      </c>
      <c r="K14780" s="33" t="s">
        <v>155</v>
      </c>
      <c r="L14780" s="31" t="s">
        <v>156</v>
      </c>
    </row>
    <row r="14781" spans="10:12">
      <c r="J14781" s="31">
        <v>81</v>
      </c>
      <c r="K14781" s="33" t="s">
        <v>157</v>
      </c>
      <c r="L14781" s="31" t="str">
        <f t="shared" ref="L14781:L14789" si="1428">$L$83&amp;" "&amp;L14701</f>
        <v>Delapan Puluh Satu</v>
      </c>
    </row>
    <row r="14782" spans="10:12">
      <c r="J14782" s="31">
        <v>82</v>
      </c>
      <c r="K14782" s="33" t="s">
        <v>158</v>
      </c>
      <c r="L14782" s="31" t="str">
        <f t="shared" si="1428"/>
        <v>Delapan Puluh Dua</v>
      </c>
    </row>
    <row r="14783" spans="10:12">
      <c r="J14783" s="31">
        <v>83</v>
      </c>
      <c r="K14783" s="33" t="s">
        <v>159</v>
      </c>
      <c r="L14783" s="31" t="str">
        <f t="shared" si="1428"/>
        <v>Delapan Puluh Tiga</v>
      </c>
    </row>
    <row r="14784" spans="10:12">
      <c r="J14784" s="31">
        <v>84</v>
      </c>
      <c r="K14784" s="33" t="s">
        <v>160</v>
      </c>
      <c r="L14784" s="31" t="str">
        <f t="shared" si="1428"/>
        <v>Delapan Puluh Empat</v>
      </c>
    </row>
    <row r="14785" spans="10:12">
      <c r="J14785" s="31">
        <v>85</v>
      </c>
      <c r="K14785" s="33" t="s">
        <v>161</v>
      </c>
      <c r="L14785" s="31" t="str">
        <f t="shared" si="1428"/>
        <v>Delapan Puluh Lima</v>
      </c>
    </row>
    <row r="14786" spans="10:12">
      <c r="J14786" s="31">
        <v>86</v>
      </c>
      <c r="K14786" s="33" t="s">
        <v>162</v>
      </c>
      <c r="L14786" s="31" t="str">
        <f t="shared" si="1428"/>
        <v>Delapan Puluh Enam</v>
      </c>
    </row>
    <row r="14787" spans="10:12">
      <c r="J14787" s="31">
        <v>87</v>
      </c>
      <c r="K14787" s="33" t="s">
        <v>163</v>
      </c>
      <c r="L14787" s="31" t="str">
        <f t="shared" si="1428"/>
        <v>Delapan Puluh Tujuh</v>
      </c>
    </row>
    <row r="14788" spans="10:12">
      <c r="J14788" s="31">
        <v>88</v>
      </c>
      <c r="K14788" s="33" t="s">
        <v>164</v>
      </c>
      <c r="L14788" s="31" t="str">
        <f t="shared" si="1428"/>
        <v>Delapan Puluh Delapan</v>
      </c>
    </row>
    <row r="14789" spans="10:12">
      <c r="J14789" s="31">
        <v>89</v>
      </c>
      <c r="K14789" s="33" t="s">
        <v>165</v>
      </c>
      <c r="L14789" s="31" t="str">
        <f t="shared" si="1428"/>
        <v>Delapan Puluh Sembilan</v>
      </c>
    </row>
    <row r="14790" spans="10:12">
      <c r="J14790" s="31">
        <v>90</v>
      </c>
      <c r="K14790" s="33" t="s">
        <v>166</v>
      </c>
      <c r="L14790" s="31" t="s">
        <v>167</v>
      </c>
    </row>
    <row r="14791" spans="10:12">
      <c r="J14791" s="31">
        <v>91</v>
      </c>
      <c r="K14791" s="33" t="s">
        <v>168</v>
      </c>
      <c r="L14791" s="31" t="str">
        <f t="shared" ref="L14791:L14799" si="1429">$L$93&amp;" "&amp;L14701</f>
        <v>Sembilan Puluh Satu</v>
      </c>
    </row>
    <row r="14792" spans="10:12">
      <c r="J14792" s="31">
        <v>92</v>
      </c>
      <c r="K14792" s="33" t="s">
        <v>169</v>
      </c>
      <c r="L14792" s="31" t="str">
        <f t="shared" si="1429"/>
        <v>Sembilan Puluh Dua</v>
      </c>
    </row>
    <row r="14793" spans="10:12">
      <c r="J14793" s="31">
        <v>93</v>
      </c>
      <c r="K14793" s="33" t="s">
        <v>170</v>
      </c>
      <c r="L14793" s="31" t="str">
        <f t="shared" si="1429"/>
        <v>Sembilan Puluh Tiga</v>
      </c>
    </row>
    <row r="14794" spans="10:12">
      <c r="J14794" s="31">
        <v>94</v>
      </c>
      <c r="K14794" s="33" t="s">
        <v>171</v>
      </c>
      <c r="L14794" s="31" t="str">
        <f t="shared" si="1429"/>
        <v>Sembilan Puluh Empat</v>
      </c>
    </row>
    <row r="14795" spans="10:12">
      <c r="J14795" s="31">
        <v>95</v>
      </c>
      <c r="K14795" s="33" t="s">
        <v>172</v>
      </c>
      <c r="L14795" s="31" t="str">
        <f t="shared" si="1429"/>
        <v>Sembilan Puluh Lima</v>
      </c>
    </row>
    <row r="14796" spans="10:12">
      <c r="J14796" s="31">
        <v>96</v>
      </c>
      <c r="K14796" s="33" t="s">
        <v>173</v>
      </c>
      <c r="L14796" s="31" t="str">
        <f t="shared" si="1429"/>
        <v>Sembilan Puluh Enam</v>
      </c>
    </row>
    <row r="14797" spans="10:12">
      <c r="J14797" s="31">
        <v>97</v>
      </c>
      <c r="K14797" s="33" t="s">
        <v>174</v>
      </c>
      <c r="L14797" s="31" t="str">
        <f t="shared" si="1429"/>
        <v>Sembilan Puluh Tujuh</v>
      </c>
    </row>
    <row r="14798" spans="10:12">
      <c r="J14798" s="31">
        <v>98</v>
      </c>
      <c r="K14798" s="33" t="s">
        <v>175</v>
      </c>
      <c r="L14798" s="31" t="str">
        <f t="shared" si="1429"/>
        <v>Sembilan Puluh Delapan</v>
      </c>
    </row>
    <row r="14799" spans="10:12">
      <c r="J14799" s="31">
        <v>99</v>
      </c>
      <c r="K14799" s="33" t="s">
        <v>176</v>
      </c>
      <c r="L14799" s="31" t="str">
        <f t="shared" si="1429"/>
        <v>Sembilan Puluh Sembilan</v>
      </c>
    </row>
    <row r="14801" spans="1:12">
      <c r="A14801" s="30" t="e">
        <f>#REF!</f>
        <v>#REF!</v>
      </c>
      <c r="C14801" s="31" t="s">
        <v>381</v>
      </c>
    </row>
    <row r="14802" spans="1:12">
      <c r="A14802" s="32"/>
    </row>
    <row r="14803" spans="1:12">
      <c r="J14803" s="31">
        <v>0</v>
      </c>
      <c r="K14803" s="33" t="s">
        <v>48</v>
      </c>
      <c r="L14803" s="31" t="s">
        <v>49</v>
      </c>
    </row>
    <row r="14804" spans="1:12">
      <c r="A14804" s="34"/>
      <c r="J14804" s="31">
        <v>1</v>
      </c>
      <c r="K14804" s="33" t="s">
        <v>50</v>
      </c>
      <c r="L14804" s="31" t="s">
        <v>51</v>
      </c>
    </row>
    <row r="14805" spans="1:12">
      <c r="A14805" s="255" t="e">
        <f>TRIM(D14813&amp;E14813&amp;D14814&amp;E14814&amp;D14815&amp;E14815&amp;D14816&amp;E14816&amp;D14817&amp;E14817&amp;D14818&amp;E14818&amp;E14819&amp;D14819&amp;" Only")</f>
        <v>#REF!</v>
      </c>
      <c r="B14805" s="255"/>
      <c r="C14805" s="255"/>
      <c r="D14805" s="255"/>
      <c r="E14805" s="35"/>
      <c r="F14805" s="36"/>
      <c r="J14805" s="31">
        <v>2</v>
      </c>
      <c r="K14805" s="33" t="s">
        <v>52</v>
      </c>
      <c r="L14805" s="31" t="s">
        <v>53</v>
      </c>
    </row>
    <row r="14806" spans="1:12">
      <c r="A14806" s="115"/>
      <c r="B14806" s="115"/>
      <c r="C14806" s="115"/>
      <c r="D14806" s="115"/>
      <c r="E14806" s="35"/>
      <c r="F14806" s="36"/>
      <c r="J14806" s="31">
        <v>3</v>
      </c>
      <c r="K14806" s="33" t="s">
        <v>54</v>
      </c>
      <c r="L14806" s="31" t="s">
        <v>55</v>
      </c>
    </row>
    <row r="14807" spans="1:12">
      <c r="A14807" s="115"/>
      <c r="B14807" s="115"/>
      <c r="C14807" s="115"/>
      <c r="D14807" s="115"/>
      <c r="J14807" s="31">
        <v>4</v>
      </c>
      <c r="K14807" s="33" t="s">
        <v>56</v>
      </c>
      <c r="L14807" s="31" t="s">
        <v>57</v>
      </c>
    </row>
    <row r="14808" spans="1:12">
      <c r="A14808" s="255" t="e">
        <f>TRIM(D14823&amp;E14823&amp;D14824&amp;E14824&amp;D14825&amp;E14825&amp;D14826&amp;E14826&amp;D14827&amp;E14827&amp;D14828&amp;E14828&amp;D14829&amp;E14829&amp;" Rupiah")</f>
        <v>#REF!</v>
      </c>
      <c r="B14808" s="255"/>
      <c r="C14808" s="255"/>
      <c r="D14808" s="255"/>
      <c r="E14808" s="35"/>
      <c r="F14808" s="36"/>
      <c r="J14808" s="31">
        <v>5</v>
      </c>
      <c r="K14808" s="33" t="s">
        <v>58</v>
      </c>
      <c r="L14808" s="31" t="s">
        <v>59</v>
      </c>
    </row>
    <row r="14809" spans="1:12">
      <c r="A14809" s="35"/>
      <c r="B14809" s="35"/>
      <c r="C14809" s="35"/>
      <c r="D14809" s="35"/>
      <c r="E14809" s="35"/>
      <c r="F14809" s="36"/>
      <c r="J14809" s="31">
        <v>6</v>
      </c>
      <c r="K14809" s="33" t="s">
        <v>60</v>
      </c>
      <c r="L14809" s="31" t="s">
        <v>61</v>
      </c>
    </row>
    <row r="14810" spans="1:12">
      <c r="J14810" s="31">
        <v>7</v>
      </c>
      <c r="K14810" s="33" t="s">
        <v>62</v>
      </c>
      <c r="L14810" s="31" t="s">
        <v>63</v>
      </c>
    </row>
    <row r="14811" spans="1:12">
      <c r="J14811" s="31">
        <v>8</v>
      </c>
      <c r="K14811" s="33" t="s">
        <v>64</v>
      </c>
      <c r="L14811" s="31" t="s">
        <v>65</v>
      </c>
    </row>
    <row r="14812" spans="1:12">
      <c r="A14812" s="38" t="s">
        <v>66</v>
      </c>
      <c r="J14812" s="31">
        <v>9</v>
      </c>
      <c r="K14812" s="33" t="s">
        <v>67</v>
      </c>
      <c r="L14812" s="31" t="s">
        <v>68</v>
      </c>
    </row>
    <row r="14813" spans="1:12">
      <c r="A14813" s="31" t="s">
        <v>69</v>
      </c>
      <c r="B14813" s="39" t="e">
        <f>TRUNC(A14801/100000000)</f>
        <v>#REF!</v>
      </c>
      <c r="C14813" s="31" t="e">
        <f>B14813*100000000</f>
        <v>#REF!</v>
      </c>
      <c r="D14813" s="31" t="e">
        <f t="shared" ref="D14813:D14819" si="1430">IF(B14813&lt;1,"",VLOOKUP(B14813,$J$3:$K$102,2))</f>
        <v>#REF!</v>
      </c>
      <c r="E14813" s="31" t="e">
        <f>IF(B14813&lt;1,"",IF(B14813&gt;1," Hundreds "," Hundred "))</f>
        <v>#REF!</v>
      </c>
      <c r="J14813" s="31">
        <v>10</v>
      </c>
      <c r="K14813" s="33" t="s">
        <v>70</v>
      </c>
      <c r="L14813" s="31" t="s">
        <v>71</v>
      </c>
    </row>
    <row r="14814" spans="1:12">
      <c r="A14814" s="31" t="s">
        <v>72</v>
      </c>
      <c r="B14814" s="39" t="e">
        <f>TRUNC((A14801-C14813)/1000000)</f>
        <v>#REF!</v>
      </c>
      <c r="C14814" s="31" t="e">
        <f>B14814*1000000</f>
        <v>#REF!</v>
      </c>
      <c r="D14814" s="31" t="e">
        <f t="shared" si="1430"/>
        <v>#REF!</v>
      </c>
      <c r="E14814" s="31" t="e">
        <f>IF(B14813+B14814=0,"",IF(B14814=1," Million "," Millions "))</f>
        <v>#REF!</v>
      </c>
      <c r="J14814" s="31">
        <v>11</v>
      </c>
      <c r="K14814" s="33" t="s">
        <v>73</v>
      </c>
      <c r="L14814" s="31" t="s">
        <v>74</v>
      </c>
    </row>
    <row r="14815" spans="1:12">
      <c r="A14815" s="31" t="s">
        <v>75</v>
      </c>
      <c r="B14815" s="39" t="e">
        <f>TRUNC((A14801-SUM(C14813:C14814))/100000)</f>
        <v>#REF!</v>
      </c>
      <c r="C14815" s="31" t="e">
        <f>B14815*100000</f>
        <v>#REF!</v>
      </c>
      <c r="D14815" s="31" t="e">
        <f t="shared" si="1430"/>
        <v>#REF!</v>
      </c>
      <c r="E14815" s="31" t="e">
        <f>IF(B14815&lt;1,"",IF(B14815&gt;1," Hundreds "," Hundred "))</f>
        <v>#REF!</v>
      </c>
      <c r="J14815" s="31">
        <v>12</v>
      </c>
      <c r="K14815" s="33" t="s">
        <v>76</v>
      </c>
      <c r="L14815" s="31" t="str">
        <f t="shared" ref="L14815:L14822" si="1431">L14805&amp;" Belas"</f>
        <v>Dua Belas</v>
      </c>
    </row>
    <row r="14816" spans="1:12">
      <c r="A14816" s="33" t="s">
        <v>77</v>
      </c>
      <c r="B14816" s="40" t="e">
        <f>TRUNC((A14801-SUM(C14813:C14815))/1000)</f>
        <v>#REF!</v>
      </c>
      <c r="C14816" s="31" t="e">
        <f>B14816*1000</f>
        <v>#REF!</v>
      </c>
      <c r="D14816" s="31" t="e">
        <f t="shared" si="1430"/>
        <v>#REF!</v>
      </c>
      <c r="E14816" s="31" t="e">
        <f>IF(B14815+B14816=0,"",IF(B14816=1," Thousand "," Thousands "))</f>
        <v>#REF!</v>
      </c>
      <c r="J14816" s="31">
        <v>13</v>
      </c>
      <c r="K14816" s="33" t="s">
        <v>78</v>
      </c>
      <c r="L14816" s="31" t="str">
        <f t="shared" si="1431"/>
        <v>Tiga Belas</v>
      </c>
    </row>
    <row r="14817" spans="1:12">
      <c r="A14817" s="33" t="s">
        <v>79</v>
      </c>
      <c r="B14817" s="40" t="e">
        <f>TRUNC((A14801-SUM(C14813:C14816))/100)</f>
        <v>#REF!</v>
      </c>
      <c r="C14817" s="31" t="e">
        <f>B14817*100</f>
        <v>#REF!</v>
      </c>
      <c r="D14817" s="31" t="e">
        <f t="shared" si="1430"/>
        <v>#REF!</v>
      </c>
      <c r="E14817" s="31" t="e">
        <f>IF(B14817&lt;1,"",IF(B14817&gt;1," Hundreds "," Hundred "))</f>
        <v>#REF!</v>
      </c>
      <c r="J14817" s="31">
        <v>14</v>
      </c>
      <c r="K14817" s="33" t="s">
        <v>80</v>
      </c>
      <c r="L14817" s="31" t="str">
        <f t="shared" si="1431"/>
        <v>Empat Belas</v>
      </c>
    </row>
    <row r="14818" spans="1:12">
      <c r="A14818" s="33" t="s">
        <v>81</v>
      </c>
      <c r="B14818" s="41" t="e">
        <f>TRUNC((A14801-SUM(C14813:C14817)))</f>
        <v>#REF!</v>
      </c>
      <c r="C14818" s="42" t="e">
        <f>B14818</f>
        <v>#REF!</v>
      </c>
      <c r="D14818" s="31" t="e">
        <f t="shared" si="1430"/>
        <v>#REF!</v>
      </c>
      <c r="E14818" s="31" t="e">
        <f>IF(SUM(C14813:C14818)&lt;1,"",IF(B14819&lt;1,""," And "))</f>
        <v>#REF!</v>
      </c>
      <c r="J14818" s="31">
        <v>15</v>
      </c>
      <c r="K14818" s="33" t="s">
        <v>82</v>
      </c>
      <c r="L14818" s="31" t="str">
        <f t="shared" si="1431"/>
        <v>Lima Belas</v>
      </c>
    </row>
    <row r="14819" spans="1:12">
      <c r="A14819" s="33" t="s">
        <v>83</v>
      </c>
      <c r="B14819" s="40" t="e">
        <f>ROUND(A14801-SUM(C14813:C14818),2)*100</f>
        <v>#REF!</v>
      </c>
      <c r="D14819" s="43" t="e">
        <f t="shared" si="1430"/>
        <v>#REF!</v>
      </c>
      <c r="E14819" s="31" t="e">
        <f>IF(B14819&lt;1,"",IF(B14819=1," Cent "," Cents "))</f>
        <v>#REF!</v>
      </c>
      <c r="J14819" s="31">
        <v>16</v>
      </c>
      <c r="K14819" s="33" t="s">
        <v>84</v>
      </c>
      <c r="L14819" s="31" t="str">
        <f t="shared" si="1431"/>
        <v>Enam Belas</v>
      </c>
    </row>
    <row r="14820" spans="1:12">
      <c r="J14820" s="31">
        <v>17</v>
      </c>
      <c r="K14820" s="33" t="s">
        <v>85</v>
      </c>
      <c r="L14820" s="31" t="str">
        <f t="shared" si="1431"/>
        <v>Tujuh Belas</v>
      </c>
    </row>
    <row r="14821" spans="1:12">
      <c r="A14821" s="44"/>
      <c r="J14821" s="31">
        <v>18</v>
      </c>
      <c r="K14821" s="33" t="s">
        <v>86</v>
      </c>
      <c r="L14821" s="31" t="str">
        <f t="shared" si="1431"/>
        <v>Delapan Belas</v>
      </c>
    </row>
    <row r="14822" spans="1:12">
      <c r="A14822" s="38" t="s">
        <v>87</v>
      </c>
      <c r="J14822" s="31">
        <v>19</v>
      </c>
      <c r="K14822" s="33" t="s">
        <v>88</v>
      </c>
      <c r="L14822" s="31" t="str">
        <f t="shared" si="1431"/>
        <v>Sembilan Belas</v>
      </c>
    </row>
    <row r="14823" spans="1:12">
      <c r="A14823" s="31" t="s">
        <v>69</v>
      </c>
      <c r="B14823" s="39" t="e">
        <f>TRUNC(A14801/100000000)</f>
        <v>#REF!</v>
      </c>
      <c r="C14823" s="31" t="e">
        <f>B14823*100000000</f>
        <v>#REF!</v>
      </c>
      <c r="D14823" s="31" t="e">
        <f>IF(B14823&lt;1,"",IF(B14823=1,"",VLOOKUP(B14823,$J$3:$L$102,3)))</f>
        <v>#REF!</v>
      </c>
      <c r="E14823" s="31" t="e">
        <f>IF(B14823&lt;1,"",IF(B14823=1,"Seratus "," Ratus "))</f>
        <v>#REF!</v>
      </c>
      <c r="J14823" s="31">
        <v>20</v>
      </c>
      <c r="K14823" s="33" t="s">
        <v>89</v>
      </c>
      <c r="L14823" s="31" t="s">
        <v>90</v>
      </c>
    </row>
    <row r="14824" spans="1:12">
      <c r="A14824" s="31" t="s">
        <v>72</v>
      </c>
      <c r="B14824" s="39" t="e">
        <f>TRUNC((A14801-C14823)/1000000)</f>
        <v>#REF!</v>
      </c>
      <c r="C14824" s="31" t="e">
        <f>B14824*1000000</f>
        <v>#REF!</v>
      </c>
      <c r="D14824" s="31" t="e">
        <f>IF(B14824&lt;1,"",VLOOKUP(B14824,$J$3:$L$102,3))</f>
        <v>#REF!</v>
      </c>
      <c r="E14824" s="31" t="e">
        <f>IF(B14823+B14824=0,""," Juta ")</f>
        <v>#REF!</v>
      </c>
      <c r="J14824" s="31">
        <v>21</v>
      </c>
      <c r="K14824" s="33" t="s">
        <v>91</v>
      </c>
      <c r="L14824" s="31" t="str">
        <f t="shared" ref="L14824:L14832" si="1432">$L$23&amp;" "&amp;L14804</f>
        <v>Dua Puluh Satu</v>
      </c>
    </row>
    <row r="14825" spans="1:12">
      <c r="A14825" s="31" t="s">
        <v>75</v>
      </c>
      <c r="B14825" s="39" t="e">
        <f>TRUNC((A14801-SUM(C14823:C14824))/100000)</f>
        <v>#REF!</v>
      </c>
      <c r="C14825" s="31" t="e">
        <f>B14825*100000</f>
        <v>#REF!</v>
      </c>
      <c r="D14825" s="31" t="e">
        <f>IF(B14825&lt;1,"",IF(B14825=1,"",VLOOKUP(B14825,$J$3:$L$102,3)))</f>
        <v>#REF!</v>
      </c>
      <c r="E14825" s="31" t="e">
        <f>IF(B14825&lt;1,"",IF(B14825=1," Seratus "," Ratus "))</f>
        <v>#REF!</v>
      </c>
      <c r="J14825" s="31">
        <v>22</v>
      </c>
      <c r="K14825" s="33" t="s">
        <v>92</v>
      </c>
      <c r="L14825" s="31" t="str">
        <f t="shared" si="1432"/>
        <v>Dua Puluh Dua</v>
      </c>
    </row>
    <row r="14826" spans="1:12">
      <c r="A14826" s="33" t="s">
        <v>77</v>
      </c>
      <c r="B14826" s="40" t="e">
        <f>TRUNC((A14801-SUM(C14823:C14825))/1000)</f>
        <v>#REF!</v>
      </c>
      <c r="C14826" s="31" t="e">
        <f>B14826*1000</f>
        <v>#REF!</v>
      </c>
      <c r="D14826" s="31" t="e">
        <f>IF(B14826&lt;1,"",IF(B14826=1,"",VLOOKUP(B14826,$J$3:$L$102,3)))</f>
        <v>#REF!</v>
      </c>
      <c r="E14826" s="31" t="e">
        <f>IF(B14825+B14826&lt;1,"",IF(B14826=1," Seribu "," Ribu "))</f>
        <v>#REF!</v>
      </c>
      <c r="J14826" s="31">
        <v>23</v>
      </c>
      <c r="K14826" s="33" t="s">
        <v>93</v>
      </c>
      <c r="L14826" s="31" t="str">
        <f t="shared" si="1432"/>
        <v>Dua Puluh Tiga</v>
      </c>
    </row>
    <row r="14827" spans="1:12">
      <c r="A14827" s="33" t="s">
        <v>79</v>
      </c>
      <c r="B14827" s="40" t="e">
        <f>TRUNC((A14801-SUM(C14823:C14826))/100)</f>
        <v>#REF!</v>
      </c>
      <c r="C14827" s="31" t="e">
        <f>B14827*100</f>
        <v>#REF!</v>
      </c>
      <c r="D14827" s="31" t="e">
        <f>IF(B14827&lt;1,"",IF(B14827=1,"",VLOOKUP(B14827,$J$3:$L$102,3)))</f>
        <v>#REF!</v>
      </c>
      <c r="E14827" s="31" t="e">
        <f>IF(B14827&lt;1,"",IF(B14827=1," Seratus "," Ratus "))</f>
        <v>#REF!</v>
      </c>
      <c r="J14827" s="31">
        <v>24</v>
      </c>
      <c r="K14827" s="33" t="s">
        <v>94</v>
      </c>
      <c r="L14827" s="31" t="str">
        <f t="shared" si="1432"/>
        <v>Dua Puluh Empat</v>
      </c>
    </row>
    <row r="14828" spans="1:12">
      <c r="A14828" s="33" t="s">
        <v>81</v>
      </c>
      <c r="B14828" s="41" t="e">
        <f>TRUNC((A14801-SUM(C14823:C14827)))</f>
        <v>#REF!</v>
      </c>
      <c r="C14828" s="42" t="e">
        <f>B14828</f>
        <v>#REF!</v>
      </c>
      <c r="D14828" s="31" t="e">
        <f>IF(B14828&lt;1,"",VLOOKUP(B14828,$J$3:$L$102,3))</f>
        <v>#REF!</v>
      </c>
      <c r="E14828" s="31" t="e">
        <f>IF(SUM(C14823:C14828)&lt;1,"",IF(B14829&lt;1,""," Dan "))</f>
        <v>#REF!</v>
      </c>
      <c r="J14828" s="31">
        <v>25</v>
      </c>
      <c r="K14828" s="33" t="s">
        <v>95</v>
      </c>
      <c r="L14828" s="31" t="str">
        <f t="shared" si="1432"/>
        <v>Dua Puluh Lima</v>
      </c>
    </row>
    <row r="14829" spans="1:12">
      <c r="A14829" s="33" t="s">
        <v>83</v>
      </c>
      <c r="B14829" s="40" t="e">
        <f>ROUND(A14801-SUM(C14823:C14828),2)*100</f>
        <v>#REF!</v>
      </c>
      <c r="D14829" s="31" t="e">
        <f>IF(B14829&lt;1,"",VLOOKUP(B14829,$J$3:$L$102,3))</f>
        <v>#REF!</v>
      </c>
      <c r="E14829" s="31" t="e">
        <f>IF(B14829&lt;1,""," Sen ")</f>
        <v>#REF!</v>
      </c>
      <c r="J14829" s="31">
        <v>26</v>
      </c>
      <c r="K14829" s="33" t="s">
        <v>96</v>
      </c>
      <c r="L14829" s="31" t="str">
        <f t="shared" si="1432"/>
        <v>Dua Puluh Enam</v>
      </c>
    </row>
    <row r="14830" spans="1:12">
      <c r="J14830" s="31">
        <v>27</v>
      </c>
      <c r="K14830" s="33" t="s">
        <v>97</v>
      </c>
      <c r="L14830" s="31" t="str">
        <f t="shared" si="1432"/>
        <v>Dua Puluh Tujuh</v>
      </c>
    </row>
    <row r="14831" spans="1:12">
      <c r="J14831" s="31">
        <v>28</v>
      </c>
      <c r="K14831" s="33" t="s">
        <v>98</v>
      </c>
      <c r="L14831" s="31" t="str">
        <f t="shared" si="1432"/>
        <v>Dua Puluh Delapan</v>
      </c>
    </row>
    <row r="14832" spans="1:12">
      <c r="J14832" s="31">
        <v>29</v>
      </c>
      <c r="K14832" s="33" t="s">
        <v>99</v>
      </c>
      <c r="L14832" s="31" t="str">
        <f t="shared" si="1432"/>
        <v>Dua Puluh Sembilan</v>
      </c>
    </row>
    <row r="14833" spans="1:12">
      <c r="J14833" s="31">
        <v>30</v>
      </c>
      <c r="K14833" s="33" t="s">
        <v>100</v>
      </c>
      <c r="L14833" s="31" t="s">
        <v>101</v>
      </c>
    </row>
    <row r="14834" spans="1:12">
      <c r="J14834" s="31">
        <v>31</v>
      </c>
      <c r="K14834" s="33" t="s">
        <v>102</v>
      </c>
      <c r="L14834" s="31" t="str">
        <f t="shared" ref="L14834:L14842" si="1433">$L$33&amp;" "&amp;L14804</f>
        <v>Tiga Puluh Satu</v>
      </c>
    </row>
    <row r="14835" spans="1:12">
      <c r="J14835" s="31">
        <v>32</v>
      </c>
      <c r="K14835" s="33" t="s">
        <v>103</v>
      </c>
      <c r="L14835" s="31" t="str">
        <f t="shared" si="1433"/>
        <v>Tiga Puluh Dua</v>
      </c>
    </row>
    <row r="14836" spans="1:12">
      <c r="J14836" s="31">
        <v>33</v>
      </c>
      <c r="K14836" s="33" t="s">
        <v>104</v>
      </c>
      <c r="L14836" s="31" t="str">
        <f t="shared" si="1433"/>
        <v>Tiga Puluh Tiga</v>
      </c>
    </row>
    <row r="14837" spans="1:12">
      <c r="J14837" s="31">
        <v>34</v>
      </c>
      <c r="K14837" s="33" t="s">
        <v>105</v>
      </c>
      <c r="L14837" s="31" t="str">
        <f t="shared" si="1433"/>
        <v>Tiga Puluh Empat</v>
      </c>
    </row>
    <row r="14838" spans="1:12">
      <c r="J14838" s="31">
        <v>35</v>
      </c>
      <c r="K14838" s="33" t="s">
        <v>106</v>
      </c>
      <c r="L14838" s="31" t="str">
        <f t="shared" si="1433"/>
        <v>Tiga Puluh Lima</v>
      </c>
    </row>
    <row r="14839" spans="1:12">
      <c r="J14839" s="31">
        <v>36</v>
      </c>
      <c r="K14839" s="33" t="s">
        <v>107</v>
      </c>
      <c r="L14839" s="31" t="str">
        <f t="shared" si="1433"/>
        <v>Tiga Puluh Enam</v>
      </c>
    </row>
    <row r="14840" spans="1:12">
      <c r="J14840" s="31">
        <v>37</v>
      </c>
      <c r="K14840" s="33" t="s">
        <v>108</v>
      </c>
      <c r="L14840" s="31" t="str">
        <f t="shared" si="1433"/>
        <v>Tiga Puluh Tujuh</v>
      </c>
    </row>
    <row r="14841" spans="1:12">
      <c r="J14841" s="31">
        <v>38</v>
      </c>
      <c r="K14841" s="33" t="s">
        <v>109</v>
      </c>
      <c r="L14841" s="31" t="str">
        <f t="shared" si="1433"/>
        <v>Tiga Puluh Delapan</v>
      </c>
    </row>
    <row r="14842" spans="1:12">
      <c r="J14842" s="31">
        <v>39</v>
      </c>
      <c r="K14842" s="33" t="s">
        <v>110</v>
      </c>
      <c r="L14842" s="31" t="str">
        <f t="shared" si="1433"/>
        <v>Tiga Puluh Sembilan</v>
      </c>
    </row>
    <row r="14843" spans="1:12">
      <c r="B14843" s="35"/>
      <c r="C14843" s="35"/>
      <c r="D14843" s="35"/>
      <c r="J14843" s="31">
        <v>40</v>
      </c>
      <c r="K14843" s="33" t="s">
        <v>111</v>
      </c>
      <c r="L14843" s="31" t="s">
        <v>112</v>
      </c>
    </row>
    <row r="14844" spans="1:12">
      <c r="A14844" s="35"/>
      <c r="B14844" s="35"/>
      <c r="C14844" s="35"/>
      <c r="D14844" s="35"/>
      <c r="J14844" s="31">
        <v>41</v>
      </c>
      <c r="K14844" s="33" t="s">
        <v>113</v>
      </c>
      <c r="L14844" s="31" t="str">
        <f t="shared" ref="L14844:L14852" si="1434">$L$43&amp;" "&amp;L14804</f>
        <v>Empat Puluh Satu</v>
      </c>
    </row>
    <row r="14845" spans="1:12">
      <c r="J14845" s="31">
        <v>42</v>
      </c>
      <c r="K14845" s="33" t="s">
        <v>114</v>
      </c>
      <c r="L14845" s="31" t="str">
        <f t="shared" si="1434"/>
        <v>Empat Puluh Dua</v>
      </c>
    </row>
    <row r="14846" spans="1:12">
      <c r="A14846" s="38"/>
      <c r="J14846" s="31">
        <v>43</v>
      </c>
      <c r="K14846" s="33" t="s">
        <v>115</v>
      </c>
      <c r="L14846" s="31" t="str">
        <f t="shared" si="1434"/>
        <v>Empat Puluh Tiga</v>
      </c>
    </row>
    <row r="14847" spans="1:12">
      <c r="J14847" s="31">
        <v>44</v>
      </c>
      <c r="K14847" s="33" t="s">
        <v>116</v>
      </c>
      <c r="L14847" s="31" t="str">
        <f t="shared" si="1434"/>
        <v>Empat Puluh Empat</v>
      </c>
    </row>
    <row r="14848" spans="1:12">
      <c r="J14848" s="31">
        <v>45</v>
      </c>
      <c r="K14848" s="33" t="s">
        <v>117</v>
      </c>
      <c r="L14848" s="31" t="str">
        <f t="shared" si="1434"/>
        <v>Empat Puluh Lima</v>
      </c>
    </row>
    <row r="14849" spans="10:12">
      <c r="J14849" s="31">
        <v>46</v>
      </c>
      <c r="K14849" s="33" t="s">
        <v>118</v>
      </c>
      <c r="L14849" s="31" t="str">
        <f t="shared" si="1434"/>
        <v>Empat Puluh Enam</v>
      </c>
    </row>
    <row r="14850" spans="10:12">
      <c r="J14850" s="31">
        <v>47</v>
      </c>
      <c r="K14850" s="33" t="s">
        <v>119</v>
      </c>
      <c r="L14850" s="31" t="str">
        <f t="shared" si="1434"/>
        <v>Empat Puluh Tujuh</v>
      </c>
    </row>
    <row r="14851" spans="10:12">
      <c r="J14851" s="31">
        <v>48</v>
      </c>
      <c r="K14851" s="33" t="s">
        <v>120</v>
      </c>
      <c r="L14851" s="31" t="str">
        <f t="shared" si="1434"/>
        <v>Empat Puluh Delapan</v>
      </c>
    </row>
    <row r="14852" spans="10:12">
      <c r="J14852" s="31">
        <v>49</v>
      </c>
      <c r="K14852" s="33" t="s">
        <v>121</v>
      </c>
      <c r="L14852" s="31" t="str">
        <f t="shared" si="1434"/>
        <v>Empat Puluh Sembilan</v>
      </c>
    </row>
    <row r="14853" spans="10:12">
      <c r="J14853" s="31">
        <v>50</v>
      </c>
      <c r="K14853" s="33" t="s">
        <v>122</v>
      </c>
      <c r="L14853" s="31" t="s">
        <v>123</v>
      </c>
    </row>
    <row r="14854" spans="10:12">
      <c r="J14854" s="31">
        <v>51</v>
      </c>
      <c r="K14854" s="33" t="s">
        <v>124</v>
      </c>
      <c r="L14854" s="31" t="str">
        <f t="shared" ref="L14854:L14862" si="1435">$L$53&amp;" "&amp;L14804</f>
        <v>Lima Puluh Satu</v>
      </c>
    </row>
    <row r="14855" spans="10:12">
      <c r="J14855" s="31">
        <v>52</v>
      </c>
      <c r="K14855" s="33" t="s">
        <v>125</v>
      </c>
      <c r="L14855" s="31" t="str">
        <f t="shared" si="1435"/>
        <v>Lima Puluh Dua</v>
      </c>
    </row>
    <row r="14856" spans="10:12">
      <c r="J14856" s="31">
        <v>53</v>
      </c>
      <c r="K14856" s="33" t="s">
        <v>126</v>
      </c>
      <c r="L14856" s="31" t="str">
        <f t="shared" si="1435"/>
        <v>Lima Puluh Tiga</v>
      </c>
    </row>
    <row r="14857" spans="10:12">
      <c r="J14857" s="31">
        <v>54</v>
      </c>
      <c r="K14857" s="33" t="s">
        <v>127</v>
      </c>
      <c r="L14857" s="31" t="str">
        <f t="shared" si="1435"/>
        <v>Lima Puluh Empat</v>
      </c>
    </row>
    <row r="14858" spans="10:12">
      <c r="J14858" s="31">
        <v>55</v>
      </c>
      <c r="K14858" s="33" t="s">
        <v>128</v>
      </c>
      <c r="L14858" s="31" t="str">
        <f t="shared" si="1435"/>
        <v>Lima Puluh Lima</v>
      </c>
    </row>
    <row r="14859" spans="10:12">
      <c r="J14859" s="31">
        <v>56</v>
      </c>
      <c r="K14859" s="33" t="s">
        <v>129</v>
      </c>
      <c r="L14859" s="31" t="str">
        <f t="shared" si="1435"/>
        <v>Lima Puluh Enam</v>
      </c>
    </row>
    <row r="14860" spans="10:12">
      <c r="J14860" s="31">
        <v>57</v>
      </c>
      <c r="K14860" s="33" t="s">
        <v>130</v>
      </c>
      <c r="L14860" s="31" t="str">
        <f t="shared" si="1435"/>
        <v>Lima Puluh Tujuh</v>
      </c>
    </row>
    <row r="14861" spans="10:12">
      <c r="J14861" s="31">
        <v>58</v>
      </c>
      <c r="K14861" s="33" t="s">
        <v>131</v>
      </c>
      <c r="L14861" s="31" t="str">
        <f t="shared" si="1435"/>
        <v>Lima Puluh Delapan</v>
      </c>
    </row>
    <row r="14862" spans="10:12">
      <c r="J14862" s="31">
        <v>59</v>
      </c>
      <c r="K14862" s="33" t="s">
        <v>132</v>
      </c>
      <c r="L14862" s="31" t="str">
        <f t="shared" si="1435"/>
        <v>Lima Puluh Sembilan</v>
      </c>
    </row>
    <row r="14863" spans="10:12">
      <c r="J14863" s="31">
        <v>60</v>
      </c>
      <c r="K14863" s="33" t="s">
        <v>133</v>
      </c>
      <c r="L14863" s="31" t="s">
        <v>134</v>
      </c>
    </row>
    <row r="14864" spans="10:12">
      <c r="J14864" s="31">
        <v>61</v>
      </c>
      <c r="K14864" s="33" t="s">
        <v>135</v>
      </c>
      <c r="L14864" s="31" t="str">
        <f t="shared" ref="L14864:L14872" si="1436">$L$63&amp;" "&amp;L14804</f>
        <v>Enam Puluh Satu</v>
      </c>
    </row>
    <row r="14865" spans="10:12">
      <c r="J14865" s="31">
        <v>62</v>
      </c>
      <c r="K14865" s="33" t="s">
        <v>136</v>
      </c>
      <c r="L14865" s="31" t="str">
        <f t="shared" si="1436"/>
        <v>Enam Puluh Dua</v>
      </c>
    </row>
    <row r="14866" spans="10:12">
      <c r="J14866" s="31">
        <v>63</v>
      </c>
      <c r="K14866" s="33" t="s">
        <v>137</v>
      </c>
      <c r="L14866" s="31" t="str">
        <f t="shared" si="1436"/>
        <v>Enam Puluh Tiga</v>
      </c>
    </row>
    <row r="14867" spans="10:12">
      <c r="J14867" s="31">
        <v>64</v>
      </c>
      <c r="K14867" s="33" t="s">
        <v>138</v>
      </c>
      <c r="L14867" s="31" t="str">
        <f t="shared" si="1436"/>
        <v>Enam Puluh Empat</v>
      </c>
    </row>
    <row r="14868" spans="10:12">
      <c r="J14868" s="31">
        <v>65</v>
      </c>
      <c r="K14868" s="33" t="s">
        <v>139</v>
      </c>
      <c r="L14868" s="31" t="str">
        <f t="shared" si="1436"/>
        <v>Enam Puluh Lima</v>
      </c>
    </row>
    <row r="14869" spans="10:12">
      <c r="J14869" s="31">
        <v>66</v>
      </c>
      <c r="K14869" s="33" t="s">
        <v>140</v>
      </c>
      <c r="L14869" s="31" t="str">
        <f t="shared" si="1436"/>
        <v>Enam Puluh Enam</v>
      </c>
    </row>
    <row r="14870" spans="10:12">
      <c r="J14870" s="31">
        <v>67</v>
      </c>
      <c r="K14870" s="33" t="s">
        <v>141</v>
      </c>
      <c r="L14870" s="31" t="str">
        <f t="shared" si="1436"/>
        <v>Enam Puluh Tujuh</v>
      </c>
    </row>
    <row r="14871" spans="10:12">
      <c r="J14871" s="31">
        <v>68</v>
      </c>
      <c r="K14871" s="33" t="s">
        <v>142</v>
      </c>
      <c r="L14871" s="31" t="str">
        <f t="shared" si="1436"/>
        <v>Enam Puluh Delapan</v>
      </c>
    </row>
    <row r="14872" spans="10:12">
      <c r="J14872" s="31">
        <v>69</v>
      </c>
      <c r="K14872" s="33" t="s">
        <v>143</v>
      </c>
      <c r="L14872" s="31" t="str">
        <f t="shared" si="1436"/>
        <v>Enam Puluh Sembilan</v>
      </c>
    </row>
    <row r="14873" spans="10:12">
      <c r="J14873" s="31">
        <v>70</v>
      </c>
      <c r="K14873" s="33" t="s">
        <v>144</v>
      </c>
      <c r="L14873" s="31" t="s">
        <v>145</v>
      </c>
    </row>
    <row r="14874" spans="10:12">
      <c r="J14874" s="31">
        <v>71</v>
      </c>
      <c r="K14874" s="33" t="s">
        <v>146</v>
      </c>
      <c r="L14874" s="31" t="str">
        <f t="shared" ref="L14874:L14882" si="1437">$L$73&amp;" "&amp;L14804</f>
        <v>Tujuh Puluh Satu</v>
      </c>
    </row>
    <row r="14875" spans="10:12">
      <c r="J14875" s="31">
        <v>72</v>
      </c>
      <c r="K14875" s="33" t="s">
        <v>147</v>
      </c>
      <c r="L14875" s="31" t="str">
        <f t="shared" si="1437"/>
        <v>Tujuh Puluh Dua</v>
      </c>
    </row>
    <row r="14876" spans="10:12">
      <c r="J14876" s="31">
        <v>73</v>
      </c>
      <c r="K14876" s="33" t="s">
        <v>148</v>
      </c>
      <c r="L14876" s="31" t="str">
        <f t="shared" si="1437"/>
        <v>Tujuh Puluh Tiga</v>
      </c>
    </row>
    <row r="14877" spans="10:12">
      <c r="J14877" s="31">
        <v>74</v>
      </c>
      <c r="K14877" s="33" t="s">
        <v>149</v>
      </c>
      <c r="L14877" s="31" t="str">
        <f t="shared" si="1437"/>
        <v>Tujuh Puluh Empat</v>
      </c>
    </row>
    <row r="14878" spans="10:12">
      <c r="J14878" s="31">
        <v>75</v>
      </c>
      <c r="K14878" s="33" t="s">
        <v>150</v>
      </c>
      <c r="L14878" s="31" t="str">
        <f t="shared" si="1437"/>
        <v>Tujuh Puluh Lima</v>
      </c>
    </row>
    <row r="14879" spans="10:12">
      <c r="J14879" s="31">
        <v>76</v>
      </c>
      <c r="K14879" s="33" t="s">
        <v>151</v>
      </c>
      <c r="L14879" s="31" t="str">
        <f t="shared" si="1437"/>
        <v>Tujuh Puluh Enam</v>
      </c>
    </row>
    <row r="14880" spans="10:12">
      <c r="J14880" s="31">
        <v>77</v>
      </c>
      <c r="K14880" s="33" t="s">
        <v>152</v>
      </c>
      <c r="L14880" s="31" t="str">
        <f t="shared" si="1437"/>
        <v>Tujuh Puluh Tujuh</v>
      </c>
    </row>
    <row r="14881" spans="10:12">
      <c r="J14881" s="31">
        <v>78</v>
      </c>
      <c r="K14881" s="33" t="s">
        <v>153</v>
      </c>
      <c r="L14881" s="31" t="str">
        <f t="shared" si="1437"/>
        <v>Tujuh Puluh Delapan</v>
      </c>
    </row>
    <row r="14882" spans="10:12">
      <c r="J14882" s="31">
        <v>79</v>
      </c>
      <c r="K14882" s="33" t="s">
        <v>154</v>
      </c>
      <c r="L14882" s="31" t="str">
        <f t="shared" si="1437"/>
        <v>Tujuh Puluh Sembilan</v>
      </c>
    </row>
    <row r="14883" spans="10:12">
      <c r="J14883" s="31">
        <v>80</v>
      </c>
      <c r="K14883" s="33" t="s">
        <v>155</v>
      </c>
      <c r="L14883" s="31" t="s">
        <v>156</v>
      </c>
    </row>
    <row r="14884" spans="10:12">
      <c r="J14884" s="31">
        <v>81</v>
      </c>
      <c r="K14884" s="33" t="s">
        <v>157</v>
      </c>
      <c r="L14884" s="31" t="str">
        <f t="shared" ref="L14884:L14892" si="1438">$L$83&amp;" "&amp;L14804</f>
        <v>Delapan Puluh Satu</v>
      </c>
    </row>
    <row r="14885" spans="10:12">
      <c r="J14885" s="31">
        <v>82</v>
      </c>
      <c r="K14885" s="33" t="s">
        <v>158</v>
      </c>
      <c r="L14885" s="31" t="str">
        <f t="shared" si="1438"/>
        <v>Delapan Puluh Dua</v>
      </c>
    </row>
    <row r="14886" spans="10:12">
      <c r="J14886" s="31">
        <v>83</v>
      </c>
      <c r="K14886" s="33" t="s">
        <v>159</v>
      </c>
      <c r="L14886" s="31" t="str">
        <f t="shared" si="1438"/>
        <v>Delapan Puluh Tiga</v>
      </c>
    </row>
    <row r="14887" spans="10:12">
      <c r="J14887" s="31">
        <v>84</v>
      </c>
      <c r="K14887" s="33" t="s">
        <v>160</v>
      </c>
      <c r="L14887" s="31" t="str">
        <f t="shared" si="1438"/>
        <v>Delapan Puluh Empat</v>
      </c>
    </row>
    <row r="14888" spans="10:12">
      <c r="J14888" s="31">
        <v>85</v>
      </c>
      <c r="K14888" s="33" t="s">
        <v>161</v>
      </c>
      <c r="L14888" s="31" t="str">
        <f t="shared" si="1438"/>
        <v>Delapan Puluh Lima</v>
      </c>
    </row>
    <row r="14889" spans="10:12">
      <c r="J14889" s="31">
        <v>86</v>
      </c>
      <c r="K14889" s="33" t="s">
        <v>162</v>
      </c>
      <c r="L14889" s="31" t="str">
        <f t="shared" si="1438"/>
        <v>Delapan Puluh Enam</v>
      </c>
    </row>
    <row r="14890" spans="10:12">
      <c r="J14890" s="31">
        <v>87</v>
      </c>
      <c r="K14890" s="33" t="s">
        <v>163</v>
      </c>
      <c r="L14890" s="31" t="str">
        <f t="shared" si="1438"/>
        <v>Delapan Puluh Tujuh</v>
      </c>
    </row>
    <row r="14891" spans="10:12">
      <c r="J14891" s="31">
        <v>88</v>
      </c>
      <c r="K14891" s="33" t="s">
        <v>164</v>
      </c>
      <c r="L14891" s="31" t="str">
        <f t="shared" si="1438"/>
        <v>Delapan Puluh Delapan</v>
      </c>
    </row>
    <row r="14892" spans="10:12">
      <c r="J14892" s="31">
        <v>89</v>
      </c>
      <c r="K14892" s="33" t="s">
        <v>165</v>
      </c>
      <c r="L14892" s="31" t="str">
        <f t="shared" si="1438"/>
        <v>Delapan Puluh Sembilan</v>
      </c>
    </row>
    <row r="14893" spans="10:12">
      <c r="J14893" s="31">
        <v>90</v>
      </c>
      <c r="K14893" s="33" t="s">
        <v>166</v>
      </c>
      <c r="L14893" s="31" t="s">
        <v>167</v>
      </c>
    </row>
    <row r="14894" spans="10:12">
      <c r="J14894" s="31">
        <v>91</v>
      </c>
      <c r="K14894" s="33" t="s">
        <v>168</v>
      </c>
      <c r="L14894" s="31" t="str">
        <f t="shared" ref="L14894:L14902" si="1439">$L$93&amp;" "&amp;L14804</f>
        <v>Sembilan Puluh Satu</v>
      </c>
    </row>
    <row r="14895" spans="10:12">
      <c r="J14895" s="31">
        <v>92</v>
      </c>
      <c r="K14895" s="33" t="s">
        <v>169</v>
      </c>
      <c r="L14895" s="31" t="str">
        <f t="shared" si="1439"/>
        <v>Sembilan Puluh Dua</v>
      </c>
    </row>
    <row r="14896" spans="10:12">
      <c r="J14896" s="31">
        <v>93</v>
      </c>
      <c r="K14896" s="33" t="s">
        <v>170</v>
      </c>
      <c r="L14896" s="31" t="str">
        <f t="shared" si="1439"/>
        <v>Sembilan Puluh Tiga</v>
      </c>
    </row>
    <row r="14897" spans="1:12">
      <c r="J14897" s="31">
        <v>94</v>
      </c>
      <c r="K14897" s="33" t="s">
        <v>171</v>
      </c>
      <c r="L14897" s="31" t="str">
        <f t="shared" si="1439"/>
        <v>Sembilan Puluh Empat</v>
      </c>
    </row>
    <row r="14898" spans="1:12">
      <c r="J14898" s="31">
        <v>95</v>
      </c>
      <c r="K14898" s="33" t="s">
        <v>172</v>
      </c>
      <c r="L14898" s="31" t="str">
        <f t="shared" si="1439"/>
        <v>Sembilan Puluh Lima</v>
      </c>
    </row>
    <row r="14899" spans="1:12">
      <c r="J14899" s="31">
        <v>96</v>
      </c>
      <c r="K14899" s="33" t="s">
        <v>173</v>
      </c>
      <c r="L14899" s="31" t="str">
        <f t="shared" si="1439"/>
        <v>Sembilan Puluh Enam</v>
      </c>
    </row>
    <row r="14900" spans="1:12">
      <c r="J14900" s="31">
        <v>97</v>
      </c>
      <c r="K14900" s="33" t="s">
        <v>174</v>
      </c>
      <c r="L14900" s="31" t="str">
        <f t="shared" si="1439"/>
        <v>Sembilan Puluh Tujuh</v>
      </c>
    </row>
    <row r="14901" spans="1:12">
      <c r="J14901" s="31">
        <v>98</v>
      </c>
      <c r="K14901" s="33" t="s">
        <v>175</v>
      </c>
      <c r="L14901" s="31" t="str">
        <f t="shared" si="1439"/>
        <v>Sembilan Puluh Delapan</v>
      </c>
    </row>
    <row r="14902" spans="1:12">
      <c r="J14902" s="31">
        <v>99</v>
      </c>
      <c r="K14902" s="33" t="s">
        <v>176</v>
      </c>
      <c r="L14902" s="31" t="str">
        <f t="shared" si="1439"/>
        <v>Sembilan Puluh Sembilan</v>
      </c>
    </row>
    <row r="14904" spans="1:12">
      <c r="A14904" s="30" t="e">
        <f>#REF!</f>
        <v>#REF!</v>
      </c>
      <c r="C14904" s="31" t="s">
        <v>221</v>
      </c>
    </row>
    <row r="14905" spans="1:12">
      <c r="A14905" s="32"/>
    </row>
    <row r="14906" spans="1:12">
      <c r="J14906" s="31">
        <v>0</v>
      </c>
      <c r="K14906" s="33" t="s">
        <v>48</v>
      </c>
      <c r="L14906" s="31" t="s">
        <v>49</v>
      </c>
    </row>
    <row r="14907" spans="1:12">
      <c r="A14907" s="34"/>
      <c r="J14907" s="31">
        <v>1</v>
      </c>
      <c r="K14907" s="33" t="s">
        <v>50</v>
      </c>
      <c r="L14907" s="31" t="s">
        <v>51</v>
      </c>
    </row>
    <row r="14908" spans="1:12">
      <c r="A14908" s="255" t="e">
        <f>TRIM(D14916&amp;E14916&amp;D14917&amp;E14917&amp;D14918&amp;E14918&amp;D14919&amp;E14919&amp;D14920&amp;E14920&amp;D14921&amp;E14921&amp;E14922&amp;D14922&amp;" Only")</f>
        <v>#REF!</v>
      </c>
      <c r="B14908" s="255"/>
      <c r="C14908" s="255"/>
      <c r="D14908" s="255"/>
      <c r="E14908" s="35"/>
      <c r="F14908" s="36"/>
      <c r="J14908" s="31">
        <v>2</v>
      </c>
      <c r="K14908" s="33" t="s">
        <v>52</v>
      </c>
      <c r="L14908" s="31" t="s">
        <v>53</v>
      </c>
    </row>
    <row r="14909" spans="1:12">
      <c r="A14909" s="115"/>
      <c r="B14909" s="115"/>
      <c r="C14909" s="115"/>
      <c r="D14909" s="115"/>
      <c r="E14909" s="35"/>
      <c r="F14909" s="36"/>
      <c r="J14909" s="31">
        <v>3</v>
      </c>
      <c r="K14909" s="33" t="s">
        <v>54</v>
      </c>
      <c r="L14909" s="31" t="s">
        <v>55</v>
      </c>
    </row>
    <row r="14910" spans="1:12">
      <c r="A14910" s="115"/>
      <c r="B14910" s="115"/>
      <c r="C14910" s="115"/>
      <c r="D14910" s="115"/>
      <c r="J14910" s="31">
        <v>4</v>
      </c>
      <c r="K14910" s="33" t="s">
        <v>56</v>
      </c>
      <c r="L14910" s="31" t="s">
        <v>57</v>
      </c>
    </row>
    <row r="14911" spans="1:12">
      <c r="A14911" s="255" t="e">
        <f>TRIM(D14926&amp;E14926&amp;D14927&amp;E14927&amp;D14928&amp;E14928&amp;D14929&amp;E14929&amp;D14930&amp;E14930&amp;D14931&amp;E14931&amp;D14932&amp;E14932&amp;" Rupiah")</f>
        <v>#REF!</v>
      </c>
      <c r="B14911" s="255"/>
      <c r="C14911" s="255"/>
      <c r="D14911" s="255"/>
      <c r="E14911" s="35"/>
      <c r="F14911" s="36"/>
      <c r="J14911" s="31">
        <v>5</v>
      </c>
      <c r="K14911" s="33" t="s">
        <v>58</v>
      </c>
      <c r="L14911" s="31" t="s">
        <v>59</v>
      </c>
    </row>
    <row r="14912" spans="1:12">
      <c r="A14912" s="35"/>
      <c r="B14912" s="35"/>
      <c r="C14912" s="35"/>
      <c r="D14912" s="35"/>
      <c r="E14912" s="35"/>
      <c r="F14912" s="36"/>
      <c r="J14912" s="31">
        <v>6</v>
      </c>
      <c r="K14912" s="33" t="s">
        <v>60</v>
      </c>
      <c r="L14912" s="31" t="s">
        <v>61</v>
      </c>
    </row>
    <row r="14913" spans="1:12">
      <c r="J14913" s="31">
        <v>7</v>
      </c>
      <c r="K14913" s="33" t="s">
        <v>62</v>
      </c>
      <c r="L14913" s="31" t="s">
        <v>63</v>
      </c>
    </row>
    <row r="14914" spans="1:12">
      <c r="J14914" s="31">
        <v>8</v>
      </c>
      <c r="K14914" s="33" t="s">
        <v>64</v>
      </c>
      <c r="L14914" s="31" t="s">
        <v>65</v>
      </c>
    </row>
    <row r="14915" spans="1:12">
      <c r="A14915" s="38" t="s">
        <v>66</v>
      </c>
      <c r="J14915" s="31">
        <v>9</v>
      </c>
      <c r="K14915" s="33" t="s">
        <v>67</v>
      </c>
      <c r="L14915" s="31" t="s">
        <v>68</v>
      </c>
    </row>
    <row r="14916" spans="1:12">
      <c r="A14916" s="31" t="s">
        <v>69</v>
      </c>
      <c r="B14916" s="39" t="e">
        <f>TRUNC(A14904/100000000)</f>
        <v>#REF!</v>
      </c>
      <c r="C14916" s="31" t="e">
        <f>B14916*100000000</f>
        <v>#REF!</v>
      </c>
      <c r="D14916" s="31" t="e">
        <f t="shared" ref="D14916:D14922" si="1440">IF(B14916&lt;1,"",VLOOKUP(B14916,$J$3:$K$102,2))</f>
        <v>#REF!</v>
      </c>
      <c r="E14916" s="31" t="e">
        <f>IF(B14916&lt;1,"",IF(B14916&gt;1," Hundreds "," Hundred "))</f>
        <v>#REF!</v>
      </c>
      <c r="J14916" s="31">
        <v>10</v>
      </c>
      <c r="K14916" s="33" t="s">
        <v>70</v>
      </c>
      <c r="L14916" s="31" t="s">
        <v>71</v>
      </c>
    </row>
    <row r="14917" spans="1:12">
      <c r="A14917" s="31" t="s">
        <v>72</v>
      </c>
      <c r="B14917" s="39" t="e">
        <f>TRUNC((A14904-C14916)/1000000)</f>
        <v>#REF!</v>
      </c>
      <c r="C14917" s="31" t="e">
        <f>B14917*1000000</f>
        <v>#REF!</v>
      </c>
      <c r="D14917" s="31" t="e">
        <f t="shared" si="1440"/>
        <v>#REF!</v>
      </c>
      <c r="E14917" s="31" t="e">
        <f>IF(B14916+B14917=0,"",IF(B14917=1," Million "," Millions "))</f>
        <v>#REF!</v>
      </c>
      <c r="J14917" s="31">
        <v>11</v>
      </c>
      <c r="K14917" s="33" t="s">
        <v>73</v>
      </c>
      <c r="L14917" s="31" t="s">
        <v>74</v>
      </c>
    </row>
    <row r="14918" spans="1:12">
      <c r="A14918" s="31" t="s">
        <v>75</v>
      </c>
      <c r="B14918" s="39" t="e">
        <f>TRUNC((A14904-SUM(C14916:C14917))/100000)</f>
        <v>#REF!</v>
      </c>
      <c r="C14918" s="31" t="e">
        <f>B14918*100000</f>
        <v>#REF!</v>
      </c>
      <c r="D14918" s="31" t="e">
        <f t="shared" si="1440"/>
        <v>#REF!</v>
      </c>
      <c r="E14918" s="31" t="e">
        <f>IF(B14918&lt;1,"",IF(B14918&gt;1," Hundreds "," Hundred "))</f>
        <v>#REF!</v>
      </c>
      <c r="J14918" s="31">
        <v>12</v>
      </c>
      <c r="K14918" s="33" t="s">
        <v>76</v>
      </c>
      <c r="L14918" s="31" t="str">
        <f t="shared" ref="L14918:L14925" si="1441">L14908&amp;" Belas"</f>
        <v>Dua Belas</v>
      </c>
    </row>
    <row r="14919" spans="1:12">
      <c r="A14919" s="33" t="s">
        <v>77</v>
      </c>
      <c r="B14919" s="40" t="e">
        <f>TRUNC((A14904-SUM(C14916:C14918))/1000)</f>
        <v>#REF!</v>
      </c>
      <c r="C14919" s="31" t="e">
        <f>B14919*1000</f>
        <v>#REF!</v>
      </c>
      <c r="D14919" s="31" t="e">
        <f t="shared" si="1440"/>
        <v>#REF!</v>
      </c>
      <c r="E14919" s="31" t="e">
        <f>IF(B14918+B14919=0,"",IF(B14919=1," Thousand "," Thousands "))</f>
        <v>#REF!</v>
      </c>
      <c r="J14919" s="31">
        <v>13</v>
      </c>
      <c r="K14919" s="33" t="s">
        <v>78</v>
      </c>
      <c r="L14919" s="31" t="str">
        <f t="shared" si="1441"/>
        <v>Tiga Belas</v>
      </c>
    </row>
    <row r="14920" spans="1:12">
      <c r="A14920" s="33" t="s">
        <v>79</v>
      </c>
      <c r="B14920" s="40" t="e">
        <f>TRUNC((A14904-SUM(C14916:C14919))/100)</f>
        <v>#REF!</v>
      </c>
      <c r="C14920" s="31" t="e">
        <f>B14920*100</f>
        <v>#REF!</v>
      </c>
      <c r="D14920" s="31" t="e">
        <f t="shared" si="1440"/>
        <v>#REF!</v>
      </c>
      <c r="E14920" s="31" t="e">
        <f>IF(B14920&lt;1,"",IF(B14920&gt;1," Hundreds "," Hundred "))</f>
        <v>#REF!</v>
      </c>
      <c r="J14920" s="31">
        <v>14</v>
      </c>
      <c r="K14920" s="33" t="s">
        <v>80</v>
      </c>
      <c r="L14920" s="31" t="str">
        <f t="shared" si="1441"/>
        <v>Empat Belas</v>
      </c>
    </row>
    <row r="14921" spans="1:12">
      <c r="A14921" s="33" t="s">
        <v>81</v>
      </c>
      <c r="B14921" s="41" t="e">
        <f>TRUNC((A14904-SUM(C14916:C14920)))</f>
        <v>#REF!</v>
      </c>
      <c r="C14921" s="42" t="e">
        <f>B14921</f>
        <v>#REF!</v>
      </c>
      <c r="D14921" s="31" t="e">
        <f t="shared" si="1440"/>
        <v>#REF!</v>
      </c>
      <c r="E14921" s="31" t="e">
        <f>IF(SUM(C14916:C14921)&lt;1,"",IF(B14922&lt;1,""," And "))</f>
        <v>#REF!</v>
      </c>
      <c r="J14921" s="31">
        <v>15</v>
      </c>
      <c r="K14921" s="33" t="s">
        <v>82</v>
      </c>
      <c r="L14921" s="31" t="str">
        <f t="shared" si="1441"/>
        <v>Lima Belas</v>
      </c>
    </row>
    <row r="14922" spans="1:12">
      <c r="A14922" s="33" t="s">
        <v>83</v>
      </c>
      <c r="B14922" s="40" t="e">
        <f>ROUND(A14904-SUM(C14916:C14921),2)*100</f>
        <v>#REF!</v>
      </c>
      <c r="D14922" s="43" t="e">
        <f t="shared" si="1440"/>
        <v>#REF!</v>
      </c>
      <c r="E14922" s="31" t="e">
        <f>IF(B14922&lt;1,"",IF(B14922=1," Cent "," Cents "))</f>
        <v>#REF!</v>
      </c>
      <c r="J14922" s="31">
        <v>16</v>
      </c>
      <c r="K14922" s="33" t="s">
        <v>84</v>
      </c>
      <c r="L14922" s="31" t="str">
        <f t="shared" si="1441"/>
        <v>Enam Belas</v>
      </c>
    </row>
    <row r="14923" spans="1:12">
      <c r="J14923" s="31">
        <v>17</v>
      </c>
      <c r="K14923" s="33" t="s">
        <v>85</v>
      </c>
      <c r="L14923" s="31" t="str">
        <f t="shared" si="1441"/>
        <v>Tujuh Belas</v>
      </c>
    </row>
    <row r="14924" spans="1:12">
      <c r="A14924" s="44"/>
      <c r="J14924" s="31">
        <v>18</v>
      </c>
      <c r="K14924" s="33" t="s">
        <v>86</v>
      </c>
      <c r="L14924" s="31" t="str">
        <f t="shared" si="1441"/>
        <v>Delapan Belas</v>
      </c>
    </row>
    <row r="14925" spans="1:12">
      <c r="A14925" s="38" t="s">
        <v>87</v>
      </c>
      <c r="J14925" s="31">
        <v>19</v>
      </c>
      <c r="K14925" s="33" t="s">
        <v>88</v>
      </c>
      <c r="L14925" s="31" t="str">
        <f t="shared" si="1441"/>
        <v>Sembilan Belas</v>
      </c>
    </row>
    <row r="14926" spans="1:12">
      <c r="A14926" s="31" t="s">
        <v>69</v>
      </c>
      <c r="B14926" s="39" t="e">
        <f>TRUNC(A14904/100000000)</f>
        <v>#REF!</v>
      </c>
      <c r="C14926" s="31" t="e">
        <f>B14926*100000000</f>
        <v>#REF!</v>
      </c>
      <c r="D14926" s="31" t="e">
        <f>IF(B14926&lt;1,"",IF(B14926=1,"",VLOOKUP(B14926,$J$3:$L$102,3)))</f>
        <v>#REF!</v>
      </c>
      <c r="E14926" s="31" t="e">
        <f>IF(B14926&lt;1,"",IF(B14926=1,"Seratus "," Ratus "))</f>
        <v>#REF!</v>
      </c>
      <c r="J14926" s="31">
        <v>20</v>
      </c>
      <c r="K14926" s="33" t="s">
        <v>89</v>
      </c>
      <c r="L14926" s="31" t="s">
        <v>90</v>
      </c>
    </row>
    <row r="14927" spans="1:12">
      <c r="A14927" s="31" t="s">
        <v>72</v>
      </c>
      <c r="B14927" s="39" t="e">
        <f>TRUNC((A14904-C14926)/1000000)</f>
        <v>#REF!</v>
      </c>
      <c r="C14927" s="31" t="e">
        <f>B14927*1000000</f>
        <v>#REF!</v>
      </c>
      <c r="D14927" s="31" t="e">
        <f>IF(B14927&lt;1,"",VLOOKUP(B14927,$J$3:$L$102,3))</f>
        <v>#REF!</v>
      </c>
      <c r="E14927" s="31" t="e">
        <f>IF(B14926+B14927=0,""," Juta ")</f>
        <v>#REF!</v>
      </c>
      <c r="J14927" s="31">
        <v>21</v>
      </c>
      <c r="K14927" s="33" t="s">
        <v>91</v>
      </c>
      <c r="L14927" s="31" t="str">
        <f t="shared" ref="L14927:L14935" si="1442">$L$23&amp;" "&amp;L14907</f>
        <v>Dua Puluh Satu</v>
      </c>
    </row>
    <row r="14928" spans="1:12">
      <c r="A14928" s="31" t="s">
        <v>75</v>
      </c>
      <c r="B14928" s="39" t="e">
        <f>TRUNC((A14904-SUM(C14926:C14927))/100000)</f>
        <v>#REF!</v>
      </c>
      <c r="C14928" s="31" t="e">
        <f>B14928*100000</f>
        <v>#REF!</v>
      </c>
      <c r="D14928" s="31" t="e">
        <f>IF(B14928&lt;1,"",IF(B14928=1,"",VLOOKUP(B14928,$J$3:$L$102,3)))</f>
        <v>#REF!</v>
      </c>
      <c r="E14928" s="31" t="e">
        <f>IF(B14928&lt;1,"",IF(B14928=1," Seratus "," Ratus "))</f>
        <v>#REF!</v>
      </c>
      <c r="J14928" s="31">
        <v>22</v>
      </c>
      <c r="K14928" s="33" t="s">
        <v>92</v>
      </c>
      <c r="L14928" s="31" t="str">
        <f t="shared" si="1442"/>
        <v>Dua Puluh Dua</v>
      </c>
    </row>
    <row r="14929" spans="1:12">
      <c r="A14929" s="33" t="s">
        <v>77</v>
      </c>
      <c r="B14929" s="40" t="e">
        <f>TRUNC((A14904-SUM(C14926:C14928))/1000)</f>
        <v>#REF!</v>
      </c>
      <c r="C14929" s="31" t="e">
        <f>B14929*1000</f>
        <v>#REF!</v>
      </c>
      <c r="D14929" s="31" t="e">
        <f>IF(B14929&lt;1,"",IF(B14929=1,"",VLOOKUP(B14929,$J$3:$L$102,3)))</f>
        <v>#REF!</v>
      </c>
      <c r="E14929" s="31" t="e">
        <f>IF(B14928+B14929&lt;1,"",IF(B14929=1," Seribu "," Ribu "))</f>
        <v>#REF!</v>
      </c>
      <c r="J14929" s="31">
        <v>23</v>
      </c>
      <c r="K14929" s="33" t="s">
        <v>93</v>
      </c>
      <c r="L14929" s="31" t="str">
        <f t="shared" si="1442"/>
        <v>Dua Puluh Tiga</v>
      </c>
    </row>
    <row r="14930" spans="1:12">
      <c r="A14930" s="33" t="s">
        <v>79</v>
      </c>
      <c r="B14930" s="40" t="e">
        <f>TRUNC((A14904-SUM(C14926:C14929))/100)</f>
        <v>#REF!</v>
      </c>
      <c r="C14930" s="31" t="e">
        <f>B14930*100</f>
        <v>#REF!</v>
      </c>
      <c r="D14930" s="31" t="e">
        <f>IF(B14930&lt;1,"",IF(B14930=1,"",VLOOKUP(B14930,$J$3:$L$102,3)))</f>
        <v>#REF!</v>
      </c>
      <c r="E14930" s="31" t="e">
        <f>IF(B14930&lt;1,"",IF(B14930=1," Seratus "," Ratus "))</f>
        <v>#REF!</v>
      </c>
      <c r="J14930" s="31">
        <v>24</v>
      </c>
      <c r="K14930" s="33" t="s">
        <v>94</v>
      </c>
      <c r="L14930" s="31" t="str">
        <f t="shared" si="1442"/>
        <v>Dua Puluh Empat</v>
      </c>
    </row>
    <row r="14931" spans="1:12">
      <c r="A14931" s="33" t="s">
        <v>81</v>
      </c>
      <c r="B14931" s="41" t="e">
        <f>TRUNC((A14904-SUM(C14926:C14930)))</f>
        <v>#REF!</v>
      </c>
      <c r="C14931" s="42" t="e">
        <f>B14931</f>
        <v>#REF!</v>
      </c>
      <c r="D14931" s="31" t="e">
        <f>IF(B14931&lt;1,"",VLOOKUP(B14931,$J$3:$L$102,3))</f>
        <v>#REF!</v>
      </c>
      <c r="E14931" s="31" t="e">
        <f>IF(SUM(C14926:C14931)&lt;1,"",IF(B14932&lt;1,""," Dan "))</f>
        <v>#REF!</v>
      </c>
      <c r="J14931" s="31">
        <v>25</v>
      </c>
      <c r="K14931" s="33" t="s">
        <v>95</v>
      </c>
      <c r="L14931" s="31" t="str">
        <f t="shared" si="1442"/>
        <v>Dua Puluh Lima</v>
      </c>
    </row>
    <row r="14932" spans="1:12">
      <c r="A14932" s="33" t="s">
        <v>83</v>
      </c>
      <c r="B14932" s="40" t="e">
        <f>ROUND(A14904-SUM(C14926:C14931),2)*100</f>
        <v>#REF!</v>
      </c>
      <c r="D14932" s="31" t="e">
        <f>IF(B14932&lt;1,"",VLOOKUP(B14932,$J$3:$L$102,3))</f>
        <v>#REF!</v>
      </c>
      <c r="E14932" s="31" t="e">
        <f>IF(B14932&lt;1,""," Sen ")</f>
        <v>#REF!</v>
      </c>
      <c r="J14932" s="31">
        <v>26</v>
      </c>
      <c r="K14932" s="33" t="s">
        <v>96</v>
      </c>
      <c r="L14932" s="31" t="str">
        <f t="shared" si="1442"/>
        <v>Dua Puluh Enam</v>
      </c>
    </row>
    <row r="14933" spans="1:12">
      <c r="J14933" s="31">
        <v>27</v>
      </c>
      <c r="K14933" s="33" t="s">
        <v>97</v>
      </c>
      <c r="L14933" s="31" t="str">
        <f t="shared" si="1442"/>
        <v>Dua Puluh Tujuh</v>
      </c>
    </row>
    <row r="14934" spans="1:12">
      <c r="J14934" s="31">
        <v>28</v>
      </c>
      <c r="K14934" s="33" t="s">
        <v>98</v>
      </c>
      <c r="L14934" s="31" t="str">
        <f t="shared" si="1442"/>
        <v>Dua Puluh Delapan</v>
      </c>
    </row>
    <row r="14935" spans="1:12">
      <c r="J14935" s="31">
        <v>29</v>
      </c>
      <c r="K14935" s="33" t="s">
        <v>99</v>
      </c>
      <c r="L14935" s="31" t="str">
        <f t="shared" si="1442"/>
        <v>Dua Puluh Sembilan</v>
      </c>
    </row>
    <row r="14936" spans="1:12">
      <c r="J14936" s="31">
        <v>30</v>
      </c>
      <c r="K14936" s="33" t="s">
        <v>100</v>
      </c>
      <c r="L14936" s="31" t="s">
        <v>101</v>
      </c>
    </row>
    <row r="14937" spans="1:12">
      <c r="J14937" s="31">
        <v>31</v>
      </c>
      <c r="K14937" s="33" t="s">
        <v>102</v>
      </c>
      <c r="L14937" s="31" t="str">
        <f t="shared" ref="L14937:L14945" si="1443">$L$33&amp;" "&amp;L14907</f>
        <v>Tiga Puluh Satu</v>
      </c>
    </row>
    <row r="14938" spans="1:12">
      <c r="J14938" s="31">
        <v>32</v>
      </c>
      <c r="K14938" s="33" t="s">
        <v>103</v>
      </c>
      <c r="L14938" s="31" t="str">
        <f t="shared" si="1443"/>
        <v>Tiga Puluh Dua</v>
      </c>
    </row>
    <row r="14939" spans="1:12">
      <c r="J14939" s="31">
        <v>33</v>
      </c>
      <c r="K14939" s="33" t="s">
        <v>104</v>
      </c>
      <c r="L14939" s="31" t="str">
        <f t="shared" si="1443"/>
        <v>Tiga Puluh Tiga</v>
      </c>
    </row>
    <row r="14940" spans="1:12">
      <c r="J14940" s="31">
        <v>34</v>
      </c>
      <c r="K14940" s="33" t="s">
        <v>105</v>
      </c>
      <c r="L14940" s="31" t="str">
        <f t="shared" si="1443"/>
        <v>Tiga Puluh Empat</v>
      </c>
    </row>
    <row r="14941" spans="1:12">
      <c r="J14941" s="31">
        <v>35</v>
      </c>
      <c r="K14941" s="33" t="s">
        <v>106</v>
      </c>
      <c r="L14941" s="31" t="str">
        <f t="shared" si="1443"/>
        <v>Tiga Puluh Lima</v>
      </c>
    </row>
    <row r="14942" spans="1:12">
      <c r="J14942" s="31">
        <v>36</v>
      </c>
      <c r="K14942" s="33" t="s">
        <v>107</v>
      </c>
      <c r="L14942" s="31" t="str">
        <f t="shared" si="1443"/>
        <v>Tiga Puluh Enam</v>
      </c>
    </row>
    <row r="14943" spans="1:12">
      <c r="J14943" s="31">
        <v>37</v>
      </c>
      <c r="K14943" s="33" t="s">
        <v>108</v>
      </c>
      <c r="L14943" s="31" t="str">
        <f t="shared" si="1443"/>
        <v>Tiga Puluh Tujuh</v>
      </c>
    </row>
    <row r="14944" spans="1:12">
      <c r="J14944" s="31">
        <v>38</v>
      </c>
      <c r="K14944" s="33" t="s">
        <v>109</v>
      </c>
      <c r="L14944" s="31" t="str">
        <f t="shared" si="1443"/>
        <v>Tiga Puluh Delapan</v>
      </c>
    </row>
    <row r="14945" spans="1:12">
      <c r="J14945" s="31">
        <v>39</v>
      </c>
      <c r="K14945" s="33" t="s">
        <v>110</v>
      </c>
      <c r="L14945" s="31" t="str">
        <f t="shared" si="1443"/>
        <v>Tiga Puluh Sembilan</v>
      </c>
    </row>
    <row r="14946" spans="1:12">
      <c r="B14946" s="35"/>
      <c r="C14946" s="35"/>
      <c r="D14946" s="35"/>
      <c r="J14946" s="31">
        <v>40</v>
      </c>
      <c r="K14946" s="33" t="s">
        <v>111</v>
      </c>
      <c r="L14946" s="31" t="s">
        <v>112</v>
      </c>
    </row>
    <row r="14947" spans="1:12">
      <c r="A14947" s="35"/>
      <c r="B14947" s="35"/>
      <c r="C14947" s="35"/>
      <c r="D14947" s="35"/>
      <c r="J14947" s="31">
        <v>41</v>
      </c>
      <c r="K14947" s="33" t="s">
        <v>113</v>
      </c>
      <c r="L14947" s="31" t="str">
        <f t="shared" ref="L14947:L14955" si="1444">$L$43&amp;" "&amp;L14907</f>
        <v>Empat Puluh Satu</v>
      </c>
    </row>
    <row r="14948" spans="1:12">
      <c r="J14948" s="31">
        <v>42</v>
      </c>
      <c r="K14948" s="33" t="s">
        <v>114</v>
      </c>
      <c r="L14948" s="31" t="str">
        <f t="shared" si="1444"/>
        <v>Empat Puluh Dua</v>
      </c>
    </row>
    <row r="14949" spans="1:12">
      <c r="A14949" s="38"/>
      <c r="J14949" s="31">
        <v>43</v>
      </c>
      <c r="K14949" s="33" t="s">
        <v>115</v>
      </c>
      <c r="L14949" s="31" t="str">
        <f t="shared" si="1444"/>
        <v>Empat Puluh Tiga</v>
      </c>
    </row>
    <row r="14950" spans="1:12">
      <c r="J14950" s="31">
        <v>44</v>
      </c>
      <c r="K14950" s="33" t="s">
        <v>116</v>
      </c>
      <c r="L14950" s="31" t="str">
        <f t="shared" si="1444"/>
        <v>Empat Puluh Empat</v>
      </c>
    </row>
    <row r="14951" spans="1:12">
      <c r="J14951" s="31">
        <v>45</v>
      </c>
      <c r="K14951" s="33" t="s">
        <v>117</v>
      </c>
      <c r="L14951" s="31" t="str">
        <f t="shared" si="1444"/>
        <v>Empat Puluh Lima</v>
      </c>
    </row>
    <row r="14952" spans="1:12">
      <c r="J14952" s="31">
        <v>46</v>
      </c>
      <c r="K14952" s="33" t="s">
        <v>118</v>
      </c>
      <c r="L14952" s="31" t="str">
        <f t="shared" si="1444"/>
        <v>Empat Puluh Enam</v>
      </c>
    </row>
    <row r="14953" spans="1:12">
      <c r="J14953" s="31">
        <v>47</v>
      </c>
      <c r="K14953" s="33" t="s">
        <v>119</v>
      </c>
      <c r="L14953" s="31" t="str">
        <f t="shared" si="1444"/>
        <v>Empat Puluh Tujuh</v>
      </c>
    </row>
    <row r="14954" spans="1:12">
      <c r="J14954" s="31">
        <v>48</v>
      </c>
      <c r="K14954" s="33" t="s">
        <v>120</v>
      </c>
      <c r="L14954" s="31" t="str">
        <f t="shared" si="1444"/>
        <v>Empat Puluh Delapan</v>
      </c>
    </row>
    <row r="14955" spans="1:12">
      <c r="J14955" s="31">
        <v>49</v>
      </c>
      <c r="K14955" s="33" t="s">
        <v>121</v>
      </c>
      <c r="L14955" s="31" t="str">
        <f t="shared" si="1444"/>
        <v>Empat Puluh Sembilan</v>
      </c>
    </row>
    <row r="14956" spans="1:12">
      <c r="J14956" s="31">
        <v>50</v>
      </c>
      <c r="K14956" s="33" t="s">
        <v>122</v>
      </c>
      <c r="L14956" s="31" t="s">
        <v>123</v>
      </c>
    </row>
    <row r="14957" spans="1:12">
      <c r="J14957" s="31">
        <v>51</v>
      </c>
      <c r="K14957" s="33" t="s">
        <v>124</v>
      </c>
      <c r="L14957" s="31" t="str">
        <f t="shared" ref="L14957:L14965" si="1445">$L$53&amp;" "&amp;L14907</f>
        <v>Lima Puluh Satu</v>
      </c>
    </row>
    <row r="14958" spans="1:12">
      <c r="J14958" s="31">
        <v>52</v>
      </c>
      <c r="K14958" s="33" t="s">
        <v>125</v>
      </c>
      <c r="L14958" s="31" t="str">
        <f t="shared" si="1445"/>
        <v>Lima Puluh Dua</v>
      </c>
    </row>
    <row r="14959" spans="1:12">
      <c r="J14959" s="31">
        <v>53</v>
      </c>
      <c r="K14959" s="33" t="s">
        <v>126</v>
      </c>
      <c r="L14959" s="31" t="str">
        <f t="shared" si="1445"/>
        <v>Lima Puluh Tiga</v>
      </c>
    </row>
    <row r="14960" spans="1:12">
      <c r="J14960" s="31">
        <v>54</v>
      </c>
      <c r="K14960" s="33" t="s">
        <v>127</v>
      </c>
      <c r="L14960" s="31" t="str">
        <f t="shared" si="1445"/>
        <v>Lima Puluh Empat</v>
      </c>
    </row>
    <row r="14961" spans="10:12">
      <c r="J14961" s="31">
        <v>55</v>
      </c>
      <c r="K14961" s="33" t="s">
        <v>128</v>
      </c>
      <c r="L14961" s="31" t="str">
        <f t="shared" si="1445"/>
        <v>Lima Puluh Lima</v>
      </c>
    </row>
    <row r="14962" spans="10:12">
      <c r="J14962" s="31">
        <v>56</v>
      </c>
      <c r="K14962" s="33" t="s">
        <v>129</v>
      </c>
      <c r="L14962" s="31" t="str">
        <f t="shared" si="1445"/>
        <v>Lima Puluh Enam</v>
      </c>
    </row>
    <row r="14963" spans="10:12">
      <c r="J14963" s="31">
        <v>57</v>
      </c>
      <c r="K14963" s="33" t="s">
        <v>130</v>
      </c>
      <c r="L14963" s="31" t="str">
        <f t="shared" si="1445"/>
        <v>Lima Puluh Tujuh</v>
      </c>
    </row>
    <row r="14964" spans="10:12">
      <c r="J14964" s="31">
        <v>58</v>
      </c>
      <c r="K14964" s="33" t="s">
        <v>131</v>
      </c>
      <c r="L14964" s="31" t="str">
        <f t="shared" si="1445"/>
        <v>Lima Puluh Delapan</v>
      </c>
    </row>
    <row r="14965" spans="10:12">
      <c r="J14965" s="31">
        <v>59</v>
      </c>
      <c r="K14965" s="33" t="s">
        <v>132</v>
      </c>
      <c r="L14965" s="31" t="str">
        <f t="shared" si="1445"/>
        <v>Lima Puluh Sembilan</v>
      </c>
    </row>
    <row r="14966" spans="10:12">
      <c r="J14966" s="31">
        <v>60</v>
      </c>
      <c r="K14966" s="33" t="s">
        <v>133</v>
      </c>
      <c r="L14966" s="31" t="s">
        <v>134</v>
      </c>
    </row>
    <row r="14967" spans="10:12">
      <c r="J14967" s="31">
        <v>61</v>
      </c>
      <c r="K14967" s="33" t="s">
        <v>135</v>
      </c>
      <c r="L14967" s="31" t="str">
        <f t="shared" ref="L14967:L14975" si="1446">$L$63&amp;" "&amp;L14907</f>
        <v>Enam Puluh Satu</v>
      </c>
    </row>
    <row r="14968" spans="10:12">
      <c r="J14968" s="31">
        <v>62</v>
      </c>
      <c r="K14968" s="33" t="s">
        <v>136</v>
      </c>
      <c r="L14968" s="31" t="str">
        <f t="shared" si="1446"/>
        <v>Enam Puluh Dua</v>
      </c>
    </row>
    <row r="14969" spans="10:12">
      <c r="J14969" s="31">
        <v>63</v>
      </c>
      <c r="K14969" s="33" t="s">
        <v>137</v>
      </c>
      <c r="L14969" s="31" t="str">
        <f t="shared" si="1446"/>
        <v>Enam Puluh Tiga</v>
      </c>
    </row>
    <row r="14970" spans="10:12">
      <c r="J14970" s="31">
        <v>64</v>
      </c>
      <c r="K14970" s="33" t="s">
        <v>138</v>
      </c>
      <c r="L14970" s="31" t="str">
        <f t="shared" si="1446"/>
        <v>Enam Puluh Empat</v>
      </c>
    </row>
    <row r="14971" spans="10:12">
      <c r="J14971" s="31">
        <v>65</v>
      </c>
      <c r="K14971" s="33" t="s">
        <v>139</v>
      </c>
      <c r="L14971" s="31" t="str">
        <f t="shared" si="1446"/>
        <v>Enam Puluh Lima</v>
      </c>
    </row>
    <row r="14972" spans="10:12">
      <c r="J14972" s="31">
        <v>66</v>
      </c>
      <c r="K14972" s="33" t="s">
        <v>140</v>
      </c>
      <c r="L14972" s="31" t="str">
        <f t="shared" si="1446"/>
        <v>Enam Puluh Enam</v>
      </c>
    </row>
    <row r="14973" spans="10:12">
      <c r="J14973" s="31">
        <v>67</v>
      </c>
      <c r="K14973" s="33" t="s">
        <v>141</v>
      </c>
      <c r="L14973" s="31" t="str">
        <f t="shared" si="1446"/>
        <v>Enam Puluh Tujuh</v>
      </c>
    </row>
    <row r="14974" spans="10:12">
      <c r="J14974" s="31">
        <v>68</v>
      </c>
      <c r="K14974" s="33" t="s">
        <v>142</v>
      </c>
      <c r="L14974" s="31" t="str">
        <f t="shared" si="1446"/>
        <v>Enam Puluh Delapan</v>
      </c>
    </row>
    <row r="14975" spans="10:12">
      <c r="J14975" s="31">
        <v>69</v>
      </c>
      <c r="K14975" s="33" t="s">
        <v>143</v>
      </c>
      <c r="L14975" s="31" t="str">
        <f t="shared" si="1446"/>
        <v>Enam Puluh Sembilan</v>
      </c>
    </row>
    <row r="14976" spans="10:12">
      <c r="J14976" s="31">
        <v>70</v>
      </c>
      <c r="K14976" s="33" t="s">
        <v>144</v>
      </c>
      <c r="L14976" s="31" t="s">
        <v>145</v>
      </c>
    </row>
    <row r="14977" spans="10:12">
      <c r="J14977" s="31">
        <v>71</v>
      </c>
      <c r="K14977" s="33" t="s">
        <v>146</v>
      </c>
      <c r="L14977" s="31" t="str">
        <f t="shared" ref="L14977:L14985" si="1447">$L$73&amp;" "&amp;L14907</f>
        <v>Tujuh Puluh Satu</v>
      </c>
    </row>
    <row r="14978" spans="10:12">
      <c r="J14978" s="31">
        <v>72</v>
      </c>
      <c r="K14978" s="33" t="s">
        <v>147</v>
      </c>
      <c r="L14978" s="31" t="str">
        <f t="shared" si="1447"/>
        <v>Tujuh Puluh Dua</v>
      </c>
    </row>
    <row r="14979" spans="10:12">
      <c r="J14979" s="31">
        <v>73</v>
      </c>
      <c r="K14979" s="33" t="s">
        <v>148</v>
      </c>
      <c r="L14979" s="31" t="str">
        <f t="shared" si="1447"/>
        <v>Tujuh Puluh Tiga</v>
      </c>
    </row>
    <row r="14980" spans="10:12">
      <c r="J14980" s="31">
        <v>74</v>
      </c>
      <c r="K14980" s="33" t="s">
        <v>149</v>
      </c>
      <c r="L14980" s="31" t="str">
        <f t="shared" si="1447"/>
        <v>Tujuh Puluh Empat</v>
      </c>
    </row>
    <row r="14981" spans="10:12">
      <c r="J14981" s="31">
        <v>75</v>
      </c>
      <c r="K14981" s="33" t="s">
        <v>150</v>
      </c>
      <c r="L14981" s="31" t="str">
        <f t="shared" si="1447"/>
        <v>Tujuh Puluh Lima</v>
      </c>
    </row>
    <row r="14982" spans="10:12">
      <c r="J14982" s="31">
        <v>76</v>
      </c>
      <c r="K14982" s="33" t="s">
        <v>151</v>
      </c>
      <c r="L14982" s="31" t="str">
        <f t="shared" si="1447"/>
        <v>Tujuh Puluh Enam</v>
      </c>
    </row>
    <row r="14983" spans="10:12">
      <c r="J14983" s="31">
        <v>77</v>
      </c>
      <c r="K14983" s="33" t="s">
        <v>152</v>
      </c>
      <c r="L14983" s="31" t="str">
        <f t="shared" si="1447"/>
        <v>Tujuh Puluh Tujuh</v>
      </c>
    </row>
    <row r="14984" spans="10:12">
      <c r="J14984" s="31">
        <v>78</v>
      </c>
      <c r="K14984" s="33" t="s">
        <v>153</v>
      </c>
      <c r="L14984" s="31" t="str">
        <f t="shared" si="1447"/>
        <v>Tujuh Puluh Delapan</v>
      </c>
    </row>
    <row r="14985" spans="10:12">
      <c r="J14985" s="31">
        <v>79</v>
      </c>
      <c r="K14985" s="33" t="s">
        <v>154</v>
      </c>
      <c r="L14985" s="31" t="str">
        <f t="shared" si="1447"/>
        <v>Tujuh Puluh Sembilan</v>
      </c>
    </row>
    <row r="14986" spans="10:12">
      <c r="J14986" s="31">
        <v>80</v>
      </c>
      <c r="K14986" s="33" t="s">
        <v>155</v>
      </c>
      <c r="L14986" s="31" t="s">
        <v>156</v>
      </c>
    </row>
    <row r="14987" spans="10:12">
      <c r="J14987" s="31">
        <v>81</v>
      </c>
      <c r="K14987" s="33" t="s">
        <v>157</v>
      </c>
      <c r="L14987" s="31" t="str">
        <f t="shared" ref="L14987:L14995" si="1448">$L$83&amp;" "&amp;L14907</f>
        <v>Delapan Puluh Satu</v>
      </c>
    </row>
    <row r="14988" spans="10:12">
      <c r="J14988" s="31">
        <v>82</v>
      </c>
      <c r="K14988" s="33" t="s">
        <v>158</v>
      </c>
      <c r="L14988" s="31" t="str">
        <f t="shared" si="1448"/>
        <v>Delapan Puluh Dua</v>
      </c>
    </row>
    <row r="14989" spans="10:12">
      <c r="J14989" s="31">
        <v>83</v>
      </c>
      <c r="K14989" s="33" t="s">
        <v>159</v>
      </c>
      <c r="L14989" s="31" t="str">
        <f t="shared" si="1448"/>
        <v>Delapan Puluh Tiga</v>
      </c>
    </row>
    <row r="14990" spans="10:12">
      <c r="J14990" s="31">
        <v>84</v>
      </c>
      <c r="K14990" s="33" t="s">
        <v>160</v>
      </c>
      <c r="L14990" s="31" t="str">
        <f t="shared" si="1448"/>
        <v>Delapan Puluh Empat</v>
      </c>
    </row>
    <row r="14991" spans="10:12">
      <c r="J14991" s="31">
        <v>85</v>
      </c>
      <c r="K14991" s="33" t="s">
        <v>161</v>
      </c>
      <c r="L14991" s="31" t="str">
        <f t="shared" si="1448"/>
        <v>Delapan Puluh Lima</v>
      </c>
    </row>
    <row r="14992" spans="10:12">
      <c r="J14992" s="31">
        <v>86</v>
      </c>
      <c r="K14992" s="33" t="s">
        <v>162</v>
      </c>
      <c r="L14992" s="31" t="str">
        <f t="shared" si="1448"/>
        <v>Delapan Puluh Enam</v>
      </c>
    </row>
    <row r="14993" spans="1:12">
      <c r="J14993" s="31">
        <v>87</v>
      </c>
      <c r="K14993" s="33" t="s">
        <v>163</v>
      </c>
      <c r="L14993" s="31" t="str">
        <f t="shared" si="1448"/>
        <v>Delapan Puluh Tujuh</v>
      </c>
    </row>
    <row r="14994" spans="1:12">
      <c r="J14994" s="31">
        <v>88</v>
      </c>
      <c r="K14994" s="33" t="s">
        <v>164</v>
      </c>
      <c r="L14994" s="31" t="str">
        <f t="shared" si="1448"/>
        <v>Delapan Puluh Delapan</v>
      </c>
    </row>
    <row r="14995" spans="1:12">
      <c r="J14995" s="31">
        <v>89</v>
      </c>
      <c r="K14995" s="33" t="s">
        <v>165</v>
      </c>
      <c r="L14995" s="31" t="str">
        <f t="shared" si="1448"/>
        <v>Delapan Puluh Sembilan</v>
      </c>
    </row>
    <row r="14996" spans="1:12">
      <c r="J14996" s="31">
        <v>90</v>
      </c>
      <c r="K14996" s="33" t="s">
        <v>166</v>
      </c>
      <c r="L14996" s="31" t="s">
        <v>167</v>
      </c>
    </row>
    <row r="14997" spans="1:12">
      <c r="J14997" s="31">
        <v>91</v>
      </c>
      <c r="K14997" s="33" t="s">
        <v>168</v>
      </c>
      <c r="L14997" s="31" t="str">
        <f t="shared" ref="L14997:L15005" si="1449">$L$93&amp;" "&amp;L14907</f>
        <v>Sembilan Puluh Satu</v>
      </c>
    </row>
    <row r="14998" spans="1:12">
      <c r="J14998" s="31">
        <v>92</v>
      </c>
      <c r="K14998" s="33" t="s">
        <v>169</v>
      </c>
      <c r="L14998" s="31" t="str">
        <f t="shared" si="1449"/>
        <v>Sembilan Puluh Dua</v>
      </c>
    </row>
    <row r="14999" spans="1:12">
      <c r="J14999" s="31">
        <v>93</v>
      </c>
      <c r="K14999" s="33" t="s">
        <v>170</v>
      </c>
      <c r="L14999" s="31" t="str">
        <f t="shared" si="1449"/>
        <v>Sembilan Puluh Tiga</v>
      </c>
    </row>
    <row r="15000" spans="1:12">
      <c r="J15000" s="31">
        <v>94</v>
      </c>
      <c r="K15000" s="33" t="s">
        <v>171</v>
      </c>
      <c r="L15000" s="31" t="str">
        <f t="shared" si="1449"/>
        <v>Sembilan Puluh Empat</v>
      </c>
    </row>
    <row r="15001" spans="1:12">
      <c r="J15001" s="31">
        <v>95</v>
      </c>
      <c r="K15001" s="33" t="s">
        <v>172</v>
      </c>
      <c r="L15001" s="31" t="str">
        <f t="shared" si="1449"/>
        <v>Sembilan Puluh Lima</v>
      </c>
    </row>
    <row r="15002" spans="1:12">
      <c r="J15002" s="31">
        <v>96</v>
      </c>
      <c r="K15002" s="33" t="s">
        <v>173</v>
      </c>
      <c r="L15002" s="31" t="str">
        <f t="shared" si="1449"/>
        <v>Sembilan Puluh Enam</v>
      </c>
    </row>
    <row r="15003" spans="1:12">
      <c r="J15003" s="31">
        <v>97</v>
      </c>
      <c r="K15003" s="33" t="s">
        <v>174</v>
      </c>
      <c r="L15003" s="31" t="str">
        <f t="shared" si="1449"/>
        <v>Sembilan Puluh Tujuh</v>
      </c>
    </row>
    <row r="15004" spans="1:12">
      <c r="J15004" s="31">
        <v>98</v>
      </c>
      <c r="K15004" s="33" t="s">
        <v>175</v>
      </c>
      <c r="L15004" s="31" t="str">
        <f t="shared" si="1449"/>
        <v>Sembilan Puluh Delapan</v>
      </c>
    </row>
    <row r="15005" spans="1:12">
      <c r="J15005" s="31">
        <v>99</v>
      </c>
      <c r="K15005" s="33" t="s">
        <v>176</v>
      </c>
      <c r="L15005" s="31" t="str">
        <f t="shared" si="1449"/>
        <v>Sembilan Puluh Sembilan</v>
      </c>
    </row>
    <row r="15008" spans="1:12">
      <c r="A15008" s="30" t="e">
        <f>#REF!</f>
        <v>#REF!</v>
      </c>
      <c r="C15008" s="31" t="s">
        <v>382</v>
      </c>
    </row>
    <row r="15009" spans="1:12">
      <c r="A15009" s="32"/>
    </row>
    <row r="15010" spans="1:12">
      <c r="J15010" s="31">
        <v>0</v>
      </c>
      <c r="K15010" s="33" t="s">
        <v>48</v>
      </c>
      <c r="L15010" s="31" t="s">
        <v>49</v>
      </c>
    </row>
    <row r="15011" spans="1:12">
      <c r="A15011" s="34"/>
      <c r="J15011" s="31">
        <v>1</v>
      </c>
      <c r="K15011" s="33" t="s">
        <v>50</v>
      </c>
      <c r="L15011" s="31" t="s">
        <v>51</v>
      </c>
    </row>
    <row r="15012" spans="1:12">
      <c r="A15012" s="255" t="e">
        <f>TRIM(D15020&amp;E15020&amp;D15021&amp;E15021&amp;D15022&amp;E15022&amp;D15023&amp;E15023&amp;D15024&amp;E15024&amp;D15025&amp;E15025&amp;E15026&amp;D15026&amp;" Only")</f>
        <v>#REF!</v>
      </c>
      <c r="B15012" s="255"/>
      <c r="C15012" s="255"/>
      <c r="D15012" s="255"/>
      <c r="E15012" s="35"/>
      <c r="F15012" s="36"/>
      <c r="J15012" s="31">
        <v>2</v>
      </c>
      <c r="K15012" s="33" t="s">
        <v>52</v>
      </c>
      <c r="L15012" s="31" t="s">
        <v>53</v>
      </c>
    </row>
    <row r="15013" spans="1:12">
      <c r="A15013" s="115"/>
      <c r="B15013" s="115"/>
      <c r="C15013" s="115"/>
      <c r="D15013" s="115"/>
      <c r="E15013" s="35"/>
      <c r="F15013" s="36"/>
      <c r="J15013" s="31">
        <v>3</v>
      </c>
      <c r="K15013" s="33" t="s">
        <v>54</v>
      </c>
      <c r="L15013" s="31" t="s">
        <v>55</v>
      </c>
    </row>
    <row r="15014" spans="1:12">
      <c r="A15014" s="115"/>
      <c r="B15014" s="115"/>
      <c r="C15014" s="115"/>
      <c r="D15014" s="115"/>
      <c r="J15014" s="31">
        <v>4</v>
      </c>
      <c r="K15014" s="33" t="s">
        <v>56</v>
      </c>
      <c r="L15014" s="31" t="s">
        <v>57</v>
      </c>
    </row>
    <row r="15015" spans="1:12">
      <c r="A15015" s="255" t="e">
        <f>TRIM(D15030&amp;E15030&amp;D15031&amp;E15031&amp;D15032&amp;E15032&amp;D15033&amp;E15033&amp;D15034&amp;E15034&amp;D15035&amp;E15035&amp;D15036&amp;E15036&amp;" Rupiah")</f>
        <v>#REF!</v>
      </c>
      <c r="B15015" s="255"/>
      <c r="C15015" s="255"/>
      <c r="D15015" s="255"/>
      <c r="E15015" s="35"/>
      <c r="F15015" s="36"/>
      <c r="J15015" s="31">
        <v>5</v>
      </c>
      <c r="K15015" s="33" t="s">
        <v>58</v>
      </c>
      <c r="L15015" s="31" t="s">
        <v>59</v>
      </c>
    </row>
    <row r="15016" spans="1:12">
      <c r="A15016" s="35"/>
      <c r="B15016" s="35"/>
      <c r="C15016" s="35"/>
      <c r="D15016" s="35"/>
      <c r="E15016" s="35"/>
      <c r="F15016" s="36"/>
      <c r="J15016" s="31">
        <v>6</v>
      </c>
      <c r="K15016" s="33" t="s">
        <v>60</v>
      </c>
      <c r="L15016" s="31" t="s">
        <v>61</v>
      </c>
    </row>
    <row r="15017" spans="1:12">
      <c r="J15017" s="31">
        <v>7</v>
      </c>
      <c r="K15017" s="33" t="s">
        <v>62</v>
      </c>
      <c r="L15017" s="31" t="s">
        <v>63</v>
      </c>
    </row>
    <row r="15018" spans="1:12">
      <c r="J15018" s="31">
        <v>8</v>
      </c>
      <c r="K15018" s="33" t="s">
        <v>64</v>
      </c>
      <c r="L15018" s="31" t="s">
        <v>65</v>
      </c>
    </row>
    <row r="15019" spans="1:12">
      <c r="A15019" s="38" t="s">
        <v>66</v>
      </c>
      <c r="J15019" s="31">
        <v>9</v>
      </c>
      <c r="K15019" s="33" t="s">
        <v>67</v>
      </c>
      <c r="L15019" s="31" t="s">
        <v>68</v>
      </c>
    </row>
    <row r="15020" spans="1:12">
      <c r="A15020" s="31" t="s">
        <v>69</v>
      </c>
      <c r="B15020" s="39" t="e">
        <f>TRUNC(A15008/100000000)</f>
        <v>#REF!</v>
      </c>
      <c r="C15020" s="31" t="e">
        <f>B15020*100000000</f>
        <v>#REF!</v>
      </c>
      <c r="D15020" s="31" t="e">
        <f t="shared" ref="D15020:D15026" si="1450">IF(B15020&lt;1,"",VLOOKUP(B15020,$J$3:$K$102,2))</f>
        <v>#REF!</v>
      </c>
      <c r="E15020" s="31" t="e">
        <f>IF(B15020&lt;1,"",IF(B15020&gt;1," Hundreds "," Hundred "))</f>
        <v>#REF!</v>
      </c>
      <c r="J15020" s="31">
        <v>10</v>
      </c>
      <c r="K15020" s="33" t="s">
        <v>70</v>
      </c>
      <c r="L15020" s="31" t="s">
        <v>71</v>
      </c>
    </row>
    <row r="15021" spans="1:12">
      <c r="A15021" s="31" t="s">
        <v>72</v>
      </c>
      <c r="B15021" s="39" t="e">
        <f>TRUNC((A15008-C15020)/1000000)</f>
        <v>#REF!</v>
      </c>
      <c r="C15021" s="31" t="e">
        <f>B15021*1000000</f>
        <v>#REF!</v>
      </c>
      <c r="D15021" s="31" t="e">
        <f t="shared" si="1450"/>
        <v>#REF!</v>
      </c>
      <c r="E15021" s="31" t="e">
        <f>IF(B15020+B15021=0,"",IF(B15021=1," Million "," Millions "))</f>
        <v>#REF!</v>
      </c>
      <c r="J15021" s="31">
        <v>11</v>
      </c>
      <c r="K15021" s="33" t="s">
        <v>73</v>
      </c>
      <c r="L15021" s="31" t="s">
        <v>74</v>
      </c>
    </row>
    <row r="15022" spans="1:12">
      <c r="A15022" s="31" t="s">
        <v>75</v>
      </c>
      <c r="B15022" s="39" t="e">
        <f>TRUNC((A15008-SUM(C15020:C15021))/100000)</f>
        <v>#REF!</v>
      </c>
      <c r="C15022" s="31" t="e">
        <f>B15022*100000</f>
        <v>#REF!</v>
      </c>
      <c r="D15022" s="31" t="e">
        <f t="shared" si="1450"/>
        <v>#REF!</v>
      </c>
      <c r="E15022" s="31" t="e">
        <f>IF(B15022&lt;1,"",IF(B15022&gt;1," Hundreds "," Hundred "))</f>
        <v>#REF!</v>
      </c>
      <c r="J15022" s="31">
        <v>12</v>
      </c>
      <c r="K15022" s="33" t="s">
        <v>76</v>
      </c>
      <c r="L15022" s="31" t="str">
        <f t="shared" ref="L15022:L15029" si="1451">L15012&amp;" Belas"</f>
        <v>Dua Belas</v>
      </c>
    </row>
    <row r="15023" spans="1:12">
      <c r="A15023" s="33" t="s">
        <v>77</v>
      </c>
      <c r="B15023" s="40" t="e">
        <f>TRUNC((A15008-SUM(C15020:C15022))/1000)</f>
        <v>#REF!</v>
      </c>
      <c r="C15023" s="31" t="e">
        <f>B15023*1000</f>
        <v>#REF!</v>
      </c>
      <c r="D15023" s="31" t="e">
        <f t="shared" si="1450"/>
        <v>#REF!</v>
      </c>
      <c r="E15023" s="31" t="e">
        <f>IF(B15022+B15023=0,"",IF(B15023=1," Thousand "," Thousands "))</f>
        <v>#REF!</v>
      </c>
      <c r="J15023" s="31">
        <v>13</v>
      </c>
      <c r="K15023" s="33" t="s">
        <v>78</v>
      </c>
      <c r="L15023" s="31" t="str">
        <f t="shared" si="1451"/>
        <v>Tiga Belas</v>
      </c>
    </row>
    <row r="15024" spans="1:12">
      <c r="A15024" s="33" t="s">
        <v>79</v>
      </c>
      <c r="B15024" s="40" t="e">
        <f>TRUNC((A15008-SUM(C15020:C15023))/100)</f>
        <v>#REF!</v>
      </c>
      <c r="C15024" s="31" t="e">
        <f>B15024*100</f>
        <v>#REF!</v>
      </c>
      <c r="D15024" s="31" t="e">
        <f t="shared" si="1450"/>
        <v>#REF!</v>
      </c>
      <c r="E15024" s="31" t="e">
        <f>IF(B15024&lt;1,"",IF(B15024&gt;1," Hundreds "," Hundred "))</f>
        <v>#REF!</v>
      </c>
      <c r="J15024" s="31">
        <v>14</v>
      </c>
      <c r="K15024" s="33" t="s">
        <v>80</v>
      </c>
      <c r="L15024" s="31" t="str">
        <f t="shared" si="1451"/>
        <v>Empat Belas</v>
      </c>
    </row>
    <row r="15025" spans="1:12">
      <c r="A15025" s="33" t="s">
        <v>81</v>
      </c>
      <c r="B15025" s="41" t="e">
        <f>TRUNC((A15008-SUM(C15020:C15024)))</f>
        <v>#REF!</v>
      </c>
      <c r="C15025" s="42" t="e">
        <f>B15025</f>
        <v>#REF!</v>
      </c>
      <c r="D15025" s="31" t="e">
        <f t="shared" si="1450"/>
        <v>#REF!</v>
      </c>
      <c r="E15025" s="31" t="e">
        <f>IF(SUM(C15020:C15025)&lt;1,"",IF(B15026&lt;1,""," And "))</f>
        <v>#REF!</v>
      </c>
      <c r="J15025" s="31">
        <v>15</v>
      </c>
      <c r="K15025" s="33" t="s">
        <v>82</v>
      </c>
      <c r="L15025" s="31" t="str">
        <f t="shared" si="1451"/>
        <v>Lima Belas</v>
      </c>
    </row>
    <row r="15026" spans="1:12">
      <c r="A15026" s="33" t="s">
        <v>83</v>
      </c>
      <c r="B15026" s="40" t="e">
        <f>ROUND(A15008-SUM(C15020:C15025),2)*100</f>
        <v>#REF!</v>
      </c>
      <c r="D15026" s="43" t="e">
        <f t="shared" si="1450"/>
        <v>#REF!</v>
      </c>
      <c r="E15026" s="31" t="e">
        <f>IF(B15026&lt;1,"",IF(B15026=1," Cent "," Cents "))</f>
        <v>#REF!</v>
      </c>
      <c r="J15026" s="31">
        <v>16</v>
      </c>
      <c r="K15026" s="33" t="s">
        <v>84</v>
      </c>
      <c r="L15026" s="31" t="str">
        <f t="shared" si="1451"/>
        <v>Enam Belas</v>
      </c>
    </row>
    <row r="15027" spans="1:12">
      <c r="J15027" s="31">
        <v>17</v>
      </c>
      <c r="K15027" s="33" t="s">
        <v>85</v>
      </c>
      <c r="L15027" s="31" t="str">
        <f t="shared" si="1451"/>
        <v>Tujuh Belas</v>
      </c>
    </row>
    <row r="15028" spans="1:12">
      <c r="A15028" s="44"/>
      <c r="J15028" s="31">
        <v>18</v>
      </c>
      <c r="K15028" s="33" t="s">
        <v>86</v>
      </c>
      <c r="L15028" s="31" t="str">
        <f t="shared" si="1451"/>
        <v>Delapan Belas</v>
      </c>
    </row>
    <row r="15029" spans="1:12">
      <c r="A15029" s="38" t="s">
        <v>87</v>
      </c>
      <c r="J15029" s="31">
        <v>19</v>
      </c>
      <c r="K15029" s="33" t="s">
        <v>88</v>
      </c>
      <c r="L15029" s="31" t="str">
        <f t="shared" si="1451"/>
        <v>Sembilan Belas</v>
      </c>
    </row>
    <row r="15030" spans="1:12">
      <c r="A15030" s="31" t="s">
        <v>69</v>
      </c>
      <c r="B15030" s="39" t="e">
        <f>TRUNC(A15008/100000000)</f>
        <v>#REF!</v>
      </c>
      <c r="C15030" s="31" t="e">
        <f>B15030*100000000</f>
        <v>#REF!</v>
      </c>
      <c r="D15030" s="31" t="e">
        <f>IF(B15030&lt;1,"",IF(B15030=1,"",VLOOKUP(B15030,$J$3:$L$102,3)))</f>
        <v>#REF!</v>
      </c>
      <c r="E15030" s="31" t="e">
        <f>IF(B15030&lt;1,"",IF(B15030=1,"Seratus "," Ratus "))</f>
        <v>#REF!</v>
      </c>
      <c r="J15030" s="31">
        <v>20</v>
      </c>
      <c r="K15030" s="33" t="s">
        <v>89</v>
      </c>
      <c r="L15030" s="31" t="s">
        <v>90</v>
      </c>
    </row>
    <row r="15031" spans="1:12">
      <c r="A15031" s="31" t="s">
        <v>72</v>
      </c>
      <c r="B15031" s="39" t="e">
        <f>TRUNC((A15008-C15030)/1000000)</f>
        <v>#REF!</v>
      </c>
      <c r="C15031" s="31" t="e">
        <f>B15031*1000000</f>
        <v>#REF!</v>
      </c>
      <c r="D15031" s="31" t="e">
        <f>IF(B15031&lt;1,"",VLOOKUP(B15031,$J$3:$L$102,3))</f>
        <v>#REF!</v>
      </c>
      <c r="E15031" s="31" t="e">
        <f>IF(B15030+B15031=0,""," Juta ")</f>
        <v>#REF!</v>
      </c>
      <c r="J15031" s="31">
        <v>21</v>
      </c>
      <c r="K15031" s="33" t="s">
        <v>91</v>
      </c>
      <c r="L15031" s="31" t="str">
        <f t="shared" ref="L15031:L15039" si="1452">$L$23&amp;" "&amp;L15011</f>
        <v>Dua Puluh Satu</v>
      </c>
    </row>
    <row r="15032" spans="1:12">
      <c r="A15032" s="31" t="s">
        <v>75</v>
      </c>
      <c r="B15032" s="39" t="e">
        <f>TRUNC((A15008-SUM(C15030:C15031))/100000)</f>
        <v>#REF!</v>
      </c>
      <c r="C15032" s="31" t="e">
        <f>B15032*100000</f>
        <v>#REF!</v>
      </c>
      <c r="D15032" s="31" t="e">
        <f>IF(B15032&lt;1,"",IF(B15032=1,"",VLOOKUP(B15032,$J$3:$L$102,3)))</f>
        <v>#REF!</v>
      </c>
      <c r="E15032" s="31" t="e">
        <f>IF(B15032&lt;1,"",IF(B15032=1," Seratus "," Ratus "))</f>
        <v>#REF!</v>
      </c>
      <c r="J15032" s="31">
        <v>22</v>
      </c>
      <c r="K15032" s="33" t="s">
        <v>92</v>
      </c>
      <c r="L15032" s="31" t="str">
        <f t="shared" si="1452"/>
        <v>Dua Puluh Dua</v>
      </c>
    </row>
    <row r="15033" spans="1:12">
      <c r="A15033" s="33" t="s">
        <v>77</v>
      </c>
      <c r="B15033" s="40" t="e">
        <f>TRUNC((A15008-SUM(C15030:C15032))/1000)</f>
        <v>#REF!</v>
      </c>
      <c r="C15033" s="31" t="e">
        <f>B15033*1000</f>
        <v>#REF!</v>
      </c>
      <c r="D15033" s="31" t="e">
        <f>IF(B15033&lt;1,"",IF(B15033=1,"",VLOOKUP(B15033,$J$3:$L$102,3)))</f>
        <v>#REF!</v>
      </c>
      <c r="E15033" s="31" t="e">
        <f>IF(B15032+B15033&lt;1,"",IF(B15033=1," Seribu "," Ribu "))</f>
        <v>#REF!</v>
      </c>
      <c r="J15033" s="31">
        <v>23</v>
      </c>
      <c r="K15033" s="33" t="s">
        <v>93</v>
      </c>
      <c r="L15033" s="31" t="str">
        <f t="shared" si="1452"/>
        <v>Dua Puluh Tiga</v>
      </c>
    </row>
    <row r="15034" spans="1:12">
      <c r="A15034" s="33" t="s">
        <v>79</v>
      </c>
      <c r="B15034" s="40" t="e">
        <f>TRUNC((A15008-SUM(C15030:C15033))/100)</f>
        <v>#REF!</v>
      </c>
      <c r="C15034" s="31" t="e">
        <f>B15034*100</f>
        <v>#REF!</v>
      </c>
      <c r="D15034" s="31" t="e">
        <f>IF(B15034&lt;1,"",IF(B15034=1,"",VLOOKUP(B15034,$J$3:$L$102,3)))</f>
        <v>#REF!</v>
      </c>
      <c r="E15034" s="31" t="e">
        <f>IF(B15034&lt;1,"",IF(B15034=1," Seratus "," Ratus "))</f>
        <v>#REF!</v>
      </c>
      <c r="J15034" s="31">
        <v>24</v>
      </c>
      <c r="K15034" s="33" t="s">
        <v>94</v>
      </c>
      <c r="L15034" s="31" t="str">
        <f t="shared" si="1452"/>
        <v>Dua Puluh Empat</v>
      </c>
    </row>
    <row r="15035" spans="1:12">
      <c r="A15035" s="33" t="s">
        <v>81</v>
      </c>
      <c r="B15035" s="41" t="e">
        <f>TRUNC((A15008-SUM(C15030:C15034)))</f>
        <v>#REF!</v>
      </c>
      <c r="C15035" s="42" t="e">
        <f>B15035</f>
        <v>#REF!</v>
      </c>
      <c r="D15035" s="31" t="e">
        <f>IF(B15035&lt;1,"",VLOOKUP(B15035,$J$3:$L$102,3))</f>
        <v>#REF!</v>
      </c>
      <c r="E15035" s="31" t="e">
        <f>IF(SUM(C15030:C15035)&lt;1,"",IF(B15036&lt;1,""," Dan "))</f>
        <v>#REF!</v>
      </c>
      <c r="J15035" s="31">
        <v>25</v>
      </c>
      <c r="K15035" s="33" t="s">
        <v>95</v>
      </c>
      <c r="L15035" s="31" t="str">
        <f t="shared" si="1452"/>
        <v>Dua Puluh Lima</v>
      </c>
    </row>
    <row r="15036" spans="1:12">
      <c r="A15036" s="33" t="s">
        <v>83</v>
      </c>
      <c r="B15036" s="40" t="e">
        <f>ROUND(A15008-SUM(C15030:C15035),2)*100</f>
        <v>#REF!</v>
      </c>
      <c r="D15036" s="31" t="e">
        <f>IF(B15036&lt;1,"",VLOOKUP(B15036,$J$3:$L$102,3))</f>
        <v>#REF!</v>
      </c>
      <c r="E15036" s="31" t="e">
        <f>IF(B15036&lt;1,""," Sen ")</f>
        <v>#REF!</v>
      </c>
      <c r="J15036" s="31">
        <v>26</v>
      </c>
      <c r="K15036" s="33" t="s">
        <v>96</v>
      </c>
      <c r="L15036" s="31" t="str">
        <f t="shared" si="1452"/>
        <v>Dua Puluh Enam</v>
      </c>
    </row>
    <row r="15037" spans="1:12">
      <c r="J15037" s="31">
        <v>27</v>
      </c>
      <c r="K15037" s="33" t="s">
        <v>97</v>
      </c>
      <c r="L15037" s="31" t="str">
        <f t="shared" si="1452"/>
        <v>Dua Puluh Tujuh</v>
      </c>
    </row>
    <row r="15038" spans="1:12">
      <c r="J15038" s="31">
        <v>28</v>
      </c>
      <c r="K15038" s="33" t="s">
        <v>98</v>
      </c>
      <c r="L15038" s="31" t="str">
        <f t="shared" si="1452"/>
        <v>Dua Puluh Delapan</v>
      </c>
    </row>
    <row r="15039" spans="1:12">
      <c r="J15039" s="31">
        <v>29</v>
      </c>
      <c r="K15039" s="33" t="s">
        <v>99</v>
      </c>
      <c r="L15039" s="31" t="str">
        <f t="shared" si="1452"/>
        <v>Dua Puluh Sembilan</v>
      </c>
    </row>
    <row r="15040" spans="1:12">
      <c r="J15040" s="31">
        <v>30</v>
      </c>
      <c r="K15040" s="33" t="s">
        <v>100</v>
      </c>
      <c r="L15040" s="31" t="s">
        <v>101</v>
      </c>
    </row>
    <row r="15041" spans="1:12">
      <c r="J15041" s="31">
        <v>31</v>
      </c>
      <c r="K15041" s="33" t="s">
        <v>102</v>
      </c>
      <c r="L15041" s="31" t="str">
        <f t="shared" ref="L15041:L15049" si="1453">$L$33&amp;" "&amp;L15011</f>
        <v>Tiga Puluh Satu</v>
      </c>
    </row>
    <row r="15042" spans="1:12">
      <c r="J15042" s="31">
        <v>32</v>
      </c>
      <c r="K15042" s="33" t="s">
        <v>103</v>
      </c>
      <c r="L15042" s="31" t="str">
        <f t="shared" si="1453"/>
        <v>Tiga Puluh Dua</v>
      </c>
    </row>
    <row r="15043" spans="1:12">
      <c r="J15043" s="31">
        <v>33</v>
      </c>
      <c r="K15043" s="33" t="s">
        <v>104</v>
      </c>
      <c r="L15043" s="31" t="str">
        <f t="shared" si="1453"/>
        <v>Tiga Puluh Tiga</v>
      </c>
    </row>
    <row r="15044" spans="1:12">
      <c r="J15044" s="31">
        <v>34</v>
      </c>
      <c r="K15044" s="33" t="s">
        <v>105</v>
      </c>
      <c r="L15044" s="31" t="str">
        <f t="shared" si="1453"/>
        <v>Tiga Puluh Empat</v>
      </c>
    </row>
    <row r="15045" spans="1:12">
      <c r="J15045" s="31">
        <v>35</v>
      </c>
      <c r="K15045" s="33" t="s">
        <v>106</v>
      </c>
      <c r="L15045" s="31" t="str">
        <f t="shared" si="1453"/>
        <v>Tiga Puluh Lima</v>
      </c>
    </row>
    <row r="15046" spans="1:12">
      <c r="J15046" s="31">
        <v>36</v>
      </c>
      <c r="K15046" s="33" t="s">
        <v>107</v>
      </c>
      <c r="L15046" s="31" t="str">
        <f t="shared" si="1453"/>
        <v>Tiga Puluh Enam</v>
      </c>
    </row>
    <row r="15047" spans="1:12">
      <c r="J15047" s="31">
        <v>37</v>
      </c>
      <c r="K15047" s="33" t="s">
        <v>108</v>
      </c>
      <c r="L15047" s="31" t="str">
        <f t="shared" si="1453"/>
        <v>Tiga Puluh Tujuh</v>
      </c>
    </row>
    <row r="15048" spans="1:12">
      <c r="J15048" s="31">
        <v>38</v>
      </c>
      <c r="K15048" s="33" t="s">
        <v>109</v>
      </c>
      <c r="L15048" s="31" t="str">
        <f t="shared" si="1453"/>
        <v>Tiga Puluh Delapan</v>
      </c>
    </row>
    <row r="15049" spans="1:12">
      <c r="J15049" s="31">
        <v>39</v>
      </c>
      <c r="K15049" s="33" t="s">
        <v>110</v>
      </c>
      <c r="L15049" s="31" t="str">
        <f t="shared" si="1453"/>
        <v>Tiga Puluh Sembilan</v>
      </c>
    </row>
    <row r="15050" spans="1:12">
      <c r="B15050" s="35"/>
      <c r="C15050" s="35"/>
      <c r="D15050" s="35"/>
      <c r="J15050" s="31">
        <v>40</v>
      </c>
      <c r="K15050" s="33" t="s">
        <v>111</v>
      </c>
      <c r="L15050" s="31" t="s">
        <v>112</v>
      </c>
    </row>
    <row r="15051" spans="1:12">
      <c r="A15051" s="35"/>
      <c r="B15051" s="35"/>
      <c r="C15051" s="35"/>
      <c r="D15051" s="35"/>
      <c r="J15051" s="31">
        <v>41</v>
      </c>
      <c r="K15051" s="33" t="s">
        <v>113</v>
      </c>
      <c r="L15051" s="31" t="str">
        <f t="shared" ref="L15051:L15059" si="1454">$L$43&amp;" "&amp;L15011</f>
        <v>Empat Puluh Satu</v>
      </c>
    </row>
    <row r="15052" spans="1:12">
      <c r="J15052" s="31">
        <v>42</v>
      </c>
      <c r="K15052" s="33" t="s">
        <v>114</v>
      </c>
      <c r="L15052" s="31" t="str">
        <f t="shared" si="1454"/>
        <v>Empat Puluh Dua</v>
      </c>
    </row>
    <row r="15053" spans="1:12">
      <c r="A15053" s="38"/>
      <c r="J15053" s="31">
        <v>43</v>
      </c>
      <c r="K15053" s="33" t="s">
        <v>115</v>
      </c>
      <c r="L15053" s="31" t="str">
        <f t="shared" si="1454"/>
        <v>Empat Puluh Tiga</v>
      </c>
    </row>
    <row r="15054" spans="1:12">
      <c r="J15054" s="31">
        <v>44</v>
      </c>
      <c r="K15054" s="33" t="s">
        <v>116</v>
      </c>
      <c r="L15054" s="31" t="str">
        <f t="shared" si="1454"/>
        <v>Empat Puluh Empat</v>
      </c>
    </row>
    <row r="15055" spans="1:12">
      <c r="J15055" s="31">
        <v>45</v>
      </c>
      <c r="K15055" s="33" t="s">
        <v>117</v>
      </c>
      <c r="L15055" s="31" t="str">
        <f t="shared" si="1454"/>
        <v>Empat Puluh Lima</v>
      </c>
    </row>
    <row r="15056" spans="1:12">
      <c r="J15056" s="31">
        <v>46</v>
      </c>
      <c r="K15056" s="33" t="s">
        <v>118</v>
      </c>
      <c r="L15056" s="31" t="str">
        <f t="shared" si="1454"/>
        <v>Empat Puluh Enam</v>
      </c>
    </row>
    <row r="15057" spans="10:12">
      <c r="J15057" s="31">
        <v>47</v>
      </c>
      <c r="K15057" s="33" t="s">
        <v>119</v>
      </c>
      <c r="L15057" s="31" t="str">
        <f t="shared" si="1454"/>
        <v>Empat Puluh Tujuh</v>
      </c>
    </row>
    <row r="15058" spans="10:12">
      <c r="J15058" s="31">
        <v>48</v>
      </c>
      <c r="K15058" s="33" t="s">
        <v>120</v>
      </c>
      <c r="L15058" s="31" t="str">
        <f t="shared" si="1454"/>
        <v>Empat Puluh Delapan</v>
      </c>
    </row>
    <row r="15059" spans="10:12">
      <c r="J15059" s="31">
        <v>49</v>
      </c>
      <c r="K15059" s="33" t="s">
        <v>121</v>
      </c>
      <c r="L15059" s="31" t="str">
        <f t="shared" si="1454"/>
        <v>Empat Puluh Sembilan</v>
      </c>
    </row>
    <row r="15060" spans="10:12">
      <c r="J15060" s="31">
        <v>50</v>
      </c>
      <c r="K15060" s="33" t="s">
        <v>122</v>
      </c>
      <c r="L15060" s="31" t="s">
        <v>123</v>
      </c>
    </row>
    <row r="15061" spans="10:12">
      <c r="J15061" s="31">
        <v>51</v>
      </c>
      <c r="K15061" s="33" t="s">
        <v>124</v>
      </c>
      <c r="L15061" s="31" t="str">
        <f t="shared" ref="L15061:L15069" si="1455">$L$53&amp;" "&amp;L15011</f>
        <v>Lima Puluh Satu</v>
      </c>
    </row>
    <row r="15062" spans="10:12">
      <c r="J15062" s="31">
        <v>52</v>
      </c>
      <c r="K15062" s="33" t="s">
        <v>125</v>
      </c>
      <c r="L15062" s="31" t="str">
        <f t="shared" si="1455"/>
        <v>Lima Puluh Dua</v>
      </c>
    </row>
    <row r="15063" spans="10:12">
      <c r="J15063" s="31">
        <v>53</v>
      </c>
      <c r="K15063" s="33" t="s">
        <v>126</v>
      </c>
      <c r="L15063" s="31" t="str">
        <f t="shared" si="1455"/>
        <v>Lima Puluh Tiga</v>
      </c>
    </row>
    <row r="15064" spans="10:12">
      <c r="J15064" s="31">
        <v>54</v>
      </c>
      <c r="K15064" s="33" t="s">
        <v>127</v>
      </c>
      <c r="L15064" s="31" t="str">
        <f t="shared" si="1455"/>
        <v>Lima Puluh Empat</v>
      </c>
    </row>
    <row r="15065" spans="10:12">
      <c r="J15065" s="31">
        <v>55</v>
      </c>
      <c r="K15065" s="33" t="s">
        <v>128</v>
      </c>
      <c r="L15065" s="31" t="str">
        <f t="shared" si="1455"/>
        <v>Lima Puluh Lima</v>
      </c>
    </row>
    <row r="15066" spans="10:12">
      <c r="J15066" s="31">
        <v>56</v>
      </c>
      <c r="K15066" s="33" t="s">
        <v>129</v>
      </c>
      <c r="L15066" s="31" t="str">
        <f t="shared" si="1455"/>
        <v>Lima Puluh Enam</v>
      </c>
    </row>
    <row r="15067" spans="10:12">
      <c r="J15067" s="31">
        <v>57</v>
      </c>
      <c r="K15067" s="33" t="s">
        <v>130</v>
      </c>
      <c r="L15067" s="31" t="str">
        <f t="shared" si="1455"/>
        <v>Lima Puluh Tujuh</v>
      </c>
    </row>
    <row r="15068" spans="10:12">
      <c r="J15068" s="31">
        <v>58</v>
      </c>
      <c r="K15068" s="33" t="s">
        <v>131</v>
      </c>
      <c r="L15068" s="31" t="str">
        <f t="shared" si="1455"/>
        <v>Lima Puluh Delapan</v>
      </c>
    </row>
    <row r="15069" spans="10:12">
      <c r="J15069" s="31">
        <v>59</v>
      </c>
      <c r="K15069" s="33" t="s">
        <v>132</v>
      </c>
      <c r="L15069" s="31" t="str">
        <f t="shared" si="1455"/>
        <v>Lima Puluh Sembilan</v>
      </c>
    </row>
    <row r="15070" spans="10:12">
      <c r="J15070" s="31">
        <v>60</v>
      </c>
      <c r="K15070" s="33" t="s">
        <v>133</v>
      </c>
      <c r="L15070" s="31" t="s">
        <v>134</v>
      </c>
    </row>
    <row r="15071" spans="10:12">
      <c r="J15071" s="31">
        <v>61</v>
      </c>
      <c r="K15071" s="33" t="s">
        <v>135</v>
      </c>
      <c r="L15071" s="31" t="str">
        <f t="shared" ref="L15071:L15079" si="1456">$L$63&amp;" "&amp;L15011</f>
        <v>Enam Puluh Satu</v>
      </c>
    </row>
    <row r="15072" spans="10:12">
      <c r="J15072" s="31">
        <v>62</v>
      </c>
      <c r="K15072" s="33" t="s">
        <v>136</v>
      </c>
      <c r="L15072" s="31" t="str">
        <f t="shared" si="1456"/>
        <v>Enam Puluh Dua</v>
      </c>
    </row>
    <row r="15073" spans="10:12">
      <c r="J15073" s="31">
        <v>63</v>
      </c>
      <c r="K15073" s="33" t="s">
        <v>137</v>
      </c>
      <c r="L15073" s="31" t="str">
        <f t="shared" si="1456"/>
        <v>Enam Puluh Tiga</v>
      </c>
    </row>
    <row r="15074" spans="10:12">
      <c r="J15074" s="31">
        <v>64</v>
      </c>
      <c r="K15074" s="33" t="s">
        <v>138</v>
      </c>
      <c r="L15074" s="31" t="str">
        <f t="shared" si="1456"/>
        <v>Enam Puluh Empat</v>
      </c>
    </row>
    <row r="15075" spans="10:12">
      <c r="J15075" s="31">
        <v>65</v>
      </c>
      <c r="K15075" s="33" t="s">
        <v>139</v>
      </c>
      <c r="L15075" s="31" t="str">
        <f t="shared" si="1456"/>
        <v>Enam Puluh Lima</v>
      </c>
    </row>
    <row r="15076" spans="10:12">
      <c r="J15076" s="31">
        <v>66</v>
      </c>
      <c r="K15076" s="33" t="s">
        <v>140</v>
      </c>
      <c r="L15076" s="31" t="str">
        <f t="shared" si="1456"/>
        <v>Enam Puluh Enam</v>
      </c>
    </row>
    <row r="15077" spans="10:12">
      <c r="J15077" s="31">
        <v>67</v>
      </c>
      <c r="K15077" s="33" t="s">
        <v>141</v>
      </c>
      <c r="L15077" s="31" t="str">
        <f t="shared" si="1456"/>
        <v>Enam Puluh Tujuh</v>
      </c>
    </row>
    <row r="15078" spans="10:12">
      <c r="J15078" s="31">
        <v>68</v>
      </c>
      <c r="K15078" s="33" t="s">
        <v>142</v>
      </c>
      <c r="L15078" s="31" t="str">
        <f t="shared" si="1456"/>
        <v>Enam Puluh Delapan</v>
      </c>
    </row>
    <row r="15079" spans="10:12">
      <c r="J15079" s="31">
        <v>69</v>
      </c>
      <c r="K15079" s="33" t="s">
        <v>143</v>
      </c>
      <c r="L15079" s="31" t="str">
        <f t="shared" si="1456"/>
        <v>Enam Puluh Sembilan</v>
      </c>
    </row>
    <row r="15080" spans="10:12">
      <c r="J15080" s="31">
        <v>70</v>
      </c>
      <c r="K15080" s="33" t="s">
        <v>144</v>
      </c>
      <c r="L15080" s="31" t="s">
        <v>145</v>
      </c>
    </row>
    <row r="15081" spans="10:12">
      <c r="J15081" s="31">
        <v>71</v>
      </c>
      <c r="K15081" s="33" t="s">
        <v>146</v>
      </c>
      <c r="L15081" s="31" t="str">
        <f t="shared" ref="L15081:L15089" si="1457">$L$73&amp;" "&amp;L15011</f>
        <v>Tujuh Puluh Satu</v>
      </c>
    </row>
    <row r="15082" spans="10:12">
      <c r="J15082" s="31">
        <v>72</v>
      </c>
      <c r="K15082" s="33" t="s">
        <v>147</v>
      </c>
      <c r="L15082" s="31" t="str">
        <f t="shared" si="1457"/>
        <v>Tujuh Puluh Dua</v>
      </c>
    </row>
    <row r="15083" spans="10:12">
      <c r="J15083" s="31">
        <v>73</v>
      </c>
      <c r="K15083" s="33" t="s">
        <v>148</v>
      </c>
      <c r="L15083" s="31" t="str">
        <f t="shared" si="1457"/>
        <v>Tujuh Puluh Tiga</v>
      </c>
    </row>
    <row r="15084" spans="10:12">
      <c r="J15084" s="31">
        <v>74</v>
      </c>
      <c r="K15084" s="33" t="s">
        <v>149</v>
      </c>
      <c r="L15084" s="31" t="str">
        <f t="shared" si="1457"/>
        <v>Tujuh Puluh Empat</v>
      </c>
    </row>
    <row r="15085" spans="10:12">
      <c r="J15085" s="31">
        <v>75</v>
      </c>
      <c r="K15085" s="33" t="s">
        <v>150</v>
      </c>
      <c r="L15085" s="31" t="str">
        <f t="shared" si="1457"/>
        <v>Tujuh Puluh Lima</v>
      </c>
    </row>
    <row r="15086" spans="10:12">
      <c r="J15086" s="31">
        <v>76</v>
      </c>
      <c r="K15086" s="33" t="s">
        <v>151</v>
      </c>
      <c r="L15086" s="31" t="str">
        <f t="shared" si="1457"/>
        <v>Tujuh Puluh Enam</v>
      </c>
    </row>
    <row r="15087" spans="10:12">
      <c r="J15087" s="31">
        <v>77</v>
      </c>
      <c r="K15087" s="33" t="s">
        <v>152</v>
      </c>
      <c r="L15087" s="31" t="str">
        <f t="shared" si="1457"/>
        <v>Tujuh Puluh Tujuh</v>
      </c>
    </row>
    <row r="15088" spans="10:12">
      <c r="J15088" s="31">
        <v>78</v>
      </c>
      <c r="K15088" s="33" t="s">
        <v>153</v>
      </c>
      <c r="L15088" s="31" t="str">
        <f t="shared" si="1457"/>
        <v>Tujuh Puluh Delapan</v>
      </c>
    </row>
    <row r="15089" spans="10:12">
      <c r="J15089" s="31">
        <v>79</v>
      </c>
      <c r="K15089" s="33" t="s">
        <v>154</v>
      </c>
      <c r="L15089" s="31" t="str">
        <f t="shared" si="1457"/>
        <v>Tujuh Puluh Sembilan</v>
      </c>
    </row>
    <row r="15090" spans="10:12">
      <c r="J15090" s="31">
        <v>80</v>
      </c>
      <c r="K15090" s="33" t="s">
        <v>155</v>
      </c>
      <c r="L15090" s="31" t="s">
        <v>156</v>
      </c>
    </row>
    <row r="15091" spans="10:12">
      <c r="J15091" s="31">
        <v>81</v>
      </c>
      <c r="K15091" s="33" t="s">
        <v>157</v>
      </c>
      <c r="L15091" s="31" t="str">
        <f t="shared" ref="L15091:L15099" si="1458">$L$83&amp;" "&amp;L15011</f>
        <v>Delapan Puluh Satu</v>
      </c>
    </row>
    <row r="15092" spans="10:12">
      <c r="J15092" s="31">
        <v>82</v>
      </c>
      <c r="K15092" s="33" t="s">
        <v>158</v>
      </c>
      <c r="L15092" s="31" t="str">
        <f t="shared" si="1458"/>
        <v>Delapan Puluh Dua</v>
      </c>
    </row>
    <row r="15093" spans="10:12">
      <c r="J15093" s="31">
        <v>83</v>
      </c>
      <c r="K15093" s="33" t="s">
        <v>159</v>
      </c>
      <c r="L15093" s="31" t="str">
        <f t="shared" si="1458"/>
        <v>Delapan Puluh Tiga</v>
      </c>
    </row>
    <row r="15094" spans="10:12">
      <c r="J15094" s="31">
        <v>84</v>
      </c>
      <c r="K15094" s="33" t="s">
        <v>160</v>
      </c>
      <c r="L15094" s="31" t="str">
        <f t="shared" si="1458"/>
        <v>Delapan Puluh Empat</v>
      </c>
    </row>
    <row r="15095" spans="10:12">
      <c r="J15095" s="31">
        <v>85</v>
      </c>
      <c r="K15095" s="33" t="s">
        <v>161</v>
      </c>
      <c r="L15095" s="31" t="str">
        <f t="shared" si="1458"/>
        <v>Delapan Puluh Lima</v>
      </c>
    </row>
    <row r="15096" spans="10:12">
      <c r="J15096" s="31">
        <v>86</v>
      </c>
      <c r="K15096" s="33" t="s">
        <v>162</v>
      </c>
      <c r="L15096" s="31" t="str">
        <f t="shared" si="1458"/>
        <v>Delapan Puluh Enam</v>
      </c>
    </row>
    <row r="15097" spans="10:12">
      <c r="J15097" s="31">
        <v>87</v>
      </c>
      <c r="K15097" s="33" t="s">
        <v>163</v>
      </c>
      <c r="L15097" s="31" t="str">
        <f t="shared" si="1458"/>
        <v>Delapan Puluh Tujuh</v>
      </c>
    </row>
    <row r="15098" spans="10:12">
      <c r="J15098" s="31">
        <v>88</v>
      </c>
      <c r="K15098" s="33" t="s">
        <v>164</v>
      </c>
      <c r="L15098" s="31" t="str">
        <f t="shared" si="1458"/>
        <v>Delapan Puluh Delapan</v>
      </c>
    </row>
    <row r="15099" spans="10:12">
      <c r="J15099" s="31">
        <v>89</v>
      </c>
      <c r="K15099" s="33" t="s">
        <v>165</v>
      </c>
      <c r="L15099" s="31" t="str">
        <f t="shared" si="1458"/>
        <v>Delapan Puluh Sembilan</v>
      </c>
    </row>
    <row r="15100" spans="10:12">
      <c r="J15100" s="31">
        <v>90</v>
      </c>
      <c r="K15100" s="33" t="s">
        <v>166</v>
      </c>
      <c r="L15100" s="31" t="s">
        <v>167</v>
      </c>
    </row>
    <row r="15101" spans="10:12">
      <c r="J15101" s="31">
        <v>91</v>
      </c>
      <c r="K15101" s="33" t="s">
        <v>168</v>
      </c>
      <c r="L15101" s="31" t="str">
        <f t="shared" ref="L15101:L15109" si="1459">$L$93&amp;" "&amp;L15011</f>
        <v>Sembilan Puluh Satu</v>
      </c>
    </row>
    <row r="15102" spans="10:12">
      <c r="J15102" s="31">
        <v>92</v>
      </c>
      <c r="K15102" s="33" t="s">
        <v>169</v>
      </c>
      <c r="L15102" s="31" t="str">
        <f t="shared" si="1459"/>
        <v>Sembilan Puluh Dua</v>
      </c>
    </row>
    <row r="15103" spans="10:12">
      <c r="J15103" s="31">
        <v>93</v>
      </c>
      <c r="K15103" s="33" t="s">
        <v>170</v>
      </c>
      <c r="L15103" s="31" t="str">
        <f t="shared" si="1459"/>
        <v>Sembilan Puluh Tiga</v>
      </c>
    </row>
    <row r="15104" spans="10:12">
      <c r="J15104" s="31">
        <v>94</v>
      </c>
      <c r="K15104" s="33" t="s">
        <v>171</v>
      </c>
      <c r="L15104" s="31" t="str">
        <f t="shared" si="1459"/>
        <v>Sembilan Puluh Empat</v>
      </c>
    </row>
    <row r="15105" spans="1:12">
      <c r="J15105" s="31">
        <v>95</v>
      </c>
      <c r="K15105" s="33" t="s">
        <v>172</v>
      </c>
      <c r="L15105" s="31" t="str">
        <f t="shared" si="1459"/>
        <v>Sembilan Puluh Lima</v>
      </c>
    </row>
    <row r="15106" spans="1:12">
      <c r="J15106" s="31">
        <v>96</v>
      </c>
      <c r="K15106" s="33" t="s">
        <v>173</v>
      </c>
      <c r="L15106" s="31" t="str">
        <f t="shared" si="1459"/>
        <v>Sembilan Puluh Enam</v>
      </c>
    </row>
    <row r="15107" spans="1:12">
      <c r="J15107" s="31">
        <v>97</v>
      </c>
      <c r="K15107" s="33" t="s">
        <v>174</v>
      </c>
      <c r="L15107" s="31" t="str">
        <f t="shared" si="1459"/>
        <v>Sembilan Puluh Tujuh</v>
      </c>
    </row>
    <row r="15108" spans="1:12">
      <c r="J15108" s="31">
        <v>98</v>
      </c>
      <c r="K15108" s="33" t="s">
        <v>175</v>
      </c>
      <c r="L15108" s="31" t="str">
        <f t="shared" si="1459"/>
        <v>Sembilan Puluh Delapan</v>
      </c>
    </row>
    <row r="15109" spans="1:12">
      <c r="J15109" s="31">
        <v>99</v>
      </c>
      <c r="K15109" s="33" t="s">
        <v>176</v>
      </c>
      <c r="L15109" s="31" t="str">
        <f t="shared" si="1459"/>
        <v>Sembilan Puluh Sembilan</v>
      </c>
    </row>
    <row r="15112" spans="1:12">
      <c r="A15112" s="30" t="e">
        <f>#REF!</f>
        <v>#REF!</v>
      </c>
      <c r="C15112" s="31" t="s">
        <v>383</v>
      </c>
    </row>
    <row r="15113" spans="1:12">
      <c r="A15113" s="32"/>
    </row>
    <row r="15114" spans="1:12">
      <c r="J15114" s="31">
        <v>0</v>
      </c>
      <c r="K15114" s="33" t="s">
        <v>48</v>
      </c>
      <c r="L15114" s="31" t="s">
        <v>49</v>
      </c>
    </row>
    <row r="15115" spans="1:12">
      <c r="A15115" s="34"/>
      <c r="J15115" s="31">
        <v>1</v>
      </c>
      <c r="K15115" s="33" t="s">
        <v>50</v>
      </c>
      <c r="L15115" s="31" t="s">
        <v>51</v>
      </c>
    </row>
    <row r="15116" spans="1:12">
      <c r="A15116" s="255" t="e">
        <f>TRIM(D15124&amp;E15124&amp;D15125&amp;E15125&amp;D15126&amp;E15126&amp;D15127&amp;E15127&amp;D15128&amp;E15128&amp;D15129&amp;E15129&amp;E15130&amp;D15130&amp;" Only")</f>
        <v>#REF!</v>
      </c>
      <c r="B15116" s="255"/>
      <c r="C15116" s="255"/>
      <c r="D15116" s="255"/>
      <c r="E15116" s="35"/>
      <c r="F15116" s="36"/>
      <c r="J15116" s="31">
        <v>2</v>
      </c>
      <c r="K15116" s="33" t="s">
        <v>52</v>
      </c>
      <c r="L15116" s="31" t="s">
        <v>53</v>
      </c>
    </row>
    <row r="15117" spans="1:12">
      <c r="A15117" s="115"/>
      <c r="B15117" s="115"/>
      <c r="C15117" s="115"/>
      <c r="D15117" s="115"/>
      <c r="E15117" s="35"/>
      <c r="F15117" s="36"/>
      <c r="J15117" s="31">
        <v>3</v>
      </c>
      <c r="K15117" s="33" t="s">
        <v>54</v>
      </c>
      <c r="L15117" s="31" t="s">
        <v>55</v>
      </c>
    </row>
    <row r="15118" spans="1:12">
      <c r="A15118" s="115"/>
      <c r="B15118" s="115"/>
      <c r="C15118" s="115"/>
      <c r="D15118" s="115"/>
      <c r="J15118" s="31">
        <v>4</v>
      </c>
      <c r="K15118" s="33" t="s">
        <v>56</v>
      </c>
      <c r="L15118" s="31" t="s">
        <v>57</v>
      </c>
    </row>
    <row r="15119" spans="1:12">
      <c r="A15119" s="255" t="e">
        <f>TRIM(D15134&amp;E15134&amp;D15135&amp;E15135&amp;D15136&amp;E15136&amp;D15137&amp;E15137&amp;D15138&amp;E15138&amp;D15139&amp;E15139&amp;D15140&amp;E15140&amp;" Rupiah")</f>
        <v>#REF!</v>
      </c>
      <c r="B15119" s="255"/>
      <c r="C15119" s="255"/>
      <c r="D15119" s="255"/>
      <c r="E15119" s="35"/>
      <c r="F15119" s="36"/>
      <c r="J15119" s="31">
        <v>5</v>
      </c>
      <c r="K15119" s="33" t="s">
        <v>58</v>
      </c>
      <c r="L15119" s="31" t="s">
        <v>59</v>
      </c>
    </row>
    <row r="15120" spans="1:12">
      <c r="A15120" s="35"/>
      <c r="B15120" s="35"/>
      <c r="C15120" s="35"/>
      <c r="D15120" s="35"/>
      <c r="E15120" s="35"/>
      <c r="F15120" s="36"/>
      <c r="J15120" s="31">
        <v>6</v>
      </c>
      <c r="K15120" s="33" t="s">
        <v>60</v>
      </c>
      <c r="L15120" s="31" t="s">
        <v>61</v>
      </c>
    </row>
    <row r="15121" spans="1:12">
      <c r="J15121" s="31">
        <v>7</v>
      </c>
      <c r="K15121" s="33" t="s">
        <v>62</v>
      </c>
      <c r="L15121" s="31" t="s">
        <v>63</v>
      </c>
    </row>
    <row r="15122" spans="1:12">
      <c r="J15122" s="31">
        <v>8</v>
      </c>
      <c r="K15122" s="33" t="s">
        <v>64</v>
      </c>
      <c r="L15122" s="31" t="s">
        <v>65</v>
      </c>
    </row>
    <row r="15123" spans="1:12">
      <c r="A15123" s="38" t="s">
        <v>66</v>
      </c>
      <c r="J15123" s="31">
        <v>9</v>
      </c>
      <c r="K15123" s="33" t="s">
        <v>67</v>
      </c>
      <c r="L15123" s="31" t="s">
        <v>68</v>
      </c>
    </row>
    <row r="15124" spans="1:12">
      <c r="A15124" s="31" t="s">
        <v>69</v>
      </c>
      <c r="B15124" s="39" t="e">
        <f>TRUNC(A15112/100000000)</f>
        <v>#REF!</v>
      </c>
      <c r="C15124" s="31" t="e">
        <f>B15124*100000000</f>
        <v>#REF!</v>
      </c>
      <c r="D15124" s="31" t="e">
        <f t="shared" ref="D15124:D15130" si="1460">IF(B15124&lt;1,"",VLOOKUP(B15124,$J$3:$K$102,2))</f>
        <v>#REF!</v>
      </c>
      <c r="E15124" s="31" t="e">
        <f>IF(B15124&lt;1,"",IF(B15124&gt;1," Hundreds "," Hundred "))</f>
        <v>#REF!</v>
      </c>
      <c r="J15124" s="31">
        <v>10</v>
      </c>
      <c r="K15124" s="33" t="s">
        <v>70</v>
      </c>
      <c r="L15124" s="31" t="s">
        <v>71</v>
      </c>
    </row>
    <row r="15125" spans="1:12">
      <c r="A15125" s="31" t="s">
        <v>72</v>
      </c>
      <c r="B15125" s="39" t="e">
        <f>TRUNC((A15112-C15124)/1000000)</f>
        <v>#REF!</v>
      </c>
      <c r="C15125" s="31" t="e">
        <f>B15125*1000000</f>
        <v>#REF!</v>
      </c>
      <c r="D15125" s="31" t="e">
        <f t="shared" si="1460"/>
        <v>#REF!</v>
      </c>
      <c r="E15125" s="31" t="e">
        <f>IF(B15124+B15125=0,"",IF(B15125=1," Million "," Millions "))</f>
        <v>#REF!</v>
      </c>
      <c r="J15125" s="31">
        <v>11</v>
      </c>
      <c r="K15125" s="33" t="s">
        <v>73</v>
      </c>
      <c r="L15125" s="31" t="s">
        <v>74</v>
      </c>
    </row>
    <row r="15126" spans="1:12">
      <c r="A15126" s="31" t="s">
        <v>75</v>
      </c>
      <c r="B15126" s="39" t="e">
        <f>TRUNC((A15112-SUM(C15124:C15125))/100000)</f>
        <v>#REF!</v>
      </c>
      <c r="C15126" s="31" t="e">
        <f>B15126*100000</f>
        <v>#REF!</v>
      </c>
      <c r="D15126" s="31" t="e">
        <f t="shared" si="1460"/>
        <v>#REF!</v>
      </c>
      <c r="E15126" s="31" t="e">
        <f>IF(B15126&lt;1,"",IF(B15126&gt;1," Hundreds "," Hundred "))</f>
        <v>#REF!</v>
      </c>
      <c r="J15126" s="31">
        <v>12</v>
      </c>
      <c r="K15126" s="33" t="s">
        <v>76</v>
      </c>
      <c r="L15126" s="31" t="str">
        <f t="shared" ref="L15126:L15133" si="1461">L15116&amp;" Belas"</f>
        <v>Dua Belas</v>
      </c>
    </row>
    <row r="15127" spans="1:12">
      <c r="A15127" s="33" t="s">
        <v>77</v>
      </c>
      <c r="B15127" s="40" t="e">
        <f>TRUNC((A15112-SUM(C15124:C15126))/1000)</f>
        <v>#REF!</v>
      </c>
      <c r="C15127" s="31" t="e">
        <f>B15127*1000</f>
        <v>#REF!</v>
      </c>
      <c r="D15127" s="31" t="e">
        <f t="shared" si="1460"/>
        <v>#REF!</v>
      </c>
      <c r="E15127" s="31" t="e">
        <f>IF(B15126+B15127=0,"",IF(B15127=1," Thousand "," Thousands "))</f>
        <v>#REF!</v>
      </c>
      <c r="J15127" s="31">
        <v>13</v>
      </c>
      <c r="K15127" s="33" t="s">
        <v>78</v>
      </c>
      <c r="L15127" s="31" t="str">
        <f t="shared" si="1461"/>
        <v>Tiga Belas</v>
      </c>
    </row>
    <row r="15128" spans="1:12">
      <c r="A15128" s="33" t="s">
        <v>79</v>
      </c>
      <c r="B15128" s="40" t="e">
        <f>TRUNC((A15112-SUM(C15124:C15127))/100)</f>
        <v>#REF!</v>
      </c>
      <c r="C15128" s="31" t="e">
        <f>B15128*100</f>
        <v>#REF!</v>
      </c>
      <c r="D15128" s="31" t="e">
        <f t="shared" si="1460"/>
        <v>#REF!</v>
      </c>
      <c r="E15128" s="31" t="e">
        <f>IF(B15128&lt;1,"",IF(B15128&gt;1," Hundreds "," Hundred "))</f>
        <v>#REF!</v>
      </c>
      <c r="J15128" s="31">
        <v>14</v>
      </c>
      <c r="K15128" s="33" t="s">
        <v>80</v>
      </c>
      <c r="L15128" s="31" t="str">
        <f t="shared" si="1461"/>
        <v>Empat Belas</v>
      </c>
    </row>
    <row r="15129" spans="1:12">
      <c r="A15129" s="33" t="s">
        <v>81</v>
      </c>
      <c r="B15129" s="41" t="e">
        <f>TRUNC((A15112-SUM(C15124:C15128)))</f>
        <v>#REF!</v>
      </c>
      <c r="C15129" s="42" t="e">
        <f>B15129</f>
        <v>#REF!</v>
      </c>
      <c r="D15129" s="31" t="e">
        <f t="shared" si="1460"/>
        <v>#REF!</v>
      </c>
      <c r="E15129" s="31" t="e">
        <f>IF(SUM(C15124:C15129)&lt;1,"",IF(B15130&lt;1,""," And "))</f>
        <v>#REF!</v>
      </c>
      <c r="J15129" s="31">
        <v>15</v>
      </c>
      <c r="K15129" s="33" t="s">
        <v>82</v>
      </c>
      <c r="L15129" s="31" t="str">
        <f t="shared" si="1461"/>
        <v>Lima Belas</v>
      </c>
    </row>
    <row r="15130" spans="1:12">
      <c r="A15130" s="33" t="s">
        <v>83</v>
      </c>
      <c r="B15130" s="40" t="e">
        <f>ROUND(A15112-SUM(C15124:C15129),2)*100</f>
        <v>#REF!</v>
      </c>
      <c r="D15130" s="43" t="e">
        <f t="shared" si="1460"/>
        <v>#REF!</v>
      </c>
      <c r="E15130" s="31" t="e">
        <f>IF(B15130&lt;1,"",IF(B15130=1," Cent "," Cents "))</f>
        <v>#REF!</v>
      </c>
      <c r="J15130" s="31">
        <v>16</v>
      </c>
      <c r="K15130" s="33" t="s">
        <v>84</v>
      </c>
      <c r="L15130" s="31" t="str">
        <f t="shared" si="1461"/>
        <v>Enam Belas</v>
      </c>
    </row>
    <row r="15131" spans="1:12">
      <c r="J15131" s="31">
        <v>17</v>
      </c>
      <c r="K15131" s="33" t="s">
        <v>85</v>
      </c>
      <c r="L15131" s="31" t="str">
        <f t="shared" si="1461"/>
        <v>Tujuh Belas</v>
      </c>
    </row>
    <row r="15132" spans="1:12">
      <c r="A15132" s="44"/>
      <c r="J15132" s="31">
        <v>18</v>
      </c>
      <c r="K15132" s="33" t="s">
        <v>86</v>
      </c>
      <c r="L15132" s="31" t="str">
        <f t="shared" si="1461"/>
        <v>Delapan Belas</v>
      </c>
    </row>
    <row r="15133" spans="1:12">
      <c r="A15133" s="38" t="s">
        <v>87</v>
      </c>
      <c r="J15133" s="31">
        <v>19</v>
      </c>
      <c r="K15133" s="33" t="s">
        <v>88</v>
      </c>
      <c r="L15133" s="31" t="str">
        <f t="shared" si="1461"/>
        <v>Sembilan Belas</v>
      </c>
    </row>
    <row r="15134" spans="1:12">
      <c r="A15134" s="31" t="s">
        <v>69</v>
      </c>
      <c r="B15134" s="39" t="e">
        <f>TRUNC(A15112/100000000)</f>
        <v>#REF!</v>
      </c>
      <c r="C15134" s="31" t="e">
        <f>B15134*100000000</f>
        <v>#REF!</v>
      </c>
      <c r="D15134" s="31" t="e">
        <f>IF(B15134&lt;1,"",IF(B15134=1,"",VLOOKUP(B15134,$J$3:$L$102,3)))</f>
        <v>#REF!</v>
      </c>
      <c r="E15134" s="31" t="e">
        <f>IF(B15134&lt;1,"",IF(B15134=1,"Seratus "," Ratus "))</f>
        <v>#REF!</v>
      </c>
      <c r="J15134" s="31">
        <v>20</v>
      </c>
      <c r="K15134" s="33" t="s">
        <v>89</v>
      </c>
      <c r="L15134" s="31" t="s">
        <v>90</v>
      </c>
    </row>
    <row r="15135" spans="1:12">
      <c r="A15135" s="31" t="s">
        <v>72</v>
      </c>
      <c r="B15135" s="39" t="e">
        <f>TRUNC((A15112-C15134)/1000000)</f>
        <v>#REF!</v>
      </c>
      <c r="C15135" s="31" t="e">
        <f>B15135*1000000</f>
        <v>#REF!</v>
      </c>
      <c r="D15135" s="31" t="e">
        <f>IF(B15135&lt;1,"",VLOOKUP(B15135,$J$3:$L$102,3))</f>
        <v>#REF!</v>
      </c>
      <c r="E15135" s="31" t="e">
        <f>IF(B15134+B15135=0,""," Juta ")</f>
        <v>#REF!</v>
      </c>
      <c r="J15135" s="31">
        <v>21</v>
      </c>
      <c r="K15135" s="33" t="s">
        <v>91</v>
      </c>
      <c r="L15135" s="31" t="str">
        <f t="shared" ref="L15135:L15143" si="1462">$L$23&amp;" "&amp;L15115</f>
        <v>Dua Puluh Satu</v>
      </c>
    </row>
    <row r="15136" spans="1:12">
      <c r="A15136" s="31" t="s">
        <v>75</v>
      </c>
      <c r="B15136" s="39" t="e">
        <f>TRUNC((A15112-SUM(C15134:C15135))/100000)</f>
        <v>#REF!</v>
      </c>
      <c r="C15136" s="31" t="e">
        <f>B15136*100000</f>
        <v>#REF!</v>
      </c>
      <c r="D15136" s="31" t="e">
        <f>IF(B15136&lt;1,"",IF(B15136=1,"",VLOOKUP(B15136,$J$3:$L$102,3)))</f>
        <v>#REF!</v>
      </c>
      <c r="E15136" s="31" t="e">
        <f>IF(B15136&lt;1,"",IF(B15136=1," Seratus "," Ratus "))</f>
        <v>#REF!</v>
      </c>
      <c r="J15136" s="31">
        <v>22</v>
      </c>
      <c r="K15136" s="33" t="s">
        <v>92</v>
      </c>
      <c r="L15136" s="31" t="str">
        <f t="shared" si="1462"/>
        <v>Dua Puluh Dua</v>
      </c>
    </row>
    <row r="15137" spans="1:12">
      <c r="A15137" s="33" t="s">
        <v>77</v>
      </c>
      <c r="B15137" s="40" t="e">
        <f>TRUNC((A15112-SUM(C15134:C15136))/1000)</f>
        <v>#REF!</v>
      </c>
      <c r="C15137" s="31" t="e">
        <f>B15137*1000</f>
        <v>#REF!</v>
      </c>
      <c r="D15137" s="31" t="e">
        <f>IF(B15137&lt;1,"",IF(B15137=1,"",VLOOKUP(B15137,$J$3:$L$102,3)))</f>
        <v>#REF!</v>
      </c>
      <c r="E15137" s="31" t="e">
        <f>IF(B15136+B15137&lt;1,"",IF(B15137=1," Seribu "," Ribu "))</f>
        <v>#REF!</v>
      </c>
      <c r="J15137" s="31">
        <v>23</v>
      </c>
      <c r="K15137" s="33" t="s">
        <v>93</v>
      </c>
      <c r="L15137" s="31" t="str">
        <f t="shared" si="1462"/>
        <v>Dua Puluh Tiga</v>
      </c>
    </row>
    <row r="15138" spans="1:12">
      <c r="A15138" s="33" t="s">
        <v>79</v>
      </c>
      <c r="B15138" s="40" t="e">
        <f>TRUNC((A15112-SUM(C15134:C15137))/100)</f>
        <v>#REF!</v>
      </c>
      <c r="C15138" s="31" t="e">
        <f>B15138*100</f>
        <v>#REF!</v>
      </c>
      <c r="D15138" s="31" t="e">
        <f>IF(B15138&lt;1,"",IF(B15138=1,"",VLOOKUP(B15138,$J$3:$L$102,3)))</f>
        <v>#REF!</v>
      </c>
      <c r="E15138" s="31" t="e">
        <f>IF(B15138&lt;1,"",IF(B15138=1," Seratus "," Ratus "))</f>
        <v>#REF!</v>
      </c>
      <c r="J15138" s="31">
        <v>24</v>
      </c>
      <c r="K15138" s="33" t="s">
        <v>94</v>
      </c>
      <c r="L15138" s="31" t="str">
        <f t="shared" si="1462"/>
        <v>Dua Puluh Empat</v>
      </c>
    </row>
    <row r="15139" spans="1:12">
      <c r="A15139" s="33" t="s">
        <v>81</v>
      </c>
      <c r="B15139" s="41" t="e">
        <f>TRUNC((A15112-SUM(C15134:C15138)))</f>
        <v>#REF!</v>
      </c>
      <c r="C15139" s="42" t="e">
        <f>B15139</f>
        <v>#REF!</v>
      </c>
      <c r="D15139" s="31" t="e">
        <f>IF(B15139&lt;1,"",VLOOKUP(B15139,$J$3:$L$102,3))</f>
        <v>#REF!</v>
      </c>
      <c r="E15139" s="31" t="e">
        <f>IF(SUM(C15134:C15139)&lt;1,"",IF(B15140&lt;1,""," Dan "))</f>
        <v>#REF!</v>
      </c>
      <c r="J15139" s="31">
        <v>25</v>
      </c>
      <c r="K15139" s="33" t="s">
        <v>95</v>
      </c>
      <c r="L15139" s="31" t="str">
        <f t="shared" si="1462"/>
        <v>Dua Puluh Lima</v>
      </c>
    </row>
    <row r="15140" spans="1:12">
      <c r="A15140" s="33" t="s">
        <v>83</v>
      </c>
      <c r="B15140" s="40" t="e">
        <f>ROUND(A15112-SUM(C15134:C15139),2)*100</f>
        <v>#REF!</v>
      </c>
      <c r="D15140" s="31" t="e">
        <f>IF(B15140&lt;1,"",VLOOKUP(B15140,$J$3:$L$102,3))</f>
        <v>#REF!</v>
      </c>
      <c r="E15140" s="31" t="e">
        <f>IF(B15140&lt;1,""," Sen ")</f>
        <v>#REF!</v>
      </c>
      <c r="J15140" s="31">
        <v>26</v>
      </c>
      <c r="K15140" s="33" t="s">
        <v>96</v>
      </c>
      <c r="L15140" s="31" t="str">
        <f t="shared" si="1462"/>
        <v>Dua Puluh Enam</v>
      </c>
    </row>
    <row r="15141" spans="1:12">
      <c r="J15141" s="31">
        <v>27</v>
      </c>
      <c r="K15141" s="33" t="s">
        <v>97</v>
      </c>
      <c r="L15141" s="31" t="str">
        <f t="shared" si="1462"/>
        <v>Dua Puluh Tujuh</v>
      </c>
    </row>
    <row r="15142" spans="1:12">
      <c r="J15142" s="31">
        <v>28</v>
      </c>
      <c r="K15142" s="33" t="s">
        <v>98</v>
      </c>
      <c r="L15142" s="31" t="str">
        <f t="shared" si="1462"/>
        <v>Dua Puluh Delapan</v>
      </c>
    </row>
    <row r="15143" spans="1:12">
      <c r="J15143" s="31">
        <v>29</v>
      </c>
      <c r="K15143" s="33" t="s">
        <v>99</v>
      </c>
      <c r="L15143" s="31" t="str">
        <f t="shared" si="1462"/>
        <v>Dua Puluh Sembilan</v>
      </c>
    </row>
    <row r="15144" spans="1:12">
      <c r="J15144" s="31">
        <v>30</v>
      </c>
      <c r="K15144" s="33" t="s">
        <v>100</v>
      </c>
      <c r="L15144" s="31" t="s">
        <v>101</v>
      </c>
    </row>
    <row r="15145" spans="1:12">
      <c r="J15145" s="31">
        <v>31</v>
      </c>
      <c r="K15145" s="33" t="s">
        <v>102</v>
      </c>
      <c r="L15145" s="31" t="str">
        <f t="shared" ref="L15145:L15153" si="1463">$L$33&amp;" "&amp;L15115</f>
        <v>Tiga Puluh Satu</v>
      </c>
    </row>
    <row r="15146" spans="1:12">
      <c r="J15146" s="31">
        <v>32</v>
      </c>
      <c r="K15146" s="33" t="s">
        <v>103</v>
      </c>
      <c r="L15146" s="31" t="str">
        <f t="shared" si="1463"/>
        <v>Tiga Puluh Dua</v>
      </c>
    </row>
    <row r="15147" spans="1:12">
      <c r="J15147" s="31">
        <v>33</v>
      </c>
      <c r="K15147" s="33" t="s">
        <v>104</v>
      </c>
      <c r="L15147" s="31" t="str">
        <f t="shared" si="1463"/>
        <v>Tiga Puluh Tiga</v>
      </c>
    </row>
    <row r="15148" spans="1:12">
      <c r="J15148" s="31">
        <v>34</v>
      </c>
      <c r="K15148" s="33" t="s">
        <v>105</v>
      </c>
      <c r="L15148" s="31" t="str">
        <f t="shared" si="1463"/>
        <v>Tiga Puluh Empat</v>
      </c>
    </row>
    <row r="15149" spans="1:12">
      <c r="J15149" s="31">
        <v>35</v>
      </c>
      <c r="K15149" s="33" t="s">
        <v>106</v>
      </c>
      <c r="L15149" s="31" t="str">
        <f t="shared" si="1463"/>
        <v>Tiga Puluh Lima</v>
      </c>
    </row>
    <row r="15150" spans="1:12">
      <c r="J15150" s="31">
        <v>36</v>
      </c>
      <c r="K15150" s="33" t="s">
        <v>107</v>
      </c>
      <c r="L15150" s="31" t="str">
        <f t="shared" si="1463"/>
        <v>Tiga Puluh Enam</v>
      </c>
    </row>
    <row r="15151" spans="1:12">
      <c r="J15151" s="31">
        <v>37</v>
      </c>
      <c r="K15151" s="33" t="s">
        <v>108</v>
      </c>
      <c r="L15151" s="31" t="str">
        <f t="shared" si="1463"/>
        <v>Tiga Puluh Tujuh</v>
      </c>
    </row>
    <row r="15152" spans="1:12">
      <c r="J15152" s="31">
        <v>38</v>
      </c>
      <c r="K15152" s="33" t="s">
        <v>109</v>
      </c>
      <c r="L15152" s="31" t="str">
        <f t="shared" si="1463"/>
        <v>Tiga Puluh Delapan</v>
      </c>
    </row>
    <row r="15153" spans="1:12">
      <c r="J15153" s="31">
        <v>39</v>
      </c>
      <c r="K15153" s="33" t="s">
        <v>110</v>
      </c>
      <c r="L15153" s="31" t="str">
        <f t="shared" si="1463"/>
        <v>Tiga Puluh Sembilan</v>
      </c>
    </row>
    <row r="15154" spans="1:12">
      <c r="B15154" s="35"/>
      <c r="C15154" s="35"/>
      <c r="D15154" s="35"/>
      <c r="J15154" s="31">
        <v>40</v>
      </c>
      <c r="K15154" s="33" t="s">
        <v>111</v>
      </c>
      <c r="L15154" s="31" t="s">
        <v>112</v>
      </c>
    </row>
    <row r="15155" spans="1:12">
      <c r="A15155" s="35"/>
      <c r="B15155" s="35"/>
      <c r="C15155" s="35"/>
      <c r="D15155" s="35"/>
      <c r="J15155" s="31">
        <v>41</v>
      </c>
      <c r="K15155" s="33" t="s">
        <v>113</v>
      </c>
      <c r="L15155" s="31" t="str">
        <f t="shared" ref="L15155:L15163" si="1464">$L$43&amp;" "&amp;L15115</f>
        <v>Empat Puluh Satu</v>
      </c>
    </row>
    <row r="15156" spans="1:12">
      <c r="J15156" s="31">
        <v>42</v>
      </c>
      <c r="K15156" s="33" t="s">
        <v>114</v>
      </c>
      <c r="L15156" s="31" t="str">
        <f t="shared" si="1464"/>
        <v>Empat Puluh Dua</v>
      </c>
    </row>
    <row r="15157" spans="1:12">
      <c r="A15157" s="38"/>
      <c r="J15157" s="31">
        <v>43</v>
      </c>
      <c r="K15157" s="33" t="s">
        <v>115</v>
      </c>
      <c r="L15157" s="31" t="str">
        <f t="shared" si="1464"/>
        <v>Empat Puluh Tiga</v>
      </c>
    </row>
    <row r="15158" spans="1:12">
      <c r="J15158" s="31">
        <v>44</v>
      </c>
      <c r="K15158" s="33" t="s">
        <v>116</v>
      </c>
      <c r="L15158" s="31" t="str">
        <f t="shared" si="1464"/>
        <v>Empat Puluh Empat</v>
      </c>
    </row>
    <row r="15159" spans="1:12">
      <c r="J15159" s="31">
        <v>45</v>
      </c>
      <c r="K15159" s="33" t="s">
        <v>117</v>
      </c>
      <c r="L15159" s="31" t="str">
        <f t="shared" si="1464"/>
        <v>Empat Puluh Lima</v>
      </c>
    </row>
    <row r="15160" spans="1:12">
      <c r="J15160" s="31">
        <v>46</v>
      </c>
      <c r="K15160" s="33" t="s">
        <v>118</v>
      </c>
      <c r="L15160" s="31" t="str">
        <f t="shared" si="1464"/>
        <v>Empat Puluh Enam</v>
      </c>
    </row>
    <row r="15161" spans="1:12">
      <c r="J15161" s="31">
        <v>47</v>
      </c>
      <c r="K15161" s="33" t="s">
        <v>119</v>
      </c>
      <c r="L15161" s="31" t="str">
        <f t="shared" si="1464"/>
        <v>Empat Puluh Tujuh</v>
      </c>
    </row>
    <row r="15162" spans="1:12">
      <c r="J15162" s="31">
        <v>48</v>
      </c>
      <c r="K15162" s="33" t="s">
        <v>120</v>
      </c>
      <c r="L15162" s="31" t="str">
        <f t="shared" si="1464"/>
        <v>Empat Puluh Delapan</v>
      </c>
    </row>
    <row r="15163" spans="1:12">
      <c r="J15163" s="31">
        <v>49</v>
      </c>
      <c r="K15163" s="33" t="s">
        <v>121</v>
      </c>
      <c r="L15163" s="31" t="str">
        <f t="shared" si="1464"/>
        <v>Empat Puluh Sembilan</v>
      </c>
    </row>
    <row r="15164" spans="1:12">
      <c r="J15164" s="31">
        <v>50</v>
      </c>
      <c r="K15164" s="33" t="s">
        <v>122</v>
      </c>
      <c r="L15164" s="31" t="s">
        <v>123</v>
      </c>
    </row>
    <row r="15165" spans="1:12">
      <c r="J15165" s="31">
        <v>51</v>
      </c>
      <c r="K15165" s="33" t="s">
        <v>124</v>
      </c>
      <c r="L15165" s="31" t="str">
        <f t="shared" ref="L15165:L15173" si="1465">$L$53&amp;" "&amp;L15115</f>
        <v>Lima Puluh Satu</v>
      </c>
    </row>
    <row r="15166" spans="1:12">
      <c r="J15166" s="31">
        <v>52</v>
      </c>
      <c r="K15166" s="33" t="s">
        <v>125</v>
      </c>
      <c r="L15166" s="31" t="str">
        <f t="shared" si="1465"/>
        <v>Lima Puluh Dua</v>
      </c>
    </row>
    <row r="15167" spans="1:12">
      <c r="J15167" s="31">
        <v>53</v>
      </c>
      <c r="K15167" s="33" t="s">
        <v>126</v>
      </c>
      <c r="L15167" s="31" t="str">
        <f t="shared" si="1465"/>
        <v>Lima Puluh Tiga</v>
      </c>
    </row>
    <row r="15168" spans="1:12">
      <c r="J15168" s="31">
        <v>54</v>
      </c>
      <c r="K15168" s="33" t="s">
        <v>127</v>
      </c>
      <c r="L15168" s="31" t="str">
        <f t="shared" si="1465"/>
        <v>Lima Puluh Empat</v>
      </c>
    </row>
    <row r="15169" spans="10:12">
      <c r="J15169" s="31">
        <v>55</v>
      </c>
      <c r="K15169" s="33" t="s">
        <v>128</v>
      </c>
      <c r="L15169" s="31" t="str">
        <f t="shared" si="1465"/>
        <v>Lima Puluh Lima</v>
      </c>
    </row>
    <row r="15170" spans="10:12">
      <c r="J15170" s="31">
        <v>56</v>
      </c>
      <c r="K15170" s="33" t="s">
        <v>129</v>
      </c>
      <c r="L15170" s="31" t="str">
        <f t="shared" si="1465"/>
        <v>Lima Puluh Enam</v>
      </c>
    </row>
    <row r="15171" spans="10:12">
      <c r="J15171" s="31">
        <v>57</v>
      </c>
      <c r="K15171" s="33" t="s">
        <v>130</v>
      </c>
      <c r="L15171" s="31" t="str">
        <f t="shared" si="1465"/>
        <v>Lima Puluh Tujuh</v>
      </c>
    </row>
    <row r="15172" spans="10:12">
      <c r="J15172" s="31">
        <v>58</v>
      </c>
      <c r="K15172" s="33" t="s">
        <v>131</v>
      </c>
      <c r="L15172" s="31" t="str">
        <f t="shared" si="1465"/>
        <v>Lima Puluh Delapan</v>
      </c>
    </row>
    <row r="15173" spans="10:12">
      <c r="J15173" s="31">
        <v>59</v>
      </c>
      <c r="K15173" s="33" t="s">
        <v>132</v>
      </c>
      <c r="L15173" s="31" t="str">
        <f t="shared" si="1465"/>
        <v>Lima Puluh Sembilan</v>
      </c>
    </row>
    <row r="15174" spans="10:12">
      <c r="J15174" s="31">
        <v>60</v>
      </c>
      <c r="K15174" s="33" t="s">
        <v>133</v>
      </c>
      <c r="L15174" s="31" t="s">
        <v>134</v>
      </c>
    </row>
    <row r="15175" spans="10:12">
      <c r="J15175" s="31">
        <v>61</v>
      </c>
      <c r="K15175" s="33" t="s">
        <v>135</v>
      </c>
      <c r="L15175" s="31" t="str">
        <f t="shared" ref="L15175:L15183" si="1466">$L$63&amp;" "&amp;L15115</f>
        <v>Enam Puluh Satu</v>
      </c>
    </row>
    <row r="15176" spans="10:12">
      <c r="J15176" s="31">
        <v>62</v>
      </c>
      <c r="K15176" s="33" t="s">
        <v>136</v>
      </c>
      <c r="L15176" s="31" t="str">
        <f t="shared" si="1466"/>
        <v>Enam Puluh Dua</v>
      </c>
    </row>
    <row r="15177" spans="10:12">
      <c r="J15177" s="31">
        <v>63</v>
      </c>
      <c r="K15177" s="33" t="s">
        <v>137</v>
      </c>
      <c r="L15177" s="31" t="str">
        <f t="shared" si="1466"/>
        <v>Enam Puluh Tiga</v>
      </c>
    </row>
    <row r="15178" spans="10:12">
      <c r="J15178" s="31">
        <v>64</v>
      </c>
      <c r="K15178" s="33" t="s">
        <v>138</v>
      </c>
      <c r="L15178" s="31" t="str">
        <f t="shared" si="1466"/>
        <v>Enam Puluh Empat</v>
      </c>
    </row>
    <row r="15179" spans="10:12">
      <c r="J15179" s="31">
        <v>65</v>
      </c>
      <c r="K15179" s="33" t="s">
        <v>139</v>
      </c>
      <c r="L15179" s="31" t="str">
        <f t="shared" si="1466"/>
        <v>Enam Puluh Lima</v>
      </c>
    </row>
    <row r="15180" spans="10:12">
      <c r="J15180" s="31">
        <v>66</v>
      </c>
      <c r="K15180" s="33" t="s">
        <v>140</v>
      </c>
      <c r="L15180" s="31" t="str">
        <f t="shared" si="1466"/>
        <v>Enam Puluh Enam</v>
      </c>
    </row>
    <row r="15181" spans="10:12">
      <c r="J15181" s="31">
        <v>67</v>
      </c>
      <c r="K15181" s="33" t="s">
        <v>141</v>
      </c>
      <c r="L15181" s="31" t="str">
        <f t="shared" si="1466"/>
        <v>Enam Puluh Tujuh</v>
      </c>
    </row>
    <row r="15182" spans="10:12">
      <c r="J15182" s="31">
        <v>68</v>
      </c>
      <c r="K15182" s="33" t="s">
        <v>142</v>
      </c>
      <c r="L15182" s="31" t="str">
        <f t="shared" si="1466"/>
        <v>Enam Puluh Delapan</v>
      </c>
    </row>
    <row r="15183" spans="10:12">
      <c r="J15183" s="31">
        <v>69</v>
      </c>
      <c r="K15183" s="33" t="s">
        <v>143</v>
      </c>
      <c r="L15183" s="31" t="str">
        <f t="shared" si="1466"/>
        <v>Enam Puluh Sembilan</v>
      </c>
    </row>
    <row r="15184" spans="10:12">
      <c r="J15184" s="31">
        <v>70</v>
      </c>
      <c r="K15184" s="33" t="s">
        <v>144</v>
      </c>
      <c r="L15184" s="31" t="s">
        <v>145</v>
      </c>
    </row>
    <row r="15185" spans="10:12">
      <c r="J15185" s="31">
        <v>71</v>
      </c>
      <c r="K15185" s="33" t="s">
        <v>146</v>
      </c>
      <c r="L15185" s="31" t="str">
        <f t="shared" ref="L15185:L15193" si="1467">$L$73&amp;" "&amp;L15115</f>
        <v>Tujuh Puluh Satu</v>
      </c>
    </row>
    <row r="15186" spans="10:12">
      <c r="J15186" s="31">
        <v>72</v>
      </c>
      <c r="K15186" s="33" t="s">
        <v>147</v>
      </c>
      <c r="L15186" s="31" t="str">
        <f t="shared" si="1467"/>
        <v>Tujuh Puluh Dua</v>
      </c>
    </row>
    <row r="15187" spans="10:12">
      <c r="J15187" s="31">
        <v>73</v>
      </c>
      <c r="K15187" s="33" t="s">
        <v>148</v>
      </c>
      <c r="L15187" s="31" t="str">
        <f t="shared" si="1467"/>
        <v>Tujuh Puluh Tiga</v>
      </c>
    </row>
    <row r="15188" spans="10:12">
      <c r="J15188" s="31">
        <v>74</v>
      </c>
      <c r="K15188" s="33" t="s">
        <v>149</v>
      </c>
      <c r="L15188" s="31" t="str">
        <f t="shared" si="1467"/>
        <v>Tujuh Puluh Empat</v>
      </c>
    </row>
    <row r="15189" spans="10:12">
      <c r="J15189" s="31">
        <v>75</v>
      </c>
      <c r="K15189" s="33" t="s">
        <v>150</v>
      </c>
      <c r="L15189" s="31" t="str">
        <f t="shared" si="1467"/>
        <v>Tujuh Puluh Lima</v>
      </c>
    </row>
    <row r="15190" spans="10:12">
      <c r="J15190" s="31">
        <v>76</v>
      </c>
      <c r="K15190" s="33" t="s">
        <v>151</v>
      </c>
      <c r="L15190" s="31" t="str">
        <f t="shared" si="1467"/>
        <v>Tujuh Puluh Enam</v>
      </c>
    </row>
    <row r="15191" spans="10:12">
      <c r="J15191" s="31">
        <v>77</v>
      </c>
      <c r="K15191" s="33" t="s">
        <v>152</v>
      </c>
      <c r="L15191" s="31" t="str">
        <f t="shared" si="1467"/>
        <v>Tujuh Puluh Tujuh</v>
      </c>
    </row>
    <row r="15192" spans="10:12">
      <c r="J15192" s="31">
        <v>78</v>
      </c>
      <c r="K15192" s="33" t="s">
        <v>153</v>
      </c>
      <c r="L15192" s="31" t="str">
        <f t="shared" si="1467"/>
        <v>Tujuh Puluh Delapan</v>
      </c>
    </row>
    <row r="15193" spans="10:12">
      <c r="J15193" s="31">
        <v>79</v>
      </c>
      <c r="K15193" s="33" t="s">
        <v>154</v>
      </c>
      <c r="L15193" s="31" t="str">
        <f t="shared" si="1467"/>
        <v>Tujuh Puluh Sembilan</v>
      </c>
    </row>
    <row r="15194" spans="10:12">
      <c r="J15194" s="31">
        <v>80</v>
      </c>
      <c r="K15194" s="33" t="s">
        <v>155</v>
      </c>
      <c r="L15194" s="31" t="s">
        <v>156</v>
      </c>
    </row>
    <row r="15195" spans="10:12">
      <c r="J15195" s="31">
        <v>81</v>
      </c>
      <c r="K15195" s="33" t="s">
        <v>157</v>
      </c>
      <c r="L15195" s="31" t="str">
        <f t="shared" ref="L15195:L15203" si="1468">$L$83&amp;" "&amp;L15115</f>
        <v>Delapan Puluh Satu</v>
      </c>
    </row>
    <row r="15196" spans="10:12">
      <c r="J15196" s="31">
        <v>82</v>
      </c>
      <c r="K15196" s="33" t="s">
        <v>158</v>
      </c>
      <c r="L15196" s="31" t="str">
        <f t="shared" si="1468"/>
        <v>Delapan Puluh Dua</v>
      </c>
    </row>
    <row r="15197" spans="10:12">
      <c r="J15197" s="31">
        <v>83</v>
      </c>
      <c r="K15197" s="33" t="s">
        <v>159</v>
      </c>
      <c r="L15197" s="31" t="str">
        <f t="shared" si="1468"/>
        <v>Delapan Puluh Tiga</v>
      </c>
    </row>
    <row r="15198" spans="10:12">
      <c r="J15198" s="31">
        <v>84</v>
      </c>
      <c r="K15198" s="33" t="s">
        <v>160</v>
      </c>
      <c r="L15198" s="31" t="str">
        <f t="shared" si="1468"/>
        <v>Delapan Puluh Empat</v>
      </c>
    </row>
    <row r="15199" spans="10:12">
      <c r="J15199" s="31">
        <v>85</v>
      </c>
      <c r="K15199" s="33" t="s">
        <v>161</v>
      </c>
      <c r="L15199" s="31" t="str">
        <f t="shared" si="1468"/>
        <v>Delapan Puluh Lima</v>
      </c>
    </row>
    <row r="15200" spans="10:12">
      <c r="J15200" s="31">
        <v>86</v>
      </c>
      <c r="K15200" s="33" t="s">
        <v>162</v>
      </c>
      <c r="L15200" s="31" t="str">
        <f t="shared" si="1468"/>
        <v>Delapan Puluh Enam</v>
      </c>
    </row>
    <row r="15201" spans="1:12">
      <c r="J15201" s="31">
        <v>87</v>
      </c>
      <c r="K15201" s="33" t="s">
        <v>163</v>
      </c>
      <c r="L15201" s="31" t="str">
        <f t="shared" si="1468"/>
        <v>Delapan Puluh Tujuh</v>
      </c>
    </row>
    <row r="15202" spans="1:12">
      <c r="J15202" s="31">
        <v>88</v>
      </c>
      <c r="K15202" s="33" t="s">
        <v>164</v>
      </c>
      <c r="L15202" s="31" t="str">
        <f t="shared" si="1468"/>
        <v>Delapan Puluh Delapan</v>
      </c>
    </row>
    <row r="15203" spans="1:12">
      <c r="J15203" s="31">
        <v>89</v>
      </c>
      <c r="K15203" s="33" t="s">
        <v>165</v>
      </c>
      <c r="L15203" s="31" t="str">
        <f t="shared" si="1468"/>
        <v>Delapan Puluh Sembilan</v>
      </c>
    </row>
    <row r="15204" spans="1:12">
      <c r="J15204" s="31">
        <v>90</v>
      </c>
      <c r="K15204" s="33" t="s">
        <v>166</v>
      </c>
      <c r="L15204" s="31" t="s">
        <v>167</v>
      </c>
    </row>
    <row r="15205" spans="1:12">
      <c r="J15205" s="31">
        <v>91</v>
      </c>
      <c r="K15205" s="33" t="s">
        <v>168</v>
      </c>
      <c r="L15205" s="31" t="str">
        <f t="shared" ref="L15205:L15213" si="1469">$L$93&amp;" "&amp;L15115</f>
        <v>Sembilan Puluh Satu</v>
      </c>
    </row>
    <row r="15206" spans="1:12">
      <c r="J15206" s="31">
        <v>92</v>
      </c>
      <c r="K15206" s="33" t="s">
        <v>169</v>
      </c>
      <c r="L15206" s="31" t="str">
        <f t="shared" si="1469"/>
        <v>Sembilan Puluh Dua</v>
      </c>
    </row>
    <row r="15207" spans="1:12">
      <c r="J15207" s="31">
        <v>93</v>
      </c>
      <c r="K15207" s="33" t="s">
        <v>170</v>
      </c>
      <c r="L15207" s="31" t="str">
        <f t="shared" si="1469"/>
        <v>Sembilan Puluh Tiga</v>
      </c>
    </row>
    <row r="15208" spans="1:12">
      <c r="J15208" s="31">
        <v>94</v>
      </c>
      <c r="K15208" s="33" t="s">
        <v>171</v>
      </c>
      <c r="L15208" s="31" t="str">
        <f t="shared" si="1469"/>
        <v>Sembilan Puluh Empat</v>
      </c>
    </row>
    <row r="15209" spans="1:12">
      <c r="J15209" s="31">
        <v>95</v>
      </c>
      <c r="K15209" s="33" t="s">
        <v>172</v>
      </c>
      <c r="L15209" s="31" t="str">
        <f t="shared" si="1469"/>
        <v>Sembilan Puluh Lima</v>
      </c>
    </row>
    <row r="15210" spans="1:12">
      <c r="J15210" s="31">
        <v>96</v>
      </c>
      <c r="K15210" s="33" t="s">
        <v>173</v>
      </c>
      <c r="L15210" s="31" t="str">
        <f t="shared" si="1469"/>
        <v>Sembilan Puluh Enam</v>
      </c>
    </row>
    <row r="15211" spans="1:12">
      <c r="J15211" s="31">
        <v>97</v>
      </c>
      <c r="K15211" s="33" t="s">
        <v>174</v>
      </c>
      <c r="L15211" s="31" t="str">
        <f t="shared" si="1469"/>
        <v>Sembilan Puluh Tujuh</v>
      </c>
    </row>
    <row r="15212" spans="1:12">
      <c r="J15212" s="31">
        <v>98</v>
      </c>
      <c r="K15212" s="33" t="s">
        <v>175</v>
      </c>
      <c r="L15212" s="31" t="str">
        <f t="shared" si="1469"/>
        <v>Sembilan Puluh Delapan</v>
      </c>
    </row>
    <row r="15213" spans="1:12">
      <c r="J15213" s="31">
        <v>99</v>
      </c>
      <c r="K15213" s="33" t="s">
        <v>176</v>
      </c>
      <c r="L15213" s="31" t="str">
        <f t="shared" si="1469"/>
        <v>Sembilan Puluh Sembilan</v>
      </c>
    </row>
    <row r="15216" spans="1:12">
      <c r="A15216" s="30" t="e">
        <f>#REF!</f>
        <v>#REF!</v>
      </c>
      <c r="C15216" s="31" t="s">
        <v>384</v>
      </c>
    </row>
    <row r="15217" spans="1:12">
      <c r="A15217" s="32"/>
    </row>
    <row r="15218" spans="1:12">
      <c r="J15218" s="31">
        <v>0</v>
      </c>
      <c r="K15218" s="33" t="s">
        <v>48</v>
      </c>
      <c r="L15218" s="31" t="s">
        <v>49</v>
      </c>
    </row>
    <row r="15219" spans="1:12">
      <c r="A15219" s="34"/>
      <c r="J15219" s="31">
        <v>1</v>
      </c>
      <c r="K15219" s="33" t="s">
        <v>50</v>
      </c>
      <c r="L15219" s="31" t="s">
        <v>51</v>
      </c>
    </row>
    <row r="15220" spans="1:12">
      <c r="A15220" s="255" t="e">
        <f>TRIM(D15228&amp;E15228&amp;D15229&amp;E15229&amp;D15230&amp;E15230&amp;D15231&amp;E15231&amp;D15232&amp;E15232&amp;D15233&amp;E15233&amp;E15234&amp;D15234&amp;" Only")</f>
        <v>#REF!</v>
      </c>
      <c r="B15220" s="255"/>
      <c r="C15220" s="255"/>
      <c r="D15220" s="255"/>
      <c r="E15220" s="35"/>
      <c r="F15220" s="36"/>
      <c r="J15220" s="31">
        <v>2</v>
      </c>
      <c r="K15220" s="33" t="s">
        <v>52</v>
      </c>
      <c r="L15220" s="31" t="s">
        <v>53</v>
      </c>
    </row>
    <row r="15221" spans="1:12">
      <c r="A15221" s="115"/>
      <c r="B15221" s="115"/>
      <c r="C15221" s="115"/>
      <c r="D15221" s="115"/>
      <c r="E15221" s="35"/>
      <c r="F15221" s="36"/>
      <c r="J15221" s="31">
        <v>3</v>
      </c>
      <c r="K15221" s="33" t="s">
        <v>54</v>
      </c>
      <c r="L15221" s="31" t="s">
        <v>55</v>
      </c>
    </row>
    <row r="15222" spans="1:12">
      <c r="A15222" s="115"/>
      <c r="B15222" s="115"/>
      <c r="C15222" s="115"/>
      <c r="D15222" s="115"/>
      <c r="J15222" s="31">
        <v>4</v>
      </c>
      <c r="K15222" s="33" t="s">
        <v>56</v>
      </c>
      <c r="L15222" s="31" t="s">
        <v>57</v>
      </c>
    </row>
    <row r="15223" spans="1:12">
      <c r="A15223" s="255" t="e">
        <f>TRIM(D15238&amp;E15238&amp;D15239&amp;E15239&amp;D15240&amp;E15240&amp;D15241&amp;E15241&amp;D15242&amp;E15242&amp;D15243&amp;E15243&amp;D15244&amp;E15244&amp;" Rupiah")</f>
        <v>#REF!</v>
      </c>
      <c r="B15223" s="255"/>
      <c r="C15223" s="255"/>
      <c r="D15223" s="255"/>
      <c r="E15223" s="35"/>
      <c r="F15223" s="36"/>
      <c r="J15223" s="31">
        <v>5</v>
      </c>
      <c r="K15223" s="33" t="s">
        <v>58</v>
      </c>
      <c r="L15223" s="31" t="s">
        <v>59</v>
      </c>
    </row>
    <row r="15224" spans="1:12">
      <c r="A15224" s="35"/>
      <c r="B15224" s="35"/>
      <c r="C15224" s="35"/>
      <c r="D15224" s="35"/>
      <c r="E15224" s="35"/>
      <c r="F15224" s="36"/>
      <c r="J15224" s="31">
        <v>6</v>
      </c>
      <c r="K15224" s="33" t="s">
        <v>60</v>
      </c>
      <c r="L15224" s="31" t="s">
        <v>61</v>
      </c>
    </row>
    <row r="15225" spans="1:12">
      <c r="J15225" s="31">
        <v>7</v>
      </c>
      <c r="K15225" s="33" t="s">
        <v>62</v>
      </c>
      <c r="L15225" s="31" t="s">
        <v>63</v>
      </c>
    </row>
    <row r="15226" spans="1:12">
      <c r="J15226" s="31">
        <v>8</v>
      </c>
      <c r="K15226" s="33" t="s">
        <v>64</v>
      </c>
      <c r="L15226" s="31" t="s">
        <v>65</v>
      </c>
    </row>
    <row r="15227" spans="1:12">
      <c r="A15227" s="38" t="s">
        <v>66</v>
      </c>
      <c r="J15227" s="31">
        <v>9</v>
      </c>
      <c r="K15227" s="33" t="s">
        <v>67</v>
      </c>
      <c r="L15227" s="31" t="s">
        <v>68</v>
      </c>
    </row>
    <row r="15228" spans="1:12">
      <c r="A15228" s="31" t="s">
        <v>69</v>
      </c>
      <c r="B15228" s="39" t="e">
        <f>TRUNC(A15216/100000000)</f>
        <v>#REF!</v>
      </c>
      <c r="C15228" s="31" t="e">
        <f>B15228*100000000</f>
        <v>#REF!</v>
      </c>
      <c r="D15228" s="31" t="e">
        <f t="shared" ref="D15228:D15234" si="1470">IF(B15228&lt;1,"",VLOOKUP(B15228,$J$3:$K$102,2))</f>
        <v>#REF!</v>
      </c>
      <c r="E15228" s="31" t="e">
        <f>IF(B15228&lt;1,"",IF(B15228&gt;1," Hundreds "," Hundred "))</f>
        <v>#REF!</v>
      </c>
      <c r="J15228" s="31">
        <v>10</v>
      </c>
      <c r="K15228" s="33" t="s">
        <v>70</v>
      </c>
      <c r="L15228" s="31" t="s">
        <v>71</v>
      </c>
    </row>
    <row r="15229" spans="1:12">
      <c r="A15229" s="31" t="s">
        <v>72</v>
      </c>
      <c r="B15229" s="39" t="e">
        <f>TRUNC((A15216-C15228)/1000000)</f>
        <v>#REF!</v>
      </c>
      <c r="C15229" s="31" t="e">
        <f>B15229*1000000</f>
        <v>#REF!</v>
      </c>
      <c r="D15229" s="31" t="e">
        <f t="shared" si="1470"/>
        <v>#REF!</v>
      </c>
      <c r="E15229" s="31" t="e">
        <f>IF(B15228+B15229=0,"",IF(B15229=1," Million "," Millions "))</f>
        <v>#REF!</v>
      </c>
      <c r="J15229" s="31">
        <v>11</v>
      </c>
      <c r="K15229" s="33" t="s">
        <v>73</v>
      </c>
      <c r="L15229" s="31" t="s">
        <v>74</v>
      </c>
    </row>
    <row r="15230" spans="1:12">
      <c r="A15230" s="31" t="s">
        <v>75</v>
      </c>
      <c r="B15230" s="39" t="e">
        <f>TRUNC((A15216-SUM(C15228:C15229))/100000)</f>
        <v>#REF!</v>
      </c>
      <c r="C15230" s="31" t="e">
        <f>B15230*100000</f>
        <v>#REF!</v>
      </c>
      <c r="D15230" s="31" t="e">
        <f t="shared" si="1470"/>
        <v>#REF!</v>
      </c>
      <c r="E15230" s="31" t="e">
        <f>IF(B15230&lt;1,"",IF(B15230&gt;1," Hundreds "," Hundred "))</f>
        <v>#REF!</v>
      </c>
      <c r="J15230" s="31">
        <v>12</v>
      </c>
      <c r="K15230" s="33" t="s">
        <v>76</v>
      </c>
      <c r="L15230" s="31" t="str">
        <f t="shared" ref="L15230:L15237" si="1471">L15220&amp;" Belas"</f>
        <v>Dua Belas</v>
      </c>
    </row>
    <row r="15231" spans="1:12">
      <c r="A15231" s="33" t="s">
        <v>77</v>
      </c>
      <c r="B15231" s="40" t="e">
        <f>TRUNC((A15216-SUM(C15228:C15230))/1000)</f>
        <v>#REF!</v>
      </c>
      <c r="C15231" s="31" t="e">
        <f>B15231*1000</f>
        <v>#REF!</v>
      </c>
      <c r="D15231" s="31" t="e">
        <f t="shared" si="1470"/>
        <v>#REF!</v>
      </c>
      <c r="E15231" s="31" t="e">
        <f>IF(B15230+B15231=0,"",IF(B15231=1," Thousand "," Thousands "))</f>
        <v>#REF!</v>
      </c>
      <c r="J15231" s="31">
        <v>13</v>
      </c>
      <c r="K15231" s="33" t="s">
        <v>78</v>
      </c>
      <c r="L15231" s="31" t="str">
        <f t="shared" si="1471"/>
        <v>Tiga Belas</v>
      </c>
    </row>
    <row r="15232" spans="1:12">
      <c r="A15232" s="33" t="s">
        <v>79</v>
      </c>
      <c r="B15232" s="40" t="e">
        <f>TRUNC((A15216-SUM(C15228:C15231))/100)</f>
        <v>#REF!</v>
      </c>
      <c r="C15232" s="31" t="e">
        <f>B15232*100</f>
        <v>#REF!</v>
      </c>
      <c r="D15232" s="31" t="e">
        <f t="shared" si="1470"/>
        <v>#REF!</v>
      </c>
      <c r="E15232" s="31" t="e">
        <f>IF(B15232&lt;1,"",IF(B15232&gt;1," Hundreds "," Hundred "))</f>
        <v>#REF!</v>
      </c>
      <c r="J15232" s="31">
        <v>14</v>
      </c>
      <c r="K15232" s="33" t="s">
        <v>80</v>
      </c>
      <c r="L15232" s="31" t="str">
        <f t="shared" si="1471"/>
        <v>Empat Belas</v>
      </c>
    </row>
    <row r="15233" spans="1:12">
      <c r="A15233" s="33" t="s">
        <v>81</v>
      </c>
      <c r="B15233" s="41" t="e">
        <f>TRUNC((A15216-SUM(C15228:C15232)))</f>
        <v>#REF!</v>
      </c>
      <c r="C15233" s="42" t="e">
        <f>B15233</f>
        <v>#REF!</v>
      </c>
      <c r="D15233" s="31" t="e">
        <f t="shared" si="1470"/>
        <v>#REF!</v>
      </c>
      <c r="E15233" s="31" t="e">
        <f>IF(SUM(C15228:C15233)&lt;1,"",IF(B15234&lt;1,""," And "))</f>
        <v>#REF!</v>
      </c>
      <c r="J15233" s="31">
        <v>15</v>
      </c>
      <c r="K15233" s="33" t="s">
        <v>82</v>
      </c>
      <c r="L15233" s="31" t="str">
        <f t="shared" si="1471"/>
        <v>Lima Belas</v>
      </c>
    </row>
    <row r="15234" spans="1:12">
      <c r="A15234" s="33" t="s">
        <v>83</v>
      </c>
      <c r="B15234" s="40" t="e">
        <f>ROUND(A15216-SUM(C15228:C15233),2)*100</f>
        <v>#REF!</v>
      </c>
      <c r="D15234" s="43" t="e">
        <f t="shared" si="1470"/>
        <v>#REF!</v>
      </c>
      <c r="E15234" s="31" t="e">
        <f>IF(B15234&lt;1,"",IF(B15234=1," Cent "," Cents "))</f>
        <v>#REF!</v>
      </c>
      <c r="J15234" s="31">
        <v>16</v>
      </c>
      <c r="K15234" s="33" t="s">
        <v>84</v>
      </c>
      <c r="L15234" s="31" t="str">
        <f t="shared" si="1471"/>
        <v>Enam Belas</v>
      </c>
    </row>
    <row r="15235" spans="1:12">
      <c r="J15235" s="31">
        <v>17</v>
      </c>
      <c r="K15235" s="33" t="s">
        <v>85</v>
      </c>
      <c r="L15235" s="31" t="str">
        <f t="shared" si="1471"/>
        <v>Tujuh Belas</v>
      </c>
    </row>
    <row r="15236" spans="1:12">
      <c r="A15236" s="44"/>
      <c r="J15236" s="31">
        <v>18</v>
      </c>
      <c r="K15236" s="33" t="s">
        <v>86</v>
      </c>
      <c r="L15236" s="31" t="str">
        <f t="shared" si="1471"/>
        <v>Delapan Belas</v>
      </c>
    </row>
    <row r="15237" spans="1:12">
      <c r="A15237" s="38" t="s">
        <v>87</v>
      </c>
      <c r="J15237" s="31">
        <v>19</v>
      </c>
      <c r="K15237" s="33" t="s">
        <v>88</v>
      </c>
      <c r="L15237" s="31" t="str">
        <f t="shared" si="1471"/>
        <v>Sembilan Belas</v>
      </c>
    </row>
    <row r="15238" spans="1:12">
      <c r="A15238" s="31" t="s">
        <v>69</v>
      </c>
      <c r="B15238" s="39" t="e">
        <f>TRUNC(A15216/100000000)</f>
        <v>#REF!</v>
      </c>
      <c r="C15238" s="31" t="e">
        <f>B15238*100000000</f>
        <v>#REF!</v>
      </c>
      <c r="D15238" s="31" t="e">
        <f>IF(B15238&lt;1,"",IF(B15238=1,"",VLOOKUP(B15238,$J$3:$L$102,3)))</f>
        <v>#REF!</v>
      </c>
      <c r="E15238" s="31" t="e">
        <f>IF(B15238&lt;1,"",IF(B15238=1,"Seratus "," Ratus "))</f>
        <v>#REF!</v>
      </c>
      <c r="J15238" s="31">
        <v>20</v>
      </c>
      <c r="K15238" s="33" t="s">
        <v>89</v>
      </c>
      <c r="L15238" s="31" t="s">
        <v>90</v>
      </c>
    </row>
    <row r="15239" spans="1:12">
      <c r="A15239" s="31" t="s">
        <v>72</v>
      </c>
      <c r="B15239" s="39" t="e">
        <f>TRUNC((A15216-C15238)/1000000)</f>
        <v>#REF!</v>
      </c>
      <c r="C15239" s="31" t="e">
        <f>B15239*1000000</f>
        <v>#REF!</v>
      </c>
      <c r="D15239" s="31" t="e">
        <f>IF(B15239&lt;1,"",VLOOKUP(B15239,$J$3:$L$102,3))</f>
        <v>#REF!</v>
      </c>
      <c r="E15239" s="31" t="e">
        <f>IF(B15238+B15239=0,""," Juta ")</f>
        <v>#REF!</v>
      </c>
      <c r="J15239" s="31">
        <v>21</v>
      </c>
      <c r="K15239" s="33" t="s">
        <v>91</v>
      </c>
      <c r="L15239" s="31" t="str">
        <f t="shared" ref="L15239:L15247" si="1472">$L$23&amp;" "&amp;L15219</f>
        <v>Dua Puluh Satu</v>
      </c>
    </row>
    <row r="15240" spans="1:12">
      <c r="A15240" s="31" t="s">
        <v>75</v>
      </c>
      <c r="B15240" s="39" t="e">
        <f>TRUNC((A15216-SUM(C15238:C15239))/100000)</f>
        <v>#REF!</v>
      </c>
      <c r="C15240" s="31" t="e">
        <f>B15240*100000</f>
        <v>#REF!</v>
      </c>
      <c r="D15240" s="31" t="e">
        <f>IF(B15240&lt;1,"",IF(B15240=1,"",VLOOKUP(B15240,$J$3:$L$102,3)))</f>
        <v>#REF!</v>
      </c>
      <c r="E15240" s="31" t="e">
        <f>IF(B15240&lt;1,"",IF(B15240=1," Seratus "," Ratus "))</f>
        <v>#REF!</v>
      </c>
      <c r="J15240" s="31">
        <v>22</v>
      </c>
      <c r="K15240" s="33" t="s">
        <v>92</v>
      </c>
      <c r="L15240" s="31" t="str">
        <f t="shared" si="1472"/>
        <v>Dua Puluh Dua</v>
      </c>
    </row>
    <row r="15241" spans="1:12">
      <c r="A15241" s="33" t="s">
        <v>77</v>
      </c>
      <c r="B15241" s="40" t="e">
        <f>TRUNC((A15216-SUM(C15238:C15240))/1000)</f>
        <v>#REF!</v>
      </c>
      <c r="C15241" s="31" t="e">
        <f>B15241*1000</f>
        <v>#REF!</v>
      </c>
      <c r="D15241" s="31" t="e">
        <f>IF(B15241&lt;1,"",IF(B15241=1,"",VLOOKUP(B15241,$J$3:$L$102,3)))</f>
        <v>#REF!</v>
      </c>
      <c r="E15241" s="31" t="e">
        <f>IF(B15240+B15241&lt;1,"",IF(B15241=1," Seribu "," Ribu "))</f>
        <v>#REF!</v>
      </c>
      <c r="J15241" s="31">
        <v>23</v>
      </c>
      <c r="K15241" s="33" t="s">
        <v>93</v>
      </c>
      <c r="L15241" s="31" t="str">
        <f t="shared" si="1472"/>
        <v>Dua Puluh Tiga</v>
      </c>
    </row>
    <row r="15242" spans="1:12">
      <c r="A15242" s="33" t="s">
        <v>79</v>
      </c>
      <c r="B15242" s="40" t="e">
        <f>TRUNC((A15216-SUM(C15238:C15241))/100)</f>
        <v>#REF!</v>
      </c>
      <c r="C15242" s="31" t="e">
        <f>B15242*100</f>
        <v>#REF!</v>
      </c>
      <c r="D15242" s="31" t="e">
        <f>IF(B15242&lt;1,"",IF(B15242=1,"",VLOOKUP(B15242,$J$3:$L$102,3)))</f>
        <v>#REF!</v>
      </c>
      <c r="E15242" s="31" t="e">
        <f>IF(B15242&lt;1,"",IF(B15242=1," Seratus "," Ratus "))</f>
        <v>#REF!</v>
      </c>
      <c r="J15242" s="31">
        <v>24</v>
      </c>
      <c r="K15242" s="33" t="s">
        <v>94</v>
      </c>
      <c r="L15242" s="31" t="str">
        <f t="shared" si="1472"/>
        <v>Dua Puluh Empat</v>
      </c>
    </row>
    <row r="15243" spans="1:12">
      <c r="A15243" s="33" t="s">
        <v>81</v>
      </c>
      <c r="B15243" s="41" t="e">
        <f>TRUNC((A15216-SUM(C15238:C15242)))</f>
        <v>#REF!</v>
      </c>
      <c r="C15243" s="42" t="e">
        <f>B15243</f>
        <v>#REF!</v>
      </c>
      <c r="D15243" s="31" t="e">
        <f>IF(B15243&lt;1,"",VLOOKUP(B15243,$J$3:$L$102,3))</f>
        <v>#REF!</v>
      </c>
      <c r="E15243" s="31" t="e">
        <f>IF(SUM(C15238:C15243)&lt;1,"",IF(B15244&lt;1,""," Dan "))</f>
        <v>#REF!</v>
      </c>
      <c r="J15243" s="31">
        <v>25</v>
      </c>
      <c r="K15243" s="33" t="s">
        <v>95</v>
      </c>
      <c r="L15243" s="31" t="str">
        <f t="shared" si="1472"/>
        <v>Dua Puluh Lima</v>
      </c>
    </row>
    <row r="15244" spans="1:12">
      <c r="A15244" s="33" t="s">
        <v>83</v>
      </c>
      <c r="B15244" s="40" t="e">
        <f>ROUND(A15216-SUM(C15238:C15243),2)*100</f>
        <v>#REF!</v>
      </c>
      <c r="D15244" s="31" t="e">
        <f>IF(B15244&lt;1,"",VLOOKUP(B15244,$J$3:$L$102,3))</f>
        <v>#REF!</v>
      </c>
      <c r="E15244" s="31" t="e">
        <f>IF(B15244&lt;1,""," Sen ")</f>
        <v>#REF!</v>
      </c>
      <c r="J15244" s="31">
        <v>26</v>
      </c>
      <c r="K15244" s="33" t="s">
        <v>96</v>
      </c>
      <c r="L15244" s="31" t="str">
        <f t="shared" si="1472"/>
        <v>Dua Puluh Enam</v>
      </c>
    </row>
    <row r="15245" spans="1:12">
      <c r="J15245" s="31">
        <v>27</v>
      </c>
      <c r="K15245" s="33" t="s">
        <v>97</v>
      </c>
      <c r="L15245" s="31" t="str">
        <f t="shared" si="1472"/>
        <v>Dua Puluh Tujuh</v>
      </c>
    </row>
    <row r="15246" spans="1:12">
      <c r="J15246" s="31">
        <v>28</v>
      </c>
      <c r="K15246" s="33" t="s">
        <v>98</v>
      </c>
      <c r="L15246" s="31" t="str">
        <f t="shared" si="1472"/>
        <v>Dua Puluh Delapan</v>
      </c>
    </row>
    <row r="15247" spans="1:12">
      <c r="J15247" s="31">
        <v>29</v>
      </c>
      <c r="K15247" s="33" t="s">
        <v>99</v>
      </c>
      <c r="L15247" s="31" t="str">
        <f t="shared" si="1472"/>
        <v>Dua Puluh Sembilan</v>
      </c>
    </row>
    <row r="15248" spans="1:12">
      <c r="J15248" s="31">
        <v>30</v>
      </c>
      <c r="K15248" s="33" t="s">
        <v>100</v>
      </c>
      <c r="L15248" s="31" t="s">
        <v>101</v>
      </c>
    </row>
    <row r="15249" spans="1:12">
      <c r="J15249" s="31">
        <v>31</v>
      </c>
      <c r="K15249" s="33" t="s">
        <v>102</v>
      </c>
      <c r="L15249" s="31" t="str">
        <f t="shared" ref="L15249:L15257" si="1473">$L$33&amp;" "&amp;L15219</f>
        <v>Tiga Puluh Satu</v>
      </c>
    </row>
    <row r="15250" spans="1:12">
      <c r="J15250" s="31">
        <v>32</v>
      </c>
      <c r="K15250" s="33" t="s">
        <v>103</v>
      </c>
      <c r="L15250" s="31" t="str">
        <f t="shared" si="1473"/>
        <v>Tiga Puluh Dua</v>
      </c>
    </row>
    <row r="15251" spans="1:12">
      <c r="J15251" s="31">
        <v>33</v>
      </c>
      <c r="K15251" s="33" t="s">
        <v>104</v>
      </c>
      <c r="L15251" s="31" t="str">
        <f t="shared" si="1473"/>
        <v>Tiga Puluh Tiga</v>
      </c>
    </row>
    <row r="15252" spans="1:12">
      <c r="J15252" s="31">
        <v>34</v>
      </c>
      <c r="K15252" s="33" t="s">
        <v>105</v>
      </c>
      <c r="L15252" s="31" t="str">
        <f t="shared" si="1473"/>
        <v>Tiga Puluh Empat</v>
      </c>
    </row>
    <row r="15253" spans="1:12">
      <c r="J15253" s="31">
        <v>35</v>
      </c>
      <c r="K15253" s="33" t="s">
        <v>106</v>
      </c>
      <c r="L15253" s="31" t="str">
        <f t="shared" si="1473"/>
        <v>Tiga Puluh Lima</v>
      </c>
    </row>
    <row r="15254" spans="1:12">
      <c r="J15254" s="31">
        <v>36</v>
      </c>
      <c r="K15254" s="33" t="s">
        <v>107</v>
      </c>
      <c r="L15254" s="31" t="str">
        <f t="shared" si="1473"/>
        <v>Tiga Puluh Enam</v>
      </c>
    </row>
    <row r="15255" spans="1:12">
      <c r="J15255" s="31">
        <v>37</v>
      </c>
      <c r="K15255" s="33" t="s">
        <v>108</v>
      </c>
      <c r="L15255" s="31" t="str">
        <f t="shared" si="1473"/>
        <v>Tiga Puluh Tujuh</v>
      </c>
    </row>
    <row r="15256" spans="1:12">
      <c r="J15256" s="31">
        <v>38</v>
      </c>
      <c r="K15256" s="33" t="s">
        <v>109</v>
      </c>
      <c r="L15256" s="31" t="str">
        <f t="shared" si="1473"/>
        <v>Tiga Puluh Delapan</v>
      </c>
    </row>
    <row r="15257" spans="1:12">
      <c r="J15257" s="31">
        <v>39</v>
      </c>
      <c r="K15257" s="33" t="s">
        <v>110</v>
      </c>
      <c r="L15257" s="31" t="str">
        <f t="shared" si="1473"/>
        <v>Tiga Puluh Sembilan</v>
      </c>
    </row>
    <row r="15258" spans="1:12">
      <c r="B15258" s="35"/>
      <c r="C15258" s="35"/>
      <c r="D15258" s="35"/>
      <c r="J15258" s="31">
        <v>40</v>
      </c>
      <c r="K15258" s="33" t="s">
        <v>111</v>
      </c>
      <c r="L15258" s="31" t="s">
        <v>112</v>
      </c>
    </row>
    <row r="15259" spans="1:12">
      <c r="A15259" s="35"/>
      <c r="B15259" s="35"/>
      <c r="C15259" s="35"/>
      <c r="D15259" s="35"/>
      <c r="J15259" s="31">
        <v>41</v>
      </c>
      <c r="K15259" s="33" t="s">
        <v>113</v>
      </c>
      <c r="L15259" s="31" t="str">
        <f t="shared" ref="L15259:L15267" si="1474">$L$43&amp;" "&amp;L15219</f>
        <v>Empat Puluh Satu</v>
      </c>
    </row>
    <row r="15260" spans="1:12">
      <c r="J15260" s="31">
        <v>42</v>
      </c>
      <c r="K15260" s="33" t="s">
        <v>114</v>
      </c>
      <c r="L15260" s="31" t="str">
        <f t="shared" si="1474"/>
        <v>Empat Puluh Dua</v>
      </c>
    </row>
    <row r="15261" spans="1:12">
      <c r="A15261" s="38"/>
      <c r="J15261" s="31">
        <v>43</v>
      </c>
      <c r="K15261" s="33" t="s">
        <v>115</v>
      </c>
      <c r="L15261" s="31" t="str">
        <f t="shared" si="1474"/>
        <v>Empat Puluh Tiga</v>
      </c>
    </row>
    <row r="15262" spans="1:12">
      <c r="J15262" s="31">
        <v>44</v>
      </c>
      <c r="K15262" s="33" t="s">
        <v>116</v>
      </c>
      <c r="L15262" s="31" t="str">
        <f t="shared" si="1474"/>
        <v>Empat Puluh Empat</v>
      </c>
    </row>
    <row r="15263" spans="1:12">
      <c r="J15263" s="31">
        <v>45</v>
      </c>
      <c r="K15263" s="33" t="s">
        <v>117</v>
      </c>
      <c r="L15263" s="31" t="str">
        <f t="shared" si="1474"/>
        <v>Empat Puluh Lima</v>
      </c>
    </row>
    <row r="15264" spans="1:12">
      <c r="J15264" s="31">
        <v>46</v>
      </c>
      <c r="K15264" s="33" t="s">
        <v>118</v>
      </c>
      <c r="L15264" s="31" t="str">
        <f t="shared" si="1474"/>
        <v>Empat Puluh Enam</v>
      </c>
    </row>
    <row r="15265" spans="10:12">
      <c r="J15265" s="31">
        <v>47</v>
      </c>
      <c r="K15265" s="33" t="s">
        <v>119</v>
      </c>
      <c r="L15265" s="31" t="str">
        <f t="shared" si="1474"/>
        <v>Empat Puluh Tujuh</v>
      </c>
    </row>
    <row r="15266" spans="10:12">
      <c r="J15266" s="31">
        <v>48</v>
      </c>
      <c r="K15266" s="33" t="s">
        <v>120</v>
      </c>
      <c r="L15266" s="31" t="str">
        <f t="shared" si="1474"/>
        <v>Empat Puluh Delapan</v>
      </c>
    </row>
    <row r="15267" spans="10:12">
      <c r="J15267" s="31">
        <v>49</v>
      </c>
      <c r="K15267" s="33" t="s">
        <v>121</v>
      </c>
      <c r="L15267" s="31" t="str">
        <f t="shared" si="1474"/>
        <v>Empat Puluh Sembilan</v>
      </c>
    </row>
    <row r="15268" spans="10:12">
      <c r="J15268" s="31">
        <v>50</v>
      </c>
      <c r="K15268" s="33" t="s">
        <v>122</v>
      </c>
      <c r="L15268" s="31" t="s">
        <v>123</v>
      </c>
    </row>
    <row r="15269" spans="10:12">
      <c r="J15269" s="31">
        <v>51</v>
      </c>
      <c r="K15269" s="33" t="s">
        <v>124</v>
      </c>
      <c r="L15269" s="31" t="str">
        <f t="shared" ref="L15269:L15277" si="1475">$L$53&amp;" "&amp;L15219</f>
        <v>Lima Puluh Satu</v>
      </c>
    </row>
    <row r="15270" spans="10:12">
      <c r="J15270" s="31">
        <v>52</v>
      </c>
      <c r="K15270" s="33" t="s">
        <v>125</v>
      </c>
      <c r="L15270" s="31" t="str">
        <f t="shared" si="1475"/>
        <v>Lima Puluh Dua</v>
      </c>
    </row>
    <row r="15271" spans="10:12">
      <c r="J15271" s="31">
        <v>53</v>
      </c>
      <c r="K15271" s="33" t="s">
        <v>126</v>
      </c>
      <c r="L15271" s="31" t="str">
        <f t="shared" si="1475"/>
        <v>Lima Puluh Tiga</v>
      </c>
    </row>
    <row r="15272" spans="10:12">
      <c r="J15272" s="31">
        <v>54</v>
      </c>
      <c r="K15272" s="33" t="s">
        <v>127</v>
      </c>
      <c r="L15272" s="31" t="str">
        <f t="shared" si="1475"/>
        <v>Lima Puluh Empat</v>
      </c>
    </row>
    <row r="15273" spans="10:12">
      <c r="J15273" s="31">
        <v>55</v>
      </c>
      <c r="K15273" s="33" t="s">
        <v>128</v>
      </c>
      <c r="L15273" s="31" t="str">
        <f t="shared" si="1475"/>
        <v>Lima Puluh Lima</v>
      </c>
    </row>
    <row r="15274" spans="10:12">
      <c r="J15274" s="31">
        <v>56</v>
      </c>
      <c r="K15274" s="33" t="s">
        <v>129</v>
      </c>
      <c r="L15274" s="31" t="str">
        <f t="shared" si="1475"/>
        <v>Lima Puluh Enam</v>
      </c>
    </row>
    <row r="15275" spans="10:12">
      <c r="J15275" s="31">
        <v>57</v>
      </c>
      <c r="K15275" s="33" t="s">
        <v>130</v>
      </c>
      <c r="L15275" s="31" t="str">
        <f t="shared" si="1475"/>
        <v>Lima Puluh Tujuh</v>
      </c>
    </row>
    <row r="15276" spans="10:12">
      <c r="J15276" s="31">
        <v>58</v>
      </c>
      <c r="K15276" s="33" t="s">
        <v>131</v>
      </c>
      <c r="L15276" s="31" t="str">
        <f t="shared" si="1475"/>
        <v>Lima Puluh Delapan</v>
      </c>
    </row>
    <row r="15277" spans="10:12">
      <c r="J15277" s="31">
        <v>59</v>
      </c>
      <c r="K15277" s="33" t="s">
        <v>132</v>
      </c>
      <c r="L15277" s="31" t="str">
        <f t="shared" si="1475"/>
        <v>Lima Puluh Sembilan</v>
      </c>
    </row>
    <row r="15278" spans="10:12">
      <c r="J15278" s="31">
        <v>60</v>
      </c>
      <c r="K15278" s="33" t="s">
        <v>133</v>
      </c>
      <c r="L15278" s="31" t="s">
        <v>134</v>
      </c>
    </row>
    <row r="15279" spans="10:12">
      <c r="J15279" s="31">
        <v>61</v>
      </c>
      <c r="K15279" s="33" t="s">
        <v>135</v>
      </c>
      <c r="L15279" s="31" t="str">
        <f t="shared" ref="L15279:L15287" si="1476">$L$63&amp;" "&amp;L15219</f>
        <v>Enam Puluh Satu</v>
      </c>
    </row>
    <row r="15280" spans="10:12">
      <c r="J15280" s="31">
        <v>62</v>
      </c>
      <c r="K15280" s="33" t="s">
        <v>136</v>
      </c>
      <c r="L15280" s="31" t="str">
        <f t="shared" si="1476"/>
        <v>Enam Puluh Dua</v>
      </c>
    </row>
    <row r="15281" spans="10:12">
      <c r="J15281" s="31">
        <v>63</v>
      </c>
      <c r="K15281" s="33" t="s">
        <v>137</v>
      </c>
      <c r="L15281" s="31" t="str">
        <f t="shared" si="1476"/>
        <v>Enam Puluh Tiga</v>
      </c>
    </row>
    <row r="15282" spans="10:12">
      <c r="J15282" s="31">
        <v>64</v>
      </c>
      <c r="K15282" s="33" t="s">
        <v>138</v>
      </c>
      <c r="L15282" s="31" t="str">
        <f t="shared" si="1476"/>
        <v>Enam Puluh Empat</v>
      </c>
    </row>
    <row r="15283" spans="10:12">
      <c r="J15283" s="31">
        <v>65</v>
      </c>
      <c r="K15283" s="33" t="s">
        <v>139</v>
      </c>
      <c r="L15283" s="31" t="str">
        <f t="shared" si="1476"/>
        <v>Enam Puluh Lima</v>
      </c>
    </row>
    <row r="15284" spans="10:12">
      <c r="J15284" s="31">
        <v>66</v>
      </c>
      <c r="K15284" s="33" t="s">
        <v>140</v>
      </c>
      <c r="L15284" s="31" t="str">
        <f t="shared" si="1476"/>
        <v>Enam Puluh Enam</v>
      </c>
    </row>
    <row r="15285" spans="10:12">
      <c r="J15285" s="31">
        <v>67</v>
      </c>
      <c r="K15285" s="33" t="s">
        <v>141</v>
      </c>
      <c r="L15285" s="31" t="str">
        <f t="shared" si="1476"/>
        <v>Enam Puluh Tujuh</v>
      </c>
    </row>
    <row r="15286" spans="10:12">
      <c r="J15286" s="31">
        <v>68</v>
      </c>
      <c r="K15286" s="33" t="s">
        <v>142</v>
      </c>
      <c r="L15286" s="31" t="str">
        <f t="shared" si="1476"/>
        <v>Enam Puluh Delapan</v>
      </c>
    </row>
    <row r="15287" spans="10:12">
      <c r="J15287" s="31">
        <v>69</v>
      </c>
      <c r="K15287" s="33" t="s">
        <v>143</v>
      </c>
      <c r="L15287" s="31" t="str">
        <f t="shared" si="1476"/>
        <v>Enam Puluh Sembilan</v>
      </c>
    </row>
    <row r="15288" spans="10:12">
      <c r="J15288" s="31">
        <v>70</v>
      </c>
      <c r="K15288" s="33" t="s">
        <v>144</v>
      </c>
      <c r="L15288" s="31" t="s">
        <v>145</v>
      </c>
    </row>
    <row r="15289" spans="10:12">
      <c r="J15289" s="31">
        <v>71</v>
      </c>
      <c r="K15289" s="33" t="s">
        <v>146</v>
      </c>
      <c r="L15289" s="31" t="str">
        <f t="shared" ref="L15289:L15297" si="1477">$L$73&amp;" "&amp;L15219</f>
        <v>Tujuh Puluh Satu</v>
      </c>
    </row>
    <row r="15290" spans="10:12">
      <c r="J15290" s="31">
        <v>72</v>
      </c>
      <c r="K15290" s="33" t="s">
        <v>147</v>
      </c>
      <c r="L15290" s="31" t="str">
        <f t="shared" si="1477"/>
        <v>Tujuh Puluh Dua</v>
      </c>
    </row>
    <row r="15291" spans="10:12">
      <c r="J15291" s="31">
        <v>73</v>
      </c>
      <c r="K15291" s="33" t="s">
        <v>148</v>
      </c>
      <c r="L15291" s="31" t="str">
        <f t="shared" si="1477"/>
        <v>Tujuh Puluh Tiga</v>
      </c>
    </row>
    <row r="15292" spans="10:12">
      <c r="J15292" s="31">
        <v>74</v>
      </c>
      <c r="K15292" s="33" t="s">
        <v>149</v>
      </c>
      <c r="L15292" s="31" t="str">
        <f t="shared" si="1477"/>
        <v>Tujuh Puluh Empat</v>
      </c>
    </row>
    <row r="15293" spans="10:12">
      <c r="J15293" s="31">
        <v>75</v>
      </c>
      <c r="K15293" s="33" t="s">
        <v>150</v>
      </c>
      <c r="L15293" s="31" t="str">
        <f t="shared" si="1477"/>
        <v>Tujuh Puluh Lima</v>
      </c>
    </row>
    <row r="15294" spans="10:12">
      <c r="J15294" s="31">
        <v>76</v>
      </c>
      <c r="K15294" s="33" t="s">
        <v>151</v>
      </c>
      <c r="L15294" s="31" t="str">
        <f t="shared" si="1477"/>
        <v>Tujuh Puluh Enam</v>
      </c>
    </row>
    <row r="15295" spans="10:12">
      <c r="J15295" s="31">
        <v>77</v>
      </c>
      <c r="K15295" s="33" t="s">
        <v>152</v>
      </c>
      <c r="L15295" s="31" t="str">
        <f t="shared" si="1477"/>
        <v>Tujuh Puluh Tujuh</v>
      </c>
    </row>
    <row r="15296" spans="10:12">
      <c r="J15296" s="31">
        <v>78</v>
      </c>
      <c r="K15296" s="33" t="s">
        <v>153</v>
      </c>
      <c r="L15296" s="31" t="str">
        <f t="shared" si="1477"/>
        <v>Tujuh Puluh Delapan</v>
      </c>
    </row>
    <row r="15297" spans="10:12">
      <c r="J15297" s="31">
        <v>79</v>
      </c>
      <c r="K15297" s="33" t="s">
        <v>154</v>
      </c>
      <c r="L15297" s="31" t="str">
        <f t="shared" si="1477"/>
        <v>Tujuh Puluh Sembilan</v>
      </c>
    </row>
    <row r="15298" spans="10:12">
      <c r="J15298" s="31">
        <v>80</v>
      </c>
      <c r="K15298" s="33" t="s">
        <v>155</v>
      </c>
      <c r="L15298" s="31" t="s">
        <v>156</v>
      </c>
    </row>
    <row r="15299" spans="10:12">
      <c r="J15299" s="31">
        <v>81</v>
      </c>
      <c r="K15299" s="33" t="s">
        <v>157</v>
      </c>
      <c r="L15299" s="31" t="str">
        <f t="shared" ref="L15299:L15307" si="1478">$L$83&amp;" "&amp;L15219</f>
        <v>Delapan Puluh Satu</v>
      </c>
    </row>
    <row r="15300" spans="10:12">
      <c r="J15300" s="31">
        <v>82</v>
      </c>
      <c r="K15300" s="33" t="s">
        <v>158</v>
      </c>
      <c r="L15300" s="31" t="str">
        <f t="shared" si="1478"/>
        <v>Delapan Puluh Dua</v>
      </c>
    </row>
    <row r="15301" spans="10:12">
      <c r="J15301" s="31">
        <v>83</v>
      </c>
      <c r="K15301" s="33" t="s">
        <v>159</v>
      </c>
      <c r="L15301" s="31" t="str">
        <f t="shared" si="1478"/>
        <v>Delapan Puluh Tiga</v>
      </c>
    </row>
    <row r="15302" spans="10:12">
      <c r="J15302" s="31">
        <v>84</v>
      </c>
      <c r="K15302" s="33" t="s">
        <v>160</v>
      </c>
      <c r="L15302" s="31" t="str">
        <f t="shared" si="1478"/>
        <v>Delapan Puluh Empat</v>
      </c>
    </row>
    <row r="15303" spans="10:12">
      <c r="J15303" s="31">
        <v>85</v>
      </c>
      <c r="K15303" s="33" t="s">
        <v>161</v>
      </c>
      <c r="L15303" s="31" t="str">
        <f t="shared" si="1478"/>
        <v>Delapan Puluh Lima</v>
      </c>
    </row>
    <row r="15304" spans="10:12">
      <c r="J15304" s="31">
        <v>86</v>
      </c>
      <c r="K15304" s="33" t="s">
        <v>162</v>
      </c>
      <c r="L15304" s="31" t="str">
        <f t="shared" si="1478"/>
        <v>Delapan Puluh Enam</v>
      </c>
    </row>
    <row r="15305" spans="10:12">
      <c r="J15305" s="31">
        <v>87</v>
      </c>
      <c r="K15305" s="33" t="s">
        <v>163</v>
      </c>
      <c r="L15305" s="31" t="str">
        <f t="shared" si="1478"/>
        <v>Delapan Puluh Tujuh</v>
      </c>
    </row>
    <row r="15306" spans="10:12">
      <c r="J15306" s="31">
        <v>88</v>
      </c>
      <c r="K15306" s="33" t="s">
        <v>164</v>
      </c>
      <c r="L15306" s="31" t="str">
        <f t="shared" si="1478"/>
        <v>Delapan Puluh Delapan</v>
      </c>
    </row>
    <row r="15307" spans="10:12">
      <c r="J15307" s="31">
        <v>89</v>
      </c>
      <c r="K15307" s="33" t="s">
        <v>165</v>
      </c>
      <c r="L15307" s="31" t="str">
        <f t="shared" si="1478"/>
        <v>Delapan Puluh Sembilan</v>
      </c>
    </row>
    <row r="15308" spans="10:12">
      <c r="J15308" s="31">
        <v>90</v>
      </c>
      <c r="K15308" s="33" t="s">
        <v>166</v>
      </c>
      <c r="L15308" s="31" t="s">
        <v>167</v>
      </c>
    </row>
    <row r="15309" spans="10:12">
      <c r="J15309" s="31">
        <v>91</v>
      </c>
      <c r="K15309" s="33" t="s">
        <v>168</v>
      </c>
      <c r="L15309" s="31" t="str">
        <f t="shared" ref="L15309:L15317" si="1479">$L$93&amp;" "&amp;L15219</f>
        <v>Sembilan Puluh Satu</v>
      </c>
    </row>
    <row r="15310" spans="10:12">
      <c r="J15310" s="31">
        <v>92</v>
      </c>
      <c r="K15310" s="33" t="s">
        <v>169</v>
      </c>
      <c r="L15310" s="31" t="str">
        <f t="shared" si="1479"/>
        <v>Sembilan Puluh Dua</v>
      </c>
    </row>
    <row r="15311" spans="10:12">
      <c r="J15311" s="31">
        <v>93</v>
      </c>
      <c r="K15311" s="33" t="s">
        <v>170</v>
      </c>
      <c r="L15311" s="31" t="str">
        <f t="shared" si="1479"/>
        <v>Sembilan Puluh Tiga</v>
      </c>
    </row>
    <row r="15312" spans="10:12">
      <c r="J15312" s="31">
        <v>94</v>
      </c>
      <c r="K15312" s="33" t="s">
        <v>171</v>
      </c>
      <c r="L15312" s="31" t="str">
        <f t="shared" si="1479"/>
        <v>Sembilan Puluh Empat</v>
      </c>
    </row>
    <row r="15313" spans="1:12">
      <c r="J15313" s="31">
        <v>95</v>
      </c>
      <c r="K15313" s="33" t="s">
        <v>172</v>
      </c>
      <c r="L15313" s="31" t="str">
        <f t="shared" si="1479"/>
        <v>Sembilan Puluh Lima</v>
      </c>
    </row>
    <row r="15314" spans="1:12">
      <c r="J15314" s="31">
        <v>96</v>
      </c>
      <c r="K15314" s="33" t="s">
        <v>173</v>
      </c>
      <c r="L15314" s="31" t="str">
        <f t="shared" si="1479"/>
        <v>Sembilan Puluh Enam</v>
      </c>
    </row>
    <row r="15315" spans="1:12">
      <c r="J15315" s="31">
        <v>97</v>
      </c>
      <c r="K15315" s="33" t="s">
        <v>174</v>
      </c>
      <c r="L15315" s="31" t="str">
        <f t="shared" si="1479"/>
        <v>Sembilan Puluh Tujuh</v>
      </c>
    </row>
    <row r="15316" spans="1:12">
      <c r="J15316" s="31">
        <v>98</v>
      </c>
      <c r="K15316" s="33" t="s">
        <v>175</v>
      </c>
      <c r="L15316" s="31" t="str">
        <f t="shared" si="1479"/>
        <v>Sembilan Puluh Delapan</v>
      </c>
    </row>
    <row r="15317" spans="1:12">
      <c r="J15317" s="31">
        <v>99</v>
      </c>
      <c r="K15317" s="33" t="s">
        <v>176</v>
      </c>
      <c r="L15317" s="31" t="str">
        <f t="shared" si="1479"/>
        <v>Sembilan Puluh Sembilan</v>
      </c>
    </row>
    <row r="15320" spans="1:12">
      <c r="A15320" s="30" t="e">
        <f>#REF!</f>
        <v>#REF!</v>
      </c>
      <c r="C15320" s="31" t="s">
        <v>358</v>
      </c>
    </row>
    <row r="15321" spans="1:12">
      <c r="A15321" s="32"/>
    </row>
    <row r="15322" spans="1:12">
      <c r="J15322" s="31">
        <v>0</v>
      </c>
      <c r="K15322" s="33" t="s">
        <v>48</v>
      </c>
      <c r="L15322" s="31" t="s">
        <v>49</v>
      </c>
    </row>
    <row r="15323" spans="1:12">
      <c r="A15323" s="34"/>
      <c r="J15323" s="31">
        <v>1</v>
      </c>
      <c r="K15323" s="33" t="s">
        <v>50</v>
      </c>
      <c r="L15323" s="31" t="s">
        <v>51</v>
      </c>
    </row>
    <row r="15324" spans="1:12">
      <c r="A15324" s="255" t="e">
        <f>TRIM(D15332&amp;E15332&amp;D15333&amp;E15333&amp;D15334&amp;E15334&amp;D15335&amp;E15335&amp;D15336&amp;E15336&amp;D15337&amp;E15337&amp;E15338&amp;D15338&amp;" Only")</f>
        <v>#REF!</v>
      </c>
      <c r="B15324" s="255"/>
      <c r="C15324" s="255"/>
      <c r="D15324" s="255"/>
      <c r="E15324" s="35"/>
      <c r="F15324" s="36"/>
      <c r="J15324" s="31">
        <v>2</v>
      </c>
      <c r="K15324" s="33" t="s">
        <v>52</v>
      </c>
      <c r="L15324" s="31" t="s">
        <v>53</v>
      </c>
    </row>
    <row r="15325" spans="1:12">
      <c r="A15325" s="115"/>
      <c r="B15325" s="115"/>
      <c r="C15325" s="115"/>
      <c r="D15325" s="115"/>
      <c r="E15325" s="35"/>
      <c r="F15325" s="36"/>
      <c r="J15325" s="31">
        <v>3</v>
      </c>
      <c r="K15325" s="33" t="s">
        <v>54</v>
      </c>
      <c r="L15325" s="31" t="s">
        <v>55</v>
      </c>
    </row>
    <row r="15326" spans="1:12">
      <c r="A15326" s="115"/>
      <c r="B15326" s="115"/>
      <c r="C15326" s="115"/>
      <c r="D15326" s="115"/>
      <c r="J15326" s="31">
        <v>4</v>
      </c>
      <c r="K15326" s="33" t="s">
        <v>56</v>
      </c>
      <c r="L15326" s="31" t="s">
        <v>57</v>
      </c>
    </row>
    <row r="15327" spans="1:12">
      <c r="A15327" s="255" t="e">
        <f>TRIM(D15342&amp;E15342&amp;D15343&amp;E15343&amp;D15344&amp;E15344&amp;D15345&amp;E15345&amp;D15346&amp;E15346&amp;D15347&amp;E15347&amp;D15348&amp;E15348&amp;" Rupiah")</f>
        <v>#REF!</v>
      </c>
      <c r="B15327" s="255"/>
      <c r="C15327" s="255"/>
      <c r="D15327" s="255"/>
      <c r="E15327" s="35"/>
      <c r="F15327" s="36"/>
      <c r="J15327" s="31">
        <v>5</v>
      </c>
      <c r="K15327" s="33" t="s">
        <v>58</v>
      </c>
      <c r="L15327" s="31" t="s">
        <v>59</v>
      </c>
    </row>
    <row r="15328" spans="1:12">
      <c r="A15328" s="35"/>
      <c r="B15328" s="35"/>
      <c r="C15328" s="35"/>
      <c r="D15328" s="35"/>
      <c r="E15328" s="35"/>
      <c r="F15328" s="36"/>
      <c r="J15328" s="31">
        <v>6</v>
      </c>
      <c r="K15328" s="33" t="s">
        <v>60</v>
      </c>
      <c r="L15328" s="31" t="s">
        <v>61</v>
      </c>
    </row>
    <row r="15329" spans="1:12">
      <c r="J15329" s="31">
        <v>7</v>
      </c>
      <c r="K15329" s="33" t="s">
        <v>62</v>
      </c>
      <c r="L15329" s="31" t="s">
        <v>63</v>
      </c>
    </row>
    <row r="15330" spans="1:12">
      <c r="J15330" s="31">
        <v>8</v>
      </c>
      <c r="K15330" s="33" t="s">
        <v>64</v>
      </c>
      <c r="L15330" s="31" t="s">
        <v>65</v>
      </c>
    </row>
    <row r="15331" spans="1:12">
      <c r="A15331" s="38" t="s">
        <v>66</v>
      </c>
      <c r="J15331" s="31">
        <v>9</v>
      </c>
      <c r="K15331" s="33" t="s">
        <v>67</v>
      </c>
      <c r="L15331" s="31" t="s">
        <v>68</v>
      </c>
    </row>
    <row r="15332" spans="1:12">
      <c r="A15332" s="31" t="s">
        <v>69</v>
      </c>
      <c r="B15332" s="39" t="e">
        <f>TRUNC(A15320/100000000)</f>
        <v>#REF!</v>
      </c>
      <c r="C15332" s="31" t="e">
        <f>B15332*100000000</f>
        <v>#REF!</v>
      </c>
      <c r="D15332" s="31" t="e">
        <f t="shared" ref="D15332:D15338" si="1480">IF(B15332&lt;1,"",VLOOKUP(B15332,$J$3:$K$102,2))</f>
        <v>#REF!</v>
      </c>
      <c r="E15332" s="31" t="e">
        <f>IF(B15332&lt;1,"",IF(B15332&gt;1," Hundreds "," Hundred "))</f>
        <v>#REF!</v>
      </c>
      <c r="J15332" s="31">
        <v>10</v>
      </c>
      <c r="K15332" s="33" t="s">
        <v>70</v>
      </c>
      <c r="L15332" s="31" t="s">
        <v>71</v>
      </c>
    </row>
    <row r="15333" spans="1:12">
      <c r="A15333" s="31" t="s">
        <v>72</v>
      </c>
      <c r="B15333" s="39" t="e">
        <f>TRUNC((A15320-C15332)/1000000)</f>
        <v>#REF!</v>
      </c>
      <c r="C15333" s="31" t="e">
        <f>B15333*1000000</f>
        <v>#REF!</v>
      </c>
      <c r="D15333" s="31" t="e">
        <f t="shared" si="1480"/>
        <v>#REF!</v>
      </c>
      <c r="E15333" s="31" t="e">
        <f>IF(B15332+B15333=0,"",IF(B15333=1," Million "," Millions "))</f>
        <v>#REF!</v>
      </c>
      <c r="J15333" s="31">
        <v>11</v>
      </c>
      <c r="K15333" s="33" t="s">
        <v>73</v>
      </c>
      <c r="L15333" s="31" t="s">
        <v>74</v>
      </c>
    </row>
    <row r="15334" spans="1:12">
      <c r="A15334" s="31" t="s">
        <v>75</v>
      </c>
      <c r="B15334" s="39" t="e">
        <f>TRUNC((A15320-SUM(C15332:C15333))/100000)</f>
        <v>#REF!</v>
      </c>
      <c r="C15334" s="31" t="e">
        <f>B15334*100000</f>
        <v>#REF!</v>
      </c>
      <c r="D15334" s="31" t="e">
        <f t="shared" si="1480"/>
        <v>#REF!</v>
      </c>
      <c r="E15334" s="31" t="e">
        <f>IF(B15334&lt;1,"",IF(B15334&gt;1," Hundreds "," Hundred "))</f>
        <v>#REF!</v>
      </c>
      <c r="J15334" s="31">
        <v>12</v>
      </c>
      <c r="K15334" s="33" t="s">
        <v>76</v>
      </c>
      <c r="L15334" s="31" t="str">
        <f t="shared" ref="L15334:L15341" si="1481">L15324&amp;" Belas"</f>
        <v>Dua Belas</v>
      </c>
    </row>
    <row r="15335" spans="1:12">
      <c r="A15335" s="33" t="s">
        <v>77</v>
      </c>
      <c r="B15335" s="40" t="e">
        <f>TRUNC((A15320-SUM(C15332:C15334))/1000)</f>
        <v>#REF!</v>
      </c>
      <c r="C15335" s="31" t="e">
        <f>B15335*1000</f>
        <v>#REF!</v>
      </c>
      <c r="D15335" s="31" t="e">
        <f t="shared" si="1480"/>
        <v>#REF!</v>
      </c>
      <c r="E15335" s="31" t="e">
        <f>IF(B15334+B15335=0,"",IF(B15335=1," Thousand "," Thousands "))</f>
        <v>#REF!</v>
      </c>
      <c r="J15335" s="31">
        <v>13</v>
      </c>
      <c r="K15335" s="33" t="s">
        <v>78</v>
      </c>
      <c r="L15335" s="31" t="str">
        <f t="shared" si="1481"/>
        <v>Tiga Belas</v>
      </c>
    </row>
    <row r="15336" spans="1:12">
      <c r="A15336" s="33" t="s">
        <v>79</v>
      </c>
      <c r="B15336" s="40" t="e">
        <f>TRUNC((A15320-SUM(C15332:C15335))/100)</f>
        <v>#REF!</v>
      </c>
      <c r="C15336" s="31" t="e">
        <f>B15336*100</f>
        <v>#REF!</v>
      </c>
      <c r="D15336" s="31" t="e">
        <f t="shared" si="1480"/>
        <v>#REF!</v>
      </c>
      <c r="E15336" s="31" t="e">
        <f>IF(B15336&lt;1,"",IF(B15336&gt;1," Hundreds "," Hundred "))</f>
        <v>#REF!</v>
      </c>
      <c r="J15336" s="31">
        <v>14</v>
      </c>
      <c r="K15336" s="33" t="s">
        <v>80</v>
      </c>
      <c r="L15336" s="31" t="str">
        <f t="shared" si="1481"/>
        <v>Empat Belas</v>
      </c>
    </row>
    <row r="15337" spans="1:12">
      <c r="A15337" s="33" t="s">
        <v>81</v>
      </c>
      <c r="B15337" s="41" t="e">
        <f>TRUNC((A15320-SUM(C15332:C15336)))</f>
        <v>#REF!</v>
      </c>
      <c r="C15337" s="42" t="e">
        <f>B15337</f>
        <v>#REF!</v>
      </c>
      <c r="D15337" s="31" t="e">
        <f t="shared" si="1480"/>
        <v>#REF!</v>
      </c>
      <c r="E15337" s="31" t="e">
        <f>IF(SUM(C15332:C15337)&lt;1,"",IF(B15338&lt;1,""," And "))</f>
        <v>#REF!</v>
      </c>
      <c r="J15337" s="31">
        <v>15</v>
      </c>
      <c r="K15337" s="33" t="s">
        <v>82</v>
      </c>
      <c r="L15337" s="31" t="str">
        <f t="shared" si="1481"/>
        <v>Lima Belas</v>
      </c>
    </row>
    <row r="15338" spans="1:12">
      <c r="A15338" s="33" t="s">
        <v>83</v>
      </c>
      <c r="B15338" s="40" t="e">
        <f>ROUND(A15320-SUM(C15332:C15337),2)*100</f>
        <v>#REF!</v>
      </c>
      <c r="D15338" s="43" t="e">
        <f t="shared" si="1480"/>
        <v>#REF!</v>
      </c>
      <c r="E15338" s="31" t="e">
        <f>IF(B15338&lt;1,"",IF(B15338=1," Cent "," Cents "))</f>
        <v>#REF!</v>
      </c>
      <c r="J15338" s="31">
        <v>16</v>
      </c>
      <c r="K15338" s="33" t="s">
        <v>84</v>
      </c>
      <c r="L15338" s="31" t="str">
        <f t="shared" si="1481"/>
        <v>Enam Belas</v>
      </c>
    </row>
    <row r="15339" spans="1:12">
      <c r="J15339" s="31">
        <v>17</v>
      </c>
      <c r="K15339" s="33" t="s">
        <v>85</v>
      </c>
      <c r="L15339" s="31" t="str">
        <f t="shared" si="1481"/>
        <v>Tujuh Belas</v>
      </c>
    </row>
    <row r="15340" spans="1:12">
      <c r="A15340" s="44"/>
      <c r="J15340" s="31">
        <v>18</v>
      </c>
      <c r="K15340" s="33" t="s">
        <v>86</v>
      </c>
      <c r="L15340" s="31" t="str">
        <f t="shared" si="1481"/>
        <v>Delapan Belas</v>
      </c>
    </row>
    <row r="15341" spans="1:12">
      <c r="A15341" s="38" t="s">
        <v>87</v>
      </c>
      <c r="J15341" s="31">
        <v>19</v>
      </c>
      <c r="K15341" s="33" t="s">
        <v>88</v>
      </c>
      <c r="L15341" s="31" t="str">
        <f t="shared" si="1481"/>
        <v>Sembilan Belas</v>
      </c>
    </row>
    <row r="15342" spans="1:12">
      <c r="A15342" s="31" t="s">
        <v>69</v>
      </c>
      <c r="B15342" s="39" t="e">
        <f>TRUNC(A15320/100000000)</f>
        <v>#REF!</v>
      </c>
      <c r="C15342" s="31" t="e">
        <f>B15342*100000000</f>
        <v>#REF!</v>
      </c>
      <c r="D15342" s="31" t="e">
        <f>IF(B15342&lt;1,"",IF(B15342=1,"",VLOOKUP(B15342,$J$3:$L$102,3)))</f>
        <v>#REF!</v>
      </c>
      <c r="E15342" s="31" t="e">
        <f>IF(B15342&lt;1,"",IF(B15342=1,"Seratus "," Ratus "))</f>
        <v>#REF!</v>
      </c>
      <c r="J15342" s="31">
        <v>20</v>
      </c>
      <c r="K15342" s="33" t="s">
        <v>89</v>
      </c>
      <c r="L15342" s="31" t="s">
        <v>90</v>
      </c>
    </row>
    <row r="15343" spans="1:12">
      <c r="A15343" s="31" t="s">
        <v>72</v>
      </c>
      <c r="B15343" s="39" t="e">
        <f>TRUNC((A15320-C15342)/1000000)</f>
        <v>#REF!</v>
      </c>
      <c r="C15343" s="31" t="e">
        <f>B15343*1000000</f>
        <v>#REF!</v>
      </c>
      <c r="D15343" s="31" t="e">
        <f>IF(B15343&lt;1,"",VLOOKUP(B15343,$J$3:$L$102,3))</f>
        <v>#REF!</v>
      </c>
      <c r="E15343" s="31" t="e">
        <f>IF(B15342+B15343=0,""," Juta ")</f>
        <v>#REF!</v>
      </c>
      <c r="J15343" s="31">
        <v>21</v>
      </c>
      <c r="K15343" s="33" t="s">
        <v>91</v>
      </c>
      <c r="L15343" s="31" t="str">
        <f t="shared" ref="L15343:L15351" si="1482">$L$23&amp;" "&amp;L15323</f>
        <v>Dua Puluh Satu</v>
      </c>
    </row>
    <row r="15344" spans="1:12">
      <c r="A15344" s="31" t="s">
        <v>75</v>
      </c>
      <c r="B15344" s="39" t="e">
        <f>TRUNC((A15320-SUM(C15342:C15343))/100000)</f>
        <v>#REF!</v>
      </c>
      <c r="C15344" s="31" t="e">
        <f>B15344*100000</f>
        <v>#REF!</v>
      </c>
      <c r="D15344" s="31" t="e">
        <f>IF(B15344&lt;1,"",IF(B15344=1,"",VLOOKUP(B15344,$J$3:$L$102,3)))</f>
        <v>#REF!</v>
      </c>
      <c r="E15344" s="31" t="e">
        <f>IF(B15344&lt;1,"",IF(B15344=1," Seratus "," Ratus "))</f>
        <v>#REF!</v>
      </c>
      <c r="J15344" s="31">
        <v>22</v>
      </c>
      <c r="K15344" s="33" t="s">
        <v>92</v>
      </c>
      <c r="L15344" s="31" t="str">
        <f t="shared" si="1482"/>
        <v>Dua Puluh Dua</v>
      </c>
    </row>
    <row r="15345" spans="1:12">
      <c r="A15345" s="33" t="s">
        <v>77</v>
      </c>
      <c r="B15345" s="40" t="e">
        <f>TRUNC((A15320-SUM(C15342:C15344))/1000)</f>
        <v>#REF!</v>
      </c>
      <c r="C15345" s="31" t="e">
        <f>B15345*1000</f>
        <v>#REF!</v>
      </c>
      <c r="D15345" s="31" t="e">
        <f>IF(B15345&lt;1,"",IF(B15345=1,"",VLOOKUP(B15345,$J$3:$L$102,3)))</f>
        <v>#REF!</v>
      </c>
      <c r="E15345" s="31" t="e">
        <f>IF(B15344+B15345&lt;1,"",IF(B15345=1," Seribu "," Ribu "))</f>
        <v>#REF!</v>
      </c>
      <c r="J15345" s="31">
        <v>23</v>
      </c>
      <c r="K15345" s="33" t="s">
        <v>93</v>
      </c>
      <c r="L15345" s="31" t="str">
        <f t="shared" si="1482"/>
        <v>Dua Puluh Tiga</v>
      </c>
    </row>
    <row r="15346" spans="1:12">
      <c r="A15346" s="33" t="s">
        <v>79</v>
      </c>
      <c r="B15346" s="40" t="e">
        <f>TRUNC((A15320-SUM(C15342:C15345))/100)</f>
        <v>#REF!</v>
      </c>
      <c r="C15346" s="31" t="e">
        <f>B15346*100</f>
        <v>#REF!</v>
      </c>
      <c r="D15346" s="31" t="e">
        <f>IF(B15346&lt;1,"",IF(B15346=1,"",VLOOKUP(B15346,$J$3:$L$102,3)))</f>
        <v>#REF!</v>
      </c>
      <c r="E15346" s="31" t="e">
        <f>IF(B15346&lt;1,"",IF(B15346=1," Seratus "," Ratus "))</f>
        <v>#REF!</v>
      </c>
      <c r="J15346" s="31">
        <v>24</v>
      </c>
      <c r="K15346" s="33" t="s">
        <v>94</v>
      </c>
      <c r="L15346" s="31" t="str">
        <f t="shared" si="1482"/>
        <v>Dua Puluh Empat</v>
      </c>
    </row>
    <row r="15347" spans="1:12">
      <c r="A15347" s="33" t="s">
        <v>81</v>
      </c>
      <c r="B15347" s="41" t="e">
        <f>TRUNC((A15320-SUM(C15342:C15346)))</f>
        <v>#REF!</v>
      </c>
      <c r="C15347" s="42" t="e">
        <f>B15347</f>
        <v>#REF!</v>
      </c>
      <c r="D15347" s="31" t="e">
        <f>IF(B15347&lt;1,"",VLOOKUP(B15347,$J$3:$L$102,3))</f>
        <v>#REF!</v>
      </c>
      <c r="E15347" s="31" t="e">
        <f>IF(SUM(C15342:C15347)&lt;1,"",IF(B15348&lt;1,""," Dan "))</f>
        <v>#REF!</v>
      </c>
      <c r="J15347" s="31">
        <v>25</v>
      </c>
      <c r="K15347" s="33" t="s">
        <v>95</v>
      </c>
      <c r="L15347" s="31" t="str">
        <f t="shared" si="1482"/>
        <v>Dua Puluh Lima</v>
      </c>
    </row>
    <row r="15348" spans="1:12">
      <c r="A15348" s="33" t="s">
        <v>83</v>
      </c>
      <c r="B15348" s="40" t="e">
        <f>ROUND(A15320-SUM(C15342:C15347),2)*100</f>
        <v>#REF!</v>
      </c>
      <c r="D15348" s="31" t="e">
        <f>IF(B15348&lt;1,"",VLOOKUP(B15348,$J$3:$L$102,3))</f>
        <v>#REF!</v>
      </c>
      <c r="E15348" s="31" t="e">
        <f>IF(B15348&lt;1,""," Sen ")</f>
        <v>#REF!</v>
      </c>
      <c r="J15348" s="31">
        <v>26</v>
      </c>
      <c r="K15348" s="33" t="s">
        <v>96</v>
      </c>
      <c r="L15348" s="31" t="str">
        <f t="shared" si="1482"/>
        <v>Dua Puluh Enam</v>
      </c>
    </row>
    <row r="15349" spans="1:12">
      <c r="J15349" s="31">
        <v>27</v>
      </c>
      <c r="K15349" s="33" t="s">
        <v>97</v>
      </c>
      <c r="L15349" s="31" t="str">
        <f t="shared" si="1482"/>
        <v>Dua Puluh Tujuh</v>
      </c>
    </row>
    <row r="15350" spans="1:12">
      <c r="J15350" s="31">
        <v>28</v>
      </c>
      <c r="K15350" s="33" t="s">
        <v>98</v>
      </c>
      <c r="L15350" s="31" t="str">
        <f t="shared" si="1482"/>
        <v>Dua Puluh Delapan</v>
      </c>
    </row>
    <row r="15351" spans="1:12">
      <c r="J15351" s="31">
        <v>29</v>
      </c>
      <c r="K15351" s="33" t="s">
        <v>99</v>
      </c>
      <c r="L15351" s="31" t="str">
        <f t="shared" si="1482"/>
        <v>Dua Puluh Sembilan</v>
      </c>
    </row>
    <row r="15352" spans="1:12">
      <c r="J15352" s="31">
        <v>30</v>
      </c>
      <c r="K15352" s="33" t="s">
        <v>100</v>
      </c>
      <c r="L15352" s="31" t="s">
        <v>101</v>
      </c>
    </row>
    <row r="15353" spans="1:12">
      <c r="J15353" s="31">
        <v>31</v>
      </c>
      <c r="K15353" s="33" t="s">
        <v>102</v>
      </c>
      <c r="L15353" s="31" t="str">
        <f t="shared" ref="L15353:L15361" si="1483">$L$33&amp;" "&amp;L15323</f>
        <v>Tiga Puluh Satu</v>
      </c>
    </row>
    <row r="15354" spans="1:12">
      <c r="J15354" s="31">
        <v>32</v>
      </c>
      <c r="K15354" s="33" t="s">
        <v>103</v>
      </c>
      <c r="L15354" s="31" t="str">
        <f t="shared" si="1483"/>
        <v>Tiga Puluh Dua</v>
      </c>
    </row>
    <row r="15355" spans="1:12">
      <c r="J15355" s="31">
        <v>33</v>
      </c>
      <c r="K15355" s="33" t="s">
        <v>104</v>
      </c>
      <c r="L15355" s="31" t="str">
        <f t="shared" si="1483"/>
        <v>Tiga Puluh Tiga</v>
      </c>
    </row>
    <row r="15356" spans="1:12">
      <c r="J15356" s="31">
        <v>34</v>
      </c>
      <c r="K15356" s="33" t="s">
        <v>105</v>
      </c>
      <c r="L15356" s="31" t="str">
        <f t="shared" si="1483"/>
        <v>Tiga Puluh Empat</v>
      </c>
    </row>
    <row r="15357" spans="1:12">
      <c r="J15357" s="31">
        <v>35</v>
      </c>
      <c r="K15357" s="33" t="s">
        <v>106</v>
      </c>
      <c r="L15357" s="31" t="str">
        <f t="shared" si="1483"/>
        <v>Tiga Puluh Lima</v>
      </c>
    </row>
    <row r="15358" spans="1:12">
      <c r="J15358" s="31">
        <v>36</v>
      </c>
      <c r="K15358" s="33" t="s">
        <v>107</v>
      </c>
      <c r="L15358" s="31" t="str">
        <f t="shared" si="1483"/>
        <v>Tiga Puluh Enam</v>
      </c>
    </row>
    <row r="15359" spans="1:12">
      <c r="J15359" s="31">
        <v>37</v>
      </c>
      <c r="K15359" s="33" t="s">
        <v>108</v>
      </c>
      <c r="L15359" s="31" t="str">
        <f t="shared" si="1483"/>
        <v>Tiga Puluh Tujuh</v>
      </c>
    </row>
    <row r="15360" spans="1:12">
      <c r="J15360" s="31">
        <v>38</v>
      </c>
      <c r="K15360" s="33" t="s">
        <v>109</v>
      </c>
      <c r="L15360" s="31" t="str">
        <f t="shared" si="1483"/>
        <v>Tiga Puluh Delapan</v>
      </c>
    </row>
    <row r="15361" spans="1:12">
      <c r="J15361" s="31">
        <v>39</v>
      </c>
      <c r="K15361" s="33" t="s">
        <v>110</v>
      </c>
      <c r="L15361" s="31" t="str">
        <f t="shared" si="1483"/>
        <v>Tiga Puluh Sembilan</v>
      </c>
    </row>
    <row r="15362" spans="1:12">
      <c r="B15362" s="35"/>
      <c r="C15362" s="35"/>
      <c r="D15362" s="35"/>
      <c r="J15362" s="31">
        <v>40</v>
      </c>
      <c r="K15362" s="33" t="s">
        <v>111</v>
      </c>
      <c r="L15362" s="31" t="s">
        <v>112</v>
      </c>
    </row>
    <row r="15363" spans="1:12">
      <c r="A15363" s="35"/>
      <c r="B15363" s="35"/>
      <c r="C15363" s="35"/>
      <c r="D15363" s="35"/>
      <c r="J15363" s="31">
        <v>41</v>
      </c>
      <c r="K15363" s="33" t="s">
        <v>113</v>
      </c>
      <c r="L15363" s="31" t="str">
        <f t="shared" ref="L15363:L15371" si="1484">$L$43&amp;" "&amp;L15323</f>
        <v>Empat Puluh Satu</v>
      </c>
    </row>
    <row r="15364" spans="1:12">
      <c r="J15364" s="31">
        <v>42</v>
      </c>
      <c r="K15364" s="33" t="s">
        <v>114</v>
      </c>
      <c r="L15364" s="31" t="str">
        <f t="shared" si="1484"/>
        <v>Empat Puluh Dua</v>
      </c>
    </row>
    <row r="15365" spans="1:12">
      <c r="A15365" s="38"/>
      <c r="J15365" s="31">
        <v>43</v>
      </c>
      <c r="K15365" s="33" t="s">
        <v>115</v>
      </c>
      <c r="L15365" s="31" t="str">
        <f t="shared" si="1484"/>
        <v>Empat Puluh Tiga</v>
      </c>
    </row>
    <row r="15366" spans="1:12">
      <c r="J15366" s="31">
        <v>44</v>
      </c>
      <c r="K15366" s="33" t="s">
        <v>116</v>
      </c>
      <c r="L15366" s="31" t="str">
        <f t="shared" si="1484"/>
        <v>Empat Puluh Empat</v>
      </c>
    </row>
    <row r="15367" spans="1:12">
      <c r="J15367" s="31">
        <v>45</v>
      </c>
      <c r="K15367" s="33" t="s">
        <v>117</v>
      </c>
      <c r="L15367" s="31" t="str">
        <f t="shared" si="1484"/>
        <v>Empat Puluh Lima</v>
      </c>
    </row>
    <row r="15368" spans="1:12">
      <c r="J15368" s="31">
        <v>46</v>
      </c>
      <c r="K15368" s="33" t="s">
        <v>118</v>
      </c>
      <c r="L15368" s="31" t="str">
        <f t="shared" si="1484"/>
        <v>Empat Puluh Enam</v>
      </c>
    </row>
    <row r="15369" spans="1:12">
      <c r="J15369" s="31">
        <v>47</v>
      </c>
      <c r="K15369" s="33" t="s">
        <v>119</v>
      </c>
      <c r="L15369" s="31" t="str">
        <f t="shared" si="1484"/>
        <v>Empat Puluh Tujuh</v>
      </c>
    </row>
    <row r="15370" spans="1:12">
      <c r="J15370" s="31">
        <v>48</v>
      </c>
      <c r="K15370" s="33" t="s">
        <v>120</v>
      </c>
      <c r="L15370" s="31" t="str">
        <f t="shared" si="1484"/>
        <v>Empat Puluh Delapan</v>
      </c>
    </row>
    <row r="15371" spans="1:12">
      <c r="J15371" s="31">
        <v>49</v>
      </c>
      <c r="K15371" s="33" t="s">
        <v>121</v>
      </c>
      <c r="L15371" s="31" t="str">
        <f t="shared" si="1484"/>
        <v>Empat Puluh Sembilan</v>
      </c>
    </row>
    <row r="15372" spans="1:12">
      <c r="J15372" s="31">
        <v>50</v>
      </c>
      <c r="K15372" s="33" t="s">
        <v>122</v>
      </c>
      <c r="L15372" s="31" t="s">
        <v>123</v>
      </c>
    </row>
    <row r="15373" spans="1:12">
      <c r="J15373" s="31">
        <v>51</v>
      </c>
      <c r="K15373" s="33" t="s">
        <v>124</v>
      </c>
      <c r="L15373" s="31" t="str">
        <f t="shared" ref="L15373:L15381" si="1485">$L$53&amp;" "&amp;L15323</f>
        <v>Lima Puluh Satu</v>
      </c>
    </row>
    <row r="15374" spans="1:12">
      <c r="J15374" s="31">
        <v>52</v>
      </c>
      <c r="K15374" s="33" t="s">
        <v>125</v>
      </c>
      <c r="L15374" s="31" t="str">
        <f t="shared" si="1485"/>
        <v>Lima Puluh Dua</v>
      </c>
    </row>
    <row r="15375" spans="1:12">
      <c r="J15375" s="31">
        <v>53</v>
      </c>
      <c r="K15375" s="33" t="s">
        <v>126</v>
      </c>
      <c r="L15375" s="31" t="str">
        <f t="shared" si="1485"/>
        <v>Lima Puluh Tiga</v>
      </c>
    </row>
    <row r="15376" spans="1:12">
      <c r="J15376" s="31">
        <v>54</v>
      </c>
      <c r="K15376" s="33" t="s">
        <v>127</v>
      </c>
      <c r="L15376" s="31" t="str">
        <f t="shared" si="1485"/>
        <v>Lima Puluh Empat</v>
      </c>
    </row>
    <row r="15377" spans="10:12">
      <c r="J15377" s="31">
        <v>55</v>
      </c>
      <c r="K15377" s="33" t="s">
        <v>128</v>
      </c>
      <c r="L15377" s="31" t="str">
        <f t="shared" si="1485"/>
        <v>Lima Puluh Lima</v>
      </c>
    </row>
    <row r="15378" spans="10:12">
      <c r="J15378" s="31">
        <v>56</v>
      </c>
      <c r="K15378" s="33" t="s">
        <v>129</v>
      </c>
      <c r="L15378" s="31" t="str">
        <f t="shared" si="1485"/>
        <v>Lima Puluh Enam</v>
      </c>
    </row>
    <row r="15379" spans="10:12">
      <c r="J15379" s="31">
        <v>57</v>
      </c>
      <c r="K15379" s="33" t="s">
        <v>130</v>
      </c>
      <c r="L15379" s="31" t="str">
        <f t="shared" si="1485"/>
        <v>Lima Puluh Tujuh</v>
      </c>
    </row>
    <row r="15380" spans="10:12">
      <c r="J15380" s="31">
        <v>58</v>
      </c>
      <c r="K15380" s="33" t="s">
        <v>131</v>
      </c>
      <c r="L15380" s="31" t="str">
        <f t="shared" si="1485"/>
        <v>Lima Puluh Delapan</v>
      </c>
    </row>
    <row r="15381" spans="10:12">
      <c r="J15381" s="31">
        <v>59</v>
      </c>
      <c r="K15381" s="33" t="s">
        <v>132</v>
      </c>
      <c r="L15381" s="31" t="str">
        <f t="shared" si="1485"/>
        <v>Lima Puluh Sembilan</v>
      </c>
    </row>
    <row r="15382" spans="10:12">
      <c r="J15382" s="31">
        <v>60</v>
      </c>
      <c r="K15382" s="33" t="s">
        <v>133</v>
      </c>
      <c r="L15382" s="31" t="s">
        <v>134</v>
      </c>
    </row>
    <row r="15383" spans="10:12">
      <c r="J15383" s="31">
        <v>61</v>
      </c>
      <c r="K15383" s="33" t="s">
        <v>135</v>
      </c>
      <c r="L15383" s="31" t="str">
        <f t="shared" ref="L15383:L15391" si="1486">$L$63&amp;" "&amp;L15323</f>
        <v>Enam Puluh Satu</v>
      </c>
    </row>
    <row r="15384" spans="10:12">
      <c r="J15384" s="31">
        <v>62</v>
      </c>
      <c r="K15384" s="33" t="s">
        <v>136</v>
      </c>
      <c r="L15384" s="31" t="str">
        <f t="shared" si="1486"/>
        <v>Enam Puluh Dua</v>
      </c>
    </row>
    <row r="15385" spans="10:12">
      <c r="J15385" s="31">
        <v>63</v>
      </c>
      <c r="K15385" s="33" t="s">
        <v>137</v>
      </c>
      <c r="L15385" s="31" t="str">
        <f t="shared" si="1486"/>
        <v>Enam Puluh Tiga</v>
      </c>
    </row>
    <row r="15386" spans="10:12">
      <c r="J15386" s="31">
        <v>64</v>
      </c>
      <c r="K15386" s="33" t="s">
        <v>138</v>
      </c>
      <c r="L15386" s="31" t="str">
        <f t="shared" si="1486"/>
        <v>Enam Puluh Empat</v>
      </c>
    </row>
    <row r="15387" spans="10:12">
      <c r="J15387" s="31">
        <v>65</v>
      </c>
      <c r="K15387" s="33" t="s">
        <v>139</v>
      </c>
      <c r="L15387" s="31" t="str">
        <f t="shared" si="1486"/>
        <v>Enam Puluh Lima</v>
      </c>
    </row>
    <row r="15388" spans="10:12">
      <c r="J15388" s="31">
        <v>66</v>
      </c>
      <c r="K15388" s="33" t="s">
        <v>140</v>
      </c>
      <c r="L15388" s="31" t="str">
        <f t="shared" si="1486"/>
        <v>Enam Puluh Enam</v>
      </c>
    </row>
    <row r="15389" spans="10:12">
      <c r="J15389" s="31">
        <v>67</v>
      </c>
      <c r="K15389" s="33" t="s">
        <v>141</v>
      </c>
      <c r="L15389" s="31" t="str">
        <f t="shared" si="1486"/>
        <v>Enam Puluh Tujuh</v>
      </c>
    </row>
    <row r="15390" spans="10:12">
      <c r="J15390" s="31">
        <v>68</v>
      </c>
      <c r="K15390" s="33" t="s">
        <v>142</v>
      </c>
      <c r="L15390" s="31" t="str">
        <f t="shared" si="1486"/>
        <v>Enam Puluh Delapan</v>
      </c>
    </row>
    <row r="15391" spans="10:12">
      <c r="J15391" s="31">
        <v>69</v>
      </c>
      <c r="K15391" s="33" t="s">
        <v>143</v>
      </c>
      <c r="L15391" s="31" t="str">
        <f t="shared" si="1486"/>
        <v>Enam Puluh Sembilan</v>
      </c>
    </row>
    <row r="15392" spans="10:12">
      <c r="J15392" s="31">
        <v>70</v>
      </c>
      <c r="K15392" s="33" t="s">
        <v>144</v>
      </c>
      <c r="L15392" s="31" t="s">
        <v>145</v>
      </c>
    </row>
    <row r="15393" spans="10:12">
      <c r="J15393" s="31">
        <v>71</v>
      </c>
      <c r="K15393" s="33" t="s">
        <v>146</v>
      </c>
      <c r="L15393" s="31" t="str">
        <f t="shared" ref="L15393:L15401" si="1487">$L$73&amp;" "&amp;L15323</f>
        <v>Tujuh Puluh Satu</v>
      </c>
    </row>
    <row r="15394" spans="10:12">
      <c r="J15394" s="31">
        <v>72</v>
      </c>
      <c r="K15394" s="33" t="s">
        <v>147</v>
      </c>
      <c r="L15394" s="31" t="str">
        <f t="shared" si="1487"/>
        <v>Tujuh Puluh Dua</v>
      </c>
    </row>
    <row r="15395" spans="10:12">
      <c r="J15395" s="31">
        <v>73</v>
      </c>
      <c r="K15395" s="33" t="s">
        <v>148</v>
      </c>
      <c r="L15395" s="31" t="str">
        <f t="shared" si="1487"/>
        <v>Tujuh Puluh Tiga</v>
      </c>
    </row>
    <row r="15396" spans="10:12">
      <c r="J15396" s="31">
        <v>74</v>
      </c>
      <c r="K15396" s="33" t="s">
        <v>149</v>
      </c>
      <c r="L15396" s="31" t="str">
        <f t="shared" si="1487"/>
        <v>Tujuh Puluh Empat</v>
      </c>
    </row>
    <row r="15397" spans="10:12">
      <c r="J15397" s="31">
        <v>75</v>
      </c>
      <c r="K15397" s="33" t="s">
        <v>150</v>
      </c>
      <c r="L15397" s="31" t="str">
        <f t="shared" si="1487"/>
        <v>Tujuh Puluh Lima</v>
      </c>
    </row>
    <row r="15398" spans="10:12">
      <c r="J15398" s="31">
        <v>76</v>
      </c>
      <c r="K15398" s="33" t="s">
        <v>151</v>
      </c>
      <c r="L15398" s="31" t="str">
        <f t="shared" si="1487"/>
        <v>Tujuh Puluh Enam</v>
      </c>
    </row>
    <row r="15399" spans="10:12">
      <c r="J15399" s="31">
        <v>77</v>
      </c>
      <c r="K15399" s="33" t="s">
        <v>152</v>
      </c>
      <c r="L15399" s="31" t="str">
        <f t="shared" si="1487"/>
        <v>Tujuh Puluh Tujuh</v>
      </c>
    </row>
    <row r="15400" spans="10:12">
      <c r="J15400" s="31">
        <v>78</v>
      </c>
      <c r="K15400" s="33" t="s">
        <v>153</v>
      </c>
      <c r="L15400" s="31" t="str">
        <f t="shared" si="1487"/>
        <v>Tujuh Puluh Delapan</v>
      </c>
    </row>
    <row r="15401" spans="10:12">
      <c r="J15401" s="31">
        <v>79</v>
      </c>
      <c r="K15401" s="33" t="s">
        <v>154</v>
      </c>
      <c r="L15401" s="31" t="str">
        <f t="shared" si="1487"/>
        <v>Tujuh Puluh Sembilan</v>
      </c>
    </row>
    <row r="15402" spans="10:12">
      <c r="J15402" s="31">
        <v>80</v>
      </c>
      <c r="K15402" s="33" t="s">
        <v>155</v>
      </c>
      <c r="L15402" s="31" t="s">
        <v>156</v>
      </c>
    </row>
    <row r="15403" spans="10:12">
      <c r="J15403" s="31">
        <v>81</v>
      </c>
      <c r="K15403" s="33" t="s">
        <v>157</v>
      </c>
      <c r="L15403" s="31" t="str">
        <f t="shared" ref="L15403:L15411" si="1488">$L$83&amp;" "&amp;L15323</f>
        <v>Delapan Puluh Satu</v>
      </c>
    </row>
    <row r="15404" spans="10:12">
      <c r="J15404" s="31">
        <v>82</v>
      </c>
      <c r="K15404" s="33" t="s">
        <v>158</v>
      </c>
      <c r="L15404" s="31" t="str">
        <f t="shared" si="1488"/>
        <v>Delapan Puluh Dua</v>
      </c>
    </row>
    <row r="15405" spans="10:12">
      <c r="J15405" s="31">
        <v>83</v>
      </c>
      <c r="K15405" s="33" t="s">
        <v>159</v>
      </c>
      <c r="L15405" s="31" t="str">
        <f t="shared" si="1488"/>
        <v>Delapan Puluh Tiga</v>
      </c>
    </row>
    <row r="15406" spans="10:12">
      <c r="J15406" s="31">
        <v>84</v>
      </c>
      <c r="K15406" s="33" t="s">
        <v>160</v>
      </c>
      <c r="L15406" s="31" t="str">
        <f t="shared" si="1488"/>
        <v>Delapan Puluh Empat</v>
      </c>
    </row>
    <row r="15407" spans="10:12">
      <c r="J15407" s="31">
        <v>85</v>
      </c>
      <c r="K15407" s="33" t="s">
        <v>161</v>
      </c>
      <c r="L15407" s="31" t="str">
        <f t="shared" si="1488"/>
        <v>Delapan Puluh Lima</v>
      </c>
    </row>
    <row r="15408" spans="10:12">
      <c r="J15408" s="31">
        <v>86</v>
      </c>
      <c r="K15408" s="33" t="s">
        <v>162</v>
      </c>
      <c r="L15408" s="31" t="str">
        <f t="shared" si="1488"/>
        <v>Delapan Puluh Enam</v>
      </c>
    </row>
    <row r="15409" spans="1:12">
      <c r="J15409" s="31">
        <v>87</v>
      </c>
      <c r="K15409" s="33" t="s">
        <v>163</v>
      </c>
      <c r="L15409" s="31" t="str">
        <f t="shared" si="1488"/>
        <v>Delapan Puluh Tujuh</v>
      </c>
    </row>
    <row r="15410" spans="1:12">
      <c r="J15410" s="31">
        <v>88</v>
      </c>
      <c r="K15410" s="33" t="s">
        <v>164</v>
      </c>
      <c r="L15410" s="31" t="str">
        <f t="shared" si="1488"/>
        <v>Delapan Puluh Delapan</v>
      </c>
    </row>
    <row r="15411" spans="1:12">
      <c r="J15411" s="31">
        <v>89</v>
      </c>
      <c r="K15411" s="33" t="s">
        <v>165</v>
      </c>
      <c r="L15411" s="31" t="str">
        <f t="shared" si="1488"/>
        <v>Delapan Puluh Sembilan</v>
      </c>
    </row>
    <row r="15412" spans="1:12">
      <c r="J15412" s="31">
        <v>90</v>
      </c>
      <c r="K15412" s="33" t="s">
        <v>166</v>
      </c>
      <c r="L15412" s="31" t="s">
        <v>167</v>
      </c>
    </row>
    <row r="15413" spans="1:12">
      <c r="J15413" s="31">
        <v>91</v>
      </c>
      <c r="K15413" s="33" t="s">
        <v>168</v>
      </c>
      <c r="L15413" s="31" t="str">
        <f t="shared" ref="L15413:L15421" si="1489">$L$93&amp;" "&amp;L15323</f>
        <v>Sembilan Puluh Satu</v>
      </c>
    </row>
    <row r="15414" spans="1:12">
      <c r="J15414" s="31">
        <v>92</v>
      </c>
      <c r="K15414" s="33" t="s">
        <v>169</v>
      </c>
      <c r="L15414" s="31" t="str">
        <f t="shared" si="1489"/>
        <v>Sembilan Puluh Dua</v>
      </c>
    </row>
    <row r="15415" spans="1:12">
      <c r="J15415" s="31">
        <v>93</v>
      </c>
      <c r="K15415" s="33" t="s">
        <v>170</v>
      </c>
      <c r="L15415" s="31" t="str">
        <f t="shared" si="1489"/>
        <v>Sembilan Puluh Tiga</v>
      </c>
    </row>
    <row r="15416" spans="1:12">
      <c r="J15416" s="31">
        <v>94</v>
      </c>
      <c r="K15416" s="33" t="s">
        <v>171</v>
      </c>
      <c r="L15416" s="31" t="str">
        <f t="shared" si="1489"/>
        <v>Sembilan Puluh Empat</v>
      </c>
    </row>
    <row r="15417" spans="1:12">
      <c r="J15417" s="31">
        <v>95</v>
      </c>
      <c r="K15417" s="33" t="s">
        <v>172</v>
      </c>
      <c r="L15417" s="31" t="str">
        <f t="shared" si="1489"/>
        <v>Sembilan Puluh Lima</v>
      </c>
    </row>
    <row r="15418" spans="1:12">
      <c r="J15418" s="31">
        <v>96</v>
      </c>
      <c r="K15418" s="33" t="s">
        <v>173</v>
      </c>
      <c r="L15418" s="31" t="str">
        <f t="shared" si="1489"/>
        <v>Sembilan Puluh Enam</v>
      </c>
    </row>
    <row r="15419" spans="1:12">
      <c r="J15419" s="31">
        <v>97</v>
      </c>
      <c r="K15419" s="33" t="s">
        <v>174</v>
      </c>
      <c r="L15419" s="31" t="str">
        <f t="shared" si="1489"/>
        <v>Sembilan Puluh Tujuh</v>
      </c>
    </row>
    <row r="15420" spans="1:12">
      <c r="J15420" s="31">
        <v>98</v>
      </c>
      <c r="K15420" s="33" t="s">
        <v>175</v>
      </c>
      <c r="L15420" s="31" t="str">
        <f t="shared" si="1489"/>
        <v>Sembilan Puluh Delapan</v>
      </c>
    </row>
    <row r="15421" spans="1:12">
      <c r="J15421" s="31">
        <v>99</v>
      </c>
      <c r="K15421" s="33" t="s">
        <v>176</v>
      </c>
      <c r="L15421" s="31" t="str">
        <f t="shared" si="1489"/>
        <v>Sembilan Puluh Sembilan</v>
      </c>
    </row>
    <row r="15424" spans="1:12">
      <c r="A15424" s="30" t="e">
        <f>#REF!</f>
        <v>#REF!</v>
      </c>
      <c r="C15424" s="31" t="s">
        <v>364</v>
      </c>
    </row>
    <row r="15425" spans="1:12">
      <c r="A15425" s="32"/>
    </row>
    <row r="15426" spans="1:12">
      <c r="J15426" s="31">
        <v>0</v>
      </c>
      <c r="K15426" s="33" t="s">
        <v>48</v>
      </c>
      <c r="L15426" s="31" t="s">
        <v>49</v>
      </c>
    </row>
    <row r="15427" spans="1:12">
      <c r="A15427" s="34"/>
      <c r="J15427" s="31">
        <v>1</v>
      </c>
      <c r="K15427" s="33" t="s">
        <v>50</v>
      </c>
      <c r="L15427" s="31" t="s">
        <v>51</v>
      </c>
    </row>
    <row r="15428" spans="1:12">
      <c r="A15428" s="255" t="e">
        <f>TRIM(D15436&amp;E15436&amp;D15437&amp;E15437&amp;D15438&amp;E15438&amp;D15439&amp;E15439&amp;D15440&amp;E15440&amp;D15441&amp;E15441&amp;E15442&amp;D15442&amp;" Only")</f>
        <v>#REF!</v>
      </c>
      <c r="B15428" s="255"/>
      <c r="C15428" s="255"/>
      <c r="D15428" s="255"/>
      <c r="E15428" s="35"/>
      <c r="F15428" s="36"/>
      <c r="J15428" s="31">
        <v>2</v>
      </c>
      <c r="K15428" s="33" t="s">
        <v>52</v>
      </c>
      <c r="L15428" s="31" t="s">
        <v>53</v>
      </c>
    </row>
    <row r="15429" spans="1:12">
      <c r="A15429" s="115"/>
      <c r="B15429" s="115"/>
      <c r="C15429" s="115"/>
      <c r="D15429" s="115"/>
      <c r="E15429" s="35"/>
      <c r="F15429" s="36"/>
      <c r="J15429" s="31">
        <v>3</v>
      </c>
      <c r="K15429" s="33" t="s">
        <v>54</v>
      </c>
      <c r="L15429" s="31" t="s">
        <v>55</v>
      </c>
    </row>
    <row r="15430" spans="1:12">
      <c r="A15430" s="115"/>
      <c r="B15430" s="115"/>
      <c r="C15430" s="115"/>
      <c r="D15430" s="115"/>
      <c r="J15430" s="31">
        <v>4</v>
      </c>
      <c r="K15430" s="33" t="s">
        <v>56</v>
      </c>
      <c r="L15430" s="31" t="s">
        <v>57</v>
      </c>
    </row>
    <row r="15431" spans="1:12">
      <c r="A15431" s="255" t="e">
        <f>TRIM(D15446&amp;E15446&amp;D15447&amp;E15447&amp;D15448&amp;E15448&amp;D15449&amp;E15449&amp;D15450&amp;E15450&amp;D15451&amp;E15451&amp;D15452&amp;E15452&amp;" Rupiah")</f>
        <v>#REF!</v>
      </c>
      <c r="B15431" s="255"/>
      <c r="C15431" s="255"/>
      <c r="D15431" s="255"/>
      <c r="E15431" s="35"/>
      <c r="F15431" s="36"/>
      <c r="J15431" s="31">
        <v>5</v>
      </c>
      <c r="K15431" s="33" t="s">
        <v>58</v>
      </c>
      <c r="L15431" s="31" t="s">
        <v>59</v>
      </c>
    </row>
    <row r="15432" spans="1:12">
      <c r="A15432" s="35"/>
      <c r="B15432" s="35"/>
      <c r="C15432" s="35"/>
      <c r="D15432" s="35"/>
      <c r="E15432" s="35"/>
      <c r="F15432" s="36"/>
      <c r="J15432" s="31">
        <v>6</v>
      </c>
      <c r="K15432" s="33" t="s">
        <v>60</v>
      </c>
      <c r="L15432" s="31" t="s">
        <v>61</v>
      </c>
    </row>
    <row r="15433" spans="1:12">
      <c r="J15433" s="31">
        <v>7</v>
      </c>
      <c r="K15433" s="33" t="s">
        <v>62</v>
      </c>
      <c r="L15433" s="31" t="s">
        <v>63</v>
      </c>
    </row>
    <row r="15434" spans="1:12">
      <c r="J15434" s="31">
        <v>8</v>
      </c>
      <c r="K15434" s="33" t="s">
        <v>64</v>
      </c>
      <c r="L15434" s="31" t="s">
        <v>65</v>
      </c>
    </row>
    <row r="15435" spans="1:12">
      <c r="A15435" s="38" t="s">
        <v>66</v>
      </c>
      <c r="J15435" s="31">
        <v>9</v>
      </c>
      <c r="K15435" s="33" t="s">
        <v>67</v>
      </c>
      <c r="L15435" s="31" t="s">
        <v>68</v>
      </c>
    </row>
    <row r="15436" spans="1:12">
      <c r="A15436" s="31" t="s">
        <v>69</v>
      </c>
      <c r="B15436" s="39" t="e">
        <f>TRUNC(A15424/100000000)</f>
        <v>#REF!</v>
      </c>
      <c r="C15436" s="31" t="e">
        <f>B15436*100000000</f>
        <v>#REF!</v>
      </c>
      <c r="D15436" s="31" t="e">
        <f t="shared" ref="D15436:D15442" si="1490">IF(B15436&lt;1,"",VLOOKUP(B15436,$J$3:$K$102,2))</f>
        <v>#REF!</v>
      </c>
      <c r="E15436" s="31" t="e">
        <f>IF(B15436&lt;1,"",IF(B15436&gt;1," Hundreds "," Hundred "))</f>
        <v>#REF!</v>
      </c>
      <c r="J15436" s="31">
        <v>10</v>
      </c>
      <c r="K15436" s="33" t="s">
        <v>70</v>
      </c>
      <c r="L15436" s="31" t="s">
        <v>71</v>
      </c>
    </row>
    <row r="15437" spans="1:12">
      <c r="A15437" s="31" t="s">
        <v>72</v>
      </c>
      <c r="B15437" s="39" t="e">
        <f>TRUNC((A15424-C15436)/1000000)</f>
        <v>#REF!</v>
      </c>
      <c r="C15437" s="31" t="e">
        <f>B15437*1000000</f>
        <v>#REF!</v>
      </c>
      <c r="D15437" s="31" t="e">
        <f t="shared" si="1490"/>
        <v>#REF!</v>
      </c>
      <c r="E15437" s="31" t="e">
        <f>IF(B15436+B15437=0,"",IF(B15437=1," Million "," Millions "))</f>
        <v>#REF!</v>
      </c>
      <c r="J15437" s="31">
        <v>11</v>
      </c>
      <c r="K15437" s="33" t="s">
        <v>73</v>
      </c>
      <c r="L15437" s="31" t="s">
        <v>74</v>
      </c>
    </row>
    <row r="15438" spans="1:12">
      <c r="A15438" s="31" t="s">
        <v>75</v>
      </c>
      <c r="B15438" s="39" t="e">
        <f>TRUNC((A15424-SUM(C15436:C15437))/100000)</f>
        <v>#REF!</v>
      </c>
      <c r="C15438" s="31" t="e">
        <f>B15438*100000</f>
        <v>#REF!</v>
      </c>
      <c r="D15438" s="31" t="e">
        <f t="shared" si="1490"/>
        <v>#REF!</v>
      </c>
      <c r="E15438" s="31" t="e">
        <f>IF(B15438&lt;1,"",IF(B15438&gt;1," Hundreds "," Hundred "))</f>
        <v>#REF!</v>
      </c>
      <c r="J15438" s="31">
        <v>12</v>
      </c>
      <c r="K15438" s="33" t="s">
        <v>76</v>
      </c>
      <c r="L15438" s="31" t="str">
        <f t="shared" ref="L15438:L15445" si="1491">L15428&amp;" Belas"</f>
        <v>Dua Belas</v>
      </c>
    </row>
    <row r="15439" spans="1:12">
      <c r="A15439" s="33" t="s">
        <v>77</v>
      </c>
      <c r="B15439" s="40" t="e">
        <f>TRUNC((A15424-SUM(C15436:C15438))/1000)</f>
        <v>#REF!</v>
      </c>
      <c r="C15439" s="31" t="e">
        <f>B15439*1000</f>
        <v>#REF!</v>
      </c>
      <c r="D15439" s="31" t="e">
        <f t="shared" si="1490"/>
        <v>#REF!</v>
      </c>
      <c r="E15439" s="31" t="e">
        <f>IF(B15438+B15439=0,"",IF(B15439=1," Thousand "," Thousands "))</f>
        <v>#REF!</v>
      </c>
      <c r="J15439" s="31">
        <v>13</v>
      </c>
      <c r="K15439" s="33" t="s">
        <v>78</v>
      </c>
      <c r="L15439" s="31" t="str">
        <f t="shared" si="1491"/>
        <v>Tiga Belas</v>
      </c>
    </row>
    <row r="15440" spans="1:12">
      <c r="A15440" s="33" t="s">
        <v>79</v>
      </c>
      <c r="B15440" s="40" t="e">
        <f>TRUNC((A15424-SUM(C15436:C15439))/100)</f>
        <v>#REF!</v>
      </c>
      <c r="C15440" s="31" t="e">
        <f>B15440*100</f>
        <v>#REF!</v>
      </c>
      <c r="D15440" s="31" t="e">
        <f t="shared" si="1490"/>
        <v>#REF!</v>
      </c>
      <c r="E15440" s="31" t="e">
        <f>IF(B15440&lt;1,"",IF(B15440&gt;1," Hundreds "," Hundred "))</f>
        <v>#REF!</v>
      </c>
      <c r="J15440" s="31">
        <v>14</v>
      </c>
      <c r="K15440" s="33" t="s">
        <v>80</v>
      </c>
      <c r="L15440" s="31" t="str">
        <f t="shared" si="1491"/>
        <v>Empat Belas</v>
      </c>
    </row>
    <row r="15441" spans="1:12">
      <c r="A15441" s="33" t="s">
        <v>81</v>
      </c>
      <c r="B15441" s="41" t="e">
        <f>TRUNC((A15424-SUM(C15436:C15440)))</f>
        <v>#REF!</v>
      </c>
      <c r="C15441" s="42" t="e">
        <f>B15441</f>
        <v>#REF!</v>
      </c>
      <c r="D15441" s="31" t="e">
        <f t="shared" si="1490"/>
        <v>#REF!</v>
      </c>
      <c r="E15441" s="31" t="e">
        <f>IF(SUM(C15436:C15441)&lt;1,"",IF(B15442&lt;1,""," And "))</f>
        <v>#REF!</v>
      </c>
      <c r="J15441" s="31">
        <v>15</v>
      </c>
      <c r="K15441" s="33" t="s">
        <v>82</v>
      </c>
      <c r="L15441" s="31" t="str">
        <f t="shared" si="1491"/>
        <v>Lima Belas</v>
      </c>
    </row>
    <row r="15442" spans="1:12">
      <c r="A15442" s="33" t="s">
        <v>83</v>
      </c>
      <c r="B15442" s="40" t="e">
        <f>ROUND(A15424-SUM(C15436:C15441),2)*100</f>
        <v>#REF!</v>
      </c>
      <c r="D15442" s="43" t="e">
        <f t="shared" si="1490"/>
        <v>#REF!</v>
      </c>
      <c r="E15442" s="31" t="e">
        <f>IF(B15442&lt;1,"",IF(B15442=1," Cent "," Cents "))</f>
        <v>#REF!</v>
      </c>
      <c r="J15442" s="31">
        <v>16</v>
      </c>
      <c r="K15442" s="33" t="s">
        <v>84</v>
      </c>
      <c r="L15442" s="31" t="str">
        <f t="shared" si="1491"/>
        <v>Enam Belas</v>
      </c>
    </row>
    <row r="15443" spans="1:12">
      <c r="J15443" s="31">
        <v>17</v>
      </c>
      <c r="K15443" s="33" t="s">
        <v>85</v>
      </c>
      <c r="L15443" s="31" t="str">
        <f t="shared" si="1491"/>
        <v>Tujuh Belas</v>
      </c>
    </row>
    <row r="15444" spans="1:12">
      <c r="A15444" s="44"/>
      <c r="J15444" s="31">
        <v>18</v>
      </c>
      <c r="K15444" s="33" t="s">
        <v>86</v>
      </c>
      <c r="L15444" s="31" t="str">
        <f t="shared" si="1491"/>
        <v>Delapan Belas</v>
      </c>
    </row>
    <row r="15445" spans="1:12">
      <c r="A15445" s="38" t="s">
        <v>87</v>
      </c>
      <c r="J15445" s="31">
        <v>19</v>
      </c>
      <c r="K15445" s="33" t="s">
        <v>88</v>
      </c>
      <c r="L15445" s="31" t="str">
        <f t="shared" si="1491"/>
        <v>Sembilan Belas</v>
      </c>
    </row>
    <row r="15446" spans="1:12">
      <c r="A15446" s="31" t="s">
        <v>69</v>
      </c>
      <c r="B15446" s="39" t="e">
        <f>TRUNC(A15424/100000000)</f>
        <v>#REF!</v>
      </c>
      <c r="C15446" s="31" t="e">
        <f>B15446*100000000</f>
        <v>#REF!</v>
      </c>
      <c r="D15446" s="31" t="e">
        <f>IF(B15446&lt;1,"",IF(B15446=1,"",VLOOKUP(B15446,$J$3:$L$102,3)))</f>
        <v>#REF!</v>
      </c>
      <c r="E15446" s="31" t="e">
        <f>IF(B15446&lt;1,"",IF(B15446=1,"Seratus "," Ratus "))</f>
        <v>#REF!</v>
      </c>
      <c r="J15446" s="31">
        <v>20</v>
      </c>
      <c r="K15446" s="33" t="s">
        <v>89</v>
      </c>
      <c r="L15446" s="31" t="s">
        <v>90</v>
      </c>
    </row>
    <row r="15447" spans="1:12">
      <c r="A15447" s="31" t="s">
        <v>72</v>
      </c>
      <c r="B15447" s="39" t="e">
        <f>TRUNC((A15424-C15446)/1000000)</f>
        <v>#REF!</v>
      </c>
      <c r="C15447" s="31" t="e">
        <f>B15447*1000000</f>
        <v>#REF!</v>
      </c>
      <c r="D15447" s="31" t="e">
        <f>IF(B15447&lt;1,"",VLOOKUP(B15447,$J$3:$L$102,3))</f>
        <v>#REF!</v>
      </c>
      <c r="E15447" s="31" t="e">
        <f>IF(B15446+B15447=0,""," Juta ")</f>
        <v>#REF!</v>
      </c>
      <c r="J15447" s="31">
        <v>21</v>
      </c>
      <c r="K15447" s="33" t="s">
        <v>91</v>
      </c>
      <c r="L15447" s="31" t="str">
        <f t="shared" ref="L15447:L15455" si="1492">$L$23&amp;" "&amp;L15427</f>
        <v>Dua Puluh Satu</v>
      </c>
    </row>
    <row r="15448" spans="1:12">
      <c r="A15448" s="31" t="s">
        <v>75</v>
      </c>
      <c r="B15448" s="39" t="e">
        <f>TRUNC((A15424-SUM(C15446:C15447))/100000)</f>
        <v>#REF!</v>
      </c>
      <c r="C15448" s="31" t="e">
        <f>B15448*100000</f>
        <v>#REF!</v>
      </c>
      <c r="D15448" s="31" t="e">
        <f>IF(B15448&lt;1,"",IF(B15448=1,"",VLOOKUP(B15448,$J$3:$L$102,3)))</f>
        <v>#REF!</v>
      </c>
      <c r="E15448" s="31" t="e">
        <f>IF(B15448&lt;1,"",IF(B15448=1," Seratus "," Ratus "))</f>
        <v>#REF!</v>
      </c>
      <c r="J15448" s="31">
        <v>22</v>
      </c>
      <c r="K15448" s="33" t="s">
        <v>92</v>
      </c>
      <c r="L15448" s="31" t="str">
        <f t="shared" si="1492"/>
        <v>Dua Puluh Dua</v>
      </c>
    </row>
    <row r="15449" spans="1:12">
      <c r="A15449" s="33" t="s">
        <v>77</v>
      </c>
      <c r="B15449" s="40" t="e">
        <f>TRUNC((A15424-SUM(C15446:C15448))/1000)</f>
        <v>#REF!</v>
      </c>
      <c r="C15449" s="31" t="e">
        <f>B15449*1000</f>
        <v>#REF!</v>
      </c>
      <c r="D15449" s="31" t="e">
        <f>IF(B15449&lt;1,"",IF(B15449=1,"",VLOOKUP(B15449,$J$3:$L$102,3)))</f>
        <v>#REF!</v>
      </c>
      <c r="E15449" s="31" t="e">
        <f>IF(B15448+B15449&lt;1,"",IF(B15449=1," Seribu "," Ribu "))</f>
        <v>#REF!</v>
      </c>
      <c r="J15449" s="31">
        <v>23</v>
      </c>
      <c r="K15449" s="33" t="s">
        <v>93</v>
      </c>
      <c r="L15449" s="31" t="str">
        <f t="shared" si="1492"/>
        <v>Dua Puluh Tiga</v>
      </c>
    </row>
    <row r="15450" spans="1:12">
      <c r="A15450" s="33" t="s">
        <v>79</v>
      </c>
      <c r="B15450" s="40" t="e">
        <f>TRUNC((A15424-SUM(C15446:C15449))/100)</f>
        <v>#REF!</v>
      </c>
      <c r="C15450" s="31" t="e">
        <f>B15450*100</f>
        <v>#REF!</v>
      </c>
      <c r="D15450" s="31" t="e">
        <f>IF(B15450&lt;1,"",IF(B15450=1,"",VLOOKUP(B15450,$J$3:$L$102,3)))</f>
        <v>#REF!</v>
      </c>
      <c r="E15450" s="31" t="e">
        <f>IF(B15450&lt;1,"",IF(B15450=1," Seratus "," Ratus "))</f>
        <v>#REF!</v>
      </c>
      <c r="J15450" s="31">
        <v>24</v>
      </c>
      <c r="K15450" s="33" t="s">
        <v>94</v>
      </c>
      <c r="L15450" s="31" t="str">
        <f t="shared" si="1492"/>
        <v>Dua Puluh Empat</v>
      </c>
    </row>
    <row r="15451" spans="1:12">
      <c r="A15451" s="33" t="s">
        <v>81</v>
      </c>
      <c r="B15451" s="41" t="e">
        <f>TRUNC((A15424-SUM(C15446:C15450)))</f>
        <v>#REF!</v>
      </c>
      <c r="C15451" s="42" t="e">
        <f>B15451</f>
        <v>#REF!</v>
      </c>
      <c r="D15451" s="31" t="e">
        <f>IF(B15451&lt;1,"",VLOOKUP(B15451,$J$3:$L$102,3))</f>
        <v>#REF!</v>
      </c>
      <c r="E15451" s="31" t="e">
        <f>IF(SUM(C15446:C15451)&lt;1,"",IF(B15452&lt;1,""," Dan "))</f>
        <v>#REF!</v>
      </c>
      <c r="J15451" s="31">
        <v>25</v>
      </c>
      <c r="K15451" s="33" t="s">
        <v>95</v>
      </c>
      <c r="L15451" s="31" t="str">
        <f t="shared" si="1492"/>
        <v>Dua Puluh Lima</v>
      </c>
    </row>
    <row r="15452" spans="1:12">
      <c r="A15452" s="33" t="s">
        <v>83</v>
      </c>
      <c r="B15452" s="40" t="e">
        <f>ROUND(A15424-SUM(C15446:C15451),2)*100</f>
        <v>#REF!</v>
      </c>
      <c r="D15452" s="31" t="e">
        <f>IF(B15452&lt;1,"",VLOOKUP(B15452,$J$3:$L$102,3))</f>
        <v>#REF!</v>
      </c>
      <c r="E15452" s="31" t="e">
        <f>IF(B15452&lt;1,""," Sen ")</f>
        <v>#REF!</v>
      </c>
      <c r="J15452" s="31">
        <v>26</v>
      </c>
      <c r="K15452" s="33" t="s">
        <v>96</v>
      </c>
      <c r="L15452" s="31" t="str">
        <f t="shared" si="1492"/>
        <v>Dua Puluh Enam</v>
      </c>
    </row>
    <row r="15453" spans="1:12">
      <c r="J15453" s="31">
        <v>27</v>
      </c>
      <c r="K15453" s="33" t="s">
        <v>97</v>
      </c>
      <c r="L15453" s="31" t="str">
        <f t="shared" si="1492"/>
        <v>Dua Puluh Tujuh</v>
      </c>
    </row>
    <row r="15454" spans="1:12">
      <c r="J15454" s="31">
        <v>28</v>
      </c>
      <c r="K15454" s="33" t="s">
        <v>98</v>
      </c>
      <c r="L15454" s="31" t="str">
        <f t="shared" si="1492"/>
        <v>Dua Puluh Delapan</v>
      </c>
    </row>
    <row r="15455" spans="1:12">
      <c r="J15455" s="31">
        <v>29</v>
      </c>
      <c r="K15455" s="33" t="s">
        <v>99</v>
      </c>
      <c r="L15455" s="31" t="str">
        <f t="shared" si="1492"/>
        <v>Dua Puluh Sembilan</v>
      </c>
    </row>
    <row r="15456" spans="1:12">
      <c r="J15456" s="31">
        <v>30</v>
      </c>
      <c r="K15456" s="33" t="s">
        <v>100</v>
      </c>
      <c r="L15456" s="31" t="s">
        <v>101</v>
      </c>
    </row>
    <row r="15457" spans="1:12">
      <c r="J15457" s="31">
        <v>31</v>
      </c>
      <c r="K15457" s="33" t="s">
        <v>102</v>
      </c>
      <c r="L15457" s="31" t="str">
        <f t="shared" ref="L15457:L15465" si="1493">$L$33&amp;" "&amp;L15427</f>
        <v>Tiga Puluh Satu</v>
      </c>
    </row>
    <row r="15458" spans="1:12">
      <c r="J15458" s="31">
        <v>32</v>
      </c>
      <c r="K15458" s="33" t="s">
        <v>103</v>
      </c>
      <c r="L15458" s="31" t="str">
        <f t="shared" si="1493"/>
        <v>Tiga Puluh Dua</v>
      </c>
    </row>
    <row r="15459" spans="1:12">
      <c r="J15459" s="31">
        <v>33</v>
      </c>
      <c r="K15459" s="33" t="s">
        <v>104</v>
      </c>
      <c r="L15459" s="31" t="str">
        <f t="shared" si="1493"/>
        <v>Tiga Puluh Tiga</v>
      </c>
    </row>
    <row r="15460" spans="1:12">
      <c r="J15460" s="31">
        <v>34</v>
      </c>
      <c r="K15460" s="33" t="s">
        <v>105</v>
      </c>
      <c r="L15460" s="31" t="str">
        <f t="shared" si="1493"/>
        <v>Tiga Puluh Empat</v>
      </c>
    </row>
    <row r="15461" spans="1:12">
      <c r="J15461" s="31">
        <v>35</v>
      </c>
      <c r="K15461" s="33" t="s">
        <v>106</v>
      </c>
      <c r="L15461" s="31" t="str">
        <f t="shared" si="1493"/>
        <v>Tiga Puluh Lima</v>
      </c>
    </row>
    <row r="15462" spans="1:12">
      <c r="J15462" s="31">
        <v>36</v>
      </c>
      <c r="K15462" s="33" t="s">
        <v>107</v>
      </c>
      <c r="L15462" s="31" t="str">
        <f t="shared" si="1493"/>
        <v>Tiga Puluh Enam</v>
      </c>
    </row>
    <row r="15463" spans="1:12">
      <c r="J15463" s="31">
        <v>37</v>
      </c>
      <c r="K15463" s="33" t="s">
        <v>108</v>
      </c>
      <c r="L15463" s="31" t="str">
        <f t="shared" si="1493"/>
        <v>Tiga Puluh Tujuh</v>
      </c>
    </row>
    <row r="15464" spans="1:12">
      <c r="J15464" s="31">
        <v>38</v>
      </c>
      <c r="K15464" s="33" t="s">
        <v>109</v>
      </c>
      <c r="L15464" s="31" t="str">
        <f t="shared" si="1493"/>
        <v>Tiga Puluh Delapan</v>
      </c>
    </row>
    <row r="15465" spans="1:12">
      <c r="J15465" s="31">
        <v>39</v>
      </c>
      <c r="K15465" s="33" t="s">
        <v>110</v>
      </c>
      <c r="L15465" s="31" t="str">
        <f t="shared" si="1493"/>
        <v>Tiga Puluh Sembilan</v>
      </c>
    </row>
    <row r="15466" spans="1:12">
      <c r="B15466" s="35"/>
      <c r="C15466" s="35"/>
      <c r="D15466" s="35"/>
      <c r="J15466" s="31">
        <v>40</v>
      </c>
      <c r="K15466" s="33" t="s">
        <v>111</v>
      </c>
      <c r="L15466" s="31" t="s">
        <v>112</v>
      </c>
    </row>
    <row r="15467" spans="1:12">
      <c r="A15467" s="35"/>
      <c r="B15467" s="35"/>
      <c r="C15467" s="35"/>
      <c r="D15467" s="35"/>
      <c r="J15467" s="31">
        <v>41</v>
      </c>
      <c r="K15467" s="33" t="s">
        <v>113</v>
      </c>
      <c r="L15467" s="31" t="str">
        <f t="shared" ref="L15467:L15475" si="1494">$L$43&amp;" "&amp;L15427</f>
        <v>Empat Puluh Satu</v>
      </c>
    </row>
    <row r="15468" spans="1:12">
      <c r="J15468" s="31">
        <v>42</v>
      </c>
      <c r="K15468" s="33" t="s">
        <v>114</v>
      </c>
      <c r="L15468" s="31" t="str">
        <f t="shared" si="1494"/>
        <v>Empat Puluh Dua</v>
      </c>
    </row>
    <row r="15469" spans="1:12">
      <c r="A15469" s="38"/>
      <c r="J15469" s="31">
        <v>43</v>
      </c>
      <c r="K15469" s="33" t="s">
        <v>115</v>
      </c>
      <c r="L15469" s="31" t="str">
        <f t="shared" si="1494"/>
        <v>Empat Puluh Tiga</v>
      </c>
    </row>
    <row r="15470" spans="1:12">
      <c r="J15470" s="31">
        <v>44</v>
      </c>
      <c r="K15470" s="33" t="s">
        <v>116</v>
      </c>
      <c r="L15470" s="31" t="str">
        <f t="shared" si="1494"/>
        <v>Empat Puluh Empat</v>
      </c>
    </row>
    <row r="15471" spans="1:12">
      <c r="J15471" s="31">
        <v>45</v>
      </c>
      <c r="K15471" s="33" t="s">
        <v>117</v>
      </c>
      <c r="L15471" s="31" t="str">
        <f t="shared" si="1494"/>
        <v>Empat Puluh Lima</v>
      </c>
    </row>
    <row r="15472" spans="1:12">
      <c r="J15472" s="31">
        <v>46</v>
      </c>
      <c r="K15472" s="33" t="s">
        <v>118</v>
      </c>
      <c r="L15472" s="31" t="str">
        <f t="shared" si="1494"/>
        <v>Empat Puluh Enam</v>
      </c>
    </row>
    <row r="15473" spans="10:12">
      <c r="J15473" s="31">
        <v>47</v>
      </c>
      <c r="K15473" s="33" t="s">
        <v>119</v>
      </c>
      <c r="L15473" s="31" t="str">
        <f t="shared" si="1494"/>
        <v>Empat Puluh Tujuh</v>
      </c>
    </row>
    <row r="15474" spans="10:12">
      <c r="J15474" s="31">
        <v>48</v>
      </c>
      <c r="K15474" s="33" t="s">
        <v>120</v>
      </c>
      <c r="L15474" s="31" t="str">
        <f t="shared" si="1494"/>
        <v>Empat Puluh Delapan</v>
      </c>
    </row>
    <row r="15475" spans="10:12">
      <c r="J15475" s="31">
        <v>49</v>
      </c>
      <c r="K15475" s="33" t="s">
        <v>121</v>
      </c>
      <c r="L15475" s="31" t="str">
        <f t="shared" si="1494"/>
        <v>Empat Puluh Sembilan</v>
      </c>
    </row>
    <row r="15476" spans="10:12">
      <c r="J15476" s="31">
        <v>50</v>
      </c>
      <c r="K15476" s="33" t="s">
        <v>122</v>
      </c>
      <c r="L15476" s="31" t="s">
        <v>123</v>
      </c>
    </row>
    <row r="15477" spans="10:12">
      <c r="J15477" s="31">
        <v>51</v>
      </c>
      <c r="K15477" s="33" t="s">
        <v>124</v>
      </c>
      <c r="L15477" s="31" t="str">
        <f t="shared" ref="L15477:L15485" si="1495">$L$53&amp;" "&amp;L15427</f>
        <v>Lima Puluh Satu</v>
      </c>
    </row>
    <row r="15478" spans="10:12">
      <c r="J15478" s="31">
        <v>52</v>
      </c>
      <c r="K15478" s="33" t="s">
        <v>125</v>
      </c>
      <c r="L15478" s="31" t="str">
        <f t="shared" si="1495"/>
        <v>Lima Puluh Dua</v>
      </c>
    </row>
    <row r="15479" spans="10:12">
      <c r="J15479" s="31">
        <v>53</v>
      </c>
      <c r="K15479" s="33" t="s">
        <v>126</v>
      </c>
      <c r="L15479" s="31" t="str">
        <f t="shared" si="1495"/>
        <v>Lima Puluh Tiga</v>
      </c>
    </row>
    <row r="15480" spans="10:12">
      <c r="J15480" s="31">
        <v>54</v>
      </c>
      <c r="K15480" s="33" t="s">
        <v>127</v>
      </c>
      <c r="L15480" s="31" t="str">
        <f t="shared" si="1495"/>
        <v>Lima Puluh Empat</v>
      </c>
    </row>
    <row r="15481" spans="10:12">
      <c r="J15481" s="31">
        <v>55</v>
      </c>
      <c r="K15481" s="33" t="s">
        <v>128</v>
      </c>
      <c r="L15481" s="31" t="str">
        <f t="shared" si="1495"/>
        <v>Lima Puluh Lima</v>
      </c>
    </row>
    <row r="15482" spans="10:12">
      <c r="J15482" s="31">
        <v>56</v>
      </c>
      <c r="K15482" s="33" t="s">
        <v>129</v>
      </c>
      <c r="L15482" s="31" t="str">
        <f t="shared" si="1495"/>
        <v>Lima Puluh Enam</v>
      </c>
    </row>
    <row r="15483" spans="10:12">
      <c r="J15483" s="31">
        <v>57</v>
      </c>
      <c r="K15483" s="33" t="s">
        <v>130</v>
      </c>
      <c r="L15483" s="31" t="str">
        <f t="shared" si="1495"/>
        <v>Lima Puluh Tujuh</v>
      </c>
    </row>
    <row r="15484" spans="10:12">
      <c r="J15484" s="31">
        <v>58</v>
      </c>
      <c r="K15484" s="33" t="s">
        <v>131</v>
      </c>
      <c r="L15484" s="31" t="str">
        <f t="shared" si="1495"/>
        <v>Lima Puluh Delapan</v>
      </c>
    </row>
    <row r="15485" spans="10:12">
      <c r="J15485" s="31">
        <v>59</v>
      </c>
      <c r="K15485" s="33" t="s">
        <v>132</v>
      </c>
      <c r="L15485" s="31" t="str">
        <f t="shared" si="1495"/>
        <v>Lima Puluh Sembilan</v>
      </c>
    </row>
    <row r="15486" spans="10:12">
      <c r="J15486" s="31">
        <v>60</v>
      </c>
      <c r="K15486" s="33" t="s">
        <v>133</v>
      </c>
      <c r="L15486" s="31" t="s">
        <v>134</v>
      </c>
    </row>
    <row r="15487" spans="10:12">
      <c r="J15487" s="31">
        <v>61</v>
      </c>
      <c r="K15487" s="33" t="s">
        <v>135</v>
      </c>
      <c r="L15487" s="31" t="str">
        <f t="shared" ref="L15487:L15495" si="1496">$L$63&amp;" "&amp;L15427</f>
        <v>Enam Puluh Satu</v>
      </c>
    </row>
    <row r="15488" spans="10:12">
      <c r="J15488" s="31">
        <v>62</v>
      </c>
      <c r="K15488" s="33" t="s">
        <v>136</v>
      </c>
      <c r="L15488" s="31" t="str">
        <f t="shared" si="1496"/>
        <v>Enam Puluh Dua</v>
      </c>
    </row>
    <row r="15489" spans="10:12">
      <c r="J15489" s="31">
        <v>63</v>
      </c>
      <c r="K15489" s="33" t="s">
        <v>137</v>
      </c>
      <c r="L15489" s="31" t="str">
        <f t="shared" si="1496"/>
        <v>Enam Puluh Tiga</v>
      </c>
    </row>
    <row r="15490" spans="10:12">
      <c r="J15490" s="31">
        <v>64</v>
      </c>
      <c r="K15490" s="33" t="s">
        <v>138</v>
      </c>
      <c r="L15490" s="31" t="str">
        <f t="shared" si="1496"/>
        <v>Enam Puluh Empat</v>
      </c>
    </row>
    <row r="15491" spans="10:12">
      <c r="J15491" s="31">
        <v>65</v>
      </c>
      <c r="K15491" s="33" t="s">
        <v>139</v>
      </c>
      <c r="L15491" s="31" t="str">
        <f t="shared" si="1496"/>
        <v>Enam Puluh Lima</v>
      </c>
    </row>
    <row r="15492" spans="10:12">
      <c r="J15492" s="31">
        <v>66</v>
      </c>
      <c r="K15492" s="33" t="s">
        <v>140</v>
      </c>
      <c r="L15492" s="31" t="str">
        <f t="shared" si="1496"/>
        <v>Enam Puluh Enam</v>
      </c>
    </row>
    <row r="15493" spans="10:12">
      <c r="J15493" s="31">
        <v>67</v>
      </c>
      <c r="K15493" s="33" t="s">
        <v>141</v>
      </c>
      <c r="L15493" s="31" t="str">
        <f t="shared" si="1496"/>
        <v>Enam Puluh Tujuh</v>
      </c>
    </row>
    <row r="15494" spans="10:12">
      <c r="J15494" s="31">
        <v>68</v>
      </c>
      <c r="K15494" s="33" t="s">
        <v>142</v>
      </c>
      <c r="L15494" s="31" t="str">
        <f t="shared" si="1496"/>
        <v>Enam Puluh Delapan</v>
      </c>
    </row>
    <row r="15495" spans="10:12">
      <c r="J15495" s="31">
        <v>69</v>
      </c>
      <c r="K15495" s="33" t="s">
        <v>143</v>
      </c>
      <c r="L15495" s="31" t="str">
        <f t="shared" si="1496"/>
        <v>Enam Puluh Sembilan</v>
      </c>
    </row>
    <row r="15496" spans="10:12">
      <c r="J15496" s="31">
        <v>70</v>
      </c>
      <c r="K15496" s="33" t="s">
        <v>144</v>
      </c>
      <c r="L15496" s="31" t="s">
        <v>145</v>
      </c>
    </row>
    <row r="15497" spans="10:12">
      <c r="J15497" s="31">
        <v>71</v>
      </c>
      <c r="K15497" s="33" t="s">
        <v>146</v>
      </c>
      <c r="L15497" s="31" t="str">
        <f t="shared" ref="L15497:L15505" si="1497">$L$73&amp;" "&amp;L15427</f>
        <v>Tujuh Puluh Satu</v>
      </c>
    </row>
    <row r="15498" spans="10:12">
      <c r="J15498" s="31">
        <v>72</v>
      </c>
      <c r="K15498" s="33" t="s">
        <v>147</v>
      </c>
      <c r="L15498" s="31" t="str">
        <f t="shared" si="1497"/>
        <v>Tujuh Puluh Dua</v>
      </c>
    </row>
    <row r="15499" spans="10:12">
      <c r="J15499" s="31">
        <v>73</v>
      </c>
      <c r="K15499" s="33" t="s">
        <v>148</v>
      </c>
      <c r="L15499" s="31" t="str">
        <f t="shared" si="1497"/>
        <v>Tujuh Puluh Tiga</v>
      </c>
    </row>
    <row r="15500" spans="10:12">
      <c r="J15500" s="31">
        <v>74</v>
      </c>
      <c r="K15500" s="33" t="s">
        <v>149</v>
      </c>
      <c r="L15500" s="31" t="str">
        <f t="shared" si="1497"/>
        <v>Tujuh Puluh Empat</v>
      </c>
    </row>
    <row r="15501" spans="10:12">
      <c r="J15501" s="31">
        <v>75</v>
      </c>
      <c r="K15501" s="33" t="s">
        <v>150</v>
      </c>
      <c r="L15501" s="31" t="str">
        <f t="shared" si="1497"/>
        <v>Tujuh Puluh Lima</v>
      </c>
    </row>
    <row r="15502" spans="10:12">
      <c r="J15502" s="31">
        <v>76</v>
      </c>
      <c r="K15502" s="33" t="s">
        <v>151</v>
      </c>
      <c r="L15502" s="31" t="str">
        <f t="shared" si="1497"/>
        <v>Tujuh Puluh Enam</v>
      </c>
    </row>
    <row r="15503" spans="10:12">
      <c r="J15503" s="31">
        <v>77</v>
      </c>
      <c r="K15503" s="33" t="s">
        <v>152</v>
      </c>
      <c r="L15503" s="31" t="str">
        <f t="shared" si="1497"/>
        <v>Tujuh Puluh Tujuh</v>
      </c>
    </row>
    <row r="15504" spans="10:12">
      <c r="J15504" s="31">
        <v>78</v>
      </c>
      <c r="K15504" s="33" t="s">
        <v>153</v>
      </c>
      <c r="L15504" s="31" t="str">
        <f t="shared" si="1497"/>
        <v>Tujuh Puluh Delapan</v>
      </c>
    </row>
    <row r="15505" spans="10:12">
      <c r="J15505" s="31">
        <v>79</v>
      </c>
      <c r="K15505" s="33" t="s">
        <v>154</v>
      </c>
      <c r="L15505" s="31" t="str">
        <f t="shared" si="1497"/>
        <v>Tujuh Puluh Sembilan</v>
      </c>
    </row>
    <row r="15506" spans="10:12">
      <c r="J15506" s="31">
        <v>80</v>
      </c>
      <c r="K15506" s="33" t="s">
        <v>155</v>
      </c>
      <c r="L15506" s="31" t="s">
        <v>156</v>
      </c>
    </row>
    <row r="15507" spans="10:12">
      <c r="J15507" s="31">
        <v>81</v>
      </c>
      <c r="K15507" s="33" t="s">
        <v>157</v>
      </c>
      <c r="L15507" s="31" t="str">
        <f t="shared" ref="L15507:L15515" si="1498">$L$83&amp;" "&amp;L15427</f>
        <v>Delapan Puluh Satu</v>
      </c>
    </row>
    <row r="15508" spans="10:12">
      <c r="J15508" s="31">
        <v>82</v>
      </c>
      <c r="K15508" s="33" t="s">
        <v>158</v>
      </c>
      <c r="L15508" s="31" t="str">
        <f t="shared" si="1498"/>
        <v>Delapan Puluh Dua</v>
      </c>
    </row>
    <row r="15509" spans="10:12">
      <c r="J15509" s="31">
        <v>83</v>
      </c>
      <c r="K15509" s="33" t="s">
        <v>159</v>
      </c>
      <c r="L15509" s="31" t="str">
        <f t="shared" si="1498"/>
        <v>Delapan Puluh Tiga</v>
      </c>
    </row>
    <row r="15510" spans="10:12">
      <c r="J15510" s="31">
        <v>84</v>
      </c>
      <c r="K15510" s="33" t="s">
        <v>160</v>
      </c>
      <c r="L15510" s="31" t="str">
        <f t="shared" si="1498"/>
        <v>Delapan Puluh Empat</v>
      </c>
    </row>
    <row r="15511" spans="10:12">
      <c r="J15511" s="31">
        <v>85</v>
      </c>
      <c r="K15511" s="33" t="s">
        <v>161</v>
      </c>
      <c r="L15511" s="31" t="str">
        <f t="shared" si="1498"/>
        <v>Delapan Puluh Lima</v>
      </c>
    </row>
    <row r="15512" spans="10:12">
      <c r="J15512" s="31">
        <v>86</v>
      </c>
      <c r="K15512" s="33" t="s">
        <v>162</v>
      </c>
      <c r="L15512" s="31" t="str">
        <f t="shared" si="1498"/>
        <v>Delapan Puluh Enam</v>
      </c>
    </row>
    <row r="15513" spans="10:12">
      <c r="J15513" s="31">
        <v>87</v>
      </c>
      <c r="K15513" s="33" t="s">
        <v>163</v>
      </c>
      <c r="L15513" s="31" t="str">
        <f t="shared" si="1498"/>
        <v>Delapan Puluh Tujuh</v>
      </c>
    </row>
    <row r="15514" spans="10:12">
      <c r="J15514" s="31">
        <v>88</v>
      </c>
      <c r="K15514" s="33" t="s">
        <v>164</v>
      </c>
      <c r="L15514" s="31" t="str">
        <f t="shared" si="1498"/>
        <v>Delapan Puluh Delapan</v>
      </c>
    </row>
    <row r="15515" spans="10:12">
      <c r="J15515" s="31">
        <v>89</v>
      </c>
      <c r="K15515" s="33" t="s">
        <v>165</v>
      </c>
      <c r="L15515" s="31" t="str">
        <f t="shared" si="1498"/>
        <v>Delapan Puluh Sembilan</v>
      </c>
    </row>
    <row r="15516" spans="10:12">
      <c r="J15516" s="31">
        <v>90</v>
      </c>
      <c r="K15516" s="33" t="s">
        <v>166</v>
      </c>
      <c r="L15516" s="31" t="s">
        <v>167</v>
      </c>
    </row>
    <row r="15517" spans="10:12">
      <c r="J15517" s="31">
        <v>91</v>
      </c>
      <c r="K15517" s="33" t="s">
        <v>168</v>
      </c>
      <c r="L15517" s="31" t="str">
        <f t="shared" ref="L15517:L15525" si="1499">$L$93&amp;" "&amp;L15427</f>
        <v>Sembilan Puluh Satu</v>
      </c>
    </row>
    <row r="15518" spans="10:12">
      <c r="J15518" s="31">
        <v>92</v>
      </c>
      <c r="K15518" s="33" t="s">
        <v>169</v>
      </c>
      <c r="L15518" s="31" t="str">
        <f t="shared" si="1499"/>
        <v>Sembilan Puluh Dua</v>
      </c>
    </row>
    <row r="15519" spans="10:12">
      <c r="J15519" s="31">
        <v>93</v>
      </c>
      <c r="K15519" s="33" t="s">
        <v>170</v>
      </c>
      <c r="L15519" s="31" t="str">
        <f t="shared" si="1499"/>
        <v>Sembilan Puluh Tiga</v>
      </c>
    </row>
    <row r="15520" spans="10:12">
      <c r="J15520" s="31">
        <v>94</v>
      </c>
      <c r="K15520" s="33" t="s">
        <v>171</v>
      </c>
      <c r="L15520" s="31" t="str">
        <f t="shared" si="1499"/>
        <v>Sembilan Puluh Empat</v>
      </c>
    </row>
    <row r="15521" spans="1:12">
      <c r="J15521" s="31">
        <v>95</v>
      </c>
      <c r="K15521" s="33" t="s">
        <v>172</v>
      </c>
      <c r="L15521" s="31" t="str">
        <f t="shared" si="1499"/>
        <v>Sembilan Puluh Lima</v>
      </c>
    </row>
    <row r="15522" spans="1:12">
      <c r="J15522" s="31">
        <v>96</v>
      </c>
      <c r="K15522" s="33" t="s">
        <v>173</v>
      </c>
      <c r="L15522" s="31" t="str">
        <f t="shared" si="1499"/>
        <v>Sembilan Puluh Enam</v>
      </c>
    </row>
    <row r="15523" spans="1:12">
      <c r="J15523" s="31">
        <v>97</v>
      </c>
      <c r="K15523" s="33" t="s">
        <v>174</v>
      </c>
      <c r="L15523" s="31" t="str">
        <f t="shared" si="1499"/>
        <v>Sembilan Puluh Tujuh</v>
      </c>
    </row>
    <row r="15524" spans="1:12">
      <c r="J15524" s="31">
        <v>98</v>
      </c>
      <c r="K15524" s="33" t="s">
        <v>175</v>
      </c>
      <c r="L15524" s="31" t="str">
        <f t="shared" si="1499"/>
        <v>Sembilan Puluh Delapan</v>
      </c>
    </row>
    <row r="15525" spans="1:12">
      <c r="J15525" s="31">
        <v>99</v>
      </c>
      <c r="K15525" s="33" t="s">
        <v>176</v>
      </c>
      <c r="L15525" s="31" t="str">
        <f t="shared" si="1499"/>
        <v>Sembilan Puluh Sembilan</v>
      </c>
    </row>
    <row r="15527" spans="1:12">
      <c r="A15527" s="30" t="e">
        <f>#REF!</f>
        <v>#REF!</v>
      </c>
      <c r="C15527" s="31" t="s">
        <v>385</v>
      </c>
    </row>
    <row r="15528" spans="1:12">
      <c r="A15528" s="32"/>
    </row>
    <row r="15529" spans="1:12">
      <c r="J15529" s="31">
        <v>0</v>
      </c>
      <c r="K15529" s="33" t="s">
        <v>48</v>
      </c>
      <c r="L15529" s="31" t="s">
        <v>49</v>
      </c>
    </row>
    <row r="15530" spans="1:12">
      <c r="A15530" s="34"/>
      <c r="J15530" s="31">
        <v>1</v>
      </c>
      <c r="K15530" s="33" t="s">
        <v>50</v>
      </c>
      <c r="L15530" s="31" t="s">
        <v>51</v>
      </c>
    </row>
    <row r="15531" spans="1:12">
      <c r="A15531" s="255" t="e">
        <f>TRIM(D15539&amp;E15539&amp;D15540&amp;E15540&amp;D15541&amp;E15541&amp;D15542&amp;E15542&amp;D15543&amp;E15543&amp;D15544&amp;E15544&amp;E15545&amp;D15545&amp;" Only")</f>
        <v>#REF!</v>
      </c>
      <c r="B15531" s="255"/>
      <c r="C15531" s="255"/>
      <c r="D15531" s="255"/>
      <c r="E15531" s="35"/>
      <c r="F15531" s="36"/>
      <c r="J15531" s="31">
        <v>2</v>
      </c>
      <c r="K15531" s="33" t="s">
        <v>52</v>
      </c>
      <c r="L15531" s="31" t="s">
        <v>53</v>
      </c>
    </row>
    <row r="15532" spans="1:12">
      <c r="A15532" s="116"/>
      <c r="B15532" s="116"/>
      <c r="C15532" s="116"/>
      <c r="D15532" s="116"/>
      <c r="E15532" s="35"/>
      <c r="F15532" s="36"/>
      <c r="J15532" s="31">
        <v>3</v>
      </c>
      <c r="K15532" s="33" t="s">
        <v>54</v>
      </c>
      <c r="L15532" s="31" t="s">
        <v>55</v>
      </c>
    </row>
    <row r="15533" spans="1:12">
      <c r="A15533" s="116"/>
      <c r="B15533" s="116"/>
      <c r="C15533" s="116"/>
      <c r="D15533" s="116"/>
      <c r="J15533" s="31">
        <v>4</v>
      </c>
      <c r="K15533" s="33" t="s">
        <v>56</v>
      </c>
      <c r="L15533" s="31" t="s">
        <v>57</v>
      </c>
    </row>
    <row r="15534" spans="1:12">
      <c r="A15534" s="255" t="e">
        <f>TRIM(D15549&amp;E15549&amp;D15550&amp;E15550&amp;D15551&amp;E15551&amp;D15552&amp;E15552&amp;D15553&amp;E15553&amp;D15554&amp;E15554&amp;D15555&amp;E15555&amp;" Rupiah")</f>
        <v>#REF!</v>
      </c>
      <c r="B15534" s="255"/>
      <c r="C15534" s="255"/>
      <c r="D15534" s="255"/>
      <c r="E15534" s="35"/>
      <c r="F15534" s="36"/>
      <c r="J15534" s="31">
        <v>5</v>
      </c>
      <c r="K15534" s="33" t="s">
        <v>58</v>
      </c>
      <c r="L15534" s="31" t="s">
        <v>59</v>
      </c>
    </row>
    <row r="15535" spans="1:12">
      <c r="A15535" s="35"/>
      <c r="B15535" s="35"/>
      <c r="C15535" s="35"/>
      <c r="D15535" s="35"/>
      <c r="E15535" s="35"/>
      <c r="F15535" s="36"/>
      <c r="J15535" s="31">
        <v>6</v>
      </c>
      <c r="K15535" s="33" t="s">
        <v>60</v>
      </c>
      <c r="L15535" s="31" t="s">
        <v>61</v>
      </c>
    </row>
    <row r="15536" spans="1:12">
      <c r="J15536" s="31">
        <v>7</v>
      </c>
      <c r="K15536" s="33" t="s">
        <v>62</v>
      </c>
      <c r="L15536" s="31" t="s">
        <v>63</v>
      </c>
    </row>
    <row r="15537" spans="1:12">
      <c r="J15537" s="31">
        <v>8</v>
      </c>
      <c r="K15537" s="33" t="s">
        <v>64</v>
      </c>
      <c r="L15537" s="31" t="s">
        <v>65</v>
      </c>
    </row>
    <row r="15538" spans="1:12">
      <c r="A15538" s="38" t="s">
        <v>66</v>
      </c>
      <c r="J15538" s="31">
        <v>9</v>
      </c>
      <c r="K15538" s="33" t="s">
        <v>67</v>
      </c>
      <c r="L15538" s="31" t="s">
        <v>68</v>
      </c>
    </row>
    <row r="15539" spans="1:12">
      <c r="A15539" s="31" t="s">
        <v>69</v>
      </c>
      <c r="B15539" s="39" t="e">
        <f>TRUNC(A15527/100000000)</f>
        <v>#REF!</v>
      </c>
      <c r="C15539" s="31" t="e">
        <f>B15539*100000000</f>
        <v>#REF!</v>
      </c>
      <c r="D15539" s="31" t="e">
        <f t="shared" ref="D15539:D15545" si="1500">IF(B15539&lt;1,"",VLOOKUP(B15539,$J$3:$K$102,2))</f>
        <v>#REF!</v>
      </c>
      <c r="E15539" s="31" t="e">
        <f>IF(B15539&lt;1,"",IF(B15539&gt;1," Hundreds "," Hundred "))</f>
        <v>#REF!</v>
      </c>
      <c r="J15539" s="31">
        <v>10</v>
      </c>
      <c r="K15539" s="33" t="s">
        <v>70</v>
      </c>
      <c r="L15539" s="31" t="s">
        <v>71</v>
      </c>
    </row>
    <row r="15540" spans="1:12">
      <c r="A15540" s="31" t="s">
        <v>72</v>
      </c>
      <c r="B15540" s="39" t="e">
        <f>TRUNC((A15527-C15539)/1000000)</f>
        <v>#REF!</v>
      </c>
      <c r="C15540" s="31" t="e">
        <f>B15540*1000000</f>
        <v>#REF!</v>
      </c>
      <c r="D15540" s="31" t="e">
        <f t="shared" si="1500"/>
        <v>#REF!</v>
      </c>
      <c r="E15540" s="31" t="e">
        <f>IF(B15539+B15540=0,"",IF(B15540=1," Million "," Millions "))</f>
        <v>#REF!</v>
      </c>
      <c r="J15540" s="31">
        <v>11</v>
      </c>
      <c r="K15540" s="33" t="s">
        <v>73</v>
      </c>
      <c r="L15540" s="31" t="s">
        <v>74</v>
      </c>
    </row>
    <row r="15541" spans="1:12">
      <c r="A15541" s="31" t="s">
        <v>75</v>
      </c>
      <c r="B15541" s="39" t="e">
        <f>TRUNC((A15527-SUM(C15539:C15540))/100000)</f>
        <v>#REF!</v>
      </c>
      <c r="C15541" s="31" t="e">
        <f>B15541*100000</f>
        <v>#REF!</v>
      </c>
      <c r="D15541" s="31" t="e">
        <f t="shared" si="1500"/>
        <v>#REF!</v>
      </c>
      <c r="E15541" s="31" t="e">
        <f>IF(B15541&lt;1,"",IF(B15541&gt;1," Hundreds "," Hundred "))</f>
        <v>#REF!</v>
      </c>
      <c r="J15541" s="31">
        <v>12</v>
      </c>
      <c r="K15541" s="33" t="s">
        <v>76</v>
      </c>
      <c r="L15541" s="31" t="str">
        <f t="shared" ref="L15541:L15548" si="1501">L15531&amp;" Belas"</f>
        <v>Dua Belas</v>
      </c>
    </row>
    <row r="15542" spans="1:12">
      <c r="A15542" s="33" t="s">
        <v>77</v>
      </c>
      <c r="B15542" s="40" t="e">
        <f>TRUNC((A15527-SUM(C15539:C15541))/1000)</f>
        <v>#REF!</v>
      </c>
      <c r="C15542" s="31" t="e">
        <f>B15542*1000</f>
        <v>#REF!</v>
      </c>
      <c r="D15542" s="31" t="e">
        <f t="shared" si="1500"/>
        <v>#REF!</v>
      </c>
      <c r="E15542" s="31" t="e">
        <f>IF(B15541+B15542=0,"",IF(B15542=1," Thousand "," Thousands "))</f>
        <v>#REF!</v>
      </c>
      <c r="J15542" s="31">
        <v>13</v>
      </c>
      <c r="K15542" s="33" t="s">
        <v>78</v>
      </c>
      <c r="L15542" s="31" t="str">
        <f t="shared" si="1501"/>
        <v>Tiga Belas</v>
      </c>
    </row>
    <row r="15543" spans="1:12">
      <c r="A15543" s="33" t="s">
        <v>79</v>
      </c>
      <c r="B15543" s="40" t="e">
        <f>TRUNC((A15527-SUM(C15539:C15542))/100)</f>
        <v>#REF!</v>
      </c>
      <c r="C15543" s="31" t="e">
        <f>B15543*100</f>
        <v>#REF!</v>
      </c>
      <c r="D15543" s="31" t="e">
        <f t="shared" si="1500"/>
        <v>#REF!</v>
      </c>
      <c r="E15543" s="31" t="e">
        <f>IF(B15543&lt;1,"",IF(B15543&gt;1," Hundreds "," Hundred "))</f>
        <v>#REF!</v>
      </c>
      <c r="J15543" s="31">
        <v>14</v>
      </c>
      <c r="K15543" s="33" t="s">
        <v>80</v>
      </c>
      <c r="L15543" s="31" t="str">
        <f t="shared" si="1501"/>
        <v>Empat Belas</v>
      </c>
    </row>
    <row r="15544" spans="1:12">
      <c r="A15544" s="33" t="s">
        <v>81</v>
      </c>
      <c r="B15544" s="41" t="e">
        <f>TRUNC((A15527-SUM(C15539:C15543)))</f>
        <v>#REF!</v>
      </c>
      <c r="C15544" s="42" t="e">
        <f>B15544</f>
        <v>#REF!</v>
      </c>
      <c r="D15544" s="31" t="e">
        <f t="shared" si="1500"/>
        <v>#REF!</v>
      </c>
      <c r="E15544" s="31" t="e">
        <f>IF(SUM(C15539:C15544)&lt;1,"",IF(B15545&lt;1,""," And "))</f>
        <v>#REF!</v>
      </c>
      <c r="J15544" s="31">
        <v>15</v>
      </c>
      <c r="K15544" s="33" t="s">
        <v>82</v>
      </c>
      <c r="L15544" s="31" t="str">
        <f t="shared" si="1501"/>
        <v>Lima Belas</v>
      </c>
    </row>
    <row r="15545" spans="1:12">
      <c r="A15545" s="33" t="s">
        <v>83</v>
      </c>
      <c r="B15545" s="40" t="e">
        <f>ROUND(A15527-SUM(C15539:C15544),2)*100</f>
        <v>#REF!</v>
      </c>
      <c r="D15545" s="43" t="e">
        <f t="shared" si="1500"/>
        <v>#REF!</v>
      </c>
      <c r="E15545" s="31" t="e">
        <f>IF(B15545&lt;1,"",IF(B15545=1," Cent "," Cents "))</f>
        <v>#REF!</v>
      </c>
      <c r="J15545" s="31">
        <v>16</v>
      </c>
      <c r="K15545" s="33" t="s">
        <v>84</v>
      </c>
      <c r="L15545" s="31" t="str">
        <f t="shared" si="1501"/>
        <v>Enam Belas</v>
      </c>
    </row>
    <row r="15546" spans="1:12">
      <c r="J15546" s="31">
        <v>17</v>
      </c>
      <c r="K15546" s="33" t="s">
        <v>85</v>
      </c>
      <c r="L15546" s="31" t="str">
        <f t="shared" si="1501"/>
        <v>Tujuh Belas</v>
      </c>
    </row>
    <row r="15547" spans="1:12">
      <c r="A15547" s="44"/>
      <c r="J15547" s="31">
        <v>18</v>
      </c>
      <c r="K15547" s="33" t="s">
        <v>86</v>
      </c>
      <c r="L15547" s="31" t="str">
        <f t="shared" si="1501"/>
        <v>Delapan Belas</v>
      </c>
    </row>
    <row r="15548" spans="1:12">
      <c r="A15548" s="38" t="s">
        <v>87</v>
      </c>
      <c r="J15548" s="31">
        <v>19</v>
      </c>
      <c r="K15548" s="33" t="s">
        <v>88</v>
      </c>
      <c r="L15548" s="31" t="str">
        <f t="shared" si="1501"/>
        <v>Sembilan Belas</v>
      </c>
    </row>
    <row r="15549" spans="1:12">
      <c r="A15549" s="31" t="s">
        <v>69</v>
      </c>
      <c r="B15549" s="39" t="e">
        <f>TRUNC(A15527/100000000)</f>
        <v>#REF!</v>
      </c>
      <c r="C15549" s="31" t="e">
        <f>B15549*100000000</f>
        <v>#REF!</v>
      </c>
      <c r="D15549" s="31" t="e">
        <f>IF(B15549&lt;1,"",IF(B15549=1,"",VLOOKUP(B15549,$J$3:$L$102,3)))</f>
        <v>#REF!</v>
      </c>
      <c r="E15549" s="31" t="e">
        <f>IF(B15549&lt;1,"",IF(B15549=1,"Seratus "," Ratus "))</f>
        <v>#REF!</v>
      </c>
      <c r="J15549" s="31">
        <v>20</v>
      </c>
      <c r="K15549" s="33" t="s">
        <v>89</v>
      </c>
      <c r="L15549" s="31" t="s">
        <v>90</v>
      </c>
    </row>
    <row r="15550" spans="1:12">
      <c r="A15550" s="31" t="s">
        <v>72</v>
      </c>
      <c r="B15550" s="39" t="e">
        <f>TRUNC((A15527-C15549)/1000000)</f>
        <v>#REF!</v>
      </c>
      <c r="C15550" s="31" t="e">
        <f>B15550*1000000</f>
        <v>#REF!</v>
      </c>
      <c r="D15550" s="31" t="e">
        <f>IF(B15550&lt;1,"",VLOOKUP(B15550,$J$3:$L$102,3))</f>
        <v>#REF!</v>
      </c>
      <c r="E15550" s="31" t="e">
        <f>IF(B15549+B15550=0,""," Juta ")</f>
        <v>#REF!</v>
      </c>
      <c r="J15550" s="31">
        <v>21</v>
      </c>
      <c r="K15550" s="33" t="s">
        <v>91</v>
      </c>
      <c r="L15550" s="31" t="str">
        <f t="shared" ref="L15550:L15558" si="1502">$L$23&amp;" "&amp;L15530</f>
        <v>Dua Puluh Satu</v>
      </c>
    </row>
    <row r="15551" spans="1:12">
      <c r="A15551" s="31" t="s">
        <v>75</v>
      </c>
      <c r="B15551" s="39" t="e">
        <f>TRUNC((A15527-SUM(C15549:C15550))/100000)</f>
        <v>#REF!</v>
      </c>
      <c r="C15551" s="31" t="e">
        <f>B15551*100000</f>
        <v>#REF!</v>
      </c>
      <c r="D15551" s="31" t="e">
        <f>IF(B15551&lt;1,"",IF(B15551=1,"",VLOOKUP(B15551,$J$3:$L$102,3)))</f>
        <v>#REF!</v>
      </c>
      <c r="E15551" s="31" t="e">
        <f>IF(B15551&lt;1,"",IF(B15551=1," Seratus "," Ratus "))</f>
        <v>#REF!</v>
      </c>
      <c r="J15551" s="31">
        <v>22</v>
      </c>
      <c r="K15551" s="33" t="s">
        <v>92</v>
      </c>
      <c r="L15551" s="31" t="str">
        <f t="shared" si="1502"/>
        <v>Dua Puluh Dua</v>
      </c>
    </row>
    <row r="15552" spans="1:12">
      <c r="A15552" s="33" t="s">
        <v>77</v>
      </c>
      <c r="B15552" s="40" t="e">
        <f>TRUNC((A15527-SUM(C15549:C15551))/1000)</f>
        <v>#REF!</v>
      </c>
      <c r="C15552" s="31" t="e">
        <f>B15552*1000</f>
        <v>#REF!</v>
      </c>
      <c r="D15552" s="31" t="e">
        <f>IF(B15552&lt;1,"",IF(B15552=1,"",VLOOKUP(B15552,$J$3:$L$102,3)))</f>
        <v>#REF!</v>
      </c>
      <c r="E15552" s="31" t="e">
        <f>IF(B15551+B15552&lt;1,"",IF(B15552=1," Seribu "," Ribu "))</f>
        <v>#REF!</v>
      </c>
      <c r="J15552" s="31">
        <v>23</v>
      </c>
      <c r="K15552" s="33" t="s">
        <v>93</v>
      </c>
      <c r="L15552" s="31" t="str">
        <f t="shared" si="1502"/>
        <v>Dua Puluh Tiga</v>
      </c>
    </row>
    <row r="15553" spans="1:12">
      <c r="A15553" s="33" t="s">
        <v>79</v>
      </c>
      <c r="B15553" s="40" t="e">
        <f>TRUNC((A15527-SUM(C15549:C15552))/100)</f>
        <v>#REF!</v>
      </c>
      <c r="C15553" s="31" t="e">
        <f>B15553*100</f>
        <v>#REF!</v>
      </c>
      <c r="D15553" s="31" t="e">
        <f>IF(B15553&lt;1,"",IF(B15553=1,"",VLOOKUP(B15553,$J$3:$L$102,3)))</f>
        <v>#REF!</v>
      </c>
      <c r="E15553" s="31" t="e">
        <f>IF(B15553&lt;1,"",IF(B15553=1," Seratus "," Ratus "))</f>
        <v>#REF!</v>
      </c>
      <c r="J15553" s="31">
        <v>24</v>
      </c>
      <c r="K15553" s="33" t="s">
        <v>94</v>
      </c>
      <c r="L15553" s="31" t="str">
        <f t="shared" si="1502"/>
        <v>Dua Puluh Empat</v>
      </c>
    </row>
    <row r="15554" spans="1:12">
      <c r="A15554" s="33" t="s">
        <v>81</v>
      </c>
      <c r="B15554" s="41" t="e">
        <f>TRUNC((A15527-SUM(C15549:C15553)))</f>
        <v>#REF!</v>
      </c>
      <c r="C15554" s="42" t="e">
        <f>B15554</f>
        <v>#REF!</v>
      </c>
      <c r="D15554" s="31" t="e">
        <f>IF(B15554&lt;1,"",VLOOKUP(B15554,$J$3:$L$102,3))</f>
        <v>#REF!</v>
      </c>
      <c r="E15554" s="31" t="e">
        <f>IF(SUM(C15549:C15554)&lt;1,"",IF(B15555&lt;1,""," Dan "))</f>
        <v>#REF!</v>
      </c>
      <c r="J15554" s="31">
        <v>25</v>
      </c>
      <c r="K15554" s="33" t="s">
        <v>95</v>
      </c>
      <c r="L15554" s="31" t="str">
        <f t="shared" si="1502"/>
        <v>Dua Puluh Lima</v>
      </c>
    </row>
    <row r="15555" spans="1:12">
      <c r="A15555" s="33" t="s">
        <v>83</v>
      </c>
      <c r="B15555" s="40" t="e">
        <f>ROUND(A15527-SUM(C15549:C15554),2)*100</f>
        <v>#REF!</v>
      </c>
      <c r="D15555" s="31" t="e">
        <f>IF(B15555&lt;1,"",VLOOKUP(B15555,$J$3:$L$102,3))</f>
        <v>#REF!</v>
      </c>
      <c r="E15555" s="31" t="e">
        <f>IF(B15555&lt;1,""," Sen ")</f>
        <v>#REF!</v>
      </c>
      <c r="J15555" s="31">
        <v>26</v>
      </c>
      <c r="K15555" s="33" t="s">
        <v>96</v>
      </c>
      <c r="L15555" s="31" t="str">
        <f t="shared" si="1502"/>
        <v>Dua Puluh Enam</v>
      </c>
    </row>
    <row r="15556" spans="1:12">
      <c r="J15556" s="31">
        <v>27</v>
      </c>
      <c r="K15556" s="33" t="s">
        <v>97</v>
      </c>
      <c r="L15556" s="31" t="str">
        <f t="shared" si="1502"/>
        <v>Dua Puluh Tujuh</v>
      </c>
    </row>
    <row r="15557" spans="1:12">
      <c r="J15557" s="31">
        <v>28</v>
      </c>
      <c r="K15557" s="33" t="s">
        <v>98</v>
      </c>
      <c r="L15557" s="31" t="str">
        <f t="shared" si="1502"/>
        <v>Dua Puluh Delapan</v>
      </c>
    </row>
    <row r="15558" spans="1:12">
      <c r="J15558" s="31">
        <v>29</v>
      </c>
      <c r="K15558" s="33" t="s">
        <v>99</v>
      </c>
      <c r="L15558" s="31" t="str">
        <f t="shared" si="1502"/>
        <v>Dua Puluh Sembilan</v>
      </c>
    </row>
    <row r="15559" spans="1:12">
      <c r="J15559" s="31">
        <v>30</v>
      </c>
      <c r="K15559" s="33" t="s">
        <v>100</v>
      </c>
      <c r="L15559" s="31" t="s">
        <v>101</v>
      </c>
    </row>
    <row r="15560" spans="1:12">
      <c r="J15560" s="31">
        <v>31</v>
      </c>
      <c r="K15560" s="33" t="s">
        <v>102</v>
      </c>
      <c r="L15560" s="31" t="str">
        <f t="shared" ref="L15560:L15568" si="1503">$L$33&amp;" "&amp;L15530</f>
        <v>Tiga Puluh Satu</v>
      </c>
    </row>
    <row r="15561" spans="1:12">
      <c r="J15561" s="31">
        <v>32</v>
      </c>
      <c r="K15561" s="33" t="s">
        <v>103</v>
      </c>
      <c r="L15561" s="31" t="str">
        <f t="shared" si="1503"/>
        <v>Tiga Puluh Dua</v>
      </c>
    </row>
    <row r="15562" spans="1:12">
      <c r="J15562" s="31">
        <v>33</v>
      </c>
      <c r="K15562" s="33" t="s">
        <v>104</v>
      </c>
      <c r="L15562" s="31" t="str">
        <f t="shared" si="1503"/>
        <v>Tiga Puluh Tiga</v>
      </c>
    </row>
    <row r="15563" spans="1:12">
      <c r="J15563" s="31">
        <v>34</v>
      </c>
      <c r="K15563" s="33" t="s">
        <v>105</v>
      </c>
      <c r="L15563" s="31" t="str">
        <f t="shared" si="1503"/>
        <v>Tiga Puluh Empat</v>
      </c>
    </row>
    <row r="15564" spans="1:12">
      <c r="J15564" s="31">
        <v>35</v>
      </c>
      <c r="K15564" s="33" t="s">
        <v>106</v>
      </c>
      <c r="L15564" s="31" t="str">
        <f t="shared" si="1503"/>
        <v>Tiga Puluh Lima</v>
      </c>
    </row>
    <row r="15565" spans="1:12">
      <c r="J15565" s="31">
        <v>36</v>
      </c>
      <c r="K15565" s="33" t="s">
        <v>107</v>
      </c>
      <c r="L15565" s="31" t="str">
        <f t="shared" si="1503"/>
        <v>Tiga Puluh Enam</v>
      </c>
    </row>
    <row r="15566" spans="1:12">
      <c r="J15566" s="31">
        <v>37</v>
      </c>
      <c r="K15566" s="33" t="s">
        <v>108</v>
      </c>
      <c r="L15566" s="31" t="str">
        <f t="shared" si="1503"/>
        <v>Tiga Puluh Tujuh</v>
      </c>
    </row>
    <row r="15567" spans="1:12">
      <c r="J15567" s="31">
        <v>38</v>
      </c>
      <c r="K15567" s="33" t="s">
        <v>109</v>
      </c>
      <c r="L15567" s="31" t="str">
        <f t="shared" si="1503"/>
        <v>Tiga Puluh Delapan</v>
      </c>
    </row>
    <row r="15568" spans="1:12">
      <c r="J15568" s="31">
        <v>39</v>
      </c>
      <c r="K15568" s="33" t="s">
        <v>110</v>
      </c>
      <c r="L15568" s="31" t="str">
        <f t="shared" si="1503"/>
        <v>Tiga Puluh Sembilan</v>
      </c>
    </row>
    <row r="15569" spans="1:12">
      <c r="B15569" s="35"/>
      <c r="C15569" s="35"/>
      <c r="D15569" s="35"/>
      <c r="J15569" s="31">
        <v>40</v>
      </c>
      <c r="K15569" s="33" t="s">
        <v>111</v>
      </c>
      <c r="L15569" s="31" t="s">
        <v>112</v>
      </c>
    </row>
    <row r="15570" spans="1:12">
      <c r="A15570" s="35"/>
      <c r="B15570" s="35"/>
      <c r="C15570" s="35"/>
      <c r="D15570" s="35"/>
      <c r="J15570" s="31">
        <v>41</v>
      </c>
      <c r="K15570" s="33" t="s">
        <v>113</v>
      </c>
      <c r="L15570" s="31" t="str">
        <f t="shared" ref="L15570:L15578" si="1504">$L$43&amp;" "&amp;L15530</f>
        <v>Empat Puluh Satu</v>
      </c>
    </row>
    <row r="15571" spans="1:12">
      <c r="J15571" s="31">
        <v>42</v>
      </c>
      <c r="K15571" s="33" t="s">
        <v>114</v>
      </c>
      <c r="L15571" s="31" t="str">
        <f t="shared" si="1504"/>
        <v>Empat Puluh Dua</v>
      </c>
    </row>
    <row r="15572" spans="1:12">
      <c r="A15572" s="38"/>
      <c r="J15572" s="31">
        <v>43</v>
      </c>
      <c r="K15572" s="33" t="s">
        <v>115</v>
      </c>
      <c r="L15572" s="31" t="str">
        <f t="shared" si="1504"/>
        <v>Empat Puluh Tiga</v>
      </c>
    </row>
    <row r="15573" spans="1:12">
      <c r="J15573" s="31">
        <v>44</v>
      </c>
      <c r="K15573" s="33" t="s">
        <v>116</v>
      </c>
      <c r="L15573" s="31" t="str">
        <f t="shared" si="1504"/>
        <v>Empat Puluh Empat</v>
      </c>
    </row>
    <row r="15574" spans="1:12">
      <c r="J15574" s="31">
        <v>45</v>
      </c>
      <c r="K15574" s="33" t="s">
        <v>117</v>
      </c>
      <c r="L15574" s="31" t="str">
        <f t="shared" si="1504"/>
        <v>Empat Puluh Lima</v>
      </c>
    </row>
    <row r="15575" spans="1:12">
      <c r="J15575" s="31">
        <v>46</v>
      </c>
      <c r="K15575" s="33" t="s">
        <v>118</v>
      </c>
      <c r="L15575" s="31" t="str">
        <f t="shared" si="1504"/>
        <v>Empat Puluh Enam</v>
      </c>
    </row>
    <row r="15576" spans="1:12">
      <c r="J15576" s="31">
        <v>47</v>
      </c>
      <c r="K15576" s="33" t="s">
        <v>119</v>
      </c>
      <c r="L15576" s="31" t="str">
        <f t="shared" si="1504"/>
        <v>Empat Puluh Tujuh</v>
      </c>
    </row>
    <row r="15577" spans="1:12">
      <c r="J15577" s="31">
        <v>48</v>
      </c>
      <c r="K15577" s="33" t="s">
        <v>120</v>
      </c>
      <c r="L15577" s="31" t="str">
        <f t="shared" si="1504"/>
        <v>Empat Puluh Delapan</v>
      </c>
    </row>
    <row r="15578" spans="1:12">
      <c r="J15578" s="31">
        <v>49</v>
      </c>
      <c r="K15578" s="33" t="s">
        <v>121</v>
      </c>
      <c r="L15578" s="31" t="str">
        <f t="shared" si="1504"/>
        <v>Empat Puluh Sembilan</v>
      </c>
    </row>
    <row r="15579" spans="1:12">
      <c r="J15579" s="31">
        <v>50</v>
      </c>
      <c r="K15579" s="33" t="s">
        <v>122</v>
      </c>
      <c r="L15579" s="31" t="s">
        <v>123</v>
      </c>
    </row>
    <row r="15580" spans="1:12">
      <c r="J15580" s="31">
        <v>51</v>
      </c>
      <c r="K15580" s="33" t="s">
        <v>124</v>
      </c>
      <c r="L15580" s="31" t="str">
        <f t="shared" ref="L15580:L15588" si="1505">$L$53&amp;" "&amp;L15530</f>
        <v>Lima Puluh Satu</v>
      </c>
    </row>
    <row r="15581" spans="1:12">
      <c r="J15581" s="31">
        <v>52</v>
      </c>
      <c r="K15581" s="33" t="s">
        <v>125</v>
      </c>
      <c r="L15581" s="31" t="str">
        <f t="shared" si="1505"/>
        <v>Lima Puluh Dua</v>
      </c>
    </row>
    <row r="15582" spans="1:12">
      <c r="J15582" s="31">
        <v>53</v>
      </c>
      <c r="K15582" s="33" t="s">
        <v>126</v>
      </c>
      <c r="L15582" s="31" t="str">
        <f t="shared" si="1505"/>
        <v>Lima Puluh Tiga</v>
      </c>
    </row>
    <row r="15583" spans="1:12">
      <c r="J15583" s="31">
        <v>54</v>
      </c>
      <c r="K15583" s="33" t="s">
        <v>127</v>
      </c>
      <c r="L15583" s="31" t="str">
        <f t="shared" si="1505"/>
        <v>Lima Puluh Empat</v>
      </c>
    </row>
    <row r="15584" spans="1:12">
      <c r="J15584" s="31">
        <v>55</v>
      </c>
      <c r="K15584" s="33" t="s">
        <v>128</v>
      </c>
      <c r="L15584" s="31" t="str">
        <f t="shared" si="1505"/>
        <v>Lima Puluh Lima</v>
      </c>
    </row>
    <row r="15585" spans="10:12">
      <c r="J15585" s="31">
        <v>56</v>
      </c>
      <c r="K15585" s="33" t="s">
        <v>129</v>
      </c>
      <c r="L15585" s="31" t="str">
        <f t="shared" si="1505"/>
        <v>Lima Puluh Enam</v>
      </c>
    </row>
    <row r="15586" spans="10:12">
      <c r="J15586" s="31">
        <v>57</v>
      </c>
      <c r="K15586" s="33" t="s">
        <v>130</v>
      </c>
      <c r="L15586" s="31" t="str">
        <f t="shared" si="1505"/>
        <v>Lima Puluh Tujuh</v>
      </c>
    </row>
    <row r="15587" spans="10:12">
      <c r="J15587" s="31">
        <v>58</v>
      </c>
      <c r="K15587" s="33" t="s">
        <v>131</v>
      </c>
      <c r="L15587" s="31" t="str">
        <f t="shared" si="1505"/>
        <v>Lima Puluh Delapan</v>
      </c>
    </row>
    <row r="15588" spans="10:12">
      <c r="J15588" s="31">
        <v>59</v>
      </c>
      <c r="K15588" s="33" t="s">
        <v>132</v>
      </c>
      <c r="L15588" s="31" t="str">
        <f t="shared" si="1505"/>
        <v>Lima Puluh Sembilan</v>
      </c>
    </row>
    <row r="15589" spans="10:12">
      <c r="J15589" s="31">
        <v>60</v>
      </c>
      <c r="K15589" s="33" t="s">
        <v>133</v>
      </c>
      <c r="L15589" s="31" t="s">
        <v>134</v>
      </c>
    </row>
    <row r="15590" spans="10:12">
      <c r="J15590" s="31">
        <v>61</v>
      </c>
      <c r="K15590" s="33" t="s">
        <v>135</v>
      </c>
      <c r="L15590" s="31" t="str">
        <f t="shared" ref="L15590:L15598" si="1506">$L$63&amp;" "&amp;L15530</f>
        <v>Enam Puluh Satu</v>
      </c>
    </row>
    <row r="15591" spans="10:12">
      <c r="J15591" s="31">
        <v>62</v>
      </c>
      <c r="K15591" s="33" t="s">
        <v>136</v>
      </c>
      <c r="L15591" s="31" t="str">
        <f t="shared" si="1506"/>
        <v>Enam Puluh Dua</v>
      </c>
    </row>
    <row r="15592" spans="10:12">
      <c r="J15592" s="31">
        <v>63</v>
      </c>
      <c r="K15592" s="33" t="s">
        <v>137</v>
      </c>
      <c r="L15592" s="31" t="str">
        <f t="shared" si="1506"/>
        <v>Enam Puluh Tiga</v>
      </c>
    </row>
    <row r="15593" spans="10:12">
      <c r="J15593" s="31">
        <v>64</v>
      </c>
      <c r="K15593" s="33" t="s">
        <v>138</v>
      </c>
      <c r="L15593" s="31" t="str">
        <f t="shared" si="1506"/>
        <v>Enam Puluh Empat</v>
      </c>
    </row>
    <row r="15594" spans="10:12">
      <c r="J15594" s="31">
        <v>65</v>
      </c>
      <c r="K15594" s="33" t="s">
        <v>139</v>
      </c>
      <c r="L15594" s="31" t="str">
        <f t="shared" si="1506"/>
        <v>Enam Puluh Lima</v>
      </c>
    </row>
    <row r="15595" spans="10:12">
      <c r="J15595" s="31">
        <v>66</v>
      </c>
      <c r="K15595" s="33" t="s">
        <v>140</v>
      </c>
      <c r="L15595" s="31" t="str">
        <f t="shared" si="1506"/>
        <v>Enam Puluh Enam</v>
      </c>
    </row>
    <row r="15596" spans="10:12">
      <c r="J15596" s="31">
        <v>67</v>
      </c>
      <c r="K15596" s="33" t="s">
        <v>141</v>
      </c>
      <c r="L15596" s="31" t="str">
        <f t="shared" si="1506"/>
        <v>Enam Puluh Tujuh</v>
      </c>
    </row>
    <row r="15597" spans="10:12">
      <c r="J15597" s="31">
        <v>68</v>
      </c>
      <c r="K15597" s="33" t="s">
        <v>142</v>
      </c>
      <c r="L15597" s="31" t="str">
        <f t="shared" si="1506"/>
        <v>Enam Puluh Delapan</v>
      </c>
    </row>
    <row r="15598" spans="10:12">
      <c r="J15598" s="31">
        <v>69</v>
      </c>
      <c r="K15598" s="33" t="s">
        <v>143</v>
      </c>
      <c r="L15598" s="31" t="str">
        <f t="shared" si="1506"/>
        <v>Enam Puluh Sembilan</v>
      </c>
    </row>
    <row r="15599" spans="10:12">
      <c r="J15599" s="31">
        <v>70</v>
      </c>
      <c r="K15599" s="33" t="s">
        <v>144</v>
      </c>
      <c r="L15599" s="31" t="s">
        <v>145</v>
      </c>
    </row>
    <row r="15600" spans="10:12">
      <c r="J15600" s="31">
        <v>71</v>
      </c>
      <c r="K15600" s="33" t="s">
        <v>146</v>
      </c>
      <c r="L15600" s="31" t="str">
        <f t="shared" ref="L15600:L15608" si="1507">$L$73&amp;" "&amp;L15530</f>
        <v>Tujuh Puluh Satu</v>
      </c>
    </row>
    <row r="15601" spans="10:12">
      <c r="J15601" s="31">
        <v>72</v>
      </c>
      <c r="K15601" s="33" t="s">
        <v>147</v>
      </c>
      <c r="L15601" s="31" t="str">
        <f t="shared" si="1507"/>
        <v>Tujuh Puluh Dua</v>
      </c>
    </row>
    <row r="15602" spans="10:12">
      <c r="J15602" s="31">
        <v>73</v>
      </c>
      <c r="K15602" s="33" t="s">
        <v>148</v>
      </c>
      <c r="L15602" s="31" t="str">
        <f t="shared" si="1507"/>
        <v>Tujuh Puluh Tiga</v>
      </c>
    </row>
    <row r="15603" spans="10:12">
      <c r="J15603" s="31">
        <v>74</v>
      </c>
      <c r="K15603" s="33" t="s">
        <v>149</v>
      </c>
      <c r="L15603" s="31" t="str">
        <f t="shared" si="1507"/>
        <v>Tujuh Puluh Empat</v>
      </c>
    </row>
    <row r="15604" spans="10:12">
      <c r="J15604" s="31">
        <v>75</v>
      </c>
      <c r="K15604" s="33" t="s">
        <v>150</v>
      </c>
      <c r="L15604" s="31" t="str">
        <f t="shared" si="1507"/>
        <v>Tujuh Puluh Lima</v>
      </c>
    </row>
    <row r="15605" spans="10:12">
      <c r="J15605" s="31">
        <v>76</v>
      </c>
      <c r="K15605" s="33" t="s">
        <v>151</v>
      </c>
      <c r="L15605" s="31" t="str">
        <f t="shared" si="1507"/>
        <v>Tujuh Puluh Enam</v>
      </c>
    </row>
    <row r="15606" spans="10:12">
      <c r="J15606" s="31">
        <v>77</v>
      </c>
      <c r="K15606" s="33" t="s">
        <v>152</v>
      </c>
      <c r="L15606" s="31" t="str">
        <f t="shared" si="1507"/>
        <v>Tujuh Puluh Tujuh</v>
      </c>
    </row>
    <row r="15607" spans="10:12">
      <c r="J15607" s="31">
        <v>78</v>
      </c>
      <c r="K15607" s="33" t="s">
        <v>153</v>
      </c>
      <c r="L15607" s="31" t="str">
        <f t="shared" si="1507"/>
        <v>Tujuh Puluh Delapan</v>
      </c>
    </row>
    <row r="15608" spans="10:12">
      <c r="J15608" s="31">
        <v>79</v>
      </c>
      <c r="K15608" s="33" t="s">
        <v>154</v>
      </c>
      <c r="L15608" s="31" t="str">
        <f t="shared" si="1507"/>
        <v>Tujuh Puluh Sembilan</v>
      </c>
    </row>
    <row r="15609" spans="10:12">
      <c r="J15609" s="31">
        <v>80</v>
      </c>
      <c r="K15609" s="33" t="s">
        <v>155</v>
      </c>
      <c r="L15609" s="31" t="s">
        <v>156</v>
      </c>
    </row>
    <row r="15610" spans="10:12">
      <c r="J15610" s="31">
        <v>81</v>
      </c>
      <c r="K15610" s="33" t="s">
        <v>157</v>
      </c>
      <c r="L15610" s="31" t="str">
        <f t="shared" ref="L15610:L15618" si="1508">$L$83&amp;" "&amp;L15530</f>
        <v>Delapan Puluh Satu</v>
      </c>
    </row>
    <row r="15611" spans="10:12">
      <c r="J15611" s="31">
        <v>82</v>
      </c>
      <c r="K15611" s="33" t="s">
        <v>158</v>
      </c>
      <c r="L15611" s="31" t="str">
        <f t="shared" si="1508"/>
        <v>Delapan Puluh Dua</v>
      </c>
    </row>
    <row r="15612" spans="10:12">
      <c r="J15612" s="31">
        <v>83</v>
      </c>
      <c r="K15612" s="33" t="s">
        <v>159</v>
      </c>
      <c r="L15612" s="31" t="str">
        <f t="shared" si="1508"/>
        <v>Delapan Puluh Tiga</v>
      </c>
    </row>
    <row r="15613" spans="10:12">
      <c r="J15613" s="31">
        <v>84</v>
      </c>
      <c r="K15613" s="33" t="s">
        <v>160</v>
      </c>
      <c r="L15613" s="31" t="str">
        <f t="shared" si="1508"/>
        <v>Delapan Puluh Empat</v>
      </c>
    </row>
    <row r="15614" spans="10:12">
      <c r="J15614" s="31">
        <v>85</v>
      </c>
      <c r="K15614" s="33" t="s">
        <v>161</v>
      </c>
      <c r="L15614" s="31" t="str">
        <f t="shared" si="1508"/>
        <v>Delapan Puluh Lima</v>
      </c>
    </row>
    <row r="15615" spans="10:12">
      <c r="J15615" s="31">
        <v>86</v>
      </c>
      <c r="K15615" s="33" t="s">
        <v>162</v>
      </c>
      <c r="L15615" s="31" t="str">
        <f t="shared" si="1508"/>
        <v>Delapan Puluh Enam</v>
      </c>
    </row>
    <row r="15616" spans="10:12">
      <c r="J15616" s="31">
        <v>87</v>
      </c>
      <c r="K15616" s="33" t="s">
        <v>163</v>
      </c>
      <c r="L15616" s="31" t="str">
        <f t="shared" si="1508"/>
        <v>Delapan Puluh Tujuh</v>
      </c>
    </row>
    <row r="15617" spans="1:12">
      <c r="J15617" s="31">
        <v>88</v>
      </c>
      <c r="K15617" s="33" t="s">
        <v>164</v>
      </c>
      <c r="L15617" s="31" t="str">
        <f t="shared" si="1508"/>
        <v>Delapan Puluh Delapan</v>
      </c>
    </row>
    <row r="15618" spans="1:12">
      <c r="J15618" s="31">
        <v>89</v>
      </c>
      <c r="K15618" s="33" t="s">
        <v>165</v>
      </c>
      <c r="L15618" s="31" t="str">
        <f t="shared" si="1508"/>
        <v>Delapan Puluh Sembilan</v>
      </c>
    </row>
    <row r="15619" spans="1:12">
      <c r="J15619" s="31">
        <v>90</v>
      </c>
      <c r="K15619" s="33" t="s">
        <v>166</v>
      </c>
      <c r="L15619" s="31" t="s">
        <v>167</v>
      </c>
    </row>
    <row r="15620" spans="1:12">
      <c r="J15620" s="31">
        <v>91</v>
      </c>
      <c r="K15620" s="33" t="s">
        <v>168</v>
      </c>
      <c r="L15620" s="31" t="str">
        <f t="shared" ref="L15620:L15628" si="1509">$L$93&amp;" "&amp;L15530</f>
        <v>Sembilan Puluh Satu</v>
      </c>
    </row>
    <row r="15621" spans="1:12">
      <c r="J15621" s="31">
        <v>92</v>
      </c>
      <c r="K15621" s="33" t="s">
        <v>169</v>
      </c>
      <c r="L15621" s="31" t="str">
        <f t="shared" si="1509"/>
        <v>Sembilan Puluh Dua</v>
      </c>
    </row>
    <row r="15622" spans="1:12">
      <c r="J15622" s="31">
        <v>93</v>
      </c>
      <c r="K15622" s="33" t="s">
        <v>170</v>
      </c>
      <c r="L15622" s="31" t="str">
        <f t="shared" si="1509"/>
        <v>Sembilan Puluh Tiga</v>
      </c>
    </row>
    <row r="15623" spans="1:12">
      <c r="J15623" s="31">
        <v>94</v>
      </c>
      <c r="K15623" s="33" t="s">
        <v>171</v>
      </c>
      <c r="L15623" s="31" t="str">
        <f t="shared" si="1509"/>
        <v>Sembilan Puluh Empat</v>
      </c>
    </row>
    <row r="15624" spans="1:12">
      <c r="J15624" s="31">
        <v>95</v>
      </c>
      <c r="K15624" s="33" t="s">
        <v>172</v>
      </c>
      <c r="L15624" s="31" t="str">
        <f t="shared" si="1509"/>
        <v>Sembilan Puluh Lima</v>
      </c>
    </row>
    <row r="15625" spans="1:12">
      <c r="J15625" s="31">
        <v>96</v>
      </c>
      <c r="K15625" s="33" t="s">
        <v>173</v>
      </c>
      <c r="L15625" s="31" t="str">
        <f t="shared" si="1509"/>
        <v>Sembilan Puluh Enam</v>
      </c>
    </row>
    <row r="15626" spans="1:12">
      <c r="J15626" s="31">
        <v>97</v>
      </c>
      <c r="K15626" s="33" t="s">
        <v>174</v>
      </c>
      <c r="L15626" s="31" t="str">
        <f t="shared" si="1509"/>
        <v>Sembilan Puluh Tujuh</v>
      </c>
    </row>
    <row r="15627" spans="1:12">
      <c r="J15627" s="31">
        <v>98</v>
      </c>
      <c r="K15627" s="33" t="s">
        <v>175</v>
      </c>
      <c r="L15627" s="31" t="str">
        <f t="shared" si="1509"/>
        <v>Sembilan Puluh Delapan</v>
      </c>
    </row>
    <row r="15628" spans="1:12">
      <c r="J15628" s="31">
        <v>99</v>
      </c>
      <c r="K15628" s="33" t="s">
        <v>176</v>
      </c>
      <c r="L15628" s="31" t="str">
        <f t="shared" si="1509"/>
        <v>Sembilan Puluh Sembilan</v>
      </c>
    </row>
    <row r="15631" spans="1:12">
      <c r="A15631" s="30" t="e">
        <f>#REF!</f>
        <v>#REF!</v>
      </c>
      <c r="C15631" s="31" t="s">
        <v>386</v>
      </c>
    </row>
    <row r="15632" spans="1:12">
      <c r="A15632" s="32"/>
    </row>
    <row r="15633" spans="1:12">
      <c r="J15633" s="31">
        <v>0</v>
      </c>
      <c r="K15633" s="33" t="s">
        <v>48</v>
      </c>
      <c r="L15633" s="31" t="s">
        <v>49</v>
      </c>
    </row>
    <row r="15634" spans="1:12">
      <c r="A15634" s="34"/>
      <c r="J15634" s="31">
        <v>1</v>
      </c>
      <c r="K15634" s="33" t="s">
        <v>50</v>
      </c>
      <c r="L15634" s="31" t="s">
        <v>51</v>
      </c>
    </row>
    <row r="15635" spans="1:12">
      <c r="A15635" s="255" t="e">
        <f>TRIM(D15643&amp;E15643&amp;D15644&amp;E15644&amp;D15645&amp;E15645&amp;D15646&amp;E15646&amp;D15647&amp;E15647&amp;D15648&amp;E15648&amp;E15649&amp;D15649&amp;" Only")</f>
        <v>#REF!</v>
      </c>
      <c r="B15635" s="255"/>
      <c r="C15635" s="255"/>
      <c r="D15635" s="255"/>
      <c r="E15635" s="35"/>
      <c r="F15635" s="36"/>
      <c r="J15635" s="31">
        <v>2</v>
      </c>
      <c r="K15635" s="33" t="s">
        <v>52</v>
      </c>
      <c r="L15635" s="31" t="s">
        <v>53</v>
      </c>
    </row>
    <row r="15636" spans="1:12">
      <c r="A15636" s="117"/>
      <c r="B15636" s="117"/>
      <c r="C15636" s="117"/>
      <c r="D15636" s="117"/>
      <c r="E15636" s="35"/>
      <c r="F15636" s="36"/>
      <c r="J15636" s="31">
        <v>3</v>
      </c>
      <c r="K15636" s="33" t="s">
        <v>54</v>
      </c>
      <c r="L15636" s="31" t="s">
        <v>55</v>
      </c>
    </row>
    <row r="15637" spans="1:12">
      <c r="A15637" s="117"/>
      <c r="B15637" s="117"/>
      <c r="C15637" s="117"/>
      <c r="D15637" s="117"/>
      <c r="J15637" s="31">
        <v>4</v>
      </c>
      <c r="K15637" s="33" t="s">
        <v>56</v>
      </c>
      <c r="L15637" s="31" t="s">
        <v>57</v>
      </c>
    </row>
    <row r="15638" spans="1:12">
      <c r="A15638" s="255" t="e">
        <f>TRIM(D15653&amp;E15653&amp;D15654&amp;E15654&amp;D15655&amp;E15655&amp;D15656&amp;E15656&amp;D15657&amp;E15657&amp;D15658&amp;E15658&amp;D15659&amp;E15659&amp;" Rupiah")</f>
        <v>#REF!</v>
      </c>
      <c r="B15638" s="255"/>
      <c r="C15638" s="255"/>
      <c r="D15638" s="255"/>
      <c r="E15638" s="35"/>
      <c r="F15638" s="36"/>
      <c r="J15638" s="31">
        <v>5</v>
      </c>
      <c r="K15638" s="33" t="s">
        <v>58</v>
      </c>
      <c r="L15638" s="31" t="s">
        <v>59</v>
      </c>
    </row>
    <row r="15639" spans="1:12">
      <c r="A15639" s="35"/>
      <c r="B15639" s="35"/>
      <c r="C15639" s="35"/>
      <c r="D15639" s="35"/>
      <c r="E15639" s="35"/>
      <c r="F15639" s="36"/>
      <c r="J15639" s="31">
        <v>6</v>
      </c>
      <c r="K15639" s="33" t="s">
        <v>60</v>
      </c>
      <c r="L15639" s="31" t="s">
        <v>61</v>
      </c>
    </row>
    <row r="15640" spans="1:12">
      <c r="J15640" s="31">
        <v>7</v>
      </c>
      <c r="K15640" s="33" t="s">
        <v>62</v>
      </c>
      <c r="L15640" s="31" t="s">
        <v>63</v>
      </c>
    </row>
    <row r="15641" spans="1:12">
      <c r="J15641" s="31">
        <v>8</v>
      </c>
      <c r="K15641" s="33" t="s">
        <v>64</v>
      </c>
      <c r="L15641" s="31" t="s">
        <v>65</v>
      </c>
    </row>
    <row r="15642" spans="1:12">
      <c r="A15642" s="38" t="s">
        <v>66</v>
      </c>
      <c r="J15642" s="31">
        <v>9</v>
      </c>
      <c r="K15642" s="33" t="s">
        <v>67</v>
      </c>
      <c r="L15642" s="31" t="s">
        <v>68</v>
      </c>
    </row>
    <row r="15643" spans="1:12">
      <c r="A15643" s="31" t="s">
        <v>69</v>
      </c>
      <c r="B15643" s="39" t="e">
        <f>TRUNC(A15631/100000000)</f>
        <v>#REF!</v>
      </c>
      <c r="C15643" s="31" t="e">
        <f>B15643*100000000</f>
        <v>#REF!</v>
      </c>
      <c r="D15643" s="31" t="e">
        <f t="shared" ref="D15643:D15649" si="1510">IF(B15643&lt;1,"",VLOOKUP(B15643,$J$3:$K$102,2))</f>
        <v>#REF!</v>
      </c>
      <c r="E15643" s="31" t="e">
        <f>IF(B15643&lt;1,"",IF(B15643&gt;1," Hundreds "," Hundred "))</f>
        <v>#REF!</v>
      </c>
      <c r="J15643" s="31">
        <v>10</v>
      </c>
      <c r="K15643" s="33" t="s">
        <v>70</v>
      </c>
      <c r="L15643" s="31" t="s">
        <v>71</v>
      </c>
    </row>
    <row r="15644" spans="1:12">
      <c r="A15644" s="31" t="s">
        <v>72</v>
      </c>
      <c r="B15644" s="39" t="e">
        <f>TRUNC((A15631-C15643)/1000000)</f>
        <v>#REF!</v>
      </c>
      <c r="C15644" s="31" t="e">
        <f>B15644*1000000</f>
        <v>#REF!</v>
      </c>
      <c r="D15644" s="31" t="e">
        <f t="shared" si="1510"/>
        <v>#REF!</v>
      </c>
      <c r="E15644" s="31" t="e">
        <f>IF(B15643+B15644=0,"",IF(B15644=1," Million "," Millions "))</f>
        <v>#REF!</v>
      </c>
      <c r="J15644" s="31">
        <v>11</v>
      </c>
      <c r="K15644" s="33" t="s">
        <v>73</v>
      </c>
      <c r="L15644" s="31" t="s">
        <v>74</v>
      </c>
    </row>
    <row r="15645" spans="1:12">
      <c r="A15645" s="31" t="s">
        <v>75</v>
      </c>
      <c r="B15645" s="39" t="e">
        <f>TRUNC((A15631-SUM(C15643:C15644))/100000)</f>
        <v>#REF!</v>
      </c>
      <c r="C15645" s="31" t="e">
        <f>B15645*100000</f>
        <v>#REF!</v>
      </c>
      <c r="D15645" s="31" t="e">
        <f t="shared" si="1510"/>
        <v>#REF!</v>
      </c>
      <c r="E15645" s="31" t="e">
        <f>IF(B15645&lt;1,"",IF(B15645&gt;1," Hundreds "," Hundred "))</f>
        <v>#REF!</v>
      </c>
      <c r="J15645" s="31">
        <v>12</v>
      </c>
      <c r="K15645" s="33" t="s">
        <v>76</v>
      </c>
      <c r="L15645" s="31" t="str">
        <f t="shared" ref="L15645:L15652" si="1511">L15635&amp;" Belas"</f>
        <v>Dua Belas</v>
      </c>
    </row>
    <row r="15646" spans="1:12">
      <c r="A15646" s="33" t="s">
        <v>77</v>
      </c>
      <c r="B15646" s="40" t="e">
        <f>TRUNC((A15631-SUM(C15643:C15645))/1000)</f>
        <v>#REF!</v>
      </c>
      <c r="C15646" s="31" t="e">
        <f>B15646*1000</f>
        <v>#REF!</v>
      </c>
      <c r="D15646" s="31" t="e">
        <f t="shared" si="1510"/>
        <v>#REF!</v>
      </c>
      <c r="E15646" s="31" t="e">
        <f>IF(B15645+B15646=0,"",IF(B15646=1," Thousand "," Thousands "))</f>
        <v>#REF!</v>
      </c>
      <c r="J15646" s="31">
        <v>13</v>
      </c>
      <c r="K15646" s="33" t="s">
        <v>78</v>
      </c>
      <c r="L15646" s="31" t="str">
        <f t="shared" si="1511"/>
        <v>Tiga Belas</v>
      </c>
    </row>
    <row r="15647" spans="1:12">
      <c r="A15647" s="33" t="s">
        <v>79</v>
      </c>
      <c r="B15647" s="40" t="e">
        <f>TRUNC((A15631-SUM(C15643:C15646))/100)</f>
        <v>#REF!</v>
      </c>
      <c r="C15647" s="31" t="e">
        <f>B15647*100</f>
        <v>#REF!</v>
      </c>
      <c r="D15647" s="31" t="e">
        <f t="shared" si="1510"/>
        <v>#REF!</v>
      </c>
      <c r="E15647" s="31" t="e">
        <f>IF(B15647&lt;1,"",IF(B15647&gt;1," Hundreds "," Hundred "))</f>
        <v>#REF!</v>
      </c>
      <c r="J15647" s="31">
        <v>14</v>
      </c>
      <c r="K15647" s="33" t="s">
        <v>80</v>
      </c>
      <c r="L15647" s="31" t="str">
        <f t="shared" si="1511"/>
        <v>Empat Belas</v>
      </c>
    </row>
    <row r="15648" spans="1:12">
      <c r="A15648" s="33" t="s">
        <v>81</v>
      </c>
      <c r="B15648" s="41" t="e">
        <f>TRUNC((A15631-SUM(C15643:C15647)))</f>
        <v>#REF!</v>
      </c>
      <c r="C15648" s="42" t="e">
        <f>B15648</f>
        <v>#REF!</v>
      </c>
      <c r="D15648" s="31" t="e">
        <f t="shared" si="1510"/>
        <v>#REF!</v>
      </c>
      <c r="E15648" s="31" t="e">
        <f>IF(SUM(C15643:C15648)&lt;1,"",IF(B15649&lt;1,""," And "))</f>
        <v>#REF!</v>
      </c>
      <c r="J15648" s="31">
        <v>15</v>
      </c>
      <c r="K15648" s="33" t="s">
        <v>82</v>
      </c>
      <c r="L15648" s="31" t="str">
        <f t="shared" si="1511"/>
        <v>Lima Belas</v>
      </c>
    </row>
    <row r="15649" spans="1:12">
      <c r="A15649" s="33" t="s">
        <v>83</v>
      </c>
      <c r="B15649" s="40" t="e">
        <f>ROUND(A15631-SUM(C15643:C15648),2)*100</f>
        <v>#REF!</v>
      </c>
      <c r="D15649" s="43" t="e">
        <f t="shared" si="1510"/>
        <v>#REF!</v>
      </c>
      <c r="E15649" s="31" t="e">
        <f>IF(B15649&lt;1,"",IF(B15649=1," Cent "," Cents "))</f>
        <v>#REF!</v>
      </c>
      <c r="J15649" s="31">
        <v>16</v>
      </c>
      <c r="K15649" s="33" t="s">
        <v>84</v>
      </c>
      <c r="L15649" s="31" t="str">
        <f t="shared" si="1511"/>
        <v>Enam Belas</v>
      </c>
    </row>
    <row r="15650" spans="1:12">
      <c r="J15650" s="31">
        <v>17</v>
      </c>
      <c r="K15650" s="33" t="s">
        <v>85</v>
      </c>
      <c r="L15650" s="31" t="str">
        <f t="shared" si="1511"/>
        <v>Tujuh Belas</v>
      </c>
    </row>
    <row r="15651" spans="1:12">
      <c r="A15651" s="44"/>
      <c r="J15651" s="31">
        <v>18</v>
      </c>
      <c r="K15651" s="33" t="s">
        <v>86</v>
      </c>
      <c r="L15651" s="31" t="str">
        <f t="shared" si="1511"/>
        <v>Delapan Belas</v>
      </c>
    </row>
    <row r="15652" spans="1:12">
      <c r="A15652" s="38" t="s">
        <v>87</v>
      </c>
      <c r="J15652" s="31">
        <v>19</v>
      </c>
      <c r="K15652" s="33" t="s">
        <v>88</v>
      </c>
      <c r="L15652" s="31" t="str">
        <f t="shared" si="1511"/>
        <v>Sembilan Belas</v>
      </c>
    </row>
    <row r="15653" spans="1:12">
      <c r="A15653" s="31" t="s">
        <v>69</v>
      </c>
      <c r="B15653" s="39" t="e">
        <f>TRUNC(A15631/100000000)</f>
        <v>#REF!</v>
      </c>
      <c r="C15653" s="31" t="e">
        <f>B15653*100000000</f>
        <v>#REF!</v>
      </c>
      <c r="D15653" s="31" t="e">
        <f>IF(B15653&lt;1,"",IF(B15653=1,"",VLOOKUP(B15653,$J$3:$L$102,3)))</f>
        <v>#REF!</v>
      </c>
      <c r="E15653" s="31" t="e">
        <f>IF(B15653&lt;1,"",IF(B15653=1,"Seratus "," Ratus "))</f>
        <v>#REF!</v>
      </c>
      <c r="J15653" s="31">
        <v>20</v>
      </c>
      <c r="K15653" s="33" t="s">
        <v>89</v>
      </c>
      <c r="L15653" s="31" t="s">
        <v>90</v>
      </c>
    </row>
    <row r="15654" spans="1:12">
      <c r="A15654" s="31" t="s">
        <v>72</v>
      </c>
      <c r="B15654" s="39" t="e">
        <f>TRUNC((A15631-C15653)/1000000)</f>
        <v>#REF!</v>
      </c>
      <c r="C15654" s="31" t="e">
        <f>B15654*1000000</f>
        <v>#REF!</v>
      </c>
      <c r="D15654" s="31" t="e">
        <f>IF(B15654&lt;1,"",VLOOKUP(B15654,$J$3:$L$102,3))</f>
        <v>#REF!</v>
      </c>
      <c r="E15654" s="31" t="e">
        <f>IF(B15653+B15654=0,""," Juta ")</f>
        <v>#REF!</v>
      </c>
      <c r="J15654" s="31">
        <v>21</v>
      </c>
      <c r="K15654" s="33" t="s">
        <v>91</v>
      </c>
      <c r="L15654" s="31" t="str">
        <f t="shared" ref="L15654:L15662" si="1512">$L$23&amp;" "&amp;L15634</f>
        <v>Dua Puluh Satu</v>
      </c>
    </row>
    <row r="15655" spans="1:12">
      <c r="A15655" s="31" t="s">
        <v>75</v>
      </c>
      <c r="B15655" s="39" t="e">
        <f>TRUNC((A15631-SUM(C15653:C15654))/100000)</f>
        <v>#REF!</v>
      </c>
      <c r="C15655" s="31" t="e">
        <f>B15655*100000</f>
        <v>#REF!</v>
      </c>
      <c r="D15655" s="31" t="e">
        <f>IF(B15655&lt;1,"",IF(B15655=1,"",VLOOKUP(B15655,$J$3:$L$102,3)))</f>
        <v>#REF!</v>
      </c>
      <c r="E15655" s="31" t="e">
        <f>IF(B15655&lt;1,"",IF(B15655=1," Seratus "," Ratus "))</f>
        <v>#REF!</v>
      </c>
      <c r="J15655" s="31">
        <v>22</v>
      </c>
      <c r="K15655" s="33" t="s">
        <v>92</v>
      </c>
      <c r="L15655" s="31" t="str">
        <f t="shared" si="1512"/>
        <v>Dua Puluh Dua</v>
      </c>
    </row>
    <row r="15656" spans="1:12">
      <c r="A15656" s="33" t="s">
        <v>77</v>
      </c>
      <c r="B15656" s="40" t="e">
        <f>TRUNC((A15631-SUM(C15653:C15655))/1000)</f>
        <v>#REF!</v>
      </c>
      <c r="C15656" s="31" t="e">
        <f>B15656*1000</f>
        <v>#REF!</v>
      </c>
      <c r="D15656" s="31" t="e">
        <f>IF(B15656&lt;1,"",IF(B15656=1,"",VLOOKUP(B15656,$J$3:$L$102,3)))</f>
        <v>#REF!</v>
      </c>
      <c r="E15656" s="31" t="e">
        <f>IF(B15655+B15656&lt;1,"",IF(B15656=1," Seribu "," Ribu "))</f>
        <v>#REF!</v>
      </c>
      <c r="J15656" s="31">
        <v>23</v>
      </c>
      <c r="K15656" s="33" t="s">
        <v>93</v>
      </c>
      <c r="L15656" s="31" t="str">
        <f t="shared" si="1512"/>
        <v>Dua Puluh Tiga</v>
      </c>
    </row>
    <row r="15657" spans="1:12">
      <c r="A15657" s="33" t="s">
        <v>79</v>
      </c>
      <c r="B15657" s="40" t="e">
        <f>TRUNC((A15631-SUM(C15653:C15656))/100)</f>
        <v>#REF!</v>
      </c>
      <c r="C15657" s="31" t="e">
        <f>B15657*100</f>
        <v>#REF!</v>
      </c>
      <c r="D15657" s="31" t="e">
        <f>IF(B15657&lt;1,"",IF(B15657=1,"",VLOOKUP(B15657,$J$3:$L$102,3)))</f>
        <v>#REF!</v>
      </c>
      <c r="E15657" s="31" t="e">
        <f>IF(B15657&lt;1,"",IF(B15657=1," Seratus "," Ratus "))</f>
        <v>#REF!</v>
      </c>
      <c r="J15657" s="31">
        <v>24</v>
      </c>
      <c r="K15657" s="33" t="s">
        <v>94</v>
      </c>
      <c r="L15657" s="31" t="str">
        <f t="shared" si="1512"/>
        <v>Dua Puluh Empat</v>
      </c>
    </row>
    <row r="15658" spans="1:12">
      <c r="A15658" s="33" t="s">
        <v>81</v>
      </c>
      <c r="B15658" s="41" t="e">
        <f>TRUNC((A15631-SUM(C15653:C15657)))</f>
        <v>#REF!</v>
      </c>
      <c r="C15658" s="42" t="e">
        <f>B15658</f>
        <v>#REF!</v>
      </c>
      <c r="D15658" s="31" t="e">
        <f>IF(B15658&lt;1,"",VLOOKUP(B15658,$J$3:$L$102,3))</f>
        <v>#REF!</v>
      </c>
      <c r="E15658" s="31" t="e">
        <f>IF(SUM(C15653:C15658)&lt;1,"",IF(B15659&lt;1,""," Dan "))</f>
        <v>#REF!</v>
      </c>
      <c r="J15658" s="31">
        <v>25</v>
      </c>
      <c r="K15658" s="33" t="s">
        <v>95</v>
      </c>
      <c r="L15658" s="31" t="str">
        <f t="shared" si="1512"/>
        <v>Dua Puluh Lima</v>
      </c>
    </row>
    <row r="15659" spans="1:12">
      <c r="A15659" s="33" t="s">
        <v>83</v>
      </c>
      <c r="B15659" s="40" t="e">
        <f>ROUND(A15631-SUM(C15653:C15658),2)*100</f>
        <v>#REF!</v>
      </c>
      <c r="D15659" s="31" t="e">
        <f>IF(B15659&lt;1,"",VLOOKUP(B15659,$J$3:$L$102,3))</f>
        <v>#REF!</v>
      </c>
      <c r="E15659" s="31" t="e">
        <f>IF(B15659&lt;1,""," Sen ")</f>
        <v>#REF!</v>
      </c>
      <c r="J15659" s="31">
        <v>26</v>
      </c>
      <c r="K15659" s="33" t="s">
        <v>96</v>
      </c>
      <c r="L15659" s="31" t="str">
        <f t="shared" si="1512"/>
        <v>Dua Puluh Enam</v>
      </c>
    </row>
    <row r="15660" spans="1:12">
      <c r="J15660" s="31">
        <v>27</v>
      </c>
      <c r="K15660" s="33" t="s">
        <v>97</v>
      </c>
      <c r="L15660" s="31" t="str">
        <f t="shared" si="1512"/>
        <v>Dua Puluh Tujuh</v>
      </c>
    </row>
    <row r="15661" spans="1:12">
      <c r="J15661" s="31">
        <v>28</v>
      </c>
      <c r="K15661" s="33" t="s">
        <v>98</v>
      </c>
      <c r="L15661" s="31" t="str">
        <f t="shared" si="1512"/>
        <v>Dua Puluh Delapan</v>
      </c>
    </row>
    <row r="15662" spans="1:12">
      <c r="J15662" s="31">
        <v>29</v>
      </c>
      <c r="K15662" s="33" t="s">
        <v>99</v>
      </c>
      <c r="L15662" s="31" t="str">
        <f t="shared" si="1512"/>
        <v>Dua Puluh Sembilan</v>
      </c>
    </row>
    <row r="15663" spans="1:12">
      <c r="J15663" s="31">
        <v>30</v>
      </c>
      <c r="K15663" s="33" t="s">
        <v>100</v>
      </c>
      <c r="L15663" s="31" t="s">
        <v>101</v>
      </c>
    </row>
    <row r="15664" spans="1:12">
      <c r="J15664" s="31">
        <v>31</v>
      </c>
      <c r="K15664" s="33" t="s">
        <v>102</v>
      </c>
      <c r="L15664" s="31" t="str">
        <f t="shared" ref="L15664:L15672" si="1513">$L$33&amp;" "&amp;L15634</f>
        <v>Tiga Puluh Satu</v>
      </c>
    </row>
    <row r="15665" spans="1:12">
      <c r="J15665" s="31">
        <v>32</v>
      </c>
      <c r="K15665" s="33" t="s">
        <v>103</v>
      </c>
      <c r="L15665" s="31" t="str">
        <f t="shared" si="1513"/>
        <v>Tiga Puluh Dua</v>
      </c>
    </row>
    <row r="15666" spans="1:12">
      <c r="J15666" s="31">
        <v>33</v>
      </c>
      <c r="K15666" s="33" t="s">
        <v>104</v>
      </c>
      <c r="L15666" s="31" t="str">
        <f t="shared" si="1513"/>
        <v>Tiga Puluh Tiga</v>
      </c>
    </row>
    <row r="15667" spans="1:12">
      <c r="J15667" s="31">
        <v>34</v>
      </c>
      <c r="K15667" s="33" t="s">
        <v>105</v>
      </c>
      <c r="L15667" s="31" t="str">
        <f t="shared" si="1513"/>
        <v>Tiga Puluh Empat</v>
      </c>
    </row>
    <row r="15668" spans="1:12">
      <c r="J15668" s="31">
        <v>35</v>
      </c>
      <c r="K15668" s="33" t="s">
        <v>106</v>
      </c>
      <c r="L15668" s="31" t="str">
        <f t="shared" si="1513"/>
        <v>Tiga Puluh Lima</v>
      </c>
    </row>
    <row r="15669" spans="1:12">
      <c r="J15669" s="31">
        <v>36</v>
      </c>
      <c r="K15669" s="33" t="s">
        <v>107</v>
      </c>
      <c r="L15669" s="31" t="str">
        <f t="shared" si="1513"/>
        <v>Tiga Puluh Enam</v>
      </c>
    </row>
    <row r="15670" spans="1:12">
      <c r="J15670" s="31">
        <v>37</v>
      </c>
      <c r="K15670" s="33" t="s">
        <v>108</v>
      </c>
      <c r="L15670" s="31" t="str">
        <f t="shared" si="1513"/>
        <v>Tiga Puluh Tujuh</v>
      </c>
    </row>
    <row r="15671" spans="1:12">
      <c r="J15671" s="31">
        <v>38</v>
      </c>
      <c r="K15671" s="33" t="s">
        <v>109</v>
      </c>
      <c r="L15671" s="31" t="str">
        <f t="shared" si="1513"/>
        <v>Tiga Puluh Delapan</v>
      </c>
    </row>
    <row r="15672" spans="1:12">
      <c r="J15672" s="31">
        <v>39</v>
      </c>
      <c r="K15672" s="33" t="s">
        <v>110</v>
      </c>
      <c r="L15672" s="31" t="str">
        <f t="shared" si="1513"/>
        <v>Tiga Puluh Sembilan</v>
      </c>
    </row>
    <row r="15673" spans="1:12">
      <c r="B15673" s="35"/>
      <c r="C15673" s="35"/>
      <c r="D15673" s="35"/>
      <c r="J15673" s="31">
        <v>40</v>
      </c>
      <c r="K15673" s="33" t="s">
        <v>111</v>
      </c>
      <c r="L15673" s="31" t="s">
        <v>112</v>
      </c>
    </row>
    <row r="15674" spans="1:12">
      <c r="A15674" s="35"/>
      <c r="B15674" s="35"/>
      <c r="C15674" s="35"/>
      <c r="D15674" s="35"/>
      <c r="J15674" s="31">
        <v>41</v>
      </c>
      <c r="K15674" s="33" t="s">
        <v>113</v>
      </c>
      <c r="L15674" s="31" t="str">
        <f t="shared" ref="L15674:L15682" si="1514">$L$43&amp;" "&amp;L15634</f>
        <v>Empat Puluh Satu</v>
      </c>
    </row>
    <row r="15675" spans="1:12">
      <c r="J15675" s="31">
        <v>42</v>
      </c>
      <c r="K15675" s="33" t="s">
        <v>114</v>
      </c>
      <c r="L15675" s="31" t="str">
        <f t="shared" si="1514"/>
        <v>Empat Puluh Dua</v>
      </c>
    </row>
    <row r="15676" spans="1:12">
      <c r="A15676" s="38"/>
      <c r="J15676" s="31">
        <v>43</v>
      </c>
      <c r="K15676" s="33" t="s">
        <v>115</v>
      </c>
      <c r="L15676" s="31" t="str">
        <f t="shared" si="1514"/>
        <v>Empat Puluh Tiga</v>
      </c>
    </row>
    <row r="15677" spans="1:12">
      <c r="J15677" s="31">
        <v>44</v>
      </c>
      <c r="K15677" s="33" t="s">
        <v>116</v>
      </c>
      <c r="L15677" s="31" t="str">
        <f t="shared" si="1514"/>
        <v>Empat Puluh Empat</v>
      </c>
    </row>
    <row r="15678" spans="1:12">
      <c r="J15678" s="31">
        <v>45</v>
      </c>
      <c r="K15678" s="33" t="s">
        <v>117</v>
      </c>
      <c r="L15678" s="31" t="str">
        <f t="shared" si="1514"/>
        <v>Empat Puluh Lima</v>
      </c>
    </row>
    <row r="15679" spans="1:12">
      <c r="J15679" s="31">
        <v>46</v>
      </c>
      <c r="K15679" s="33" t="s">
        <v>118</v>
      </c>
      <c r="L15679" s="31" t="str">
        <f t="shared" si="1514"/>
        <v>Empat Puluh Enam</v>
      </c>
    </row>
    <row r="15680" spans="1:12">
      <c r="J15680" s="31">
        <v>47</v>
      </c>
      <c r="K15680" s="33" t="s">
        <v>119</v>
      </c>
      <c r="L15680" s="31" t="str">
        <f t="shared" si="1514"/>
        <v>Empat Puluh Tujuh</v>
      </c>
    </row>
    <row r="15681" spans="10:12">
      <c r="J15681" s="31">
        <v>48</v>
      </c>
      <c r="K15681" s="33" t="s">
        <v>120</v>
      </c>
      <c r="L15681" s="31" t="str">
        <f t="shared" si="1514"/>
        <v>Empat Puluh Delapan</v>
      </c>
    </row>
    <row r="15682" spans="10:12">
      <c r="J15682" s="31">
        <v>49</v>
      </c>
      <c r="K15682" s="33" t="s">
        <v>121</v>
      </c>
      <c r="L15682" s="31" t="str">
        <f t="shared" si="1514"/>
        <v>Empat Puluh Sembilan</v>
      </c>
    </row>
    <row r="15683" spans="10:12">
      <c r="J15683" s="31">
        <v>50</v>
      </c>
      <c r="K15683" s="33" t="s">
        <v>122</v>
      </c>
      <c r="L15683" s="31" t="s">
        <v>123</v>
      </c>
    </row>
    <row r="15684" spans="10:12">
      <c r="J15684" s="31">
        <v>51</v>
      </c>
      <c r="K15684" s="33" t="s">
        <v>124</v>
      </c>
      <c r="L15684" s="31" t="str">
        <f t="shared" ref="L15684:L15692" si="1515">$L$53&amp;" "&amp;L15634</f>
        <v>Lima Puluh Satu</v>
      </c>
    </row>
    <row r="15685" spans="10:12">
      <c r="J15685" s="31">
        <v>52</v>
      </c>
      <c r="K15685" s="33" t="s">
        <v>125</v>
      </c>
      <c r="L15685" s="31" t="str">
        <f t="shared" si="1515"/>
        <v>Lima Puluh Dua</v>
      </c>
    </row>
    <row r="15686" spans="10:12">
      <c r="J15686" s="31">
        <v>53</v>
      </c>
      <c r="K15686" s="33" t="s">
        <v>126</v>
      </c>
      <c r="L15686" s="31" t="str">
        <f t="shared" si="1515"/>
        <v>Lima Puluh Tiga</v>
      </c>
    </row>
    <row r="15687" spans="10:12">
      <c r="J15687" s="31">
        <v>54</v>
      </c>
      <c r="K15687" s="33" t="s">
        <v>127</v>
      </c>
      <c r="L15687" s="31" t="str">
        <f t="shared" si="1515"/>
        <v>Lima Puluh Empat</v>
      </c>
    </row>
    <row r="15688" spans="10:12">
      <c r="J15688" s="31">
        <v>55</v>
      </c>
      <c r="K15688" s="33" t="s">
        <v>128</v>
      </c>
      <c r="L15688" s="31" t="str">
        <f t="shared" si="1515"/>
        <v>Lima Puluh Lima</v>
      </c>
    </row>
    <row r="15689" spans="10:12">
      <c r="J15689" s="31">
        <v>56</v>
      </c>
      <c r="K15689" s="33" t="s">
        <v>129</v>
      </c>
      <c r="L15689" s="31" t="str">
        <f t="shared" si="1515"/>
        <v>Lima Puluh Enam</v>
      </c>
    </row>
    <row r="15690" spans="10:12">
      <c r="J15690" s="31">
        <v>57</v>
      </c>
      <c r="K15690" s="33" t="s">
        <v>130</v>
      </c>
      <c r="L15690" s="31" t="str">
        <f t="shared" si="1515"/>
        <v>Lima Puluh Tujuh</v>
      </c>
    </row>
    <row r="15691" spans="10:12">
      <c r="J15691" s="31">
        <v>58</v>
      </c>
      <c r="K15691" s="33" t="s">
        <v>131</v>
      </c>
      <c r="L15691" s="31" t="str">
        <f t="shared" si="1515"/>
        <v>Lima Puluh Delapan</v>
      </c>
    </row>
    <row r="15692" spans="10:12">
      <c r="J15692" s="31">
        <v>59</v>
      </c>
      <c r="K15692" s="33" t="s">
        <v>132</v>
      </c>
      <c r="L15692" s="31" t="str">
        <f t="shared" si="1515"/>
        <v>Lima Puluh Sembilan</v>
      </c>
    </row>
    <row r="15693" spans="10:12">
      <c r="J15693" s="31">
        <v>60</v>
      </c>
      <c r="K15693" s="33" t="s">
        <v>133</v>
      </c>
      <c r="L15693" s="31" t="s">
        <v>134</v>
      </c>
    </row>
    <row r="15694" spans="10:12">
      <c r="J15694" s="31">
        <v>61</v>
      </c>
      <c r="K15694" s="33" t="s">
        <v>135</v>
      </c>
      <c r="L15694" s="31" t="str">
        <f t="shared" ref="L15694:L15702" si="1516">$L$63&amp;" "&amp;L15634</f>
        <v>Enam Puluh Satu</v>
      </c>
    </row>
    <row r="15695" spans="10:12">
      <c r="J15695" s="31">
        <v>62</v>
      </c>
      <c r="K15695" s="33" t="s">
        <v>136</v>
      </c>
      <c r="L15695" s="31" t="str">
        <f t="shared" si="1516"/>
        <v>Enam Puluh Dua</v>
      </c>
    </row>
    <row r="15696" spans="10:12">
      <c r="J15696" s="31">
        <v>63</v>
      </c>
      <c r="K15696" s="33" t="s">
        <v>137</v>
      </c>
      <c r="L15696" s="31" t="str">
        <f t="shared" si="1516"/>
        <v>Enam Puluh Tiga</v>
      </c>
    </row>
    <row r="15697" spans="10:12">
      <c r="J15697" s="31">
        <v>64</v>
      </c>
      <c r="K15697" s="33" t="s">
        <v>138</v>
      </c>
      <c r="L15697" s="31" t="str">
        <f t="shared" si="1516"/>
        <v>Enam Puluh Empat</v>
      </c>
    </row>
    <row r="15698" spans="10:12">
      <c r="J15698" s="31">
        <v>65</v>
      </c>
      <c r="K15698" s="33" t="s">
        <v>139</v>
      </c>
      <c r="L15698" s="31" t="str">
        <f t="shared" si="1516"/>
        <v>Enam Puluh Lima</v>
      </c>
    </row>
    <row r="15699" spans="10:12">
      <c r="J15699" s="31">
        <v>66</v>
      </c>
      <c r="K15699" s="33" t="s">
        <v>140</v>
      </c>
      <c r="L15699" s="31" t="str">
        <f t="shared" si="1516"/>
        <v>Enam Puluh Enam</v>
      </c>
    </row>
    <row r="15700" spans="10:12">
      <c r="J15700" s="31">
        <v>67</v>
      </c>
      <c r="K15700" s="33" t="s">
        <v>141</v>
      </c>
      <c r="L15700" s="31" t="str">
        <f t="shared" si="1516"/>
        <v>Enam Puluh Tujuh</v>
      </c>
    </row>
    <row r="15701" spans="10:12">
      <c r="J15701" s="31">
        <v>68</v>
      </c>
      <c r="K15701" s="33" t="s">
        <v>142</v>
      </c>
      <c r="L15701" s="31" t="str">
        <f t="shared" si="1516"/>
        <v>Enam Puluh Delapan</v>
      </c>
    </row>
    <row r="15702" spans="10:12">
      <c r="J15702" s="31">
        <v>69</v>
      </c>
      <c r="K15702" s="33" t="s">
        <v>143</v>
      </c>
      <c r="L15702" s="31" t="str">
        <f t="shared" si="1516"/>
        <v>Enam Puluh Sembilan</v>
      </c>
    </row>
    <row r="15703" spans="10:12">
      <c r="J15703" s="31">
        <v>70</v>
      </c>
      <c r="K15703" s="33" t="s">
        <v>144</v>
      </c>
      <c r="L15703" s="31" t="s">
        <v>145</v>
      </c>
    </row>
    <row r="15704" spans="10:12">
      <c r="J15704" s="31">
        <v>71</v>
      </c>
      <c r="K15704" s="33" t="s">
        <v>146</v>
      </c>
      <c r="L15704" s="31" t="str">
        <f t="shared" ref="L15704:L15712" si="1517">$L$73&amp;" "&amp;L15634</f>
        <v>Tujuh Puluh Satu</v>
      </c>
    </row>
    <row r="15705" spans="10:12">
      <c r="J15705" s="31">
        <v>72</v>
      </c>
      <c r="K15705" s="33" t="s">
        <v>147</v>
      </c>
      <c r="L15705" s="31" t="str">
        <f t="shared" si="1517"/>
        <v>Tujuh Puluh Dua</v>
      </c>
    </row>
    <row r="15706" spans="10:12">
      <c r="J15706" s="31">
        <v>73</v>
      </c>
      <c r="K15706" s="33" t="s">
        <v>148</v>
      </c>
      <c r="L15706" s="31" t="str">
        <f t="shared" si="1517"/>
        <v>Tujuh Puluh Tiga</v>
      </c>
    </row>
    <row r="15707" spans="10:12">
      <c r="J15707" s="31">
        <v>74</v>
      </c>
      <c r="K15707" s="33" t="s">
        <v>149</v>
      </c>
      <c r="L15707" s="31" t="str">
        <f t="shared" si="1517"/>
        <v>Tujuh Puluh Empat</v>
      </c>
    </row>
    <row r="15708" spans="10:12">
      <c r="J15708" s="31">
        <v>75</v>
      </c>
      <c r="K15708" s="33" t="s">
        <v>150</v>
      </c>
      <c r="L15708" s="31" t="str">
        <f t="shared" si="1517"/>
        <v>Tujuh Puluh Lima</v>
      </c>
    </row>
    <row r="15709" spans="10:12">
      <c r="J15709" s="31">
        <v>76</v>
      </c>
      <c r="K15709" s="33" t="s">
        <v>151</v>
      </c>
      <c r="L15709" s="31" t="str">
        <f t="shared" si="1517"/>
        <v>Tujuh Puluh Enam</v>
      </c>
    </row>
    <row r="15710" spans="10:12">
      <c r="J15710" s="31">
        <v>77</v>
      </c>
      <c r="K15710" s="33" t="s">
        <v>152</v>
      </c>
      <c r="L15710" s="31" t="str">
        <f t="shared" si="1517"/>
        <v>Tujuh Puluh Tujuh</v>
      </c>
    </row>
    <row r="15711" spans="10:12">
      <c r="J15711" s="31">
        <v>78</v>
      </c>
      <c r="K15711" s="33" t="s">
        <v>153</v>
      </c>
      <c r="L15711" s="31" t="str">
        <f t="shared" si="1517"/>
        <v>Tujuh Puluh Delapan</v>
      </c>
    </row>
    <row r="15712" spans="10:12">
      <c r="J15712" s="31">
        <v>79</v>
      </c>
      <c r="K15712" s="33" t="s">
        <v>154</v>
      </c>
      <c r="L15712" s="31" t="str">
        <f t="shared" si="1517"/>
        <v>Tujuh Puluh Sembilan</v>
      </c>
    </row>
    <row r="15713" spans="10:12">
      <c r="J15713" s="31">
        <v>80</v>
      </c>
      <c r="K15713" s="33" t="s">
        <v>155</v>
      </c>
      <c r="L15713" s="31" t="s">
        <v>156</v>
      </c>
    </row>
    <row r="15714" spans="10:12">
      <c r="J15714" s="31">
        <v>81</v>
      </c>
      <c r="K15714" s="33" t="s">
        <v>157</v>
      </c>
      <c r="L15714" s="31" t="str">
        <f t="shared" ref="L15714:L15722" si="1518">$L$83&amp;" "&amp;L15634</f>
        <v>Delapan Puluh Satu</v>
      </c>
    </row>
    <row r="15715" spans="10:12">
      <c r="J15715" s="31">
        <v>82</v>
      </c>
      <c r="K15715" s="33" t="s">
        <v>158</v>
      </c>
      <c r="L15715" s="31" t="str">
        <f t="shared" si="1518"/>
        <v>Delapan Puluh Dua</v>
      </c>
    </row>
    <row r="15716" spans="10:12">
      <c r="J15716" s="31">
        <v>83</v>
      </c>
      <c r="K15716" s="33" t="s">
        <v>159</v>
      </c>
      <c r="L15716" s="31" t="str">
        <f t="shared" si="1518"/>
        <v>Delapan Puluh Tiga</v>
      </c>
    </row>
    <row r="15717" spans="10:12">
      <c r="J15717" s="31">
        <v>84</v>
      </c>
      <c r="K15717" s="33" t="s">
        <v>160</v>
      </c>
      <c r="L15717" s="31" t="str">
        <f t="shared" si="1518"/>
        <v>Delapan Puluh Empat</v>
      </c>
    </row>
    <row r="15718" spans="10:12">
      <c r="J15718" s="31">
        <v>85</v>
      </c>
      <c r="K15718" s="33" t="s">
        <v>161</v>
      </c>
      <c r="L15718" s="31" t="str">
        <f t="shared" si="1518"/>
        <v>Delapan Puluh Lima</v>
      </c>
    </row>
    <row r="15719" spans="10:12">
      <c r="J15719" s="31">
        <v>86</v>
      </c>
      <c r="K15719" s="33" t="s">
        <v>162</v>
      </c>
      <c r="L15719" s="31" t="str">
        <f t="shared" si="1518"/>
        <v>Delapan Puluh Enam</v>
      </c>
    </row>
    <row r="15720" spans="10:12">
      <c r="J15720" s="31">
        <v>87</v>
      </c>
      <c r="K15720" s="33" t="s">
        <v>163</v>
      </c>
      <c r="L15720" s="31" t="str">
        <f t="shared" si="1518"/>
        <v>Delapan Puluh Tujuh</v>
      </c>
    </row>
    <row r="15721" spans="10:12">
      <c r="J15721" s="31">
        <v>88</v>
      </c>
      <c r="K15721" s="33" t="s">
        <v>164</v>
      </c>
      <c r="L15721" s="31" t="str">
        <f t="shared" si="1518"/>
        <v>Delapan Puluh Delapan</v>
      </c>
    </row>
    <row r="15722" spans="10:12">
      <c r="J15722" s="31">
        <v>89</v>
      </c>
      <c r="K15722" s="33" t="s">
        <v>165</v>
      </c>
      <c r="L15722" s="31" t="str">
        <f t="shared" si="1518"/>
        <v>Delapan Puluh Sembilan</v>
      </c>
    </row>
    <row r="15723" spans="10:12">
      <c r="J15723" s="31">
        <v>90</v>
      </c>
      <c r="K15723" s="33" t="s">
        <v>166</v>
      </c>
      <c r="L15723" s="31" t="s">
        <v>167</v>
      </c>
    </row>
    <row r="15724" spans="10:12">
      <c r="J15724" s="31">
        <v>91</v>
      </c>
      <c r="K15724" s="33" t="s">
        <v>168</v>
      </c>
      <c r="L15724" s="31" t="str">
        <f t="shared" ref="L15724:L15732" si="1519">$L$93&amp;" "&amp;L15634</f>
        <v>Sembilan Puluh Satu</v>
      </c>
    </row>
    <row r="15725" spans="10:12">
      <c r="J15725" s="31">
        <v>92</v>
      </c>
      <c r="K15725" s="33" t="s">
        <v>169</v>
      </c>
      <c r="L15725" s="31" t="str">
        <f t="shared" si="1519"/>
        <v>Sembilan Puluh Dua</v>
      </c>
    </row>
    <row r="15726" spans="10:12">
      <c r="J15726" s="31">
        <v>93</v>
      </c>
      <c r="K15726" s="33" t="s">
        <v>170</v>
      </c>
      <c r="L15726" s="31" t="str">
        <f t="shared" si="1519"/>
        <v>Sembilan Puluh Tiga</v>
      </c>
    </row>
    <row r="15727" spans="10:12">
      <c r="J15727" s="31">
        <v>94</v>
      </c>
      <c r="K15727" s="33" t="s">
        <v>171</v>
      </c>
      <c r="L15727" s="31" t="str">
        <f t="shared" si="1519"/>
        <v>Sembilan Puluh Empat</v>
      </c>
    </row>
    <row r="15728" spans="10:12">
      <c r="J15728" s="31">
        <v>95</v>
      </c>
      <c r="K15728" s="33" t="s">
        <v>172</v>
      </c>
      <c r="L15728" s="31" t="str">
        <f t="shared" si="1519"/>
        <v>Sembilan Puluh Lima</v>
      </c>
    </row>
    <row r="15729" spans="1:12">
      <c r="J15729" s="31">
        <v>96</v>
      </c>
      <c r="K15729" s="33" t="s">
        <v>173</v>
      </c>
      <c r="L15729" s="31" t="str">
        <f t="shared" si="1519"/>
        <v>Sembilan Puluh Enam</v>
      </c>
    </row>
    <row r="15730" spans="1:12">
      <c r="J15730" s="31">
        <v>97</v>
      </c>
      <c r="K15730" s="33" t="s">
        <v>174</v>
      </c>
      <c r="L15730" s="31" t="str">
        <f t="shared" si="1519"/>
        <v>Sembilan Puluh Tujuh</v>
      </c>
    </row>
    <row r="15731" spans="1:12">
      <c r="J15731" s="31">
        <v>98</v>
      </c>
      <c r="K15731" s="33" t="s">
        <v>175</v>
      </c>
      <c r="L15731" s="31" t="str">
        <f t="shared" si="1519"/>
        <v>Sembilan Puluh Delapan</v>
      </c>
    </row>
    <row r="15732" spans="1:12">
      <c r="J15732" s="31">
        <v>99</v>
      </c>
      <c r="K15732" s="33" t="s">
        <v>176</v>
      </c>
      <c r="L15732" s="31" t="str">
        <f t="shared" si="1519"/>
        <v>Sembilan Puluh Sembilan</v>
      </c>
    </row>
    <row r="15735" spans="1:12">
      <c r="A15735" s="30" t="e">
        <f>#REF!</f>
        <v>#REF!</v>
      </c>
      <c r="C15735" s="31" t="s">
        <v>387</v>
      </c>
    </row>
    <row r="15736" spans="1:12">
      <c r="A15736" s="32"/>
    </row>
    <row r="15737" spans="1:12">
      <c r="J15737" s="31">
        <v>0</v>
      </c>
      <c r="K15737" s="33" t="s">
        <v>48</v>
      </c>
      <c r="L15737" s="31" t="s">
        <v>49</v>
      </c>
    </row>
    <row r="15738" spans="1:12">
      <c r="A15738" s="34"/>
      <c r="J15738" s="31">
        <v>1</v>
      </c>
      <c r="K15738" s="33" t="s">
        <v>50</v>
      </c>
      <c r="L15738" s="31" t="s">
        <v>51</v>
      </c>
    </row>
    <row r="15739" spans="1:12">
      <c r="A15739" s="255" t="e">
        <f>TRIM(D15747&amp;E15747&amp;D15748&amp;E15748&amp;D15749&amp;E15749&amp;D15750&amp;E15750&amp;D15751&amp;E15751&amp;D15752&amp;E15752&amp;E15753&amp;D15753&amp;" Only")</f>
        <v>#REF!</v>
      </c>
      <c r="B15739" s="255"/>
      <c r="C15739" s="255"/>
      <c r="D15739" s="255"/>
      <c r="E15739" s="35"/>
      <c r="F15739" s="36"/>
      <c r="J15739" s="31">
        <v>2</v>
      </c>
      <c r="K15739" s="33" t="s">
        <v>52</v>
      </c>
      <c r="L15739" s="31" t="s">
        <v>53</v>
      </c>
    </row>
    <row r="15740" spans="1:12">
      <c r="A15740" s="118"/>
      <c r="B15740" s="118"/>
      <c r="C15740" s="118"/>
      <c r="D15740" s="118"/>
      <c r="E15740" s="35"/>
      <c r="F15740" s="36"/>
      <c r="J15740" s="31">
        <v>3</v>
      </c>
      <c r="K15740" s="33" t="s">
        <v>54</v>
      </c>
      <c r="L15740" s="31" t="s">
        <v>55</v>
      </c>
    </row>
    <row r="15741" spans="1:12">
      <c r="A15741" s="118"/>
      <c r="B15741" s="118"/>
      <c r="C15741" s="118"/>
      <c r="D15741" s="118"/>
      <c r="J15741" s="31">
        <v>4</v>
      </c>
      <c r="K15741" s="33" t="s">
        <v>56</v>
      </c>
      <c r="L15741" s="31" t="s">
        <v>57</v>
      </c>
    </row>
    <row r="15742" spans="1:12">
      <c r="A15742" s="255" t="e">
        <f>TRIM(D15757&amp;E15757&amp;D15758&amp;E15758&amp;D15759&amp;E15759&amp;D15760&amp;E15760&amp;D15761&amp;E15761&amp;D15762&amp;E15762&amp;D15763&amp;E15763&amp;" Rupiah")</f>
        <v>#REF!</v>
      </c>
      <c r="B15742" s="255"/>
      <c r="C15742" s="255"/>
      <c r="D15742" s="255"/>
      <c r="E15742" s="35"/>
      <c r="F15742" s="36"/>
      <c r="J15742" s="31">
        <v>5</v>
      </c>
      <c r="K15742" s="33" t="s">
        <v>58</v>
      </c>
      <c r="L15742" s="31" t="s">
        <v>59</v>
      </c>
    </row>
    <row r="15743" spans="1:12">
      <c r="A15743" s="35"/>
      <c r="B15743" s="35"/>
      <c r="C15743" s="35"/>
      <c r="D15743" s="35"/>
      <c r="E15743" s="35"/>
      <c r="F15743" s="36"/>
      <c r="J15743" s="31">
        <v>6</v>
      </c>
      <c r="K15743" s="33" t="s">
        <v>60</v>
      </c>
      <c r="L15743" s="31" t="s">
        <v>61</v>
      </c>
    </row>
    <row r="15744" spans="1:12">
      <c r="J15744" s="31">
        <v>7</v>
      </c>
      <c r="K15744" s="33" t="s">
        <v>62</v>
      </c>
      <c r="L15744" s="31" t="s">
        <v>63</v>
      </c>
    </row>
    <row r="15745" spans="1:12">
      <c r="J15745" s="31">
        <v>8</v>
      </c>
      <c r="K15745" s="33" t="s">
        <v>64</v>
      </c>
      <c r="L15745" s="31" t="s">
        <v>65</v>
      </c>
    </row>
    <row r="15746" spans="1:12">
      <c r="A15746" s="38" t="s">
        <v>66</v>
      </c>
      <c r="J15746" s="31">
        <v>9</v>
      </c>
      <c r="K15746" s="33" t="s">
        <v>67</v>
      </c>
      <c r="L15746" s="31" t="s">
        <v>68</v>
      </c>
    </row>
    <row r="15747" spans="1:12">
      <c r="A15747" s="31" t="s">
        <v>69</v>
      </c>
      <c r="B15747" s="39" t="e">
        <f>TRUNC(A15735/100000000)</f>
        <v>#REF!</v>
      </c>
      <c r="C15747" s="31" t="e">
        <f>B15747*100000000</f>
        <v>#REF!</v>
      </c>
      <c r="D15747" s="31" t="e">
        <f t="shared" ref="D15747:D15753" si="1520">IF(B15747&lt;1,"",VLOOKUP(B15747,$J$3:$K$102,2))</f>
        <v>#REF!</v>
      </c>
      <c r="E15747" s="31" t="e">
        <f>IF(B15747&lt;1,"",IF(B15747&gt;1," Hundreds "," Hundred "))</f>
        <v>#REF!</v>
      </c>
      <c r="J15747" s="31">
        <v>10</v>
      </c>
      <c r="K15747" s="33" t="s">
        <v>70</v>
      </c>
      <c r="L15747" s="31" t="s">
        <v>71</v>
      </c>
    </row>
    <row r="15748" spans="1:12">
      <c r="A15748" s="31" t="s">
        <v>72</v>
      </c>
      <c r="B15748" s="39" t="e">
        <f>TRUNC((A15735-C15747)/1000000)</f>
        <v>#REF!</v>
      </c>
      <c r="C15748" s="31" t="e">
        <f>B15748*1000000</f>
        <v>#REF!</v>
      </c>
      <c r="D15748" s="31" t="e">
        <f t="shared" si="1520"/>
        <v>#REF!</v>
      </c>
      <c r="E15748" s="31" t="e">
        <f>IF(B15747+B15748=0,"",IF(B15748=1," Million "," Millions "))</f>
        <v>#REF!</v>
      </c>
      <c r="J15748" s="31">
        <v>11</v>
      </c>
      <c r="K15748" s="33" t="s">
        <v>73</v>
      </c>
      <c r="L15748" s="31" t="s">
        <v>74</v>
      </c>
    </row>
    <row r="15749" spans="1:12">
      <c r="A15749" s="31" t="s">
        <v>75</v>
      </c>
      <c r="B15749" s="39" t="e">
        <f>TRUNC((A15735-SUM(C15747:C15748))/100000)</f>
        <v>#REF!</v>
      </c>
      <c r="C15749" s="31" t="e">
        <f>B15749*100000</f>
        <v>#REF!</v>
      </c>
      <c r="D15749" s="31" t="e">
        <f t="shared" si="1520"/>
        <v>#REF!</v>
      </c>
      <c r="E15749" s="31" t="e">
        <f>IF(B15749&lt;1,"",IF(B15749&gt;1," Hundreds "," Hundred "))</f>
        <v>#REF!</v>
      </c>
      <c r="J15749" s="31">
        <v>12</v>
      </c>
      <c r="K15749" s="33" t="s">
        <v>76</v>
      </c>
      <c r="L15749" s="31" t="str">
        <f t="shared" ref="L15749:L15756" si="1521">L15739&amp;" Belas"</f>
        <v>Dua Belas</v>
      </c>
    </row>
    <row r="15750" spans="1:12">
      <c r="A15750" s="33" t="s">
        <v>77</v>
      </c>
      <c r="B15750" s="40" t="e">
        <f>TRUNC((A15735-SUM(C15747:C15749))/1000)</f>
        <v>#REF!</v>
      </c>
      <c r="C15750" s="31" t="e">
        <f>B15750*1000</f>
        <v>#REF!</v>
      </c>
      <c r="D15750" s="31" t="e">
        <f t="shared" si="1520"/>
        <v>#REF!</v>
      </c>
      <c r="E15750" s="31" t="e">
        <f>IF(B15749+B15750=0,"",IF(B15750=1," Thousand "," Thousands "))</f>
        <v>#REF!</v>
      </c>
      <c r="J15750" s="31">
        <v>13</v>
      </c>
      <c r="K15750" s="33" t="s">
        <v>78</v>
      </c>
      <c r="L15750" s="31" t="str">
        <f t="shared" si="1521"/>
        <v>Tiga Belas</v>
      </c>
    </row>
    <row r="15751" spans="1:12">
      <c r="A15751" s="33" t="s">
        <v>79</v>
      </c>
      <c r="B15751" s="40" t="e">
        <f>TRUNC((A15735-SUM(C15747:C15750))/100)</f>
        <v>#REF!</v>
      </c>
      <c r="C15751" s="31" t="e">
        <f>B15751*100</f>
        <v>#REF!</v>
      </c>
      <c r="D15751" s="31" t="e">
        <f t="shared" si="1520"/>
        <v>#REF!</v>
      </c>
      <c r="E15751" s="31" t="e">
        <f>IF(B15751&lt;1,"",IF(B15751&gt;1," Hundreds "," Hundred "))</f>
        <v>#REF!</v>
      </c>
      <c r="J15751" s="31">
        <v>14</v>
      </c>
      <c r="K15751" s="33" t="s">
        <v>80</v>
      </c>
      <c r="L15751" s="31" t="str">
        <f t="shared" si="1521"/>
        <v>Empat Belas</v>
      </c>
    </row>
    <row r="15752" spans="1:12">
      <c r="A15752" s="33" t="s">
        <v>81</v>
      </c>
      <c r="B15752" s="41" t="e">
        <f>TRUNC((A15735-SUM(C15747:C15751)))</f>
        <v>#REF!</v>
      </c>
      <c r="C15752" s="42" t="e">
        <f>B15752</f>
        <v>#REF!</v>
      </c>
      <c r="D15752" s="31" t="e">
        <f t="shared" si="1520"/>
        <v>#REF!</v>
      </c>
      <c r="E15752" s="31" t="e">
        <f>IF(SUM(C15747:C15752)&lt;1,"",IF(B15753&lt;1,""," And "))</f>
        <v>#REF!</v>
      </c>
      <c r="J15752" s="31">
        <v>15</v>
      </c>
      <c r="K15752" s="33" t="s">
        <v>82</v>
      </c>
      <c r="L15752" s="31" t="str">
        <f t="shared" si="1521"/>
        <v>Lima Belas</v>
      </c>
    </row>
    <row r="15753" spans="1:12">
      <c r="A15753" s="33" t="s">
        <v>83</v>
      </c>
      <c r="B15753" s="40" t="e">
        <f>ROUND(A15735-SUM(C15747:C15752),2)*100</f>
        <v>#REF!</v>
      </c>
      <c r="D15753" s="43" t="e">
        <f t="shared" si="1520"/>
        <v>#REF!</v>
      </c>
      <c r="E15753" s="31" t="e">
        <f>IF(B15753&lt;1,"",IF(B15753=1," Cent "," Cents "))</f>
        <v>#REF!</v>
      </c>
      <c r="J15753" s="31">
        <v>16</v>
      </c>
      <c r="K15753" s="33" t="s">
        <v>84</v>
      </c>
      <c r="L15753" s="31" t="str">
        <f t="shared" si="1521"/>
        <v>Enam Belas</v>
      </c>
    </row>
    <row r="15754" spans="1:12">
      <c r="J15754" s="31">
        <v>17</v>
      </c>
      <c r="K15754" s="33" t="s">
        <v>85</v>
      </c>
      <c r="L15754" s="31" t="str">
        <f t="shared" si="1521"/>
        <v>Tujuh Belas</v>
      </c>
    </row>
    <row r="15755" spans="1:12">
      <c r="A15755" s="44"/>
      <c r="J15755" s="31">
        <v>18</v>
      </c>
      <c r="K15755" s="33" t="s">
        <v>86</v>
      </c>
      <c r="L15755" s="31" t="str">
        <f t="shared" si="1521"/>
        <v>Delapan Belas</v>
      </c>
    </row>
    <row r="15756" spans="1:12">
      <c r="A15756" s="38" t="s">
        <v>87</v>
      </c>
      <c r="J15756" s="31">
        <v>19</v>
      </c>
      <c r="K15756" s="33" t="s">
        <v>88</v>
      </c>
      <c r="L15756" s="31" t="str">
        <f t="shared" si="1521"/>
        <v>Sembilan Belas</v>
      </c>
    </row>
    <row r="15757" spans="1:12">
      <c r="A15757" s="31" t="s">
        <v>69</v>
      </c>
      <c r="B15757" s="39" t="e">
        <f>TRUNC(A15735/100000000)</f>
        <v>#REF!</v>
      </c>
      <c r="C15757" s="31" t="e">
        <f>B15757*100000000</f>
        <v>#REF!</v>
      </c>
      <c r="D15757" s="31" t="e">
        <f>IF(B15757&lt;1,"",IF(B15757=1,"",VLOOKUP(B15757,$J$3:$L$102,3)))</f>
        <v>#REF!</v>
      </c>
      <c r="E15757" s="31" t="e">
        <f>IF(B15757&lt;1,"",IF(B15757=1,"Seratus "," Ratus "))</f>
        <v>#REF!</v>
      </c>
      <c r="J15757" s="31">
        <v>20</v>
      </c>
      <c r="K15757" s="33" t="s">
        <v>89</v>
      </c>
      <c r="L15757" s="31" t="s">
        <v>90</v>
      </c>
    </row>
    <row r="15758" spans="1:12">
      <c r="A15758" s="31" t="s">
        <v>72</v>
      </c>
      <c r="B15758" s="39" t="e">
        <f>TRUNC((A15735-C15757)/1000000)</f>
        <v>#REF!</v>
      </c>
      <c r="C15758" s="31" t="e">
        <f>B15758*1000000</f>
        <v>#REF!</v>
      </c>
      <c r="D15758" s="31" t="e">
        <f>IF(B15758&lt;1,"",VLOOKUP(B15758,$J$3:$L$102,3))</f>
        <v>#REF!</v>
      </c>
      <c r="E15758" s="31" t="e">
        <f>IF(B15757+B15758=0,""," Juta ")</f>
        <v>#REF!</v>
      </c>
      <c r="J15758" s="31">
        <v>21</v>
      </c>
      <c r="K15758" s="33" t="s">
        <v>91</v>
      </c>
      <c r="L15758" s="31" t="str">
        <f t="shared" ref="L15758:L15766" si="1522">$L$23&amp;" "&amp;L15738</f>
        <v>Dua Puluh Satu</v>
      </c>
    </row>
    <row r="15759" spans="1:12">
      <c r="A15759" s="31" t="s">
        <v>75</v>
      </c>
      <c r="B15759" s="39" t="e">
        <f>TRUNC((A15735-SUM(C15757:C15758))/100000)</f>
        <v>#REF!</v>
      </c>
      <c r="C15759" s="31" t="e">
        <f>B15759*100000</f>
        <v>#REF!</v>
      </c>
      <c r="D15759" s="31" t="e">
        <f>IF(B15759&lt;1,"",IF(B15759=1,"",VLOOKUP(B15759,$J$3:$L$102,3)))</f>
        <v>#REF!</v>
      </c>
      <c r="E15759" s="31" t="e">
        <f>IF(B15759&lt;1,"",IF(B15759=1," Seratus "," Ratus "))</f>
        <v>#REF!</v>
      </c>
      <c r="J15759" s="31">
        <v>22</v>
      </c>
      <c r="K15759" s="33" t="s">
        <v>92</v>
      </c>
      <c r="L15759" s="31" t="str">
        <f t="shared" si="1522"/>
        <v>Dua Puluh Dua</v>
      </c>
    </row>
    <row r="15760" spans="1:12">
      <c r="A15760" s="33" t="s">
        <v>77</v>
      </c>
      <c r="B15760" s="40" t="e">
        <f>TRUNC((A15735-SUM(C15757:C15759))/1000)</f>
        <v>#REF!</v>
      </c>
      <c r="C15760" s="31" t="e">
        <f>B15760*1000</f>
        <v>#REF!</v>
      </c>
      <c r="D15760" s="31" t="e">
        <f>IF(B15760&lt;1,"",IF(B15760=1,"",VLOOKUP(B15760,$J$3:$L$102,3)))</f>
        <v>#REF!</v>
      </c>
      <c r="E15760" s="31" t="e">
        <f>IF(B15759+B15760&lt;1,"",IF(B15760=1," Seribu "," Ribu "))</f>
        <v>#REF!</v>
      </c>
      <c r="J15760" s="31">
        <v>23</v>
      </c>
      <c r="K15760" s="33" t="s">
        <v>93</v>
      </c>
      <c r="L15760" s="31" t="str">
        <f t="shared" si="1522"/>
        <v>Dua Puluh Tiga</v>
      </c>
    </row>
    <row r="15761" spans="1:12">
      <c r="A15761" s="33" t="s">
        <v>79</v>
      </c>
      <c r="B15761" s="40" t="e">
        <f>TRUNC((A15735-SUM(C15757:C15760))/100)</f>
        <v>#REF!</v>
      </c>
      <c r="C15761" s="31" t="e">
        <f>B15761*100</f>
        <v>#REF!</v>
      </c>
      <c r="D15761" s="31" t="e">
        <f>IF(B15761&lt;1,"",IF(B15761=1,"",VLOOKUP(B15761,$J$3:$L$102,3)))</f>
        <v>#REF!</v>
      </c>
      <c r="E15761" s="31" t="e">
        <f>IF(B15761&lt;1,"",IF(B15761=1," Seratus "," Ratus "))</f>
        <v>#REF!</v>
      </c>
      <c r="J15761" s="31">
        <v>24</v>
      </c>
      <c r="K15761" s="33" t="s">
        <v>94</v>
      </c>
      <c r="L15761" s="31" t="str">
        <f t="shared" si="1522"/>
        <v>Dua Puluh Empat</v>
      </c>
    </row>
    <row r="15762" spans="1:12">
      <c r="A15762" s="33" t="s">
        <v>81</v>
      </c>
      <c r="B15762" s="41" t="e">
        <f>TRUNC((A15735-SUM(C15757:C15761)))</f>
        <v>#REF!</v>
      </c>
      <c r="C15762" s="42" t="e">
        <f>B15762</f>
        <v>#REF!</v>
      </c>
      <c r="D15762" s="31" t="e">
        <f>IF(B15762&lt;1,"",VLOOKUP(B15762,$J$3:$L$102,3))</f>
        <v>#REF!</v>
      </c>
      <c r="E15762" s="31" t="e">
        <f>IF(SUM(C15757:C15762)&lt;1,"",IF(B15763&lt;1,""," Dan "))</f>
        <v>#REF!</v>
      </c>
      <c r="J15762" s="31">
        <v>25</v>
      </c>
      <c r="K15762" s="33" t="s">
        <v>95</v>
      </c>
      <c r="L15762" s="31" t="str">
        <f t="shared" si="1522"/>
        <v>Dua Puluh Lima</v>
      </c>
    </row>
    <row r="15763" spans="1:12">
      <c r="A15763" s="33" t="s">
        <v>83</v>
      </c>
      <c r="B15763" s="40" t="e">
        <f>ROUND(A15735-SUM(C15757:C15762),2)*100</f>
        <v>#REF!</v>
      </c>
      <c r="D15763" s="31" t="e">
        <f>IF(B15763&lt;1,"",VLOOKUP(B15763,$J$3:$L$102,3))</f>
        <v>#REF!</v>
      </c>
      <c r="E15763" s="31" t="e">
        <f>IF(B15763&lt;1,""," Sen ")</f>
        <v>#REF!</v>
      </c>
      <c r="J15763" s="31">
        <v>26</v>
      </c>
      <c r="K15763" s="33" t="s">
        <v>96</v>
      </c>
      <c r="L15763" s="31" t="str">
        <f t="shared" si="1522"/>
        <v>Dua Puluh Enam</v>
      </c>
    </row>
    <row r="15764" spans="1:12">
      <c r="J15764" s="31">
        <v>27</v>
      </c>
      <c r="K15764" s="33" t="s">
        <v>97</v>
      </c>
      <c r="L15764" s="31" t="str">
        <f t="shared" si="1522"/>
        <v>Dua Puluh Tujuh</v>
      </c>
    </row>
    <row r="15765" spans="1:12">
      <c r="J15765" s="31">
        <v>28</v>
      </c>
      <c r="K15765" s="33" t="s">
        <v>98</v>
      </c>
      <c r="L15765" s="31" t="str">
        <f t="shared" si="1522"/>
        <v>Dua Puluh Delapan</v>
      </c>
    </row>
    <row r="15766" spans="1:12">
      <c r="J15766" s="31">
        <v>29</v>
      </c>
      <c r="K15766" s="33" t="s">
        <v>99</v>
      </c>
      <c r="L15766" s="31" t="str">
        <f t="shared" si="1522"/>
        <v>Dua Puluh Sembilan</v>
      </c>
    </row>
    <row r="15767" spans="1:12">
      <c r="J15767" s="31">
        <v>30</v>
      </c>
      <c r="K15767" s="33" t="s">
        <v>100</v>
      </c>
      <c r="L15767" s="31" t="s">
        <v>101</v>
      </c>
    </row>
    <row r="15768" spans="1:12">
      <c r="J15768" s="31">
        <v>31</v>
      </c>
      <c r="K15768" s="33" t="s">
        <v>102</v>
      </c>
      <c r="L15768" s="31" t="str">
        <f t="shared" ref="L15768:L15776" si="1523">$L$33&amp;" "&amp;L15738</f>
        <v>Tiga Puluh Satu</v>
      </c>
    </row>
    <row r="15769" spans="1:12">
      <c r="J15769" s="31">
        <v>32</v>
      </c>
      <c r="K15769" s="33" t="s">
        <v>103</v>
      </c>
      <c r="L15769" s="31" t="str">
        <f t="shared" si="1523"/>
        <v>Tiga Puluh Dua</v>
      </c>
    </row>
    <row r="15770" spans="1:12">
      <c r="J15770" s="31">
        <v>33</v>
      </c>
      <c r="K15770" s="33" t="s">
        <v>104</v>
      </c>
      <c r="L15770" s="31" t="str">
        <f t="shared" si="1523"/>
        <v>Tiga Puluh Tiga</v>
      </c>
    </row>
    <row r="15771" spans="1:12">
      <c r="J15771" s="31">
        <v>34</v>
      </c>
      <c r="K15771" s="33" t="s">
        <v>105</v>
      </c>
      <c r="L15771" s="31" t="str">
        <f t="shared" si="1523"/>
        <v>Tiga Puluh Empat</v>
      </c>
    </row>
    <row r="15772" spans="1:12">
      <c r="J15772" s="31">
        <v>35</v>
      </c>
      <c r="K15772" s="33" t="s">
        <v>106</v>
      </c>
      <c r="L15772" s="31" t="str">
        <f t="shared" si="1523"/>
        <v>Tiga Puluh Lima</v>
      </c>
    </row>
    <row r="15773" spans="1:12">
      <c r="J15773" s="31">
        <v>36</v>
      </c>
      <c r="K15773" s="33" t="s">
        <v>107</v>
      </c>
      <c r="L15773" s="31" t="str">
        <f t="shared" si="1523"/>
        <v>Tiga Puluh Enam</v>
      </c>
    </row>
    <row r="15774" spans="1:12">
      <c r="J15774" s="31">
        <v>37</v>
      </c>
      <c r="K15774" s="33" t="s">
        <v>108</v>
      </c>
      <c r="L15774" s="31" t="str">
        <f t="shared" si="1523"/>
        <v>Tiga Puluh Tujuh</v>
      </c>
    </row>
    <row r="15775" spans="1:12">
      <c r="J15775" s="31">
        <v>38</v>
      </c>
      <c r="K15775" s="33" t="s">
        <v>109</v>
      </c>
      <c r="L15775" s="31" t="str">
        <f t="shared" si="1523"/>
        <v>Tiga Puluh Delapan</v>
      </c>
    </row>
    <row r="15776" spans="1:12">
      <c r="J15776" s="31">
        <v>39</v>
      </c>
      <c r="K15776" s="33" t="s">
        <v>110</v>
      </c>
      <c r="L15776" s="31" t="str">
        <f t="shared" si="1523"/>
        <v>Tiga Puluh Sembilan</v>
      </c>
    </row>
    <row r="15777" spans="1:12">
      <c r="B15777" s="35"/>
      <c r="C15777" s="35"/>
      <c r="D15777" s="35"/>
      <c r="J15777" s="31">
        <v>40</v>
      </c>
      <c r="K15777" s="33" t="s">
        <v>111</v>
      </c>
      <c r="L15777" s="31" t="s">
        <v>112</v>
      </c>
    </row>
    <row r="15778" spans="1:12">
      <c r="A15778" s="35"/>
      <c r="B15778" s="35"/>
      <c r="C15778" s="35"/>
      <c r="D15778" s="35"/>
      <c r="J15778" s="31">
        <v>41</v>
      </c>
      <c r="K15778" s="33" t="s">
        <v>113</v>
      </c>
      <c r="L15778" s="31" t="str">
        <f t="shared" ref="L15778:L15786" si="1524">$L$43&amp;" "&amp;L15738</f>
        <v>Empat Puluh Satu</v>
      </c>
    </row>
    <row r="15779" spans="1:12">
      <c r="J15779" s="31">
        <v>42</v>
      </c>
      <c r="K15779" s="33" t="s">
        <v>114</v>
      </c>
      <c r="L15779" s="31" t="str">
        <f t="shared" si="1524"/>
        <v>Empat Puluh Dua</v>
      </c>
    </row>
    <row r="15780" spans="1:12">
      <c r="A15780" s="38"/>
      <c r="J15780" s="31">
        <v>43</v>
      </c>
      <c r="K15780" s="33" t="s">
        <v>115</v>
      </c>
      <c r="L15780" s="31" t="str">
        <f t="shared" si="1524"/>
        <v>Empat Puluh Tiga</v>
      </c>
    </row>
    <row r="15781" spans="1:12">
      <c r="J15781" s="31">
        <v>44</v>
      </c>
      <c r="K15781" s="33" t="s">
        <v>116</v>
      </c>
      <c r="L15781" s="31" t="str">
        <f t="shared" si="1524"/>
        <v>Empat Puluh Empat</v>
      </c>
    </row>
    <row r="15782" spans="1:12">
      <c r="J15782" s="31">
        <v>45</v>
      </c>
      <c r="K15782" s="33" t="s">
        <v>117</v>
      </c>
      <c r="L15782" s="31" t="str">
        <f t="shared" si="1524"/>
        <v>Empat Puluh Lima</v>
      </c>
    </row>
    <row r="15783" spans="1:12">
      <c r="J15783" s="31">
        <v>46</v>
      </c>
      <c r="K15783" s="33" t="s">
        <v>118</v>
      </c>
      <c r="L15783" s="31" t="str">
        <f t="shared" si="1524"/>
        <v>Empat Puluh Enam</v>
      </c>
    </row>
    <row r="15784" spans="1:12">
      <c r="J15784" s="31">
        <v>47</v>
      </c>
      <c r="K15784" s="33" t="s">
        <v>119</v>
      </c>
      <c r="L15784" s="31" t="str">
        <f t="shared" si="1524"/>
        <v>Empat Puluh Tujuh</v>
      </c>
    </row>
    <row r="15785" spans="1:12">
      <c r="J15785" s="31">
        <v>48</v>
      </c>
      <c r="K15785" s="33" t="s">
        <v>120</v>
      </c>
      <c r="L15785" s="31" t="str">
        <f t="shared" si="1524"/>
        <v>Empat Puluh Delapan</v>
      </c>
    </row>
    <row r="15786" spans="1:12">
      <c r="J15786" s="31">
        <v>49</v>
      </c>
      <c r="K15786" s="33" t="s">
        <v>121</v>
      </c>
      <c r="L15786" s="31" t="str">
        <f t="shared" si="1524"/>
        <v>Empat Puluh Sembilan</v>
      </c>
    </row>
    <row r="15787" spans="1:12">
      <c r="J15787" s="31">
        <v>50</v>
      </c>
      <c r="K15787" s="33" t="s">
        <v>122</v>
      </c>
      <c r="L15787" s="31" t="s">
        <v>123</v>
      </c>
    </row>
    <row r="15788" spans="1:12">
      <c r="J15788" s="31">
        <v>51</v>
      </c>
      <c r="K15788" s="33" t="s">
        <v>124</v>
      </c>
      <c r="L15788" s="31" t="str">
        <f t="shared" ref="L15788:L15796" si="1525">$L$53&amp;" "&amp;L15738</f>
        <v>Lima Puluh Satu</v>
      </c>
    </row>
    <row r="15789" spans="1:12">
      <c r="J15789" s="31">
        <v>52</v>
      </c>
      <c r="K15789" s="33" t="s">
        <v>125</v>
      </c>
      <c r="L15789" s="31" t="str">
        <f t="shared" si="1525"/>
        <v>Lima Puluh Dua</v>
      </c>
    </row>
    <row r="15790" spans="1:12">
      <c r="J15790" s="31">
        <v>53</v>
      </c>
      <c r="K15790" s="33" t="s">
        <v>126</v>
      </c>
      <c r="L15790" s="31" t="str">
        <f t="shared" si="1525"/>
        <v>Lima Puluh Tiga</v>
      </c>
    </row>
    <row r="15791" spans="1:12">
      <c r="J15791" s="31">
        <v>54</v>
      </c>
      <c r="K15791" s="33" t="s">
        <v>127</v>
      </c>
      <c r="L15791" s="31" t="str">
        <f t="shared" si="1525"/>
        <v>Lima Puluh Empat</v>
      </c>
    </row>
    <row r="15792" spans="1:12">
      <c r="J15792" s="31">
        <v>55</v>
      </c>
      <c r="K15792" s="33" t="s">
        <v>128</v>
      </c>
      <c r="L15792" s="31" t="str">
        <f t="shared" si="1525"/>
        <v>Lima Puluh Lima</v>
      </c>
    </row>
    <row r="15793" spans="10:12">
      <c r="J15793" s="31">
        <v>56</v>
      </c>
      <c r="K15793" s="33" t="s">
        <v>129</v>
      </c>
      <c r="L15793" s="31" t="str">
        <f t="shared" si="1525"/>
        <v>Lima Puluh Enam</v>
      </c>
    </row>
    <row r="15794" spans="10:12">
      <c r="J15794" s="31">
        <v>57</v>
      </c>
      <c r="K15794" s="33" t="s">
        <v>130</v>
      </c>
      <c r="L15794" s="31" t="str">
        <f t="shared" si="1525"/>
        <v>Lima Puluh Tujuh</v>
      </c>
    </row>
    <row r="15795" spans="10:12">
      <c r="J15795" s="31">
        <v>58</v>
      </c>
      <c r="K15795" s="33" t="s">
        <v>131</v>
      </c>
      <c r="L15795" s="31" t="str">
        <f t="shared" si="1525"/>
        <v>Lima Puluh Delapan</v>
      </c>
    </row>
    <row r="15796" spans="10:12">
      <c r="J15796" s="31">
        <v>59</v>
      </c>
      <c r="K15796" s="33" t="s">
        <v>132</v>
      </c>
      <c r="L15796" s="31" t="str">
        <f t="shared" si="1525"/>
        <v>Lima Puluh Sembilan</v>
      </c>
    </row>
    <row r="15797" spans="10:12">
      <c r="J15797" s="31">
        <v>60</v>
      </c>
      <c r="K15797" s="33" t="s">
        <v>133</v>
      </c>
      <c r="L15797" s="31" t="s">
        <v>134</v>
      </c>
    </row>
    <row r="15798" spans="10:12">
      <c r="J15798" s="31">
        <v>61</v>
      </c>
      <c r="K15798" s="33" t="s">
        <v>135</v>
      </c>
      <c r="L15798" s="31" t="str">
        <f t="shared" ref="L15798:L15806" si="1526">$L$63&amp;" "&amp;L15738</f>
        <v>Enam Puluh Satu</v>
      </c>
    </row>
    <row r="15799" spans="10:12">
      <c r="J15799" s="31">
        <v>62</v>
      </c>
      <c r="K15799" s="33" t="s">
        <v>136</v>
      </c>
      <c r="L15799" s="31" t="str">
        <f t="shared" si="1526"/>
        <v>Enam Puluh Dua</v>
      </c>
    </row>
    <row r="15800" spans="10:12">
      <c r="J15800" s="31">
        <v>63</v>
      </c>
      <c r="K15800" s="33" t="s">
        <v>137</v>
      </c>
      <c r="L15800" s="31" t="str">
        <f t="shared" si="1526"/>
        <v>Enam Puluh Tiga</v>
      </c>
    </row>
    <row r="15801" spans="10:12">
      <c r="J15801" s="31">
        <v>64</v>
      </c>
      <c r="K15801" s="33" t="s">
        <v>138</v>
      </c>
      <c r="L15801" s="31" t="str">
        <f t="shared" si="1526"/>
        <v>Enam Puluh Empat</v>
      </c>
    </row>
    <row r="15802" spans="10:12">
      <c r="J15802" s="31">
        <v>65</v>
      </c>
      <c r="K15802" s="33" t="s">
        <v>139</v>
      </c>
      <c r="L15802" s="31" t="str">
        <f t="shared" si="1526"/>
        <v>Enam Puluh Lima</v>
      </c>
    </row>
    <row r="15803" spans="10:12">
      <c r="J15803" s="31">
        <v>66</v>
      </c>
      <c r="K15803" s="33" t="s">
        <v>140</v>
      </c>
      <c r="L15803" s="31" t="str">
        <f t="shared" si="1526"/>
        <v>Enam Puluh Enam</v>
      </c>
    </row>
    <row r="15804" spans="10:12">
      <c r="J15804" s="31">
        <v>67</v>
      </c>
      <c r="K15804" s="33" t="s">
        <v>141</v>
      </c>
      <c r="L15804" s="31" t="str">
        <f t="shared" si="1526"/>
        <v>Enam Puluh Tujuh</v>
      </c>
    </row>
    <row r="15805" spans="10:12">
      <c r="J15805" s="31">
        <v>68</v>
      </c>
      <c r="K15805" s="33" t="s">
        <v>142</v>
      </c>
      <c r="L15805" s="31" t="str">
        <f t="shared" si="1526"/>
        <v>Enam Puluh Delapan</v>
      </c>
    </row>
    <row r="15806" spans="10:12">
      <c r="J15806" s="31">
        <v>69</v>
      </c>
      <c r="K15806" s="33" t="s">
        <v>143</v>
      </c>
      <c r="L15806" s="31" t="str">
        <f t="shared" si="1526"/>
        <v>Enam Puluh Sembilan</v>
      </c>
    </row>
    <row r="15807" spans="10:12">
      <c r="J15807" s="31">
        <v>70</v>
      </c>
      <c r="K15807" s="33" t="s">
        <v>144</v>
      </c>
      <c r="L15807" s="31" t="s">
        <v>145</v>
      </c>
    </row>
    <row r="15808" spans="10:12">
      <c r="J15808" s="31">
        <v>71</v>
      </c>
      <c r="K15808" s="33" t="s">
        <v>146</v>
      </c>
      <c r="L15808" s="31" t="str">
        <f t="shared" ref="L15808:L15816" si="1527">$L$73&amp;" "&amp;L15738</f>
        <v>Tujuh Puluh Satu</v>
      </c>
    </row>
    <row r="15809" spans="10:12">
      <c r="J15809" s="31">
        <v>72</v>
      </c>
      <c r="K15809" s="33" t="s">
        <v>147</v>
      </c>
      <c r="L15809" s="31" t="str">
        <f t="shared" si="1527"/>
        <v>Tujuh Puluh Dua</v>
      </c>
    </row>
    <row r="15810" spans="10:12">
      <c r="J15810" s="31">
        <v>73</v>
      </c>
      <c r="K15810" s="33" t="s">
        <v>148</v>
      </c>
      <c r="L15810" s="31" t="str">
        <f t="shared" si="1527"/>
        <v>Tujuh Puluh Tiga</v>
      </c>
    </row>
    <row r="15811" spans="10:12">
      <c r="J15811" s="31">
        <v>74</v>
      </c>
      <c r="K15811" s="33" t="s">
        <v>149</v>
      </c>
      <c r="L15811" s="31" t="str">
        <f t="shared" si="1527"/>
        <v>Tujuh Puluh Empat</v>
      </c>
    </row>
    <row r="15812" spans="10:12">
      <c r="J15812" s="31">
        <v>75</v>
      </c>
      <c r="K15812" s="33" t="s">
        <v>150</v>
      </c>
      <c r="L15812" s="31" t="str">
        <f t="shared" si="1527"/>
        <v>Tujuh Puluh Lima</v>
      </c>
    </row>
    <row r="15813" spans="10:12">
      <c r="J15813" s="31">
        <v>76</v>
      </c>
      <c r="K15813" s="33" t="s">
        <v>151</v>
      </c>
      <c r="L15813" s="31" t="str">
        <f t="shared" si="1527"/>
        <v>Tujuh Puluh Enam</v>
      </c>
    </row>
    <row r="15814" spans="10:12">
      <c r="J15814" s="31">
        <v>77</v>
      </c>
      <c r="K15814" s="33" t="s">
        <v>152</v>
      </c>
      <c r="L15814" s="31" t="str">
        <f t="shared" si="1527"/>
        <v>Tujuh Puluh Tujuh</v>
      </c>
    </row>
    <row r="15815" spans="10:12">
      <c r="J15815" s="31">
        <v>78</v>
      </c>
      <c r="K15815" s="33" t="s">
        <v>153</v>
      </c>
      <c r="L15815" s="31" t="str">
        <f t="shared" si="1527"/>
        <v>Tujuh Puluh Delapan</v>
      </c>
    </row>
    <row r="15816" spans="10:12">
      <c r="J15816" s="31">
        <v>79</v>
      </c>
      <c r="K15816" s="33" t="s">
        <v>154</v>
      </c>
      <c r="L15816" s="31" t="str">
        <f t="shared" si="1527"/>
        <v>Tujuh Puluh Sembilan</v>
      </c>
    </row>
    <row r="15817" spans="10:12">
      <c r="J15817" s="31">
        <v>80</v>
      </c>
      <c r="K15817" s="33" t="s">
        <v>155</v>
      </c>
      <c r="L15817" s="31" t="s">
        <v>156</v>
      </c>
    </row>
    <row r="15818" spans="10:12">
      <c r="J15818" s="31">
        <v>81</v>
      </c>
      <c r="K15818" s="33" t="s">
        <v>157</v>
      </c>
      <c r="L15818" s="31" t="str">
        <f t="shared" ref="L15818:L15826" si="1528">$L$83&amp;" "&amp;L15738</f>
        <v>Delapan Puluh Satu</v>
      </c>
    </row>
    <row r="15819" spans="10:12">
      <c r="J15819" s="31">
        <v>82</v>
      </c>
      <c r="K15819" s="33" t="s">
        <v>158</v>
      </c>
      <c r="L15819" s="31" t="str">
        <f t="shared" si="1528"/>
        <v>Delapan Puluh Dua</v>
      </c>
    </row>
    <row r="15820" spans="10:12">
      <c r="J15820" s="31">
        <v>83</v>
      </c>
      <c r="K15820" s="33" t="s">
        <v>159</v>
      </c>
      <c r="L15820" s="31" t="str">
        <f t="shared" si="1528"/>
        <v>Delapan Puluh Tiga</v>
      </c>
    </row>
    <row r="15821" spans="10:12">
      <c r="J15821" s="31">
        <v>84</v>
      </c>
      <c r="K15821" s="33" t="s">
        <v>160</v>
      </c>
      <c r="L15821" s="31" t="str">
        <f t="shared" si="1528"/>
        <v>Delapan Puluh Empat</v>
      </c>
    </row>
    <row r="15822" spans="10:12">
      <c r="J15822" s="31">
        <v>85</v>
      </c>
      <c r="K15822" s="33" t="s">
        <v>161</v>
      </c>
      <c r="L15822" s="31" t="str">
        <f t="shared" si="1528"/>
        <v>Delapan Puluh Lima</v>
      </c>
    </row>
    <row r="15823" spans="10:12">
      <c r="J15823" s="31">
        <v>86</v>
      </c>
      <c r="K15823" s="33" t="s">
        <v>162</v>
      </c>
      <c r="L15823" s="31" t="str">
        <f t="shared" si="1528"/>
        <v>Delapan Puluh Enam</v>
      </c>
    </row>
    <row r="15824" spans="10:12">
      <c r="J15824" s="31">
        <v>87</v>
      </c>
      <c r="K15824" s="33" t="s">
        <v>163</v>
      </c>
      <c r="L15824" s="31" t="str">
        <f t="shared" si="1528"/>
        <v>Delapan Puluh Tujuh</v>
      </c>
    </row>
    <row r="15825" spans="1:12">
      <c r="J15825" s="31">
        <v>88</v>
      </c>
      <c r="K15825" s="33" t="s">
        <v>164</v>
      </c>
      <c r="L15825" s="31" t="str">
        <f t="shared" si="1528"/>
        <v>Delapan Puluh Delapan</v>
      </c>
    </row>
    <row r="15826" spans="1:12">
      <c r="J15826" s="31">
        <v>89</v>
      </c>
      <c r="K15826" s="33" t="s">
        <v>165</v>
      </c>
      <c r="L15826" s="31" t="str">
        <f t="shared" si="1528"/>
        <v>Delapan Puluh Sembilan</v>
      </c>
    </row>
    <row r="15827" spans="1:12">
      <c r="J15827" s="31">
        <v>90</v>
      </c>
      <c r="K15827" s="33" t="s">
        <v>166</v>
      </c>
      <c r="L15827" s="31" t="s">
        <v>167</v>
      </c>
    </row>
    <row r="15828" spans="1:12">
      <c r="J15828" s="31">
        <v>91</v>
      </c>
      <c r="K15828" s="33" t="s">
        <v>168</v>
      </c>
      <c r="L15828" s="31" t="str">
        <f t="shared" ref="L15828:L15836" si="1529">$L$93&amp;" "&amp;L15738</f>
        <v>Sembilan Puluh Satu</v>
      </c>
    </row>
    <row r="15829" spans="1:12">
      <c r="J15829" s="31">
        <v>92</v>
      </c>
      <c r="K15829" s="33" t="s">
        <v>169</v>
      </c>
      <c r="L15829" s="31" t="str">
        <f t="shared" si="1529"/>
        <v>Sembilan Puluh Dua</v>
      </c>
    </row>
    <row r="15830" spans="1:12">
      <c r="J15830" s="31">
        <v>93</v>
      </c>
      <c r="K15830" s="33" t="s">
        <v>170</v>
      </c>
      <c r="L15830" s="31" t="str">
        <f t="shared" si="1529"/>
        <v>Sembilan Puluh Tiga</v>
      </c>
    </row>
    <row r="15831" spans="1:12">
      <c r="J15831" s="31">
        <v>94</v>
      </c>
      <c r="K15831" s="33" t="s">
        <v>171</v>
      </c>
      <c r="L15831" s="31" t="str">
        <f t="shared" si="1529"/>
        <v>Sembilan Puluh Empat</v>
      </c>
    </row>
    <row r="15832" spans="1:12">
      <c r="J15832" s="31">
        <v>95</v>
      </c>
      <c r="K15832" s="33" t="s">
        <v>172</v>
      </c>
      <c r="L15832" s="31" t="str">
        <f t="shared" si="1529"/>
        <v>Sembilan Puluh Lima</v>
      </c>
    </row>
    <row r="15833" spans="1:12">
      <c r="J15833" s="31">
        <v>96</v>
      </c>
      <c r="K15833" s="33" t="s">
        <v>173</v>
      </c>
      <c r="L15833" s="31" t="str">
        <f t="shared" si="1529"/>
        <v>Sembilan Puluh Enam</v>
      </c>
    </row>
    <row r="15834" spans="1:12">
      <c r="J15834" s="31">
        <v>97</v>
      </c>
      <c r="K15834" s="33" t="s">
        <v>174</v>
      </c>
      <c r="L15834" s="31" t="str">
        <f t="shared" si="1529"/>
        <v>Sembilan Puluh Tujuh</v>
      </c>
    </row>
    <row r="15835" spans="1:12">
      <c r="J15835" s="31">
        <v>98</v>
      </c>
      <c r="K15835" s="33" t="s">
        <v>175</v>
      </c>
      <c r="L15835" s="31" t="str">
        <f t="shared" si="1529"/>
        <v>Sembilan Puluh Delapan</v>
      </c>
    </row>
    <row r="15836" spans="1:12">
      <c r="J15836" s="31">
        <v>99</v>
      </c>
      <c r="K15836" s="33" t="s">
        <v>176</v>
      </c>
      <c r="L15836" s="31" t="str">
        <f t="shared" si="1529"/>
        <v>Sembilan Puluh Sembilan</v>
      </c>
    </row>
    <row r="15838" spans="1:12">
      <c r="A15838" s="30" t="e">
        <f>#REF!</f>
        <v>#REF!</v>
      </c>
      <c r="C15838" s="31" t="s">
        <v>388</v>
      </c>
    </row>
    <row r="15839" spans="1:12">
      <c r="A15839" s="32"/>
    </row>
    <row r="15840" spans="1:12">
      <c r="J15840" s="31">
        <v>0</v>
      </c>
      <c r="K15840" s="33" t="s">
        <v>48</v>
      </c>
      <c r="L15840" s="31" t="s">
        <v>49</v>
      </c>
    </row>
    <row r="15841" spans="1:12">
      <c r="A15841" s="34"/>
      <c r="J15841" s="31">
        <v>1</v>
      </c>
      <c r="K15841" s="33" t="s">
        <v>50</v>
      </c>
      <c r="L15841" s="31" t="s">
        <v>51</v>
      </c>
    </row>
    <row r="15842" spans="1:12">
      <c r="A15842" s="255" t="e">
        <f>TRIM(D15850&amp;E15850&amp;D15851&amp;E15851&amp;D15852&amp;E15852&amp;D15853&amp;E15853&amp;D15854&amp;E15854&amp;D15855&amp;E15855&amp;E15856&amp;D15856&amp;" Only")</f>
        <v>#REF!</v>
      </c>
      <c r="B15842" s="255"/>
      <c r="C15842" s="255"/>
      <c r="D15842" s="255"/>
      <c r="E15842" s="35"/>
      <c r="F15842" s="36"/>
      <c r="J15842" s="31">
        <v>2</v>
      </c>
      <c r="K15842" s="33" t="s">
        <v>52</v>
      </c>
      <c r="L15842" s="31" t="s">
        <v>53</v>
      </c>
    </row>
    <row r="15843" spans="1:12">
      <c r="A15843" s="119"/>
      <c r="B15843" s="119"/>
      <c r="C15843" s="119"/>
      <c r="D15843" s="119"/>
      <c r="E15843" s="35"/>
      <c r="F15843" s="36"/>
      <c r="J15843" s="31">
        <v>3</v>
      </c>
      <c r="K15843" s="33" t="s">
        <v>54</v>
      </c>
      <c r="L15843" s="31" t="s">
        <v>55</v>
      </c>
    </row>
    <row r="15844" spans="1:12">
      <c r="A15844" s="119"/>
      <c r="B15844" s="119"/>
      <c r="C15844" s="119"/>
      <c r="D15844" s="119"/>
      <c r="J15844" s="31">
        <v>4</v>
      </c>
      <c r="K15844" s="33" t="s">
        <v>56</v>
      </c>
      <c r="L15844" s="31" t="s">
        <v>57</v>
      </c>
    </row>
    <row r="15845" spans="1:12">
      <c r="A15845" s="255" t="e">
        <f>TRIM(D15860&amp;E15860&amp;D15861&amp;E15861&amp;D15862&amp;E15862&amp;D15863&amp;E15863&amp;D15864&amp;E15864&amp;D15865&amp;E15865&amp;D15866&amp;E15866&amp;" Rupiah")</f>
        <v>#REF!</v>
      </c>
      <c r="B15845" s="255"/>
      <c r="C15845" s="255"/>
      <c r="D15845" s="255"/>
      <c r="E15845" s="35"/>
      <c r="F15845" s="36"/>
      <c r="J15845" s="31">
        <v>5</v>
      </c>
      <c r="K15845" s="33" t="s">
        <v>58</v>
      </c>
      <c r="L15845" s="31" t="s">
        <v>59</v>
      </c>
    </row>
    <row r="15846" spans="1:12">
      <c r="A15846" s="35"/>
      <c r="B15846" s="35"/>
      <c r="C15846" s="35"/>
      <c r="D15846" s="35"/>
      <c r="E15846" s="35"/>
      <c r="F15846" s="36"/>
      <c r="J15846" s="31">
        <v>6</v>
      </c>
      <c r="K15846" s="33" t="s">
        <v>60</v>
      </c>
      <c r="L15846" s="31" t="s">
        <v>61</v>
      </c>
    </row>
    <row r="15847" spans="1:12">
      <c r="J15847" s="31">
        <v>7</v>
      </c>
      <c r="K15847" s="33" t="s">
        <v>62</v>
      </c>
      <c r="L15847" s="31" t="s">
        <v>63</v>
      </c>
    </row>
    <row r="15848" spans="1:12">
      <c r="J15848" s="31">
        <v>8</v>
      </c>
      <c r="K15848" s="33" t="s">
        <v>64</v>
      </c>
      <c r="L15848" s="31" t="s">
        <v>65</v>
      </c>
    </row>
    <row r="15849" spans="1:12">
      <c r="A15849" s="38" t="s">
        <v>66</v>
      </c>
      <c r="J15849" s="31">
        <v>9</v>
      </c>
      <c r="K15849" s="33" t="s">
        <v>67</v>
      </c>
      <c r="L15849" s="31" t="s">
        <v>68</v>
      </c>
    </row>
    <row r="15850" spans="1:12">
      <c r="A15850" s="31" t="s">
        <v>69</v>
      </c>
      <c r="B15850" s="39" t="e">
        <f>TRUNC(A15838/100000000)</f>
        <v>#REF!</v>
      </c>
      <c r="C15850" s="31" t="e">
        <f>B15850*100000000</f>
        <v>#REF!</v>
      </c>
      <c r="D15850" s="31" t="e">
        <f t="shared" ref="D15850:D15856" si="1530">IF(B15850&lt;1,"",VLOOKUP(B15850,$J$3:$K$102,2))</f>
        <v>#REF!</v>
      </c>
      <c r="E15850" s="31" t="e">
        <f>IF(B15850&lt;1,"",IF(B15850&gt;1," Hundreds "," Hundred "))</f>
        <v>#REF!</v>
      </c>
      <c r="J15850" s="31">
        <v>10</v>
      </c>
      <c r="K15850" s="33" t="s">
        <v>70</v>
      </c>
      <c r="L15850" s="31" t="s">
        <v>71</v>
      </c>
    </row>
    <row r="15851" spans="1:12">
      <c r="A15851" s="31" t="s">
        <v>72</v>
      </c>
      <c r="B15851" s="39" t="e">
        <f>TRUNC((A15838-C15850)/1000000)</f>
        <v>#REF!</v>
      </c>
      <c r="C15851" s="31" t="e">
        <f>B15851*1000000</f>
        <v>#REF!</v>
      </c>
      <c r="D15851" s="31" t="e">
        <f t="shared" si="1530"/>
        <v>#REF!</v>
      </c>
      <c r="E15851" s="31" t="e">
        <f>IF(B15850+B15851=0,"",IF(B15851=1," Million "," Millions "))</f>
        <v>#REF!</v>
      </c>
      <c r="J15851" s="31">
        <v>11</v>
      </c>
      <c r="K15851" s="33" t="s">
        <v>73</v>
      </c>
      <c r="L15851" s="31" t="s">
        <v>74</v>
      </c>
    </row>
    <row r="15852" spans="1:12">
      <c r="A15852" s="31" t="s">
        <v>75</v>
      </c>
      <c r="B15852" s="39" t="e">
        <f>TRUNC((A15838-SUM(C15850:C15851))/100000)</f>
        <v>#REF!</v>
      </c>
      <c r="C15852" s="31" t="e">
        <f>B15852*100000</f>
        <v>#REF!</v>
      </c>
      <c r="D15852" s="31" t="e">
        <f t="shared" si="1530"/>
        <v>#REF!</v>
      </c>
      <c r="E15852" s="31" t="e">
        <f>IF(B15852&lt;1,"",IF(B15852&gt;1," Hundreds "," Hundred "))</f>
        <v>#REF!</v>
      </c>
      <c r="J15852" s="31">
        <v>12</v>
      </c>
      <c r="K15852" s="33" t="s">
        <v>76</v>
      </c>
      <c r="L15852" s="31" t="str">
        <f t="shared" ref="L15852:L15859" si="1531">L15842&amp;" Belas"</f>
        <v>Dua Belas</v>
      </c>
    </row>
    <row r="15853" spans="1:12">
      <c r="A15853" s="33" t="s">
        <v>77</v>
      </c>
      <c r="B15853" s="40" t="e">
        <f>TRUNC((A15838-SUM(C15850:C15852))/1000)</f>
        <v>#REF!</v>
      </c>
      <c r="C15853" s="31" t="e">
        <f>B15853*1000</f>
        <v>#REF!</v>
      </c>
      <c r="D15853" s="31" t="e">
        <f t="shared" si="1530"/>
        <v>#REF!</v>
      </c>
      <c r="E15853" s="31" t="e">
        <f>IF(B15852+B15853=0,"",IF(B15853=1," Thousand "," Thousands "))</f>
        <v>#REF!</v>
      </c>
      <c r="J15853" s="31">
        <v>13</v>
      </c>
      <c r="K15853" s="33" t="s">
        <v>78</v>
      </c>
      <c r="L15853" s="31" t="str">
        <f t="shared" si="1531"/>
        <v>Tiga Belas</v>
      </c>
    </row>
    <row r="15854" spans="1:12">
      <c r="A15854" s="33" t="s">
        <v>79</v>
      </c>
      <c r="B15854" s="40" t="e">
        <f>TRUNC((A15838-SUM(C15850:C15853))/100)</f>
        <v>#REF!</v>
      </c>
      <c r="C15854" s="31" t="e">
        <f>B15854*100</f>
        <v>#REF!</v>
      </c>
      <c r="D15854" s="31" t="e">
        <f t="shared" si="1530"/>
        <v>#REF!</v>
      </c>
      <c r="E15854" s="31" t="e">
        <f>IF(B15854&lt;1,"",IF(B15854&gt;1," Hundreds "," Hundred "))</f>
        <v>#REF!</v>
      </c>
      <c r="J15854" s="31">
        <v>14</v>
      </c>
      <c r="K15854" s="33" t="s">
        <v>80</v>
      </c>
      <c r="L15854" s="31" t="str">
        <f t="shared" si="1531"/>
        <v>Empat Belas</v>
      </c>
    </row>
    <row r="15855" spans="1:12">
      <c r="A15855" s="33" t="s">
        <v>81</v>
      </c>
      <c r="B15855" s="41" t="e">
        <f>TRUNC((A15838-SUM(C15850:C15854)))</f>
        <v>#REF!</v>
      </c>
      <c r="C15855" s="42" t="e">
        <f>B15855</f>
        <v>#REF!</v>
      </c>
      <c r="D15855" s="31" t="e">
        <f t="shared" si="1530"/>
        <v>#REF!</v>
      </c>
      <c r="E15855" s="31" t="e">
        <f>IF(SUM(C15850:C15855)&lt;1,"",IF(B15856&lt;1,""," And "))</f>
        <v>#REF!</v>
      </c>
      <c r="J15855" s="31">
        <v>15</v>
      </c>
      <c r="K15855" s="33" t="s">
        <v>82</v>
      </c>
      <c r="L15855" s="31" t="str">
        <f t="shared" si="1531"/>
        <v>Lima Belas</v>
      </c>
    </row>
    <row r="15856" spans="1:12">
      <c r="A15856" s="33" t="s">
        <v>83</v>
      </c>
      <c r="B15856" s="40" t="e">
        <f>ROUND(A15838-SUM(C15850:C15855),2)*100</f>
        <v>#REF!</v>
      </c>
      <c r="D15856" s="43" t="e">
        <f t="shared" si="1530"/>
        <v>#REF!</v>
      </c>
      <c r="E15856" s="31" t="e">
        <f>IF(B15856&lt;1,"",IF(B15856=1," Cent "," Cents "))</f>
        <v>#REF!</v>
      </c>
      <c r="J15856" s="31">
        <v>16</v>
      </c>
      <c r="K15856" s="33" t="s">
        <v>84</v>
      </c>
      <c r="L15856" s="31" t="str">
        <f t="shared" si="1531"/>
        <v>Enam Belas</v>
      </c>
    </row>
    <row r="15857" spans="1:12">
      <c r="J15857" s="31">
        <v>17</v>
      </c>
      <c r="K15857" s="33" t="s">
        <v>85</v>
      </c>
      <c r="L15857" s="31" t="str">
        <f t="shared" si="1531"/>
        <v>Tujuh Belas</v>
      </c>
    </row>
    <row r="15858" spans="1:12">
      <c r="A15858" s="44"/>
      <c r="J15858" s="31">
        <v>18</v>
      </c>
      <c r="K15858" s="33" t="s">
        <v>86</v>
      </c>
      <c r="L15858" s="31" t="str">
        <f t="shared" si="1531"/>
        <v>Delapan Belas</v>
      </c>
    </row>
    <row r="15859" spans="1:12">
      <c r="A15859" s="38" t="s">
        <v>87</v>
      </c>
      <c r="J15859" s="31">
        <v>19</v>
      </c>
      <c r="K15859" s="33" t="s">
        <v>88</v>
      </c>
      <c r="L15859" s="31" t="str">
        <f t="shared" si="1531"/>
        <v>Sembilan Belas</v>
      </c>
    </row>
    <row r="15860" spans="1:12">
      <c r="A15860" s="31" t="s">
        <v>69</v>
      </c>
      <c r="B15860" s="39" t="e">
        <f>TRUNC(A15838/100000000)</f>
        <v>#REF!</v>
      </c>
      <c r="C15860" s="31" t="e">
        <f>B15860*100000000</f>
        <v>#REF!</v>
      </c>
      <c r="D15860" s="31" t="e">
        <f>IF(B15860&lt;1,"",IF(B15860=1,"",VLOOKUP(B15860,$J$3:$L$102,3)))</f>
        <v>#REF!</v>
      </c>
      <c r="E15860" s="31" t="e">
        <f>IF(B15860&lt;1,"",IF(B15860=1,"Seratus "," Ratus "))</f>
        <v>#REF!</v>
      </c>
      <c r="J15860" s="31">
        <v>20</v>
      </c>
      <c r="K15860" s="33" t="s">
        <v>89</v>
      </c>
      <c r="L15860" s="31" t="s">
        <v>90</v>
      </c>
    </row>
    <row r="15861" spans="1:12">
      <c r="A15861" s="31" t="s">
        <v>72</v>
      </c>
      <c r="B15861" s="39" t="e">
        <f>TRUNC((A15838-C15860)/1000000)</f>
        <v>#REF!</v>
      </c>
      <c r="C15861" s="31" t="e">
        <f>B15861*1000000</f>
        <v>#REF!</v>
      </c>
      <c r="D15861" s="31" t="e">
        <f>IF(B15861&lt;1,"",VLOOKUP(B15861,$J$3:$L$102,3))</f>
        <v>#REF!</v>
      </c>
      <c r="E15861" s="31" t="e">
        <f>IF(B15860+B15861=0,""," Juta ")</f>
        <v>#REF!</v>
      </c>
      <c r="J15861" s="31">
        <v>21</v>
      </c>
      <c r="K15861" s="33" t="s">
        <v>91</v>
      </c>
      <c r="L15861" s="31" t="str">
        <f t="shared" ref="L15861:L15869" si="1532">$L$23&amp;" "&amp;L15841</f>
        <v>Dua Puluh Satu</v>
      </c>
    </row>
    <row r="15862" spans="1:12">
      <c r="A15862" s="31" t="s">
        <v>75</v>
      </c>
      <c r="B15862" s="39" t="e">
        <f>TRUNC((A15838-SUM(C15860:C15861))/100000)</f>
        <v>#REF!</v>
      </c>
      <c r="C15862" s="31" t="e">
        <f>B15862*100000</f>
        <v>#REF!</v>
      </c>
      <c r="D15862" s="31" t="e">
        <f>IF(B15862&lt;1,"",IF(B15862=1,"",VLOOKUP(B15862,$J$3:$L$102,3)))</f>
        <v>#REF!</v>
      </c>
      <c r="E15862" s="31" t="e">
        <f>IF(B15862&lt;1,"",IF(B15862=1," Seratus "," Ratus "))</f>
        <v>#REF!</v>
      </c>
      <c r="J15862" s="31">
        <v>22</v>
      </c>
      <c r="K15862" s="33" t="s">
        <v>92</v>
      </c>
      <c r="L15862" s="31" t="str">
        <f t="shared" si="1532"/>
        <v>Dua Puluh Dua</v>
      </c>
    </row>
    <row r="15863" spans="1:12">
      <c r="A15863" s="33" t="s">
        <v>77</v>
      </c>
      <c r="B15863" s="40" t="e">
        <f>TRUNC((A15838-SUM(C15860:C15862))/1000)</f>
        <v>#REF!</v>
      </c>
      <c r="C15863" s="31" t="e">
        <f>B15863*1000</f>
        <v>#REF!</v>
      </c>
      <c r="D15863" s="31" t="e">
        <f>IF(B15863&lt;1,"",IF(B15863=1,"",VLOOKUP(B15863,$J$3:$L$102,3)))</f>
        <v>#REF!</v>
      </c>
      <c r="E15863" s="31" t="e">
        <f>IF(B15862+B15863&lt;1,"",IF(B15863=1," Seribu "," Ribu "))</f>
        <v>#REF!</v>
      </c>
      <c r="J15863" s="31">
        <v>23</v>
      </c>
      <c r="K15863" s="33" t="s">
        <v>93</v>
      </c>
      <c r="L15863" s="31" t="str">
        <f t="shared" si="1532"/>
        <v>Dua Puluh Tiga</v>
      </c>
    </row>
    <row r="15864" spans="1:12">
      <c r="A15864" s="33" t="s">
        <v>79</v>
      </c>
      <c r="B15864" s="40" t="e">
        <f>TRUNC((A15838-SUM(C15860:C15863))/100)</f>
        <v>#REF!</v>
      </c>
      <c r="C15864" s="31" t="e">
        <f>B15864*100</f>
        <v>#REF!</v>
      </c>
      <c r="D15864" s="31" t="e">
        <f>IF(B15864&lt;1,"",IF(B15864=1,"",VLOOKUP(B15864,$J$3:$L$102,3)))</f>
        <v>#REF!</v>
      </c>
      <c r="E15864" s="31" t="e">
        <f>IF(B15864&lt;1,"",IF(B15864=1," Seratus "," Ratus "))</f>
        <v>#REF!</v>
      </c>
      <c r="J15864" s="31">
        <v>24</v>
      </c>
      <c r="K15864" s="33" t="s">
        <v>94</v>
      </c>
      <c r="L15864" s="31" t="str">
        <f t="shared" si="1532"/>
        <v>Dua Puluh Empat</v>
      </c>
    </row>
    <row r="15865" spans="1:12">
      <c r="A15865" s="33" t="s">
        <v>81</v>
      </c>
      <c r="B15865" s="41" t="e">
        <f>TRUNC((A15838-SUM(C15860:C15864)))</f>
        <v>#REF!</v>
      </c>
      <c r="C15865" s="42" t="e">
        <f>B15865</f>
        <v>#REF!</v>
      </c>
      <c r="D15865" s="31" t="e">
        <f>IF(B15865&lt;1,"",VLOOKUP(B15865,$J$3:$L$102,3))</f>
        <v>#REF!</v>
      </c>
      <c r="E15865" s="31" t="e">
        <f>IF(SUM(C15860:C15865)&lt;1,"",IF(B15866&lt;1,""," Dan "))</f>
        <v>#REF!</v>
      </c>
      <c r="J15865" s="31">
        <v>25</v>
      </c>
      <c r="K15865" s="33" t="s">
        <v>95</v>
      </c>
      <c r="L15865" s="31" t="str">
        <f t="shared" si="1532"/>
        <v>Dua Puluh Lima</v>
      </c>
    </row>
    <row r="15866" spans="1:12">
      <c r="A15866" s="33" t="s">
        <v>83</v>
      </c>
      <c r="B15866" s="40" t="e">
        <f>ROUND(A15838-SUM(C15860:C15865),2)*100</f>
        <v>#REF!</v>
      </c>
      <c r="D15866" s="31" t="e">
        <f>IF(B15866&lt;1,"",VLOOKUP(B15866,$J$3:$L$102,3))</f>
        <v>#REF!</v>
      </c>
      <c r="E15866" s="31" t="e">
        <f>IF(B15866&lt;1,""," Sen ")</f>
        <v>#REF!</v>
      </c>
      <c r="J15866" s="31">
        <v>26</v>
      </c>
      <c r="K15866" s="33" t="s">
        <v>96</v>
      </c>
      <c r="L15866" s="31" t="str">
        <f t="shared" si="1532"/>
        <v>Dua Puluh Enam</v>
      </c>
    </row>
    <row r="15867" spans="1:12">
      <c r="J15867" s="31">
        <v>27</v>
      </c>
      <c r="K15867" s="33" t="s">
        <v>97</v>
      </c>
      <c r="L15867" s="31" t="str">
        <f t="shared" si="1532"/>
        <v>Dua Puluh Tujuh</v>
      </c>
    </row>
    <row r="15868" spans="1:12">
      <c r="J15868" s="31">
        <v>28</v>
      </c>
      <c r="K15868" s="33" t="s">
        <v>98</v>
      </c>
      <c r="L15868" s="31" t="str">
        <f t="shared" si="1532"/>
        <v>Dua Puluh Delapan</v>
      </c>
    </row>
    <row r="15869" spans="1:12">
      <c r="J15869" s="31">
        <v>29</v>
      </c>
      <c r="K15869" s="33" t="s">
        <v>99</v>
      </c>
      <c r="L15869" s="31" t="str">
        <f t="shared" si="1532"/>
        <v>Dua Puluh Sembilan</v>
      </c>
    </row>
    <row r="15870" spans="1:12">
      <c r="J15870" s="31">
        <v>30</v>
      </c>
      <c r="K15870" s="33" t="s">
        <v>100</v>
      </c>
      <c r="L15870" s="31" t="s">
        <v>101</v>
      </c>
    </row>
    <row r="15871" spans="1:12">
      <c r="J15871" s="31">
        <v>31</v>
      </c>
      <c r="K15871" s="33" t="s">
        <v>102</v>
      </c>
      <c r="L15871" s="31" t="str">
        <f t="shared" ref="L15871:L15879" si="1533">$L$33&amp;" "&amp;L15841</f>
        <v>Tiga Puluh Satu</v>
      </c>
    </row>
    <row r="15872" spans="1:12">
      <c r="J15872" s="31">
        <v>32</v>
      </c>
      <c r="K15872" s="33" t="s">
        <v>103</v>
      </c>
      <c r="L15872" s="31" t="str">
        <f t="shared" si="1533"/>
        <v>Tiga Puluh Dua</v>
      </c>
    </row>
    <row r="15873" spans="1:12">
      <c r="J15873" s="31">
        <v>33</v>
      </c>
      <c r="K15873" s="33" t="s">
        <v>104</v>
      </c>
      <c r="L15873" s="31" t="str">
        <f t="shared" si="1533"/>
        <v>Tiga Puluh Tiga</v>
      </c>
    </row>
    <row r="15874" spans="1:12">
      <c r="J15874" s="31">
        <v>34</v>
      </c>
      <c r="K15874" s="33" t="s">
        <v>105</v>
      </c>
      <c r="L15874" s="31" t="str">
        <f t="shared" si="1533"/>
        <v>Tiga Puluh Empat</v>
      </c>
    </row>
    <row r="15875" spans="1:12">
      <c r="J15875" s="31">
        <v>35</v>
      </c>
      <c r="K15875" s="33" t="s">
        <v>106</v>
      </c>
      <c r="L15875" s="31" t="str">
        <f t="shared" si="1533"/>
        <v>Tiga Puluh Lima</v>
      </c>
    </row>
    <row r="15876" spans="1:12">
      <c r="J15876" s="31">
        <v>36</v>
      </c>
      <c r="K15876" s="33" t="s">
        <v>107</v>
      </c>
      <c r="L15876" s="31" t="str">
        <f t="shared" si="1533"/>
        <v>Tiga Puluh Enam</v>
      </c>
    </row>
    <row r="15877" spans="1:12">
      <c r="J15877" s="31">
        <v>37</v>
      </c>
      <c r="K15877" s="33" t="s">
        <v>108</v>
      </c>
      <c r="L15877" s="31" t="str">
        <f t="shared" si="1533"/>
        <v>Tiga Puluh Tujuh</v>
      </c>
    </row>
    <row r="15878" spans="1:12">
      <c r="J15878" s="31">
        <v>38</v>
      </c>
      <c r="K15878" s="33" t="s">
        <v>109</v>
      </c>
      <c r="L15878" s="31" t="str">
        <f t="shared" si="1533"/>
        <v>Tiga Puluh Delapan</v>
      </c>
    </row>
    <row r="15879" spans="1:12">
      <c r="J15879" s="31">
        <v>39</v>
      </c>
      <c r="K15879" s="33" t="s">
        <v>110</v>
      </c>
      <c r="L15879" s="31" t="str">
        <f t="shared" si="1533"/>
        <v>Tiga Puluh Sembilan</v>
      </c>
    </row>
    <row r="15880" spans="1:12">
      <c r="B15880" s="35"/>
      <c r="C15880" s="35"/>
      <c r="D15880" s="35"/>
      <c r="J15880" s="31">
        <v>40</v>
      </c>
      <c r="K15880" s="33" t="s">
        <v>111</v>
      </c>
      <c r="L15880" s="31" t="s">
        <v>112</v>
      </c>
    </row>
    <row r="15881" spans="1:12">
      <c r="A15881" s="35"/>
      <c r="B15881" s="35"/>
      <c r="C15881" s="35"/>
      <c r="D15881" s="35"/>
      <c r="J15881" s="31">
        <v>41</v>
      </c>
      <c r="K15881" s="33" t="s">
        <v>113</v>
      </c>
      <c r="L15881" s="31" t="str">
        <f t="shared" ref="L15881:L15889" si="1534">$L$43&amp;" "&amp;L15841</f>
        <v>Empat Puluh Satu</v>
      </c>
    </row>
    <row r="15882" spans="1:12">
      <c r="J15882" s="31">
        <v>42</v>
      </c>
      <c r="K15882" s="33" t="s">
        <v>114</v>
      </c>
      <c r="L15882" s="31" t="str">
        <f t="shared" si="1534"/>
        <v>Empat Puluh Dua</v>
      </c>
    </row>
    <row r="15883" spans="1:12">
      <c r="A15883" s="38"/>
      <c r="J15883" s="31">
        <v>43</v>
      </c>
      <c r="K15883" s="33" t="s">
        <v>115</v>
      </c>
      <c r="L15883" s="31" t="str">
        <f t="shared" si="1534"/>
        <v>Empat Puluh Tiga</v>
      </c>
    </row>
    <row r="15884" spans="1:12">
      <c r="J15884" s="31">
        <v>44</v>
      </c>
      <c r="K15884" s="33" t="s">
        <v>116</v>
      </c>
      <c r="L15884" s="31" t="str">
        <f t="shared" si="1534"/>
        <v>Empat Puluh Empat</v>
      </c>
    </row>
    <row r="15885" spans="1:12">
      <c r="J15885" s="31">
        <v>45</v>
      </c>
      <c r="K15885" s="33" t="s">
        <v>117</v>
      </c>
      <c r="L15885" s="31" t="str">
        <f t="shared" si="1534"/>
        <v>Empat Puluh Lima</v>
      </c>
    </row>
    <row r="15886" spans="1:12">
      <c r="J15886" s="31">
        <v>46</v>
      </c>
      <c r="K15886" s="33" t="s">
        <v>118</v>
      </c>
      <c r="L15886" s="31" t="str">
        <f t="shared" si="1534"/>
        <v>Empat Puluh Enam</v>
      </c>
    </row>
    <row r="15887" spans="1:12">
      <c r="J15887" s="31">
        <v>47</v>
      </c>
      <c r="K15887" s="33" t="s">
        <v>119</v>
      </c>
      <c r="L15887" s="31" t="str">
        <f t="shared" si="1534"/>
        <v>Empat Puluh Tujuh</v>
      </c>
    </row>
    <row r="15888" spans="1:12">
      <c r="J15888" s="31">
        <v>48</v>
      </c>
      <c r="K15888" s="33" t="s">
        <v>120</v>
      </c>
      <c r="L15888" s="31" t="str">
        <f t="shared" si="1534"/>
        <v>Empat Puluh Delapan</v>
      </c>
    </row>
    <row r="15889" spans="10:12">
      <c r="J15889" s="31">
        <v>49</v>
      </c>
      <c r="K15889" s="33" t="s">
        <v>121</v>
      </c>
      <c r="L15889" s="31" t="str">
        <f t="shared" si="1534"/>
        <v>Empat Puluh Sembilan</v>
      </c>
    </row>
    <row r="15890" spans="10:12">
      <c r="J15890" s="31">
        <v>50</v>
      </c>
      <c r="K15890" s="33" t="s">
        <v>122</v>
      </c>
      <c r="L15890" s="31" t="s">
        <v>123</v>
      </c>
    </row>
    <row r="15891" spans="10:12">
      <c r="J15891" s="31">
        <v>51</v>
      </c>
      <c r="K15891" s="33" t="s">
        <v>124</v>
      </c>
      <c r="L15891" s="31" t="str">
        <f t="shared" ref="L15891:L15899" si="1535">$L$53&amp;" "&amp;L15841</f>
        <v>Lima Puluh Satu</v>
      </c>
    </row>
    <row r="15892" spans="10:12">
      <c r="J15892" s="31">
        <v>52</v>
      </c>
      <c r="K15892" s="33" t="s">
        <v>125</v>
      </c>
      <c r="L15892" s="31" t="str">
        <f t="shared" si="1535"/>
        <v>Lima Puluh Dua</v>
      </c>
    </row>
    <row r="15893" spans="10:12">
      <c r="J15893" s="31">
        <v>53</v>
      </c>
      <c r="K15893" s="33" t="s">
        <v>126</v>
      </c>
      <c r="L15893" s="31" t="str">
        <f t="shared" si="1535"/>
        <v>Lima Puluh Tiga</v>
      </c>
    </row>
    <row r="15894" spans="10:12">
      <c r="J15894" s="31">
        <v>54</v>
      </c>
      <c r="K15894" s="33" t="s">
        <v>127</v>
      </c>
      <c r="L15894" s="31" t="str">
        <f t="shared" si="1535"/>
        <v>Lima Puluh Empat</v>
      </c>
    </row>
    <row r="15895" spans="10:12">
      <c r="J15895" s="31">
        <v>55</v>
      </c>
      <c r="K15895" s="33" t="s">
        <v>128</v>
      </c>
      <c r="L15895" s="31" t="str">
        <f t="shared" si="1535"/>
        <v>Lima Puluh Lima</v>
      </c>
    </row>
    <row r="15896" spans="10:12">
      <c r="J15896" s="31">
        <v>56</v>
      </c>
      <c r="K15896" s="33" t="s">
        <v>129</v>
      </c>
      <c r="L15896" s="31" t="str">
        <f t="shared" si="1535"/>
        <v>Lima Puluh Enam</v>
      </c>
    </row>
    <row r="15897" spans="10:12">
      <c r="J15897" s="31">
        <v>57</v>
      </c>
      <c r="K15897" s="33" t="s">
        <v>130</v>
      </c>
      <c r="L15897" s="31" t="str">
        <f t="shared" si="1535"/>
        <v>Lima Puluh Tujuh</v>
      </c>
    </row>
    <row r="15898" spans="10:12">
      <c r="J15898" s="31">
        <v>58</v>
      </c>
      <c r="K15898" s="33" t="s">
        <v>131</v>
      </c>
      <c r="L15898" s="31" t="str">
        <f t="shared" si="1535"/>
        <v>Lima Puluh Delapan</v>
      </c>
    </row>
    <row r="15899" spans="10:12">
      <c r="J15899" s="31">
        <v>59</v>
      </c>
      <c r="K15899" s="33" t="s">
        <v>132</v>
      </c>
      <c r="L15899" s="31" t="str">
        <f t="shared" si="1535"/>
        <v>Lima Puluh Sembilan</v>
      </c>
    </row>
    <row r="15900" spans="10:12">
      <c r="J15900" s="31">
        <v>60</v>
      </c>
      <c r="K15900" s="33" t="s">
        <v>133</v>
      </c>
      <c r="L15900" s="31" t="s">
        <v>134</v>
      </c>
    </row>
    <row r="15901" spans="10:12">
      <c r="J15901" s="31">
        <v>61</v>
      </c>
      <c r="K15901" s="33" t="s">
        <v>135</v>
      </c>
      <c r="L15901" s="31" t="str">
        <f t="shared" ref="L15901:L15909" si="1536">$L$63&amp;" "&amp;L15841</f>
        <v>Enam Puluh Satu</v>
      </c>
    </row>
    <row r="15902" spans="10:12">
      <c r="J15902" s="31">
        <v>62</v>
      </c>
      <c r="K15902" s="33" t="s">
        <v>136</v>
      </c>
      <c r="L15902" s="31" t="str">
        <f t="shared" si="1536"/>
        <v>Enam Puluh Dua</v>
      </c>
    </row>
    <row r="15903" spans="10:12">
      <c r="J15903" s="31">
        <v>63</v>
      </c>
      <c r="K15903" s="33" t="s">
        <v>137</v>
      </c>
      <c r="L15903" s="31" t="str">
        <f t="shared" si="1536"/>
        <v>Enam Puluh Tiga</v>
      </c>
    </row>
    <row r="15904" spans="10:12">
      <c r="J15904" s="31">
        <v>64</v>
      </c>
      <c r="K15904" s="33" t="s">
        <v>138</v>
      </c>
      <c r="L15904" s="31" t="str">
        <f t="shared" si="1536"/>
        <v>Enam Puluh Empat</v>
      </c>
    </row>
    <row r="15905" spans="10:12">
      <c r="J15905" s="31">
        <v>65</v>
      </c>
      <c r="K15905" s="33" t="s">
        <v>139</v>
      </c>
      <c r="L15905" s="31" t="str">
        <f t="shared" si="1536"/>
        <v>Enam Puluh Lima</v>
      </c>
    </row>
    <row r="15906" spans="10:12">
      <c r="J15906" s="31">
        <v>66</v>
      </c>
      <c r="K15906" s="33" t="s">
        <v>140</v>
      </c>
      <c r="L15906" s="31" t="str">
        <f t="shared" si="1536"/>
        <v>Enam Puluh Enam</v>
      </c>
    </row>
    <row r="15907" spans="10:12">
      <c r="J15907" s="31">
        <v>67</v>
      </c>
      <c r="K15907" s="33" t="s">
        <v>141</v>
      </c>
      <c r="L15907" s="31" t="str">
        <f t="shared" si="1536"/>
        <v>Enam Puluh Tujuh</v>
      </c>
    </row>
    <row r="15908" spans="10:12">
      <c r="J15908" s="31">
        <v>68</v>
      </c>
      <c r="K15908" s="33" t="s">
        <v>142</v>
      </c>
      <c r="L15908" s="31" t="str">
        <f t="shared" si="1536"/>
        <v>Enam Puluh Delapan</v>
      </c>
    </row>
    <row r="15909" spans="10:12">
      <c r="J15909" s="31">
        <v>69</v>
      </c>
      <c r="K15909" s="33" t="s">
        <v>143</v>
      </c>
      <c r="L15909" s="31" t="str">
        <f t="shared" si="1536"/>
        <v>Enam Puluh Sembilan</v>
      </c>
    </row>
    <row r="15910" spans="10:12">
      <c r="J15910" s="31">
        <v>70</v>
      </c>
      <c r="K15910" s="33" t="s">
        <v>144</v>
      </c>
      <c r="L15910" s="31" t="s">
        <v>145</v>
      </c>
    </row>
    <row r="15911" spans="10:12">
      <c r="J15911" s="31">
        <v>71</v>
      </c>
      <c r="K15911" s="33" t="s">
        <v>146</v>
      </c>
      <c r="L15911" s="31" t="str">
        <f t="shared" ref="L15911:L15919" si="1537">$L$73&amp;" "&amp;L15841</f>
        <v>Tujuh Puluh Satu</v>
      </c>
    </row>
    <row r="15912" spans="10:12">
      <c r="J15912" s="31">
        <v>72</v>
      </c>
      <c r="K15912" s="33" t="s">
        <v>147</v>
      </c>
      <c r="L15912" s="31" t="str">
        <f t="shared" si="1537"/>
        <v>Tujuh Puluh Dua</v>
      </c>
    </row>
    <row r="15913" spans="10:12">
      <c r="J15913" s="31">
        <v>73</v>
      </c>
      <c r="K15913" s="33" t="s">
        <v>148</v>
      </c>
      <c r="L15913" s="31" t="str">
        <f t="shared" si="1537"/>
        <v>Tujuh Puluh Tiga</v>
      </c>
    </row>
    <row r="15914" spans="10:12">
      <c r="J15914" s="31">
        <v>74</v>
      </c>
      <c r="K15914" s="33" t="s">
        <v>149</v>
      </c>
      <c r="L15914" s="31" t="str">
        <f t="shared" si="1537"/>
        <v>Tujuh Puluh Empat</v>
      </c>
    </row>
    <row r="15915" spans="10:12">
      <c r="J15915" s="31">
        <v>75</v>
      </c>
      <c r="K15915" s="33" t="s">
        <v>150</v>
      </c>
      <c r="L15915" s="31" t="str">
        <f t="shared" si="1537"/>
        <v>Tujuh Puluh Lima</v>
      </c>
    </row>
    <row r="15916" spans="10:12">
      <c r="J15916" s="31">
        <v>76</v>
      </c>
      <c r="K15916" s="33" t="s">
        <v>151</v>
      </c>
      <c r="L15916" s="31" t="str">
        <f t="shared" si="1537"/>
        <v>Tujuh Puluh Enam</v>
      </c>
    </row>
    <row r="15917" spans="10:12">
      <c r="J15917" s="31">
        <v>77</v>
      </c>
      <c r="K15917" s="33" t="s">
        <v>152</v>
      </c>
      <c r="L15917" s="31" t="str">
        <f t="shared" si="1537"/>
        <v>Tujuh Puluh Tujuh</v>
      </c>
    </row>
    <row r="15918" spans="10:12">
      <c r="J15918" s="31">
        <v>78</v>
      </c>
      <c r="K15918" s="33" t="s">
        <v>153</v>
      </c>
      <c r="L15918" s="31" t="str">
        <f t="shared" si="1537"/>
        <v>Tujuh Puluh Delapan</v>
      </c>
    </row>
    <row r="15919" spans="10:12">
      <c r="J15919" s="31">
        <v>79</v>
      </c>
      <c r="K15919" s="33" t="s">
        <v>154</v>
      </c>
      <c r="L15919" s="31" t="str">
        <f t="shared" si="1537"/>
        <v>Tujuh Puluh Sembilan</v>
      </c>
    </row>
    <row r="15920" spans="10:12">
      <c r="J15920" s="31">
        <v>80</v>
      </c>
      <c r="K15920" s="33" t="s">
        <v>155</v>
      </c>
      <c r="L15920" s="31" t="s">
        <v>156</v>
      </c>
    </row>
    <row r="15921" spans="10:12">
      <c r="J15921" s="31">
        <v>81</v>
      </c>
      <c r="K15921" s="33" t="s">
        <v>157</v>
      </c>
      <c r="L15921" s="31" t="str">
        <f t="shared" ref="L15921:L15929" si="1538">$L$83&amp;" "&amp;L15841</f>
        <v>Delapan Puluh Satu</v>
      </c>
    </row>
    <row r="15922" spans="10:12">
      <c r="J15922" s="31">
        <v>82</v>
      </c>
      <c r="K15922" s="33" t="s">
        <v>158</v>
      </c>
      <c r="L15922" s="31" t="str">
        <f t="shared" si="1538"/>
        <v>Delapan Puluh Dua</v>
      </c>
    </row>
    <row r="15923" spans="10:12">
      <c r="J15923" s="31">
        <v>83</v>
      </c>
      <c r="K15923" s="33" t="s">
        <v>159</v>
      </c>
      <c r="L15923" s="31" t="str">
        <f t="shared" si="1538"/>
        <v>Delapan Puluh Tiga</v>
      </c>
    </row>
    <row r="15924" spans="10:12">
      <c r="J15924" s="31">
        <v>84</v>
      </c>
      <c r="K15924" s="33" t="s">
        <v>160</v>
      </c>
      <c r="L15924" s="31" t="str">
        <f t="shared" si="1538"/>
        <v>Delapan Puluh Empat</v>
      </c>
    </row>
    <row r="15925" spans="10:12">
      <c r="J15925" s="31">
        <v>85</v>
      </c>
      <c r="K15925" s="33" t="s">
        <v>161</v>
      </c>
      <c r="L15925" s="31" t="str">
        <f t="shared" si="1538"/>
        <v>Delapan Puluh Lima</v>
      </c>
    </row>
    <row r="15926" spans="10:12">
      <c r="J15926" s="31">
        <v>86</v>
      </c>
      <c r="K15926" s="33" t="s">
        <v>162</v>
      </c>
      <c r="L15926" s="31" t="str">
        <f t="shared" si="1538"/>
        <v>Delapan Puluh Enam</v>
      </c>
    </row>
    <row r="15927" spans="10:12">
      <c r="J15927" s="31">
        <v>87</v>
      </c>
      <c r="K15927" s="33" t="s">
        <v>163</v>
      </c>
      <c r="L15927" s="31" t="str">
        <f t="shared" si="1538"/>
        <v>Delapan Puluh Tujuh</v>
      </c>
    </row>
    <row r="15928" spans="10:12">
      <c r="J15928" s="31">
        <v>88</v>
      </c>
      <c r="K15928" s="33" t="s">
        <v>164</v>
      </c>
      <c r="L15928" s="31" t="str">
        <f t="shared" si="1538"/>
        <v>Delapan Puluh Delapan</v>
      </c>
    </row>
    <row r="15929" spans="10:12">
      <c r="J15929" s="31">
        <v>89</v>
      </c>
      <c r="K15929" s="33" t="s">
        <v>165</v>
      </c>
      <c r="L15929" s="31" t="str">
        <f t="shared" si="1538"/>
        <v>Delapan Puluh Sembilan</v>
      </c>
    </row>
    <row r="15930" spans="10:12">
      <c r="J15930" s="31">
        <v>90</v>
      </c>
      <c r="K15930" s="33" t="s">
        <v>166</v>
      </c>
      <c r="L15930" s="31" t="s">
        <v>167</v>
      </c>
    </row>
    <row r="15931" spans="10:12">
      <c r="J15931" s="31">
        <v>91</v>
      </c>
      <c r="K15931" s="33" t="s">
        <v>168</v>
      </c>
      <c r="L15931" s="31" t="str">
        <f t="shared" ref="L15931:L15939" si="1539">$L$93&amp;" "&amp;L15841</f>
        <v>Sembilan Puluh Satu</v>
      </c>
    </row>
    <row r="15932" spans="10:12">
      <c r="J15932" s="31">
        <v>92</v>
      </c>
      <c r="K15932" s="33" t="s">
        <v>169</v>
      </c>
      <c r="L15932" s="31" t="str">
        <f t="shared" si="1539"/>
        <v>Sembilan Puluh Dua</v>
      </c>
    </row>
    <row r="15933" spans="10:12">
      <c r="J15933" s="31">
        <v>93</v>
      </c>
      <c r="K15933" s="33" t="s">
        <v>170</v>
      </c>
      <c r="L15933" s="31" t="str">
        <f t="shared" si="1539"/>
        <v>Sembilan Puluh Tiga</v>
      </c>
    </row>
    <row r="15934" spans="10:12">
      <c r="J15934" s="31">
        <v>94</v>
      </c>
      <c r="K15934" s="33" t="s">
        <v>171</v>
      </c>
      <c r="L15934" s="31" t="str">
        <f t="shared" si="1539"/>
        <v>Sembilan Puluh Empat</v>
      </c>
    </row>
    <row r="15935" spans="10:12">
      <c r="J15935" s="31">
        <v>95</v>
      </c>
      <c r="K15935" s="33" t="s">
        <v>172</v>
      </c>
      <c r="L15935" s="31" t="str">
        <f t="shared" si="1539"/>
        <v>Sembilan Puluh Lima</v>
      </c>
    </row>
    <row r="15936" spans="10:12">
      <c r="J15936" s="31">
        <v>96</v>
      </c>
      <c r="K15936" s="33" t="s">
        <v>173</v>
      </c>
      <c r="L15936" s="31" t="str">
        <f t="shared" si="1539"/>
        <v>Sembilan Puluh Enam</v>
      </c>
    </row>
    <row r="15937" spans="1:12">
      <c r="J15937" s="31">
        <v>97</v>
      </c>
      <c r="K15937" s="33" t="s">
        <v>174</v>
      </c>
      <c r="L15937" s="31" t="str">
        <f t="shared" si="1539"/>
        <v>Sembilan Puluh Tujuh</v>
      </c>
    </row>
    <row r="15938" spans="1:12">
      <c r="J15938" s="31">
        <v>98</v>
      </c>
      <c r="K15938" s="33" t="s">
        <v>175</v>
      </c>
      <c r="L15938" s="31" t="str">
        <f t="shared" si="1539"/>
        <v>Sembilan Puluh Delapan</v>
      </c>
    </row>
    <row r="15939" spans="1:12">
      <c r="J15939" s="31">
        <v>99</v>
      </c>
      <c r="K15939" s="33" t="s">
        <v>176</v>
      </c>
      <c r="L15939" s="31" t="str">
        <f t="shared" si="1539"/>
        <v>Sembilan Puluh Sembilan</v>
      </c>
    </row>
    <row r="15941" spans="1:12">
      <c r="A15941" s="30" t="e">
        <f>#REF!</f>
        <v>#REF!</v>
      </c>
      <c r="C15941" s="31" t="s">
        <v>389</v>
      </c>
    </row>
    <row r="15942" spans="1:12">
      <c r="A15942" s="32"/>
    </row>
    <row r="15943" spans="1:12">
      <c r="J15943" s="31">
        <v>0</v>
      </c>
      <c r="K15943" s="33" t="s">
        <v>48</v>
      </c>
      <c r="L15943" s="31" t="s">
        <v>49</v>
      </c>
    </row>
    <row r="15944" spans="1:12">
      <c r="A15944" s="34"/>
      <c r="J15944" s="31">
        <v>1</v>
      </c>
      <c r="K15944" s="33" t="s">
        <v>50</v>
      </c>
      <c r="L15944" s="31" t="s">
        <v>51</v>
      </c>
    </row>
    <row r="15945" spans="1:12">
      <c r="A15945" s="255" t="e">
        <f>TRIM(D15953&amp;E15953&amp;D15954&amp;E15954&amp;D15955&amp;E15955&amp;D15956&amp;E15956&amp;D15957&amp;E15957&amp;D15958&amp;E15958&amp;E15959&amp;D15959&amp;" Only")</f>
        <v>#REF!</v>
      </c>
      <c r="B15945" s="255"/>
      <c r="C15945" s="255"/>
      <c r="D15945" s="255"/>
      <c r="E15945" s="35"/>
      <c r="F15945" s="36"/>
      <c r="J15945" s="31">
        <v>2</v>
      </c>
      <c r="K15945" s="33" t="s">
        <v>52</v>
      </c>
      <c r="L15945" s="31" t="s">
        <v>53</v>
      </c>
    </row>
    <row r="15946" spans="1:12">
      <c r="A15946" s="119"/>
      <c r="B15946" s="119"/>
      <c r="C15946" s="119"/>
      <c r="D15946" s="119"/>
      <c r="E15946" s="35"/>
      <c r="F15946" s="36"/>
      <c r="J15946" s="31">
        <v>3</v>
      </c>
      <c r="K15946" s="33" t="s">
        <v>54</v>
      </c>
      <c r="L15946" s="31" t="s">
        <v>55</v>
      </c>
    </row>
    <row r="15947" spans="1:12">
      <c r="A15947" s="119"/>
      <c r="B15947" s="119"/>
      <c r="C15947" s="119"/>
      <c r="D15947" s="119"/>
      <c r="J15947" s="31">
        <v>4</v>
      </c>
      <c r="K15947" s="33" t="s">
        <v>56</v>
      </c>
      <c r="L15947" s="31" t="s">
        <v>57</v>
      </c>
    </row>
    <row r="15948" spans="1:12">
      <c r="A15948" s="255" t="e">
        <f>TRIM(D15963&amp;E15963&amp;D15964&amp;E15964&amp;D15965&amp;E15965&amp;D15966&amp;E15966&amp;D15967&amp;E15967&amp;D15968&amp;E15968&amp;D15969&amp;E15969&amp;" Rupiah")</f>
        <v>#REF!</v>
      </c>
      <c r="B15948" s="255"/>
      <c r="C15948" s="255"/>
      <c r="D15948" s="255"/>
      <c r="E15948" s="35"/>
      <c r="F15948" s="36"/>
      <c r="J15948" s="31">
        <v>5</v>
      </c>
      <c r="K15948" s="33" t="s">
        <v>58</v>
      </c>
      <c r="L15948" s="31" t="s">
        <v>59</v>
      </c>
    </row>
    <row r="15949" spans="1:12">
      <c r="A15949" s="35"/>
      <c r="B15949" s="35"/>
      <c r="C15949" s="35"/>
      <c r="D15949" s="35"/>
      <c r="E15949" s="35"/>
      <c r="F15949" s="36"/>
      <c r="J15949" s="31">
        <v>6</v>
      </c>
      <c r="K15949" s="33" t="s">
        <v>60</v>
      </c>
      <c r="L15949" s="31" t="s">
        <v>61</v>
      </c>
    </row>
    <row r="15950" spans="1:12">
      <c r="J15950" s="31">
        <v>7</v>
      </c>
      <c r="K15950" s="33" t="s">
        <v>62</v>
      </c>
      <c r="L15950" s="31" t="s">
        <v>63</v>
      </c>
    </row>
    <row r="15951" spans="1:12">
      <c r="J15951" s="31">
        <v>8</v>
      </c>
      <c r="K15951" s="33" t="s">
        <v>64</v>
      </c>
      <c r="L15951" s="31" t="s">
        <v>65</v>
      </c>
    </row>
    <row r="15952" spans="1:12">
      <c r="A15952" s="38" t="s">
        <v>66</v>
      </c>
      <c r="J15952" s="31">
        <v>9</v>
      </c>
      <c r="K15952" s="33" t="s">
        <v>67</v>
      </c>
      <c r="L15952" s="31" t="s">
        <v>68</v>
      </c>
    </row>
    <row r="15953" spans="1:12">
      <c r="A15953" s="31" t="s">
        <v>69</v>
      </c>
      <c r="B15953" s="39" t="e">
        <f>TRUNC(A15941/100000000)</f>
        <v>#REF!</v>
      </c>
      <c r="C15953" s="31" t="e">
        <f>B15953*100000000</f>
        <v>#REF!</v>
      </c>
      <c r="D15953" s="31" t="e">
        <f t="shared" ref="D15953:D15959" si="1540">IF(B15953&lt;1,"",VLOOKUP(B15953,$J$3:$K$102,2))</f>
        <v>#REF!</v>
      </c>
      <c r="E15953" s="31" t="e">
        <f>IF(B15953&lt;1,"",IF(B15953&gt;1," Hundreds "," Hundred "))</f>
        <v>#REF!</v>
      </c>
      <c r="J15953" s="31">
        <v>10</v>
      </c>
      <c r="K15953" s="33" t="s">
        <v>70</v>
      </c>
      <c r="L15953" s="31" t="s">
        <v>71</v>
      </c>
    </row>
    <row r="15954" spans="1:12">
      <c r="A15954" s="31" t="s">
        <v>72</v>
      </c>
      <c r="B15954" s="39" t="e">
        <f>TRUNC((A15941-C15953)/1000000)</f>
        <v>#REF!</v>
      </c>
      <c r="C15954" s="31" t="e">
        <f>B15954*1000000</f>
        <v>#REF!</v>
      </c>
      <c r="D15954" s="31" t="e">
        <f t="shared" si="1540"/>
        <v>#REF!</v>
      </c>
      <c r="E15954" s="31" t="e">
        <f>IF(B15953+B15954=0,"",IF(B15954=1," Million "," Millions "))</f>
        <v>#REF!</v>
      </c>
      <c r="J15954" s="31">
        <v>11</v>
      </c>
      <c r="K15954" s="33" t="s">
        <v>73</v>
      </c>
      <c r="L15954" s="31" t="s">
        <v>74</v>
      </c>
    </row>
    <row r="15955" spans="1:12">
      <c r="A15955" s="31" t="s">
        <v>75</v>
      </c>
      <c r="B15955" s="39" t="e">
        <f>TRUNC((A15941-SUM(C15953:C15954))/100000)</f>
        <v>#REF!</v>
      </c>
      <c r="C15955" s="31" t="e">
        <f>B15955*100000</f>
        <v>#REF!</v>
      </c>
      <c r="D15955" s="31" t="e">
        <f t="shared" si="1540"/>
        <v>#REF!</v>
      </c>
      <c r="E15955" s="31" t="e">
        <f>IF(B15955&lt;1,"",IF(B15955&gt;1," Hundreds "," Hundred "))</f>
        <v>#REF!</v>
      </c>
      <c r="J15955" s="31">
        <v>12</v>
      </c>
      <c r="K15955" s="33" t="s">
        <v>76</v>
      </c>
      <c r="L15955" s="31" t="str">
        <f t="shared" ref="L15955:L15962" si="1541">L15945&amp;" Belas"</f>
        <v>Dua Belas</v>
      </c>
    </row>
    <row r="15956" spans="1:12">
      <c r="A15956" s="33" t="s">
        <v>77</v>
      </c>
      <c r="B15956" s="40" t="e">
        <f>TRUNC((A15941-SUM(C15953:C15955))/1000)</f>
        <v>#REF!</v>
      </c>
      <c r="C15956" s="31" t="e">
        <f>B15956*1000</f>
        <v>#REF!</v>
      </c>
      <c r="D15956" s="31" t="e">
        <f t="shared" si="1540"/>
        <v>#REF!</v>
      </c>
      <c r="E15956" s="31" t="e">
        <f>IF(B15955+B15956=0,"",IF(B15956=1," Thousand "," Thousands "))</f>
        <v>#REF!</v>
      </c>
      <c r="J15956" s="31">
        <v>13</v>
      </c>
      <c r="K15956" s="33" t="s">
        <v>78</v>
      </c>
      <c r="L15956" s="31" t="str">
        <f t="shared" si="1541"/>
        <v>Tiga Belas</v>
      </c>
    </row>
    <row r="15957" spans="1:12">
      <c r="A15957" s="33" t="s">
        <v>79</v>
      </c>
      <c r="B15957" s="40" t="e">
        <f>TRUNC((A15941-SUM(C15953:C15956))/100)</f>
        <v>#REF!</v>
      </c>
      <c r="C15957" s="31" t="e">
        <f>B15957*100</f>
        <v>#REF!</v>
      </c>
      <c r="D15957" s="31" t="e">
        <f t="shared" si="1540"/>
        <v>#REF!</v>
      </c>
      <c r="E15957" s="31" t="e">
        <f>IF(B15957&lt;1,"",IF(B15957&gt;1," Hundreds "," Hundred "))</f>
        <v>#REF!</v>
      </c>
      <c r="J15957" s="31">
        <v>14</v>
      </c>
      <c r="K15957" s="33" t="s">
        <v>80</v>
      </c>
      <c r="L15957" s="31" t="str">
        <f t="shared" si="1541"/>
        <v>Empat Belas</v>
      </c>
    </row>
    <row r="15958" spans="1:12">
      <c r="A15958" s="33" t="s">
        <v>81</v>
      </c>
      <c r="B15958" s="41" t="e">
        <f>TRUNC((A15941-SUM(C15953:C15957)))</f>
        <v>#REF!</v>
      </c>
      <c r="C15958" s="42" t="e">
        <f>B15958</f>
        <v>#REF!</v>
      </c>
      <c r="D15958" s="31" t="e">
        <f t="shared" si="1540"/>
        <v>#REF!</v>
      </c>
      <c r="E15958" s="31" t="e">
        <f>IF(SUM(C15953:C15958)&lt;1,"",IF(B15959&lt;1,""," And "))</f>
        <v>#REF!</v>
      </c>
      <c r="J15958" s="31">
        <v>15</v>
      </c>
      <c r="K15958" s="33" t="s">
        <v>82</v>
      </c>
      <c r="L15958" s="31" t="str">
        <f t="shared" si="1541"/>
        <v>Lima Belas</v>
      </c>
    </row>
    <row r="15959" spans="1:12">
      <c r="A15959" s="33" t="s">
        <v>83</v>
      </c>
      <c r="B15959" s="40" t="e">
        <f>ROUND(A15941-SUM(C15953:C15958),2)*100</f>
        <v>#REF!</v>
      </c>
      <c r="D15959" s="43" t="e">
        <f t="shared" si="1540"/>
        <v>#REF!</v>
      </c>
      <c r="E15959" s="31" t="e">
        <f>IF(B15959&lt;1,"",IF(B15959=1," Cent "," Cents "))</f>
        <v>#REF!</v>
      </c>
      <c r="J15959" s="31">
        <v>16</v>
      </c>
      <c r="K15959" s="33" t="s">
        <v>84</v>
      </c>
      <c r="L15959" s="31" t="str">
        <f t="shared" si="1541"/>
        <v>Enam Belas</v>
      </c>
    </row>
    <row r="15960" spans="1:12">
      <c r="J15960" s="31">
        <v>17</v>
      </c>
      <c r="K15960" s="33" t="s">
        <v>85</v>
      </c>
      <c r="L15960" s="31" t="str">
        <f t="shared" si="1541"/>
        <v>Tujuh Belas</v>
      </c>
    </row>
    <row r="15961" spans="1:12">
      <c r="A15961" s="44"/>
      <c r="J15961" s="31">
        <v>18</v>
      </c>
      <c r="K15961" s="33" t="s">
        <v>86</v>
      </c>
      <c r="L15961" s="31" t="str">
        <f t="shared" si="1541"/>
        <v>Delapan Belas</v>
      </c>
    </row>
    <row r="15962" spans="1:12">
      <c r="A15962" s="38" t="s">
        <v>87</v>
      </c>
      <c r="J15962" s="31">
        <v>19</v>
      </c>
      <c r="K15962" s="33" t="s">
        <v>88</v>
      </c>
      <c r="L15962" s="31" t="str">
        <f t="shared" si="1541"/>
        <v>Sembilan Belas</v>
      </c>
    </row>
    <row r="15963" spans="1:12">
      <c r="A15963" s="31" t="s">
        <v>69</v>
      </c>
      <c r="B15963" s="39" t="e">
        <f>TRUNC(A15941/100000000)</f>
        <v>#REF!</v>
      </c>
      <c r="C15963" s="31" t="e">
        <f>B15963*100000000</f>
        <v>#REF!</v>
      </c>
      <c r="D15963" s="31" t="e">
        <f>IF(B15963&lt;1,"",IF(B15963=1,"",VLOOKUP(B15963,$J$3:$L$102,3)))</f>
        <v>#REF!</v>
      </c>
      <c r="E15963" s="31" t="e">
        <f>IF(B15963&lt;1,"",IF(B15963=1,"Seratus "," Ratus "))</f>
        <v>#REF!</v>
      </c>
      <c r="J15963" s="31">
        <v>20</v>
      </c>
      <c r="K15963" s="33" t="s">
        <v>89</v>
      </c>
      <c r="L15963" s="31" t="s">
        <v>90</v>
      </c>
    </row>
    <row r="15964" spans="1:12">
      <c r="A15964" s="31" t="s">
        <v>72</v>
      </c>
      <c r="B15964" s="39" t="e">
        <f>TRUNC((A15941-C15963)/1000000)</f>
        <v>#REF!</v>
      </c>
      <c r="C15964" s="31" t="e">
        <f>B15964*1000000</f>
        <v>#REF!</v>
      </c>
      <c r="D15964" s="31" t="e">
        <f>IF(B15964&lt;1,"",VLOOKUP(B15964,$J$3:$L$102,3))</f>
        <v>#REF!</v>
      </c>
      <c r="E15964" s="31" t="e">
        <f>IF(B15963+B15964=0,""," Juta ")</f>
        <v>#REF!</v>
      </c>
      <c r="J15964" s="31">
        <v>21</v>
      </c>
      <c r="K15964" s="33" t="s">
        <v>91</v>
      </c>
      <c r="L15964" s="31" t="str">
        <f t="shared" ref="L15964:L15972" si="1542">$L$23&amp;" "&amp;L15944</f>
        <v>Dua Puluh Satu</v>
      </c>
    </row>
    <row r="15965" spans="1:12">
      <c r="A15965" s="31" t="s">
        <v>75</v>
      </c>
      <c r="B15965" s="39" t="e">
        <f>TRUNC((A15941-SUM(C15963:C15964))/100000)</f>
        <v>#REF!</v>
      </c>
      <c r="C15965" s="31" t="e">
        <f>B15965*100000</f>
        <v>#REF!</v>
      </c>
      <c r="D15965" s="31" t="e">
        <f>IF(B15965&lt;1,"",IF(B15965=1,"",VLOOKUP(B15965,$J$3:$L$102,3)))</f>
        <v>#REF!</v>
      </c>
      <c r="E15965" s="31" t="e">
        <f>IF(B15965&lt;1,"",IF(B15965=1," Seratus "," Ratus "))</f>
        <v>#REF!</v>
      </c>
      <c r="J15965" s="31">
        <v>22</v>
      </c>
      <c r="K15965" s="33" t="s">
        <v>92</v>
      </c>
      <c r="L15965" s="31" t="str">
        <f t="shared" si="1542"/>
        <v>Dua Puluh Dua</v>
      </c>
    </row>
    <row r="15966" spans="1:12">
      <c r="A15966" s="33" t="s">
        <v>77</v>
      </c>
      <c r="B15966" s="40" t="e">
        <f>TRUNC((A15941-SUM(C15963:C15965))/1000)</f>
        <v>#REF!</v>
      </c>
      <c r="C15966" s="31" t="e">
        <f>B15966*1000</f>
        <v>#REF!</v>
      </c>
      <c r="D15966" s="31" t="e">
        <f>IF(B15966&lt;1,"",IF(B15966=1,"",VLOOKUP(B15966,$J$3:$L$102,3)))</f>
        <v>#REF!</v>
      </c>
      <c r="E15966" s="31" t="e">
        <f>IF(B15965+B15966&lt;1,"",IF(B15966=1," Seribu "," Ribu "))</f>
        <v>#REF!</v>
      </c>
      <c r="J15966" s="31">
        <v>23</v>
      </c>
      <c r="K15966" s="33" t="s">
        <v>93</v>
      </c>
      <c r="L15966" s="31" t="str">
        <f t="shared" si="1542"/>
        <v>Dua Puluh Tiga</v>
      </c>
    </row>
    <row r="15967" spans="1:12">
      <c r="A15967" s="33" t="s">
        <v>79</v>
      </c>
      <c r="B15967" s="40" t="e">
        <f>TRUNC((A15941-SUM(C15963:C15966))/100)</f>
        <v>#REF!</v>
      </c>
      <c r="C15967" s="31" t="e">
        <f>B15967*100</f>
        <v>#REF!</v>
      </c>
      <c r="D15967" s="31" t="e">
        <f>IF(B15967&lt;1,"",IF(B15967=1,"",VLOOKUP(B15967,$J$3:$L$102,3)))</f>
        <v>#REF!</v>
      </c>
      <c r="E15967" s="31" t="e">
        <f>IF(B15967&lt;1,"",IF(B15967=1," Seratus "," Ratus "))</f>
        <v>#REF!</v>
      </c>
      <c r="J15967" s="31">
        <v>24</v>
      </c>
      <c r="K15967" s="33" t="s">
        <v>94</v>
      </c>
      <c r="L15967" s="31" t="str">
        <f t="shared" si="1542"/>
        <v>Dua Puluh Empat</v>
      </c>
    </row>
    <row r="15968" spans="1:12">
      <c r="A15968" s="33" t="s">
        <v>81</v>
      </c>
      <c r="B15968" s="41" t="e">
        <f>TRUNC((A15941-SUM(C15963:C15967)))</f>
        <v>#REF!</v>
      </c>
      <c r="C15968" s="42" t="e">
        <f>B15968</f>
        <v>#REF!</v>
      </c>
      <c r="D15968" s="31" t="e">
        <f>IF(B15968&lt;1,"",VLOOKUP(B15968,$J$3:$L$102,3))</f>
        <v>#REF!</v>
      </c>
      <c r="E15968" s="31" t="e">
        <f>IF(SUM(C15963:C15968)&lt;1,"",IF(B15969&lt;1,""," Dan "))</f>
        <v>#REF!</v>
      </c>
      <c r="J15968" s="31">
        <v>25</v>
      </c>
      <c r="K15968" s="33" t="s">
        <v>95</v>
      </c>
      <c r="L15968" s="31" t="str">
        <f t="shared" si="1542"/>
        <v>Dua Puluh Lima</v>
      </c>
    </row>
    <row r="15969" spans="1:12">
      <c r="A15969" s="33" t="s">
        <v>83</v>
      </c>
      <c r="B15969" s="40" t="e">
        <f>ROUND(A15941-SUM(C15963:C15968),2)*100</f>
        <v>#REF!</v>
      </c>
      <c r="D15969" s="31" t="e">
        <f>IF(B15969&lt;1,"",VLOOKUP(B15969,$J$3:$L$102,3))</f>
        <v>#REF!</v>
      </c>
      <c r="E15969" s="31" t="e">
        <f>IF(B15969&lt;1,""," Sen ")</f>
        <v>#REF!</v>
      </c>
      <c r="J15969" s="31">
        <v>26</v>
      </c>
      <c r="K15969" s="33" t="s">
        <v>96</v>
      </c>
      <c r="L15969" s="31" t="str">
        <f t="shared" si="1542"/>
        <v>Dua Puluh Enam</v>
      </c>
    </row>
    <row r="15970" spans="1:12">
      <c r="J15970" s="31">
        <v>27</v>
      </c>
      <c r="K15970" s="33" t="s">
        <v>97</v>
      </c>
      <c r="L15970" s="31" t="str">
        <f t="shared" si="1542"/>
        <v>Dua Puluh Tujuh</v>
      </c>
    </row>
    <row r="15971" spans="1:12">
      <c r="J15971" s="31">
        <v>28</v>
      </c>
      <c r="K15971" s="33" t="s">
        <v>98</v>
      </c>
      <c r="L15971" s="31" t="str">
        <f t="shared" si="1542"/>
        <v>Dua Puluh Delapan</v>
      </c>
    </row>
    <row r="15972" spans="1:12">
      <c r="J15972" s="31">
        <v>29</v>
      </c>
      <c r="K15972" s="33" t="s">
        <v>99</v>
      </c>
      <c r="L15972" s="31" t="str">
        <f t="shared" si="1542"/>
        <v>Dua Puluh Sembilan</v>
      </c>
    </row>
    <row r="15973" spans="1:12">
      <c r="J15973" s="31">
        <v>30</v>
      </c>
      <c r="K15973" s="33" t="s">
        <v>100</v>
      </c>
      <c r="L15973" s="31" t="s">
        <v>101</v>
      </c>
    </row>
    <row r="15974" spans="1:12">
      <c r="J15974" s="31">
        <v>31</v>
      </c>
      <c r="K15974" s="33" t="s">
        <v>102</v>
      </c>
      <c r="L15974" s="31" t="str">
        <f t="shared" ref="L15974:L15982" si="1543">$L$33&amp;" "&amp;L15944</f>
        <v>Tiga Puluh Satu</v>
      </c>
    </row>
    <row r="15975" spans="1:12">
      <c r="J15975" s="31">
        <v>32</v>
      </c>
      <c r="K15975" s="33" t="s">
        <v>103</v>
      </c>
      <c r="L15975" s="31" t="str">
        <f t="shared" si="1543"/>
        <v>Tiga Puluh Dua</v>
      </c>
    </row>
    <row r="15976" spans="1:12">
      <c r="J15976" s="31">
        <v>33</v>
      </c>
      <c r="K15976" s="33" t="s">
        <v>104</v>
      </c>
      <c r="L15976" s="31" t="str">
        <f t="shared" si="1543"/>
        <v>Tiga Puluh Tiga</v>
      </c>
    </row>
    <row r="15977" spans="1:12">
      <c r="J15977" s="31">
        <v>34</v>
      </c>
      <c r="K15977" s="33" t="s">
        <v>105</v>
      </c>
      <c r="L15977" s="31" t="str">
        <f t="shared" si="1543"/>
        <v>Tiga Puluh Empat</v>
      </c>
    </row>
    <row r="15978" spans="1:12">
      <c r="J15978" s="31">
        <v>35</v>
      </c>
      <c r="K15978" s="33" t="s">
        <v>106</v>
      </c>
      <c r="L15978" s="31" t="str">
        <f t="shared" si="1543"/>
        <v>Tiga Puluh Lima</v>
      </c>
    </row>
    <row r="15979" spans="1:12">
      <c r="J15979" s="31">
        <v>36</v>
      </c>
      <c r="K15979" s="33" t="s">
        <v>107</v>
      </c>
      <c r="L15979" s="31" t="str">
        <f t="shared" si="1543"/>
        <v>Tiga Puluh Enam</v>
      </c>
    </row>
    <row r="15980" spans="1:12">
      <c r="J15980" s="31">
        <v>37</v>
      </c>
      <c r="K15980" s="33" t="s">
        <v>108</v>
      </c>
      <c r="L15980" s="31" t="str">
        <f t="shared" si="1543"/>
        <v>Tiga Puluh Tujuh</v>
      </c>
    </row>
    <row r="15981" spans="1:12">
      <c r="J15981" s="31">
        <v>38</v>
      </c>
      <c r="K15981" s="33" t="s">
        <v>109</v>
      </c>
      <c r="L15981" s="31" t="str">
        <f t="shared" si="1543"/>
        <v>Tiga Puluh Delapan</v>
      </c>
    </row>
    <row r="15982" spans="1:12">
      <c r="J15982" s="31">
        <v>39</v>
      </c>
      <c r="K15982" s="33" t="s">
        <v>110</v>
      </c>
      <c r="L15982" s="31" t="str">
        <f t="shared" si="1543"/>
        <v>Tiga Puluh Sembilan</v>
      </c>
    </row>
    <row r="15983" spans="1:12">
      <c r="B15983" s="35"/>
      <c r="C15983" s="35"/>
      <c r="D15983" s="35"/>
      <c r="J15983" s="31">
        <v>40</v>
      </c>
      <c r="K15983" s="33" t="s">
        <v>111</v>
      </c>
      <c r="L15983" s="31" t="s">
        <v>112</v>
      </c>
    </row>
    <row r="15984" spans="1:12">
      <c r="A15984" s="35"/>
      <c r="B15984" s="35"/>
      <c r="C15984" s="35"/>
      <c r="D15984" s="35"/>
      <c r="J15984" s="31">
        <v>41</v>
      </c>
      <c r="K15984" s="33" t="s">
        <v>113</v>
      </c>
      <c r="L15984" s="31" t="str">
        <f t="shared" ref="L15984:L15992" si="1544">$L$43&amp;" "&amp;L15944</f>
        <v>Empat Puluh Satu</v>
      </c>
    </row>
    <row r="15985" spans="1:12">
      <c r="J15985" s="31">
        <v>42</v>
      </c>
      <c r="K15985" s="33" t="s">
        <v>114</v>
      </c>
      <c r="L15985" s="31" t="str">
        <f t="shared" si="1544"/>
        <v>Empat Puluh Dua</v>
      </c>
    </row>
    <row r="15986" spans="1:12">
      <c r="A15986" s="38"/>
      <c r="J15986" s="31">
        <v>43</v>
      </c>
      <c r="K15986" s="33" t="s">
        <v>115</v>
      </c>
      <c r="L15986" s="31" t="str">
        <f t="shared" si="1544"/>
        <v>Empat Puluh Tiga</v>
      </c>
    </row>
    <row r="15987" spans="1:12">
      <c r="J15987" s="31">
        <v>44</v>
      </c>
      <c r="K15987" s="33" t="s">
        <v>116</v>
      </c>
      <c r="L15987" s="31" t="str">
        <f t="shared" si="1544"/>
        <v>Empat Puluh Empat</v>
      </c>
    </row>
    <row r="15988" spans="1:12">
      <c r="J15988" s="31">
        <v>45</v>
      </c>
      <c r="K15988" s="33" t="s">
        <v>117</v>
      </c>
      <c r="L15988" s="31" t="str">
        <f t="shared" si="1544"/>
        <v>Empat Puluh Lima</v>
      </c>
    </row>
    <row r="15989" spans="1:12">
      <c r="J15989" s="31">
        <v>46</v>
      </c>
      <c r="K15989" s="33" t="s">
        <v>118</v>
      </c>
      <c r="L15989" s="31" t="str">
        <f t="shared" si="1544"/>
        <v>Empat Puluh Enam</v>
      </c>
    </row>
    <row r="15990" spans="1:12">
      <c r="J15990" s="31">
        <v>47</v>
      </c>
      <c r="K15990" s="33" t="s">
        <v>119</v>
      </c>
      <c r="L15990" s="31" t="str">
        <f t="shared" si="1544"/>
        <v>Empat Puluh Tujuh</v>
      </c>
    </row>
    <row r="15991" spans="1:12">
      <c r="J15991" s="31">
        <v>48</v>
      </c>
      <c r="K15991" s="33" t="s">
        <v>120</v>
      </c>
      <c r="L15991" s="31" t="str">
        <f t="shared" si="1544"/>
        <v>Empat Puluh Delapan</v>
      </c>
    </row>
    <row r="15992" spans="1:12">
      <c r="J15992" s="31">
        <v>49</v>
      </c>
      <c r="K15992" s="33" t="s">
        <v>121</v>
      </c>
      <c r="L15992" s="31" t="str">
        <f t="shared" si="1544"/>
        <v>Empat Puluh Sembilan</v>
      </c>
    </row>
    <row r="15993" spans="1:12">
      <c r="J15993" s="31">
        <v>50</v>
      </c>
      <c r="K15993" s="33" t="s">
        <v>122</v>
      </c>
      <c r="L15993" s="31" t="s">
        <v>123</v>
      </c>
    </row>
    <row r="15994" spans="1:12">
      <c r="J15994" s="31">
        <v>51</v>
      </c>
      <c r="K15994" s="33" t="s">
        <v>124</v>
      </c>
      <c r="L15994" s="31" t="str">
        <f t="shared" ref="L15994:L16002" si="1545">$L$53&amp;" "&amp;L15944</f>
        <v>Lima Puluh Satu</v>
      </c>
    </row>
    <row r="15995" spans="1:12">
      <c r="J15995" s="31">
        <v>52</v>
      </c>
      <c r="K15995" s="33" t="s">
        <v>125</v>
      </c>
      <c r="L15995" s="31" t="str">
        <f t="shared" si="1545"/>
        <v>Lima Puluh Dua</v>
      </c>
    </row>
    <row r="15996" spans="1:12">
      <c r="J15996" s="31">
        <v>53</v>
      </c>
      <c r="K15996" s="33" t="s">
        <v>126</v>
      </c>
      <c r="L15996" s="31" t="str">
        <f t="shared" si="1545"/>
        <v>Lima Puluh Tiga</v>
      </c>
    </row>
    <row r="15997" spans="1:12">
      <c r="J15997" s="31">
        <v>54</v>
      </c>
      <c r="K15997" s="33" t="s">
        <v>127</v>
      </c>
      <c r="L15997" s="31" t="str">
        <f t="shared" si="1545"/>
        <v>Lima Puluh Empat</v>
      </c>
    </row>
    <row r="15998" spans="1:12">
      <c r="J15998" s="31">
        <v>55</v>
      </c>
      <c r="K15998" s="33" t="s">
        <v>128</v>
      </c>
      <c r="L15998" s="31" t="str">
        <f t="shared" si="1545"/>
        <v>Lima Puluh Lima</v>
      </c>
    </row>
    <row r="15999" spans="1:12">
      <c r="J15999" s="31">
        <v>56</v>
      </c>
      <c r="K15999" s="33" t="s">
        <v>129</v>
      </c>
      <c r="L15999" s="31" t="str">
        <f t="shared" si="1545"/>
        <v>Lima Puluh Enam</v>
      </c>
    </row>
    <row r="16000" spans="1:12">
      <c r="J16000" s="31">
        <v>57</v>
      </c>
      <c r="K16000" s="33" t="s">
        <v>130</v>
      </c>
      <c r="L16000" s="31" t="str">
        <f t="shared" si="1545"/>
        <v>Lima Puluh Tujuh</v>
      </c>
    </row>
    <row r="16001" spans="10:12">
      <c r="J16001" s="31">
        <v>58</v>
      </c>
      <c r="K16001" s="33" t="s">
        <v>131</v>
      </c>
      <c r="L16001" s="31" t="str">
        <f t="shared" si="1545"/>
        <v>Lima Puluh Delapan</v>
      </c>
    </row>
    <row r="16002" spans="10:12">
      <c r="J16002" s="31">
        <v>59</v>
      </c>
      <c r="K16002" s="33" t="s">
        <v>132</v>
      </c>
      <c r="L16002" s="31" t="str">
        <f t="shared" si="1545"/>
        <v>Lima Puluh Sembilan</v>
      </c>
    </row>
    <row r="16003" spans="10:12">
      <c r="J16003" s="31">
        <v>60</v>
      </c>
      <c r="K16003" s="33" t="s">
        <v>133</v>
      </c>
      <c r="L16003" s="31" t="s">
        <v>134</v>
      </c>
    </row>
    <row r="16004" spans="10:12">
      <c r="J16004" s="31">
        <v>61</v>
      </c>
      <c r="K16004" s="33" t="s">
        <v>135</v>
      </c>
      <c r="L16004" s="31" t="str">
        <f t="shared" ref="L16004:L16012" si="1546">$L$63&amp;" "&amp;L15944</f>
        <v>Enam Puluh Satu</v>
      </c>
    </row>
    <row r="16005" spans="10:12">
      <c r="J16005" s="31">
        <v>62</v>
      </c>
      <c r="K16005" s="33" t="s">
        <v>136</v>
      </c>
      <c r="L16005" s="31" t="str">
        <f t="shared" si="1546"/>
        <v>Enam Puluh Dua</v>
      </c>
    </row>
    <row r="16006" spans="10:12">
      <c r="J16006" s="31">
        <v>63</v>
      </c>
      <c r="K16006" s="33" t="s">
        <v>137</v>
      </c>
      <c r="L16006" s="31" t="str">
        <f t="shared" si="1546"/>
        <v>Enam Puluh Tiga</v>
      </c>
    </row>
    <row r="16007" spans="10:12">
      <c r="J16007" s="31">
        <v>64</v>
      </c>
      <c r="K16007" s="33" t="s">
        <v>138</v>
      </c>
      <c r="L16007" s="31" t="str">
        <f t="shared" si="1546"/>
        <v>Enam Puluh Empat</v>
      </c>
    </row>
    <row r="16008" spans="10:12">
      <c r="J16008" s="31">
        <v>65</v>
      </c>
      <c r="K16008" s="33" t="s">
        <v>139</v>
      </c>
      <c r="L16008" s="31" t="str">
        <f t="shared" si="1546"/>
        <v>Enam Puluh Lima</v>
      </c>
    </row>
    <row r="16009" spans="10:12">
      <c r="J16009" s="31">
        <v>66</v>
      </c>
      <c r="K16009" s="33" t="s">
        <v>140</v>
      </c>
      <c r="L16009" s="31" t="str">
        <f t="shared" si="1546"/>
        <v>Enam Puluh Enam</v>
      </c>
    </row>
    <row r="16010" spans="10:12">
      <c r="J16010" s="31">
        <v>67</v>
      </c>
      <c r="K16010" s="33" t="s">
        <v>141</v>
      </c>
      <c r="L16010" s="31" t="str">
        <f t="shared" si="1546"/>
        <v>Enam Puluh Tujuh</v>
      </c>
    </row>
    <row r="16011" spans="10:12">
      <c r="J16011" s="31">
        <v>68</v>
      </c>
      <c r="K16011" s="33" t="s">
        <v>142</v>
      </c>
      <c r="L16011" s="31" t="str">
        <f t="shared" si="1546"/>
        <v>Enam Puluh Delapan</v>
      </c>
    </row>
    <row r="16012" spans="10:12">
      <c r="J16012" s="31">
        <v>69</v>
      </c>
      <c r="K16012" s="33" t="s">
        <v>143</v>
      </c>
      <c r="L16012" s="31" t="str">
        <f t="shared" si="1546"/>
        <v>Enam Puluh Sembilan</v>
      </c>
    </row>
    <row r="16013" spans="10:12">
      <c r="J16013" s="31">
        <v>70</v>
      </c>
      <c r="K16013" s="33" t="s">
        <v>144</v>
      </c>
      <c r="L16013" s="31" t="s">
        <v>145</v>
      </c>
    </row>
    <row r="16014" spans="10:12">
      <c r="J16014" s="31">
        <v>71</v>
      </c>
      <c r="K16014" s="33" t="s">
        <v>146</v>
      </c>
      <c r="L16014" s="31" t="str">
        <f t="shared" ref="L16014:L16022" si="1547">$L$73&amp;" "&amp;L15944</f>
        <v>Tujuh Puluh Satu</v>
      </c>
    </row>
    <row r="16015" spans="10:12">
      <c r="J16015" s="31">
        <v>72</v>
      </c>
      <c r="K16015" s="33" t="s">
        <v>147</v>
      </c>
      <c r="L16015" s="31" t="str">
        <f t="shared" si="1547"/>
        <v>Tujuh Puluh Dua</v>
      </c>
    </row>
    <row r="16016" spans="10:12">
      <c r="J16016" s="31">
        <v>73</v>
      </c>
      <c r="K16016" s="33" t="s">
        <v>148</v>
      </c>
      <c r="L16016" s="31" t="str">
        <f t="shared" si="1547"/>
        <v>Tujuh Puluh Tiga</v>
      </c>
    </row>
    <row r="16017" spans="10:12">
      <c r="J16017" s="31">
        <v>74</v>
      </c>
      <c r="K16017" s="33" t="s">
        <v>149</v>
      </c>
      <c r="L16017" s="31" t="str">
        <f t="shared" si="1547"/>
        <v>Tujuh Puluh Empat</v>
      </c>
    </row>
    <row r="16018" spans="10:12">
      <c r="J16018" s="31">
        <v>75</v>
      </c>
      <c r="K16018" s="33" t="s">
        <v>150</v>
      </c>
      <c r="L16018" s="31" t="str">
        <f t="shared" si="1547"/>
        <v>Tujuh Puluh Lima</v>
      </c>
    </row>
    <row r="16019" spans="10:12">
      <c r="J16019" s="31">
        <v>76</v>
      </c>
      <c r="K16019" s="33" t="s">
        <v>151</v>
      </c>
      <c r="L16019" s="31" t="str">
        <f t="shared" si="1547"/>
        <v>Tujuh Puluh Enam</v>
      </c>
    </row>
    <row r="16020" spans="10:12">
      <c r="J16020" s="31">
        <v>77</v>
      </c>
      <c r="K16020" s="33" t="s">
        <v>152</v>
      </c>
      <c r="L16020" s="31" t="str">
        <f t="shared" si="1547"/>
        <v>Tujuh Puluh Tujuh</v>
      </c>
    </row>
    <row r="16021" spans="10:12">
      <c r="J16021" s="31">
        <v>78</v>
      </c>
      <c r="K16021" s="33" t="s">
        <v>153</v>
      </c>
      <c r="L16021" s="31" t="str">
        <f t="shared" si="1547"/>
        <v>Tujuh Puluh Delapan</v>
      </c>
    </row>
    <row r="16022" spans="10:12">
      <c r="J16022" s="31">
        <v>79</v>
      </c>
      <c r="K16022" s="33" t="s">
        <v>154</v>
      </c>
      <c r="L16022" s="31" t="str">
        <f t="shared" si="1547"/>
        <v>Tujuh Puluh Sembilan</v>
      </c>
    </row>
    <row r="16023" spans="10:12">
      <c r="J16023" s="31">
        <v>80</v>
      </c>
      <c r="K16023" s="33" t="s">
        <v>155</v>
      </c>
      <c r="L16023" s="31" t="s">
        <v>156</v>
      </c>
    </row>
    <row r="16024" spans="10:12">
      <c r="J16024" s="31">
        <v>81</v>
      </c>
      <c r="K16024" s="33" t="s">
        <v>157</v>
      </c>
      <c r="L16024" s="31" t="str">
        <f t="shared" ref="L16024:L16032" si="1548">$L$83&amp;" "&amp;L15944</f>
        <v>Delapan Puluh Satu</v>
      </c>
    </row>
    <row r="16025" spans="10:12">
      <c r="J16025" s="31">
        <v>82</v>
      </c>
      <c r="K16025" s="33" t="s">
        <v>158</v>
      </c>
      <c r="L16025" s="31" t="str">
        <f t="shared" si="1548"/>
        <v>Delapan Puluh Dua</v>
      </c>
    </row>
    <row r="16026" spans="10:12">
      <c r="J16026" s="31">
        <v>83</v>
      </c>
      <c r="K16026" s="33" t="s">
        <v>159</v>
      </c>
      <c r="L16026" s="31" t="str">
        <f t="shared" si="1548"/>
        <v>Delapan Puluh Tiga</v>
      </c>
    </row>
    <row r="16027" spans="10:12">
      <c r="J16027" s="31">
        <v>84</v>
      </c>
      <c r="K16027" s="33" t="s">
        <v>160</v>
      </c>
      <c r="L16027" s="31" t="str">
        <f t="shared" si="1548"/>
        <v>Delapan Puluh Empat</v>
      </c>
    </row>
    <row r="16028" spans="10:12">
      <c r="J16028" s="31">
        <v>85</v>
      </c>
      <c r="K16028" s="33" t="s">
        <v>161</v>
      </c>
      <c r="L16028" s="31" t="str">
        <f t="shared" si="1548"/>
        <v>Delapan Puluh Lima</v>
      </c>
    </row>
    <row r="16029" spans="10:12">
      <c r="J16029" s="31">
        <v>86</v>
      </c>
      <c r="K16029" s="33" t="s">
        <v>162</v>
      </c>
      <c r="L16029" s="31" t="str">
        <f t="shared" si="1548"/>
        <v>Delapan Puluh Enam</v>
      </c>
    </row>
    <row r="16030" spans="10:12">
      <c r="J16030" s="31">
        <v>87</v>
      </c>
      <c r="K16030" s="33" t="s">
        <v>163</v>
      </c>
      <c r="L16030" s="31" t="str">
        <f t="shared" si="1548"/>
        <v>Delapan Puluh Tujuh</v>
      </c>
    </row>
    <row r="16031" spans="10:12">
      <c r="J16031" s="31">
        <v>88</v>
      </c>
      <c r="K16031" s="33" t="s">
        <v>164</v>
      </c>
      <c r="L16031" s="31" t="str">
        <f t="shared" si="1548"/>
        <v>Delapan Puluh Delapan</v>
      </c>
    </row>
    <row r="16032" spans="10:12">
      <c r="J16032" s="31">
        <v>89</v>
      </c>
      <c r="K16032" s="33" t="s">
        <v>165</v>
      </c>
      <c r="L16032" s="31" t="str">
        <f t="shared" si="1548"/>
        <v>Delapan Puluh Sembilan</v>
      </c>
    </row>
    <row r="16033" spans="1:12">
      <c r="J16033" s="31">
        <v>90</v>
      </c>
      <c r="K16033" s="33" t="s">
        <v>166</v>
      </c>
      <c r="L16033" s="31" t="s">
        <v>167</v>
      </c>
    </row>
    <row r="16034" spans="1:12">
      <c r="J16034" s="31">
        <v>91</v>
      </c>
      <c r="K16034" s="33" t="s">
        <v>168</v>
      </c>
      <c r="L16034" s="31" t="str">
        <f t="shared" ref="L16034:L16042" si="1549">$L$93&amp;" "&amp;L15944</f>
        <v>Sembilan Puluh Satu</v>
      </c>
    </row>
    <row r="16035" spans="1:12">
      <c r="J16035" s="31">
        <v>92</v>
      </c>
      <c r="K16035" s="33" t="s">
        <v>169</v>
      </c>
      <c r="L16035" s="31" t="str">
        <f t="shared" si="1549"/>
        <v>Sembilan Puluh Dua</v>
      </c>
    </row>
    <row r="16036" spans="1:12">
      <c r="J16036" s="31">
        <v>93</v>
      </c>
      <c r="K16036" s="33" t="s">
        <v>170</v>
      </c>
      <c r="L16036" s="31" t="str">
        <f t="shared" si="1549"/>
        <v>Sembilan Puluh Tiga</v>
      </c>
    </row>
    <row r="16037" spans="1:12">
      <c r="J16037" s="31">
        <v>94</v>
      </c>
      <c r="K16037" s="33" t="s">
        <v>171</v>
      </c>
      <c r="L16037" s="31" t="str">
        <f t="shared" si="1549"/>
        <v>Sembilan Puluh Empat</v>
      </c>
    </row>
    <row r="16038" spans="1:12">
      <c r="J16038" s="31">
        <v>95</v>
      </c>
      <c r="K16038" s="33" t="s">
        <v>172</v>
      </c>
      <c r="L16038" s="31" t="str">
        <f t="shared" si="1549"/>
        <v>Sembilan Puluh Lima</v>
      </c>
    </row>
    <row r="16039" spans="1:12">
      <c r="J16039" s="31">
        <v>96</v>
      </c>
      <c r="K16039" s="33" t="s">
        <v>173</v>
      </c>
      <c r="L16039" s="31" t="str">
        <f t="shared" si="1549"/>
        <v>Sembilan Puluh Enam</v>
      </c>
    </row>
    <row r="16040" spans="1:12">
      <c r="J16040" s="31">
        <v>97</v>
      </c>
      <c r="K16040" s="33" t="s">
        <v>174</v>
      </c>
      <c r="L16040" s="31" t="str">
        <f t="shared" si="1549"/>
        <v>Sembilan Puluh Tujuh</v>
      </c>
    </row>
    <row r="16041" spans="1:12">
      <c r="J16041" s="31">
        <v>98</v>
      </c>
      <c r="K16041" s="33" t="s">
        <v>175</v>
      </c>
      <c r="L16041" s="31" t="str">
        <f t="shared" si="1549"/>
        <v>Sembilan Puluh Delapan</v>
      </c>
    </row>
    <row r="16042" spans="1:12">
      <c r="J16042" s="31">
        <v>99</v>
      </c>
      <c r="K16042" s="33" t="s">
        <v>176</v>
      </c>
      <c r="L16042" s="31" t="str">
        <f t="shared" si="1549"/>
        <v>Sembilan Puluh Sembilan</v>
      </c>
    </row>
    <row r="16044" spans="1:12">
      <c r="A16044" s="30" t="e">
        <f>#REF!</f>
        <v>#REF!</v>
      </c>
      <c r="C16044" s="31" t="s">
        <v>390</v>
      </c>
    </row>
    <row r="16045" spans="1:12">
      <c r="A16045" s="32"/>
    </row>
    <row r="16046" spans="1:12">
      <c r="J16046" s="31">
        <v>0</v>
      </c>
      <c r="K16046" s="33" t="s">
        <v>48</v>
      </c>
      <c r="L16046" s="31" t="s">
        <v>49</v>
      </c>
    </row>
    <row r="16047" spans="1:12">
      <c r="A16047" s="34"/>
      <c r="J16047" s="31">
        <v>1</v>
      </c>
      <c r="K16047" s="33" t="s">
        <v>50</v>
      </c>
      <c r="L16047" s="31" t="s">
        <v>51</v>
      </c>
    </row>
    <row r="16048" spans="1:12">
      <c r="A16048" s="255" t="e">
        <f>TRIM(D16056&amp;E16056&amp;D16057&amp;E16057&amp;D16058&amp;E16058&amp;D16059&amp;E16059&amp;D16060&amp;E16060&amp;D16061&amp;E16061&amp;E16062&amp;D16062&amp;" Only")</f>
        <v>#REF!</v>
      </c>
      <c r="B16048" s="255"/>
      <c r="C16048" s="255"/>
      <c r="D16048" s="255"/>
      <c r="E16048" s="35"/>
      <c r="F16048" s="36"/>
      <c r="J16048" s="31">
        <v>2</v>
      </c>
      <c r="K16048" s="33" t="s">
        <v>52</v>
      </c>
      <c r="L16048" s="31" t="s">
        <v>53</v>
      </c>
    </row>
    <row r="16049" spans="1:12">
      <c r="A16049" s="119"/>
      <c r="B16049" s="119"/>
      <c r="C16049" s="119"/>
      <c r="D16049" s="119"/>
      <c r="E16049" s="35"/>
      <c r="F16049" s="36"/>
      <c r="J16049" s="31">
        <v>3</v>
      </c>
      <c r="K16049" s="33" t="s">
        <v>54</v>
      </c>
      <c r="L16049" s="31" t="s">
        <v>55</v>
      </c>
    </row>
    <row r="16050" spans="1:12">
      <c r="A16050" s="119"/>
      <c r="B16050" s="119"/>
      <c r="C16050" s="119"/>
      <c r="D16050" s="119"/>
      <c r="J16050" s="31">
        <v>4</v>
      </c>
      <c r="K16050" s="33" t="s">
        <v>56</v>
      </c>
      <c r="L16050" s="31" t="s">
        <v>57</v>
      </c>
    </row>
    <row r="16051" spans="1:12">
      <c r="A16051" s="255" t="e">
        <f>TRIM(D16066&amp;E16066&amp;D16067&amp;E16067&amp;D16068&amp;E16068&amp;D16069&amp;E16069&amp;D16070&amp;E16070&amp;D16071&amp;E16071&amp;D16072&amp;E16072&amp;" Rupiah")</f>
        <v>#REF!</v>
      </c>
      <c r="B16051" s="255"/>
      <c r="C16051" s="255"/>
      <c r="D16051" s="255"/>
      <c r="E16051" s="35"/>
      <c r="F16051" s="36"/>
      <c r="J16051" s="31">
        <v>5</v>
      </c>
      <c r="K16051" s="33" t="s">
        <v>58</v>
      </c>
      <c r="L16051" s="31" t="s">
        <v>59</v>
      </c>
    </row>
    <row r="16052" spans="1:12">
      <c r="A16052" s="35"/>
      <c r="B16052" s="35"/>
      <c r="C16052" s="35"/>
      <c r="D16052" s="35"/>
      <c r="E16052" s="35"/>
      <c r="F16052" s="36"/>
      <c r="J16052" s="31">
        <v>6</v>
      </c>
      <c r="K16052" s="33" t="s">
        <v>60</v>
      </c>
      <c r="L16052" s="31" t="s">
        <v>61</v>
      </c>
    </row>
    <row r="16053" spans="1:12">
      <c r="J16053" s="31">
        <v>7</v>
      </c>
      <c r="K16053" s="33" t="s">
        <v>62</v>
      </c>
      <c r="L16053" s="31" t="s">
        <v>63</v>
      </c>
    </row>
    <row r="16054" spans="1:12">
      <c r="J16054" s="31">
        <v>8</v>
      </c>
      <c r="K16054" s="33" t="s">
        <v>64</v>
      </c>
      <c r="L16054" s="31" t="s">
        <v>65</v>
      </c>
    </row>
    <row r="16055" spans="1:12">
      <c r="A16055" s="38" t="s">
        <v>66</v>
      </c>
      <c r="J16055" s="31">
        <v>9</v>
      </c>
      <c r="K16055" s="33" t="s">
        <v>67</v>
      </c>
      <c r="L16055" s="31" t="s">
        <v>68</v>
      </c>
    </row>
    <row r="16056" spans="1:12">
      <c r="A16056" s="31" t="s">
        <v>69</v>
      </c>
      <c r="B16056" s="39" t="e">
        <f>TRUNC(A16044/100000000)</f>
        <v>#REF!</v>
      </c>
      <c r="C16056" s="31" t="e">
        <f>B16056*100000000</f>
        <v>#REF!</v>
      </c>
      <c r="D16056" s="31" t="e">
        <f t="shared" ref="D16056:D16062" si="1550">IF(B16056&lt;1,"",VLOOKUP(B16056,$J$3:$K$102,2))</f>
        <v>#REF!</v>
      </c>
      <c r="E16056" s="31" t="e">
        <f>IF(B16056&lt;1,"",IF(B16056&gt;1," Hundreds "," Hundred "))</f>
        <v>#REF!</v>
      </c>
      <c r="J16056" s="31">
        <v>10</v>
      </c>
      <c r="K16056" s="33" t="s">
        <v>70</v>
      </c>
      <c r="L16056" s="31" t="s">
        <v>71</v>
      </c>
    </row>
    <row r="16057" spans="1:12">
      <c r="A16057" s="31" t="s">
        <v>72</v>
      </c>
      <c r="B16057" s="39" t="e">
        <f>TRUNC((A16044-C16056)/1000000)</f>
        <v>#REF!</v>
      </c>
      <c r="C16057" s="31" t="e">
        <f>B16057*1000000</f>
        <v>#REF!</v>
      </c>
      <c r="D16057" s="31" t="e">
        <f t="shared" si="1550"/>
        <v>#REF!</v>
      </c>
      <c r="E16057" s="31" t="e">
        <f>IF(B16056+B16057=0,"",IF(B16057=1," Million "," Millions "))</f>
        <v>#REF!</v>
      </c>
      <c r="J16057" s="31">
        <v>11</v>
      </c>
      <c r="K16057" s="33" t="s">
        <v>73</v>
      </c>
      <c r="L16057" s="31" t="s">
        <v>74</v>
      </c>
    </row>
    <row r="16058" spans="1:12">
      <c r="A16058" s="31" t="s">
        <v>75</v>
      </c>
      <c r="B16058" s="39" t="e">
        <f>TRUNC((A16044-SUM(C16056:C16057))/100000)</f>
        <v>#REF!</v>
      </c>
      <c r="C16058" s="31" t="e">
        <f>B16058*100000</f>
        <v>#REF!</v>
      </c>
      <c r="D16058" s="31" t="e">
        <f t="shared" si="1550"/>
        <v>#REF!</v>
      </c>
      <c r="E16058" s="31" t="e">
        <f>IF(B16058&lt;1,"",IF(B16058&gt;1," Hundreds "," Hundred "))</f>
        <v>#REF!</v>
      </c>
      <c r="J16058" s="31">
        <v>12</v>
      </c>
      <c r="K16058" s="33" t="s">
        <v>76</v>
      </c>
      <c r="L16058" s="31" t="str">
        <f t="shared" ref="L16058:L16065" si="1551">L16048&amp;" Belas"</f>
        <v>Dua Belas</v>
      </c>
    </row>
    <row r="16059" spans="1:12">
      <c r="A16059" s="33" t="s">
        <v>77</v>
      </c>
      <c r="B16059" s="40" t="e">
        <f>TRUNC((A16044-SUM(C16056:C16058))/1000)</f>
        <v>#REF!</v>
      </c>
      <c r="C16059" s="31" t="e">
        <f>B16059*1000</f>
        <v>#REF!</v>
      </c>
      <c r="D16059" s="31" t="e">
        <f t="shared" si="1550"/>
        <v>#REF!</v>
      </c>
      <c r="E16059" s="31" t="e">
        <f>IF(B16058+B16059=0,"",IF(B16059=1," Thousand "," Thousands "))</f>
        <v>#REF!</v>
      </c>
      <c r="J16059" s="31">
        <v>13</v>
      </c>
      <c r="K16059" s="33" t="s">
        <v>78</v>
      </c>
      <c r="L16059" s="31" t="str">
        <f t="shared" si="1551"/>
        <v>Tiga Belas</v>
      </c>
    </row>
    <row r="16060" spans="1:12">
      <c r="A16060" s="33" t="s">
        <v>79</v>
      </c>
      <c r="B16060" s="40" t="e">
        <f>TRUNC((A16044-SUM(C16056:C16059))/100)</f>
        <v>#REF!</v>
      </c>
      <c r="C16060" s="31" t="e">
        <f>B16060*100</f>
        <v>#REF!</v>
      </c>
      <c r="D16060" s="31" t="e">
        <f t="shared" si="1550"/>
        <v>#REF!</v>
      </c>
      <c r="E16060" s="31" t="e">
        <f>IF(B16060&lt;1,"",IF(B16060&gt;1," Hundreds "," Hundred "))</f>
        <v>#REF!</v>
      </c>
      <c r="J16060" s="31">
        <v>14</v>
      </c>
      <c r="K16060" s="33" t="s">
        <v>80</v>
      </c>
      <c r="L16060" s="31" t="str">
        <f t="shared" si="1551"/>
        <v>Empat Belas</v>
      </c>
    </row>
    <row r="16061" spans="1:12">
      <c r="A16061" s="33" t="s">
        <v>81</v>
      </c>
      <c r="B16061" s="41" t="e">
        <f>TRUNC((A16044-SUM(C16056:C16060)))</f>
        <v>#REF!</v>
      </c>
      <c r="C16061" s="42" t="e">
        <f>B16061</f>
        <v>#REF!</v>
      </c>
      <c r="D16061" s="31" t="e">
        <f t="shared" si="1550"/>
        <v>#REF!</v>
      </c>
      <c r="E16061" s="31" t="e">
        <f>IF(SUM(C16056:C16061)&lt;1,"",IF(B16062&lt;1,""," And "))</f>
        <v>#REF!</v>
      </c>
      <c r="J16061" s="31">
        <v>15</v>
      </c>
      <c r="K16061" s="33" t="s">
        <v>82</v>
      </c>
      <c r="L16061" s="31" t="str">
        <f t="shared" si="1551"/>
        <v>Lima Belas</v>
      </c>
    </row>
    <row r="16062" spans="1:12">
      <c r="A16062" s="33" t="s">
        <v>83</v>
      </c>
      <c r="B16062" s="40" t="e">
        <f>ROUND(A16044-SUM(C16056:C16061),2)*100</f>
        <v>#REF!</v>
      </c>
      <c r="D16062" s="43" t="e">
        <f t="shared" si="1550"/>
        <v>#REF!</v>
      </c>
      <c r="E16062" s="31" t="e">
        <f>IF(B16062&lt;1,"",IF(B16062=1," Cent "," Cents "))</f>
        <v>#REF!</v>
      </c>
      <c r="J16062" s="31">
        <v>16</v>
      </c>
      <c r="K16062" s="33" t="s">
        <v>84</v>
      </c>
      <c r="L16062" s="31" t="str">
        <f t="shared" si="1551"/>
        <v>Enam Belas</v>
      </c>
    </row>
    <row r="16063" spans="1:12">
      <c r="J16063" s="31">
        <v>17</v>
      </c>
      <c r="K16063" s="33" t="s">
        <v>85</v>
      </c>
      <c r="L16063" s="31" t="str">
        <f t="shared" si="1551"/>
        <v>Tujuh Belas</v>
      </c>
    </row>
    <row r="16064" spans="1:12">
      <c r="A16064" s="44"/>
      <c r="J16064" s="31">
        <v>18</v>
      </c>
      <c r="K16064" s="33" t="s">
        <v>86</v>
      </c>
      <c r="L16064" s="31" t="str">
        <f t="shared" si="1551"/>
        <v>Delapan Belas</v>
      </c>
    </row>
    <row r="16065" spans="1:12">
      <c r="A16065" s="38" t="s">
        <v>87</v>
      </c>
      <c r="J16065" s="31">
        <v>19</v>
      </c>
      <c r="K16065" s="33" t="s">
        <v>88</v>
      </c>
      <c r="L16065" s="31" t="str">
        <f t="shared" si="1551"/>
        <v>Sembilan Belas</v>
      </c>
    </row>
    <row r="16066" spans="1:12">
      <c r="A16066" s="31" t="s">
        <v>69</v>
      </c>
      <c r="B16066" s="39" t="e">
        <f>TRUNC(A16044/100000000)</f>
        <v>#REF!</v>
      </c>
      <c r="C16066" s="31" t="e">
        <f>B16066*100000000</f>
        <v>#REF!</v>
      </c>
      <c r="D16066" s="31" t="e">
        <f>IF(B16066&lt;1,"",IF(B16066=1,"",VLOOKUP(B16066,$J$3:$L$102,3)))</f>
        <v>#REF!</v>
      </c>
      <c r="E16066" s="31" t="e">
        <f>IF(B16066&lt;1,"",IF(B16066=1,"Seratus "," Ratus "))</f>
        <v>#REF!</v>
      </c>
      <c r="J16066" s="31">
        <v>20</v>
      </c>
      <c r="K16066" s="33" t="s">
        <v>89</v>
      </c>
      <c r="L16066" s="31" t="s">
        <v>90</v>
      </c>
    </row>
    <row r="16067" spans="1:12">
      <c r="A16067" s="31" t="s">
        <v>72</v>
      </c>
      <c r="B16067" s="39" t="e">
        <f>TRUNC((A16044-C16066)/1000000)</f>
        <v>#REF!</v>
      </c>
      <c r="C16067" s="31" t="e">
        <f>B16067*1000000</f>
        <v>#REF!</v>
      </c>
      <c r="D16067" s="31" t="e">
        <f>IF(B16067&lt;1,"",VLOOKUP(B16067,$J$3:$L$102,3))</f>
        <v>#REF!</v>
      </c>
      <c r="E16067" s="31" t="e">
        <f>IF(B16066+B16067=0,""," Juta ")</f>
        <v>#REF!</v>
      </c>
      <c r="J16067" s="31">
        <v>21</v>
      </c>
      <c r="K16067" s="33" t="s">
        <v>91</v>
      </c>
      <c r="L16067" s="31" t="str">
        <f t="shared" ref="L16067:L16075" si="1552">$L$23&amp;" "&amp;L16047</f>
        <v>Dua Puluh Satu</v>
      </c>
    </row>
    <row r="16068" spans="1:12">
      <c r="A16068" s="31" t="s">
        <v>75</v>
      </c>
      <c r="B16068" s="39" t="e">
        <f>TRUNC((A16044-SUM(C16066:C16067))/100000)</f>
        <v>#REF!</v>
      </c>
      <c r="C16068" s="31" t="e">
        <f>B16068*100000</f>
        <v>#REF!</v>
      </c>
      <c r="D16068" s="31" t="e">
        <f>IF(B16068&lt;1,"",IF(B16068=1,"",VLOOKUP(B16068,$J$3:$L$102,3)))</f>
        <v>#REF!</v>
      </c>
      <c r="E16068" s="31" t="e">
        <f>IF(B16068&lt;1,"",IF(B16068=1," Seratus "," Ratus "))</f>
        <v>#REF!</v>
      </c>
      <c r="J16068" s="31">
        <v>22</v>
      </c>
      <c r="K16068" s="33" t="s">
        <v>92</v>
      </c>
      <c r="L16068" s="31" t="str">
        <f t="shared" si="1552"/>
        <v>Dua Puluh Dua</v>
      </c>
    </row>
    <row r="16069" spans="1:12">
      <c r="A16069" s="33" t="s">
        <v>77</v>
      </c>
      <c r="B16069" s="40" t="e">
        <f>TRUNC((A16044-SUM(C16066:C16068))/1000)</f>
        <v>#REF!</v>
      </c>
      <c r="C16069" s="31" t="e">
        <f>B16069*1000</f>
        <v>#REF!</v>
      </c>
      <c r="D16069" s="31" t="e">
        <f>IF(B16069&lt;1,"",IF(B16069=1,"",VLOOKUP(B16069,$J$3:$L$102,3)))</f>
        <v>#REF!</v>
      </c>
      <c r="E16069" s="31" t="e">
        <f>IF(B16068+B16069&lt;1,"",IF(B16069=1," Seribu "," Ribu "))</f>
        <v>#REF!</v>
      </c>
      <c r="J16069" s="31">
        <v>23</v>
      </c>
      <c r="K16069" s="33" t="s">
        <v>93</v>
      </c>
      <c r="L16069" s="31" t="str">
        <f t="shared" si="1552"/>
        <v>Dua Puluh Tiga</v>
      </c>
    </row>
    <row r="16070" spans="1:12">
      <c r="A16070" s="33" t="s">
        <v>79</v>
      </c>
      <c r="B16070" s="40" t="e">
        <f>TRUNC((A16044-SUM(C16066:C16069))/100)</f>
        <v>#REF!</v>
      </c>
      <c r="C16070" s="31" t="e">
        <f>B16070*100</f>
        <v>#REF!</v>
      </c>
      <c r="D16070" s="31" t="e">
        <f>IF(B16070&lt;1,"",IF(B16070=1,"",VLOOKUP(B16070,$J$3:$L$102,3)))</f>
        <v>#REF!</v>
      </c>
      <c r="E16070" s="31" t="e">
        <f>IF(B16070&lt;1,"",IF(B16070=1," Seratus "," Ratus "))</f>
        <v>#REF!</v>
      </c>
      <c r="J16070" s="31">
        <v>24</v>
      </c>
      <c r="K16070" s="33" t="s">
        <v>94</v>
      </c>
      <c r="L16070" s="31" t="str">
        <f t="shared" si="1552"/>
        <v>Dua Puluh Empat</v>
      </c>
    </row>
    <row r="16071" spans="1:12">
      <c r="A16071" s="33" t="s">
        <v>81</v>
      </c>
      <c r="B16071" s="41" t="e">
        <f>TRUNC((A16044-SUM(C16066:C16070)))</f>
        <v>#REF!</v>
      </c>
      <c r="C16071" s="42" t="e">
        <f>B16071</f>
        <v>#REF!</v>
      </c>
      <c r="D16071" s="31" t="e">
        <f>IF(B16071&lt;1,"",VLOOKUP(B16071,$J$3:$L$102,3))</f>
        <v>#REF!</v>
      </c>
      <c r="E16071" s="31" t="e">
        <f>IF(SUM(C16066:C16071)&lt;1,"",IF(B16072&lt;1,""," Dan "))</f>
        <v>#REF!</v>
      </c>
      <c r="J16071" s="31">
        <v>25</v>
      </c>
      <c r="K16071" s="33" t="s">
        <v>95</v>
      </c>
      <c r="L16071" s="31" t="str">
        <f t="shared" si="1552"/>
        <v>Dua Puluh Lima</v>
      </c>
    </row>
    <row r="16072" spans="1:12">
      <c r="A16072" s="33" t="s">
        <v>83</v>
      </c>
      <c r="B16072" s="40" t="e">
        <f>ROUND(A16044-SUM(C16066:C16071),2)*100</f>
        <v>#REF!</v>
      </c>
      <c r="D16072" s="31" t="e">
        <f>IF(B16072&lt;1,"",VLOOKUP(B16072,$J$3:$L$102,3))</f>
        <v>#REF!</v>
      </c>
      <c r="E16072" s="31" t="e">
        <f>IF(B16072&lt;1,""," Sen ")</f>
        <v>#REF!</v>
      </c>
      <c r="J16072" s="31">
        <v>26</v>
      </c>
      <c r="K16072" s="33" t="s">
        <v>96</v>
      </c>
      <c r="L16072" s="31" t="str">
        <f t="shared" si="1552"/>
        <v>Dua Puluh Enam</v>
      </c>
    </row>
    <row r="16073" spans="1:12">
      <c r="J16073" s="31">
        <v>27</v>
      </c>
      <c r="K16073" s="33" t="s">
        <v>97</v>
      </c>
      <c r="L16073" s="31" t="str">
        <f t="shared" si="1552"/>
        <v>Dua Puluh Tujuh</v>
      </c>
    </row>
    <row r="16074" spans="1:12">
      <c r="J16074" s="31">
        <v>28</v>
      </c>
      <c r="K16074" s="33" t="s">
        <v>98</v>
      </c>
      <c r="L16074" s="31" t="str">
        <f t="shared" si="1552"/>
        <v>Dua Puluh Delapan</v>
      </c>
    </row>
    <row r="16075" spans="1:12">
      <c r="J16075" s="31">
        <v>29</v>
      </c>
      <c r="K16075" s="33" t="s">
        <v>99</v>
      </c>
      <c r="L16075" s="31" t="str">
        <f t="shared" si="1552"/>
        <v>Dua Puluh Sembilan</v>
      </c>
    </row>
    <row r="16076" spans="1:12">
      <c r="J16076" s="31">
        <v>30</v>
      </c>
      <c r="K16076" s="33" t="s">
        <v>100</v>
      </c>
      <c r="L16076" s="31" t="s">
        <v>101</v>
      </c>
    </row>
    <row r="16077" spans="1:12">
      <c r="J16077" s="31">
        <v>31</v>
      </c>
      <c r="K16077" s="33" t="s">
        <v>102</v>
      </c>
      <c r="L16077" s="31" t="str">
        <f t="shared" ref="L16077:L16085" si="1553">$L$33&amp;" "&amp;L16047</f>
        <v>Tiga Puluh Satu</v>
      </c>
    </row>
    <row r="16078" spans="1:12">
      <c r="J16078" s="31">
        <v>32</v>
      </c>
      <c r="K16078" s="33" t="s">
        <v>103</v>
      </c>
      <c r="L16078" s="31" t="str">
        <f t="shared" si="1553"/>
        <v>Tiga Puluh Dua</v>
      </c>
    </row>
    <row r="16079" spans="1:12">
      <c r="J16079" s="31">
        <v>33</v>
      </c>
      <c r="K16079" s="33" t="s">
        <v>104</v>
      </c>
      <c r="L16079" s="31" t="str">
        <f t="shared" si="1553"/>
        <v>Tiga Puluh Tiga</v>
      </c>
    </row>
    <row r="16080" spans="1:12">
      <c r="J16080" s="31">
        <v>34</v>
      </c>
      <c r="K16080" s="33" t="s">
        <v>105</v>
      </c>
      <c r="L16080" s="31" t="str">
        <f t="shared" si="1553"/>
        <v>Tiga Puluh Empat</v>
      </c>
    </row>
    <row r="16081" spans="1:12">
      <c r="J16081" s="31">
        <v>35</v>
      </c>
      <c r="K16081" s="33" t="s">
        <v>106</v>
      </c>
      <c r="L16081" s="31" t="str">
        <f t="shared" si="1553"/>
        <v>Tiga Puluh Lima</v>
      </c>
    </row>
    <row r="16082" spans="1:12">
      <c r="J16082" s="31">
        <v>36</v>
      </c>
      <c r="K16082" s="33" t="s">
        <v>107</v>
      </c>
      <c r="L16082" s="31" t="str">
        <f t="shared" si="1553"/>
        <v>Tiga Puluh Enam</v>
      </c>
    </row>
    <row r="16083" spans="1:12">
      <c r="J16083" s="31">
        <v>37</v>
      </c>
      <c r="K16083" s="33" t="s">
        <v>108</v>
      </c>
      <c r="L16083" s="31" t="str">
        <f t="shared" si="1553"/>
        <v>Tiga Puluh Tujuh</v>
      </c>
    </row>
    <row r="16084" spans="1:12">
      <c r="J16084" s="31">
        <v>38</v>
      </c>
      <c r="K16084" s="33" t="s">
        <v>109</v>
      </c>
      <c r="L16084" s="31" t="str">
        <f t="shared" si="1553"/>
        <v>Tiga Puluh Delapan</v>
      </c>
    </row>
    <row r="16085" spans="1:12">
      <c r="J16085" s="31">
        <v>39</v>
      </c>
      <c r="K16085" s="33" t="s">
        <v>110</v>
      </c>
      <c r="L16085" s="31" t="str">
        <f t="shared" si="1553"/>
        <v>Tiga Puluh Sembilan</v>
      </c>
    </row>
    <row r="16086" spans="1:12">
      <c r="B16086" s="35"/>
      <c r="C16086" s="35"/>
      <c r="D16086" s="35"/>
      <c r="J16086" s="31">
        <v>40</v>
      </c>
      <c r="K16086" s="33" t="s">
        <v>111</v>
      </c>
      <c r="L16086" s="31" t="s">
        <v>112</v>
      </c>
    </row>
    <row r="16087" spans="1:12">
      <c r="A16087" s="35"/>
      <c r="B16087" s="35"/>
      <c r="C16087" s="35"/>
      <c r="D16087" s="35"/>
      <c r="J16087" s="31">
        <v>41</v>
      </c>
      <c r="K16087" s="33" t="s">
        <v>113</v>
      </c>
      <c r="L16087" s="31" t="str">
        <f t="shared" ref="L16087:L16095" si="1554">$L$43&amp;" "&amp;L16047</f>
        <v>Empat Puluh Satu</v>
      </c>
    </row>
    <row r="16088" spans="1:12">
      <c r="J16088" s="31">
        <v>42</v>
      </c>
      <c r="K16088" s="33" t="s">
        <v>114</v>
      </c>
      <c r="L16088" s="31" t="str">
        <f t="shared" si="1554"/>
        <v>Empat Puluh Dua</v>
      </c>
    </row>
    <row r="16089" spans="1:12">
      <c r="A16089" s="38"/>
      <c r="J16089" s="31">
        <v>43</v>
      </c>
      <c r="K16089" s="33" t="s">
        <v>115</v>
      </c>
      <c r="L16089" s="31" t="str">
        <f t="shared" si="1554"/>
        <v>Empat Puluh Tiga</v>
      </c>
    </row>
    <row r="16090" spans="1:12">
      <c r="J16090" s="31">
        <v>44</v>
      </c>
      <c r="K16090" s="33" t="s">
        <v>116</v>
      </c>
      <c r="L16090" s="31" t="str">
        <f t="shared" si="1554"/>
        <v>Empat Puluh Empat</v>
      </c>
    </row>
    <row r="16091" spans="1:12">
      <c r="J16091" s="31">
        <v>45</v>
      </c>
      <c r="K16091" s="33" t="s">
        <v>117</v>
      </c>
      <c r="L16091" s="31" t="str">
        <f t="shared" si="1554"/>
        <v>Empat Puluh Lima</v>
      </c>
    </row>
    <row r="16092" spans="1:12">
      <c r="J16092" s="31">
        <v>46</v>
      </c>
      <c r="K16092" s="33" t="s">
        <v>118</v>
      </c>
      <c r="L16092" s="31" t="str">
        <f t="shared" si="1554"/>
        <v>Empat Puluh Enam</v>
      </c>
    </row>
    <row r="16093" spans="1:12">
      <c r="J16093" s="31">
        <v>47</v>
      </c>
      <c r="K16093" s="33" t="s">
        <v>119</v>
      </c>
      <c r="L16093" s="31" t="str">
        <f t="shared" si="1554"/>
        <v>Empat Puluh Tujuh</v>
      </c>
    </row>
    <row r="16094" spans="1:12">
      <c r="J16094" s="31">
        <v>48</v>
      </c>
      <c r="K16094" s="33" t="s">
        <v>120</v>
      </c>
      <c r="L16094" s="31" t="str">
        <f t="shared" si="1554"/>
        <v>Empat Puluh Delapan</v>
      </c>
    </row>
    <row r="16095" spans="1:12">
      <c r="J16095" s="31">
        <v>49</v>
      </c>
      <c r="K16095" s="33" t="s">
        <v>121</v>
      </c>
      <c r="L16095" s="31" t="str">
        <f t="shared" si="1554"/>
        <v>Empat Puluh Sembilan</v>
      </c>
    </row>
    <row r="16096" spans="1:12">
      <c r="J16096" s="31">
        <v>50</v>
      </c>
      <c r="K16096" s="33" t="s">
        <v>122</v>
      </c>
      <c r="L16096" s="31" t="s">
        <v>123</v>
      </c>
    </row>
    <row r="16097" spans="10:12">
      <c r="J16097" s="31">
        <v>51</v>
      </c>
      <c r="K16097" s="33" t="s">
        <v>124</v>
      </c>
      <c r="L16097" s="31" t="str">
        <f t="shared" ref="L16097:L16105" si="1555">$L$53&amp;" "&amp;L16047</f>
        <v>Lima Puluh Satu</v>
      </c>
    </row>
    <row r="16098" spans="10:12">
      <c r="J16098" s="31">
        <v>52</v>
      </c>
      <c r="K16098" s="33" t="s">
        <v>125</v>
      </c>
      <c r="L16098" s="31" t="str">
        <f t="shared" si="1555"/>
        <v>Lima Puluh Dua</v>
      </c>
    </row>
    <row r="16099" spans="10:12">
      <c r="J16099" s="31">
        <v>53</v>
      </c>
      <c r="K16099" s="33" t="s">
        <v>126</v>
      </c>
      <c r="L16099" s="31" t="str">
        <f t="shared" si="1555"/>
        <v>Lima Puluh Tiga</v>
      </c>
    </row>
    <row r="16100" spans="10:12">
      <c r="J16100" s="31">
        <v>54</v>
      </c>
      <c r="K16100" s="33" t="s">
        <v>127</v>
      </c>
      <c r="L16100" s="31" t="str">
        <f t="shared" si="1555"/>
        <v>Lima Puluh Empat</v>
      </c>
    </row>
    <row r="16101" spans="10:12">
      <c r="J16101" s="31">
        <v>55</v>
      </c>
      <c r="K16101" s="33" t="s">
        <v>128</v>
      </c>
      <c r="L16101" s="31" t="str">
        <f t="shared" si="1555"/>
        <v>Lima Puluh Lima</v>
      </c>
    </row>
    <row r="16102" spans="10:12">
      <c r="J16102" s="31">
        <v>56</v>
      </c>
      <c r="K16102" s="33" t="s">
        <v>129</v>
      </c>
      <c r="L16102" s="31" t="str">
        <f t="shared" si="1555"/>
        <v>Lima Puluh Enam</v>
      </c>
    </row>
    <row r="16103" spans="10:12">
      <c r="J16103" s="31">
        <v>57</v>
      </c>
      <c r="K16103" s="33" t="s">
        <v>130</v>
      </c>
      <c r="L16103" s="31" t="str">
        <f t="shared" si="1555"/>
        <v>Lima Puluh Tujuh</v>
      </c>
    </row>
    <row r="16104" spans="10:12">
      <c r="J16104" s="31">
        <v>58</v>
      </c>
      <c r="K16104" s="33" t="s">
        <v>131</v>
      </c>
      <c r="L16104" s="31" t="str">
        <f t="shared" si="1555"/>
        <v>Lima Puluh Delapan</v>
      </c>
    </row>
    <row r="16105" spans="10:12">
      <c r="J16105" s="31">
        <v>59</v>
      </c>
      <c r="K16105" s="33" t="s">
        <v>132</v>
      </c>
      <c r="L16105" s="31" t="str">
        <f t="shared" si="1555"/>
        <v>Lima Puluh Sembilan</v>
      </c>
    </row>
    <row r="16106" spans="10:12">
      <c r="J16106" s="31">
        <v>60</v>
      </c>
      <c r="K16106" s="33" t="s">
        <v>133</v>
      </c>
      <c r="L16106" s="31" t="s">
        <v>134</v>
      </c>
    </row>
    <row r="16107" spans="10:12">
      <c r="J16107" s="31">
        <v>61</v>
      </c>
      <c r="K16107" s="33" t="s">
        <v>135</v>
      </c>
      <c r="L16107" s="31" t="str">
        <f t="shared" ref="L16107:L16115" si="1556">$L$63&amp;" "&amp;L16047</f>
        <v>Enam Puluh Satu</v>
      </c>
    </row>
    <row r="16108" spans="10:12">
      <c r="J16108" s="31">
        <v>62</v>
      </c>
      <c r="K16108" s="33" t="s">
        <v>136</v>
      </c>
      <c r="L16108" s="31" t="str">
        <f t="shared" si="1556"/>
        <v>Enam Puluh Dua</v>
      </c>
    </row>
    <row r="16109" spans="10:12">
      <c r="J16109" s="31">
        <v>63</v>
      </c>
      <c r="K16109" s="33" t="s">
        <v>137</v>
      </c>
      <c r="L16109" s="31" t="str">
        <f t="shared" si="1556"/>
        <v>Enam Puluh Tiga</v>
      </c>
    </row>
    <row r="16110" spans="10:12">
      <c r="J16110" s="31">
        <v>64</v>
      </c>
      <c r="K16110" s="33" t="s">
        <v>138</v>
      </c>
      <c r="L16110" s="31" t="str">
        <f t="shared" si="1556"/>
        <v>Enam Puluh Empat</v>
      </c>
    </row>
    <row r="16111" spans="10:12">
      <c r="J16111" s="31">
        <v>65</v>
      </c>
      <c r="K16111" s="33" t="s">
        <v>139</v>
      </c>
      <c r="L16111" s="31" t="str">
        <f t="shared" si="1556"/>
        <v>Enam Puluh Lima</v>
      </c>
    </row>
    <row r="16112" spans="10:12">
      <c r="J16112" s="31">
        <v>66</v>
      </c>
      <c r="K16112" s="33" t="s">
        <v>140</v>
      </c>
      <c r="L16112" s="31" t="str">
        <f t="shared" si="1556"/>
        <v>Enam Puluh Enam</v>
      </c>
    </row>
    <row r="16113" spans="10:12">
      <c r="J16113" s="31">
        <v>67</v>
      </c>
      <c r="K16113" s="33" t="s">
        <v>141</v>
      </c>
      <c r="L16113" s="31" t="str">
        <f t="shared" si="1556"/>
        <v>Enam Puluh Tujuh</v>
      </c>
    </row>
    <row r="16114" spans="10:12">
      <c r="J16114" s="31">
        <v>68</v>
      </c>
      <c r="K16114" s="33" t="s">
        <v>142</v>
      </c>
      <c r="L16114" s="31" t="str">
        <f t="shared" si="1556"/>
        <v>Enam Puluh Delapan</v>
      </c>
    </row>
    <row r="16115" spans="10:12">
      <c r="J16115" s="31">
        <v>69</v>
      </c>
      <c r="K16115" s="33" t="s">
        <v>143</v>
      </c>
      <c r="L16115" s="31" t="str">
        <f t="shared" si="1556"/>
        <v>Enam Puluh Sembilan</v>
      </c>
    </row>
    <row r="16116" spans="10:12">
      <c r="J16116" s="31">
        <v>70</v>
      </c>
      <c r="K16116" s="33" t="s">
        <v>144</v>
      </c>
      <c r="L16116" s="31" t="s">
        <v>145</v>
      </c>
    </row>
    <row r="16117" spans="10:12">
      <c r="J16117" s="31">
        <v>71</v>
      </c>
      <c r="K16117" s="33" t="s">
        <v>146</v>
      </c>
      <c r="L16117" s="31" t="str">
        <f t="shared" ref="L16117:L16125" si="1557">$L$73&amp;" "&amp;L16047</f>
        <v>Tujuh Puluh Satu</v>
      </c>
    </row>
    <row r="16118" spans="10:12">
      <c r="J16118" s="31">
        <v>72</v>
      </c>
      <c r="K16118" s="33" t="s">
        <v>147</v>
      </c>
      <c r="L16118" s="31" t="str">
        <f t="shared" si="1557"/>
        <v>Tujuh Puluh Dua</v>
      </c>
    </row>
    <row r="16119" spans="10:12">
      <c r="J16119" s="31">
        <v>73</v>
      </c>
      <c r="K16119" s="33" t="s">
        <v>148</v>
      </c>
      <c r="L16119" s="31" t="str">
        <f t="shared" si="1557"/>
        <v>Tujuh Puluh Tiga</v>
      </c>
    </row>
    <row r="16120" spans="10:12">
      <c r="J16120" s="31">
        <v>74</v>
      </c>
      <c r="K16120" s="33" t="s">
        <v>149</v>
      </c>
      <c r="L16120" s="31" t="str">
        <f t="shared" si="1557"/>
        <v>Tujuh Puluh Empat</v>
      </c>
    </row>
    <row r="16121" spans="10:12">
      <c r="J16121" s="31">
        <v>75</v>
      </c>
      <c r="K16121" s="33" t="s">
        <v>150</v>
      </c>
      <c r="L16121" s="31" t="str">
        <f t="shared" si="1557"/>
        <v>Tujuh Puluh Lima</v>
      </c>
    </row>
    <row r="16122" spans="10:12">
      <c r="J16122" s="31">
        <v>76</v>
      </c>
      <c r="K16122" s="33" t="s">
        <v>151</v>
      </c>
      <c r="L16122" s="31" t="str">
        <f t="shared" si="1557"/>
        <v>Tujuh Puluh Enam</v>
      </c>
    </row>
    <row r="16123" spans="10:12">
      <c r="J16123" s="31">
        <v>77</v>
      </c>
      <c r="K16123" s="33" t="s">
        <v>152</v>
      </c>
      <c r="L16123" s="31" t="str">
        <f t="shared" si="1557"/>
        <v>Tujuh Puluh Tujuh</v>
      </c>
    </row>
    <row r="16124" spans="10:12">
      <c r="J16124" s="31">
        <v>78</v>
      </c>
      <c r="K16124" s="33" t="s">
        <v>153</v>
      </c>
      <c r="L16124" s="31" t="str">
        <f t="shared" si="1557"/>
        <v>Tujuh Puluh Delapan</v>
      </c>
    </row>
    <row r="16125" spans="10:12">
      <c r="J16125" s="31">
        <v>79</v>
      </c>
      <c r="K16125" s="33" t="s">
        <v>154</v>
      </c>
      <c r="L16125" s="31" t="str">
        <f t="shared" si="1557"/>
        <v>Tujuh Puluh Sembilan</v>
      </c>
    </row>
    <row r="16126" spans="10:12">
      <c r="J16126" s="31">
        <v>80</v>
      </c>
      <c r="K16126" s="33" t="s">
        <v>155</v>
      </c>
      <c r="L16126" s="31" t="s">
        <v>156</v>
      </c>
    </row>
    <row r="16127" spans="10:12">
      <c r="J16127" s="31">
        <v>81</v>
      </c>
      <c r="K16127" s="33" t="s">
        <v>157</v>
      </c>
      <c r="L16127" s="31" t="str">
        <f t="shared" ref="L16127:L16135" si="1558">$L$83&amp;" "&amp;L16047</f>
        <v>Delapan Puluh Satu</v>
      </c>
    </row>
    <row r="16128" spans="10:12">
      <c r="J16128" s="31">
        <v>82</v>
      </c>
      <c r="K16128" s="33" t="s">
        <v>158</v>
      </c>
      <c r="L16128" s="31" t="str">
        <f t="shared" si="1558"/>
        <v>Delapan Puluh Dua</v>
      </c>
    </row>
    <row r="16129" spans="10:12">
      <c r="J16129" s="31">
        <v>83</v>
      </c>
      <c r="K16129" s="33" t="s">
        <v>159</v>
      </c>
      <c r="L16129" s="31" t="str">
        <f t="shared" si="1558"/>
        <v>Delapan Puluh Tiga</v>
      </c>
    </row>
    <row r="16130" spans="10:12">
      <c r="J16130" s="31">
        <v>84</v>
      </c>
      <c r="K16130" s="33" t="s">
        <v>160</v>
      </c>
      <c r="L16130" s="31" t="str">
        <f t="shared" si="1558"/>
        <v>Delapan Puluh Empat</v>
      </c>
    </row>
    <row r="16131" spans="10:12">
      <c r="J16131" s="31">
        <v>85</v>
      </c>
      <c r="K16131" s="33" t="s">
        <v>161</v>
      </c>
      <c r="L16131" s="31" t="str">
        <f t="shared" si="1558"/>
        <v>Delapan Puluh Lima</v>
      </c>
    </row>
    <row r="16132" spans="10:12">
      <c r="J16132" s="31">
        <v>86</v>
      </c>
      <c r="K16132" s="33" t="s">
        <v>162</v>
      </c>
      <c r="L16132" s="31" t="str">
        <f t="shared" si="1558"/>
        <v>Delapan Puluh Enam</v>
      </c>
    </row>
    <row r="16133" spans="10:12">
      <c r="J16133" s="31">
        <v>87</v>
      </c>
      <c r="K16133" s="33" t="s">
        <v>163</v>
      </c>
      <c r="L16133" s="31" t="str">
        <f t="shared" si="1558"/>
        <v>Delapan Puluh Tujuh</v>
      </c>
    </row>
    <row r="16134" spans="10:12">
      <c r="J16134" s="31">
        <v>88</v>
      </c>
      <c r="K16134" s="33" t="s">
        <v>164</v>
      </c>
      <c r="L16134" s="31" t="str">
        <f t="shared" si="1558"/>
        <v>Delapan Puluh Delapan</v>
      </c>
    </row>
    <row r="16135" spans="10:12">
      <c r="J16135" s="31">
        <v>89</v>
      </c>
      <c r="K16135" s="33" t="s">
        <v>165</v>
      </c>
      <c r="L16135" s="31" t="str">
        <f t="shared" si="1558"/>
        <v>Delapan Puluh Sembilan</v>
      </c>
    </row>
    <row r="16136" spans="10:12">
      <c r="J16136" s="31">
        <v>90</v>
      </c>
      <c r="K16136" s="33" t="s">
        <v>166</v>
      </c>
      <c r="L16136" s="31" t="s">
        <v>167</v>
      </c>
    </row>
    <row r="16137" spans="10:12">
      <c r="J16137" s="31">
        <v>91</v>
      </c>
      <c r="K16137" s="33" t="s">
        <v>168</v>
      </c>
      <c r="L16137" s="31" t="str">
        <f t="shared" ref="L16137:L16145" si="1559">$L$93&amp;" "&amp;L16047</f>
        <v>Sembilan Puluh Satu</v>
      </c>
    </row>
    <row r="16138" spans="10:12">
      <c r="J16138" s="31">
        <v>92</v>
      </c>
      <c r="K16138" s="33" t="s">
        <v>169</v>
      </c>
      <c r="L16138" s="31" t="str">
        <f t="shared" si="1559"/>
        <v>Sembilan Puluh Dua</v>
      </c>
    </row>
    <row r="16139" spans="10:12">
      <c r="J16139" s="31">
        <v>93</v>
      </c>
      <c r="K16139" s="33" t="s">
        <v>170</v>
      </c>
      <c r="L16139" s="31" t="str">
        <f t="shared" si="1559"/>
        <v>Sembilan Puluh Tiga</v>
      </c>
    </row>
    <row r="16140" spans="10:12">
      <c r="J16140" s="31">
        <v>94</v>
      </c>
      <c r="K16140" s="33" t="s">
        <v>171</v>
      </c>
      <c r="L16140" s="31" t="str">
        <f t="shared" si="1559"/>
        <v>Sembilan Puluh Empat</v>
      </c>
    </row>
    <row r="16141" spans="10:12">
      <c r="J16141" s="31">
        <v>95</v>
      </c>
      <c r="K16141" s="33" t="s">
        <v>172</v>
      </c>
      <c r="L16141" s="31" t="str">
        <f t="shared" si="1559"/>
        <v>Sembilan Puluh Lima</v>
      </c>
    </row>
    <row r="16142" spans="10:12">
      <c r="J16142" s="31">
        <v>96</v>
      </c>
      <c r="K16142" s="33" t="s">
        <v>173</v>
      </c>
      <c r="L16142" s="31" t="str">
        <f t="shared" si="1559"/>
        <v>Sembilan Puluh Enam</v>
      </c>
    </row>
    <row r="16143" spans="10:12">
      <c r="J16143" s="31">
        <v>97</v>
      </c>
      <c r="K16143" s="33" t="s">
        <v>174</v>
      </c>
      <c r="L16143" s="31" t="str">
        <f t="shared" si="1559"/>
        <v>Sembilan Puluh Tujuh</v>
      </c>
    </row>
    <row r="16144" spans="10:12">
      <c r="J16144" s="31">
        <v>98</v>
      </c>
      <c r="K16144" s="33" t="s">
        <v>175</v>
      </c>
      <c r="L16144" s="31" t="str">
        <f t="shared" si="1559"/>
        <v>Sembilan Puluh Delapan</v>
      </c>
    </row>
    <row r="16145" spans="1:12">
      <c r="J16145" s="31">
        <v>99</v>
      </c>
      <c r="K16145" s="33" t="s">
        <v>176</v>
      </c>
      <c r="L16145" s="31" t="str">
        <f t="shared" si="1559"/>
        <v>Sembilan Puluh Sembilan</v>
      </c>
    </row>
    <row r="16147" spans="1:12">
      <c r="A16147" s="30" t="e">
        <f>#REF!</f>
        <v>#REF!</v>
      </c>
      <c r="C16147" s="31" t="s">
        <v>391</v>
      </c>
    </row>
    <row r="16148" spans="1:12">
      <c r="A16148" s="32"/>
    </row>
    <row r="16149" spans="1:12">
      <c r="J16149" s="31">
        <v>0</v>
      </c>
      <c r="K16149" s="33" t="s">
        <v>48</v>
      </c>
      <c r="L16149" s="31" t="s">
        <v>49</v>
      </c>
    </row>
    <row r="16150" spans="1:12">
      <c r="A16150" s="34"/>
      <c r="J16150" s="31">
        <v>1</v>
      </c>
      <c r="K16150" s="33" t="s">
        <v>50</v>
      </c>
      <c r="L16150" s="31" t="s">
        <v>51</v>
      </c>
    </row>
    <row r="16151" spans="1:12">
      <c r="A16151" s="255" t="e">
        <f>TRIM(D16159&amp;E16159&amp;D16160&amp;E16160&amp;D16161&amp;E16161&amp;D16162&amp;E16162&amp;D16163&amp;E16163&amp;D16164&amp;E16164&amp;E16165&amp;D16165&amp;" Only")</f>
        <v>#REF!</v>
      </c>
      <c r="B16151" s="255"/>
      <c r="C16151" s="255"/>
      <c r="D16151" s="255"/>
      <c r="E16151" s="35"/>
      <c r="F16151" s="36"/>
      <c r="J16151" s="31">
        <v>2</v>
      </c>
      <c r="K16151" s="33" t="s">
        <v>52</v>
      </c>
      <c r="L16151" s="31" t="s">
        <v>53</v>
      </c>
    </row>
    <row r="16152" spans="1:12">
      <c r="A16152" s="120"/>
      <c r="B16152" s="120"/>
      <c r="C16152" s="120"/>
      <c r="D16152" s="120"/>
      <c r="E16152" s="35"/>
      <c r="F16152" s="36"/>
      <c r="J16152" s="31">
        <v>3</v>
      </c>
      <c r="K16152" s="33" t="s">
        <v>54</v>
      </c>
      <c r="L16152" s="31" t="s">
        <v>55</v>
      </c>
    </row>
    <row r="16153" spans="1:12">
      <c r="A16153" s="120"/>
      <c r="B16153" s="120"/>
      <c r="C16153" s="120"/>
      <c r="D16153" s="120"/>
      <c r="J16153" s="31">
        <v>4</v>
      </c>
      <c r="K16153" s="33" t="s">
        <v>56</v>
      </c>
      <c r="L16153" s="31" t="s">
        <v>57</v>
      </c>
    </row>
    <row r="16154" spans="1:12">
      <c r="A16154" s="255" t="e">
        <f>TRIM(D16169&amp;E16169&amp;D16170&amp;E16170&amp;D16171&amp;E16171&amp;D16172&amp;E16172&amp;D16173&amp;E16173&amp;D16174&amp;E16174&amp;D16175&amp;E16175&amp;" Rupiah")</f>
        <v>#REF!</v>
      </c>
      <c r="B16154" s="255"/>
      <c r="C16154" s="255"/>
      <c r="D16154" s="255"/>
      <c r="E16154" s="35"/>
      <c r="F16154" s="36"/>
      <c r="J16154" s="31">
        <v>5</v>
      </c>
      <c r="K16154" s="33" t="s">
        <v>58</v>
      </c>
      <c r="L16154" s="31" t="s">
        <v>59</v>
      </c>
    </row>
    <row r="16155" spans="1:12">
      <c r="A16155" s="35"/>
      <c r="B16155" s="35"/>
      <c r="C16155" s="35"/>
      <c r="D16155" s="35"/>
      <c r="E16155" s="35"/>
      <c r="F16155" s="36"/>
      <c r="J16155" s="31">
        <v>6</v>
      </c>
      <c r="K16155" s="33" t="s">
        <v>60</v>
      </c>
      <c r="L16155" s="31" t="s">
        <v>61</v>
      </c>
    </row>
    <row r="16156" spans="1:12">
      <c r="J16156" s="31">
        <v>7</v>
      </c>
      <c r="K16156" s="33" t="s">
        <v>62</v>
      </c>
      <c r="L16156" s="31" t="s">
        <v>63</v>
      </c>
    </row>
    <row r="16157" spans="1:12">
      <c r="J16157" s="31">
        <v>8</v>
      </c>
      <c r="K16157" s="33" t="s">
        <v>64</v>
      </c>
      <c r="L16157" s="31" t="s">
        <v>65</v>
      </c>
    </row>
    <row r="16158" spans="1:12">
      <c r="A16158" s="38" t="s">
        <v>66</v>
      </c>
      <c r="J16158" s="31">
        <v>9</v>
      </c>
      <c r="K16158" s="33" t="s">
        <v>67</v>
      </c>
      <c r="L16158" s="31" t="s">
        <v>68</v>
      </c>
    </row>
    <row r="16159" spans="1:12">
      <c r="A16159" s="31" t="s">
        <v>69</v>
      </c>
      <c r="B16159" s="39" t="e">
        <f>TRUNC(A16147/100000000)</f>
        <v>#REF!</v>
      </c>
      <c r="C16159" s="31" t="e">
        <f>B16159*100000000</f>
        <v>#REF!</v>
      </c>
      <c r="D16159" s="31" t="e">
        <f t="shared" ref="D16159:D16165" si="1560">IF(B16159&lt;1,"",VLOOKUP(B16159,$J$3:$K$102,2))</f>
        <v>#REF!</v>
      </c>
      <c r="E16159" s="31" t="e">
        <f>IF(B16159&lt;1,"",IF(B16159&gt;1," Hundreds "," Hundred "))</f>
        <v>#REF!</v>
      </c>
      <c r="J16159" s="31">
        <v>10</v>
      </c>
      <c r="K16159" s="33" t="s">
        <v>70</v>
      </c>
      <c r="L16159" s="31" t="s">
        <v>71</v>
      </c>
    </row>
    <row r="16160" spans="1:12">
      <c r="A16160" s="31" t="s">
        <v>72</v>
      </c>
      <c r="B16160" s="39" t="e">
        <f>TRUNC((A16147-C16159)/1000000)</f>
        <v>#REF!</v>
      </c>
      <c r="C16160" s="31" t="e">
        <f>B16160*1000000</f>
        <v>#REF!</v>
      </c>
      <c r="D16160" s="31" t="e">
        <f t="shared" si="1560"/>
        <v>#REF!</v>
      </c>
      <c r="E16160" s="31" t="e">
        <f>IF(B16159+B16160=0,"",IF(B16160=1," Million "," Millions "))</f>
        <v>#REF!</v>
      </c>
      <c r="J16160" s="31">
        <v>11</v>
      </c>
      <c r="K16160" s="33" t="s">
        <v>73</v>
      </c>
      <c r="L16160" s="31" t="s">
        <v>74</v>
      </c>
    </row>
    <row r="16161" spans="1:12">
      <c r="A16161" s="31" t="s">
        <v>75</v>
      </c>
      <c r="B16161" s="39" t="e">
        <f>TRUNC((A16147-SUM(C16159:C16160))/100000)</f>
        <v>#REF!</v>
      </c>
      <c r="C16161" s="31" t="e">
        <f>B16161*100000</f>
        <v>#REF!</v>
      </c>
      <c r="D16161" s="31" t="e">
        <f t="shared" si="1560"/>
        <v>#REF!</v>
      </c>
      <c r="E16161" s="31" t="e">
        <f>IF(B16161&lt;1,"",IF(B16161&gt;1," Hundreds "," Hundred "))</f>
        <v>#REF!</v>
      </c>
      <c r="J16161" s="31">
        <v>12</v>
      </c>
      <c r="K16161" s="33" t="s">
        <v>76</v>
      </c>
      <c r="L16161" s="31" t="str">
        <f t="shared" ref="L16161:L16168" si="1561">L16151&amp;" Belas"</f>
        <v>Dua Belas</v>
      </c>
    </row>
    <row r="16162" spans="1:12">
      <c r="A16162" s="33" t="s">
        <v>77</v>
      </c>
      <c r="B16162" s="40" t="e">
        <f>TRUNC((A16147-SUM(C16159:C16161))/1000)</f>
        <v>#REF!</v>
      </c>
      <c r="C16162" s="31" t="e">
        <f>B16162*1000</f>
        <v>#REF!</v>
      </c>
      <c r="D16162" s="31" t="e">
        <f t="shared" si="1560"/>
        <v>#REF!</v>
      </c>
      <c r="E16162" s="31" t="e">
        <f>IF(B16161+B16162=0,"",IF(B16162=1," Thousand "," Thousands "))</f>
        <v>#REF!</v>
      </c>
      <c r="J16162" s="31">
        <v>13</v>
      </c>
      <c r="K16162" s="33" t="s">
        <v>78</v>
      </c>
      <c r="L16162" s="31" t="str">
        <f t="shared" si="1561"/>
        <v>Tiga Belas</v>
      </c>
    </row>
    <row r="16163" spans="1:12">
      <c r="A16163" s="33" t="s">
        <v>79</v>
      </c>
      <c r="B16163" s="40" t="e">
        <f>TRUNC((A16147-SUM(C16159:C16162))/100)</f>
        <v>#REF!</v>
      </c>
      <c r="C16163" s="31" t="e">
        <f>B16163*100</f>
        <v>#REF!</v>
      </c>
      <c r="D16163" s="31" t="e">
        <f t="shared" si="1560"/>
        <v>#REF!</v>
      </c>
      <c r="E16163" s="31" t="e">
        <f>IF(B16163&lt;1,"",IF(B16163&gt;1," Hundreds "," Hundred "))</f>
        <v>#REF!</v>
      </c>
      <c r="J16163" s="31">
        <v>14</v>
      </c>
      <c r="K16163" s="33" t="s">
        <v>80</v>
      </c>
      <c r="L16163" s="31" t="str">
        <f t="shared" si="1561"/>
        <v>Empat Belas</v>
      </c>
    </row>
    <row r="16164" spans="1:12">
      <c r="A16164" s="33" t="s">
        <v>81</v>
      </c>
      <c r="B16164" s="41" t="e">
        <f>TRUNC((A16147-SUM(C16159:C16163)))</f>
        <v>#REF!</v>
      </c>
      <c r="C16164" s="42" t="e">
        <f>B16164</f>
        <v>#REF!</v>
      </c>
      <c r="D16164" s="31" t="e">
        <f t="shared" si="1560"/>
        <v>#REF!</v>
      </c>
      <c r="E16164" s="31" t="e">
        <f>IF(SUM(C16159:C16164)&lt;1,"",IF(B16165&lt;1,""," And "))</f>
        <v>#REF!</v>
      </c>
      <c r="J16164" s="31">
        <v>15</v>
      </c>
      <c r="K16164" s="33" t="s">
        <v>82</v>
      </c>
      <c r="L16164" s="31" t="str">
        <f t="shared" si="1561"/>
        <v>Lima Belas</v>
      </c>
    </row>
    <row r="16165" spans="1:12">
      <c r="A16165" s="33" t="s">
        <v>83</v>
      </c>
      <c r="B16165" s="40" t="e">
        <f>ROUND(A16147-SUM(C16159:C16164),2)*100</f>
        <v>#REF!</v>
      </c>
      <c r="D16165" s="43" t="e">
        <f t="shared" si="1560"/>
        <v>#REF!</v>
      </c>
      <c r="E16165" s="31" t="e">
        <f>IF(B16165&lt;1,"",IF(B16165=1," Cent "," Cents "))</f>
        <v>#REF!</v>
      </c>
      <c r="J16165" s="31">
        <v>16</v>
      </c>
      <c r="K16165" s="33" t="s">
        <v>84</v>
      </c>
      <c r="L16165" s="31" t="str">
        <f t="shared" si="1561"/>
        <v>Enam Belas</v>
      </c>
    </row>
    <row r="16166" spans="1:12">
      <c r="J16166" s="31">
        <v>17</v>
      </c>
      <c r="K16166" s="33" t="s">
        <v>85</v>
      </c>
      <c r="L16166" s="31" t="str">
        <f t="shared" si="1561"/>
        <v>Tujuh Belas</v>
      </c>
    </row>
    <row r="16167" spans="1:12">
      <c r="A16167" s="44"/>
      <c r="J16167" s="31">
        <v>18</v>
      </c>
      <c r="K16167" s="33" t="s">
        <v>86</v>
      </c>
      <c r="L16167" s="31" t="str">
        <f t="shared" si="1561"/>
        <v>Delapan Belas</v>
      </c>
    </row>
    <row r="16168" spans="1:12">
      <c r="A16168" s="38" t="s">
        <v>87</v>
      </c>
      <c r="J16168" s="31">
        <v>19</v>
      </c>
      <c r="K16168" s="33" t="s">
        <v>88</v>
      </c>
      <c r="L16168" s="31" t="str">
        <f t="shared" si="1561"/>
        <v>Sembilan Belas</v>
      </c>
    </row>
    <row r="16169" spans="1:12">
      <c r="A16169" s="31" t="s">
        <v>69</v>
      </c>
      <c r="B16169" s="39" t="e">
        <f>TRUNC(A16147/100000000)</f>
        <v>#REF!</v>
      </c>
      <c r="C16169" s="31" t="e">
        <f>B16169*100000000</f>
        <v>#REF!</v>
      </c>
      <c r="D16169" s="31" t="e">
        <f>IF(B16169&lt;1,"",IF(B16169=1,"",VLOOKUP(B16169,$J$3:$L$102,3)))</f>
        <v>#REF!</v>
      </c>
      <c r="E16169" s="31" t="e">
        <f>IF(B16169&lt;1,"",IF(B16169=1,"Seratus "," Ratus "))</f>
        <v>#REF!</v>
      </c>
      <c r="J16169" s="31">
        <v>20</v>
      </c>
      <c r="K16169" s="33" t="s">
        <v>89</v>
      </c>
      <c r="L16169" s="31" t="s">
        <v>90</v>
      </c>
    </row>
    <row r="16170" spans="1:12">
      <c r="A16170" s="31" t="s">
        <v>72</v>
      </c>
      <c r="B16170" s="39" t="e">
        <f>TRUNC((A16147-C16169)/1000000)</f>
        <v>#REF!</v>
      </c>
      <c r="C16170" s="31" t="e">
        <f>B16170*1000000</f>
        <v>#REF!</v>
      </c>
      <c r="D16170" s="31" t="e">
        <f>IF(B16170&lt;1,"",VLOOKUP(B16170,$J$3:$L$102,3))</f>
        <v>#REF!</v>
      </c>
      <c r="E16170" s="31" t="e">
        <f>IF(B16169+B16170=0,""," Juta ")</f>
        <v>#REF!</v>
      </c>
      <c r="J16170" s="31">
        <v>21</v>
      </c>
      <c r="K16170" s="33" t="s">
        <v>91</v>
      </c>
      <c r="L16170" s="31" t="str">
        <f t="shared" ref="L16170:L16178" si="1562">$L$23&amp;" "&amp;L16150</f>
        <v>Dua Puluh Satu</v>
      </c>
    </row>
    <row r="16171" spans="1:12">
      <c r="A16171" s="31" t="s">
        <v>75</v>
      </c>
      <c r="B16171" s="39" t="e">
        <f>TRUNC((A16147-SUM(C16169:C16170))/100000)</f>
        <v>#REF!</v>
      </c>
      <c r="C16171" s="31" t="e">
        <f>B16171*100000</f>
        <v>#REF!</v>
      </c>
      <c r="D16171" s="31" t="e">
        <f>IF(B16171&lt;1,"",IF(B16171=1,"",VLOOKUP(B16171,$J$3:$L$102,3)))</f>
        <v>#REF!</v>
      </c>
      <c r="E16171" s="31" t="e">
        <f>IF(B16171&lt;1,"",IF(B16171=1," Seratus "," Ratus "))</f>
        <v>#REF!</v>
      </c>
      <c r="J16171" s="31">
        <v>22</v>
      </c>
      <c r="K16171" s="33" t="s">
        <v>92</v>
      </c>
      <c r="L16171" s="31" t="str">
        <f t="shared" si="1562"/>
        <v>Dua Puluh Dua</v>
      </c>
    </row>
    <row r="16172" spans="1:12">
      <c r="A16172" s="33" t="s">
        <v>77</v>
      </c>
      <c r="B16172" s="40" t="e">
        <f>TRUNC((A16147-SUM(C16169:C16171))/1000)</f>
        <v>#REF!</v>
      </c>
      <c r="C16172" s="31" t="e">
        <f>B16172*1000</f>
        <v>#REF!</v>
      </c>
      <c r="D16172" s="31" t="e">
        <f>IF(B16172&lt;1,"",IF(B16172=1,"",VLOOKUP(B16172,$J$3:$L$102,3)))</f>
        <v>#REF!</v>
      </c>
      <c r="E16172" s="31" t="e">
        <f>IF(B16171+B16172&lt;1,"",IF(B16172=1," Seribu "," Ribu "))</f>
        <v>#REF!</v>
      </c>
      <c r="J16172" s="31">
        <v>23</v>
      </c>
      <c r="K16172" s="33" t="s">
        <v>93</v>
      </c>
      <c r="L16172" s="31" t="str">
        <f t="shared" si="1562"/>
        <v>Dua Puluh Tiga</v>
      </c>
    </row>
    <row r="16173" spans="1:12">
      <c r="A16173" s="33" t="s">
        <v>79</v>
      </c>
      <c r="B16173" s="40" t="e">
        <f>TRUNC((A16147-SUM(C16169:C16172))/100)</f>
        <v>#REF!</v>
      </c>
      <c r="C16173" s="31" t="e">
        <f>B16173*100</f>
        <v>#REF!</v>
      </c>
      <c r="D16173" s="31" t="e">
        <f>IF(B16173&lt;1,"",IF(B16173=1,"",VLOOKUP(B16173,$J$3:$L$102,3)))</f>
        <v>#REF!</v>
      </c>
      <c r="E16173" s="31" t="e">
        <f>IF(B16173&lt;1,"",IF(B16173=1," Seratus "," Ratus "))</f>
        <v>#REF!</v>
      </c>
      <c r="J16173" s="31">
        <v>24</v>
      </c>
      <c r="K16173" s="33" t="s">
        <v>94</v>
      </c>
      <c r="L16173" s="31" t="str">
        <f t="shared" si="1562"/>
        <v>Dua Puluh Empat</v>
      </c>
    </row>
    <row r="16174" spans="1:12">
      <c r="A16174" s="33" t="s">
        <v>81</v>
      </c>
      <c r="B16174" s="41" t="e">
        <f>TRUNC((A16147-SUM(C16169:C16173)))</f>
        <v>#REF!</v>
      </c>
      <c r="C16174" s="42" t="e">
        <f>B16174</f>
        <v>#REF!</v>
      </c>
      <c r="D16174" s="31" t="e">
        <f>IF(B16174&lt;1,"",VLOOKUP(B16174,$J$3:$L$102,3))</f>
        <v>#REF!</v>
      </c>
      <c r="E16174" s="31" t="e">
        <f>IF(SUM(C16169:C16174)&lt;1,"",IF(B16175&lt;1,""," Dan "))</f>
        <v>#REF!</v>
      </c>
      <c r="J16174" s="31">
        <v>25</v>
      </c>
      <c r="K16174" s="33" t="s">
        <v>95</v>
      </c>
      <c r="L16174" s="31" t="str">
        <f t="shared" si="1562"/>
        <v>Dua Puluh Lima</v>
      </c>
    </row>
    <row r="16175" spans="1:12">
      <c r="A16175" s="33" t="s">
        <v>83</v>
      </c>
      <c r="B16175" s="40" t="e">
        <f>ROUND(A16147-SUM(C16169:C16174),2)*100</f>
        <v>#REF!</v>
      </c>
      <c r="D16175" s="31" t="e">
        <f>IF(B16175&lt;1,"",VLOOKUP(B16175,$J$3:$L$102,3))</f>
        <v>#REF!</v>
      </c>
      <c r="E16175" s="31" t="e">
        <f>IF(B16175&lt;1,""," Sen ")</f>
        <v>#REF!</v>
      </c>
      <c r="J16175" s="31">
        <v>26</v>
      </c>
      <c r="K16175" s="33" t="s">
        <v>96</v>
      </c>
      <c r="L16175" s="31" t="str">
        <f t="shared" si="1562"/>
        <v>Dua Puluh Enam</v>
      </c>
    </row>
    <row r="16176" spans="1:12">
      <c r="J16176" s="31">
        <v>27</v>
      </c>
      <c r="K16176" s="33" t="s">
        <v>97</v>
      </c>
      <c r="L16176" s="31" t="str">
        <f t="shared" si="1562"/>
        <v>Dua Puluh Tujuh</v>
      </c>
    </row>
    <row r="16177" spans="1:12">
      <c r="J16177" s="31">
        <v>28</v>
      </c>
      <c r="K16177" s="33" t="s">
        <v>98</v>
      </c>
      <c r="L16177" s="31" t="str">
        <f t="shared" si="1562"/>
        <v>Dua Puluh Delapan</v>
      </c>
    </row>
    <row r="16178" spans="1:12">
      <c r="J16178" s="31">
        <v>29</v>
      </c>
      <c r="K16178" s="33" t="s">
        <v>99</v>
      </c>
      <c r="L16178" s="31" t="str">
        <f t="shared" si="1562"/>
        <v>Dua Puluh Sembilan</v>
      </c>
    </row>
    <row r="16179" spans="1:12">
      <c r="J16179" s="31">
        <v>30</v>
      </c>
      <c r="K16179" s="33" t="s">
        <v>100</v>
      </c>
      <c r="L16179" s="31" t="s">
        <v>101</v>
      </c>
    </row>
    <row r="16180" spans="1:12">
      <c r="J16180" s="31">
        <v>31</v>
      </c>
      <c r="K16180" s="33" t="s">
        <v>102</v>
      </c>
      <c r="L16180" s="31" t="str">
        <f t="shared" ref="L16180:L16188" si="1563">$L$33&amp;" "&amp;L16150</f>
        <v>Tiga Puluh Satu</v>
      </c>
    </row>
    <row r="16181" spans="1:12">
      <c r="J16181" s="31">
        <v>32</v>
      </c>
      <c r="K16181" s="33" t="s">
        <v>103</v>
      </c>
      <c r="L16181" s="31" t="str">
        <f t="shared" si="1563"/>
        <v>Tiga Puluh Dua</v>
      </c>
    </row>
    <row r="16182" spans="1:12">
      <c r="J16182" s="31">
        <v>33</v>
      </c>
      <c r="K16182" s="33" t="s">
        <v>104</v>
      </c>
      <c r="L16182" s="31" t="str">
        <f t="shared" si="1563"/>
        <v>Tiga Puluh Tiga</v>
      </c>
    </row>
    <row r="16183" spans="1:12">
      <c r="J16183" s="31">
        <v>34</v>
      </c>
      <c r="K16183" s="33" t="s">
        <v>105</v>
      </c>
      <c r="L16183" s="31" t="str">
        <f t="shared" si="1563"/>
        <v>Tiga Puluh Empat</v>
      </c>
    </row>
    <row r="16184" spans="1:12">
      <c r="J16184" s="31">
        <v>35</v>
      </c>
      <c r="K16184" s="33" t="s">
        <v>106</v>
      </c>
      <c r="L16184" s="31" t="str">
        <f t="shared" si="1563"/>
        <v>Tiga Puluh Lima</v>
      </c>
    </row>
    <row r="16185" spans="1:12">
      <c r="J16185" s="31">
        <v>36</v>
      </c>
      <c r="K16185" s="33" t="s">
        <v>107</v>
      </c>
      <c r="L16185" s="31" t="str">
        <f t="shared" si="1563"/>
        <v>Tiga Puluh Enam</v>
      </c>
    </row>
    <row r="16186" spans="1:12">
      <c r="J16186" s="31">
        <v>37</v>
      </c>
      <c r="K16186" s="33" t="s">
        <v>108</v>
      </c>
      <c r="L16186" s="31" t="str">
        <f t="shared" si="1563"/>
        <v>Tiga Puluh Tujuh</v>
      </c>
    </row>
    <row r="16187" spans="1:12">
      <c r="J16187" s="31">
        <v>38</v>
      </c>
      <c r="K16187" s="33" t="s">
        <v>109</v>
      </c>
      <c r="L16187" s="31" t="str">
        <f t="shared" si="1563"/>
        <v>Tiga Puluh Delapan</v>
      </c>
    </row>
    <row r="16188" spans="1:12">
      <c r="J16188" s="31">
        <v>39</v>
      </c>
      <c r="K16188" s="33" t="s">
        <v>110</v>
      </c>
      <c r="L16188" s="31" t="str">
        <f t="shared" si="1563"/>
        <v>Tiga Puluh Sembilan</v>
      </c>
    </row>
    <row r="16189" spans="1:12">
      <c r="B16189" s="35"/>
      <c r="C16189" s="35"/>
      <c r="D16189" s="35"/>
      <c r="J16189" s="31">
        <v>40</v>
      </c>
      <c r="K16189" s="33" t="s">
        <v>111</v>
      </c>
      <c r="L16189" s="31" t="s">
        <v>112</v>
      </c>
    </row>
    <row r="16190" spans="1:12">
      <c r="A16190" s="35"/>
      <c r="B16190" s="35"/>
      <c r="C16190" s="35"/>
      <c r="D16190" s="35"/>
      <c r="J16190" s="31">
        <v>41</v>
      </c>
      <c r="K16190" s="33" t="s">
        <v>113</v>
      </c>
      <c r="L16190" s="31" t="str">
        <f t="shared" ref="L16190:L16198" si="1564">$L$43&amp;" "&amp;L16150</f>
        <v>Empat Puluh Satu</v>
      </c>
    </row>
    <row r="16191" spans="1:12">
      <c r="J16191" s="31">
        <v>42</v>
      </c>
      <c r="K16191" s="33" t="s">
        <v>114</v>
      </c>
      <c r="L16191" s="31" t="str">
        <f t="shared" si="1564"/>
        <v>Empat Puluh Dua</v>
      </c>
    </row>
    <row r="16192" spans="1:12">
      <c r="A16192" s="38"/>
      <c r="J16192" s="31">
        <v>43</v>
      </c>
      <c r="K16192" s="33" t="s">
        <v>115</v>
      </c>
      <c r="L16192" s="31" t="str">
        <f t="shared" si="1564"/>
        <v>Empat Puluh Tiga</v>
      </c>
    </row>
    <row r="16193" spans="10:12">
      <c r="J16193" s="31">
        <v>44</v>
      </c>
      <c r="K16193" s="33" t="s">
        <v>116</v>
      </c>
      <c r="L16193" s="31" t="str">
        <f t="shared" si="1564"/>
        <v>Empat Puluh Empat</v>
      </c>
    </row>
    <row r="16194" spans="10:12">
      <c r="J16194" s="31">
        <v>45</v>
      </c>
      <c r="K16194" s="33" t="s">
        <v>117</v>
      </c>
      <c r="L16194" s="31" t="str">
        <f t="shared" si="1564"/>
        <v>Empat Puluh Lima</v>
      </c>
    </row>
    <row r="16195" spans="10:12">
      <c r="J16195" s="31">
        <v>46</v>
      </c>
      <c r="K16195" s="33" t="s">
        <v>118</v>
      </c>
      <c r="L16195" s="31" t="str">
        <f t="shared" si="1564"/>
        <v>Empat Puluh Enam</v>
      </c>
    </row>
    <row r="16196" spans="10:12">
      <c r="J16196" s="31">
        <v>47</v>
      </c>
      <c r="K16196" s="33" t="s">
        <v>119</v>
      </c>
      <c r="L16196" s="31" t="str">
        <f t="shared" si="1564"/>
        <v>Empat Puluh Tujuh</v>
      </c>
    </row>
    <row r="16197" spans="10:12">
      <c r="J16197" s="31">
        <v>48</v>
      </c>
      <c r="K16197" s="33" t="s">
        <v>120</v>
      </c>
      <c r="L16197" s="31" t="str">
        <f t="shared" si="1564"/>
        <v>Empat Puluh Delapan</v>
      </c>
    </row>
    <row r="16198" spans="10:12">
      <c r="J16198" s="31">
        <v>49</v>
      </c>
      <c r="K16198" s="33" t="s">
        <v>121</v>
      </c>
      <c r="L16198" s="31" t="str">
        <f t="shared" si="1564"/>
        <v>Empat Puluh Sembilan</v>
      </c>
    </row>
    <row r="16199" spans="10:12">
      <c r="J16199" s="31">
        <v>50</v>
      </c>
      <c r="K16199" s="33" t="s">
        <v>122</v>
      </c>
      <c r="L16199" s="31" t="s">
        <v>123</v>
      </c>
    </row>
    <row r="16200" spans="10:12">
      <c r="J16200" s="31">
        <v>51</v>
      </c>
      <c r="K16200" s="33" t="s">
        <v>124</v>
      </c>
      <c r="L16200" s="31" t="str">
        <f t="shared" ref="L16200:L16208" si="1565">$L$53&amp;" "&amp;L16150</f>
        <v>Lima Puluh Satu</v>
      </c>
    </row>
    <row r="16201" spans="10:12">
      <c r="J16201" s="31">
        <v>52</v>
      </c>
      <c r="K16201" s="33" t="s">
        <v>125</v>
      </c>
      <c r="L16201" s="31" t="str">
        <f t="shared" si="1565"/>
        <v>Lima Puluh Dua</v>
      </c>
    </row>
    <row r="16202" spans="10:12">
      <c r="J16202" s="31">
        <v>53</v>
      </c>
      <c r="K16202" s="33" t="s">
        <v>126</v>
      </c>
      <c r="L16202" s="31" t="str">
        <f t="shared" si="1565"/>
        <v>Lima Puluh Tiga</v>
      </c>
    </row>
    <row r="16203" spans="10:12">
      <c r="J16203" s="31">
        <v>54</v>
      </c>
      <c r="K16203" s="33" t="s">
        <v>127</v>
      </c>
      <c r="L16203" s="31" t="str">
        <f t="shared" si="1565"/>
        <v>Lima Puluh Empat</v>
      </c>
    </row>
    <row r="16204" spans="10:12">
      <c r="J16204" s="31">
        <v>55</v>
      </c>
      <c r="K16204" s="33" t="s">
        <v>128</v>
      </c>
      <c r="L16204" s="31" t="str">
        <f t="shared" si="1565"/>
        <v>Lima Puluh Lima</v>
      </c>
    </row>
    <row r="16205" spans="10:12">
      <c r="J16205" s="31">
        <v>56</v>
      </c>
      <c r="K16205" s="33" t="s">
        <v>129</v>
      </c>
      <c r="L16205" s="31" t="str">
        <f t="shared" si="1565"/>
        <v>Lima Puluh Enam</v>
      </c>
    </row>
    <row r="16206" spans="10:12">
      <c r="J16206" s="31">
        <v>57</v>
      </c>
      <c r="K16206" s="33" t="s">
        <v>130</v>
      </c>
      <c r="L16206" s="31" t="str">
        <f t="shared" si="1565"/>
        <v>Lima Puluh Tujuh</v>
      </c>
    </row>
    <row r="16207" spans="10:12">
      <c r="J16207" s="31">
        <v>58</v>
      </c>
      <c r="K16207" s="33" t="s">
        <v>131</v>
      </c>
      <c r="L16207" s="31" t="str">
        <f t="shared" si="1565"/>
        <v>Lima Puluh Delapan</v>
      </c>
    </row>
    <row r="16208" spans="10:12">
      <c r="J16208" s="31">
        <v>59</v>
      </c>
      <c r="K16208" s="33" t="s">
        <v>132</v>
      </c>
      <c r="L16208" s="31" t="str">
        <f t="shared" si="1565"/>
        <v>Lima Puluh Sembilan</v>
      </c>
    </row>
    <row r="16209" spans="10:12">
      <c r="J16209" s="31">
        <v>60</v>
      </c>
      <c r="K16209" s="33" t="s">
        <v>133</v>
      </c>
      <c r="L16209" s="31" t="s">
        <v>134</v>
      </c>
    </row>
    <row r="16210" spans="10:12">
      <c r="J16210" s="31">
        <v>61</v>
      </c>
      <c r="K16210" s="33" t="s">
        <v>135</v>
      </c>
      <c r="L16210" s="31" t="str">
        <f t="shared" ref="L16210:L16218" si="1566">$L$63&amp;" "&amp;L16150</f>
        <v>Enam Puluh Satu</v>
      </c>
    </row>
    <row r="16211" spans="10:12">
      <c r="J16211" s="31">
        <v>62</v>
      </c>
      <c r="K16211" s="33" t="s">
        <v>136</v>
      </c>
      <c r="L16211" s="31" t="str">
        <f t="shared" si="1566"/>
        <v>Enam Puluh Dua</v>
      </c>
    </row>
    <row r="16212" spans="10:12">
      <c r="J16212" s="31">
        <v>63</v>
      </c>
      <c r="K16212" s="33" t="s">
        <v>137</v>
      </c>
      <c r="L16212" s="31" t="str">
        <f t="shared" si="1566"/>
        <v>Enam Puluh Tiga</v>
      </c>
    </row>
    <row r="16213" spans="10:12">
      <c r="J16213" s="31">
        <v>64</v>
      </c>
      <c r="K16213" s="33" t="s">
        <v>138</v>
      </c>
      <c r="L16213" s="31" t="str">
        <f t="shared" si="1566"/>
        <v>Enam Puluh Empat</v>
      </c>
    </row>
    <row r="16214" spans="10:12">
      <c r="J16214" s="31">
        <v>65</v>
      </c>
      <c r="K16214" s="33" t="s">
        <v>139</v>
      </c>
      <c r="L16214" s="31" t="str">
        <f t="shared" si="1566"/>
        <v>Enam Puluh Lima</v>
      </c>
    </row>
    <row r="16215" spans="10:12">
      <c r="J16215" s="31">
        <v>66</v>
      </c>
      <c r="K16215" s="33" t="s">
        <v>140</v>
      </c>
      <c r="L16215" s="31" t="str">
        <f t="shared" si="1566"/>
        <v>Enam Puluh Enam</v>
      </c>
    </row>
    <row r="16216" spans="10:12">
      <c r="J16216" s="31">
        <v>67</v>
      </c>
      <c r="K16216" s="33" t="s">
        <v>141</v>
      </c>
      <c r="L16216" s="31" t="str">
        <f t="shared" si="1566"/>
        <v>Enam Puluh Tujuh</v>
      </c>
    </row>
    <row r="16217" spans="10:12">
      <c r="J16217" s="31">
        <v>68</v>
      </c>
      <c r="K16217" s="33" t="s">
        <v>142</v>
      </c>
      <c r="L16217" s="31" t="str">
        <f t="shared" si="1566"/>
        <v>Enam Puluh Delapan</v>
      </c>
    </row>
    <row r="16218" spans="10:12">
      <c r="J16218" s="31">
        <v>69</v>
      </c>
      <c r="K16218" s="33" t="s">
        <v>143</v>
      </c>
      <c r="L16218" s="31" t="str">
        <f t="shared" si="1566"/>
        <v>Enam Puluh Sembilan</v>
      </c>
    </row>
    <row r="16219" spans="10:12">
      <c r="J16219" s="31">
        <v>70</v>
      </c>
      <c r="K16219" s="33" t="s">
        <v>144</v>
      </c>
      <c r="L16219" s="31" t="s">
        <v>145</v>
      </c>
    </row>
    <row r="16220" spans="10:12">
      <c r="J16220" s="31">
        <v>71</v>
      </c>
      <c r="K16220" s="33" t="s">
        <v>146</v>
      </c>
      <c r="L16220" s="31" t="str">
        <f t="shared" ref="L16220:L16228" si="1567">$L$73&amp;" "&amp;L16150</f>
        <v>Tujuh Puluh Satu</v>
      </c>
    </row>
    <row r="16221" spans="10:12">
      <c r="J16221" s="31">
        <v>72</v>
      </c>
      <c r="K16221" s="33" t="s">
        <v>147</v>
      </c>
      <c r="L16221" s="31" t="str">
        <f t="shared" si="1567"/>
        <v>Tujuh Puluh Dua</v>
      </c>
    </row>
    <row r="16222" spans="10:12">
      <c r="J16222" s="31">
        <v>73</v>
      </c>
      <c r="K16222" s="33" t="s">
        <v>148</v>
      </c>
      <c r="L16222" s="31" t="str">
        <f t="shared" si="1567"/>
        <v>Tujuh Puluh Tiga</v>
      </c>
    </row>
    <row r="16223" spans="10:12">
      <c r="J16223" s="31">
        <v>74</v>
      </c>
      <c r="K16223" s="33" t="s">
        <v>149</v>
      </c>
      <c r="L16223" s="31" t="str">
        <f t="shared" si="1567"/>
        <v>Tujuh Puluh Empat</v>
      </c>
    </row>
    <row r="16224" spans="10:12">
      <c r="J16224" s="31">
        <v>75</v>
      </c>
      <c r="K16224" s="33" t="s">
        <v>150</v>
      </c>
      <c r="L16224" s="31" t="str">
        <f t="shared" si="1567"/>
        <v>Tujuh Puluh Lima</v>
      </c>
    </row>
    <row r="16225" spans="10:12">
      <c r="J16225" s="31">
        <v>76</v>
      </c>
      <c r="K16225" s="33" t="s">
        <v>151</v>
      </c>
      <c r="L16225" s="31" t="str">
        <f t="shared" si="1567"/>
        <v>Tujuh Puluh Enam</v>
      </c>
    </row>
    <row r="16226" spans="10:12">
      <c r="J16226" s="31">
        <v>77</v>
      </c>
      <c r="K16226" s="33" t="s">
        <v>152</v>
      </c>
      <c r="L16226" s="31" t="str">
        <f t="shared" si="1567"/>
        <v>Tujuh Puluh Tujuh</v>
      </c>
    </row>
    <row r="16227" spans="10:12">
      <c r="J16227" s="31">
        <v>78</v>
      </c>
      <c r="K16227" s="33" t="s">
        <v>153</v>
      </c>
      <c r="L16227" s="31" t="str">
        <f t="shared" si="1567"/>
        <v>Tujuh Puluh Delapan</v>
      </c>
    </row>
    <row r="16228" spans="10:12">
      <c r="J16228" s="31">
        <v>79</v>
      </c>
      <c r="K16228" s="33" t="s">
        <v>154</v>
      </c>
      <c r="L16228" s="31" t="str">
        <f t="shared" si="1567"/>
        <v>Tujuh Puluh Sembilan</v>
      </c>
    </row>
    <row r="16229" spans="10:12">
      <c r="J16229" s="31">
        <v>80</v>
      </c>
      <c r="K16229" s="33" t="s">
        <v>155</v>
      </c>
      <c r="L16229" s="31" t="s">
        <v>156</v>
      </c>
    </row>
    <row r="16230" spans="10:12">
      <c r="J16230" s="31">
        <v>81</v>
      </c>
      <c r="K16230" s="33" t="s">
        <v>157</v>
      </c>
      <c r="L16230" s="31" t="str">
        <f t="shared" ref="L16230:L16238" si="1568">$L$83&amp;" "&amp;L16150</f>
        <v>Delapan Puluh Satu</v>
      </c>
    </row>
    <row r="16231" spans="10:12">
      <c r="J16231" s="31">
        <v>82</v>
      </c>
      <c r="K16231" s="33" t="s">
        <v>158</v>
      </c>
      <c r="L16231" s="31" t="str">
        <f t="shared" si="1568"/>
        <v>Delapan Puluh Dua</v>
      </c>
    </row>
    <row r="16232" spans="10:12">
      <c r="J16232" s="31">
        <v>83</v>
      </c>
      <c r="K16232" s="33" t="s">
        <v>159</v>
      </c>
      <c r="L16232" s="31" t="str">
        <f t="shared" si="1568"/>
        <v>Delapan Puluh Tiga</v>
      </c>
    </row>
    <row r="16233" spans="10:12">
      <c r="J16233" s="31">
        <v>84</v>
      </c>
      <c r="K16233" s="33" t="s">
        <v>160</v>
      </c>
      <c r="L16233" s="31" t="str">
        <f t="shared" si="1568"/>
        <v>Delapan Puluh Empat</v>
      </c>
    </row>
    <row r="16234" spans="10:12">
      <c r="J16234" s="31">
        <v>85</v>
      </c>
      <c r="K16234" s="33" t="s">
        <v>161</v>
      </c>
      <c r="L16234" s="31" t="str">
        <f t="shared" si="1568"/>
        <v>Delapan Puluh Lima</v>
      </c>
    </row>
    <row r="16235" spans="10:12">
      <c r="J16235" s="31">
        <v>86</v>
      </c>
      <c r="K16235" s="33" t="s">
        <v>162</v>
      </c>
      <c r="L16235" s="31" t="str">
        <f t="shared" si="1568"/>
        <v>Delapan Puluh Enam</v>
      </c>
    </row>
    <row r="16236" spans="10:12">
      <c r="J16236" s="31">
        <v>87</v>
      </c>
      <c r="K16236" s="33" t="s">
        <v>163</v>
      </c>
      <c r="L16236" s="31" t="str">
        <f t="shared" si="1568"/>
        <v>Delapan Puluh Tujuh</v>
      </c>
    </row>
    <row r="16237" spans="10:12">
      <c r="J16237" s="31">
        <v>88</v>
      </c>
      <c r="K16237" s="33" t="s">
        <v>164</v>
      </c>
      <c r="L16237" s="31" t="str">
        <f t="shared" si="1568"/>
        <v>Delapan Puluh Delapan</v>
      </c>
    </row>
    <row r="16238" spans="10:12">
      <c r="J16238" s="31">
        <v>89</v>
      </c>
      <c r="K16238" s="33" t="s">
        <v>165</v>
      </c>
      <c r="L16238" s="31" t="str">
        <f t="shared" si="1568"/>
        <v>Delapan Puluh Sembilan</v>
      </c>
    </row>
    <row r="16239" spans="10:12">
      <c r="J16239" s="31">
        <v>90</v>
      </c>
      <c r="K16239" s="33" t="s">
        <v>166</v>
      </c>
      <c r="L16239" s="31" t="s">
        <v>167</v>
      </c>
    </row>
    <row r="16240" spans="10:12">
      <c r="J16240" s="31">
        <v>91</v>
      </c>
      <c r="K16240" s="33" t="s">
        <v>168</v>
      </c>
      <c r="L16240" s="31" t="str">
        <f t="shared" ref="L16240:L16248" si="1569">$L$93&amp;" "&amp;L16150</f>
        <v>Sembilan Puluh Satu</v>
      </c>
    </row>
    <row r="16241" spans="1:12">
      <c r="J16241" s="31">
        <v>92</v>
      </c>
      <c r="K16241" s="33" t="s">
        <v>169</v>
      </c>
      <c r="L16241" s="31" t="str">
        <f t="shared" si="1569"/>
        <v>Sembilan Puluh Dua</v>
      </c>
    </row>
    <row r="16242" spans="1:12">
      <c r="J16242" s="31">
        <v>93</v>
      </c>
      <c r="K16242" s="33" t="s">
        <v>170</v>
      </c>
      <c r="L16242" s="31" t="str">
        <f t="shared" si="1569"/>
        <v>Sembilan Puluh Tiga</v>
      </c>
    </row>
    <row r="16243" spans="1:12">
      <c r="J16243" s="31">
        <v>94</v>
      </c>
      <c r="K16243" s="33" t="s">
        <v>171</v>
      </c>
      <c r="L16243" s="31" t="str">
        <f t="shared" si="1569"/>
        <v>Sembilan Puluh Empat</v>
      </c>
    </row>
    <row r="16244" spans="1:12">
      <c r="J16244" s="31">
        <v>95</v>
      </c>
      <c r="K16244" s="33" t="s">
        <v>172</v>
      </c>
      <c r="L16244" s="31" t="str">
        <f t="shared" si="1569"/>
        <v>Sembilan Puluh Lima</v>
      </c>
    </row>
    <row r="16245" spans="1:12">
      <c r="J16245" s="31">
        <v>96</v>
      </c>
      <c r="K16245" s="33" t="s">
        <v>173</v>
      </c>
      <c r="L16245" s="31" t="str">
        <f t="shared" si="1569"/>
        <v>Sembilan Puluh Enam</v>
      </c>
    </row>
    <row r="16246" spans="1:12">
      <c r="J16246" s="31">
        <v>97</v>
      </c>
      <c r="K16246" s="33" t="s">
        <v>174</v>
      </c>
      <c r="L16246" s="31" t="str">
        <f t="shared" si="1569"/>
        <v>Sembilan Puluh Tujuh</v>
      </c>
    </row>
    <row r="16247" spans="1:12">
      <c r="J16247" s="31">
        <v>98</v>
      </c>
      <c r="K16247" s="33" t="s">
        <v>175</v>
      </c>
      <c r="L16247" s="31" t="str">
        <f t="shared" si="1569"/>
        <v>Sembilan Puluh Delapan</v>
      </c>
    </row>
    <row r="16248" spans="1:12">
      <c r="J16248" s="31">
        <v>99</v>
      </c>
      <c r="K16248" s="33" t="s">
        <v>176</v>
      </c>
      <c r="L16248" s="31" t="str">
        <f t="shared" si="1569"/>
        <v>Sembilan Puluh Sembilan</v>
      </c>
    </row>
    <row r="16250" spans="1:12">
      <c r="A16250" s="30" t="e">
        <f>#REF!</f>
        <v>#REF!</v>
      </c>
      <c r="C16250" s="31" t="s">
        <v>392</v>
      </c>
    </row>
    <row r="16251" spans="1:12">
      <c r="A16251" s="32"/>
    </row>
    <row r="16252" spans="1:12">
      <c r="J16252" s="31">
        <v>0</v>
      </c>
      <c r="K16252" s="33" t="s">
        <v>48</v>
      </c>
      <c r="L16252" s="31" t="s">
        <v>49</v>
      </c>
    </row>
    <row r="16253" spans="1:12">
      <c r="A16253" s="34"/>
      <c r="J16253" s="31">
        <v>1</v>
      </c>
      <c r="K16253" s="33" t="s">
        <v>50</v>
      </c>
      <c r="L16253" s="31" t="s">
        <v>51</v>
      </c>
    </row>
    <row r="16254" spans="1:12">
      <c r="A16254" s="255" t="e">
        <f>TRIM(D16262&amp;E16262&amp;D16263&amp;E16263&amp;D16264&amp;E16264&amp;D16265&amp;E16265&amp;D16266&amp;E16266&amp;D16267&amp;E16267&amp;E16268&amp;D16268&amp;" Only")</f>
        <v>#REF!</v>
      </c>
      <c r="B16254" s="255"/>
      <c r="C16254" s="255"/>
      <c r="D16254" s="255"/>
      <c r="E16254" s="35"/>
      <c r="F16254" s="36"/>
      <c r="J16254" s="31">
        <v>2</v>
      </c>
      <c r="K16254" s="33" t="s">
        <v>52</v>
      </c>
      <c r="L16254" s="31" t="s">
        <v>53</v>
      </c>
    </row>
    <row r="16255" spans="1:12">
      <c r="A16255" s="120"/>
      <c r="B16255" s="120"/>
      <c r="C16255" s="120"/>
      <c r="D16255" s="120"/>
      <c r="E16255" s="35"/>
      <c r="F16255" s="36"/>
      <c r="J16255" s="31">
        <v>3</v>
      </c>
      <c r="K16255" s="33" t="s">
        <v>54</v>
      </c>
      <c r="L16255" s="31" t="s">
        <v>55</v>
      </c>
    </row>
    <row r="16256" spans="1:12">
      <c r="A16256" s="120"/>
      <c r="B16256" s="120"/>
      <c r="C16256" s="120"/>
      <c r="D16256" s="120"/>
      <c r="J16256" s="31">
        <v>4</v>
      </c>
      <c r="K16256" s="33" t="s">
        <v>56</v>
      </c>
      <c r="L16256" s="31" t="s">
        <v>57</v>
      </c>
    </row>
    <row r="16257" spans="1:12">
      <c r="A16257" s="255" t="e">
        <f>TRIM(D16272&amp;E16272&amp;D16273&amp;E16273&amp;D16274&amp;E16274&amp;D16275&amp;E16275&amp;D16276&amp;E16276&amp;D16277&amp;E16277&amp;D16278&amp;E16278&amp;" Rupiah")</f>
        <v>#REF!</v>
      </c>
      <c r="B16257" s="255"/>
      <c r="C16257" s="255"/>
      <c r="D16257" s="255"/>
      <c r="E16257" s="35"/>
      <c r="F16257" s="36"/>
      <c r="J16257" s="31">
        <v>5</v>
      </c>
      <c r="K16257" s="33" t="s">
        <v>58</v>
      </c>
      <c r="L16257" s="31" t="s">
        <v>59</v>
      </c>
    </row>
    <row r="16258" spans="1:12">
      <c r="A16258" s="35"/>
      <c r="B16258" s="35"/>
      <c r="C16258" s="35"/>
      <c r="D16258" s="35"/>
      <c r="E16258" s="35"/>
      <c r="F16258" s="36"/>
      <c r="J16258" s="31">
        <v>6</v>
      </c>
      <c r="K16258" s="33" t="s">
        <v>60</v>
      </c>
      <c r="L16258" s="31" t="s">
        <v>61</v>
      </c>
    </row>
    <row r="16259" spans="1:12">
      <c r="J16259" s="31">
        <v>7</v>
      </c>
      <c r="K16259" s="33" t="s">
        <v>62</v>
      </c>
      <c r="L16259" s="31" t="s">
        <v>63</v>
      </c>
    </row>
    <row r="16260" spans="1:12">
      <c r="J16260" s="31">
        <v>8</v>
      </c>
      <c r="K16260" s="33" t="s">
        <v>64</v>
      </c>
      <c r="L16260" s="31" t="s">
        <v>65</v>
      </c>
    </row>
    <row r="16261" spans="1:12">
      <c r="A16261" s="38" t="s">
        <v>66</v>
      </c>
      <c r="J16261" s="31">
        <v>9</v>
      </c>
      <c r="K16261" s="33" t="s">
        <v>67</v>
      </c>
      <c r="L16261" s="31" t="s">
        <v>68</v>
      </c>
    </row>
    <row r="16262" spans="1:12">
      <c r="A16262" s="31" t="s">
        <v>69</v>
      </c>
      <c r="B16262" s="39" t="e">
        <f>TRUNC(A16250/100000000)</f>
        <v>#REF!</v>
      </c>
      <c r="C16262" s="31" t="e">
        <f>B16262*100000000</f>
        <v>#REF!</v>
      </c>
      <c r="D16262" s="31" t="e">
        <f t="shared" ref="D16262:D16268" si="1570">IF(B16262&lt;1,"",VLOOKUP(B16262,$J$3:$K$102,2))</f>
        <v>#REF!</v>
      </c>
      <c r="E16262" s="31" t="e">
        <f>IF(B16262&lt;1,"",IF(B16262&gt;1," Hundreds "," Hundred "))</f>
        <v>#REF!</v>
      </c>
      <c r="J16262" s="31">
        <v>10</v>
      </c>
      <c r="K16262" s="33" t="s">
        <v>70</v>
      </c>
      <c r="L16262" s="31" t="s">
        <v>71</v>
      </c>
    </row>
    <row r="16263" spans="1:12">
      <c r="A16263" s="31" t="s">
        <v>72</v>
      </c>
      <c r="B16263" s="39" t="e">
        <f>TRUNC((A16250-C16262)/1000000)</f>
        <v>#REF!</v>
      </c>
      <c r="C16263" s="31" t="e">
        <f>B16263*1000000</f>
        <v>#REF!</v>
      </c>
      <c r="D16263" s="31" t="e">
        <f t="shared" si="1570"/>
        <v>#REF!</v>
      </c>
      <c r="E16263" s="31" t="e">
        <f>IF(B16262+B16263=0,"",IF(B16263=1," Million "," Millions "))</f>
        <v>#REF!</v>
      </c>
      <c r="J16263" s="31">
        <v>11</v>
      </c>
      <c r="K16263" s="33" t="s">
        <v>73</v>
      </c>
      <c r="L16263" s="31" t="s">
        <v>74</v>
      </c>
    </row>
    <row r="16264" spans="1:12">
      <c r="A16264" s="31" t="s">
        <v>75</v>
      </c>
      <c r="B16264" s="39" t="e">
        <f>TRUNC((A16250-SUM(C16262:C16263))/100000)</f>
        <v>#REF!</v>
      </c>
      <c r="C16264" s="31" t="e">
        <f>B16264*100000</f>
        <v>#REF!</v>
      </c>
      <c r="D16264" s="31" t="e">
        <f t="shared" si="1570"/>
        <v>#REF!</v>
      </c>
      <c r="E16264" s="31" t="e">
        <f>IF(B16264&lt;1,"",IF(B16264&gt;1," Hundreds "," Hundred "))</f>
        <v>#REF!</v>
      </c>
      <c r="J16264" s="31">
        <v>12</v>
      </c>
      <c r="K16264" s="33" t="s">
        <v>76</v>
      </c>
      <c r="L16264" s="31" t="str">
        <f t="shared" ref="L16264:L16271" si="1571">L16254&amp;" Belas"</f>
        <v>Dua Belas</v>
      </c>
    </row>
    <row r="16265" spans="1:12">
      <c r="A16265" s="33" t="s">
        <v>77</v>
      </c>
      <c r="B16265" s="40" t="e">
        <f>TRUNC((A16250-SUM(C16262:C16264))/1000)</f>
        <v>#REF!</v>
      </c>
      <c r="C16265" s="31" t="e">
        <f>B16265*1000</f>
        <v>#REF!</v>
      </c>
      <c r="D16265" s="31" t="e">
        <f t="shared" si="1570"/>
        <v>#REF!</v>
      </c>
      <c r="E16265" s="31" t="e">
        <f>IF(B16264+B16265=0,"",IF(B16265=1," Thousand "," Thousands "))</f>
        <v>#REF!</v>
      </c>
      <c r="J16265" s="31">
        <v>13</v>
      </c>
      <c r="K16265" s="33" t="s">
        <v>78</v>
      </c>
      <c r="L16265" s="31" t="str">
        <f t="shared" si="1571"/>
        <v>Tiga Belas</v>
      </c>
    </row>
    <row r="16266" spans="1:12">
      <c r="A16266" s="33" t="s">
        <v>79</v>
      </c>
      <c r="B16266" s="40" t="e">
        <f>TRUNC((A16250-SUM(C16262:C16265))/100)</f>
        <v>#REF!</v>
      </c>
      <c r="C16266" s="31" t="e">
        <f>B16266*100</f>
        <v>#REF!</v>
      </c>
      <c r="D16266" s="31" t="e">
        <f t="shared" si="1570"/>
        <v>#REF!</v>
      </c>
      <c r="E16266" s="31" t="e">
        <f>IF(B16266&lt;1,"",IF(B16266&gt;1," Hundreds "," Hundred "))</f>
        <v>#REF!</v>
      </c>
      <c r="J16266" s="31">
        <v>14</v>
      </c>
      <c r="K16266" s="33" t="s">
        <v>80</v>
      </c>
      <c r="L16266" s="31" t="str">
        <f t="shared" si="1571"/>
        <v>Empat Belas</v>
      </c>
    </row>
    <row r="16267" spans="1:12">
      <c r="A16267" s="33" t="s">
        <v>81</v>
      </c>
      <c r="B16267" s="41" t="e">
        <f>TRUNC((A16250-SUM(C16262:C16266)))</f>
        <v>#REF!</v>
      </c>
      <c r="C16267" s="42" t="e">
        <f>B16267</f>
        <v>#REF!</v>
      </c>
      <c r="D16267" s="31" t="e">
        <f t="shared" si="1570"/>
        <v>#REF!</v>
      </c>
      <c r="E16267" s="31" t="e">
        <f>IF(SUM(C16262:C16267)&lt;1,"",IF(B16268&lt;1,""," And "))</f>
        <v>#REF!</v>
      </c>
      <c r="J16267" s="31">
        <v>15</v>
      </c>
      <c r="K16267" s="33" t="s">
        <v>82</v>
      </c>
      <c r="L16267" s="31" t="str">
        <f t="shared" si="1571"/>
        <v>Lima Belas</v>
      </c>
    </row>
    <row r="16268" spans="1:12">
      <c r="A16268" s="33" t="s">
        <v>83</v>
      </c>
      <c r="B16268" s="40" t="e">
        <f>ROUND(A16250-SUM(C16262:C16267),2)*100</f>
        <v>#REF!</v>
      </c>
      <c r="D16268" s="43" t="e">
        <f t="shared" si="1570"/>
        <v>#REF!</v>
      </c>
      <c r="E16268" s="31" t="e">
        <f>IF(B16268&lt;1,"",IF(B16268=1," Cent "," Cents "))</f>
        <v>#REF!</v>
      </c>
      <c r="J16268" s="31">
        <v>16</v>
      </c>
      <c r="K16268" s="33" t="s">
        <v>84</v>
      </c>
      <c r="L16268" s="31" t="str">
        <f t="shared" si="1571"/>
        <v>Enam Belas</v>
      </c>
    </row>
    <row r="16269" spans="1:12">
      <c r="J16269" s="31">
        <v>17</v>
      </c>
      <c r="K16269" s="33" t="s">
        <v>85</v>
      </c>
      <c r="L16269" s="31" t="str">
        <f t="shared" si="1571"/>
        <v>Tujuh Belas</v>
      </c>
    </row>
    <row r="16270" spans="1:12">
      <c r="A16270" s="44"/>
      <c r="J16270" s="31">
        <v>18</v>
      </c>
      <c r="K16270" s="33" t="s">
        <v>86</v>
      </c>
      <c r="L16270" s="31" t="str">
        <f t="shared" si="1571"/>
        <v>Delapan Belas</v>
      </c>
    </row>
    <row r="16271" spans="1:12">
      <c r="A16271" s="38" t="s">
        <v>87</v>
      </c>
      <c r="J16271" s="31">
        <v>19</v>
      </c>
      <c r="K16271" s="33" t="s">
        <v>88</v>
      </c>
      <c r="L16271" s="31" t="str">
        <f t="shared" si="1571"/>
        <v>Sembilan Belas</v>
      </c>
    </row>
    <row r="16272" spans="1:12">
      <c r="A16272" s="31" t="s">
        <v>69</v>
      </c>
      <c r="B16272" s="39" t="e">
        <f>TRUNC(A16250/100000000)</f>
        <v>#REF!</v>
      </c>
      <c r="C16272" s="31" t="e">
        <f>B16272*100000000</f>
        <v>#REF!</v>
      </c>
      <c r="D16272" s="31" t="e">
        <f>IF(B16272&lt;1,"",IF(B16272=1,"",VLOOKUP(B16272,$J$3:$L$102,3)))</f>
        <v>#REF!</v>
      </c>
      <c r="E16272" s="31" t="e">
        <f>IF(B16272&lt;1,"",IF(B16272=1,"Seratus "," Ratus "))</f>
        <v>#REF!</v>
      </c>
      <c r="J16272" s="31">
        <v>20</v>
      </c>
      <c r="K16272" s="33" t="s">
        <v>89</v>
      </c>
      <c r="L16272" s="31" t="s">
        <v>90</v>
      </c>
    </row>
    <row r="16273" spans="1:12">
      <c r="A16273" s="31" t="s">
        <v>72</v>
      </c>
      <c r="B16273" s="39" t="e">
        <f>TRUNC((A16250-C16272)/1000000)</f>
        <v>#REF!</v>
      </c>
      <c r="C16273" s="31" t="e">
        <f>B16273*1000000</f>
        <v>#REF!</v>
      </c>
      <c r="D16273" s="31" t="e">
        <f>IF(B16273&lt;1,"",VLOOKUP(B16273,$J$3:$L$102,3))</f>
        <v>#REF!</v>
      </c>
      <c r="E16273" s="31" t="e">
        <f>IF(B16272+B16273=0,""," Juta ")</f>
        <v>#REF!</v>
      </c>
      <c r="J16273" s="31">
        <v>21</v>
      </c>
      <c r="K16273" s="33" t="s">
        <v>91</v>
      </c>
      <c r="L16273" s="31" t="str">
        <f t="shared" ref="L16273:L16281" si="1572">$L$23&amp;" "&amp;L16253</f>
        <v>Dua Puluh Satu</v>
      </c>
    </row>
    <row r="16274" spans="1:12">
      <c r="A16274" s="31" t="s">
        <v>75</v>
      </c>
      <c r="B16274" s="39" t="e">
        <f>TRUNC((A16250-SUM(C16272:C16273))/100000)</f>
        <v>#REF!</v>
      </c>
      <c r="C16274" s="31" t="e">
        <f>B16274*100000</f>
        <v>#REF!</v>
      </c>
      <c r="D16274" s="31" t="e">
        <f>IF(B16274&lt;1,"",IF(B16274=1,"",VLOOKUP(B16274,$J$3:$L$102,3)))</f>
        <v>#REF!</v>
      </c>
      <c r="E16274" s="31" t="e">
        <f>IF(B16274&lt;1,"",IF(B16274=1," Seratus "," Ratus "))</f>
        <v>#REF!</v>
      </c>
      <c r="J16274" s="31">
        <v>22</v>
      </c>
      <c r="K16274" s="33" t="s">
        <v>92</v>
      </c>
      <c r="L16274" s="31" t="str">
        <f t="shared" si="1572"/>
        <v>Dua Puluh Dua</v>
      </c>
    </row>
    <row r="16275" spans="1:12">
      <c r="A16275" s="33" t="s">
        <v>77</v>
      </c>
      <c r="B16275" s="40" t="e">
        <f>TRUNC((A16250-SUM(C16272:C16274))/1000)</f>
        <v>#REF!</v>
      </c>
      <c r="C16275" s="31" t="e">
        <f>B16275*1000</f>
        <v>#REF!</v>
      </c>
      <c r="D16275" s="31" t="e">
        <f>IF(B16275&lt;1,"",IF(B16275=1,"",VLOOKUP(B16275,$J$3:$L$102,3)))</f>
        <v>#REF!</v>
      </c>
      <c r="E16275" s="31" t="e">
        <f>IF(B16274+B16275&lt;1,"",IF(B16275=1," Seribu "," Ribu "))</f>
        <v>#REF!</v>
      </c>
      <c r="J16275" s="31">
        <v>23</v>
      </c>
      <c r="K16275" s="33" t="s">
        <v>93</v>
      </c>
      <c r="L16275" s="31" t="str">
        <f t="shared" si="1572"/>
        <v>Dua Puluh Tiga</v>
      </c>
    </row>
    <row r="16276" spans="1:12">
      <c r="A16276" s="33" t="s">
        <v>79</v>
      </c>
      <c r="B16276" s="40" t="e">
        <f>TRUNC((A16250-SUM(C16272:C16275))/100)</f>
        <v>#REF!</v>
      </c>
      <c r="C16276" s="31" t="e">
        <f>B16276*100</f>
        <v>#REF!</v>
      </c>
      <c r="D16276" s="31" t="e">
        <f>IF(B16276&lt;1,"",IF(B16276=1,"",VLOOKUP(B16276,$J$3:$L$102,3)))</f>
        <v>#REF!</v>
      </c>
      <c r="E16276" s="31" t="e">
        <f>IF(B16276&lt;1,"",IF(B16276=1," Seratus "," Ratus "))</f>
        <v>#REF!</v>
      </c>
      <c r="J16276" s="31">
        <v>24</v>
      </c>
      <c r="K16276" s="33" t="s">
        <v>94</v>
      </c>
      <c r="L16276" s="31" t="str">
        <f t="shared" si="1572"/>
        <v>Dua Puluh Empat</v>
      </c>
    </row>
    <row r="16277" spans="1:12">
      <c r="A16277" s="33" t="s">
        <v>81</v>
      </c>
      <c r="B16277" s="41" t="e">
        <f>TRUNC((A16250-SUM(C16272:C16276)))</f>
        <v>#REF!</v>
      </c>
      <c r="C16277" s="42" t="e">
        <f>B16277</f>
        <v>#REF!</v>
      </c>
      <c r="D16277" s="31" t="e">
        <f>IF(B16277&lt;1,"",VLOOKUP(B16277,$J$3:$L$102,3))</f>
        <v>#REF!</v>
      </c>
      <c r="E16277" s="31" t="e">
        <f>IF(SUM(C16272:C16277)&lt;1,"",IF(B16278&lt;1,""," Dan "))</f>
        <v>#REF!</v>
      </c>
      <c r="J16277" s="31">
        <v>25</v>
      </c>
      <c r="K16277" s="33" t="s">
        <v>95</v>
      </c>
      <c r="L16277" s="31" t="str">
        <f t="shared" si="1572"/>
        <v>Dua Puluh Lima</v>
      </c>
    </row>
    <row r="16278" spans="1:12">
      <c r="A16278" s="33" t="s">
        <v>83</v>
      </c>
      <c r="B16278" s="40" t="e">
        <f>ROUND(A16250-SUM(C16272:C16277),2)*100</f>
        <v>#REF!</v>
      </c>
      <c r="D16278" s="31" t="e">
        <f>IF(B16278&lt;1,"",VLOOKUP(B16278,$J$3:$L$102,3))</f>
        <v>#REF!</v>
      </c>
      <c r="E16278" s="31" t="e">
        <f>IF(B16278&lt;1,""," Sen ")</f>
        <v>#REF!</v>
      </c>
      <c r="J16278" s="31">
        <v>26</v>
      </c>
      <c r="K16278" s="33" t="s">
        <v>96</v>
      </c>
      <c r="L16278" s="31" t="str">
        <f t="shared" si="1572"/>
        <v>Dua Puluh Enam</v>
      </c>
    </row>
    <row r="16279" spans="1:12">
      <c r="J16279" s="31">
        <v>27</v>
      </c>
      <c r="K16279" s="33" t="s">
        <v>97</v>
      </c>
      <c r="L16279" s="31" t="str">
        <f t="shared" si="1572"/>
        <v>Dua Puluh Tujuh</v>
      </c>
    </row>
    <row r="16280" spans="1:12">
      <c r="J16280" s="31">
        <v>28</v>
      </c>
      <c r="K16280" s="33" t="s">
        <v>98</v>
      </c>
      <c r="L16280" s="31" t="str">
        <f t="shared" si="1572"/>
        <v>Dua Puluh Delapan</v>
      </c>
    </row>
    <row r="16281" spans="1:12">
      <c r="J16281" s="31">
        <v>29</v>
      </c>
      <c r="K16281" s="33" t="s">
        <v>99</v>
      </c>
      <c r="L16281" s="31" t="str">
        <f t="shared" si="1572"/>
        <v>Dua Puluh Sembilan</v>
      </c>
    </row>
    <row r="16282" spans="1:12">
      <c r="J16282" s="31">
        <v>30</v>
      </c>
      <c r="K16282" s="33" t="s">
        <v>100</v>
      </c>
      <c r="L16282" s="31" t="s">
        <v>101</v>
      </c>
    </row>
    <row r="16283" spans="1:12">
      <c r="J16283" s="31">
        <v>31</v>
      </c>
      <c r="K16283" s="33" t="s">
        <v>102</v>
      </c>
      <c r="L16283" s="31" t="str">
        <f t="shared" ref="L16283:L16291" si="1573">$L$33&amp;" "&amp;L16253</f>
        <v>Tiga Puluh Satu</v>
      </c>
    </row>
    <row r="16284" spans="1:12">
      <c r="J16284" s="31">
        <v>32</v>
      </c>
      <c r="K16284" s="33" t="s">
        <v>103</v>
      </c>
      <c r="L16284" s="31" t="str">
        <f t="shared" si="1573"/>
        <v>Tiga Puluh Dua</v>
      </c>
    </row>
    <row r="16285" spans="1:12">
      <c r="J16285" s="31">
        <v>33</v>
      </c>
      <c r="K16285" s="33" t="s">
        <v>104</v>
      </c>
      <c r="L16285" s="31" t="str">
        <f t="shared" si="1573"/>
        <v>Tiga Puluh Tiga</v>
      </c>
    </row>
    <row r="16286" spans="1:12">
      <c r="J16286" s="31">
        <v>34</v>
      </c>
      <c r="K16286" s="33" t="s">
        <v>105</v>
      </c>
      <c r="L16286" s="31" t="str">
        <f t="shared" si="1573"/>
        <v>Tiga Puluh Empat</v>
      </c>
    </row>
    <row r="16287" spans="1:12">
      <c r="J16287" s="31">
        <v>35</v>
      </c>
      <c r="K16287" s="33" t="s">
        <v>106</v>
      </c>
      <c r="L16287" s="31" t="str">
        <f t="shared" si="1573"/>
        <v>Tiga Puluh Lima</v>
      </c>
    </row>
    <row r="16288" spans="1:12">
      <c r="J16288" s="31">
        <v>36</v>
      </c>
      <c r="K16288" s="33" t="s">
        <v>107</v>
      </c>
      <c r="L16288" s="31" t="str">
        <f t="shared" si="1573"/>
        <v>Tiga Puluh Enam</v>
      </c>
    </row>
    <row r="16289" spans="1:12">
      <c r="J16289" s="31">
        <v>37</v>
      </c>
      <c r="K16289" s="33" t="s">
        <v>108</v>
      </c>
      <c r="L16289" s="31" t="str">
        <f t="shared" si="1573"/>
        <v>Tiga Puluh Tujuh</v>
      </c>
    </row>
    <row r="16290" spans="1:12">
      <c r="J16290" s="31">
        <v>38</v>
      </c>
      <c r="K16290" s="33" t="s">
        <v>109</v>
      </c>
      <c r="L16290" s="31" t="str">
        <f t="shared" si="1573"/>
        <v>Tiga Puluh Delapan</v>
      </c>
    </row>
    <row r="16291" spans="1:12">
      <c r="J16291" s="31">
        <v>39</v>
      </c>
      <c r="K16291" s="33" t="s">
        <v>110</v>
      </c>
      <c r="L16291" s="31" t="str">
        <f t="shared" si="1573"/>
        <v>Tiga Puluh Sembilan</v>
      </c>
    </row>
    <row r="16292" spans="1:12">
      <c r="B16292" s="35"/>
      <c r="C16292" s="35"/>
      <c r="D16292" s="35"/>
      <c r="J16292" s="31">
        <v>40</v>
      </c>
      <c r="K16292" s="33" t="s">
        <v>111</v>
      </c>
      <c r="L16292" s="31" t="s">
        <v>112</v>
      </c>
    </row>
    <row r="16293" spans="1:12">
      <c r="A16293" s="35"/>
      <c r="B16293" s="35"/>
      <c r="C16293" s="35"/>
      <c r="D16293" s="35"/>
      <c r="J16293" s="31">
        <v>41</v>
      </c>
      <c r="K16293" s="33" t="s">
        <v>113</v>
      </c>
      <c r="L16293" s="31" t="str">
        <f t="shared" ref="L16293:L16301" si="1574">$L$43&amp;" "&amp;L16253</f>
        <v>Empat Puluh Satu</v>
      </c>
    </row>
    <row r="16294" spans="1:12">
      <c r="J16294" s="31">
        <v>42</v>
      </c>
      <c r="K16294" s="33" t="s">
        <v>114</v>
      </c>
      <c r="L16294" s="31" t="str">
        <f t="shared" si="1574"/>
        <v>Empat Puluh Dua</v>
      </c>
    </row>
    <row r="16295" spans="1:12">
      <c r="A16295" s="38"/>
      <c r="J16295" s="31">
        <v>43</v>
      </c>
      <c r="K16295" s="33" t="s">
        <v>115</v>
      </c>
      <c r="L16295" s="31" t="str">
        <f t="shared" si="1574"/>
        <v>Empat Puluh Tiga</v>
      </c>
    </row>
    <row r="16296" spans="1:12">
      <c r="J16296" s="31">
        <v>44</v>
      </c>
      <c r="K16296" s="33" t="s">
        <v>116</v>
      </c>
      <c r="L16296" s="31" t="str">
        <f t="shared" si="1574"/>
        <v>Empat Puluh Empat</v>
      </c>
    </row>
    <row r="16297" spans="1:12">
      <c r="J16297" s="31">
        <v>45</v>
      </c>
      <c r="K16297" s="33" t="s">
        <v>117</v>
      </c>
      <c r="L16297" s="31" t="str">
        <f t="shared" si="1574"/>
        <v>Empat Puluh Lima</v>
      </c>
    </row>
    <row r="16298" spans="1:12">
      <c r="J16298" s="31">
        <v>46</v>
      </c>
      <c r="K16298" s="33" t="s">
        <v>118</v>
      </c>
      <c r="L16298" s="31" t="str">
        <f t="shared" si="1574"/>
        <v>Empat Puluh Enam</v>
      </c>
    </row>
    <row r="16299" spans="1:12">
      <c r="J16299" s="31">
        <v>47</v>
      </c>
      <c r="K16299" s="33" t="s">
        <v>119</v>
      </c>
      <c r="L16299" s="31" t="str">
        <f t="shared" si="1574"/>
        <v>Empat Puluh Tujuh</v>
      </c>
    </row>
    <row r="16300" spans="1:12">
      <c r="J16300" s="31">
        <v>48</v>
      </c>
      <c r="K16300" s="33" t="s">
        <v>120</v>
      </c>
      <c r="L16300" s="31" t="str">
        <f t="shared" si="1574"/>
        <v>Empat Puluh Delapan</v>
      </c>
    </row>
    <row r="16301" spans="1:12">
      <c r="J16301" s="31">
        <v>49</v>
      </c>
      <c r="K16301" s="33" t="s">
        <v>121</v>
      </c>
      <c r="L16301" s="31" t="str">
        <f t="shared" si="1574"/>
        <v>Empat Puluh Sembilan</v>
      </c>
    </row>
    <row r="16302" spans="1:12">
      <c r="J16302" s="31">
        <v>50</v>
      </c>
      <c r="K16302" s="33" t="s">
        <v>122</v>
      </c>
      <c r="L16302" s="31" t="s">
        <v>123</v>
      </c>
    </row>
    <row r="16303" spans="1:12">
      <c r="J16303" s="31">
        <v>51</v>
      </c>
      <c r="K16303" s="33" t="s">
        <v>124</v>
      </c>
      <c r="L16303" s="31" t="str">
        <f t="shared" ref="L16303:L16311" si="1575">$L$53&amp;" "&amp;L16253</f>
        <v>Lima Puluh Satu</v>
      </c>
    </row>
    <row r="16304" spans="1:12">
      <c r="J16304" s="31">
        <v>52</v>
      </c>
      <c r="K16304" s="33" t="s">
        <v>125</v>
      </c>
      <c r="L16304" s="31" t="str">
        <f t="shared" si="1575"/>
        <v>Lima Puluh Dua</v>
      </c>
    </row>
    <row r="16305" spans="10:12">
      <c r="J16305" s="31">
        <v>53</v>
      </c>
      <c r="K16305" s="33" t="s">
        <v>126</v>
      </c>
      <c r="L16305" s="31" t="str">
        <f t="shared" si="1575"/>
        <v>Lima Puluh Tiga</v>
      </c>
    </row>
    <row r="16306" spans="10:12">
      <c r="J16306" s="31">
        <v>54</v>
      </c>
      <c r="K16306" s="33" t="s">
        <v>127</v>
      </c>
      <c r="L16306" s="31" t="str">
        <f t="shared" si="1575"/>
        <v>Lima Puluh Empat</v>
      </c>
    </row>
    <row r="16307" spans="10:12">
      <c r="J16307" s="31">
        <v>55</v>
      </c>
      <c r="K16307" s="33" t="s">
        <v>128</v>
      </c>
      <c r="L16307" s="31" t="str">
        <f t="shared" si="1575"/>
        <v>Lima Puluh Lima</v>
      </c>
    </row>
    <row r="16308" spans="10:12">
      <c r="J16308" s="31">
        <v>56</v>
      </c>
      <c r="K16308" s="33" t="s">
        <v>129</v>
      </c>
      <c r="L16308" s="31" t="str">
        <f t="shared" si="1575"/>
        <v>Lima Puluh Enam</v>
      </c>
    </row>
    <row r="16309" spans="10:12">
      <c r="J16309" s="31">
        <v>57</v>
      </c>
      <c r="K16309" s="33" t="s">
        <v>130</v>
      </c>
      <c r="L16309" s="31" t="str">
        <f t="shared" si="1575"/>
        <v>Lima Puluh Tujuh</v>
      </c>
    </row>
    <row r="16310" spans="10:12">
      <c r="J16310" s="31">
        <v>58</v>
      </c>
      <c r="K16310" s="33" t="s">
        <v>131</v>
      </c>
      <c r="L16310" s="31" t="str">
        <f t="shared" si="1575"/>
        <v>Lima Puluh Delapan</v>
      </c>
    </row>
    <row r="16311" spans="10:12">
      <c r="J16311" s="31">
        <v>59</v>
      </c>
      <c r="K16311" s="33" t="s">
        <v>132</v>
      </c>
      <c r="L16311" s="31" t="str">
        <f t="shared" si="1575"/>
        <v>Lima Puluh Sembilan</v>
      </c>
    </row>
    <row r="16312" spans="10:12">
      <c r="J16312" s="31">
        <v>60</v>
      </c>
      <c r="K16312" s="33" t="s">
        <v>133</v>
      </c>
      <c r="L16312" s="31" t="s">
        <v>134</v>
      </c>
    </row>
    <row r="16313" spans="10:12">
      <c r="J16313" s="31">
        <v>61</v>
      </c>
      <c r="K16313" s="33" t="s">
        <v>135</v>
      </c>
      <c r="L16313" s="31" t="str">
        <f t="shared" ref="L16313:L16321" si="1576">$L$63&amp;" "&amp;L16253</f>
        <v>Enam Puluh Satu</v>
      </c>
    </row>
    <row r="16314" spans="10:12">
      <c r="J16314" s="31">
        <v>62</v>
      </c>
      <c r="K16314" s="33" t="s">
        <v>136</v>
      </c>
      <c r="L16314" s="31" t="str">
        <f t="shared" si="1576"/>
        <v>Enam Puluh Dua</v>
      </c>
    </row>
    <row r="16315" spans="10:12">
      <c r="J16315" s="31">
        <v>63</v>
      </c>
      <c r="K16315" s="33" t="s">
        <v>137</v>
      </c>
      <c r="L16315" s="31" t="str">
        <f t="shared" si="1576"/>
        <v>Enam Puluh Tiga</v>
      </c>
    </row>
    <row r="16316" spans="10:12">
      <c r="J16316" s="31">
        <v>64</v>
      </c>
      <c r="K16316" s="33" t="s">
        <v>138</v>
      </c>
      <c r="L16316" s="31" t="str">
        <f t="shared" si="1576"/>
        <v>Enam Puluh Empat</v>
      </c>
    </row>
    <row r="16317" spans="10:12">
      <c r="J16317" s="31">
        <v>65</v>
      </c>
      <c r="K16317" s="33" t="s">
        <v>139</v>
      </c>
      <c r="L16317" s="31" t="str">
        <f t="shared" si="1576"/>
        <v>Enam Puluh Lima</v>
      </c>
    </row>
    <row r="16318" spans="10:12">
      <c r="J16318" s="31">
        <v>66</v>
      </c>
      <c r="K16318" s="33" t="s">
        <v>140</v>
      </c>
      <c r="L16318" s="31" t="str">
        <f t="shared" si="1576"/>
        <v>Enam Puluh Enam</v>
      </c>
    </row>
    <row r="16319" spans="10:12">
      <c r="J16319" s="31">
        <v>67</v>
      </c>
      <c r="K16319" s="33" t="s">
        <v>141</v>
      </c>
      <c r="L16319" s="31" t="str">
        <f t="shared" si="1576"/>
        <v>Enam Puluh Tujuh</v>
      </c>
    </row>
    <row r="16320" spans="10:12">
      <c r="J16320" s="31">
        <v>68</v>
      </c>
      <c r="K16320" s="33" t="s">
        <v>142</v>
      </c>
      <c r="L16320" s="31" t="str">
        <f t="shared" si="1576"/>
        <v>Enam Puluh Delapan</v>
      </c>
    </row>
    <row r="16321" spans="10:12">
      <c r="J16321" s="31">
        <v>69</v>
      </c>
      <c r="K16321" s="33" t="s">
        <v>143</v>
      </c>
      <c r="L16321" s="31" t="str">
        <f t="shared" si="1576"/>
        <v>Enam Puluh Sembilan</v>
      </c>
    </row>
    <row r="16322" spans="10:12">
      <c r="J16322" s="31">
        <v>70</v>
      </c>
      <c r="K16322" s="33" t="s">
        <v>144</v>
      </c>
      <c r="L16322" s="31" t="s">
        <v>145</v>
      </c>
    </row>
    <row r="16323" spans="10:12">
      <c r="J16323" s="31">
        <v>71</v>
      </c>
      <c r="K16323" s="33" t="s">
        <v>146</v>
      </c>
      <c r="L16323" s="31" t="str">
        <f t="shared" ref="L16323:L16331" si="1577">$L$73&amp;" "&amp;L16253</f>
        <v>Tujuh Puluh Satu</v>
      </c>
    </row>
    <row r="16324" spans="10:12">
      <c r="J16324" s="31">
        <v>72</v>
      </c>
      <c r="K16324" s="33" t="s">
        <v>147</v>
      </c>
      <c r="L16324" s="31" t="str">
        <f t="shared" si="1577"/>
        <v>Tujuh Puluh Dua</v>
      </c>
    </row>
    <row r="16325" spans="10:12">
      <c r="J16325" s="31">
        <v>73</v>
      </c>
      <c r="K16325" s="33" t="s">
        <v>148</v>
      </c>
      <c r="L16325" s="31" t="str">
        <f t="shared" si="1577"/>
        <v>Tujuh Puluh Tiga</v>
      </c>
    </row>
    <row r="16326" spans="10:12">
      <c r="J16326" s="31">
        <v>74</v>
      </c>
      <c r="K16326" s="33" t="s">
        <v>149</v>
      </c>
      <c r="L16326" s="31" t="str">
        <f t="shared" si="1577"/>
        <v>Tujuh Puluh Empat</v>
      </c>
    </row>
    <row r="16327" spans="10:12">
      <c r="J16327" s="31">
        <v>75</v>
      </c>
      <c r="K16327" s="33" t="s">
        <v>150</v>
      </c>
      <c r="L16327" s="31" t="str">
        <f t="shared" si="1577"/>
        <v>Tujuh Puluh Lima</v>
      </c>
    </row>
    <row r="16328" spans="10:12">
      <c r="J16328" s="31">
        <v>76</v>
      </c>
      <c r="K16328" s="33" t="s">
        <v>151</v>
      </c>
      <c r="L16328" s="31" t="str">
        <f t="shared" si="1577"/>
        <v>Tujuh Puluh Enam</v>
      </c>
    </row>
    <row r="16329" spans="10:12">
      <c r="J16329" s="31">
        <v>77</v>
      </c>
      <c r="K16329" s="33" t="s">
        <v>152</v>
      </c>
      <c r="L16329" s="31" t="str">
        <f t="shared" si="1577"/>
        <v>Tujuh Puluh Tujuh</v>
      </c>
    </row>
    <row r="16330" spans="10:12">
      <c r="J16330" s="31">
        <v>78</v>
      </c>
      <c r="K16330" s="33" t="s">
        <v>153</v>
      </c>
      <c r="L16330" s="31" t="str">
        <f t="shared" si="1577"/>
        <v>Tujuh Puluh Delapan</v>
      </c>
    </row>
    <row r="16331" spans="10:12">
      <c r="J16331" s="31">
        <v>79</v>
      </c>
      <c r="K16331" s="33" t="s">
        <v>154</v>
      </c>
      <c r="L16331" s="31" t="str">
        <f t="shared" si="1577"/>
        <v>Tujuh Puluh Sembilan</v>
      </c>
    </row>
    <row r="16332" spans="10:12">
      <c r="J16332" s="31">
        <v>80</v>
      </c>
      <c r="K16332" s="33" t="s">
        <v>155</v>
      </c>
      <c r="L16332" s="31" t="s">
        <v>156</v>
      </c>
    </row>
    <row r="16333" spans="10:12">
      <c r="J16333" s="31">
        <v>81</v>
      </c>
      <c r="K16333" s="33" t="s">
        <v>157</v>
      </c>
      <c r="L16333" s="31" t="str">
        <f t="shared" ref="L16333:L16341" si="1578">$L$83&amp;" "&amp;L16253</f>
        <v>Delapan Puluh Satu</v>
      </c>
    </row>
    <row r="16334" spans="10:12">
      <c r="J16334" s="31">
        <v>82</v>
      </c>
      <c r="K16334" s="33" t="s">
        <v>158</v>
      </c>
      <c r="L16334" s="31" t="str">
        <f t="shared" si="1578"/>
        <v>Delapan Puluh Dua</v>
      </c>
    </row>
    <row r="16335" spans="10:12">
      <c r="J16335" s="31">
        <v>83</v>
      </c>
      <c r="K16335" s="33" t="s">
        <v>159</v>
      </c>
      <c r="L16335" s="31" t="str">
        <f t="shared" si="1578"/>
        <v>Delapan Puluh Tiga</v>
      </c>
    </row>
    <row r="16336" spans="10:12">
      <c r="J16336" s="31">
        <v>84</v>
      </c>
      <c r="K16336" s="33" t="s">
        <v>160</v>
      </c>
      <c r="L16336" s="31" t="str">
        <f t="shared" si="1578"/>
        <v>Delapan Puluh Empat</v>
      </c>
    </row>
    <row r="16337" spans="10:12">
      <c r="J16337" s="31">
        <v>85</v>
      </c>
      <c r="K16337" s="33" t="s">
        <v>161</v>
      </c>
      <c r="L16337" s="31" t="str">
        <f t="shared" si="1578"/>
        <v>Delapan Puluh Lima</v>
      </c>
    </row>
    <row r="16338" spans="10:12">
      <c r="J16338" s="31">
        <v>86</v>
      </c>
      <c r="K16338" s="33" t="s">
        <v>162</v>
      </c>
      <c r="L16338" s="31" t="str">
        <f t="shared" si="1578"/>
        <v>Delapan Puluh Enam</v>
      </c>
    </row>
    <row r="16339" spans="10:12">
      <c r="J16339" s="31">
        <v>87</v>
      </c>
      <c r="K16339" s="33" t="s">
        <v>163</v>
      </c>
      <c r="L16339" s="31" t="str">
        <f t="shared" si="1578"/>
        <v>Delapan Puluh Tujuh</v>
      </c>
    </row>
    <row r="16340" spans="10:12">
      <c r="J16340" s="31">
        <v>88</v>
      </c>
      <c r="K16340" s="33" t="s">
        <v>164</v>
      </c>
      <c r="L16340" s="31" t="str">
        <f t="shared" si="1578"/>
        <v>Delapan Puluh Delapan</v>
      </c>
    </row>
    <row r="16341" spans="10:12">
      <c r="J16341" s="31">
        <v>89</v>
      </c>
      <c r="K16341" s="33" t="s">
        <v>165</v>
      </c>
      <c r="L16341" s="31" t="str">
        <f t="shared" si="1578"/>
        <v>Delapan Puluh Sembilan</v>
      </c>
    </row>
    <row r="16342" spans="10:12">
      <c r="J16342" s="31">
        <v>90</v>
      </c>
      <c r="K16342" s="33" t="s">
        <v>166</v>
      </c>
      <c r="L16342" s="31" t="s">
        <v>167</v>
      </c>
    </row>
    <row r="16343" spans="10:12">
      <c r="J16343" s="31">
        <v>91</v>
      </c>
      <c r="K16343" s="33" t="s">
        <v>168</v>
      </c>
      <c r="L16343" s="31" t="str">
        <f t="shared" ref="L16343:L16351" si="1579">$L$93&amp;" "&amp;L16253</f>
        <v>Sembilan Puluh Satu</v>
      </c>
    </row>
    <row r="16344" spans="10:12">
      <c r="J16344" s="31">
        <v>92</v>
      </c>
      <c r="K16344" s="33" t="s">
        <v>169</v>
      </c>
      <c r="L16344" s="31" t="str">
        <f t="shared" si="1579"/>
        <v>Sembilan Puluh Dua</v>
      </c>
    </row>
    <row r="16345" spans="10:12">
      <c r="J16345" s="31">
        <v>93</v>
      </c>
      <c r="K16345" s="33" t="s">
        <v>170</v>
      </c>
      <c r="L16345" s="31" t="str">
        <f t="shared" si="1579"/>
        <v>Sembilan Puluh Tiga</v>
      </c>
    </row>
    <row r="16346" spans="10:12">
      <c r="J16346" s="31">
        <v>94</v>
      </c>
      <c r="K16346" s="33" t="s">
        <v>171</v>
      </c>
      <c r="L16346" s="31" t="str">
        <f t="shared" si="1579"/>
        <v>Sembilan Puluh Empat</v>
      </c>
    </row>
    <row r="16347" spans="10:12">
      <c r="J16347" s="31">
        <v>95</v>
      </c>
      <c r="K16347" s="33" t="s">
        <v>172</v>
      </c>
      <c r="L16347" s="31" t="str">
        <f t="shared" si="1579"/>
        <v>Sembilan Puluh Lima</v>
      </c>
    </row>
    <row r="16348" spans="10:12">
      <c r="J16348" s="31">
        <v>96</v>
      </c>
      <c r="K16348" s="33" t="s">
        <v>173</v>
      </c>
      <c r="L16348" s="31" t="str">
        <f t="shared" si="1579"/>
        <v>Sembilan Puluh Enam</v>
      </c>
    </row>
    <row r="16349" spans="10:12">
      <c r="J16349" s="31">
        <v>97</v>
      </c>
      <c r="K16349" s="33" t="s">
        <v>174</v>
      </c>
      <c r="L16349" s="31" t="str">
        <f t="shared" si="1579"/>
        <v>Sembilan Puluh Tujuh</v>
      </c>
    </row>
    <row r="16350" spans="10:12">
      <c r="J16350" s="31">
        <v>98</v>
      </c>
      <c r="K16350" s="33" t="s">
        <v>175</v>
      </c>
      <c r="L16350" s="31" t="str">
        <f t="shared" si="1579"/>
        <v>Sembilan Puluh Delapan</v>
      </c>
    </row>
    <row r="16351" spans="10:12">
      <c r="J16351" s="31">
        <v>99</v>
      </c>
      <c r="K16351" s="33" t="s">
        <v>176</v>
      </c>
      <c r="L16351" s="31" t="str">
        <f t="shared" si="1579"/>
        <v>Sembilan Puluh Sembilan</v>
      </c>
    </row>
    <row r="16353" spans="1:12">
      <c r="A16353" s="30" t="e">
        <f>#REF!</f>
        <v>#REF!</v>
      </c>
      <c r="C16353" s="31" t="s">
        <v>393</v>
      </c>
    </row>
    <row r="16354" spans="1:12">
      <c r="A16354" s="32"/>
    </row>
    <row r="16355" spans="1:12">
      <c r="J16355" s="31">
        <v>0</v>
      </c>
      <c r="K16355" s="33" t="s">
        <v>48</v>
      </c>
      <c r="L16355" s="31" t="s">
        <v>49</v>
      </c>
    </row>
    <row r="16356" spans="1:12">
      <c r="A16356" s="34"/>
      <c r="J16356" s="31">
        <v>1</v>
      </c>
      <c r="K16356" s="33" t="s">
        <v>50</v>
      </c>
      <c r="L16356" s="31" t="s">
        <v>51</v>
      </c>
    </row>
    <row r="16357" spans="1:12">
      <c r="A16357" s="255" t="e">
        <f>TRIM(D16365&amp;E16365&amp;D16366&amp;E16366&amp;D16367&amp;E16367&amp;D16368&amp;E16368&amp;D16369&amp;E16369&amp;D16370&amp;E16370&amp;E16371&amp;D16371&amp;" Only")</f>
        <v>#REF!</v>
      </c>
      <c r="B16357" s="255"/>
      <c r="C16357" s="255"/>
      <c r="D16357" s="255"/>
      <c r="E16357" s="35"/>
      <c r="F16357" s="36"/>
      <c r="J16357" s="31">
        <v>2</v>
      </c>
      <c r="K16357" s="33" t="s">
        <v>52</v>
      </c>
      <c r="L16357" s="31" t="s">
        <v>53</v>
      </c>
    </row>
    <row r="16358" spans="1:12">
      <c r="A16358" s="120"/>
      <c r="B16358" s="120"/>
      <c r="C16358" s="120"/>
      <c r="D16358" s="120"/>
      <c r="E16358" s="35"/>
      <c r="F16358" s="36"/>
      <c r="J16358" s="31">
        <v>3</v>
      </c>
      <c r="K16358" s="33" t="s">
        <v>54</v>
      </c>
      <c r="L16358" s="31" t="s">
        <v>55</v>
      </c>
    </row>
    <row r="16359" spans="1:12">
      <c r="A16359" s="120"/>
      <c r="B16359" s="120"/>
      <c r="C16359" s="120"/>
      <c r="D16359" s="120"/>
      <c r="J16359" s="31">
        <v>4</v>
      </c>
      <c r="K16359" s="33" t="s">
        <v>56</v>
      </c>
      <c r="L16359" s="31" t="s">
        <v>57</v>
      </c>
    </row>
    <row r="16360" spans="1:12">
      <c r="A16360" s="255" t="e">
        <f>TRIM(D16375&amp;E16375&amp;D16376&amp;E16376&amp;D16377&amp;E16377&amp;D16378&amp;E16378&amp;D16379&amp;E16379&amp;D16380&amp;E16380&amp;D16381&amp;E16381&amp;" Rupiah")</f>
        <v>#REF!</v>
      </c>
      <c r="B16360" s="255"/>
      <c r="C16360" s="255"/>
      <c r="D16360" s="255"/>
      <c r="E16360" s="35"/>
      <c r="F16360" s="36"/>
      <c r="J16360" s="31">
        <v>5</v>
      </c>
      <c r="K16360" s="33" t="s">
        <v>58</v>
      </c>
      <c r="L16360" s="31" t="s">
        <v>59</v>
      </c>
    </row>
    <row r="16361" spans="1:12">
      <c r="A16361" s="35"/>
      <c r="B16361" s="35"/>
      <c r="C16361" s="35"/>
      <c r="D16361" s="35"/>
      <c r="E16361" s="35"/>
      <c r="F16361" s="36"/>
      <c r="J16361" s="31">
        <v>6</v>
      </c>
      <c r="K16361" s="33" t="s">
        <v>60</v>
      </c>
      <c r="L16361" s="31" t="s">
        <v>61</v>
      </c>
    </row>
    <row r="16362" spans="1:12">
      <c r="J16362" s="31">
        <v>7</v>
      </c>
      <c r="K16362" s="33" t="s">
        <v>62</v>
      </c>
      <c r="L16362" s="31" t="s">
        <v>63</v>
      </c>
    </row>
    <row r="16363" spans="1:12">
      <c r="J16363" s="31">
        <v>8</v>
      </c>
      <c r="K16363" s="33" t="s">
        <v>64</v>
      </c>
      <c r="L16363" s="31" t="s">
        <v>65</v>
      </c>
    </row>
    <row r="16364" spans="1:12">
      <c r="A16364" s="38" t="s">
        <v>66</v>
      </c>
      <c r="J16364" s="31">
        <v>9</v>
      </c>
      <c r="K16364" s="33" t="s">
        <v>67</v>
      </c>
      <c r="L16364" s="31" t="s">
        <v>68</v>
      </c>
    </row>
    <row r="16365" spans="1:12">
      <c r="A16365" s="31" t="s">
        <v>69</v>
      </c>
      <c r="B16365" s="39" t="e">
        <f>TRUNC(A16353/100000000)</f>
        <v>#REF!</v>
      </c>
      <c r="C16365" s="31" t="e">
        <f>B16365*100000000</f>
        <v>#REF!</v>
      </c>
      <c r="D16365" s="31" t="e">
        <f t="shared" ref="D16365:D16371" si="1580">IF(B16365&lt;1,"",VLOOKUP(B16365,$J$3:$K$102,2))</f>
        <v>#REF!</v>
      </c>
      <c r="E16365" s="31" t="e">
        <f>IF(B16365&lt;1,"",IF(B16365&gt;1," Hundreds "," Hundred "))</f>
        <v>#REF!</v>
      </c>
      <c r="J16365" s="31">
        <v>10</v>
      </c>
      <c r="K16365" s="33" t="s">
        <v>70</v>
      </c>
      <c r="L16365" s="31" t="s">
        <v>71</v>
      </c>
    </row>
    <row r="16366" spans="1:12">
      <c r="A16366" s="31" t="s">
        <v>72</v>
      </c>
      <c r="B16366" s="39" t="e">
        <f>TRUNC((A16353-C16365)/1000000)</f>
        <v>#REF!</v>
      </c>
      <c r="C16366" s="31" t="e">
        <f>B16366*1000000</f>
        <v>#REF!</v>
      </c>
      <c r="D16366" s="31" t="e">
        <f t="shared" si="1580"/>
        <v>#REF!</v>
      </c>
      <c r="E16366" s="31" t="e">
        <f>IF(B16365+B16366=0,"",IF(B16366=1," Million "," Millions "))</f>
        <v>#REF!</v>
      </c>
      <c r="J16366" s="31">
        <v>11</v>
      </c>
      <c r="K16366" s="33" t="s">
        <v>73</v>
      </c>
      <c r="L16366" s="31" t="s">
        <v>74</v>
      </c>
    </row>
    <row r="16367" spans="1:12">
      <c r="A16367" s="31" t="s">
        <v>75</v>
      </c>
      <c r="B16367" s="39" t="e">
        <f>TRUNC((A16353-SUM(C16365:C16366))/100000)</f>
        <v>#REF!</v>
      </c>
      <c r="C16367" s="31" t="e">
        <f>B16367*100000</f>
        <v>#REF!</v>
      </c>
      <c r="D16367" s="31" t="e">
        <f t="shared" si="1580"/>
        <v>#REF!</v>
      </c>
      <c r="E16367" s="31" t="e">
        <f>IF(B16367&lt;1,"",IF(B16367&gt;1," Hundreds "," Hundred "))</f>
        <v>#REF!</v>
      </c>
      <c r="J16367" s="31">
        <v>12</v>
      </c>
      <c r="K16367" s="33" t="s">
        <v>76</v>
      </c>
      <c r="L16367" s="31" t="str">
        <f t="shared" ref="L16367:L16374" si="1581">L16357&amp;" Belas"</f>
        <v>Dua Belas</v>
      </c>
    </row>
    <row r="16368" spans="1:12">
      <c r="A16368" s="33" t="s">
        <v>77</v>
      </c>
      <c r="B16368" s="40" t="e">
        <f>TRUNC((A16353-SUM(C16365:C16367))/1000)</f>
        <v>#REF!</v>
      </c>
      <c r="C16368" s="31" t="e">
        <f>B16368*1000</f>
        <v>#REF!</v>
      </c>
      <c r="D16368" s="31" t="e">
        <f t="shared" si="1580"/>
        <v>#REF!</v>
      </c>
      <c r="E16368" s="31" t="e">
        <f>IF(B16367+B16368=0,"",IF(B16368=1," Thousand "," Thousands "))</f>
        <v>#REF!</v>
      </c>
      <c r="J16368" s="31">
        <v>13</v>
      </c>
      <c r="K16368" s="33" t="s">
        <v>78</v>
      </c>
      <c r="L16368" s="31" t="str">
        <f t="shared" si="1581"/>
        <v>Tiga Belas</v>
      </c>
    </row>
    <row r="16369" spans="1:12">
      <c r="A16369" s="33" t="s">
        <v>79</v>
      </c>
      <c r="B16369" s="40" t="e">
        <f>TRUNC((A16353-SUM(C16365:C16368))/100)</f>
        <v>#REF!</v>
      </c>
      <c r="C16369" s="31" t="e">
        <f>B16369*100</f>
        <v>#REF!</v>
      </c>
      <c r="D16369" s="31" t="e">
        <f t="shared" si="1580"/>
        <v>#REF!</v>
      </c>
      <c r="E16369" s="31" t="e">
        <f>IF(B16369&lt;1,"",IF(B16369&gt;1," Hundreds "," Hundred "))</f>
        <v>#REF!</v>
      </c>
      <c r="J16369" s="31">
        <v>14</v>
      </c>
      <c r="K16369" s="33" t="s">
        <v>80</v>
      </c>
      <c r="L16369" s="31" t="str">
        <f t="shared" si="1581"/>
        <v>Empat Belas</v>
      </c>
    </row>
    <row r="16370" spans="1:12">
      <c r="A16370" s="33" t="s">
        <v>81</v>
      </c>
      <c r="B16370" s="41" t="e">
        <f>TRUNC((A16353-SUM(C16365:C16369)))</f>
        <v>#REF!</v>
      </c>
      <c r="C16370" s="42" t="e">
        <f>B16370</f>
        <v>#REF!</v>
      </c>
      <c r="D16370" s="31" t="e">
        <f t="shared" si="1580"/>
        <v>#REF!</v>
      </c>
      <c r="E16370" s="31" t="e">
        <f>IF(SUM(C16365:C16370)&lt;1,"",IF(B16371&lt;1,""," And "))</f>
        <v>#REF!</v>
      </c>
      <c r="J16370" s="31">
        <v>15</v>
      </c>
      <c r="K16370" s="33" t="s">
        <v>82</v>
      </c>
      <c r="L16370" s="31" t="str">
        <f t="shared" si="1581"/>
        <v>Lima Belas</v>
      </c>
    </row>
    <row r="16371" spans="1:12">
      <c r="A16371" s="33" t="s">
        <v>83</v>
      </c>
      <c r="B16371" s="40" t="e">
        <f>ROUND(A16353-SUM(C16365:C16370),2)*100</f>
        <v>#REF!</v>
      </c>
      <c r="D16371" s="43" t="e">
        <f t="shared" si="1580"/>
        <v>#REF!</v>
      </c>
      <c r="E16371" s="31" t="e">
        <f>IF(B16371&lt;1,"",IF(B16371=1," Cent "," Cents "))</f>
        <v>#REF!</v>
      </c>
      <c r="J16371" s="31">
        <v>16</v>
      </c>
      <c r="K16371" s="33" t="s">
        <v>84</v>
      </c>
      <c r="L16371" s="31" t="str">
        <f t="shared" si="1581"/>
        <v>Enam Belas</v>
      </c>
    </row>
    <row r="16372" spans="1:12">
      <c r="J16372" s="31">
        <v>17</v>
      </c>
      <c r="K16372" s="33" t="s">
        <v>85</v>
      </c>
      <c r="L16372" s="31" t="str">
        <f t="shared" si="1581"/>
        <v>Tujuh Belas</v>
      </c>
    </row>
    <row r="16373" spans="1:12">
      <c r="A16373" s="44"/>
      <c r="J16373" s="31">
        <v>18</v>
      </c>
      <c r="K16373" s="33" t="s">
        <v>86</v>
      </c>
      <c r="L16373" s="31" t="str">
        <f t="shared" si="1581"/>
        <v>Delapan Belas</v>
      </c>
    </row>
    <row r="16374" spans="1:12">
      <c r="A16374" s="38" t="s">
        <v>87</v>
      </c>
      <c r="J16374" s="31">
        <v>19</v>
      </c>
      <c r="K16374" s="33" t="s">
        <v>88</v>
      </c>
      <c r="L16374" s="31" t="str">
        <f t="shared" si="1581"/>
        <v>Sembilan Belas</v>
      </c>
    </row>
    <row r="16375" spans="1:12">
      <c r="A16375" s="31" t="s">
        <v>69</v>
      </c>
      <c r="B16375" s="39" t="e">
        <f>TRUNC(A16353/100000000)</f>
        <v>#REF!</v>
      </c>
      <c r="C16375" s="31" t="e">
        <f>B16375*100000000</f>
        <v>#REF!</v>
      </c>
      <c r="D16375" s="31" t="e">
        <f>IF(B16375&lt;1,"",IF(B16375=1,"",VLOOKUP(B16375,$J$3:$L$102,3)))</f>
        <v>#REF!</v>
      </c>
      <c r="E16375" s="31" t="e">
        <f>IF(B16375&lt;1,"",IF(B16375=1,"Seratus "," Ratus "))</f>
        <v>#REF!</v>
      </c>
      <c r="J16375" s="31">
        <v>20</v>
      </c>
      <c r="K16375" s="33" t="s">
        <v>89</v>
      </c>
      <c r="L16375" s="31" t="s">
        <v>90</v>
      </c>
    </row>
    <row r="16376" spans="1:12">
      <c r="A16376" s="31" t="s">
        <v>72</v>
      </c>
      <c r="B16376" s="39" t="e">
        <f>TRUNC((A16353-C16375)/1000000)</f>
        <v>#REF!</v>
      </c>
      <c r="C16376" s="31" t="e">
        <f>B16376*1000000</f>
        <v>#REF!</v>
      </c>
      <c r="D16376" s="31" t="e">
        <f>IF(B16376&lt;1,"",VLOOKUP(B16376,$J$3:$L$102,3))</f>
        <v>#REF!</v>
      </c>
      <c r="E16376" s="31" t="e">
        <f>IF(B16375+B16376=0,""," Juta ")</f>
        <v>#REF!</v>
      </c>
      <c r="J16376" s="31">
        <v>21</v>
      </c>
      <c r="K16376" s="33" t="s">
        <v>91</v>
      </c>
      <c r="L16376" s="31" t="str">
        <f t="shared" ref="L16376:L16384" si="1582">$L$23&amp;" "&amp;L16356</f>
        <v>Dua Puluh Satu</v>
      </c>
    </row>
    <row r="16377" spans="1:12">
      <c r="A16377" s="31" t="s">
        <v>75</v>
      </c>
      <c r="B16377" s="39" t="e">
        <f>TRUNC((A16353-SUM(C16375:C16376))/100000)</f>
        <v>#REF!</v>
      </c>
      <c r="C16377" s="31" t="e">
        <f>B16377*100000</f>
        <v>#REF!</v>
      </c>
      <c r="D16377" s="31" t="e">
        <f>IF(B16377&lt;1,"",IF(B16377=1,"",VLOOKUP(B16377,$J$3:$L$102,3)))</f>
        <v>#REF!</v>
      </c>
      <c r="E16377" s="31" t="e">
        <f>IF(B16377&lt;1,"",IF(B16377=1," Seratus "," Ratus "))</f>
        <v>#REF!</v>
      </c>
      <c r="J16377" s="31">
        <v>22</v>
      </c>
      <c r="K16377" s="33" t="s">
        <v>92</v>
      </c>
      <c r="L16377" s="31" t="str">
        <f t="shared" si="1582"/>
        <v>Dua Puluh Dua</v>
      </c>
    </row>
    <row r="16378" spans="1:12">
      <c r="A16378" s="33" t="s">
        <v>77</v>
      </c>
      <c r="B16378" s="40" t="e">
        <f>TRUNC((A16353-SUM(C16375:C16377))/1000)</f>
        <v>#REF!</v>
      </c>
      <c r="C16378" s="31" t="e">
        <f>B16378*1000</f>
        <v>#REF!</v>
      </c>
      <c r="D16378" s="31" t="e">
        <f>IF(B16378&lt;1,"",IF(B16378=1,"",VLOOKUP(B16378,$J$3:$L$102,3)))</f>
        <v>#REF!</v>
      </c>
      <c r="E16378" s="31" t="e">
        <f>IF(B16377+B16378&lt;1,"",IF(B16378=1," Seribu "," Ribu "))</f>
        <v>#REF!</v>
      </c>
      <c r="J16378" s="31">
        <v>23</v>
      </c>
      <c r="K16378" s="33" t="s">
        <v>93</v>
      </c>
      <c r="L16378" s="31" t="str">
        <f t="shared" si="1582"/>
        <v>Dua Puluh Tiga</v>
      </c>
    </row>
    <row r="16379" spans="1:12">
      <c r="A16379" s="33" t="s">
        <v>79</v>
      </c>
      <c r="B16379" s="40" t="e">
        <f>TRUNC((A16353-SUM(C16375:C16378))/100)</f>
        <v>#REF!</v>
      </c>
      <c r="C16379" s="31" t="e">
        <f>B16379*100</f>
        <v>#REF!</v>
      </c>
      <c r="D16379" s="31" t="e">
        <f>IF(B16379&lt;1,"",IF(B16379=1,"",VLOOKUP(B16379,$J$3:$L$102,3)))</f>
        <v>#REF!</v>
      </c>
      <c r="E16379" s="31" t="e">
        <f>IF(B16379&lt;1,"",IF(B16379=1," Seratus "," Ratus "))</f>
        <v>#REF!</v>
      </c>
      <c r="J16379" s="31">
        <v>24</v>
      </c>
      <c r="K16379" s="33" t="s">
        <v>94</v>
      </c>
      <c r="L16379" s="31" t="str">
        <f t="shared" si="1582"/>
        <v>Dua Puluh Empat</v>
      </c>
    </row>
    <row r="16380" spans="1:12">
      <c r="A16380" s="33" t="s">
        <v>81</v>
      </c>
      <c r="B16380" s="41" t="e">
        <f>TRUNC((A16353-SUM(C16375:C16379)))</f>
        <v>#REF!</v>
      </c>
      <c r="C16380" s="42" t="e">
        <f>B16380</f>
        <v>#REF!</v>
      </c>
      <c r="D16380" s="31" t="e">
        <f>IF(B16380&lt;1,"",VLOOKUP(B16380,$J$3:$L$102,3))</f>
        <v>#REF!</v>
      </c>
      <c r="E16380" s="31" t="e">
        <f>IF(SUM(C16375:C16380)&lt;1,"",IF(B16381&lt;1,""," Dan "))</f>
        <v>#REF!</v>
      </c>
      <c r="J16380" s="31">
        <v>25</v>
      </c>
      <c r="K16380" s="33" t="s">
        <v>95</v>
      </c>
      <c r="L16380" s="31" t="str">
        <f t="shared" si="1582"/>
        <v>Dua Puluh Lima</v>
      </c>
    </row>
    <row r="16381" spans="1:12">
      <c r="A16381" s="33" t="s">
        <v>83</v>
      </c>
      <c r="B16381" s="40" t="e">
        <f>ROUND(A16353-SUM(C16375:C16380),2)*100</f>
        <v>#REF!</v>
      </c>
      <c r="D16381" s="31" t="e">
        <f>IF(B16381&lt;1,"",VLOOKUP(B16381,$J$3:$L$102,3))</f>
        <v>#REF!</v>
      </c>
      <c r="E16381" s="31" t="e">
        <f>IF(B16381&lt;1,""," Sen ")</f>
        <v>#REF!</v>
      </c>
      <c r="J16381" s="31">
        <v>26</v>
      </c>
      <c r="K16381" s="33" t="s">
        <v>96</v>
      </c>
      <c r="L16381" s="31" t="str">
        <f t="shared" si="1582"/>
        <v>Dua Puluh Enam</v>
      </c>
    </row>
    <row r="16382" spans="1:12">
      <c r="J16382" s="31">
        <v>27</v>
      </c>
      <c r="K16382" s="33" t="s">
        <v>97</v>
      </c>
      <c r="L16382" s="31" t="str">
        <f t="shared" si="1582"/>
        <v>Dua Puluh Tujuh</v>
      </c>
    </row>
    <row r="16383" spans="1:12">
      <c r="J16383" s="31">
        <v>28</v>
      </c>
      <c r="K16383" s="33" t="s">
        <v>98</v>
      </c>
      <c r="L16383" s="31" t="str">
        <f t="shared" si="1582"/>
        <v>Dua Puluh Delapan</v>
      </c>
    </row>
    <row r="16384" spans="1:12">
      <c r="J16384" s="31">
        <v>29</v>
      </c>
      <c r="K16384" s="33" t="s">
        <v>99</v>
      </c>
      <c r="L16384" s="31" t="str">
        <f t="shared" si="1582"/>
        <v>Dua Puluh Sembilan</v>
      </c>
    </row>
    <row r="16385" spans="1:12">
      <c r="J16385" s="31">
        <v>30</v>
      </c>
      <c r="K16385" s="33" t="s">
        <v>100</v>
      </c>
      <c r="L16385" s="31" t="s">
        <v>101</v>
      </c>
    </row>
    <row r="16386" spans="1:12">
      <c r="J16386" s="31">
        <v>31</v>
      </c>
      <c r="K16386" s="33" t="s">
        <v>102</v>
      </c>
      <c r="L16386" s="31" t="str">
        <f t="shared" ref="L16386:L16394" si="1583">$L$33&amp;" "&amp;L16356</f>
        <v>Tiga Puluh Satu</v>
      </c>
    </row>
    <row r="16387" spans="1:12">
      <c r="J16387" s="31">
        <v>32</v>
      </c>
      <c r="K16387" s="33" t="s">
        <v>103</v>
      </c>
      <c r="L16387" s="31" t="str">
        <f t="shared" si="1583"/>
        <v>Tiga Puluh Dua</v>
      </c>
    </row>
    <row r="16388" spans="1:12">
      <c r="J16388" s="31">
        <v>33</v>
      </c>
      <c r="K16388" s="33" t="s">
        <v>104</v>
      </c>
      <c r="L16388" s="31" t="str">
        <f t="shared" si="1583"/>
        <v>Tiga Puluh Tiga</v>
      </c>
    </row>
    <row r="16389" spans="1:12">
      <c r="J16389" s="31">
        <v>34</v>
      </c>
      <c r="K16389" s="33" t="s">
        <v>105</v>
      </c>
      <c r="L16389" s="31" t="str">
        <f t="shared" si="1583"/>
        <v>Tiga Puluh Empat</v>
      </c>
    </row>
    <row r="16390" spans="1:12">
      <c r="J16390" s="31">
        <v>35</v>
      </c>
      <c r="K16390" s="33" t="s">
        <v>106</v>
      </c>
      <c r="L16390" s="31" t="str">
        <f t="shared" si="1583"/>
        <v>Tiga Puluh Lima</v>
      </c>
    </row>
    <row r="16391" spans="1:12">
      <c r="J16391" s="31">
        <v>36</v>
      </c>
      <c r="K16391" s="33" t="s">
        <v>107</v>
      </c>
      <c r="L16391" s="31" t="str">
        <f t="shared" si="1583"/>
        <v>Tiga Puluh Enam</v>
      </c>
    </row>
    <row r="16392" spans="1:12">
      <c r="J16392" s="31">
        <v>37</v>
      </c>
      <c r="K16392" s="33" t="s">
        <v>108</v>
      </c>
      <c r="L16392" s="31" t="str">
        <f t="shared" si="1583"/>
        <v>Tiga Puluh Tujuh</v>
      </c>
    </row>
    <row r="16393" spans="1:12">
      <c r="J16393" s="31">
        <v>38</v>
      </c>
      <c r="K16393" s="33" t="s">
        <v>109</v>
      </c>
      <c r="L16393" s="31" t="str">
        <f t="shared" si="1583"/>
        <v>Tiga Puluh Delapan</v>
      </c>
    </row>
    <row r="16394" spans="1:12">
      <c r="J16394" s="31">
        <v>39</v>
      </c>
      <c r="K16394" s="33" t="s">
        <v>110</v>
      </c>
      <c r="L16394" s="31" t="str">
        <f t="shared" si="1583"/>
        <v>Tiga Puluh Sembilan</v>
      </c>
    </row>
    <row r="16395" spans="1:12">
      <c r="B16395" s="35"/>
      <c r="C16395" s="35"/>
      <c r="D16395" s="35"/>
      <c r="J16395" s="31">
        <v>40</v>
      </c>
      <c r="K16395" s="33" t="s">
        <v>111</v>
      </c>
      <c r="L16395" s="31" t="s">
        <v>112</v>
      </c>
    </row>
    <row r="16396" spans="1:12">
      <c r="A16396" s="35"/>
      <c r="B16396" s="35"/>
      <c r="C16396" s="35"/>
      <c r="D16396" s="35"/>
      <c r="J16396" s="31">
        <v>41</v>
      </c>
      <c r="K16396" s="33" t="s">
        <v>113</v>
      </c>
      <c r="L16396" s="31" t="str">
        <f t="shared" ref="L16396:L16404" si="1584">$L$43&amp;" "&amp;L16356</f>
        <v>Empat Puluh Satu</v>
      </c>
    </row>
    <row r="16397" spans="1:12">
      <c r="J16397" s="31">
        <v>42</v>
      </c>
      <c r="K16397" s="33" t="s">
        <v>114</v>
      </c>
      <c r="L16397" s="31" t="str">
        <f t="shared" si="1584"/>
        <v>Empat Puluh Dua</v>
      </c>
    </row>
    <row r="16398" spans="1:12">
      <c r="A16398" s="38"/>
      <c r="J16398" s="31">
        <v>43</v>
      </c>
      <c r="K16398" s="33" t="s">
        <v>115</v>
      </c>
      <c r="L16398" s="31" t="str">
        <f t="shared" si="1584"/>
        <v>Empat Puluh Tiga</v>
      </c>
    </row>
    <row r="16399" spans="1:12">
      <c r="J16399" s="31">
        <v>44</v>
      </c>
      <c r="K16399" s="33" t="s">
        <v>116</v>
      </c>
      <c r="L16399" s="31" t="str">
        <f t="shared" si="1584"/>
        <v>Empat Puluh Empat</v>
      </c>
    </row>
    <row r="16400" spans="1:12">
      <c r="J16400" s="31">
        <v>45</v>
      </c>
      <c r="K16400" s="33" t="s">
        <v>117</v>
      </c>
      <c r="L16400" s="31" t="str">
        <f t="shared" si="1584"/>
        <v>Empat Puluh Lima</v>
      </c>
    </row>
    <row r="16401" spans="10:12">
      <c r="J16401" s="31">
        <v>46</v>
      </c>
      <c r="K16401" s="33" t="s">
        <v>118</v>
      </c>
      <c r="L16401" s="31" t="str">
        <f t="shared" si="1584"/>
        <v>Empat Puluh Enam</v>
      </c>
    </row>
    <row r="16402" spans="10:12">
      <c r="J16402" s="31">
        <v>47</v>
      </c>
      <c r="K16402" s="33" t="s">
        <v>119</v>
      </c>
      <c r="L16402" s="31" t="str">
        <f t="shared" si="1584"/>
        <v>Empat Puluh Tujuh</v>
      </c>
    </row>
    <row r="16403" spans="10:12">
      <c r="J16403" s="31">
        <v>48</v>
      </c>
      <c r="K16403" s="33" t="s">
        <v>120</v>
      </c>
      <c r="L16403" s="31" t="str">
        <f t="shared" si="1584"/>
        <v>Empat Puluh Delapan</v>
      </c>
    </row>
    <row r="16404" spans="10:12">
      <c r="J16404" s="31">
        <v>49</v>
      </c>
      <c r="K16404" s="33" t="s">
        <v>121</v>
      </c>
      <c r="L16404" s="31" t="str">
        <f t="shared" si="1584"/>
        <v>Empat Puluh Sembilan</v>
      </c>
    </row>
    <row r="16405" spans="10:12">
      <c r="J16405" s="31">
        <v>50</v>
      </c>
      <c r="K16405" s="33" t="s">
        <v>122</v>
      </c>
      <c r="L16405" s="31" t="s">
        <v>123</v>
      </c>
    </row>
    <row r="16406" spans="10:12">
      <c r="J16406" s="31">
        <v>51</v>
      </c>
      <c r="K16406" s="33" t="s">
        <v>124</v>
      </c>
      <c r="L16406" s="31" t="str">
        <f t="shared" ref="L16406:L16414" si="1585">$L$53&amp;" "&amp;L16356</f>
        <v>Lima Puluh Satu</v>
      </c>
    </row>
    <row r="16407" spans="10:12">
      <c r="J16407" s="31">
        <v>52</v>
      </c>
      <c r="K16407" s="33" t="s">
        <v>125</v>
      </c>
      <c r="L16407" s="31" t="str">
        <f t="shared" si="1585"/>
        <v>Lima Puluh Dua</v>
      </c>
    </row>
    <row r="16408" spans="10:12">
      <c r="J16408" s="31">
        <v>53</v>
      </c>
      <c r="K16408" s="33" t="s">
        <v>126</v>
      </c>
      <c r="L16408" s="31" t="str">
        <f t="shared" si="1585"/>
        <v>Lima Puluh Tiga</v>
      </c>
    </row>
    <row r="16409" spans="10:12">
      <c r="J16409" s="31">
        <v>54</v>
      </c>
      <c r="K16409" s="33" t="s">
        <v>127</v>
      </c>
      <c r="L16409" s="31" t="str">
        <f t="shared" si="1585"/>
        <v>Lima Puluh Empat</v>
      </c>
    </row>
    <row r="16410" spans="10:12">
      <c r="J16410" s="31">
        <v>55</v>
      </c>
      <c r="K16410" s="33" t="s">
        <v>128</v>
      </c>
      <c r="L16410" s="31" t="str">
        <f t="shared" si="1585"/>
        <v>Lima Puluh Lima</v>
      </c>
    </row>
    <row r="16411" spans="10:12">
      <c r="J16411" s="31">
        <v>56</v>
      </c>
      <c r="K16411" s="33" t="s">
        <v>129</v>
      </c>
      <c r="L16411" s="31" t="str">
        <f t="shared" si="1585"/>
        <v>Lima Puluh Enam</v>
      </c>
    </row>
    <row r="16412" spans="10:12">
      <c r="J16412" s="31">
        <v>57</v>
      </c>
      <c r="K16412" s="33" t="s">
        <v>130</v>
      </c>
      <c r="L16412" s="31" t="str">
        <f t="shared" si="1585"/>
        <v>Lima Puluh Tujuh</v>
      </c>
    </row>
    <row r="16413" spans="10:12">
      <c r="J16413" s="31">
        <v>58</v>
      </c>
      <c r="K16413" s="33" t="s">
        <v>131</v>
      </c>
      <c r="L16413" s="31" t="str">
        <f t="shared" si="1585"/>
        <v>Lima Puluh Delapan</v>
      </c>
    </row>
    <row r="16414" spans="10:12">
      <c r="J16414" s="31">
        <v>59</v>
      </c>
      <c r="K16414" s="33" t="s">
        <v>132</v>
      </c>
      <c r="L16414" s="31" t="str">
        <f t="shared" si="1585"/>
        <v>Lima Puluh Sembilan</v>
      </c>
    </row>
    <row r="16415" spans="10:12">
      <c r="J16415" s="31">
        <v>60</v>
      </c>
      <c r="K16415" s="33" t="s">
        <v>133</v>
      </c>
      <c r="L16415" s="31" t="s">
        <v>134</v>
      </c>
    </row>
    <row r="16416" spans="10:12">
      <c r="J16416" s="31">
        <v>61</v>
      </c>
      <c r="K16416" s="33" t="s">
        <v>135</v>
      </c>
      <c r="L16416" s="31" t="str">
        <f t="shared" ref="L16416:L16424" si="1586">$L$63&amp;" "&amp;L16356</f>
        <v>Enam Puluh Satu</v>
      </c>
    </row>
    <row r="16417" spans="10:12">
      <c r="J16417" s="31">
        <v>62</v>
      </c>
      <c r="K16417" s="33" t="s">
        <v>136</v>
      </c>
      <c r="L16417" s="31" t="str">
        <f t="shared" si="1586"/>
        <v>Enam Puluh Dua</v>
      </c>
    </row>
    <row r="16418" spans="10:12">
      <c r="J16418" s="31">
        <v>63</v>
      </c>
      <c r="K16418" s="33" t="s">
        <v>137</v>
      </c>
      <c r="L16418" s="31" t="str">
        <f t="shared" si="1586"/>
        <v>Enam Puluh Tiga</v>
      </c>
    </row>
    <row r="16419" spans="10:12">
      <c r="J16419" s="31">
        <v>64</v>
      </c>
      <c r="K16419" s="33" t="s">
        <v>138</v>
      </c>
      <c r="L16419" s="31" t="str">
        <f t="shared" si="1586"/>
        <v>Enam Puluh Empat</v>
      </c>
    </row>
    <row r="16420" spans="10:12">
      <c r="J16420" s="31">
        <v>65</v>
      </c>
      <c r="K16420" s="33" t="s">
        <v>139</v>
      </c>
      <c r="L16420" s="31" t="str">
        <f t="shared" si="1586"/>
        <v>Enam Puluh Lima</v>
      </c>
    </row>
    <row r="16421" spans="10:12">
      <c r="J16421" s="31">
        <v>66</v>
      </c>
      <c r="K16421" s="33" t="s">
        <v>140</v>
      </c>
      <c r="L16421" s="31" t="str">
        <f t="shared" si="1586"/>
        <v>Enam Puluh Enam</v>
      </c>
    </row>
    <row r="16422" spans="10:12">
      <c r="J16422" s="31">
        <v>67</v>
      </c>
      <c r="K16422" s="33" t="s">
        <v>141</v>
      </c>
      <c r="L16422" s="31" t="str">
        <f t="shared" si="1586"/>
        <v>Enam Puluh Tujuh</v>
      </c>
    </row>
    <row r="16423" spans="10:12">
      <c r="J16423" s="31">
        <v>68</v>
      </c>
      <c r="K16423" s="33" t="s">
        <v>142</v>
      </c>
      <c r="L16423" s="31" t="str">
        <f t="shared" si="1586"/>
        <v>Enam Puluh Delapan</v>
      </c>
    </row>
    <row r="16424" spans="10:12">
      <c r="J16424" s="31">
        <v>69</v>
      </c>
      <c r="K16424" s="33" t="s">
        <v>143</v>
      </c>
      <c r="L16424" s="31" t="str">
        <f t="shared" si="1586"/>
        <v>Enam Puluh Sembilan</v>
      </c>
    </row>
    <row r="16425" spans="10:12">
      <c r="J16425" s="31">
        <v>70</v>
      </c>
      <c r="K16425" s="33" t="s">
        <v>144</v>
      </c>
      <c r="L16425" s="31" t="s">
        <v>145</v>
      </c>
    </row>
    <row r="16426" spans="10:12">
      <c r="J16426" s="31">
        <v>71</v>
      </c>
      <c r="K16426" s="33" t="s">
        <v>146</v>
      </c>
      <c r="L16426" s="31" t="str">
        <f t="shared" ref="L16426:L16434" si="1587">$L$73&amp;" "&amp;L16356</f>
        <v>Tujuh Puluh Satu</v>
      </c>
    </row>
    <row r="16427" spans="10:12">
      <c r="J16427" s="31">
        <v>72</v>
      </c>
      <c r="K16427" s="33" t="s">
        <v>147</v>
      </c>
      <c r="L16427" s="31" t="str">
        <f t="shared" si="1587"/>
        <v>Tujuh Puluh Dua</v>
      </c>
    </row>
    <row r="16428" spans="10:12">
      <c r="J16428" s="31">
        <v>73</v>
      </c>
      <c r="K16428" s="33" t="s">
        <v>148</v>
      </c>
      <c r="L16428" s="31" t="str">
        <f t="shared" si="1587"/>
        <v>Tujuh Puluh Tiga</v>
      </c>
    </row>
    <row r="16429" spans="10:12">
      <c r="J16429" s="31">
        <v>74</v>
      </c>
      <c r="K16429" s="33" t="s">
        <v>149</v>
      </c>
      <c r="L16429" s="31" t="str">
        <f t="shared" si="1587"/>
        <v>Tujuh Puluh Empat</v>
      </c>
    </row>
    <row r="16430" spans="10:12">
      <c r="J16430" s="31">
        <v>75</v>
      </c>
      <c r="K16430" s="33" t="s">
        <v>150</v>
      </c>
      <c r="L16430" s="31" t="str">
        <f t="shared" si="1587"/>
        <v>Tujuh Puluh Lima</v>
      </c>
    </row>
    <row r="16431" spans="10:12">
      <c r="J16431" s="31">
        <v>76</v>
      </c>
      <c r="K16431" s="33" t="s">
        <v>151</v>
      </c>
      <c r="L16431" s="31" t="str">
        <f t="shared" si="1587"/>
        <v>Tujuh Puluh Enam</v>
      </c>
    </row>
    <row r="16432" spans="10:12">
      <c r="J16432" s="31">
        <v>77</v>
      </c>
      <c r="K16432" s="33" t="s">
        <v>152</v>
      </c>
      <c r="L16432" s="31" t="str">
        <f t="shared" si="1587"/>
        <v>Tujuh Puluh Tujuh</v>
      </c>
    </row>
    <row r="16433" spans="10:12">
      <c r="J16433" s="31">
        <v>78</v>
      </c>
      <c r="K16433" s="33" t="s">
        <v>153</v>
      </c>
      <c r="L16433" s="31" t="str">
        <f t="shared" si="1587"/>
        <v>Tujuh Puluh Delapan</v>
      </c>
    </row>
    <row r="16434" spans="10:12">
      <c r="J16434" s="31">
        <v>79</v>
      </c>
      <c r="K16434" s="33" t="s">
        <v>154</v>
      </c>
      <c r="L16434" s="31" t="str">
        <f t="shared" si="1587"/>
        <v>Tujuh Puluh Sembilan</v>
      </c>
    </row>
    <row r="16435" spans="10:12">
      <c r="J16435" s="31">
        <v>80</v>
      </c>
      <c r="K16435" s="33" t="s">
        <v>155</v>
      </c>
      <c r="L16435" s="31" t="s">
        <v>156</v>
      </c>
    </row>
    <row r="16436" spans="10:12">
      <c r="J16436" s="31">
        <v>81</v>
      </c>
      <c r="K16436" s="33" t="s">
        <v>157</v>
      </c>
      <c r="L16436" s="31" t="str">
        <f t="shared" ref="L16436:L16444" si="1588">$L$83&amp;" "&amp;L16356</f>
        <v>Delapan Puluh Satu</v>
      </c>
    </row>
    <row r="16437" spans="10:12">
      <c r="J16437" s="31">
        <v>82</v>
      </c>
      <c r="K16437" s="33" t="s">
        <v>158</v>
      </c>
      <c r="L16437" s="31" t="str">
        <f t="shared" si="1588"/>
        <v>Delapan Puluh Dua</v>
      </c>
    </row>
    <row r="16438" spans="10:12">
      <c r="J16438" s="31">
        <v>83</v>
      </c>
      <c r="K16438" s="33" t="s">
        <v>159</v>
      </c>
      <c r="L16438" s="31" t="str">
        <f t="shared" si="1588"/>
        <v>Delapan Puluh Tiga</v>
      </c>
    </row>
    <row r="16439" spans="10:12">
      <c r="J16439" s="31">
        <v>84</v>
      </c>
      <c r="K16439" s="33" t="s">
        <v>160</v>
      </c>
      <c r="L16439" s="31" t="str">
        <f t="shared" si="1588"/>
        <v>Delapan Puluh Empat</v>
      </c>
    </row>
    <row r="16440" spans="10:12">
      <c r="J16440" s="31">
        <v>85</v>
      </c>
      <c r="K16440" s="33" t="s">
        <v>161</v>
      </c>
      <c r="L16440" s="31" t="str">
        <f t="shared" si="1588"/>
        <v>Delapan Puluh Lima</v>
      </c>
    </row>
    <row r="16441" spans="10:12">
      <c r="J16441" s="31">
        <v>86</v>
      </c>
      <c r="K16441" s="33" t="s">
        <v>162</v>
      </c>
      <c r="L16441" s="31" t="str">
        <f t="shared" si="1588"/>
        <v>Delapan Puluh Enam</v>
      </c>
    </row>
    <row r="16442" spans="10:12">
      <c r="J16442" s="31">
        <v>87</v>
      </c>
      <c r="K16442" s="33" t="s">
        <v>163</v>
      </c>
      <c r="L16442" s="31" t="str">
        <f t="shared" si="1588"/>
        <v>Delapan Puluh Tujuh</v>
      </c>
    </row>
    <row r="16443" spans="10:12">
      <c r="J16443" s="31">
        <v>88</v>
      </c>
      <c r="K16443" s="33" t="s">
        <v>164</v>
      </c>
      <c r="L16443" s="31" t="str">
        <f t="shared" si="1588"/>
        <v>Delapan Puluh Delapan</v>
      </c>
    </row>
    <row r="16444" spans="10:12">
      <c r="J16444" s="31">
        <v>89</v>
      </c>
      <c r="K16444" s="33" t="s">
        <v>165</v>
      </c>
      <c r="L16444" s="31" t="str">
        <f t="shared" si="1588"/>
        <v>Delapan Puluh Sembilan</v>
      </c>
    </row>
    <row r="16445" spans="10:12">
      <c r="J16445" s="31">
        <v>90</v>
      </c>
      <c r="K16445" s="33" t="s">
        <v>166</v>
      </c>
      <c r="L16445" s="31" t="s">
        <v>167</v>
      </c>
    </row>
    <row r="16446" spans="10:12">
      <c r="J16446" s="31">
        <v>91</v>
      </c>
      <c r="K16446" s="33" t="s">
        <v>168</v>
      </c>
      <c r="L16446" s="31" t="str">
        <f t="shared" ref="L16446:L16454" si="1589">$L$93&amp;" "&amp;L16356</f>
        <v>Sembilan Puluh Satu</v>
      </c>
    </row>
    <row r="16447" spans="10:12">
      <c r="J16447" s="31">
        <v>92</v>
      </c>
      <c r="K16447" s="33" t="s">
        <v>169</v>
      </c>
      <c r="L16447" s="31" t="str">
        <f t="shared" si="1589"/>
        <v>Sembilan Puluh Dua</v>
      </c>
    </row>
    <row r="16448" spans="10:12">
      <c r="J16448" s="31">
        <v>93</v>
      </c>
      <c r="K16448" s="33" t="s">
        <v>170</v>
      </c>
      <c r="L16448" s="31" t="str">
        <f t="shared" si="1589"/>
        <v>Sembilan Puluh Tiga</v>
      </c>
    </row>
    <row r="16449" spans="1:12">
      <c r="J16449" s="31">
        <v>94</v>
      </c>
      <c r="K16449" s="33" t="s">
        <v>171</v>
      </c>
      <c r="L16449" s="31" t="str">
        <f t="shared" si="1589"/>
        <v>Sembilan Puluh Empat</v>
      </c>
    </row>
    <row r="16450" spans="1:12">
      <c r="J16450" s="31">
        <v>95</v>
      </c>
      <c r="K16450" s="33" t="s">
        <v>172</v>
      </c>
      <c r="L16450" s="31" t="str">
        <f t="shared" si="1589"/>
        <v>Sembilan Puluh Lima</v>
      </c>
    </row>
    <row r="16451" spans="1:12">
      <c r="J16451" s="31">
        <v>96</v>
      </c>
      <c r="K16451" s="33" t="s">
        <v>173</v>
      </c>
      <c r="L16451" s="31" t="str">
        <f t="shared" si="1589"/>
        <v>Sembilan Puluh Enam</v>
      </c>
    </row>
    <row r="16452" spans="1:12">
      <c r="J16452" s="31">
        <v>97</v>
      </c>
      <c r="K16452" s="33" t="s">
        <v>174</v>
      </c>
      <c r="L16452" s="31" t="str">
        <f t="shared" si="1589"/>
        <v>Sembilan Puluh Tujuh</v>
      </c>
    </row>
    <row r="16453" spans="1:12">
      <c r="J16453" s="31">
        <v>98</v>
      </c>
      <c r="K16453" s="33" t="s">
        <v>175</v>
      </c>
      <c r="L16453" s="31" t="str">
        <f t="shared" si="1589"/>
        <v>Sembilan Puluh Delapan</v>
      </c>
    </row>
    <row r="16454" spans="1:12">
      <c r="J16454" s="31">
        <v>99</v>
      </c>
      <c r="K16454" s="33" t="s">
        <v>176</v>
      </c>
      <c r="L16454" s="31" t="str">
        <f t="shared" si="1589"/>
        <v>Sembilan Puluh Sembilan</v>
      </c>
    </row>
    <row r="16457" spans="1:12">
      <c r="A16457" s="30" t="e">
        <f>#REF!</f>
        <v>#REF!</v>
      </c>
      <c r="C16457" s="31" t="s">
        <v>394</v>
      </c>
    </row>
    <row r="16458" spans="1:12">
      <c r="A16458" s="32"/>
    </row>
    <row r="16459" spans="1:12">
      <c r="J16459" s="31">
        <v>0</v>
      </c>
      <c r="K16459" s="33" t="s">
        <v>48</v>
      </c>
      <c r="L16459" s="31" t="s">
        <v>49</v>
      </c>
    </row>
    <row r="16460" spans="1:12">
      <c r="A16460" s="34"/>
      <c r="J16460" s="31">
        <v>1</v>
      </c>
      <c r="K16460" s="33" t="s">
        <v>50</v>
      </c>
      <c r="L16460" s="31" t="s">
        <v>51</v>
      </c>
    </row>
    <row r="16461" spans="1:12">
      <c r="A16461" s="255" t="e">
        <f>TRIM(D16469&amp;E16469&amp;D16470&amp;E16470&amp;D16471&amp;E16471&amp;D16472&amp;E16472&amp;D16473&amp;E16473&amp;D16474&amp;E16474&amp;E16475&amp;D16475&amp;" Only")</f>
        <v>#REF!</v>
      </c>
      <c r="B16461" s="255"/>
      <c r="C16461" s="255"/>
      <c r="D16461" s="255"/>
      <c r="E16461" s="35"/>
      <c r="F16461" s="36"/>
      <c r="J16461" s="31">
        <v>2</v>
      </c>
      <c r="K16461" s="33" t="s">
        <v>52</v>
      </c>
      <c r="L16461" s="31" t="s">
        <v>53</v>
      </c>
    </row>
    <row r="16462" spans="1:12">
      <c r="A16462" s="121"/>
      <c r="B16462" s="121"/>
      <c r="C16462" s="121"/>
      <c r="D16462" s="121"/>
      <c r="E16462" s="35"/>
      <c r="F16462" s="36"/>
      <c r="J16462" s="31">
        <v>3</v>
      </c>
      <c r="K16462" s="33" t="s">
        <v>54</v>
      </c>
      <c r="L16462" s="31" t="s">
        <v>55</v>
      </c>
    </row>
    <row r="16463" spans="1:12">
      <c r="A16463" s="121"/>
      <c r="B16463" s="121"/>
      <c r="C16463" s="121"/>
      <c r="D16463" s="121"/>
      <c r="J16463" s="31">
        <v>4</v>
      </c>
      <c r="K16463" s="33" t="s">
        <v>56</v>
      </c>
      <c r="L16463" s="31" t="s">
        <v>57</v>
      </c>
    </row>
    <row r="16464" spans="1:12">
      <c r="A16464" s="255" t="e">
        <f>TRIM(D16479&amp;E16479&amp;D16480&amp;E16480&amp;D16481&amp;E16481&amp;D16482&amp;E16482&amp;D16483&amp;E16483&amp;D16484&amp;E16484&amp;D16485&amp;E16485&amp;" Rupiah")</f>
        <v>#REF!</v>
      </c>
      <c r="B16464" s="255"/>
      <c r="C16464" s="255"/>
      <c r="D16464" s="255"/>
      <c r="E16464" s="35"/>
      <c r="F16464" s="36"/>
      <c r="J16464" s="31">
        <v>5</v>
      </c>
      <c r="K16464" s="33" t="s">
        <v>58</v>
      </c>
      <c r="L16464" s="31" t="s">
        <v>59</v>
      </c>
    </row>
    <row r="16465" spans="1:12">
      <c r="A16465" s="35"/>
      <c r="B16465" s="35"/>
      <c r="C16465" s="35"/>
      <c r="D16465" s="35"/>
      <c r="E16465" s="35"/>
      <c r="F16465" s="36"/>
      <c r="J16465" s="31">
        <v>6</v>
      </c>
      <c r="K16465" s="33" t="s">
        <v>60</v>
      </c>
      <c r="L16465" s="31" t="s">
        <v>61</v>
      </c>
    </row>
    <row r="16466" spans="1:12">
      <c r="J16466" s="31">
        <v>7</v>
      </c>
      <c r="K16466" s="33" t="s">
        <v>62</v>
      </c>
      <c r="L16466" s="31" t="s">
        <v>63</v>
      </c>
    </row>
    <row r="16467" spans="1:12">
      <c r="J16467" s="31">
        <v>8</v>
      </c>
      <c r="K16467" s="33" t="s">
        <v>64</v>
      </c>
      <c r="L16467" s="31" t="s">
        <v>65</v>
      </c>
    </row>
    <row r="16468" spans="1:12">
      <c r="A16468" s="38" t="s">
        <v>66</v>
      </c>
      <c r="J16468" s="31">
        <v>9</v>
      </c>
      <c r="K16468" s="33" t="s">
        <v>67</v>
      </c>
      <c r="L16468" s="31" t="s">
        <v>68</v>
      </c>
    </row>
    <row r="16469" spans="1:12">
      <c r="A16469" s="31" t="s">
        <v>69</v>
      </c>
      <c r="B16469" s="39" t="e">
        <f>TRUNC(A16457/100000000)</f>
        <v>#REF!</v>
      </c>
      <c r="C16469" s="31" t="e">
        <f>B16469*100000000</f>
        <v>#REF!</v>
      </c>
      <c r="D16469" s="31" t="e">
        <f t="shared" ref="D16469:D16475" si="1590">IF(B16469&lt;1,"",VLOOKUP(B16469,$J$3:$K$102,2))</f>
        <v>#REF!</v>
      </c>
      <c r="E16469" s="31" t="e">
        <f>IF(B16469&lt;1,"",IF(B16469&gt;1," Hundreds "," Hundred "))</f>
        <v>#REF!</v>
      </c>
      <c r="J16469" s="31">
        <v>10</v>
      </c>
      <c r="K16469" s="33" t="s">
        <v>70</v>
      </c>
      <c r="L16469" s="31" t="s">
        <v>71</v>
      </c>
    </row>
    <row r="16470" spans="1:12">
      <c r="A16470" s="31" t="s">
        <v>72</v>
      </c>
      <c r="B16470" s="39" t="e">
        <f>TRUNC((A16457-C16469)/1000000)</f>
        <v>#REF!</v>
      </c>
      <c r="C16470" s="31" t="e">
        <f>B16470*1000000</f>
        <v>#REF!</v>
      </c>
      <c r="D16470" s="31" t="e">
        <f t="shared" si="1590"/>
        <v>#REF!</v>
      </c>
      <c r="E16470" s="31" t="e">
        <f>IF(B16469+B16470=0,"",IF(B16470=1," Million "," Millions "))</f>
        <v>#REF!</v>
      </c>
      <c r="J16470" s="31">
        <v>11</v>
      </c>
      <c r="K16470" s="33" t="s">
        <v>73</v>
      </c>
      <c r="L16470" s="31" t="s">
        <v>74</v>
      </c>
    </row>
    <row r="16471" spans="1:12">
      <c r="A16471" s="31" t="s">
        <v>75</v>
      </c>
      <c r="B16471" s="39" t="e">
        <f>TRUNC((A16457-SUM(C16469:C16470))/100000)</f>
        <v>#REF!</v>
      </c>
      <c r="C16471" s="31" t="e">
        <f>B16471*100000</f>
        <v>#REF!</v>
      </c>
      <c r="D16471" s="31" t="e">
        <f t="shared" si="1590"/>
        <v>#REF!</v>
      </c>
      <c r="E16471" s="31" t="e">
        <f>IF(B16471&lt;1,"",IF(B16471&gt;1," Hundreds "," Hundred "))</f>
        <v>#REF!</v>
      </c>
      <c r="J16471" s="31">
        <v>12</v>
      </c>
      <c r="K16471" s="33" t="s">
        <v>76</v>
      </c>
      <c r="L16471" s="31" t="str">
        <f t="shared" ref="L16471:L16478" si="1591">L16461&amp;" Belas"</f>
        <v>Dua Belas</v>
      </c>
    </row>
    <row r="16472" spans="1:12">
      <c r="A16472" s="33" t="s">
        <v>77</v>
      </c>
      <c r="B16472" s="40" t="e">
        <f>TRUNC((A16457-SUM(C16469:C16471))/1000)</f>
        <v>#REF!</v>
      </c>
      <c r="C16472" s="31" t="e">
        <f>B16472*1000</f>
        <v>#REF!</v>
      </c>
      <c r="D16472" s="31" t="e">
        <f t="shared" si="1590"/>
        <v>#REF!</v>
      </c>
      <c r="E16472" s="31" t="e">
        <f>IF(B16471+B16472=0,"",IF(B16472=1," Thousand "," Thousands "))</f>
        <v>#REF!</v>
      </c>
      <c r="J16472" s="31">
        <v>13</v>
      </c>
      <c r="K16472" s="33" t="s">
        <v>78</v>
      </c>
      <c r="L16472" s="31" t="str">
        <f t="shared" si="1591"/>
        <v>Tiga Belas</v>
      </c>
    </row>
    <row r="16473" spans="1:12">
      <c r="A16473" s="33" t="s">
        <v>79</v>
      </c>
      <c r="B16473" s="40" t="e">
        <f>TRUNC((A16457-SUM(C16469:C16472))/100)</f>
        <v>#REF!</v>
      </c>
      <c r="C16473" s="31" t="e">
        <f>B16473*100</f>
        <v>#REF!</v>
      </c>
      <c r="D16473" s="31" t="e">
        <f t="shared" si="1590"/>
        <v>#REF!</v>
      </c>
      <c r="E16473" s="31" t="e">
        <f>IF(B16473&lt;1,"",IF(B16473&gt;1," Hundreds "," Hundred "))</f>
        <v>#REF!</v>
      </c>
      <c r="J16473" s="31">
        <v>14</v>
      </c>
      <c r="K16473" s="33" t="s">
        <v>80</v>
      </c>
      <c r="L16473" s="31" t="str">
        <f t="shared" si="1591"/>
        <v>Empat Belas</v>
      </c>
    </row>
    <row r="16474" spans="1:12">
      <c r="A16474" s="33" t="s">
        <v>81</v>
      </c>
      <c r="B16474" s="41" t="e">
        <f>TRUNC((A16457-SUM(C16469:C16473)))</f>
        <v>#REF!</v>
      </c>
      <c r="C16474" s="42" t="e">
        <f>B16474</f>
        <v>#REF!</v>
      </c>
      <c r="D16474" s="31" t="e">
        <f t="shared" si="1590"/>
        <v>#REF!</v>
      </c>
      <c r="E16474" s="31" t="e">
        <f>IF(SUM(C16469:C16474)&lt;1,"",IF(B16475&lt;1,""," And "))</f>
        <v>#REF!</v>
      </c>
      <c r="J16474" s="31">
        <v>15</v>
      </c>
      <c r="K16474" s="33" t="s">
        <v>82</v>
      </c>
      <c r="L16474" s="31" t="str">
        <f t="shared" si="1591"/>
        <v>Lima Belas</v>
      </c>
    </row>
    <row r="16475" spans="1:12">
      <c r="A16475" s="33" t="s">
        <v>83</v>
      </c>
      <c r="B16475" s="40" t="e">
        <f>ROUND(A16457-SUM(C16469:C16474),2)*100</f>
        <v>#REF!</v>
      </c>
      <c r="D16475" s="43" t="e">
        <f t="shared" si="1590"/>
        <v>#REF!</v>
      </c>
      <c r="E16475" s="31" t="e">
        <f>IF(B16475&lt;1,"",IF(B16475=1," Cent "," Cents "))</f>
        <v>#REF!</v>
      </c>
      <c r="J16475" s="31">
        <v>16</v>
      </c>
      <c r="K16475" s="33" t="s">
        <v>84</v>
      </c>
      <c r="L16475" s="31" t="str">
        <f t="shared" si="1591"/>
        <v>Enam Belas</v>
      </c>
    </row>
    <row r="16476" spans="1:12">
      <c r="J16476" s="31">
        <v>17</v>
      </c>
      <c r="K16476" s="33" t="s">
        <v>85</v>
      </c>
      <c r="L16476" s="31" t="str">
        <f t="shared" si="1591"/>
        <v>Tujuh Belas</v>
      </c>
    </row>
    <row r="16477" spans="1:12">
      <c r="A16477" s="44"/>
      <c r="J16477" s="31">
        <v>18</v>
      </c>
      <c r="K16477" s="33" t="s">
        <v>86</v>
      </c>
      <c r="L16477" s="31" t="str">
        <f t="shared" si="1591"/>
        <v>Delapan Belas</v>
      </c>
    </row>
    <row r="16478" spans="1:12">
      <c r="A16478" s="38" t="s">
        <v>87</v>
      </c>
      <c r="J16478" s="31">
        <v>19</v>
      </c>
      <c r="K16478" s="33" t="s">
        <v>88</v>
      </c>
      <c r="L16478" s="31" t="str">
        <f t="shared" si="1591"/>
        <v>Sembilan Belas</v>
      </c>
    </row>
    <row r="16479" spans="1:12">
      <c r="A16479" s="31" t="s">
        <v>69</v>
      </c>
      <c r="B16479" s="39" t="e">
        <f>TRUNC(A16457/100000000)</f>
        <v>#REF!</v>
      </c>
      <c r="C16479" s="31" t="e">
        <f>B16479*100000000</f>
        <v>#REF!</v>
      </c>
      <c r="D16479" s="31" t="e">
        <f>IF(B16479&lt;1,"",IF(B16479=1,"",VLOOKUP(B16479,$J$3:$L$102,3)))</f>
        <v>#REF!</v>
      </c>
      <c r="E16479" s="31" t="e">
        <f>IF(B16479&lt;1,"",IF(B16479=1,"Seratus "," Ratus "))</f>
        <v>#REF!</v>
      </c>
      <c r="J16479" s="31">
        <v>20</v>
      </c>
      <c r="K16479" s="33" t="s">
        <v>89</v>
      </c>
      <c r="L16479" s="31" t="s">
        <v>90</v>
      </c>
    </row>
    <row r="16480" spans="1:12">
      <c r="A16480" s="31" t="s">
        <v>72</v>
      </c>
      <c r="B16480" s="39" t="e">
        <f>TRUNC((A16457-C16479)/1000000)</f>
        <v>#REF!</v>
      </c>
      <c r="C16480" s="31" t="e">
        <f>B16480*1000000</f>
        <v>#REF!</v>
      </c>
      <c r="D16480" s="31" t="e">
        <f>IF(B16480&lt;1,"",VLOOKUP(B16480,$J$3:$L$102,3))</f>
        <v>#REF!</v>
      </c>
      <c r="E16480" s="31" t="e">
        <f>IF(B16479+B16480=0,""," Juta ")</f>
        <v>#REF!</v>
      </c>
      <c r="J16480" s="31">
        <v>21</v>
      </c>
      <c r="K16480" s="33" t="s">
        <v>91</v>
      </c>
      <c r="L16480" s="31" t="str">
        <f t="shared" ref="L16480:L16488" si="1592">$L$23&amp;" "&amp;L16460</f>
        <v>Dua Puluh Satu</v>
      </c>
    </row>
    <row r="16481" spans="1:12">
      <c r="A16481" s="31" t="s">
        <v>75</v>
      </c>
      <c r="B16481" s="39" t="e">
        <f>TRUNC((A16457-SUM(C16479:C16480))/100000)</f>
        <v>#REF!</v>
      </c>
      <c r="C16481" s="31" t="e">
        <f>B16481*100000</f>
        <v>#REF!</v>
      </c>
      <c r="D16481" s="31" t="e">
        <f>IF(B16481&lt;1,"",IF(B16481=1,"",VLOOKUP(B16481,$J$3:$L$102,3)))</f>
        <v>#REF!</v>
      </c>
      <c r="E16481" s="31" t="e">
        <f>IF(B16481&lt;1,"",IF(B16481=1," Seratus "," Ratus "))</f>
        <v>#REF!</v>
      </c>
      <c r="J16481" s="31">
        <v>22</v>
      </c>
      <c r="K16481" s="33" t="s">
        <v>92</v>
      </c>
      <c r="L16481" s="31" t="str">
        <f t="shared" si="1592"/>
        <v>Dua Puluh Dua</v>
      </c>
    </row>
    <row r="16482" spans="1:12">
      <c r="A16482" s="33" t="s">
        <v>77</v>
      </c>
      <c r="B16482" s="40" t="e">
        <f>TRUNC((A16457-SUM(C16479:C16481))/1000)</f>
        <v>#REF!</v>
      </c>
      <c r="C16482" s="31" t="e">
        <f>B16482*1000</f>
        <v>#REF!</v>
      </c>
      <c r="D16482" s="31" t="e">
        <f>IF(B16482&lt;1,"",IF(B16482=1,"",VLOOKUP(B16482,$J$3:$L$102,3)))</f>
        <v>#REF!</v>
      </c>
      <c r="E16482" s="31" t="e">
        <f>IF(B16481+B16482&lt;1,"",IF(B16482=1," Seribu "," Ribu "))</f>
        <v>#REF!</v>
      </c>
      <c r="J16482" s="31">
        <v>23</v>
      </c>
      <c r="K16482" s="33" t="s">
        <v>93</v>
      </c>
      <c r="L16482" s="31" t="str">
        <f t="shared" si="1592"/>
        <v>Dua Puluh Tiga</v>
      </c>
    </row>
    <row r="16483" spans="1:12">
      <c r="A16483" s="33" t="s">
        <v>79</v>
      </c>
      <c r="B16483" s="40" t="e">
        <f>TRUNC((A16457-SUM(C16479:C16482))/100)</f>
        <v>#REF!</v>
      </c>
      <c r="C16483" s="31" t="e">
        <f>B16483*100</f>
        <v>#REF!</v>
      </c>
      <c r="D16483" s="31" t="e">
        <f>IF(B16483&lt;1,"",IF(B16483=1,"",VLOOKUP(B16483,$J$3:$L$102,3)))</f>
        <v>#REF!</v>
      </c>
      <c r="E16483" s="31" t="e">
        <f>IF(B16483&lt;1,"",IF(B16483=1," Seratus "," Ratus "))</f>
        <v>#REF!</v>
      </c>
      <c r="J16483" s="31">
        <v>24</v>
      </c>
      <c r="K16483" s="33" t="s">
        <v>94</v>
      </c>
      <c r="L16483" s="31" t="str">
        <f t="shared" si="1592"/>
        <v>Dua Puluh Empat</v>
      </c>
    </row>
    <row r="16484" spans="1:12">
      <c r="A16484" s="33" t="s">
        <v>81</v>
      </c>
      <c r="B16484" s="41" t="e">
        <f>TRUNC((A16457-SUM(C16479:C16483)))</f>
        <v>#REF!</v>
      </c>
      <c r="C16484" s="42" t="e">
        <f>B16484</f>
        <v>#REF!</v>
      </c>
      <c r="D16484" s="31" t="e">
        <f>IF(B16484&lt;1,"",VLOOKUP(B16484,$J$3:$L$102,3))</f>
        <v>#REF!</v>
      </c>
      <c r="E16484" s="31" t="e">
        <f>IF(SUM(C16479:C16484)&lt;1,"",IF(B16485&lt;1,""," Dan "))</f>
        <v>#REF!</v>
      </c>
      <c r="J16484" s="31">
        <v>25</v>
      </c>
      <c r="K16484" s="33" t="s">
        <v>95</v>
      </c>
      <c r="L16484" s="31" t="str">
        <f t="shared" si="1592"/>
        <v>Dua Puluh Lima</v>
      </c>
    </row>
    <row r="16485" spans="1:12">
      <c r="A16485" s="33" t="s">
        <v>83</v>
      </c>
      <c r="B16485" s="40" t="e">
        <f>ROUND(A16457-SUM(C16479:C16484),2)*100</f>
        <v>#REF!</v>
      </c>
      <c r="D16485" s="31" t="e">
        <f>IF(B16485&lt;1,"",VLOOKUP(B16485,$J$3:$L$102,3))</f>
        <v>#REF!</v>
      </c>
      <c r="E16485" s="31" t="e">
        <f>IF(B16485&lt;1,""," Sen ")</f>
        <v>#REF!</v>
      </c>
      <c r="J16485" s="31">
        <v>26</v>
      </c>
      <c r="K16485" s="33" t="s">
        <v>96</v>
      </c>
      <c r="L16485" s="31" t="str">
        <f t="shared" si="1592"/>
        <v>Dua Puluh Enam</v>
      </c>
    </row>
    <row r="16486" spans="1:12">
      <c r="J16486" s="31">
        <v>27</v>
      </c>
      <c r="K16486" s="33" t="s">
        <v>97</v>
      </c>
      <c r="L16486" s="31" t="str">
        <f t="shared" si="1592"/>
        <v>Dua Puluh Tujuh</v>
      </c>
    </row>
    <row r="16487" spans="1:12">
      <c r="J16487" s="31">
        <v>28</v>
      </c>
      <c r="K16487" s="33" t="s">
        <v>98</v>
      </c>
      <c r="L16487" s="31" t="str">
        <f t="shared" si="1592"/>
        <v>Dua Puluh Delapan</v>
      </c>
    </row>
    <row r="16488" spans="1:12">
      <c r="J16488" s="31">
        <v>29</v>
      </c>
      <c r="K16488" s="33" t="s">
        <v>99</v>
      </c>
      <c r="L16488" s="31" t="str">
        <f t="shared" si="1592"/>
        <v>Dua Puluh Sembilan</v>
      </c>
    </row>
    <row r="16489" spans="1:12">
      <c r="J16489" s="31">
        <v>30</v>
      </c>
      <c r="K16489" s="33" t="s">
        <v>100</v>
      </c>
      <c r="L16489" s="31" t="s">
        <v>101</v>
      </c>
    </row>
    <row r="16490" spans="1:12">
      <c r="J16490" s="31">
        <v>31</v>
      </c>
      <c r="K16490" s="33" t="s">
        <v>102</v>
      </c>
      <c r="L16490" s="31" t="str">
        <f t="shared" ref="L16490:L16498" si="1593">$L$33&amp;" "&amp;L16460</f>
        <v>Tiga Puluh Satu</v>
      </c>
    </row>
    <row r="16491" spans="1:12">
      <c r="J16491" s="31">
        <v>32</v>
      </c>
      <c r="K16491" s="33" t="s">
        <v>103</v>
      </c>
      <c r="L16491" s="31" t="str">
        <f t="shared" si="1593"/>
        <v>Tiga Puluh Dua</v>
      </c>
    </row>
    <row r="16492" spans="1:12">
      <c r="J16492" s="31">
        <v>33</v>
      </c>
      <c r="K16492" s="33" t="s">
        <v>104</v>
      </c>
      <c r="L16492" s="31" t="str">
        <f t="shared" si="1593"/>
        <v>Tiga Puluh Tiga</v>
      </c>
    </row>
    <row r="16493" spans="1:12">
      <c r="J16493" s="31">
        <v>34</v>
      </c>
      <c r="K16493" s="33" t="s">
        <v>105</v>
      </c>
      <c r="L16493" s="31" t="str">
        <f t="shared" si="1593"/>
        <v>Tiga Puluh Empat</v>
      </c>
    </row>
    <row r="16494" spans="1:12">
      <c r="J16494" s="31">
        <v>35</v>
      </c>
      <c r="K16494" s="33" t="s">
        <v>106</v>
      </c>
      <c r="L16494" s="31" t="str">
        <f t="shared" si="1593"/>
        <v>Tiga Puluh Lima</v>
      </c>
    </row>
    <row r="16495" spans="1:12">
      <c r="J16495" s="31">
        <v>36</v>
      </c>
      <c r="K16495" s="33" t="s">
        <v>107</v>
      </c>
      <c r="L16495" s="31" t="str">
        <f t="shared" si="1593"/>
        <v>Tiga Puluh Enam</v>
      </c>
    </row>
    <row r="16496" spans="1:12">
      <c r="J16496" s="31">
        <v>37</v>
      </c>
      <c r="K16496" s="33" t="s">
        <v>108</v>
      </c>
      <c r="L16496" s="31" t="str">
        <f t="shared" si="1593"/>
        <v>Tiga Puluh Tujuh</v>
      </c>
    </row>
    <row r="16497" spans="1:12">
      <c r="J16497" s="31">
        <v>38</v>
      </c>
      <c r="K16497" s="33" t="s">
        <v>109</v>
      </c>
      <c r="L16497" s="31" t="str">
        <f t="shared" si="1593"/>
        <v>Tiga Puluh Delapan</v>
      </c>
    </row>
    <row r="16498" spans="1:12">
      <c r="J16498" s="31">
        <v>39</v>
      </c>
      <c r="K16498" s="33" t="s">
        <v>110</v>
      </c>
      <c r="L16498" s="31" t="str">
        <f t="shared" si="1593"/>
        <v>Tiga Puluh Sembilan</v>
      </c>
    </row>
    <row r="16499" spans="1:12">
      <c r="B16499" s="35"/>
      <c r="C16499" s="35"/>
      <c r="D16499" s="35"/>
      <c r="J16499" s="31">
        <v>40</v>
      </c>
      <c r="K16499" s="33" t="s">
        <v>111</v>
      </c>
      <c r="L16499" s="31" t="s">
        <v>112</v>
      </c>
    </row>
    <row r="16500" spans="1:12">
      <c r="A16500" s="35"/>
      <c r="B16500" s="35"/>
      <c r="C16500" s="35"/>
      <c r="D16500" s="35"/>
      <c r="J16500" s="31">
        <v>41</v>
      </c>
      <c r="K16500" s="33" t="s">
        <v>113</v>
      </c>
      <c r="L16500" s="31" t="str">
        <f t="shared" ref="L16500:L16508" si="1594">$L$43&amp;" "&amp;L16460</f>
        <v>Empat Puluh Satu</v>
      </c>
    </row>
    <row r="16501" spans="1:12">
      <c r="J16501" s="31">
        <v>42</v>
      </c>
      <c r="K16501" s="33" t="s">
        <v>114</v>
      </c>
      <c r="L16501" s="31" t="str">
        <f t="shared" si="1594"/>
        <v>Empat Puluh Dua</v>
      </c>
    </row>
    <row r="16502" spans="1:12">
      <c r="A16502" s="38"/>
      <c r="J16502" s="31">
        <v>43</v>
      </c>
      <c r="K16502" s="33" t="s">
        <v>115</v>
      </c>
      <c r="L16502" s="31" t="str">
        <f t="shared" si="1594"/>
        <v>Empat Puluh Tiga</v>
      </c>
    </row>
    <row r="16503" spans="1:12">
      <c r="J16503" s="31">
        <v>44</v>
      </c>
      <c r="K16503" s="33" t="s">
        <v>116</v>
      </c>
      <c r="L16503" s="31" t="str">
        <f t="shared" si="1594"/>
        <v>Empat Puluh Empat</v>
      </c>
    </row>
    <row r="16504" spans="1:12">
      <c r="J16504" s="31">
        <v>45</v>
      </c>
      <c r="K16504" s="33" t="s">
        <v>117</v>
      </c>
      <c r="L16504" s="31" t="str">
        <f t="shared" si="1594"/>
        <v>Empat Puluh Lima</v>
      </c>
    </row>
    <row r="16505" spans="1:12">
      <c r="J16505" s="31">
        <v>46</v>
      </c>
      <c r="K16505" s="33" t="s">
        <v>118</v>
      </c>
      <c r="L16505" s="31" t="str">
        <f t="shared" si="1594"/>
        <v>Empat Puluh Enam</v>
      </c>
    </row>
    <row r="16506" spans="1:12">
      <c r="J16506" s="31">
        <v>47</v>
      </c>
      <c r="K16506" s="33" t="s">
        <v>119</v>
      </c>
      <c r="L16506" s="31" t="str">
        <f t="shared" si="1594"/>
        <v>Empat Puluh Tujuh</v>
      </c>
    </row>
    <row r="16507" spans="1:12">
      <c r="J16507" s="31">
        <v>48</v>
      </c>
      <c r="K16507" s="33" t="s">
        <v>120</v>
      </c>
      <c r="L16507" s="31" t="str">
        <f t="shared" si="1594"/>
        <v>Empat Puluh Delapan</v>
      </c>
    </row>
    <row r="16508" spans="1:12">
      <c r="J16508" s="31">
        <v>49</v>
      </c>
      <c r="K16508" s="33" t="s">
        <v>121</v>
      </c>
      <c r="L16508" s="31" t="str">
        <f t="shared" si="1594"/>
        <v>Empat Puluh Sembilan</v>
      </c>
    </row>
    <row r="16509" spans="1:12">
      <c r="J16509" s="31">
        <v>50</v>
      </c>
      <c r="K16509" s="33" t="s">
        <v>122</v>
      </c>
      <c r="L16509" s="31" t="s">
        <v>123</v>
      </c>
    </row>
    <row r="16510" spans="1:12">
      <c r="J16510" s="31">
        <v>51</v>
      </c>
      <c r="K16510" s="33" t="s">
        <v>124</v>
      </c>
      <c r="L16510" s="31" t="str">
        <f t="shared" ref="L16510:L16518" si="1595">$L$53&amp;" "&amp;L16460</f>
        <v>Lima Puluh Satu</v>
      </c>
    </row>
    <row r="16511" spans="1:12">
      <c r="J16511" s="31">
        <v>52</v>
      </c>
      <c r="K16511" s="33" t="s">
        <v>125</v>
      </c>
      <c r="L16511" s="31" t="str">
        <f t="shared" si="1595"/>
        <v>Lima Puluh Dua</v>
      </c>
    </row>
    <row r="16512" spans="1:12">
      <c r="J16512" s="31">
        <v>53</v>
      </c>
      <c r="K16512" s="33" t="s">
        <v>126</v>
      </c>
      <c r="L16512" s="31" t="str">
        <f t="shared" si="1595"/>
        <v>Lima Puluh Tiga</v>
      </c>
    </row>
    <row r="16513" spans="10:12">
      <c r="J16513" s="31">
        <v>54</v>
      </c>
      <c r="K16513" s="33" t="s">
        <v>127</v>
      </c>
      <c r="L16513" s="31" t="str">
        <f t="shared" si="1595"/>
        <v>Lima Puluh Empat</v>
      </c>
    </row>
    <row r="16514" spans="10:12">
      <c r="J16514" s="31">
        <v>55</v>
      </c>
      <c r="K16514" s="33" t="s">
        <v>128</v>
      </c>
      <c r="L16514" s="31" t="str">
        <f t="shared" si="1595"/>
        <v>Lima Puluh Lima</v>
      </c>
    </row>
    <row r="16515" spans="10:12">
      <c r="J16515" s="31">
        <v>56</v>
      </c>
      <c r="K16515" s="33" t="s">
        <v>129</v>
      </c>
      <c r="L16515" s="31" t="str">
        <f t="shared" si="1595"/>
        <v>Lima Puluh Enam</v>
      </c>
    </row>
    <row r="16516" spans="10:12">
      <c r="J16516" s="31">
        <v>57</v>
      </c>
      <c r="K16516" s="33" t="s">
        <v>130</v>
      </c>
      <c r="L16516" s="31" t="str">
        <f t="shared" si="1595"/>
        <v>Lima Puluh Tujuh</v>
      </c>
    </row>
    <row r="16517" spans="10:12">
      <c r="J16517" s="31">
        <v>58</v>
      </c>
      <c r="K16517" s="33" t="s">
        <v>131</v>
      </c>
      <c r="L16517" s="31" t="str">
        <f t="shared" si="1595"/>
        <v>Lima Puluh Delapan</v>
      </c>
    </row>
    <row r="16518" spans="10:12">
      <c r="J16518" s="31">
        <v>59</v>
      </c>
      <c r="K16518" s="33" t="s">
        <v>132</v>
      </c>
      <c r="L16518" s="31" t="str">
        <f t="shared" si="1595"/>
        <v>Lima Puluh Sembilan</v>
      </c>
    </row>
    <row r="16519" spans="10:12">
      <c r="J16519" s="31">
        <v>60</v>
      </c>
      <c r="K16519" s="33" t="s">
        <v>133</v>
      </c>
      <c r="L16519" s="31" t="s">
        <v>134</v>
      </c>
    </row>
    <row r="16520" spans="10:12">
      <c r="J16520" s="31">
        <v>61</v>
      </c>
      <c r="K16520" s="33" t="s">
        <v>135</v>
      </c>
      <c r="L16520" s="31" t="str">
        <f t="shared" ref="L16520:L16528" si="1596">$L$63&amp;" "&amp;L16460</f>
        <v>Enam Puluh Satu</v>
      </c>
    </row>
    <row r="16521" spans="10:12">
      <c r="J16521" s="31">
        <v>62</v>
      </c>
      <c r="K16521" s="33" t="s">
        <v>136</v>
      </c>
      <c r="L16521" s="31" t="str">
        <f t="shared" si="1596"/>
        <v>Enam Puluh Dua</v>
      </c>
    </row>
    <row r="16522" spans="10:12">
      <c r="J16522" s="31">
        <v>63</v>
      </c>
      <c r="K16522" s="33" t="s">
        <v>137</v>
      </c>
      <c r="L16522" s="31" t="str">
        <f t="shared" si="1596"/>
        <v>Enam Puluh Tiga</v>
      </c>
    </row>
    <row r="16523" spans="10:12">
      <c r="J16523" s="31">
        <v>64</v>
      </c>
      <c r="K16523" s="33" t="s">
        <v>138</v>
      </c>
      <c r="L16523" s="31" t="str">
        <f t="shared" si="1596"/>
        <v>Enam Puluh Empat</v>
      </c>
    </row>
    <row r="16524" spans="10:12">
      <c r="J16524" s="31">
        <v>65</v>
      </c>
      <c r="K16524" s="33" t="s">
        <v>139</v>
      </c>
      <c r="L16524" s="31" t="str">
        <f t="shared" si="1596"/>
        <v>Enam Puluh Lima</v>
      </c>
    </row>
    <row r="16525" spans="10:12">
      <c r="J16525" s="31">
        <v>66</v>
      </c>
      <c r="K16525" s="33" t="s">
        <v>140</v>
      </c>
      <c r="L16525" s="31" t="str">
        <f t="shared" si="1596"/>
        <v>Enam Puluh Enam</v>
      </c>
    </row>
    <row r="16526" spans="10:12">
      <c r="J16526" s="31">
        <v>67</v>
      </c>
      <c r="K16526" s="33" t="s">
        <v>141</v>
      </c>
      <c r="L16526" s="31" t="str">
        <f t="shared" si="1596"/>
        <v>Enam Puluh Tujuh</v>
      </c>
    </row>
    <row r="16527" spans="10:12">
      <c r="J16527" s="31">
        <v>68</v>
      </c>
      <c r="K16527" s="33" t="s">
        <v>142</v>
      </c>
      <c r="L16527" s="31" t="str">
        <f t="shared" si="1596"/>
        <v>Enam Puluh Delapan</v>
      </c>
    </row>
    <row r="16528" spans="10:12">
      <c r="J16528" s="31">
        <v>69</v>
      </c>
      <c r="K16528" s="33" t="s">
        <v>143</v>
      </c>
      <c r="L16528" s="31" t="str">
        <f t="shared" si="1596"/>
        <v>Enam Puluh Sembilan</v>
      </c>
    </row>
    <row r="16529" spans="10:12">
      <c r="J16529" s="31">
        <v>70</v>
      </c>
      <c r="K16529" s="33" t="s">
        <v>144</v>
      </c>
      <c r="L16529" s="31" t="s">
        <v>145</v>
      </c>
    </row>
    <row r="16530" spans="10:12">
      <c r="J16530" s="31">
        <v>71</v>
      </c>
      <c r="K16530" s="33" t="s">
        <v>146</v>
      </c>
      <c r="L16530" s="31" t="str">
        <f t="shared" ref="L16530:L16538" si="1597">$L$73&amp;" "&amp;L16460</f>
        <v>Tujuh Puluh Satu</v>
      </c>
    </row>
    <row r="16531" spans="10:12">
      <c r="J16531" s="31">
        <v>72</v>
      </c>
      <c r="K16531" s="33" t="s">
        <v>147</v>
      </c>
      <c r="L16531" s="31" t="str">
        <f t="shared" si="1597"/>
        <v>Tujuh Puluh Dua</v>
      </c>
    </row>
    <row r="16532" spans="10:12">
      <c r="J16532" s="31">
        <v>73</v>
      </c>
      <c r="K16532" s="33" t="s">
        <v>148</v>
      </c>
      <c r="L16532" s="31" t="str">
        <f t="shared" si="1597"/>
        <v>Tujuh Puluh Tiga</v>
      </c>
    </row>
    <row r="16533" spans="10:12">
      <c r="J16533" s="31">
        <v>74</v>
      </c>
      <c r="K16533" s="33" t="s">
        <v>149</v>
      </c>
      <c r="L16533" s="31" t="str">
        <f t="shared" si="1597"/>
        <v>Tujuh Puluh Empat</v>
      </c>
    </row>
    <row r="16534" spans="10:12">
      <c r="J16534" s="31">
        <v>75</v>
      </c>
      <c r="K16534" s="33" t="s">
        <v>150</v>
      </c>
      <c r="L16534" s="31" t="str">
        <f t="shared" si="1597"/>
        <v>Tujuh Puluh Lima</v>
      </c>
    </row>
    <row r="16535" spans="10:12">
      <c r="J16535" s="31">
        <v>76</v>
      </c>
      <c r="K16535" s="33" t="s">
        <v>151</v>
      </c>
      <c r="L16535" s="31" t="str">
        <f t="shared" si="1597"/>
        <v>Tujuh Puluh Enam</v>
      </c>
    </row>
    <row r="16536" spans="10:12">
      <c r="J16536" s="31">
        <v>77</v>
      </c>
      <c r="K16536" s="33" t="s">
        <v>152</v>
      </c>
      <c r="L16536" s="31" t="str">
        <f t="shared" si="1597"/>
        <v>Tujuh Puluh Tujuh</v>
      </c>
    </row>
    <row r="16537" spans="10:12">
      <c r="J16537" s="31">
        <v>78</v>
      </c>
      <c r="K16537" s="33" t="s">
        <v>153</v>
      </c>
      <c r="L16537" s="31" t="str">
        <f t="shared" si="1597"/>
        <v>Tujuh Puluh Delapan</v>
      </c>
    </row>
    <row r="16538" spans="10:12">
      <c r="J16538" s="31">
        <v>79</v>
      </c>
      <c r="K16538" s="33" t="s">
        <v>154</v>
      </c>
      <c r="L16538" s="31" t="str">
        <f t="shared" si="1597"/>
        <v>Tujuh Puluh Sembilan</v>
      </c>
    </row>
    <row r="16539" spans="10:12">
      <c r="J16539" s="31">
        <v>80</v>
      </c>
      <c r="K16539" s="33" t="s">
        <v>155</v>
      </c>
      <c r="L16539" s="31" t="s">
        <v>156</v>
      </c>
    </row>
    <row r="16540" spans="10:12">
      <c r="J16540" s="31">
        <v>81</v>
      </c>
      <c r="K16540" s="33" t="s">
        <v>157</v>
      </c>
      <c r="L16540" s="31" t="str">
        <f t="shared" ref="L16540:L16548" si="1598">$L$83&amp;" "&amp;L16460</f>
        <v>Delapan Puluh Satu</v>
      </c>
    </row>
    <row r="16541" spans="10:12">
      <c r="J16541" s="31">
        <v>82</v>
      </c>
      <c r="K16541" s="33" t="s">
        <v>158</v>
      </c>
      <c r="L16541" s="31" t="str">
        <f t="shared" si="1598"/>
        <v>Delapan Puluh Dua</v>
      </c>
    </row>
    <row r="16542" spans="10:12">
      <c r="J16542" s="31">
        <v>83</v>
      </c>
      <c r="K16542" s="33" t="s">
        <v>159</v>
      </c>
      <c r="L16542" s="31" t="str">
        <f t="shared" si="1598"/>
        <v>Delapan Puluh Tiga</v>
      </c>
    </row>
    <row r="16543" spans="10:12">
      <c r="J16543" s="31">
        <v>84</v>
      </c>
      <c r="K16543" s="33" t="s">
        <v>160</v>
      </c>
      <c r="L16543" s="31" t="str">
        <f t="shared" si="1598"/>
        <v>Delapan Puluh Empat</v>
      </c>
    </row>
    <row r="16544" spans="10:12">
      <c r="J16544" s="31">
        <v>85</v>
      </c>
      <c r="K16544" s="33" t="s">
        <v>161</v>
      </c>
      <c r="L16544" s="31" t="str">
        <f t="shared" si="1598"/>
        <v>Delapan Puluh Lima</v>
      </c>
    </row>
    <row r="16545" spans="10:12">
      <c r="J16545" s="31">
        <v>86</v>
      </c>
      <c r="K16545" s="33" t="s">
        <v>162</v>
      </c>
      <c r="L16545" s="31" t="str">
        <f t="shared" si="1598"/>
        <v>Delapan Puluh Enam</v>
      </c>
    </row>
    <row r="16546" spans="10:12">
      <c r="J16546" s="31">
        <v>87</v>
      </c>
      <c r="K16546" s="33" t="s">
        <v>163</v>
      </c>
      <c r="L16546" s="31" t="str">
        <f t="shared" si="1598"/>
        <v>Delapan Puluh Tujuh</v>
      </c>
    </row>
    <row r="16547" spans="10:12">
      <c r="J16547" s="31">
        <v>88</v>
      </c>
      <c r="K16547" s="33" t="s">
        <v>164</v>
      </c>
      <c r="L16547" s="31" t="str">
        <f t="shared" si="1598"/>
        <v>Delapan Puluh Delapan</v>
      </c>
    </row>
    <row r="16548" spans="10:12">
      <c r="J16548" s="31">
        <v>89</v>
      </c>
      <c r="K16548" s="33" t="s">
        <v>165</v>
      </c>
      <c r="L16548" s="31" t="str">
        <f t="shared" si="1598"/>
        <v>Delapan Puluh Sembilan</v>
      </c>
    </row>
    <row r="16549" spans="10:12">
      <c r="J16549" s="31">
        <v>90</v>
      </c>
      <c r="K16549" s="33" t="s">
        <v>166</v>
      </c>
      <c r="L16549" s="31" t="s">
        <v>167</v>
      </c>
    </row>
    <row r="16550" spans="10:12">
      <c r="J16550" s="31">
        <v>91</v>
      </c>
      <c r="K16550" s="33" t="s">
        <v>168</v>
      </c>
      <c r="L16550" s="31" t="str">
        <f t="shared" ref="L16550:L16558" si="1599">$L$93&amp;" "&amp;L16460</f>
        <v>Sembilan Puluh Satu</v>
      </c>
    </row>
    <row r="16551" spans="10:12">
      <c r="J16551" s="31">
        <v>92</v>
      </c>
      <c r="K16551" s="33" t="s">
        <v>169</v>
      </c>
      <c r="L16551" s="31" t="str">
        <f t="shared" si="1599"/>
        <v>Sembilan Puluh Dua</v>
      </c>
    </row>
    <row r="16552" spans="10:12">
      <c r="J16552" s="31">
        <v>93</v>
      </c>
      <c r="K16552" s="33" t="s">
        <v>170</v>
      </c>
      <c r="L16552" s="31" t="str">
        <f t="shared" si="1599"/>
        <v>Sembilan Puluh Tiga</v>
      </c>
    </row>
    <row r="16553" spans="10:12">
      <c r="J16553" s="31">
        <v>94</v>
      </c>
      <c r="K16553" s="33" t="s">
        <v>171</v>
      </c>
      <c r="L16553" s="31" t="str">
        <f t="shared" si="1599"/>
        <v>Sembilan Puluh Empat</v>
      </c>
    </row>
    <row r="16554" spans="10:12">
      <c r="J16554" s="31">
        <v>95</v>
      </c>
      <c r="K16554" s="33" t="s">
        <v>172</v>
      </c>
      <c r="L16554" s="31" t="str">
        <f t="shared" si="1599"/>
        <v>Sembilan Puluh Lima</v>
      </c>
    </row>
    <row r="16555" spans="10:12">
      <c r="J16555" s="31">
        <v>96</v>
      </c>
      <c r="K16555" s="33" t="s">
        <v>173</v>
      </c>
      <c r="L16555" s="31" t="str">
        <f t="shared" si="1599"/>
        <v>Sembilan Puluh Enam</v>
      </c>
    </row>
    <row r="16556" spans="10:12">
      <c r="J16556" s="31">
        <v>97</v>
      </c>
      <c r="K16556" s="33" t="s">
        <v>174</v>
      </c>
      <c r="L16556" s="31" t="str">
        <f t="shared" si="1599"/>
        <v>Sembilan Puluh Tujuh</v>
      </c>
    </row>
    <row r="16557" spans="10:12">
      <c r="J16557" s="31">
        <v>98</v>
      </c>
      <c r="K16557" s="33" t="s">
        <v>175</v>
      </c>
      <c r="L16557" s="31" t="str">
        <f t="shared" si="1599"/>
        <v>Sembilan Puluh Delapan</v>
      </c>
    </row>
    <row r="16558" spans="10:12">
      <c r="J16558" s="31">
        <v>99</v>
      </c>
      <c r="K16558" s="33" t="s">
        <v>176</v>
      </c>
      <c r="L16558" s="31" t="str">
        <f t="shared" si="1599"/>
        <v>Sembilan Puluh Sembilan</v>
      </c>
    </row>
    <row r="16561" spans="1:12">
      <c r="A16561" s="30" t="e">
        <f>#REF!</f>
        <v>#REF!</v>
      </c>
      <c r="C16561" s="31" t="s">
        <v>396</v>
      </c>
    </row>
    <row r="16562" spans="1:12">
      <c r="A16562" s="32"/>
    </row>
    <row r="16563" spans="1:12">
      <c r="J16563" s="31">
        <v>0</v>
      </c>
      <c r="K16563" s="33" t="s">
        <v>48</v>
      </c>
      <c r="L16563" s="31" t="s">
        <v>49</v>
      </c>
    </row>
    <row r="16564" spans="1:12">
      <c r="A16564" s="34"/>
      <c r="J16564" s="31">
        <v>1</v>
      </c>
      <c r="K16564" s="33" t="s">
        <v>50</v>
      </c>
      <c r="L16564" s="31" t="s">
        <v>51</v>
      </c>
    </row>
    <row r="16565" spans="1:12">
      <c r="A16565" s="255" t="e">
        <f>TRIM(D16573&amp;E16573&amp;D16574&amp;E16574&amp;D16575&amp;E16575&amp;D16576&amp;E16576&amp;D16577&amp;E16577&amp;D16578&amp;E16578&amp;E16579&amp;D16579&amp;" Only")</f>
        <v>#REF!</v>
      </c>
      <c r="B16565" s="255"/>
      <c r="C16565" s="255"/>
      <c r="D16565" s="255"/>
      <c r="E16565" s="35"/>
      <c r="F16565" s="36"/>
      <c r="J16565" s="31">
        <v>2</v>
      </c>
      <c r="K16565" s="33" t="s">
        <v>52</v>
      </c>
      <c r="L16565" s="31" t="s">
        <v>53</v>
      </c>
    </row>
    <row r="16566" spans="1:12">
      <c r="A16566" s="122"/>
      <c r="B16566" s="122"/>
      <c r="C16566" s="122"/>
      <c r="D16566" s="122"/>
      <c r="E16566" s="35"/>
      <c r="F16566" s="36"/>
      <c r="J16566" s="31">
        <v>3</v>
      </c>
      <c r="K16566" s="33" t="s">
        <v>54</v>
      </c>
      <c r="L16566" s="31" t="s">
        <v>55</v>
      </c>
    </row>
    <row r="16567" spans="1:12">
      <c r="A16567" s="122"/>
      <c r="B16567" s="122"/>
      <c r="C16567" s="122"/>
      <c r="D16567" s="122"/>
      <c r="J16567" s="31">
        <v>4</v>
      </c>
      <c r="K16567" s="33" t="s">
        <v>56</v>
      </c>
      <c r="L16567" s="31" t="s">
        <v>57</v>
      </c>
    </row>
    <row r="16568" spans="1:12">
      <c r="A16568" s="255" t="e">
        <f>TRIM(D16583&amp;E16583&amp;D16584&amp;E16584&amp;D16585&amp;E16585&amp;D16586&amp;E16586&amp;D16587&amp;E16587&amp;D16588&amp;E16588&amp;D16589&amp;E16589&amp;" Rupiah")</f>
        <v>#REF!</v>
      </c>
      <c r="B16568" s="255"/>
      <c r="C16568" s="255"/>
      <c r="D16568" s="255"/>
      <c r="E16568" s="35"/>
      <c r="F16568" s="36"/>
      <c r="J16568" s="31">
        <v>5</v>
      </c>
      <c r="K16568" s="33" t="s">
        <v>58</v>
      </c>
      <c r="L16568" s="31" t="s">
        <v>59</v>
      </c>
    </row>
    <row r="16569" spans="1:12">
      <c r="A16569" s="35"/>
      <c r="B16569" s="35"/>
      <c r="C16569" s="35"/>
      <c r="D16569" s="35"/>
      <c r="E16569" s="35"/>
      <c r="F16569" s="36"/>
      <c r="J16569" s="31">
        <v>6</v>
      </c>
      <c r="K16569" s="33" t="s">
        <v>60</v>
      </c>
      <c r="L16569" s="31" t="s">
        <v>61</v>
      </c>
    </row>
    <row r="16570" spans="1:12">
      <c r="J16570" s="31">
        <v>7</v>
      </c>
      <c r="K16570" s="33" t="s">
        <v>62</v>
      </c>
      <c r="L16570" s="31" t="s">
        <v>63</v>
      </c>
    </row>
    <row r="16571" spans="1:12">
      <c r="J16571" s="31">
        <v>8</v>
      </c>
      <c r="K16571" s="33" t="s">
        <v>64</v>
      </c>
      <c r="L16571" s="31" t="s">
        <v>65</v>
      </c>
    </row>
    <row r="16572" spans="1:12">
      <c r="A16572" s="38" t="s">
        <v>66</v>
      </c>
      <c r="J16572" s="31">
        <v>9</v>
      </c>
      <c r="K16572" s="33" t="s">
        <v>67</v>
      </c>
      <c r="L16572" s="31" t="s">
        <v>68</v>
      </c>
    </row>
    <row r="16573" spans="1:12">
      <c r="A16573" s="31" t="s">
        <v>69</v>
      </c>
      <c r="B16573" s="39" t="e">
        <f>TRUNC(A16561/100000000)</f>
        <v>#REF!</v>
      </c>
      <c r="C16573" s="31" t="e">
        <f>B16573*100000000</f>
        <v>#REF!</v>
      </c>
      <c r="D16573" s="31" t="e">
        <f t="shared" ref="D16573:D16579" si="1600">IF(B16573&lt;1,"",VLOOKUP(B16573,$J$3:$K$102,2))</f>
        <v>#REF!</v>
      </c>
      <c r="E16573" s="31" t="e">
        <f>IF(B16573&lt;1,"",IF(B16573&gt;1," Hundreds "," Hundred "))</f>
        <v>#REF!</v>
      </c>
      <c r="J16573" s="31">
        <v>10</v>
      </c>
      <c r="K16573" s="33" t="s">
        <v>70</v>
      </c>
      <c r="L16573" s="31" t="s">
        <v>71</v>
      </c>
    </row>
    <row r="16574" spans="1:12">
      <c r="A16574" s="31" t="s">
        <v>72</v>
      </c>
      <c r="B16574" s="39" t="e">
        <f>TRUNC((A16561-C16573)/1000000)</f>
        <v>#REF!</v>
      </c>
      <c r="C16574" s="31" t="e">
        <f>B16574*1000000</f>
        <v>#REF!</v>
      </c>
      <c r="D16574" s="31" t="e">
        <f t="shared" si="1600"/>
        <v>#REF!</v>
      </c>
      <c r="E16574" s="31" t="e">
        <f>IF(B16573+B16574=0,"",IF(B16574=1," Million "," Millions "))</f>
        <v>#REF!</v>
      </c>
      <c r="J16574" s="31">
        <v>11</v>
      </c>
      <c r="K16574" s="33" t="s">
        <v>73</v>
      </c>
      <c r="L16574" s="31" t="s">
        <v>74</v>
      </c>
    </row>
    <row r="16575" spans="1:12">
      <c r="A16575" s="31" t="s">
        <v>75</v>
      </c>
      <c r="B16575" s="39" t="e">
        <f>TRUNC((A16561-SUM(C16573:C16574))/100000)</f>
        <v>#REF!</v>
      </c>
      <c r="C16575" s="31" t="e">
        <f>B16575*100000</f>
        <v>#REF!</v>
      </c>
      <c r="D16575" s="31" t="e">
        <f t="shared" si="1600"/>
        <v>#REF!</v>
      </c>
      <c r="E16575" s="31" t="e">
        <f>IF(B16575&lt;1,"",IF(B16575&gt;1," Hundreds "," Hundred "))</f>
        <v>#REF!</v>
      </c>
      <c r="J16575" s="31">
        <v>12</v>
      </c>
      <c r="K16575" s="33" t="s">
        <v>76</v>
      </c>
      <c r="L16575" s="31" t="str">
        <f t="shared" ref="L16575:L16582" si="1601">L16565&amp;" Belas"</f>
        <v>Dua Belas</v>
      </c>
    </row>
    <row r="16576" spans="1:12">
      <c r="A16576" s="33" t="s">
        <v>77</v>
      </c>
      <c r="B16576" s="40" t="e">
        <f>TRUNC((A16561-SUM(C16573:C16575))/1000)</f>
        <v>#REF!</v>
      </c>
      <c r="C16576" s="31" t="e">
        <f>B16576*1000</f>
        <v>#REF!</v>
      </c>
      <c r="D16576" s="31" t="e">
        <f t="shared" si="1600"/>
        <v>#REF!</v>
      </c>
      <c r="E16576" s="31" t="e">
        <f>IF(B16575+B16576=0,"",IF(B16576=1," Thousand "," Thousands "))</f>
        <v>#REF!</v>
      </c>
      <c r="J16576" s="31">
        <v>13</v>
      </c>
      <c r="K16576" s="33" t="s">
        <v>78</v>
      </c>
      <c r="L16576" s="31" t="str">
        <f t="shared" si="1601"/>
        <v>Tiga Belas</v>
      </c>
    </row>
    <row r="16577" spans="1:12">
      <c r="A16577" s="33" t="s">
        <v>79</v>
      </c>
      <c r="B16577" s="40" t="e">
        <f>TRUNC((A16561-SUM(C16573:C16576))/100)</f>
        <v>#REF!</v>
      </c>
      <c r="C16577" s="31" t="e">
        <f>B16577*100</f>
        <v>#REF!</v>
      </c>
      <c r="D16577" s="31" t="e">
        <f t="shared" si="1600"/>
        <v>#REF!</v>
      </c>
      <c r="E16577" s="31" t="e">
        <f>IF(B16577&lt;1,"",IF(B16577&gt;1," Hundreds "," Hundred "))</f>
        <v>#REF!</v>
      </c>
      <c r="J16577" s="31">
        <v>14</v>
      </c>
      <c r="K16577" s="33" t="s">
        <v>80</v>
      </c>
      <c r="L16577" s="31" t="str">
        <f t="shared" si="1601"/>
        <v>Empat Belas</v>
      </c>
    </row>
    <row r="16578" spans="1:12">
      <c r="A16578" s="33" t="s">
        <v>81</v>
      </c>
      <c r="B16578" s="41" t="e">
        <f>TRUNC((A16561-SUM(C16573:C16577)))</f>
        <v>#REF!</v>
      </c>
      <c r="C16578" s="42" t="e">
        <f>B16578</f>
        <v>#REF!</v>
      </c>
      <c r="D16578" s="31" t="e">
        <f t="shared" si="1600"/>
        <v>#REF!</v>
      </c>
      <c r="E16578" s="31" t="e">
        <f>IF(SUM(C16573:C16578)&lt;1,"",IF(B16579&lt;1,""," And "))</f>
        <v>#REF!</v>
      </c>
      <c r="J16578" s="31">
        <v>15</v>
      </c>
      <c r="K16578" s="33" t="s">
        <v>82</v>
      </c>
      <c r="L16578" s="31" t="str">
        <f t="shared" si="1601"/>
        <v>Lima Belas</v>
      </c>
    </row>
    <row r="16579" spans="1:12">
      <c r="A16579" s="33" t="s">
        <v>83</v>
      </c>
      <c r="B16579" s="40" t="e">
        <f>ROUND(A16561-SUM(C16573:C16578),2)*100</f>
        <v>#REF!</v>
      </c>
      <c r="D16579" s="43" t="e">
        <f t="shared" si="1600"/>
        <v>#REF!</v>
      </c>
      <c r="E16579" s="31" t="e">
        <f>IF(B16579&lt;1,"",IF(B16579=1," Cent "," Cents "))</f>
        <v>#REF!</v>
      </c>
      <c r="J16579" s="31">
        <v>16</v>
      </c>
      <c r="K16579" s="33" t="s">
        <v>84</v>
      </c>
      <c r="L16579" s="31" t="str">
        <f t="shared" si="1601"/>
        <v>Enam Belas</v>
      </c>
    </row>
    <row r="16580" spans="1:12">
      <c r="J16580" s="31">
        <v>17</v>
      </c>
      <c r="K16580" s="33" t="s">
        <v>85</v>
      </c>
      <c r="L16580" s="31" t="str">
        <f t="shared" si="1601"/>
        <v>Tujuh Belas</v>
      </c>
    </row>
    <row r="16581" spans="1:12">
      <c r="A16581" s="44"/>
      <c r="J16581" s="31">
        <v>18</v>
      </c>
      <c r="K16581" s="33" t="s">
        <v>86</v>
      </c>
      <c r="L16581" s="31" t="str">
        <f t="shared" si="1601"/>
        <v>Delapan Belas</v>
      </c>
    </row>
    <row r="16582" spans="1:12">
      <c r="A16582" s="38" t="s">
        <v>87</v>
      </c>
      <c r="J16582" s="31">
        <v>19</v>
      </c>
      <c r="K16582" s="33" t="s">
        <v>88</v>
      </c>
      <c r="L16582" s="31" t="str">
        <f t="shared" si="1601"/>
        <v>Sembilan Belas</v>
      </c>
    </row>
    <row r="16583" spans="1:12">
      <c r="A16583" s="31" t="s">
        <v>69</v>
      </c>
      <c r="B16583" s="39" t="e">
        <f>TRUNC(A16561/100000000)</f>
        <v>#REF!</v>
      </c>
      <c r="C16583" s="31" t="e">
        <f>B16583*100000000</f>
        <v>#REF!</v>
      </c>
      <c r="D16583" s="31" t="e">
        <f>IF(B16583&lt;1,"",IF(B16583=1,"",VLOOKUP(B16583,$J$3:$L$102,3)))</f>
        <v>#REF!</v>
      </c>
      <c r="E16583" s="31" t="e">
        <f>IF(B16583&lt;1,"",IF(B16583=1,"Seratus "," Ratus "))</f>
        <v>#REF!</v>
      </c>
      <c r="J16583" s="31">
        <v>20</v>
      </c>
      <c r="K16583" s="33" t="s">
        <v>89</v>
      </c>
      <c r="L16583" s="31" t="s">
        <v>90</v>
      </c>
    </row>
    <row r="16584" spans="1:12">
      <c r="A16584" s="31" t="s">
        <v>72</v>
      </c>
      <c r="B16584" s="39" t="e">
        <f>TRUNC((A16561-C16583)/1000000)</f>
        <v>#REF!</v>
      </c>
      <c r="C16584" s="31" t="e">
        <f>B16584*1000000</f>
        <v>#REF!</v>
      </c>
      <c r="D16584" s="31" t="e">
        <f>IF(B16584&lt;1,"",VLOOKUP(B16584,$J$3:$L$102,3))</f>
        <v>#REF!</v>
      </c>
      <c r="E16584" s="31" t="e">
        <f>IF(B16583+B16584=0,""," Juta ")</f>
        <v>#REF!</v>
      </c>
      <c r="J16584" s="31">
        <v>21</v>
      </c>
      <c r="K16584" s="33" t="s">
        <v>91</v>
      </c>
      <c r="L16584" s="31" t="str">
        <f t="shared" ref="L16584:L16592" si="1602">$L$23&amp;" "&amp;L16564</f>
        <v>Dua Puluh Satu</v>
      </c>
    </row>
    <row r="16585" spans="1:12">
      <c r="A16585" s="31" t="s">
        <v>75</v>
      </c>
      <c r="B16585" s="39" t="e">
        <f>TRUNC((A16561-SUM(C16583:C16584))/100000)</f>
        <v>#REF!</v>
      </c>
      <c r="C16585" s="31" t="e">
        <f>B16585*100000</f>
        <v>#REF!</v>
      </c>
      <c r="D16585" s="31" t="e">
        <f>IF(B16585&lt;1,"",IF(B16585=1,"",VLOOKUP(B16585,$J$3:$L$102,3)))</f>
        <v>#REF!</v>
      </c>
      <c r="E16585" s="31" t="e">
        <f>IF(B16585&lt;1,"",IF(B16585=1," Seratus "," Ratus "))</f>
        <v>#REF!</v>
      </c>
      <c r="J16585" s="31">
        <v>22</v>
      </c>
      <c r="K16585" s="33" t="s">
        <v>92</v>
      </c>
      <c r="L16585" s="31" t="str">
        <f t="shared" si="1602"/>
        <v>Dua Puluh Dua</v>
      </c>
    </row>
    <row r="16586" spans="1:12">
      <c r="A16586" s="33" t="s">
        <v>77</v>
      </c>
      <c r="B16586" s="40" t="e">
        <f>TRUNC((A16561-SUM(C16583:C16585))/1000)</f>
        <v>#REF!</v>
      </c>
      <c r="C16586" s="31" t="e">
        <f>B16586*1000</f>
        <v>#REF!</v>
      </c>
      <c r="D16586" s="31" t="e">
        <f>IF(B16586&lt;1,"",IF(B16586=1,"",VLOOKUP(B16586,$J$3:$L$102,3)))</f>
        <v>#REF!</v>
      </c>
      <c r="E16586" s="31" t="e">
        <f>IF(B16585+B16586&lt;1,"",IF(B16586=1," Seribu "," Ribu "))</f>
        <v>#REF!</v>
      </c>
      <c r="J16586" s="31">
        <v>23</v>
      </c>
      <c r="K16586" s="33" t="s">
        <v>93</v>
      </c>
      <c r="L16586" s="31" t="str">
        <f t="shared" si="1602"/>
        <v>Dua Puluh Tiga</v>
      </c>
    </row>
    <row r="16587" spans="1:12">
      <c r="A16587" s="33" t="s">
        <v>79</v>
      </c>
      <c r="B16587" s="40" t="e">
        <f>TRUNC((A16561-SUM(C16583:C16586))/100)</f>
        <v>#REF!</v>
      </c>
      <c r="C16587" s="31" t="e">
        <f>B16587*100</f>
        <v>#REF!</v>
      </c>
      <c r="D16587" s="31" t="e">
        <f>IF(B16587&lt;1,"",IF(B16587=1,"",VLOOKUP(B16587,$J$3:$L$102,3)))</f>
        <v>#REF!</v>
      </c>
      <c r="E16587" s="31" t="e">
        <f>IF(B16587&lt;1,"",IF(B16587=1," Seratus "," Ratus "))</f>
        <v>#REF!</v>
      </c>
      <c r="J16587" s="31">
        <v>24</v>
      </c>
      <c r="K16587" s="33" t="s">
        <v>94</v>
      </c>
      <c r="L16587" s="31" t="str">
        <f t="shared" si="1602"/>
        <v>Dua Puluh Empat</v>
      </c>
    </row>
    <row r="16588" spans="1:12">
      <c r="A16588" s="33" t="s">
        <v>81</v>
      </c>
      <c r="B16588" s="41" t="e">
        <f>TRUNC((A16561-SUM(C16583:C16587)))</f>
        <v>#REF!</v>
      </c>
      <c r="C16588" s="42" t="e">
        <f>B16588</f>
        <v>#REF!</v>
      </c>
      <c r="D16588" s="31" t="e">
        <f>IF(B16588&lt;1,"",VLOOKUP(B16588,$J$3:$L$102,3))</f>
        <v>#REF!</v>
      </c>
      <c r="E16588" s="31" t="e">
        <f>IF(SUM(C16583:C16588)&lt;1,"",IF(B16589&lt;1,""," Dan "))</f>
        <v>#REF!</v>
      </c>
      <c r="J16588" s="31">
        <v>25</v>
      </c>
      <c r="K16588" s="33" t="s">
        <v>95</v>
      </c>
      <c r="L16588" s="31" t="str">
        <f t="shared" si="1602"/>
        <v>Dua Puluh Lima</v>
      </c>
    </row>
    <row r="16589" spans="1:12">
      <c r="A16589" s="33" t="s">
        <v>83</v>
      </c>
      <c r="B16589" s="40" t="e">
        <f>ROUND(A16561-SUM(C16583:C16588),2)*100</f>
        <v>#REF!</v>
      </c>
      <c r="D16589" s="31" t="e">
        <f>IF(B16589&lt;1,"",VLOOKUP(B16589,$J$3:$L$102,3))</f>
        <v>#REF!</v>
      </c>
      <c r="E16589" s="31" t="e">
        <f>IF(B16589&lt;1,""," Sen ")</f>
        <v>#REF!</v>
      </c>
      <c r="J16589" s="31">
        <v>26</v>
      </c>
      <c r="K16589" s="33" t="s">
        <v>96</v>
      </c>
      <c r="L16589" s="31" t="str">
        <f t="shared" si="1602"/>
        <v>Dua Puluh Enam</v>
      </c>
    </row>
    <row r="16590" spans="1:12">
      <c r="J16590" s="31">
        <v>27</v>
      </c>
      <c r="K16590" s="33" t="s">
        <v>97</v>
      </c>
      <c r="L16590" s="31" t="str">
        <f t="shared" si="1602"/>
        <v>Dua Puluh Tujuh</v>
      </c>
    </row>
    <row r="16591" spans="1:12">
      <c r="J16591" s="31">
        <v>28</v>
      </c>
      <c r="K16591" s="33" t="s">
        <v>98</v>
      </c>
      <c r="L16591" s="31" t="str">
        <f t="shared" si="1602"/>
        <v>Dua Puluh Delapan</v>
      </c>
    </row>
    <row r="16592" spans="1:12">
      <c r="J16592" s="31">
        <v>29</v>
      </c>
      <c r="K16592" s="33" t="s">
        <v>99</v>
      </c>
      <c r="L16592" s="31" t="str">
        <f t="shared" si="1602"/>
        <v>Dua Puluh Sembilan</v>
      </c>
    </row>
    <row r="16593" spans="1:12">
      <c r="J16593" s="31">
        <v>30</v>
      </c>
      <c r="K16593" s="33" t="s">
        <v>100</v>
      </c>
      <c r="L16593" s="31" t="s">
        <v>101</v>
      </c>
    </row>
    <row r="16594" spans="1:12">
      <c r="J16594" s="31">
        <v>31</v>
      </c>
      <c r="K16594" s="33" t="s">
        <v>102</v>
      </c>
      <c r="L16594" s="31" t="str">
        <f t="shared" ref="L16594:L16602" si="1603">$L$33&amp;" "&amp;L16564</f>
        <v>Tiga Puluh Satu</v>
      </c>
    </row>
    <row r="16595" spans="1:12">
      <c r="J16595" s="31">
        <v>32</v>
      </c>
      <c r="K16595" s="33" t="s">
        <v>103</v>
      </c>
      <c r="L16595" s="31" t="str">
        <f t="shared" si="1603"/>
        <v>Tiga Puluh Dua</v>
      </c>
    </row>
    <row r="16596" spans="1:12">
      <c r="J16596" s="31">
        <v>33</v>
      </c>
      <c r="K16596" s="33" t="s">
        <v>104</v>
      </c>
      <c r="L16596" s="31" t="str">
        <f t="shared" si="1603"/>
        <v>Tiga Puluh Tiga</v>
      </c>
    </row>
    <row r="16597" spans="1:12">
      <c r="J16597" s="31">
        <v>34</v>
      </c>
      <c r="K16597" s="33" t="s">
        <v>105</v>
      </c>
      <c r="L16597" s="31" t="str">
        <f t="shared" si="1603"/>
        <v>Tiga Puluh Empat</v>
      </c>
    </row>
    <row r="16598" spans="1:12">
      <c r="J16598" s="31">
        <v>35</v>
      </c>
      <c r="K16598" s="33" t="s">
        <v>106</v>
      </c>
      <c r="L16598" s="31" t="str">
        <f t="shared" si="1603"/>
        <v>Tiga Puluh Lima</v>
      </c>
    </row>
    <row r="16599" spans="1:12">
      <c r="J16599" s="31">
        <v>36</v>
      </c>
      <c r="K16599" s="33" t="s">
        <v>107</v>
      </c>
      <c r="L16599" s="31" t="str">
        <f t="shared" si="1603"/>
        <v>Tiga Puluh Enam</v>
      </c>
    </row>
    <row r="16600" spans="1:12">
      <c r="J16600" s="31">
        <v>37</v>
      </c>
      <c r="K16600" s="33" t="s">
        <v>108</v>
      </c>
      <c r="L16600" s="31" t="str">
        <f t="shared" si="1603"/>
        <v>Tiga Puluh Tujuh</v>
      </c>
    </row>
    <row r="16601" spans="1:12">
      <c r="J16601" s="31">
        <v>38</v>
      </c>
      <c r="K16601" s="33" t="s">
        <v>109</v>
      </c>
      <c r="L16601" s="31" t="str">
        <f t="shared" si="1603"/>
        <v>Tiga Puluh Delapan</v>
      </c>
    </row>
    <row r="16602" spans="1:12">
      <c r="J16602" s="31">
        <v>39</v>
      </c>
      <c r="K16602" s="33" t="s">
        <v>110</v>
      </c>
      <c r="L16602" s="31" t="str">
        <f t="shared" si="1603"/>
        <v>Tiga Puluh Sembilan</v>
      </c>
    </row>
    <row r="16603" spans="1:12">
      <c r="B16603" s="35"/>
      <c r="C16603" s="35"/>
      <c r="D16603" s="35"/>
      <c r="J16603" s="31">
        <v>40</v>
      </c>
      <c r="K16603" s="33" t="s">
        <v>111</v>
      </c>
      <c r="L16603" s="31" t="s">
        <v>112</v>
      </c>
    </row>
    <row r="16604" spans="1:12">
      <c r="A16604" s="35"/>
      <c r="B16604" s="35"/>
      <c r="C16604" s="35"/>
      <c r="D16604" s="35"/>
      <c r="J16604" s="31">
        <v>41</v>
      </c>
      <c r="K16604" s="33" t="s">
        <v>113</v>
      </c>
      <c r="L16604" s="31" t="str">
        <f t="shared" ref="L16604:L16612" si="1604">$L$43&amp;" "&amp;L16564</f>
        <v>Empat Puluh Satu</v>
      </c>
    </row>
    <row r="16605" spans="1:12">
      <c r="J16605" s="31">
        <v>42</v>
      </c>
      <c r="K16605" s="33" t="s">
        <v>114</v>
      </c>
      <c r="L16605" s="31" t="str">
        <f t="shared" si="1604"/>
        <v>Empat Puluh Dua</v>
      </c>
    </row>
    <row r="16606" spans="1:12">
      <c r="A16606" s="38"/>
      <c r="J16606" s="31">
        <v>43</v>
      </c>
      <c r="K16606" s="33" t="s">
        <v>115</v>
      </c>
      <c r="L16606" s="31" t="str">
        <f t="shared" si="1604"/>
        <v>Empat Puluh Tiga</v>
      </c>
    </row>
    <row r="16607" spans="1:12">
      <c r="J16607" s="31">
        <v>44</v>
      </c>
      <c r="K16607" s="33" t="s">
        <v>116</v>
      </c>
      <c r="L16607" s="31" t="str">
        <f t="shared" si="1604"/>
        <v>Empat Puluh Empat</v>
      </c>
    </row>
    <row r="16608" spans="1:12">
      <c r="J16608" s="31">
        <v>45</v>
      </c>
      <c r="K16608" s="33" t="s">
        <v>117</v>
      </c>
      <c r="L16608" s="31" t="str">
        <f t="shared" si="1604"/>
        <v>Empat Puluh Lima</v>
      </c>
    </row>
    <row r="16609" spans="10:12">
      <c r="J16609" s="31">
        <v>46</v>
      </c>
      <c r="K16609" s="33" t="s">
        <v>118</v>
      </c>
      <c r="L16609" s="31" t="str">
        <f t="shared" si="1604"/>
        <v>Empat Puluh Enam</v>
      </c>
    </row>
    <row r="16610" spans="10:12">
      <c r="J16610" s="31">
        <v>47</v>
      </c>
      <c r="K16610" s="33" t="s">
        <v>119</v>
      </c>
      <c r="L16610" s="31" t="str">
        <f t="shared" si="1604"/>
        <v>Empat Puluh Tujuh</v>
      </c>
    </row>
    <row r="16611" spans="10:12">
      <c r="J16611" s="31">
        <v>48</v>
      </c>
      <c r="K16611" s="33" t="s">
        <v>120</v>
      </c>
      <c r="L16611" s="31" t="str">
        <f t="shared" si="1604"/>
        <v>Empat Puluh Delapan</v>
      </c>
    </row>
    <row r="16612" spans="10:12">
      <c r="J16612" s="31">
        <v>49</v>
      </c>
      <c r="K16612" s="33" t="s">
        <v>121</v>
      </c>
      <c r="L16612" s="31" t="str">
        <f t="shared" si="1604"/>
        <v>Empat Puluh Sembilan</v>
      </c>
    </row>
    <row r="16613" spans="10:12">
      <c r="J16613" s="31">
        <v>50</v>
      </c>
      <c r="K16613" s="33" t="s">
        <v>122</v>
      </c>
      <c r="L16613" s="31" t="s">
        <v>123</v>
      </c>
    </row>
    <row r="16614" spans="10:12">
      <c r="J16614" s="31">
        <v>51</v>
      </c>
      <c r="K16614" s="33" t="s">
        <v>124</v>
      </c>
      <c r="L16614" s="31" t="str">
        <f t="shared" ref="L16614:L16622" si="1605">$L$53&amp;" "&amp;L16564</f>
        <v>Lima Puluh Satu</v>
      </c>
    </row>
    <row r="16615" spans="10:12">
      <c r="J16615" s="31">
        <v>52</v>
      </c>
      <c r="K16615" s="33" t="s">
        <v>125</v>
      </c>
      <c r="L16615" s="31" t="str">
        <f t="shared" si="1605"/>
        <v>Lima Puluh Dua</v>
      </c>
    </row>
    <row r="16616" spans="10:12">
      <c r="J16616" s="31">
        <v>53</v>
      </c>
      <c r="K16616" s="33" t="s">
        <v>126</v>
      </c>
      <c r="L16616" s="31" t="str">
        <f t="shared" si="1605"/>
        <v>Lima Puluh Tiga</v>
      </c>
    </row>
    <row r="16617" spans="10:12">
      <c r="J16617" s="31">
        <v>54</v>
      </c>
      <c r="K16617" s="33" t="s">
        <v>127</v>
      </c>
      <c r="L16617" s="31" t="str">
        <f t="shared" si="1605"/>
        <v>Lima Puluh Empat</v>
      </c>
    </row>
    <row r="16618" spans="10:12">
      <c r="J16618" s="31">
        <v>55</v>
      </c>
      <c r="K16618" s="33" t="s">
        <v>128</v>
      </c>
      <c r="L16618" s="31" t="str">
        <f t="shared" si="1605"/>
        <v>Lima Puluh Lima</v>
      </c>
    </row>
    <row r="16619" spans="10:12">
      <c r="J16619" s="31">
        <v>56</v>
      </c>
      <c r="K16619" s="33" t="s">
        <v>129</v>
      </c>
      <c r="L16619" s="31" t="str">
        <f t="shared" si="1605"/>
        <v>Lima Puluh Enam</v>
      </c>
    </row>
    <row r="16620" spans="10:12">
      <c r="J16620" s="31">
        <v>57</v>
      </c>
      <c r="K16620" s="33" t="s">
        <v>130</v>
      </c>
      <c r="L16620" s="31" t="str">
        <f t="shared" si="1605"/>
        <v>Lima Puluh Tujuh</v>
      </c>
    </row>
    <row r="16621" spans="10:12">
      <c r="J16621" s="31">
        <v>58</v>
      </c>
      <c r="K16621" s="33" t="s">
        <v>131</v>
      </c>
      <c r="L16621" s="31" t="str">
        <f t="shared" si="1605"/>
        <v>Lima Puluh Delapan</v>
      </c>
    </row>
    <row r="16622" spans="10:12">
      <c r="J16622" s="31">
        <v>59</v>
      </c>
      <c r="K16622" s="33" t="s">
        <v>132</v>
      </c>
      <c r="L16622" s="31" t="str">
        <f t="shared" si="1605"/>
        <v>Lima Puluh Sembilan</v>
      </c>
    </row>
    <row r="16623" spans="10:12">
      <c r="J16623" s="31">
        <v>60</v>
      </c>
      <c r="K16623" s="33" t="s">
        <v>133</v>
      </c>
      <c r="L16623" s="31" t="s">
        <v>134</v>
      </c>
    </row>
    <row r="16624" spans="10:12">
      <c r="J16624" s="31">
        <v>61</v>
      </c>
      <c r="K16624" s="33" t="s">
        <v>135</v>
      </c>
      <c r="L16624" s="31" t="str">
        <f t="shared" ref="L16624:L16632" si="1606">$L$63&amp;" "&amp;L16564</f>
        <v>Enam Puluh Satu</v>
      </c>
    </row>
    <row r="16625" spans="10:12">
      <c r="J16625" s="31">
        <v>62</v>
      </c>
      <c r="K16625" s="33" t="s">
        <v>136</v>
      </c>
      <c r="L16625" s="31" t="str">
        <f t="shared" si="1606"/>
        <v>Enam Puluh Dua</v>
      </c>
    </row>
    <row r="16626" spans="10:12">
      <c r="J16626" s="31">
        <v>63</v>
      </c>
      <c r="K16626" s="33" t="s">
        <v>137</v>
      </c>
      <c r="L16626" s="31" t="str">
        <f t="shared" si="1606"/>
        <v>Enam Puluh Tiga</v>
      </c>
    </row>
    <row r="16627" spans="10:12">
      <c r="J16627" s="31">
        <v>64</v>
      </c>
      <c r="K16627" s="33" t="s">
        <v>138</v>
      </c>
      <c r="L16627" s="31" t="str">
        <f t="shared" si="1606"/>
        <v>Enam Puluh Empat</v>
      </c>
    </row>
    <row r="16628" spans="10:12">
      <c r="J16628" s="31">
        <v>65</v>
      </c>
      <c r="K16628" s="33" t="s">
        <v>139</v>
      </c>
      <c r="L16628" s="31" t="str">
        <f t="shared" si="1606"/>
        <v>Enam Puluh Lima</v>
      </c>
    </row>
    <row r="16629" spans="10:12">
      <c r="J16629" s="31">
        <v>66</v>
      </c>
      <c r="K16629" s="33" t="s">
        <v>140</v>
      </c>
      <c r="L16629" s="31" t="str">
        <f t="shared" si="1606"/>
        <v>Enam Puluh Enam</v>
      </c>
    </row>
    <row r="16630" spans="10:12">
      <c r="J16630" s="31">
        <v>67</v>
      </c>
      <c r="K16630" s="33" t="s">
        <v>141</v>
      </c>
      <c r="L16630" s="31" t="str">
        <f t="shared" si="1606"/>
        <v>Enam Puluh Tujuh</v>
      </c>
    </row>
    <row r="16631" spans="10:12">
      <c r="J16631" s="31">
        <v>68</v>
      </c>
      <c r="K16631" s="33" t="s">
        <v>142</v>
      </c>
      <c r="L16631" s="31" t="str">
        <f t="shared" si="1606"/>
        <v>Enam Puluh Delapan</v>
      </c>
    </row>
    <row r="16632" spans="10:12">
      <c r="J16632" s="31">
        <v>69</v>
      </c>
      <c r="K16632" s="33" t="s">
        <v>143</v>
      </c>
      <c r="L16632" s="31" t="str">
        <f t="shared" si="1606"/>
        <v>Enam Puluh Sembilan</v>
      </c>
    </row>
    <row r="16633" spans="10:12">
      <c r="J16633" s="31">
        <v>70</v>
      </c>
      <c r="K16633" s="33" t="s">
        <v>144</v>
      </c>
      <c r="L16633" s="31" t="s">
        <v>145</v>
      </c>
    </row>
    <row r="16634" spans="10:12">
      <c r="J16634" s="31">
        <v>71</v>
      </c>
      <c r="K16634" s="33" t="s">
        <v>146</v>
      </c>
      <c r="L16634" s="31" t="str">
        <f t="shared" ref="L16634:L16642" si="1607">$L$73&amp;" "&amp;L16564</f>
        <v>Tujuh Puluh Satu</v>
      </c>
    </row>
    <row r="16635" spans="10:12">
      <c r="J16635" s="31">
        <v>72</v>
      </c>
      <c r="K16635" s="33" t="s">
        <v>147</v>
      </c>
      <c r="L16635" s="31" t="str">
        <f t="shared" si="1607"/>
        <v>Tujuh Puluh Dua</v>
      </c>
    </row>
    <row r="16636" spans="10:12">
      <c r="J16636" s="31">
        <v>73</v>
      </c>
      <c r="K16636" s="33" t="s">
        <v>148</v>
      </c>
      <c r="L16636" s="31" t="str">
        <f t="shared" si="1607"/>
        <v>Tujuh Puluh Tiga</v>
      </c>
    </row>
    <row r="16637" spans="10:12">
      <c r="J16637" s="31">
        <v>74</v>
      </c>
      <c r="K16637" s="33" t="s">
        <v>149</v>
      </c>
      <c r="L16637" s="31" t="str">
        <f t="shared" si="1607"/>
        <v>Tujuh Puluh Empat</v>
      </c>
    </row>
    <row r="16638" spans="10:12">
      <c r="J16638" s="31">
        <v>75</v>
      </c>
      <c r="K16638" s="33" t="s">
        <v>150</v>
      </c>
      <c r="L16638" s="31" t="str">
        <f t="shared" si="1607"/>
        <v>Tujuh Puluh Lima</v>
      </c>
    </row>
    <row r="16639" spans="10:12">
      <c r="J16639" s="31">
        <v>76</v>
      </c>
      <c r="K16639" s="33" t="s">
        <v>151</v>
      </c>
      <c r="L16639" s="31" t="str">
        <f t="shared" si="1607"/>
        <v>Tujuh Puluh Enam</v>
      </c>
    </row>
    <row r="16640" spans="10:12">
      <c r="J16640" s="31">
        <v>77</v>
      </c>
      <c r="K16640" s="33" t="s">
        <v>152</v>
      </c>
      <c r="L16640" s="31" t="str">
        <f t="shared" si="1607"/>
        <v>Tujuh Puluh Tujuh</v>
      </c>
    </row>
    <row r="16641" spans="10:12">
      <c r="J16641" s="31">
        <v>78</v>
      </c>
      <c r="K16641" s="33" t="s">
        <v>153</v>
      </c>
      <c r="L16641" s="31" t="str">
        <f t="shared" si="1607"/>
        <v>Tujuh Puluh Delapan</v>
      </c>
    </row>
    <row r="16642" spans="10:12">
      <c r="J16642" s="31">
        <v>79</v>
      </c>
      <c r="K16642" s="33" t="s">
        <v>154</v>
      </c>
      <c r="L16642" s="31" t="str">
        <f t="shared" si="1607"/>
        <v>Tujuh Puluh Sembilan</v>
      </c>
    </row>
    <row r="16643" spans="10:12">
      <c r="J16643" s="31">
        <v>80</v>
      </c>
      <c r="K16643" s="33" t="s">
        <v>155</v>
      </c>
      <c r="L16643" s="31" t="s">
        <v>156</v>
      </c>
    </row>
    <row r="16644" spans="10:12">
      <c r="J16644" s="31">
        <v>81</v>
      </c>
      <c r="K16644" s="33" t="s">
        <v>157</v>
      </c>
      <c r="L16644" s="31" t="str">
        <f t="shared" ref="L16644:L16652" si="1608">$L$83&amp;" "&amp;L16564</f>
        <v>Delapan Puluh Satu</v>
      </c>
    </row>
    <row r="16645" spans="10:12">
      <c r="J16645" s="31">
        <v>82</v>
      </c>
      <c r="K16645" s="33" t="s">
        <v>158</v>
      </c>
      <c r="L16645" s="31" t="str">
        <f t="shared" si="1608"/>
        <v>Delapan Puluh Dua</v>
      </c>
    </row>
    <row r="16646" spans="10:12">
      <c r="J16646" s="31">
        <v>83</v>
      </c>
      <c r="K16646" s="33" t="s">
        <v>159</v>
      </c>
      <c r="L16646" s="31" t="str">
        <f t="shared" si="1608"/>
        <v>Delapan Puluh Tiga</v>
      </c>
    </row>
    <row r="16647" spans="10:12">
      <c r="J16647" s="31">
        <v>84</v>
      </c>
      <c r="K16647" s="33" t="s">
        <v>160</v>
      </c>
      <c r="L16647" s="31" t="str">
        <f t="shared" si="1608"/>
        <v>Delapan Puluh Empat</v>
      </c>
    </row>
    <row r="16648" spans="10:12">
      <c r="J16648" s="31">
        <v>85</v>
      </c>
      <c r="K16648" s="33" t="s">
        <v>161</v>
      </c>
      <c r="L16648" s="31" t="str">
        <f t="shared" si="1608"/>
        <v>Delapan Puluh Lima</v>
      </c>
    </row>
    <row r="16649" spans="10:12">
      <c r="J16649" s="31">
        <v>86</v>
      </c>
      <c r="K16649" s="33" t="s">
        <v>162</v>
      </c>
      <c r="L16649" s="31" t="str">
        <f t="shared" si="1608"/>
        <v>Delapan Puluh Enam</v>
      </c>
    </row>
    <row r="16650" spans="10:12">
      <c r="J16650" s="31">
        <v>87</v>
      </c>
      <c r="K16650" s="33" t="s">
        <v>163</v>
      </c>
      <c r="L16650" s="31" t="str">
        <f t="shared" si="1608"/>
        <v>Delapan Puluh Tujuh</v>
      </c>
    </row>
    <row r="16651" spans="10:12">
      <c r="J16651" s="31">
        <v>88</v>
      </c>
      <c r="K16651" s="33" t="s">
        <v>164</v>
      </c>
      <c r="L16651" s="31" t="str">
        <f t="shared" si="1608"/>
        <v>Delapan Puluh Delapan</v>
      </c>
    </row>
    <row r="16652" spans="10:12">
      <c r="J16652" s="31">
        <v>89</v>
      </c>
      <c r="K16652" s="33" t="s">
        <v>165</v>
      </c>
      <c r="L16652" s="31" t="str">
        <f t="shared" si="1608"/>
        <v>Delapan Puluh Sembilan</v>
      </c>
    </row>
    <row r="16653" spans="10:12">
      <c r="J16653" s="31">
        <v>90</v>
      </c>
      <c r="K16653" s="33" t="s">
        <v>166</v>
      </c>
      <c r="L16653" s="31" t="s">
        <v>167</v>
      </c>
    </row>
    <row r="16654" spans="10:12">
      <c r="J16654" s="31">
        <v>91</v>
      </c>
      <c r="K16654" s="33" t="s">
        <v>168</v>
      </c>
      <c r="L16654" s="31" t="str">
        <f t="shared" ref="L16654:L16662" si="1609">$L$93&amp;" "&amp;L16564</f>
        <v>Sembilan Puluh Satu</v>
      </c>
    </row>
    <row r="16655" spans="10:12">
      <c r="J16655" s="31">
        <v>92</v>
      </c>
      <c r="K16655" s="33" t="s">
        <v>169</v>
      </c>
      <c r="L16655" s="31" t="str">
        <f t="shared" si="1609"/>
        <v>Sembilan Puluh Dua</v>
      </c>
    </row>
    <row r="16656" spans="10:12">
      <c r="J16656" s="31">
        <v>93</v>
      </c>
      <c r="K16656" s="33" t="s">
        <v>170</v>
      </c>
      <c r="L16656" s="31" t="str">
        <f t="shared" si="1609"/>
        <v>Sembilan Puluh Tiga</v>
      </c>
    </row>
    <row r="16657" spans="1:12">
      <c r="J16657" s="31">
        <v>94</v>
      </c>
      <c r="K16657" s="33" t="s">
        <v>171</v>
      </c>
      <c r="L16657" s="31" t="str">
        <f t="shared" si="1609"/>
        <v>Sembilan Puluh Empat</v>
      </c>
    </row>
    <row r="16658" spans="1:12">
      <c r="J16658" s="31">
        <v>95</v>
      </c>
      <c r="K16658" s="33" t="s">
        <v>172</v>
      </c>
      <c r="L16658" s="31" t="str">
        <f t="shared" si="1609"/>
        <v>Sembilan Puluh Lima</v>
      </c>
    </row>
    <row r="16659" spans="1:12">
      <c r="J16659" s="31">
        <v>96</v>
      </c>
      <c r="K16659" s="33" t="s">
        <v>173</v>
      </c>
      <c r="L16659" s="31" t="str">
        <f t="shared" si="1609"/>
        <v>Sembilan Puluh Enam</v>
      </c>
    </row>
    <row r="16660" spans="1:12">
      <c r="J16660" s="31">
        <v>97</v>
      </c>
      <c r="K16660" s="33" t="s">
        <v>174</v>
      </c>
      <c r="L16660" s="31" t="str">
        <f t="shared" si="1609"/>
        <v>Sembilan Puluh Tujuh</v>
      </c>
    </row>
    <row r="16661" spans="1:12">
      <c r="J16661" s="31">
        <v>98</v>
      </c>
      <c r="K16661" s="33" t="s">
        <v>175</v>
      </c>
      <c r="L16661" s="31" t="str">
        <f t="shared" si="1609"/>
        <v>Sembilan Puluh Delapan</v>
      </c>
    </row>
    <row r="16662" spans="1:12">
      <c r="J16662" s="31">
        <v>99</v>
      </c>
      <c r="K16662" s="33" t="s">
        <v>176</v>
      </c>
      <c r="L16662" s="31" t="str">
        <f t="shared" si="1609"/>
        <v>Sembilan Puluh Sembilan</v>
      </c>
    </row>
    <row r="16664" spans="1:12">
      <c r="A16664" s="30" t="e">
        <f>#REF!</f>
        <v>#REF!</v>
      </c>
      <c r="C16664" s="31" t="s">
        <v>397</v>
      </c>
    </row>
    <row r="16665" spans="1:12">
      <c r="A16665" s="32"/>
    </row>
    <row r="16666" spans="1:12">
      <c r="J16666" s="31">
        <v>0</v>
      </c>
      <c r="K16666" s="33" t="s">
        <v>48</v>
      </c>
      <c r="L16666" s="31" t="s">
        <v>49</v>
      </c>
    </row>
    <row r="16667" spans="1:12">
      <c r="A16667" s="34"/>
      <c r="J16667" s="31">
        <v>1</v>
      </c>
      <c r="K16667" s="33" t="s">
        <v>50</v>
      </c>
      <c r="L16667" s="31" t="s">
        <v>51</v>
      </c>
    </row>
    <row r="16668" spans="1:12">
      <c r="A16668" s="255" t="e">
        <f>TRIM(D16676&amp;E16676&amp;D16677&amp;E16677&amp;D16678&amp;E16678&amp;D16679&amp;E16679&amp;D16680&amp;E16680&amp;D16681&amp;E16681&amp;E16682&amp;D16682&amp;" Only")</f>
        <v>#REF!</v>
      </c>
      <c r="B16668" s="255"/>
      <c r="C16668" s="255"/>
      <c r="D16668" s="255"/>
      <c r="E16668" s="35"/>
      <c r="F16668" s="36"/>
      <c r="J16668" s="31">
        <v>2</v>
      </c>
      <c r="K16668" s="33" t="s">
        <v>52</v>
      </c>
      <c r="L16668" s="31" t="s">
        <v>53</v>
      </c>
    </row>
    <row r="16669" spans="1:12">
      <c r="A16669" s="123"/>
      <c r="B16669" s="123"/>
      <c r="C16669" s="123"/>
      <c r="D16669" s="123"/>
      <c r="E16669" s="35"/>
      <c r="F16669" s="36"/>
      <c r="J16669" s="31">
        <v>3</v>
      </c>
      <c r="K16669" s="33" t="s">
        <v>54</v>
      </c>
      <c r="L16669" s="31" t="s">
        <v>55</v>
      </c>
    </row>
    <row r="16670" spans="1:12">
      <c r="A16670" s="123"/>
      <c r="B16670" s="123"/>
      <c r="C16670" s="123"/>
      <c r="D16670" s="123"/>
      <c r="J16670" s="31">
        <v>4</v>
      </c>
      <c r="K16670" s="33" t="s">
        <v>56</v>
      </c>
      <c r="L16670" s="31" t="s">
        <v>57</v>
      </c>
    </row>
    <row r="16671" spans="1:12">
      <c r="A16671" s="255" t="e">
        <f>TRIM(D16686&amp;E16686&amp;D16687&amp;E16687&amp;D16688&amp;E16688&amp;D16689&amp;E16689&amp;D16690&amp;E16690&amp;D16691&amp;E16691&amp;D16692&amp;E16692&amp;" Rupiah")</f>
        <v>#REF!</v>
      </c>
      <c r="B16671" s="255"/>
      <c r="C16671" s="255"/>
      <c r="D16671" s="255"/>
      <c r="E16671" s="35"/>
      <c r="F16671" s="36"/>
      <c r="J16671" s="31">
        <v>5</v>
      </c>
      <c r="K16671" s="33" t="s">
        <v>58</v>
      </c>
      <c r="L16671" s="31" t="s">
        <v>59</v>
      </c>
    </row>
    <row r="16672" spans="1:12">
      <c r="A16672" s="35"/>
      <c r="B16672" s="35"/>
      <c r="C16672" s="35"/>
      <c r="D16672" s="35"/>
      <c r="E16672" s="35"/>
      <c r="F16672" s="36"/>
      <c r="J16672" s="31">
        <v>6</v>
      </c>
      <c r="K16672" s="33" t="s">
        <v>60</v>
      </c>
      <c r="L16672" s="31" t="s">
        <v>61</v>
      </c>
    </row>
    <row r="16673" spans="1:12">
      <c r="J16673" s="31">
        <v>7</v>
      </c>
      <c r="K16673" s="33" t="s">
        <v>62</v>
      </c>
      <c r="L16673" s="31" t="s">
        <v>63</v>
      </c>
    </row>
    <row r="16674" spans="1:12">
      <c r="J16674" s="31">
        <v>8</v>
      </c>
      <c r="K16674" s="33" t="s">
        <v>64</v>
      </c>
      <c r="L16674" s="31" t="s">
        <v>65</v>
      </c>
    </row>
    <row r="16675" spans="1:12">
      <c r="A16675" s="38" t="s">
        <v>66</v>
      </c>
      <c r="J16675" s="31">
        <v>9</v>
      </c>
      <c r="K16675" s="33" t="s">
        <v>67</v>
      </c>
      <c r="L16675" s="31" t="s">
        <v>68</v>
      </c>
    </row>
    <row r="16676" spans="1:12">
      <c r="A16676" s="31" t="s">
        <v>69</v>
      </c>
      <c r="B16676" s="39" t="e">
        <f>TRUNC(A16664/100000000)</f>
        <v>#REF!</v>
      </c>
      <c r="C16676" s="31" t="e">
        <f>B16676*100000000</f>
        <v>#REF!</v>
      </c>
      <c r="D16676" s="31" t="e">
        <f t="shared" ref="D16676:D16682" si="1610">IF(B16676&lt;1,"",VLOOKUP(B16676,$J$3:$K$102,2))</f>
        <v>#REF!</v>
      </c>
      <c r="E16676" s="31" t="e">
        <f>IF(B16676&lt;1,"",IF(B16676&gt;1," Hundreds "," Hundred "))</f>
        <v>#REF!</v>
      </c>
      <c r="J16676" s="31">
        <v>10</v>
      </c>
      <c r="K16676" s="33" t="s">
        <v>70</v>
      </c>
      <c r="L16676" s="31" t="s">
        <v>71</v>
      </c>
    </row>
    <row r="16677" spans="1:12">
      <c r="A16677" s="31" t="s">
        <v>72</v>
      </c>
      <c r="B16677" s="39" t="e">
        <f>TRUNC((A16664-C16676)/1000000)</f>
        <v>#REF!</v>
      </c>
      <c r="C16677" s="31" t="e">
        <f>B16677*1000000</f>
        <v>#REF!</v>
      </c>
      <c r="D16677" s="31" t="e">
        <f t="shared" si="1610"/>
        <v>#REF!</v>
      </c>
      <c r="E16677" s="31" t="e">
        <f>IF(B16676+B16677=0,"",IF(B16677=1," Million "," Millions "))</f>
        <v>#REF!</v>
      </c>
      <c r="J16677" s="31">
        <v>11</v>
      </c>
      <c r="K16677" s="33" t="s">
        <v>73</v>
      </c>
      <c r="L16677" s="31" t="s">
        <v>74</v>
      </c>
    </row>
    <row r="16678" spans="1:12">
      <c r="A16678" s="31" t="s">
        <v>75</v>
      </c>
      <c r="B16678" s="39" t="e">
        <f>TRUNC((A16664-SUM(C16676:C16677))/100000)</f>
        <v>#REF!</v>
      </c>
      <c r="C16678" s="31" t="e">
        <f>B16678*100000</f>
        <v>#REF!</v>
      </c>
      <c r="D16678" s="31" t="e">
        <f t="shared" si="1610"/>
        <v>#REF!</v>
      </c>
      <c r="E16678" s="31" t="e">
        <f>IF(B16678&lt;1,"",IF(B16678&gt;1," Hundreds "," Hundred "))</f>
        <v>#REF!</v>
      </c>
      <c r="J16678" s="31">
        <v>12</v>
      </c>
      <c r="K16678" s="33" t="s">
        <v>76</v>
      </c>
      <c r="L16678" s="31" t="str">
        <f t="shared" ref="L16678:L16685" si="1611">L16668&amp;" Belas"</f>
        <v>Dua Belas</v>
      </c>
    </row>
    <row r="16679" spans="1:12">
      <c r="A16679" s="33" t="s">
        <v>77</v>
      </c>
      <c r="B16679" s="40" t="e">
        <f>TRUNC((A16664-SUM(C16676:C16678))/1000)</f>
        <v>#REF!</v>
      </c>
      <c r="C16679" s="31" t="e">
        <f>B16679*1000</f>
        <v>#REF!</v>
      </c>
      <c r="D16679" s="31" t="e">
        <f t="shared" si="1610"/>
        <v>#REF!</v>
      </c>
      <c r="E16679" s="31" t="e">
        <f>IF(B16678+B16679=0,"",IF(B16679=1," Thousand "," Thousands "))</f>
        <v>#REF!</v>
      </c>
      <c r="J16679" s="31">
        <v>13</v>
      </c>
      <c r="K16679" s="33" t="s">
        <v>78</v>
      </c>
      <c r="L16679" s="31" t="str">
        <f t="shared" si="1611"/>
        <v>Tiga Belas</v>
      </c>
    </row>
    <row r="16680" spans="1:12">
      <c r="A16680" s="33" t="s">
        <v>79</v>
      </c>
      <c r="B16680" s="40" t="e">
        <f>TRUNC((A16664-SUM(C16676:C16679))/100)</f>
        <v>#REF!</v>
      </c>
      <c r="C16680" s="31" t="e">
        <f>B16680*100</f>
        <v>#REF!</v>
      </c>
      <c r="D16680" s="31" t="e">
        <f t="shared" si="1610"/>
        <v>#REF!</v>
      </c>
      <c r="E16680" s="31" t="e">
        <f>IF(B16680&lt;1,"",IF(B16680&gt;1," Hundreds "," Hundred "))</f>
        <v>#REF!</v>
      </c>
      <c r="J16680" s="31">
        <v>14</v>
      </c>
      <c r="K16680" s="33" t="s">
        <v>80</v>
      </c>
      <c r="L16680" s="31" t="str">
        <f t="shared" si="1611"/>
        <v>Empat Belas</v>
      </c>
    </row>
    <row r="16681" spans="1:12">
      <c r="A16681" s="33" t="s">
        <v>81</v>
      </c>
      <c r="B16681" s="41" t="e">
        <f>TRUNC((A16664-SUM(C16676:C16680)))</f>
        <v>#REF!</v>
      </c>
      <c r="C16681" s="42" t="e">
        <f>B16681</f>
        <v>#REF!</v>
      </c>
      <c r="D16681" s="31" t="e">
        <f t="shared" si="1610"/>
        <v>#REF!</v>
      </c>
      <c r="E16681" s="31" t="e">
        <f>IF(SUM(C16676:C16681)&lt;1,"",IF(B16682&lt;1,""," And "))</f>
        <v>#REF!</v>
      </c>
      <c r="J16681" s="31">
        <v>15</v>
      </c>
      <c r="K16681" s="33" t="s">
        <v>82</v>
      </c>
      <c r="L16681" s="31" t="str">
        <f t="shared" si="1611"/>
        <v>Lima Belas</v>
      </c>
    </row>
    <row r="16682" spans="1:12">
      <c r="A16682" s="33" t="s">
        <v>83</v>
      </c>
      <c r="B16682" s="40" t="e">
        <f>ROUND(A16664-SUM(C16676:C16681),2)*100</f>
        <v>#REF!</v>
      </c>
      <c r="D16682" s="43" t="e">
        <f t="shared" si="1610"/>
        <v>#REF!</v>
      </c>
      <c r="E16682" s="31" t="e">
        <f>IF(B16682&lt;1,"",IF(B16682=1," Cent "," Cents "))</f>
        <v>#REF!</v>
      </c>
      <c r="J16682" s="31">
        <v>16</v>
      </c>
      <c r="K16682" s="33" t="s">
        <v>84</v>
      </c>
      <c r="L16682" s="31" t="str">
        <f t="shared" si="1611"/>
        <v>Enam Belas</v>
      </c>
    </row>
    <row r="16683" spans="1:12">
      <c r="J16683" s="31">
        <v>17</v>
      </c>
      <c r="K16683" s="33" t="s">
        <v>85</v>
      </c>
      <c r="L16683" s="31" t="str">
        <f t="shared" si="1611"/>
        <v>Tujuh Belas</v>
      </c>
    </row>
    <row r="16684" spans="1:12">
      <c r="A16684" s="44"/>
      <c r="J16684" s="31">
        <v>18</v>
      </c>
      <c r="K16684" s="33" t="s">
        <v>86</v>
      </c>
      <c r="L16684" s="31" t="str">
        <f t="shared" si="1611"/>
        <v>Delapan Belas</v>
      </c>
    </row>
    <row r="16685" spans="1:12">
      <c r="A16685" s="38" t="s">
        <v>87</v>
      </c>
      <c r="J16685" s="31">
        <v>19</v>
      </c>
      <c r="K16685" s="33" t="s">
        <v>88</v>
      </c>
      <c r="L16685" s="31" t="str">
        <f t="shared" si="1611"/>
        <v>Sembilan Belas</v>
      </c>
    </row>
    <row r="16686" spans="1:12">
      <c r="A16686" s="31" t="s">
        <v>69</v>
      </c>
      <c r="B16686" s="39" t="e">
        <f>TRUNC(A16664/100000000)</f>
        <v>#REF!</v>
      </c>
      <c r="C16686" s="31" t="e">
        <f>B16686*100000000</f>
        <v>#REF!</v>
      </c>
      <c r="D16686" s="31" t="e">
        <f>IF(B16686&lt;1,"",IF(B16686=1,"",VLOOKUP(B16686,$J$3:$L$102,3)))</f>
        <v>#REF!</v>
      </c>
      <c r="E16686" s="31" t="e">
        <f>IF(B16686&lt;1,"",IF(B16686=1,"Seratus "," Ratus "))</f>
        <v>#REF!</v>
      </c>
      <c r="J16686" s="31">
        <v>20</v>
      </c>
      <c r="K16686" s="33" t="s">
        <v>89</v>
      </c>
      <c r="L16686" s="31" t="s">
        <v>90</v>
      </c>
    </row>
    <row r="16687" spans="1:12">
      <c r="A16687" s="31" t="s">
        <v>72</v>
      </c>
      <c r="B16687" s="39" t="e">
        <f>TRUNC((A16664-C16686)/1000000)</f>
        <v>#REF!</v>
      </c>
      <c r="C16687" s="31" t="e">
        <f>B16687*1000000</f>
        <v>#REF!</v>
      </c>
      <c r="D16687" s="31" t="e">
        <f>IF(B16687&lt;1,"",VLOOKUP(B16687,$J$3:$L$102,3))</f>
        <v>#REF!</v>
      </c>
      <c r="E16687" s="31" t="e">
        <f>IF(B16686+B16687=0,""," Juta ")</f>
        <v>#REF!</v>
      </c>
      <c r="J16687" s="31">
        <v>21</v>
      </c>
      <c r="K16687" s="33" t="s">
        <v>91</v>
      </c>
      <c r="L16687" s="31" t="str">
        <f t="shared" ref="L16687:L16695" si="1612">$L$23&amp;" "&amp;L16667</f>
        <v>Dua Puluh Satu</v>
      </c>
    </row>
    <row r="16688" spans="1:12">
      <c r="A16688" s="31" t="s">
        <v>75</v>
      </c>
      <c r="B16688" s="39" t="e">
        <f>TRUNC((A16664-SUM(C16686:C16687))/100000)</f>
        <v>#REF!</v>
      </c>
      <c r="C16688" s="31" t="e">
        <f>B16688*100000</f>
        <v>#REF!</v>
      </c>
      <c r="D16688" s="31" t="e">
        <f>IF(B16688&lt;1,"",IF(B16688=1,"",VLOOKUP(B16688,$J$3:$L$102,3)))</f>
        <v>#REF!</v>
      </c>
      <c r="E16688" s="31" t="e">
        <f>IF(B16688&lt;1,"",IF(B16688=1," Seratus "," Ratus "))</f>
        <v>#REF!</v>
      </c>
      <c r="J16688" s="31">
        <v>22</v>
      </c>
      <c r="K16688" s="33" t="s">
        <v>92</v>
      </c>
      <c r="L16688" s="31" t="str">
        <f t="shared" si="1612"/>
        <v>Dua Puluh Dua</v>
      </c>
    </row>
    <row r="16689" spans="1:12">
      <c r="A16689" s="33" t="s">
        <v>77</v>
      </c>
      <c r="B16689" s="40" t="e">
        <f>TRUNC((A16664-SUM(C16686:C16688))/1000)</f>
        <v>#REF!</v>
      </c>
      <c r="C16689" s="31" t="e">
        <f>B16689*1000</f>
        <v>#REF!</v>
      </c>
      <c r="D16689" s="31" t="e">
        <f>IF(B16689&lt;1,"",IF(B16689=1,"",VLOOKUP(B16689,$J$3:$L$102,3)))</f>
        <v>#REF!</v>
      </c>
      <c r="E16689" s="31" t="e">
        <f>IF(B16688+B16689&lt;1,"",IF(B16689=1," Seribu "," Ribu "))</f>
        <v>#REF!</v>
      </c>
      <c r="J16689" s="31">
        <v>23</v>
      </c>
      <c r="K16689" s="33" t="s">
        <v>93</v>
      </c>
      <c r="L16689" s="31" t="str">
        <f t="shared" si="1612"/>
        <v>Dua Puluh Tiga</v>
      </c>
    </row>
    <row r="16690" spans="1:12">
      <c r="A16690" s="33" t="s">
        <v>79</v>
      </c>
      <c r="B16690" s="40" t="e">
        <f>TRUNC((A16664-SUM(C16686:C16689))/100)</f>
        <v>#REF!</v>
      </c>
      <c r="C16690" s="31" t="e">
        <f>B16690*100</f>
        <v>#REF!</v>
      </c>
      <c r="D16690" s="31" t="e">
        <f>IF(B16690&lt;1,"",IF(B16690=1,"",VLOOKUP(B16690,$J$3:$L$102,3)))</f>
        <v>#REF!</v>
      </c>
      <c r="E16690" s="31" t="e">
        <f>IF(B16690&lt;1,"",IF(B16690=1," Seratus "," Ratus "))</f>
        <v>#REF!</v>
      </c>
      <c r="J16690" s="31">
        <v>24</v>
      </c>
      <c r="K16690" s="33" t="s">
        <v>94</v>
      </c>
      <c r="L16690" s="31" t="str">
        <f t="shared" si="1612"/>
        <v>Dua Puluh Empat</v>
      </c>
    </row>
    <row r="16691" spans="1:12">
      <c r="A16691" s="33" t="s">
        <v>81</v>
      </c>
      <c r="B16691" s="41" t="e">
        <f>TRUNC((A16664-SUM(C16686:C16690)))</f>
        <v>#REF!</v>
      </c>
      <c r="C16691" s="42" t="e">
        <f>B16691</f>
        <v>#REF!</v>
      </c>
      <c r="D16691" s="31" t="e">
        <f>IF(B16691&lt;1,"",VLOOKUP(B16691,$J$3:$L$102,3))</f>
        <v>#REF!</v>
      </c>
      <c r="E16691" s="31" t="e">
        <f>IF(SUM(C16686:C16691)&lt;1,"",IF(B16692&lt;1,""," Dan "))</f>
        <v>#REF!</v>
      </c>
      <c r="J16691" s="31">
        <v>25</v>
      </c>
      <c r="K16691" s="33" t="s">
        <v>95</v>
      </c>
      <c r="L16691" s="31" t="str">
        <f t="shared" si="1612"/>
        <v>Dua Puluh Lima</v>
      </c>
    </row>
    <row r="16692" spans="1:12">
      <c r="A16692" s="33" t="s">
        <v>83</v>
      </c>
      <c r="B16692" s="40" t="e">
        <f>ROUND(A16664-SUM(C16686:C16691),2)*100</f>
        <v>#REF!</v>
      </c>
      <c r="D16692" s="31" t="e">
        <f>IF(B16692&lt;1,"",VLOOKUP(B16692,$J$3:$L$102,3))</f>
        <v>#REF!</v>
      </c>
      <c r="E16692" s="31" t="e">
        <f>IF(B16692&lt;1,""," Sen ")</f>
        <v>#REF!</v>
      </c>
      <c r="J16692" s="31">
        <v>26</v>
      </c>
      <c r="K16692" s="33" t="s">
        <v>96</v>
      </c>
      <c r="L16692" s="31" t="str">
        <f t="shared" si="1612"/>
        <v>Dua Puluh Enam</v>
      </c>
    </row>
    <row r="16693" spans="1:12">
      <c r="J16693" s="31">
        <v>27</v>
      </c>
      <c r="K16693" s="33" t="s">
        <v>97</v>
      </c>
      <c r="L16693" s="31" t="str">
        <f t="shared" si="1612"/>
        <v>Dua Puluh Tujuh</v>
      </c>
    </row>
    <row r="16694" spans="1:12">
      <c r="J16694" s="31">
        <v>28</v>
      </c>
      <c r="K16694" s="33" t="s">
        <v>98</v>
      </c>
      <c r="L16694" s="31" t="str">
        <f t="shared" si="1612"/>
        <v>Dua Puluh Delapan</v>
      </c>
    </row>
    <row r="16695" spans="1:12">
      <c r="J16695" s="31">
        <v>29</v>
      </c>
      <c r="K16695" s="33" t="s">
        <v>99</v>
      </c>
      <c r="L16695" s="31" t="str">
        <f t="shared" si="1612"/>
        <v>Dua Puluh Sembilan</v>
      </c>
    </row>
    <row r="16696" spans="1:12">
      <c r="J16696" s="31">
        <v>30</v>
      </c>
      <c r="K16696" s="33" t="s">
        <v>100</v>
      </c>
      <c r="L16696" s="31" t="s">
        <v>101</v>
      </c>
    </row>
    <row r="16697" spans="1:12">
      <c r="J16697" s="31">
        <v>31</v>
      </c>
      <c r="K16697" s="33" t="s">
        <v>102</v>
      </c>
      <c r="L16697" s="31" t="str">
        <f t="shared" ref="L16697:L16705" si="1613">$L$33&amp;" "&amp;L16667</f>
        <v>Tiga Puluh Satu</v>
      </c>
    </row>
    <row r="16698" spans="1:12">
      <c r="J16698" s="31">
        <v>32</v>
      </c>
      <c r="K16698" s="33" t="s">
        <v>103</v>
      </c>
      <c r="L16698" s="31" t="str">
        <f t="shared" si="1613"/>
        <v>Tiga Puluh Dua</v>
      </c>
    </row>
    <row r="16699" spans="1:12">
      <c r="J16699" s="31">
        <v>33</v>
      </c>
      <c r="K16699" s="33" t="s">
        <v>104</v>
      </c>
      <c r="L16699" s="31" t="str">
        <f t="shared" si="1613"/>
        <v>Tiga Puluh Tiga</v>
      </c>
    </row>
    <row r="16700" spans="1:12">
      <c r="J16700" s="31">
        <v>34</v>
      </c>
      <c r="K16700" s="33" t="s">
        <v>105</v>
      </c>
      <c r="L16700" s="31" t="str">
        <f t="shared" si="1613"/>
        <v>Tiga Puluh Empat</v>
      </c>
    </row>
    <row r="16701" spans="1:12">
      <c r="J16701" s="31">
        <v>35</v>
      </c>
      <c r="K16701" s="33" t="s">
        <v>106</v>
      </c>
      <c r="L16701" s="31" t="str">
        <f t="shared" si="1613"/>
        <v>Tiga Puluh Lima</v>
      </c>
    </row>
    <row r="16702" spans="1:12">
      <c r="J16702" s="31">
        <v>36</v>
      </c>
      <c r="K16702" s="33" t="s">
        <v>107</v>
      </c>
      <c r="L16702" s="31" t="str">
        <f t="shared" si="1613"/>
        <v>Tiga Puluh Enam</v>
      </c>
    </row>
    <row r="16703" spans="1:12">
      <c r="J16703" s="31">
        <v>37</v>
      </c>
      <c r="K16703" s="33" t="s">
        <v>108</v>
      </c>
      <c r="L16703" s="31" t="str">
        <f t="shared" si="1613"/>
        <v>Tiga Puluh Tujuh</v>
      </c>
    </row>
    <row r="16704" spans="1:12">
      <c r="J16704" s="31">
        <v>38</v>
      </c>
      <c r="K16704" s="33" t="s">
        <v>109</v>
      </c>
      <c r="L16704" s="31" t="str">
        <f t="shared" si="1613"/>
        <v>Tiga Puluh Delapan</v>
      </c>
    </row>
    <row r="16705" spans="1:12">
      <c r="J16705" s="31">
        <v>39</v>
      </c>
      <c r="K16705" s="33" t="s">
        <v>110</v>
      </c>
      <c r="L16705" s="31" t="str">
        <f t="shared" si="1613"/>
        <v>Tiga Puluh Sembilan</v>
      </c>
    </row>
    <row r="16706" spans="1:12">
      <c r="B16706" s="35"/>
      <c r="C16706" s="35"/>
      <c r="D16706" s="35"/>
      <c r="J16706" s="31">
        <v>40</v>
      </c>
      <c r="K16706" s="33" t="s">
        <v>111</v>
      </c>
      <c r="L16706" s="31" t="s">
        <v>112</v>
      </c>
    </row>
    <row r="16707" spans="1:12">
      <c r="A16707" s="35"/>
      <c r="B16707" s="35"/>
      <c r="C16707" s="35"/>
      <c r="D16707" s="35"/>
      <c r="J16707" s="31">
        <v>41</v>
      </c>
      <c r="K16707" s="33" t="s">
        <v>113</v>
      </c>
      <c r="L16707" s="31" t="str">
        <f t="shared" ref="L16707:L16715" si="1614">$L$43&amp;" "&amp;L16667</f>
        <v>Empat Puluh Satu</v>
      </c>
    </row>
    <row r="16708" spans="1:12">
      <c r="J16708" s="31">
        <v>42</v>
      </c>
      <c r="K16708" s="33" t="s">
        <v>114</v>
      </c>
      <c r="L16708" s="31" t="str">
        <f t="shared" si="1614"/>
        <v>Empat Puluh Dua</v>
      </c>
    </row>
    <row r="16709" spans="1:12">
      <c r="A16709" s="38"/>
      <c r="J16709" s="31">
        <v>43</v>
      </c>
      <c r="K16709" s="33" t="s">
        <v>115</v>
      </c>
      <c r="L16709" s="31" t="str">
        <f t="shared" si="1614"/>
        <v>Empat Puluh Tiga</v>
      </c>
    </row>
    <row r="16710" spans="1:12">
      <c r="J16710" s="31">
        <v>44</v>
      </c>
      <c r="K16710" s="33" t="s">
        <v>116</v>
      </c>
      <c r="L16710" s="31" t="str">
        <f t="shared" si="1614"/>
        <v>Empat Puluh Empat</v>
      </c>
    </row>
    <row r="16711" spans="1:12">
      <c r="J16711" s="31">
        <v>45</v>
      </c>
      <c r="K16711" s="33" t="s">
        <v>117</v>
      </c>
      <c r="L16711" s="31" t="str">
        <f t="shared" si="1614"/>
        <v>Empat Puluh Lima</v>
      </c>
    </row>
    <row r="16712" spans="1:12">
      <c r="J16712" s="31">
        <v>46</v>
      </c>
      <c r="K16712" s="33" t="s">
        <v>118</v>
      </c>
      <c r="L16712" s="31" t="str">
        <f t="shared" si="1614"/>
        <v>Empat Puluh Enam</v>
      </c>
    </row>
    <row r="16713" spans="1:12">
      <c r="J16713" s="31">
        <v>47</v>
      </c>
      <c r="K16713" s="33" t="s">
        <v>119</v>
      </c>
      <c r="L16713" s="31" t="str">
        <f t="shared" si="1614"/>
        <v>Empat Puluh Tujuh</v>
      </c>
    </row>
    <row r="16714" spans="1:12">
      <c r="J16714" s="31">
        <v>48</v>
      </c>
      <c r="K16714" s="33" t="s">
        <v>120</v>
      </c>
      <c r="L16714" s="31" t="str">
        <f t="shared" si="1614"/>
        <v>Empat Puluh Delapan</v>
      </c>
    </row>
    <row r="16715" spans="1:12">
      <c r="J16715" s="31">
        <v>49</v>
      </c>
      <c r="K16715" s="33" t="s">
        <v>121</v>
      </c>
      <c r="L16715" s="31" t="str">
        <f t="shared" si="1614"/>
        <v>Empat Puluh Sembilan</v>
      </c>
    </row>
    <row r="16716" spans="1:12">
      <c r="J16716" s="31">
        <v>50</v>
      </c>
      <c r="K16716" s="33" t="s">
        <v>122</v>
      </c>
      <c r="L16716" s="31" t="s">
        <v>123</v>
      </c>
    </row>
    <row r="16717" spans="1:12">
      <c r="J16717" s="31">
        <v>51</v>
      </c>
      <c r="K16717" s="33" t="s">
        <v>124</v>
      </c>
      <c r="L16717" s="31" t="str">
        <f t="shared" ref="L16717:L16725" si="1615">$L$53&amp;" "&amp;L16667</f>
        <v>Lima Puluh Satu</v>
      </c>
    </row>
    <row r="16718" spans="1:12">
      <c r="J16718" s="31">
        <v>52</v>
      </c>
      <c r="K16718" s="33" t="s">
        <v>125</v>
      </c>
      <c r="L16718" s="31" t="str">
        <f t="shared" si="1615"/>
        <v>Lima Puluh Dua</v>
      </c>
    </row>
    <row r="16719" spans="1:12">
      <c r="J16719" s="31">
        <v>53</v>
      </c>
      <c r="K16719" s="33" t="s">
        <v>126</v>
      </c>
      <c r="L16719" s="31" t="str">
        <f t="shared" si="1615"/>
        <v>Lima Puluh Tiga</v>
      </c>
    </row>
    <row r="16720" spans="1:12">
      <c r="J16720" s="31">
        <v>54</v>
      </c>
      <c r="K16720" s="33" t="s">
        <v>127</v>
      </c>
      <c r="L16720" s="31" t="str">
        <f t="shared" si="1615"/>
        <v>Lima Puluh Empat</v>
      </c>
    </row>
    <row r="16721" spans="10:12">
      <c r="J16721" s="31">
        <v>55</v>
      </c>
      <c r="K16721" s="33" t="s">
        <v>128</v>
      </c>
      <c r="L16721" s="31" t="str">
        <f t="shared" si="1615"/>
        <v>Lima Puluh Lima</v>
      </c>
    </row>
    <row r="16722" spans="10:12">
      <c r="J16722" s="31">
        <v>56</v>
      </c>
      <c r="K16722" s="33" t="s">
        <v>129</v>
      </c>
      <c r="L16722" s="31" t="str">
        <f t="shared" si="1615"/>
        <v>Lima Puluh Enam</v>
      </c>
    </row>
    <row r="16723" spans="10:12">
      <c r="J16723" s="31">
        <v>57</v>
      </c>
      <c r="K16723" s="33" t="s">
        <v>130</v>
      </c>
      <c r="L16723" s="31" t="str">
        <f t="shared" si="1615"/>
        <v>Lima Puluh Tujuh</v>
      </c>
    </row>
    <row r="16724" spans="10:12">
      <c r="J16724" s="31">
        <v>58</v>
      </c>
      <c r="K16724" s="33" t="s">
        <v>131</v>
      </c>
      <c r="L16724" s="31" t="str">
        <f t="shared" si="1615"/>
        <v>Lima Puluh Delapan</v>
      </c>
    </row>
    <row r="16725" spans="10:12">
      <c r="J16725" s="31">
        <v>59</v>
      </c>
      <c r="K16725" s="33" t="s">
        <v>132</v>
      </c>
      <c r="L16725" s="31" t="str">
        <f t="shared" si="1615"/>
        <v>Lima Puluh Sembilan</v>
      </c>
    </row>
    <row r="16726" spans="10:12">
      <c r="J16726" s="31">
        <v>60</v>
      </c>
      <c r="K16726" s="33" t="s">
        <v>133</v>
      </c>
      <c r="L16726" s="31" t="s">
        <v>134</v>
      </c>
    </row>
    <row r="16727" spans="10:12">
      <c r="J16727" s="31">
        <v>61</v>
      </c>
      <c r="K16727" s="33" t="s">
        <v>135</v>
      </c>
      <c r="L16727" s="31" t="str">
        <f t="shared" ref="L16727:L16735" si="1616">$L$63&amp;" "&amp;L16667</f>
        <v>Enam Puluh Satu</v>
      </c>
    </row>
    <row r="16728" spans="10:12">
      <c r="J16728" s="31">
        <v>62</v>
      </c>
      <c r="K16728" s="33" t="s">
        <v>136</v>
      </c>
      <c r="L16728" s="31" t="str">
        <f t="shared" si="1616"/>
        <v>Enam Puluh Dua</v>
      </c>
    </row>
    <row r="16729" spans="10:12">
      <c r="J16729" s="31">
        <v>63</v>
      </c>
      <c r="K16729" s="33" t="s">
        <v>137</v>
      </c>
      <c r="L16729" s="31" t="str">
        <f t="shared" si="1616"/>
        <v>Enam Puluh Tiga</v>
      </c>
    </row>
    <row r="16730" spans="10:12">
      <c r="J16730" s="31">
        <v>64</v>
      </c>
      <c r="K16730" s="33" t="s">
        <v>138</v>
      </c>
      <c r="L16730" s="31" t="str">
        <f t="shared" si="1616"/>
        <v>Enam Puluh Empat</v>
      </c>
    </row>
    <row r="16731" spans="10:12">
      <c r="J16731" s="31">
        <v>65</v>
      </c>
      <c r="K16731" s="33" t="s">
        <v>139</v>
      </c>
      <c r="L16731" s="31" t="str">
        <f t="shared" si="1616"/>
        <v>Enam Puluh Lima</v>
      </c>
    </row>
    <row r="16732" spans="10:12">
      <c r="J16732" s="31">
        <v>66</v>
      </c>
      <c r="K16732" s="33" t="s">
        <v>140</v>
      </c>
      <c r="L16732" s="31" t="str">
        <f t="shared" si="1616"/>
        <v>Enam Puluh Enam</v>
      </c>
    </row>
    <row r="16733" spans="10:12">
      <c r="J16733" s="31">
        <v>67</v>
      </c>
      <c r="K16733" s="33" t="s">
        <v>141</v>
      </c>
      <c r="L16733" s="31" t="str">
        <f t="shared" si="1616"/>
        <v>Enam Puluh Tujuh</v>
      </c>
    </row>
    <row r="16734" spans="10:12">
      <c r="J16734" s="31">
        <v>68</v>
      </c>
      <c r="K16734" s="33" t="s">
        <v>142</v>
      </c>
      <c r="L16734" s="31" t="str">
        <f t="shared" si="1616"/>
        <v>Enam Puluh Delapan</v>
      </c>
    </row>
    <row r="16735" spans="10:12">
      <c r="J16735" s="31">
        <v>69</v>
      </c>
      <c r="K16735" s="33" t="s">
        <v>143</v>
      </c>
      <c r="L16735" s="31" t="str">
        <f t="shared" si="1616"/>
        <v>Enam Puluh Sembilan</v>
      </c>
    </row>
    <row r="16736" spans="10:12">
      <c r="J16736" s="31">
        <v>70</v>
      </c>
      <c r="K16736" s="33" t="s">
        <v>144</v>
      </c>
      <c r="L16736" s="31" t="s">
        <v>145</v>
      </c>
    </row>
    <row r="16737" spans="10:12">
      <c r="J16737" s="31">
        <v>71</v>
      </c>
      <c r="K16737" s="33" t="s">
        <v>146</v>
      </c>
      <c r="L16737" s="31" t="str">
        <f t="shared" ref="L16737:L16745" si="1617">$L$73&amp;" "&amp;L16667</f>
        <v>Tujuh Puluh Satu</v>
      </c>
    </row>
    <row r="16738" spans="10:12">
      <c r="J16738" s="31">
        <v>72</v>
      </c>
      <c r="K16738" s="33" t="s">
        <v>147</v>
      </c>
      <c r="L16738" s="31" t="str">
        <f t="shared" si="1617"/>
        <v>Tujuh Puluh Dua</v>
      </c>
    </row>
    <row r="16739" spans="10:12">
      <c r="J16739" s="31">
        <v>73</v>
      </c>
      <c r="K16739" s="33" t="s">
        <v>148</v>
      </c>
      <c r="L16739" s="31" t="str">
        <f t="shared" si="1617"/>
        <v>Tujuh Puluh Tiga</v>
      </c>
    </row>
    <row r="16740" spans="10:12">
      <c r="J16740" s="31">
        <v>74</v>
      </c>
      <c r="K16740" s="33" t="s">
        <v>149</v>
      </c>
      <c r="L16740" s="31" t="str">
        <f t="shared" si="1617"/>
        <v>Tujuh Puluh Empat</v>
      </c>
    </row>
    <row r="16741" spans="10:12">
      <c r="J16741" s="31">
        <v>75</v>
      </c>
      <c r="K16741" s="33" t="s">
        <v>150</v>
      </c>
      <c r="L16741" s="31" t="str">
        <f t="shared" si="1617"/>
        <v>Tujuh Puluh Lima</v>
      </c>
    </row>
    <row r="16742" spans="10:12">
      <c r="J16742" s="31">
        <v>76</v>
      </c>
      <c r="K16742" s="33" t="s">
        <v>151</v>
      </c>
      <c r="L16742" s="31" t="str">
        <f t="shared" si="1617"/>
        <v>Tujuh Puluh Enam</v>
      </c>
    </row>
    <row r="16743" spans="10:12">
      <c r="J16743" s="31">
        <v>77</v>
      </c>
      <c r="K16743" s="33" t="s">
        <v>152</v>
      </c>
      <c r="L16743" s="31" t="str">
        <f t="shared" si="1617"/>
        <v>Tujuh Puluh Tujuh</v>
      </c>
    </row>
    <row r="16744" spans="10:12">
      <c r="J16744" s="31">
        <v>78</v>
      </c>
      <c r="K16744" s="33" t="s">
        <v>153</v>
      </c>
      <c r="L16744" s="31" t="str">
        <f t="shared" si="1617"/>
        <v>Tujuh Puluh Delapan</v>
      </c>
    </row>
    <row r="16745" spans="10:12">
      <c r="J16745" s="31">
        <v>79</v>
      </c>
      <c r="K16745" s="33" t="s">
        <v>154</v>
      </c>
      <c r="L16745" s="31" t="str">
        <f t="shared" si="1617"/>
        <v>Tujuh Puluh Sembilan</v>
      </c>
    </row>
    <row r="16746" spans="10:12">
      <c r="J16746" s="31">
        <v>80</v>
      </c>
      <c r="K16746" s="33" t="s">
        <v>155</v>
      </c>
      <c r="L16746" s="31" t="s">
        <v>156</v>
      </c>
    </row>
    <row r="16747" spans="10:12">
      <c r="J16747" s="31">
        <v>81</v>
      </c>
      <c r="K16747" s="33" t="s">
        <v>157</v>
      </c>
      <c r="L16747" s="31" t="str">
        <f t="shared" ref="L16747:L16755" si="1618">$L$83&amp;" "&amp;L16667</f>
        <v>Delapan Puluh Satu</v>
      </c>
    </row>
    <row r="16748" spans="10:12">
      <c r="J16748" s="31">
        <v>82</v>
      </c>
      <c r="K16748" s="33" t="s">
        <v>158</v>
      </c>
      <c r="L16748" s="31" t="str">
        <f t="shared" si="1618"/>
        <v>Delapan Puluh Dua</v>
      </c>
    </row>
    <row r="16749" spans="10:12">
      <c r="J16749" s="31">
        <v>83</v>
      </c>
      <c r="K16749" s="33" t="s">
        <v>159</v>
      </c>
      <c r="L16749" s="31" t="str">
        <f t="shared" si="1618"/>
        <v>Delapan Puluh Tiga</v>
      </c>
    </row>
    <row r="16750" spans="10:12">
      <c r="J16750" s="31">
        <v>84</v>
      </c>
      <c r="K16750" s="33" t="s">
        <v>160</v>
      </c>
      <c r="L16750" s="31" t="str">
        <f t="shared" si="1618"/>
        <v>Delapan Puluh Empat</v>
      </c>
    </row>
    <row r="16751" spans="10:12">
      <c r="J16751" s="31">
        <v>85</v>
      </c>
      <c r="K16751" s="33" t="s">
        <v>161</v>
      </c>
      <c r="L16751" s="31" t="str">
        <f t="shared" si="1618"/>
        <v>Delapan Puluh Lima</v>
      </c>
    </row>
    <row r="16752" spans="10:12">
      <c r="J16752" s="31">
        <v>86</v>
      </c>
      <c r="K16752" s="33" t="s">
        <v>162</v>
      </c>
      <c r="L16752" s="31" t="str">
        <f t="shared" si="1618"/>
        <v>Delapan Puluh Enam</v>
      </c>
    </row>
    <row r="16753" spans="1:12">
      <c r="J16753" s="31">
        <v>87</v>
      </c>
      <c r="K16753" s="33" t="s">
        <v>163</v>
      </c>
      <c r="L16753" s="31" t="str">
        <f t="shared" si="1618"/>
        <v>Delapan Puluh Tujuh</v>
      </c>
    </row>
    <row r="16754" spans="1:12">
      <c r="J16754" s="31">
        <v>88</v>
      </c>
      <c r="K16754" s="33" t="s">
        <v>164</v>
      </c>
      <c r="L16754" s="31" t="str">
        <f t="shared" si="1618"/>
        <v>Delapan Puluh Delapan</v>
      </c>
    </row>
    <row r="16755" spans="1:12">
      <c r="J16755" s="31">
        <v>89</v>
      </c>
      <c r="K16755" s="33" t="s">
        <v>165</v>
      </c>
      <c r="L16755" s="31" t="str">
        <f t="shared" si="1618"/>
        <v>Delapan Puluh Sembilan</v>
      </c>
    </row>
    <row r="16756" spans="1:12">
      <c r="J16756" s="31">
        <v>90</v>
      </c>
      <c r="K16756" s="33" t="s">
        <v>166</v>
      </c>
      <c r="L16756" s="31" t="s">
        <v>167</v>
      </c>
    </row>
    <row r="16757" spans="1:12">
      <c r="J16757" s="31">
        <v>91</v>
      </c>
      <c r="K16757" s="33" t="s">
        <v>168</v>
      </c>
      <c r="L16757" s="31" t="str">
        <f t="shared" ref="L16757:L16765" si="1619">$L$93&amp;" "&amp;L16667</f>
        <v>Sembilan Puluh Satu</v>
      </c>
    </row>
    <row r="16758" spans="1:12">
      <c r="J16758" s="31">
        <v>92</v>
      </c>
      <c r="K16758" s="33" t="s">
        <v>169</v>
      </c>
      <c r="L16758" s="31" t="str">
        <f t="shared" si="1619"/>
        <v>Sembilan Puluh Dua</v>
      </c>
    </row>
    <row r="16759" spans="1:12">
      <c r="J16759" s="31">
        <v>93</v>
      </c>
      <c r="K16759" s="33" t="s">
        <v>170</v>
      </c>
      <c r="L16759" s="31" t="str">
        <f t="shared" si="1619"/>
        <v>Sembilan Puluh Tiga</v>
      </c>
    </row>
    <row r="16760" spans="1:12">
      <c r="J16760" s="31">
        <v>94</v>
      </c>
      <c r="K16760" s="33" t="s">
        <v>171</v>
      </c>
      <c r="L16760" s="31" t="str">
        <f t="shared" si="1619"/>
        <v>Sembilan Puluh Empat</v>
      </c>
    </row>
    <row r="16761" spans="1:12">
      <c r="J16761" s="31">
        <v>95</v>
      </c>
      <c r="K16761" s="33" t="s">
        <v>172</v>
      </c>
      <c r="L16761" s="31" t="str">
        <f t="shared" si="1619"/>
        <v>Sembilan Puluh Lima</v>
      </c>
    </row>
    <row r="16762" spans="1:12">
      <c r="J16762" s="31">
        <v>96</v>
      </c>
      <c r="K16762" s="33" t="s">
        <v>173</v>
      </c>
      <c r="L16762" s="31" t="str">
        <f t="shared" si="1619"/>
        <v>Sembilan Puluh Enam</v>
      </c>
    </row>
    <row r="16763" spans="1:12">
      <c r="J16763" s="31">
        <v>97</v>
      </c>
      <c r="K16763" s="33" t="s">
        <v>174</v>
      </c>
      <c r="L16763" s="31" t="str">
        <f t="shared" si="1619"/>
        <v>Sembilan Puluh Tujuh</v>
      </c>
    </row>
    <row r="16764" spans="1:12">
      <c r="J16764" s="31">
        <v>98</v>
      </c>
      <c r="K16764" s="33" t="s">
        <v>175</v>
      </c>
      <c r="L16764" s="31" t="str">
        <f t="shared" si="1619"/>
        <v>Sembilan Puluh Delapan</v>
      </c>
    </row>
    <row r="16765" spans="1:12">
      <c r="J16765" s="31">
        <v>99</v>
      </c>
      <c r="K16765" s="33" t="s">
        <v>176</v>
      </c>
      <c r="L16765" s="31" t="str">
        <f t="shared" si="1619"/>
        <v>Sembilan Puluh Sembilan</v>
      </c>
    </row>
    <row r="16767" spans="1:12">
      <c r="A16767" s="30" t="e">
        <f>#REF!</f>
        <v>#REF!</v>
      </c>
      <c r="C16767" s="31" t="s">
        <v>398</v>
      </c>
    </row>
    <row r="16768" spans="1:12">
      <c r="A16768" s="32"/>
    </row>
    <row r="16769" spans="1:12">
      <c r="J16769" s="31">
        <v>0</v>
      </c>
      <c r="K16769" s="33" t="s">
        <v>48</v>
      </c>
      <c r="L16769" s="31" t="s">
        <v>49</v>
      </c>
    </row>
    <row r="16770" spans="1:12">
      <c r="A16770" s="34"/>
      <c r="J16770" s="31">
        <v>1</v>
      </c>
      <c r="K16770" s="33" t="s">
        <v>50</v>
      </c>
      <c r="L16770" s="31" t="s">
        <v>51</v>
      </c>
    </row>
    <row r="16771" spans="1:12">
      <c r="A16771" s="255" t="e">
        <f>TRIM(D16779&amp;E16779&amp;D16780&amp;E16780&amp;D16781&amp;E16781&amp;D16782&amp;E16782&amp;D16783&amp;E16783&amp;D16784&amp;E16784&amp;E16785&amp;D16785&amp;" Only")</f>
        <v>#REF!</v>
      </c>
      <c r="B16771" s="255"/>
      <c r="C16771" s="255"/>
      <c r="D16771" s="255"/>
      <c r="E16771" s="35"/>
      <c r="F16771" s="36"/>
      <c r="J16771" s="31">
        <v>2</v>
      </c>
      <c r="K16771" s="33" t="s">
        <v>52</v>
      </c>
      <c r="L16771" s="31" t="s">
        <v>53</v>
      </c>
    </row>
    <row r="16772" spans="1:12">
      <c r="A16772" s="124"/>
      <c r="B16772" s="124"/>
      <c r="C16772" s="124"/>
      <c r="D16772" s="124"/>
      <c r="E16772" s="35"/>
      <c r="F16772" s="36"/>
      <c r="J16772" s="31">
        <v>3</v>
      </c>
      <c r="K16772" s="33" t="s">
        <v>54</v>
      </c>
      <c r="L16772" s="31" t="s">
        <v>55</v>
      </c>
    </row>
    <row r="16773" spans="1:12">
      <c r="A16773" s="124"/>
      <c r="B16773" s="124"/>
      <c r="C16773" s="124"/>
      <c r="D16773" s="124"/>
      <c r="J16773" s="31">
        <v>4</v>
      </c>
      <c r="K16773" s="33" t="s">
        <v>56</v>
      </c>
      <c r="L16773" s="31" t="s">
        <v>57</v>
      </c>
    </row>
    <row r="16774" spans="1:12">
      <c r="A16774" s="255" t="e">
        <f>TRIM(D16789&amp;E16789&amp;D16790&amp;E16790&amp;D16791&amp;E16791&amp;D16792&amp;E16792&amp;D16793&amp;E16793&amp;D16794&amp;E16794&amp;D16795&amp;E16795&amp;" Rupiah")</f>
        <v>#REF!</v>
      </c>
      <c r="B16774" s="255"/>
      <c r="C16774" s="255"/>
      <c r="D16774" s="255"/>
      <c r="E16774" s="35"/>
      <c r="F16774" s="36"/>
      <c r="J16774" s="31">
        <v>5</v>
      </c>
      <c r="K16774" s="33" t="s">
        <v>58</v>
      </c>
      <c r="L16774" s="31" t="s">
        <v>59</v>
      </c>
    </row>
    <row r="16775" spans="1:12">
      <c r="A16775" s="35"/>
      <c r="B16775" s="35"/>
      <c r="C16775" s="35"/>
      <c r="D16775" s="35"/>
      <c r="E16775" s="35"/>
      <c r="F16775" s="36"/>
      <c r="J16775" s="31">
        <v>6</v>
      </c>
      <c r="K16775" s="33" t="s">
        <v>60</v>
      </c>
      <c r="L16775" s="31" t="s">
        <v>61</v>
      </c>
    </row>
    <row r="16776" spans="1:12">
      <c r="J16776" s="31">
        <v>7</v>
      </c>
      <c r="K16776" s="33" t="s">
        <v>62</v>
      </c>
      <c r="L16776" s="31" t="s">
        <v>63</v>
      </c>
    </row>
    <row r="16777" spans="1:12">
      <c r="J16777" s="31">
        <v>8</v>
      </c>
      <c r="K16777" s="33" t="s">
        <v>64</v>
      </c>
      <c r="L16777" s="31" t="s">
        <v>65</v>
      </c>
    </row>
    <row r="16778" spans="1:12">
      <c r="A16778" s="38" t="s">
        <v>66</v>
      </c>
      <c r="J16778" s="31">
        <v>9</v>
      </c>
      <c r="K16778" s="33" t="s">
        <v>67</v>
      </c>
      <c r="L16778" s="31" t="s">
        <v>68</v>
      </c>
    </row>
    <row r="16779" spans="1:12">
      <c r="A16779" s="31" t="s">
        <v>69</v>
      </c>
      <c r="B16779" s="39" t="e">
        <f>TRUNC(A16767/100000000)</f>
        <v>#REF!</v>
      </c>
      <c r="C16779" s="31" t="e">
        <f>B16779*100000000</f>
        <v>#REF!</v>
      </c>
      <c r="D16779" s="31" t="e">
        <f t="shared" ref="D16779:D16785" si="1620">IF(B16779&lt;1,"",VLOOKUP(B16779,$J$3:$K$102,2))</f>
        <v>#REF!</v>
      </c>
      <c r="E16779" s="31" t="e">
        <f>IF(B16779&lt;1,"",IF(B16779&gt;1," Hundreds "," Hundred "))</f>
        <v>#REF!</v>
      </c>
      <c r="J16779" s="31">
        <v>10</v>
      </c>
      <c r="K16779" s="33" t="s">
        <v>70</v>
      </c>
      <c r="L16779" s="31" t="s">
        <v>71</v>
      </c>
    </row>
    <row r="16780" spans="1:12">
      <c r="A16780" s="31" t="s">
        <v>72</v>
      </c>
      <c r="B16780" s="39" t="e">
        <f>TRUNC((A16767-C16779)/1000000)</f>
        <v>#REF!</v>
      </c>
      <c r="C16780" s="31" t="e">
        <f>B16780*1000000</f>
        <v>#REF!</v>
      </c>
      <c r="D16780" s="31" t="e">
        <f t="shared" si="1620"/>
        <v>#REF!</v>
      </c>
      <c r="E16780" s="31" t="e">
        <f>IF(B16779+B16780=0,"",IF(B16780=1," Million "," Millions "))</f>
        <v>#REF!</v>
      </c>
      <c r="J16780" s="31">
        <v>11</v>
      </c>
      <c r="K16780" s="33" t="s">
        <v>73</v>
      </c>
      <c r="L16780" s="31" t="s">
        <v>74</v>
      </c>
    </row>
    <row r="16781" spans="1:12">
      <c r="A16781" s="31" t="s">
        <v>75</v>
      </c>
      <c r="B16781" s="39" t="e">
        <f>TRUNC((A16767-SUM(C16779:C16780))/100000)</f>
        <v>#REF!</v>
      </c>
      <c r="C16781" s="31" t="e">
        <f>B16781*100000</f>
        <v>#REF!</v>
      </c>
      <c r="D16781" s="31" t="e">
        <f t="shared" si="1620"/>
        <v>#REF!</v>
      </c>
      <c r="E16781" s="31" t="e">
        <f>IF(B16781&lt;1,"",IF(B16781&gt;1," Hundreds "," Hundred "))</f>
        <v>#REF!</v>
      </c>
      <c r="J16781" s="31">
        <v>12</v>
      </c>
      <c r="K16781" s="33" t="s">
        <v>76</v>
      </c>
      <c r="L16781" s="31" t="str">
        <f t="shared" ref="L16781:L16788" si="1621">L16771&amp;" Belas"</f>
        <v>Dua Belas</v>
      </c>
    </row>
    <row r="16782" spans="1:12">
      <c r="A16782" s="33" t="s">
        <v>77</v>
      </c>
      <c r="B16782" s="40" t="e">
        <f>TRUNC((A16767-SUM(C16779:C16781))/1000)</f>
        <v>#REF!</v>
      </c>
      <c r="C16782" s="31" t="e">
        <f>B16782*1000</f>
        <v>#REF!</v>
      </c>
      <c r="D16782" s="31" t="e">
        <f t="shared" si="1620"/>
        <v>#REF!</v>
      </c>
      <c r="E16782" s="31" t="e">
        <f>IF(B16781+B16782=0,"",IF(B16782=1," Thousand "," Thousands "))</f>
        <v>#REF!</v>
      </c>
      <c r="J16782" s="31">
        <v>13</v>
      </c>
      <c r="K16782" s="33" t="s">
        <v>78</v>
      </c>
      <c r="L16782" s="31" t="str">
        <f t="shared" si="1621"/>
        <v>Tiga Belas</v>
      </c>
    </row>
    <row r="16783" spans="1:12">
      <c r="A16783" s="33" t="s">
        <v>79</v>
      </c>
      <c r="B16783" s="40" t="e">
        <f>TRUNC((A16767-SUM(C16779:C16782))/100)</f>
        <v>#REF!</v>
      </c>
      <c r="C16783" s="31" t="e">
        <f>B16783*100</f>
        <v>#REF!</v>
      </c>
      <c r="D16783" s="31" t="e">
        <f t="shared" si="1620"/>
        <v>#REF!</v>
      </c>
      <c r="E16783" s="31" t="e">
        <f>IF(B16783&lt;1,"",IF(B16783&gt;1," Hundreds "," Hundred "))</f>
        <v>#REF!</v>
      </c>
      <c r="J16783" s="31">
        <v>14</v>
      </c>
      <c r="K16783" s="33" t="s">
        <v>80</v>
      </c>
      <c r="L16783" s="31" t="str">
        <f t="shared" si="1621"/>
        <v>Empat Belas</v>
      </c>
    </row>
    <row r="16784" spans="1:12">
      <c r="A16784" s="33" t="s">
        <v>81</v>
      </c>
      <c r="B16784" s="41" t="e">
        <f>TRUNC((A16767-SUM(C16779:C16783)))</f>
        <v>#REF!</v>
      </c>
      <c r="C16784" s="42" t="e">
        <f>B16784</f>
        <v>#REF!</v>
      </c>
      <c r="D16784" s="31" t="e">
        <f t="shared" si="1620"/>
        <v>#REF!</v>
      </c>
      <c r="E16784" s="31" t="e">
        <f>IF(SUM(C16779:C16784)&lt;1,"",IF(B16785&lt;1,""," And "))</f>
        <v>#REF!</v>
      </c>
      <c r="J16784" s="31">
        <v>15</v>
      </c>
      <c r="K16784" s="33" t="s">
        <v>82</v>
      </c>
      <c r="L16784" s="31" t="str">
        <f t="shared" si="1621"/>
        <v>Lima Belas</v>
      </c>
    </row>
    <row r="16785" spans="1:12">
      <c r="A16785" s="33" t="s">
        <v>83</v>
      </c>
      <c r="B16785" s="40" t="e">
        <f>ROUND(A16767-SUM(C16779:C16784),2)*100</f>
        <v>#REF!</v>
      </c>
      <c r="D16785" s="43" t="e">
        <f t="shared" si="1620"/>
        <v>#REF!</v>
      </c>
      <c r="E16785" s="31" t="e">
        <f>IF(B16785&lt;1,"",IF(B16785=1," Cent "," Cents "))</f>
        <v>#REF!</v>
      </c>
      <c r="J16785" s="31">
        <v>16</v>
      </c>
      <c r="K16785" s="33" t="s">
        <v>84</v>
      </c>
      <c r="L16785" s="31" t="str">
        <f t="shared" si="1621"/>
        <v>Enam Belas</v>
      </c>
    </row>
    <row r="16786" spans="1:12">
      <c r="J16786" s="31">
        <v>17</v>
      </c>
      <c r="K16786" s="33" t="s">
        <v>85</v>
      </c>
      <c r="L16786" s="31" t="str">
        <f t="shared" si="1621"/>
        <v>Tujuh Belas</v>
      </c>
    </row>
    <row r="16787" spans="1:12">
      <c r="A16787" s="44"/>
      <c r="J16787" s="31">
        <v>18</v>
      </c>
      <c r="K16787" s="33" t="s">
        <v>86</v>
      </c>
      <c r="L16787" s="31" t="str">
        <f t="shared" si="1621"/>
        <v>Delapan Belas</v>
      </c>
    </row>
    <row r="16788" spans="1:12">
      <c r="A16788" s="38" t="s">
        <v>87</v>
      </c>
      <c r="J16788" s="31">
        <v>19</v>
      </c>
      <c r="K16788" s="33" t="s">
        <v>88</v>
      </c>
      <c r="L16788" s="31" t="str">
        <f t="shared" si="1621"/>
        <v>Sembilan Belas</v>
      </c>
    </row>
    <row r="16789" spans="1:12">
      <c r="A16789" s="31" t="s">
        <v>69</v>
      </c>
      <c r="B16789" s="39" t="e">
        <f>TRUNC(A16767/100000000)</f>
        <v>#REF!</v>
      </c>
      <c r="C16789" s="31" t="e">
        <f>B16789*100000000</f>
        <v>#REF!</v>
      </c>
      <c r="D16789" s="31" t="e">
        <f>IF(B16789&lt;1,"",IF(B16789=1,"",VLOOKUP(B16789,$J$3:$L$102,3)))</f>
        <v>#REF!</v>
      </c>
      <c r="E16789" s="31" t="e">
        <f>IF(B16789&lt;1,"",IF(B16789=1,"Seratus "," Ratus "))</f>
        <v>#REF!</v>
      </c>
      <c r="J16789" s="31">
        <v>20</v>
      </c>
      <c r="K16789" s="33" t="s">
        <v>89</v>
      </c>
      <c r="L16789" s="31" t="s">
        <v>90</v>
      </c>
    </row>
    <row r="16790" spans="1:12">
      <c r="A16790" s="31" t="s">
        <v>72</v>
      </c>
      <c r="B16790" s="39" t="e">
        <f>TRUNC((A16767-C16789)/1000000)</f>
        <v>#REF!</v>
      </c>
      <c r="C16790" s="31" t="e">
        <f>B16790*1000000</f>
        <v>#REF!</v>
      </c>
      <c r="D16790" s="31" t="e">
        <f>IF(B16790&lt;1,"",VLOOKUP(B16790,$J$3:$L$102,3))</f>
        <v>#REF!</v>
      </c>
      <c r="E16790" s="31" t="e">
        <f>IF(B16789+B16790=0,""," Juta ")</f>
        <v>#REF!</v>
      </c>
      <c r="J16790" s="31">
        <v>21</v>
      </c>
      <c r="K16790" s="33" t="s">
        <v>91</v>
      </c>
      <c r="L16790" s="31" t="str">
        <f t="shared" ref="L16790:L16798" si="1622">$L$23&amp;" "&amp;L16770</f>
        <v>Dua Puluh Satu</v>
      </c>
    </row>
    <row r="16791" spans="1:12">
      <c r="A16791" s="31" t="s">
        <v>75</v>
      </c>
      <c r="B16791" s="39" t="e">
        <f>TRUNC((A16767-SUM(C16789:C16790))/100000)</f>
        <v>#REF!</v>
      </c>
      <c r="C16791" s="31" t="e">
        <f>B16791*100000</f>
        <v>#REF!</v>
      </c>
      <c r="D16791" s="31" t="e">
        <f>IF(B16791&lt;1,"",IF(B16791=1,"",VLOOKUP(B16791,$J$3:$L$102,3)))</f>
        <v>#REF!</v>
      </c>
      <c r="E16791" s="31" t="e">
        <f>IF(B16791&lt;1,"",IF(B16791=1," Seratus "," Ratus "))</f>
        <v>#REF!</v>
      </c>
      <c r="J16791" s="31">
        <v>22</v>
      </c>
      <c r="K16791" s="33" t="s">
        <v>92</v>
      </c>
      <c r="L16791" s="31" t="str">
        <f t="shared" si="1622"/>
        <v>Dua Puluh Dua</v>
      </c>
    </row>
    <row r="16792" spans="1:12">
      <c r="A16792" s="33" t="s">
        <v>77</v>
      </c>
      <c r="B16792" s="40" t="e">
        <f>TRUNC((A16767-SUM(C16789:C16791))/1000)</f>
        <v>#REF!</v>
      </c>
      <c r="C16792" s="31" t="e">
        <f>B16792*1000</f>
        <v>#REF!</v>
      </c>
      <c r="D16792" s="31" t="e">
        <f>IF(B16792&lt;1,"",IF(B16792=1,"",VLOOKUP(B16792,$J$3:$L$102,3)))</f>
        <v>#REF!</v>
      </c>
      <c r="E16792" s="31" t="e">
        <f>IF(B16791+B16792&lt;1,"",IF(B16792=1," Seribu "," Ribu "))</f>
        <v>#REF!</v>
      </c>
      <c r="J16792" s="31">
        <v>23</v>
      </c>
      <c r="K16792" s="33" t="s">
        <v>93</v>
      </c>
      <c r="L16792" s="31" t="str">
        <f t="shared" si="1622"/>
        <v>Dua Puluh Tiga</v>
      </c>
    </row>
    <row r="16793" spans="1:12">
      <c r="A16793" s="33" t="s">
        <v>79</v>
      </c>
      <c r="B16793" s="40" t="e">
        <f>TRUNC((A16767-SUM(C16789:C16792))/100)</f>
        <v>#REF!</v>
      </c>
      <c r="C16793" s="31" t="e">
        <f>B16793*100</f>
        <v>#REF!</v>
      </c>
      <c r="D16793" s="31" t="e">
        <f>IF(B16793&lt;1,"",IF(B16793=1,"",VLOOKUP(B16793,$J$3:$L$102,3)))</f>
        <v>#REF!</v>
      </c>
      <c r="E16793" s="31" t="e">
        <f>IF(B16793&lt;1,"",IF(B16793=1," Seratus "," Ratus "))</f>
        <v>#REF!</v>
      </c>
      <c r="J16793" s="31">
        <v>24</v>
      </c>
      <c r="K16793" s="33" t="s">
        <v>94</v>
      </c>
      <c r="L16793" s="31" t="str">
        <f t="shared" si="1622"/>
        <v>Dua Puluh Empat</v>
      </c>
    </row>
    <row r="16794" spans="1:12">
      <c r="A16794" s="33" t="s">
        <v>81</v>
      </c>
      <c r="B16794" s="41" t="e">
        <f>TRUNC((A16767-SUM(C16789:C16793)))</f>
        <v>#REF!</v>
      </c>
      <c r="C16794" s="42" t="e">
        <f>B16794</f>
        <v>#REF!</v>
      </c>
      <c r="D16794" s="31" t="e">
        <f>IF(B16794&lt;1,"",VLOOKUP(B16794,$J$3:$L$102,3))</f>
        <v>#REF!</v>
      </c>
      <c r="E16794" s="31" t="e">
        <f>IF(SUM(C16789:C16794)&lt;1,"",IF(B16795&lt;1,""," Dan "))</f>
        <v>#REF!</v>
      </c>
      <c r="J16794" s="31">
        <v>25</v>
      </c>
      <c r="K16794" s="33" t="s">
        <v>95</v>
      </c>
      <c r="L16794" s="31" t="str">
        <f t="shared" si="1622"/>
        <v>Dua Puluh Lima</v>
      </c>
    </row>
    <row r="16795" spans="1:12">
      <c r="A16795" s="33" t="s">
        <v>83</v>
      </c>
      <c r="B16795" s="40" t="e">
        <f>ROUND(A16767-SUM(C16789:C16794),2)*100</f>
        <v>#REF!</v>
      </c>
      <c r="D16795" s="31" t="e">
        <f>IF(B16795&lt;1,"",VLOOKUP(B16795,$J$3:$L$102,3))</f>
        <v>#REF!</v>
      </c>
      <c r="E16795" s="31" t="e">
        <f>IF(B16795&lt;1,""," Sen ")</f>
        <v>#REF!</v>
      </c>
      <c r="J16795" s="31">
        <v>26</v>
      </c>
      <c r="K16795" s="33" t="s">
        <v>96</v>
      </c>
      <c r="L16795" s="31" t="str">
        <f t="shared" si="1622"/>
        <v>Dua Puluh Enam</v>
      </c>
    </row>
    <row r="16796" spans="1:12">
      <c r="J16796" s="31">
        <v>27</v>
      </c>
      <c r="K16796" s="33" t="s">
        <v>97</v>
      </c>
      <c r="L16796" s="31" t="str">
        <f t="shared" si="1622"/>
        <v>Dua Puluh Tujuh</v>
      </c>
    </row>
    <row r="16797" spans="1:12">
      <c r="J16797" s="31">
        <v>28</v>
      </c>
      <c r="K16797" s="33" t="s">
        <v>98</v>
      </c>
      <c r="L16797" s="31" t="str">
        <f t="shared" si="1622"/>
        <v>Dua Puluh Delapan</v>
      </c>
    </row>
    <row r="16798" spans="1:12">
      <c r="J16798" s="31">
        <v>29</v>
      </c>
      <c r="K16798" s="33" t="s">
        <v>99</v>
      </c>
      <c r="L16798" s="31" t="str">
        <f t="shared" si="1622"/>
        <v>Dua Puluh Sembilan</v>
      </c>
    </row>
    <row r="16799" spans="1:12">
      <c r="J16799" s="31">
        <v>30</v>
      </c>
      <c r="K16799" s="33" t="s">
        <v>100</v>
      </c>
      <c r="L16799" s="31" t="s">
        <v>101</v>
      </c>
    </row>
    <row r="16800" spans="1:12">
      <c r="J16800" s="31">
        <v>31</v>
      </c>
      <c r="K16800" s="33" t="s">
        <v>102</v>
      </c>
      <c r="L16800" s="31" t="str">
        <f t="shared" ref="L16800:L16808" si="1623">$L$33&amp;" "&amp;L16770</f>
        <v>Tiga Puluh Satu</v>
      </c>
    </row>
    <row r="16801" spans="1:12">
      <c r="J16801" s="31">
        <v>32</v>
      </c>
      <c r="K16801" s="33" t="s">
        <v>103</v>
      </c>
      <c r="L16801" s="31" t="str">
        <f t="shared" si="1623"/>
        <v>Tiga Puluh Dua</v>
      </c>
    </row>
    <row r="16802" spans="1:12">
      <c r="J16802" s="31">
        <v>33</v>
      </c>
      <c r="K16802" s="33" t="s">
        <v>104</v>
      </c>
      <c r="L16802" s="31" t="str">
        <f t="shared" si="1623"/>
        <v>Tiga Puluh Tiga</v>
      </c>
    </row>
    <row r="16803" spans="1:12">
      <c r="J16803" s="31">
        <v>34</v>
      </c>
      <c r="K16803" s="33" t="s">
        <v>105</v>
      </c>
      <c r="L16803" s="31" t="str">
        <f t="shared" si="1623"/>
        <v>Tiga Puluh Empat</v>
      </c>
    </row>
    <row r="16804" spans="1:12">
      <c r="J16804" s="31">
        <v>35</v>
      </c>
      <c r="K16804" s="33" t="s">
        <v>106</v>
      </c>
      <c r="L16804" s="31" t="str">
        <f t="shared" si="1623"/>
        <v>Tiga Puluh Lima</v>
      </c>
    </row>
    <row r="16805" spans="1:12">
      <c r="J16805" s="31">
        <v>36</v>
      </c>
      <c r="K16805" s="33" t="s">
        <v>107</v>
      </c>
      <c r="L16805" s="31" t="str">
        <f t="shared" si="1623"/>
        <v>Tiga Puluh Enam</v>
      </c>
    </row>
    <row r="16806" spans="1:12">
      <c r="J16806" s="31">
        <v>37</v>
      </c>
      <c r="K16806" s="33" t="s">
        <v>108</v>
      </c>
      <c r="L16806" s="31" t="str">
        <f t="shared" si="1623"/>
        <v>Tiga Puluh Tujuh</v>
      </c>
    </row>
    <row r="16807" spans="1:12">
      <c r="J16807" s="31">
        <v>38</v>
      </c>
      <c r="K16807" s="33" t="s">
        <v>109</v>
      </c>
      <c r="L16807" s="31" t="str">
        <f t="shared" si="1623"/>
        <v>Tiga Puluh Delapan</v>
      </c>
    </row>
    <row r="16808" spans="1:12">
      <c r="J16808" s="31">
        <v>39</v>
      </c>
      <c r="K16808" s="33" t="s">
        <v>110</v>
      </c>
      <c r="L16808" s="31" t="str">
        <f t="shared" si="1623"/>
        <v>Tiga Puluh Sembilan</v>
      </c>
    </row>
    <row r="16809" spans="1:12">
      <c r="B16809" s="35"/>
      <c r="C16809" s="35"/>
      <c r="D16809" s="35"/>
      <c r="J16809" s="31">
        <v>40</v>
      </c>
      <c r="K16809" s="33" t="s">
        <v>111</v>
      </c>
      <c r="L16809" s="31" t="s">
        <v>112</v>
      </c>
    </row>
    <row r="16810" spans="1:12">
      <c r="A16810" s="35"/>
      <c r="B16810" s="35"/>
      <c r="C16810" s="35"/>
      <c r="D16810" s="35"/>
      <c r="J16810" s="31">
        <v>41</v>
      </c>
      <c r="K16810" s="33" t="s">
        <v>113</v>
      </c>
      <c r="L16810" s="31" t="str">
        <f t="shared" ref="L16810:L16818" si="1624">$L$43&amp;" "&amp;L16770</f>
        <v>Empat Puluh Satu</v>
      </c>
    </row>
    <row r="16811" spans="1:12">
      <c r="J16811" s="31">
        <v>42</v>
      </c>
      <c r="K16811" s="33" t="s">
        <v>114</v>
      </c>
      <c r="L16811" s="31" t="str">
        <f t="shared" si="1624"/>
        <v>Empat Puluh Dua</v>
      </c>
    </row>
    <row r="16812" spans="1:12">
      <c r="A16812" s="38"/>
      <c r="J16812" s="31">
        <v>43</v>
      </c>
      <c r="K16812" s="33" t="s">
        <v>115</v>
      </c>
      <c r="L16812" s="31" t="str">
        <f t="shared" si="1624"/>
        <v>Empat Puluh Tiga</v>
      </c>
    </row>
    <row r="16813" spans="1:12">
      <c r="J16813" s="31">
        <v>44</v>
      </c>
      <c r="K16813" s="33" t="s">
        <v>116</v>
      </c>
      <c r="L16813" s="31" t="str">
        <f t="shared" si="1624"/>
        <v>Empat Puluh Empat</v>
      </c>
    </row>
    <row r="16814" spans="1:12">
      <c r="J16814" s="31">
        <v>45</v>
      </c>
      <c r="K16814" s="33" t="s">
        <v>117</v>
      </c>
      <c r="L16814" s="31" t="str">
        <f t="shared" si="1624"/>
        <v>Empat Puluh Lima</v>
      </c>
    </row>
    <row r="16815" spans="1:12">
      <c r="J16815" s="31">
        <v>46</v>
      </c>
      <c r="K16815" s="33" t="s">
        <v>118</v>
      </c>
      <c r="L16815" s="31" t="str">
        <f t="shared" si="1624"/>
        <v>Empat Puluh Enam</v>
      </c>
    </row>
    <row r="16816" spans="1:12">
      <c r="J16816" s="31">
        <v>47</v>
      </c>
      <c r="K16816" s="33" t="s">
        <v>119</v>
      </c>
      <c r="L16816" s="31" t="str">
        <f t="shared" si="1624"/>
        <v>Empat Puluh Tujuh</v>
      </c>
    </row>
    <row r="16817" spans="10:12">
      <c r="J16817" s="31">
        <v>48</v>
      </c>
      <c r="K16817" s="33" t="s">
        <v>120</v>
      </c>
      <c r="L16817" s="31" t="str">
        <f t="shared" si="1624"/>
        <v>Empat Puluh Delapan</v>
      </c>
    </row>
    <row r="16818" spans="10:12">
      <c r="J16818" s="31">
        <v>49</v>
      </c>
      <c r="K16818" s="33" t="s">
        <v>121</v>
      </c>
      <c r="L16818" s="31" t="str">
        <f t="shared" si="1624"/>
        <v>Empat Puluh Sembilan</v>
      </c>
    </row>
    <row r="16819" spans="10:12">
      <c r="J16819" s="31">
        <v>50</v>
      </c>
      <c r="K16819" s="33" t="s">
        <v>122</v>
      </c>
      <c r="L16819" s="31" t="s">
        <v>123</v>
      </c>
    </row>
    <row r="16820" spans="10:12">
      <c r="J16820" s="31">
        <v>51</v>
      </c>
      <c r="K16820" s="33" t="s">
        <v>124</v>
      </c>
      <c r="L16820" s="31" t="str">
        <f t="shared" ref="L16820:L16828" si="1625">$L$53&amp;" "&amp;L16770</f>
        <v>Lima Puluh Satu</v>
      </c>
    </row>
    <row r="16821" spans="10:12">
      <c r="J16821" s="31">
        <v>52</v>
      </c>
      <c r="K16821" s="33" t="s">
        <v>125</v>
      </c>
      <c r="L16821" s="31" t="str">
        <f t="shared" si="1625"/>
        <v>Lima Puluh Dua</v>
      </c>
    </row>
    <row r="16822" spans="10:12">
      <c r="J16822" s="31">
        <v>53</v>
      </c>
      <c r="K16822" s="33" t="s">
        <v>126</v>
      </c>
      <c r="L16822" s="31" t="str">
        <f t="shared" si="1625"/>
        <v>Lima Puluh Tiga</v>
      </c>
    </row>
    <row r="16823" spans="10:12">
      <c r="J16823" s="31">
        <v>54</v>
      </c>
      <c r="K16823" s="33" t="s">
        <v>127</v>
      </c>
      <c r="L16823" s="31" t="str">
        <f t="shared" si="1625"/>
        <v>Lima Puluh Empat</v>
      </c>
    </row>
    <row r="16824" spans="10:12">
      <c r="J16824" s="31">
        <v>55</v>
      </c>
      <c r="K16824" s="33" t="s">
        <v>128</v>
      </c>
      <c r="L16824" s="31" t="str">
        <f t="shared" si="1625"/>
        <v>Lima Puluh Lima</v>
      </c>
    </row>
    <row r="16825" spans="10:12">
      <c r="J16825" s="31">
        <v>56</v>
      </c>
      <c r="K16825" s="33" t="s">
        <v>129</v>
      </c>
      <c r="L16825" s="31" t="str">
        <f t="shared" si="1625"/>
        <v>Lima Puluh Enam</v>
      </c>
    </row>
    <row r="16826" spans="10:12">
      <c r="J16826" s="31">
        <v>57</v>
      </c>
      <c r="K16826" s="33" t="s">
        <v>130</v>
      </c>
      <c r="L16826" s="31" t="str">
        <f t="shared" si="1625"/>
        <v>Lima Puluh Tujuh</v>
      </c>
    </row>
    <row r="16827" spans="10:12">
      <c r="J16827" s="31">
        <v>58</v>
      </c>
      <c r="K16827" s="33" t="s">
        <v>131</v>
      </c>
      <c r="L16827" s="31" t="str">
        <f t="shared" si="1625"/>
        <v>Lima Puluh Delapan</v>
      </c>
    </row>
    <row r="16828" spans="10:12">
      <c r="J16828" s="31">
        <v>59</v>
      </c>
      <c r="K16828" s="33" t="s">
        <v>132</v>
      </c>
      <c r="L16828" s="31" t="str">
        <f t="shared" si="1625"/>
        <v>Lima Puluh Sembilan</v>
      </c>
    </row>
    <row r="16829" spans="10:12">
      <c r="J16829" s="31">
        <v>60</v>
      </c>
      <c r="K16829" s="33" t="s">
        <v>133</v>
      </c>
      <c r="L16829" s="31" t="s">
        <v>134</v>
      </c>
    </row>
    <row r="16830" spans="10:12">
      <c r="J16830" s="31">
        <v>61</v>
      </c>
      <c r="K16830" s="33" t="s">
        <v>135</v>
      </c>
      <c r="L16830" s="31" t="str">
        <f t="shared" ref="L16830:L16838" si="1626">$L$63&amp;" "&amp;L16770</f>
        <v>Enam Puluh Satu</v>
      </c>
    </row>
    <row r="16831" spans="10:12">
      <c r="J16831" s="31">
        <v>62</v>
      </c>
      <c r="K16831" s="33" t="s">
        <v>136</v>
      </c>
      <c r="L16831" s="31" t="str">
        <f t="shared" si="1626"/>
        <v>Enam Puluh Dua</v>
      </c>
    </row>
    <row r="16832" spans="10:12">
      <c r="J16832" s="31">
        <v>63</v>
      </c>
      <c r="K16832" s="33" t="s">
        <v>137</v>
      </c>
      <c r="L16832" s="31" t="str">
        <f t="shared" si="1626"/>
        <v>Enam Puluh Tiga</v>
      </c>
    </row>
    <row r="16833" spans="10:12">
      <c r="J16833" s="31">
        <v>64</v>
      </c>
      <c r="K16833" s="33" t="s">
        <v>138</v>
      </c>
      <c r="L16833" s="31" t="str">
        <f t="shared" si="1626"/>
        <v>Enam Puluh Empat</v>
      </c>
    </row>
    <row r="16834" spans="10:12">
      <c r="J16834" s="31">
        <v>65</v>
      </c>
      <c r="K16834" s="33" t="s">
        <v>139</v>
      </c>
      <c r="L16834" s="31" t="str">
        <f t="shared" si="1626"/>
        <v>Enam Puluh Lima</v>
      </c>
    </row>
    <row r="16835" spans="10:12">
      <c r="J16835" s="31">
        <v>66</v>
      </c>
      <c r="K16835" s="33" t="s">
        <v>140</v>
      </c>
      <c r="L16835" s="31" t="str">
        <f t="shared" si="1626"/>
        <v>Enam Puluh Enam</v>
      </c>
    </row>
    <row r="16836" spans="10:12">
      <c r="J16836" s="31">
        <v>67</v>
      </c>
      <c r="K16836" s="33" t="s">
        <v>141</v>
      </c>
      <c r="L16836" s="31" t="str">
        <f t="shared" si="1626"/>
        <v>Enam Puluh Tujuh</v>
      </c>
    </row>
    <row r="16837" spans="10:12">
      <c r="J16837" s="31">
        <v>68</v>
      </c>
      <c r="K16837" s="33" t="s">
        <v>142</v>
      </c>
      <c r="L16837" s="31" t="str">
        <f t="shared" si="1626"/>
        <v>Enam Puluh Delapan</v>
      </c>
    </row>
    <row r="16838" spans="10:12">
      <c r="J16838" s="31">
        <v>69</v>
      </c>
      <c r="K16838" s="33" t="s">
        <v>143</v>
      </c>
      <c r="L16838" s="31" t="str">
        <f t="shared" si="1626"/>
        <v>Enam Puluh Sembilan</v>
      </c>
    </row>
    <row r="16839" spans="10:12">
      <c r="J16839" s="31">
        <v>70</v>
      </c>
      <c r="K16839" s="33" t="s">
        <v>144</v>
      </c>
      <c r="L16839" s="31" t="s">
        <v>145</v>
      </c>
    </row>
    <row r="16840" spans="10:12">
      <c r="J16840" s="31">
        <v>71</v>
      </c>
      <c r="K16840" s="33" t="s">
        <v>146</v>
      </c>
      <c r="L16840" s="31" t="str">
        <f t="shared" ref="L16840:L16848" si="1627">$L$73&amp;" "&amp;L16770</f>
        <v>Tujuh Puluh Satu</v>
      </c>
    </row>
    <row r="16841" spans="10:12">
      <c r="J16841" s="31">
        <v>72</v>
      </c>
      <c r="K16841" s="33" t="s">
        <v>147</v>
      </c>
      <c r="L16841" s="31" t="str">
        <f t="shared" si="1627"/>
        <v>Tujuh Puluh Dua</v>
      </c>
    </row>
    <row r="16842" spans="10:12">
      <c r="J16842" s="31">
        <v>73</v>
      </c>
      <c r="K16842" s="33" t="s">
        <v>148</v>
      </c>
      <c r="L16842" s="31" t="str">
        <f t="shared" si="1627"/>
        <v>Tujuh Puluh Tiga</v>
      </c>
    </row>
    <row r="16843" spans="10:12">
      <c r="J16843" s="31">
        <v>74</v>
      </c>
      <c r="K16843" s="33" t="s">
        <v>149</v>
      </c>
      <c r="L16843" s="31" t="str">
        <f t="shared" si="1627"/>
        <v>Tujuh Puluh Empat</v>
      </c>
    </row>
    <row r="16844" spans="10:12">
      <c r="J16844" s="31">
        <v>75</v>
      </c>
      <c r="K16844" s="33" t="s">
        <v>150</v>
      </c>
      <c r="L16844" s="31" t="str">
        <f t="shared" si="1627"/>
        <v>Tujuh Puluh Lima</v>
      </c>
    </row>
    <row r="16845" spans="10:12">
      <c r="J16845" s="31">
        <v>76</v>
      </c>
      <c r="K16845" s="33" t="s">
        <v>151</v>
      </c>
      <c r="L16845" s="31" t="str">
        <f t="shared" si="1627"/>
        <v>Tujuh Puluh Enam</v>
      </c>
    </row>
    <row r="16846" spans="10:12">
      <c r="J16846" s="31">
        <v>77</v>
      </c>
      <c r="K16846" s="33" t="s">
        <v>152</v>
      </c>
      <c r="L16846" s="31" t="str">
        <f t="shared" si="1627"/>
        <v>Tujuh Puluh Tujuh</v>
      </c>
    </row>
    <row r="16847" spans="10:12">
      <c r="J16847" s="31">
        <v>78</v>
      </c>
      <c r="K16847" s="33" t="s">
        <v>153</v>
      </c>
      <c r="L16847" s="31" t="str">
        <f t="shared" si="1627"/>
        <v>Tujuh Puluh Delapan</v>
      </c>
    </row>
    <row r="16848" spans="10:12">
      <c r="J16848" s="31">
        <v>79</v>
      </c>
      <c r="K16848" s="33" t="s">
        <v>154</v>
      </c>
      <c r="L16848" s="31" t="str">
        <f t="shared" si="1627"/>
        <v>Tujuh Puluh Sembilan</v>
      </c>
    </row>
    <row r="16849" spans="10:12">
      <c r="J16849" s="31">
        <v>80</v>
      </c>
      <c r="K16849" s="33" t="s">
        <v>155</v>
      </c>
      <c r="L16849" s="31" t="s">
        <v>156</v>
      </c>
    </row>
    <row r="16850" spans="10:12">
      <c r="J16850" s="31">
        <v>81</v>
      </c>
      <c r="K16850" s="33" t="s">
        <v>157</v>
      </c>
      <c r="L16850" s="31" t="str">
        <f t="shared" ref="L16850:L16858" si="1628">$L$83&amp;" "&amp;L16770</f>
        <v>Delapan Puluh Satu</v>
      </c>
    </row>
    <row r="16851" spans="10:12">
      <c r="J16851" s="31">
        <v>82</v>
      </c>
      <c r="K16851" s="33" t="s">
        <v>158</v>
      </c>
      <c r="L16851" s="31" t="str">
        <f t="shared" si="1628"/>
        <v>Delapan Puluh Dua</v>
      </c>
    </row>
    <row r="16852" spans="10:12">
      <c r="J16852" s="31">
        <v>83</v>
      </c>
      <c r="K16852" s="33" t="s">
        <v>159</v>
      </c>
      <c r="L16852" s="31" t="str">
        <f t="shared" si="1628"/>
        <v>Delapan Puluh Tiga</v>
      </c>
    </row>
    <row r="16853" spans="10:12">
      <c r="J16853" s="31">
        <v>84</v>
      </c>
      <c r="K16853" s="33" t="s">
        <v>160</v>
      </c>
      <c r="L16853" s="31" t="str">
        <f t="shared" si="1628"/>
        <v>Delapan Puluh Empat</v>
      </c>
    </row>
    <row r="16854" spans="10:12">
      <c r="J16854" s="31">
        <v>85</v>
      </c>
      <c r="K16854" s="33" t="s">
        <v>161</v>
      </c>
      <c r="L16854" s="31" t="str">
        <f t="shared" si="1628"/>
        <v>Delapan Puluh Lima</v>
      </c>
    </row>
    <row r="16855" spans="10:12">
      <c r="J16855" s="31">
        <v>86</v>
      </c>
      <c r="K16855" s="33" t="s">
        <v>162</v>
      </c>
      <c r="L16855" s="31" t="str">
        <f t="shared" si="1628"/>
        <v>Delapan Puluh Enam</v>
      </c>
    </row>
    <row r="16856" spans="10:12">
      <c r="J16856" s="31">
        <v>87</v>
      </c>
      <c r="K16856" s="33" t="s">
        <v>163</v>
      </c>
      <c r="L16856" s="31" t="str">
        <f t="shared" si="1628"/>
        <v>Delapan Puluh Tujuh</v>
      </c>
    </row>
    <row r="16857" spans="10:12">
      <c r="J16857" s="31">
        <v>88</v>
      </c>
      <c r="K16857" s="33" t="s">
        <v>164</v>
      </c>
      <c r="L16857" s="31" t="str">
        <f t="shared" si="1628"/>
        <v>Delapan Puluh Delapan</v>
      </c>
    </row>
    <row r="16858" spans="10:12">
      <c r="J16858" s="31">
        <v>89</v>
      </c>
      <c r="K16858" s="33" t="s">
        <v>165</v>
      </c>
      <c r="L16858" s="31" t="str">
        <f t="shared" si="1628"/>
        <v>Delapan Puluh Sembilan</v>
      </c>
    </row>
    <row r="16859" spans="10:12">
      <c r="J16859" s="31">
        <v>90</v>
      </c>
      <c r="K16859" s="33" t="s">
        <v>166</v>
      </c>
      <c r="L16859" s="31" t="s">
        <v>167</v>
      </c>
    </row>
    <row r="16860" spans="10:12">
      <c r="J16860" s="31">
        <v>91</v>
      </c>
      <c r="K16860" s="33" t="s">
        <v>168</v>
      </c>
      <c r="L16860" s="31" t="str">
        <f t="shared" ref="L16860:L16868" si="1629">$L$93&amp;" "&amp;L16770</f>
        <v>Sembilan Puluh Satu</v>
      </c>
    </row>
    <row r="16861" spans="10:12">
      <c r="J16861" s="31">
        <v>92</v>
      </c>
      <c r="K16861" s="33" t="s">
        <v>169</v>
      </c>
      <c r="L16861" s="31" t="str">
        <f t="shared" si="1629"/>
        <v>Sembilan Puluh Dua</v>
      </c>
    </row>
    <row r="16862" spans="10:12">
      <c r="J16862" s="31">
        <v>93</v>
      </c>
      <c r="K16862" s="33" t="s">
        <v>170</v>
      </c>
      <c r="L16862" s="31" t="str">
        <f t="shared" si="1629"/>
        <v>Sembilan Puluh Tiga</v>
      </c>
    </row>
    <row r="16863" spans="10:12">
      <c r="J16863" s="31">
        <v>94</v>
      </c>
      <c r="K16863" s="33" t="s">
        <v>171</v>
      </c>
      <c r="L16863" s="31" t="str">
        <f t="shared" si="1629"/>
        <v>Sembilan Puluh Empat</v>
      </c>
    </row>
    <row r="16864" spans="10:12">
      <c r="J16864" s="31">
        <v>95</v>
      </c>
      <c r="K16864" s="33" t="s">
        <v>172</v>
      </c>
      <c r="L16864" s="31" t="str">
        <f t="shared" si="1629"/>
        <v>Sembilan Puluh Lima</v>
      </c>
    </row>
    <row r="16865" spans="1:12">
      <c r="J16865" s="31">
        <v>96</v>
      </c>
      <c r="K16865" s="33" t="s">
        <v>173</v>
      </c>
      <c r="L16865" s="31" t="str">
        <f t="shared" si="1629"/>
        <v>Sembilan Puluh Enam</v>
      </c>
    </row>
    <row r="16866" spans="1:12">
      <c r="J16866" s="31">
        <v>97</v>
      </c>
      <c r="K16866" s="33" t="s">
        <v>174</v>
      </c>
      <c r="L16866" s="31" t="str">
        <f t="shared" si="1629"/>
        <v>Sembilan Puluh Tujuh</v>
      </c>
    </row>
    <row r="16867" spans="1:12">
      <c r="J16867" s="31">
        <v>98</v>
      </c>
      <c r="K16867" s="33" t="s">
        <v>175</v>
      </c>
      <c r="L16867" s="31" t="str">
        <f t="shared" si="1629"/>
        <v>Sembilan Puluh Delapan</v>
      </c>
    </row>
    <row r="16868" spans="1:12">
      <c r="J16868" s="31">
        <v>99</v>
      </c>
      <c r="K16868" s="33" t="s">
        <v>176</v>
      </c>
      <c r="L16868" s="31" t="str">
        <f t="shared" si="1629"/>
        <v>Sembilan Puluh Sembilan</v>
      </c>
    </row>
    <row r="16870" spans="1:12">
      <c r="A16870" s="30" t="e">
        <f>#REF!</f>
        <v>#REF!</v>
      </c>
      <c r="C16870" s="31" t="s">
        <v>399</v>
      </c>
    </row>
    <row r="16871" spans="1:12">
      <c r="A16871" s="32"/>
    </row>
    <row r="16872" spans="1:12">
      <c r="J16872" s="31">
        <v>0</v>
      </c>
      <c r="K16872" s="33" t="s">
        <v>48</v>
      </c>
      <c r="L16872" s="31" t="s">
        <v>49</v>
      </c>
    </row>
    <row r="16873" spans="1:12">
      <c r="A16873" s="34"/>
      <c r="J16873" s="31">
        <v>1</v>
      </c>
      <c r="K16873" s="33" t="s">
        <v>50</v>
      </c>
      <c r="L16873" s="31" t="s">
        <v>51</v>
      </c>
    </row>
    <row r="16874" spans="1:12">
      <c r="A16874" s="255" t="e">
        <f>TRIM(D16882&amp;E16882&amp;D16883&amp;E16883&amp;D16884&amp;E16884&amp;D16885&amp;E16885&amp;D16886&amp;E16886&amp;D16887&amp;E16887&amp;E16888&amp;D16888&amp;" Only")</f>
        <v>#REF!</v>
      </c>
      <c r="B16874" s="255"/>
      <c r="C16874" s="255"/>
      <c r="D16874" s="255"/>
      <c r="E16874" s="35"/>
      <c r="F16874" s="36"/>
      <c r="J16874" s="31">
        <v>2</v>
      </c>
      <c r="K16874" s="33" t="s">
        <v>52</v>
      </c>
      <c r="L16874" s="31" t="s">
        <v>53</v>
      </c>
    </row>
    <row r="16875" spans="1:12">
      <c r="A16875" s="124"/>
      <c r="B16875" s="124"/>
      <c r="C16875" s="124"/>
      <c r="D16875" s="124"/>
      <c r="E16875" s="35"/>
      <c r="F16875" s="36"/>
      <c r="J16875" s="31">
        <v>3</v>
      </c>
      <c r="K16875" s="33" t="s">
        <v>54</v>
      </c>
      <c r="L16875" s="31" t="s">
        <v>55</v>
      </c>
    </row>
    <row r="16876" spans="1:12">
      <c r="A16876" s="124"/>
      <c r="B16876" s="124"/>
      <c r="C16876" s="124"/>
      <c r="D16876" s="124"/>
      <c r="J16876" s="31">
        <v>4</v>
      </c>
      <c r="K16876" s="33" t="s">
        <v>56</v>
      </c>
      <c r="L16876" s="31" t="s">
        <v>57</v>
      </c>
    </row>
    <row r="16877" spans="1:12">
      <c r="A16877" s="255" t="e">
        <f>TRIM(D16892&amp;E16892&amp;D16893&amp;E16893&amp;D16894&amp;E16894&amp;D16895&amp;E16895&amp;D16896&amp;E16896&amp;D16897&amp;E16897&amp;D16898&amp;E16898&amp;" Rupiah")</f>
        <v>#REF!</v>
      </c>
      <c r="B16877" s="255"/>
      <c r="C16877" s="255"/>
      <c r="D16877" s="255"/>
      <c r="E16877" s="35"/>
      <c r="F16877" s="36"/>
      <c r="J16877" s="31">
        <v>5</v>
      </c>
      <c r="K16877" s="33" t="s">
        <v>58</v>
      </c>
      <c r="L16877" s="31" t="s">
        <v>59</v>
      </c>
    </row>
    <row r="16878" spans="1:12">
      <c r="A16878" s="35"/>
      <c r="B16878" s="35"/>
      <c r="C16878" s="35"/>
      <c r="D16878" s="35"/>
      <c r="E16878" s="35"/>
      <c r="F16878" s="36"/>
      <c r="J16878" s="31">
        <v>6</v>
      </c>
      <c r="K16878" s="33" t="s">
        <v>60</v>
      </c>
      <c r="L16878" s="31" t="s">
        <v>61</v>
      </c>
    </row>
    <row r="16879" spans="1:12">
      <c r="J16879" s="31">
        <v>7</v>
      </c>
      <c r="K16879" s="33" t="s">
        <v>62</v>
      </c>
      <c r="L16879" s="31" t="s">
        <v>63</v>
      </c>
    </row>
    <row r="16880" spans="1:12">
      <c r="J16880" s="31">
        <v>8</v>
      </c>
      <c r="K16880" s="33" t="s">
        <v>64</v>
      </c>
      <c r="L16880" s="31" t="s">
        <v>65</v>
      </c>
    </row>
    <row r="16881" spans="1:12">
      <c r="A16881" s="38" t="s">
        <v>66</v>
      </c>
      <c r="J16881" s="31">
        <v>9</v>
      </c>
      <c r="K16881" s="33" t="s">
        <v>67</v>
      </c>
      <c r="L16881" s="31" t="s">
        <v>68</v>
      </c>
    </row>
    <row r="16882" spans="1:12">
      <c r="A16882" s="31" t="s">
        <v>69</v>
      </c>
      <c r="B16882" s="39" t="e">
        <f>TRUNC(A16870/100000000)</f>
        <v>#REF!</v>
      </c>
      <c r="C16882" s="31" t="e">
        <f>B16882*100000000</f>
        <v>#REF!</v>
      </c>
      <c r="D16882" s="31" t="e">
        <f t="shared" ref="D16882:D16888" si="1630">IF(B16882&lt;1,"",VLOOKUP(B16882,$J$3:$K$102,2))</f>
        <v>#REF!</v>
      </c>
      <c r="E16882" s="31" t="e">
        <f>IF(B16882&lt;1,"",IF(B16882&gt;1," Hundreds "," Hundred "))</f>
        <v>#REF!</v>
      </c>
      <c r="J16882" s="31">
        <v>10</v>
      </c>
      <c r="K16882" s="33" t="s">
        <v>70</v>
      </c>
      <c r="L16882" s="31" t="s">
        <v>71</v>
      </c>
    </row>
    <row r="16883" spans="1:12">
      <c r="A16883" s="31" t="s">
        <v>72</v>
      </c>
      <c r="B16883" s="39" t="e">
        <f>TRUNC((A16870-C16882)/1000000)</f>
        <v>#REF!</v>
      </c>
      <c r="C16883" s="31" t="e">
        <f>B16883*1000000</f>
        <v>#REF!</v>
      </c>
      <c r="D16883" s="31" t="e">
        <f t="shared" si="1630"/>
        <v>#REF!</v>
      </c>
      <c r="E16883" s="31" t="e">
        <f>IF(B16882+B16883=0,"",IF(B16883=1," Million "," Millions "))</f>
        <v>#REF!</v>
      </c>
      <c r="J16883" s="31">
        <v>11</v>
      </c>
      <c r="K16883" s="33" t="s">
        <v>73</v>
      </c>
      <c r="L16883" s="31" t="s">
        <v>74</v>
      </c>
    </row>
    <row r="16884" spans="1:12">
      <c r="A16884" s="31" t="s">
        <v>75</v>
      </c>
      <c r="B16884" s="39" t="e">
        <f>TRUNC((A16870-SUM(C16882:C16883))/100000)</f>
        <v>#REF!</v>
      </c>
      <c r="C16884" s="31" t="e">
        <f>B16884*100000</f>
        <v>#REF!</v>
      </c>
      <c r="D16884" s="31" t="e">
        <f t="shared" si="1630"/>
        <v>#REF!</v>
      </c>
      <c r="E16884" s="31" t="e">
        <f>IF(B16884&lt;1,"",IF(B16884&gt;1," Hundreds "," Hundred "))</f>
        <v>#REF!</v>
      </c>
      <c r="J16884" s="31">
        <v>12</v>
      </c>
      <c r="K16884" s="33" t="s">
        <v>76</v>
      </c>
      <c r="L16884" s="31" t="str">
        <f t="shared" ref="L16884:L16891" si="1631">L16874&amp;" Belas"</f>
        <v>Dua Belas</v>
      </c>
    </row>
    <row r="16885" spans="1:12">
      <c r="A16885" s="33" t="s">
        <v>77</v>
      </c>
      <c r="B16885" s="40" t="e">
        <f>TRUNC((A16870-SUM(C16882:C16884))/1000)</f>
        <v>#REF!</v>
      </c>
      <c r="C16885" s="31" t="e">
        <f>B16885*1000</f>
        <v>#REF!</v>
      </c>
      <c r="D16885" s="31" t="e">
        <f t="shared" si="1630"/>
        <v>#REF!</v>
      </c>
      <c r="E16885" s="31" t="e">
        <f>IF(B16884+B16885=0,"",IF(B16885=1," Thousand "," Thousands "))</f>
        <v>#REF!</v>
      </c>
      <c r="J16885" s="31">
        <v>13</v>
      </c>
      <c r="K16885" s="33" t="s">
        <v>78</v>
      </c>
      <c r="L16885" s="31" t="str">
        <f t="shared" si="1631"/>
        <v>Tiga Belas</v>
      </c>
    </row>
    <row r="16886" spans="1:12">
      <c r="A16886" s="33" t="s">
        <v>79</v>
      </c>
      <c r="B16886" s="40" t="e">
        <f>TRUNC((A16870-SUM(C16882:C16885))/100)</f>
        <v>#REF!</v>
      </c>
      <c r="C16886" s="31" t="e">
        <f>B16886*100</f>
        <v>#REF!</v>
      </c>
      <c r="D16886" s="31" t="e">
        <f t="shared" si="1630"/>
        <v>#REF!</v>
      </c>
      <c r="E16886" s="31" t="e">
        <f>IF(B16886&lt;1,"",IF(B16886&gt;1," Hundreds "," Hundred "))</f>
        <v>#REF!</v>
      </c>
      <c r="J16886" s="31">
        <v>14</v>
      </c>
      <c r="K16886" s="33" t="s">
        <v>80</v>
      </c>
      <c r="L16886" s="31" t="str">
        <f t="shared" si="1631"/>
        <v>Empat Belas</v>
      </c>
    </row>
    <row r="16887" spans="1:12">
      <c r="A16887" s="33" t="s">
        <v>81</v>
      </c>
      <c r="B16887" s="41" t="e">
        <f>TRUNC((A16870-SUM(C16882:C16886)))</f>
        <v>#REF!</v>
      </c>
      <c r="C16887" s="42" t="e">
        <f>B16887</f>
        <v>#REF!</v>
      </c>
      <c r="D16887" s="31" t="e">
        <f t="shared" si="1630"/>
        <v>#REF!</v>
      </c>
      <c r="E16887" s="31" t="e">
        <f>IF(SUM(C16882:C16887)&lt;1,"",IF(B16888&lt;1,""," And "))</f>
        <v>#REF!</v>
      </c>
      <c r="J16887" s="31">
        <v>15</v>
      </c>
      <c r="K16887" s="33" t="s">
        <v>82</v>
      </c>
      <c r="L16887" s="31" t="str">
        <f t="shared" si="1631"/>
        <v>Lima Belas</v>
      </c>
    </row>
    <row r="16888" spans="1:12">
      <c r="A16888" s="33" t="s">
        <v>83</v>
      </c>
      <c r="B16888" s="40" t="e">
        <f>ROUND(A16870-SUM(C16882:C16887),2)*100</f>
        <v>#REF!</v>
      </c>
      <c r="D16888" s="43" t="e">
        <f t="shared" si="1630"/>
        <v>#REF!</v>
      </c>
      <c r="E16888" s="31" t="e">
        <f>IF(B16888&lt;1,"",IF(B16888=1," Cent "," Cents "))</f>
        <v>#REF!</v>
      </c>
      <c r="J16888" s="31">
        <v>16</v>
      </c>
      <c r="K16888" s="33" t="s">
        <v>84</v>
      </c>
      <c r="L16888" s="31" t="str">
        <f t="shared" si="1631"/>
        <v>Enam Belas</v>
      </c>
    </row>
    <row r="16889" spans="1:12">
      <c r="J16889" s="31">
        <v>17</v>
      </c>
      <c r="K16889" s="33" t="s">
        <v>85</v>
      </c>
      <c r="L16889" s="31" t="str">
        <f t="shared" si="1631"/>
        <v>Tujuh Belas</v>
      </c>
    </row>
    <row r="16890" spans="1:12">
      <c r="A16890" s="44"/>
      <c r="J16890" s="31">
        <v>18</v>
      </c>
      <c r="K16890" s="33" t="s">
        <v>86</v>
      </c>
      <c r="L16890" s="31" t="str">
        <f t="shared" si="1631"/>
        <v>Delapan Belas</v>
      </c>
    </row>
    <row r="16891" spans="1:12">
      <c r="A16891" s="38" t="s">
        <v>87</v>
      </c>
      <c r="J16891" s="31">
        <v>19</v>
      </c>
      <c r="K16891" s="33" t="s">
        <v>88</v>
      </c>
      <c r="L16891" s="31" t="str">
        <f t="shared" si="1631"/>
        <v>Sembilan Belas</v>
      </c>
    </row>
    <row r="16892" spans="1:12">
      <c r="A16892" s="31" t="s">
        <v>69</v>
      </c>
      <c r="B16892" s="39" t="e">
        <f>TRUNC(A16870/100000000)</f>
        <v>#REF!</v>
      </c>
      <c r="C16892" s="31" t="e">
        <f>B16892*100000000</f>
        <v>#REF!</v>
      </c>
      <c r="D16892" s="31" t="e">
        <f>IF(B16892&lt;1,"",IF(B16892=1,"",VLOOKUP(B16892,$J$3:$L$102,3)))</f>
        <v>#REF!</v>
      </c>
      <c r="E16892" s="31" t="e">
        <f>IF(B16892&lt;1,"",IF(B16892=1,"Seratus "," Ratus "))</f>
        <v>#REF!</v>
      </c>
      <c r="J16892" s="31">
        <v>20</v>
      </c>
      <c r="K16892" s="33" t="s">
        <v>89</v>
      </c>
      <c r="L16892" s="31" t="s">
        <v>90</v>
      </c>
    </row>
    <row r="16893" spans="1:12">
      <c r="A16893" s="31" t="s">
        <v>72</v>
      </c>
      <c r="B16893" s="39" t="e">
        <f>TRUNC((A16870-C16892)/1000000)</f>
        <v>#REF!</v>
      </c>
      <c r="C16893" s="31" t="e">
        <f>B16893*1000000</f>
        <v>#REF!</v>
      </c>
      <c r="D16893" s="31" t="e">
        <f>IF(B16893&lt;1,"",VLOOKUP(B16893,$J$3:$L$102,3))</f>
        <v>#REF!</v>
      </c>
      <c r="E16893" s="31" t="e">
        <f>IF(B16892+B16893=0,""," Juta ")</f>
        <v>#REF!</v>
      </c>
      <c r="J16893" s="31">
        <v>21</v>
      </c>
      <c r="K16893" s="33" t="s">
        <v>91</v>
      </c>
      <c r="L16893" s="31" t="str">
        <f t="shared" ref="L16893:L16901" si="1632">$L$23&amp;" "&amp;L16873</f>
        <v>Dua Puluh Satu</v>
      </c>
    </row>
    <row r="16894" spans="1:12">
      <c r="A16894" s="31" t="s">
        <v>75</v>
      </c>
      <c r="B16894" s="39" t="e">
        <f>TRUNC((A16870-SUM(C16892:C16893))/100000)</f>
        <v>#REF!</v>
      </c>
      <c r="C16894" s="31" t="e">
        <f>B16894*100000</f>
        <v>#REF!</v>
      </c>
      <c r="D16894" s="31" t="e">
        <f>IF(B16894&lt;1,"",IF(B16894=1,"",VLOOKUP(B16894,$J$3:$L$102,3)))</f>
        <v>#REF!</v>
      </c>
      <c r="E16894" s="31" t="e">
        <f>IF(B16894&lt;1,"",IF(B16894=1," Seratus "," Ratus "))</f>
        <v>#REF!</v>
      </c>
      <c r="J16894" s="31">
        <v>22</v>
      </c>
      <c r="K16894" s="33" t="s">
        <v>92</v>
      </c>
      <c r="L16894" s="31" t="str">
        <f t="shared" si="1632"/>
        <v>Dua Puluh Dua</v>
      </c>
    </row>
    <row r="16895" spans="1:12">
      <c r="A16895" s="33" t="s">
        <v>77</v>
      </c>
      <c r="B16895" s="40" t="e">
        <f>TRUNC((A16870-SUM(C16892:C16894))/1000)</f>
        <v>#REF!</v>
      </c>
      <c r="C16895" s="31" t="e">
        <f>B16895*1000</f>
        <v>#REF!</v>
      </c>
      <c r="D16895" s="31" t="e">
        <f>IF(B16895&lt;1,"",IF(B16895=1,"",VLOOKUP(B16895,$J$3:$L$102,3)))</f>
        <v>#REF!</v>
      </c>
      <c r="E16895" s="31" t="e">
        <f>IF(B16894+B16895&lt;1,"",IF(B16895=1," Seribu "," Ribu "))</f>
        <v>#REF!</v>
      </c>
      <c r="J16895" s="31">
        <v>23</v>
      </c>
      <c r="K16895" s="33" t="s">
        <v>93</v>
      </c>
      <c r="L16895" s="31" t="str">
        <f t="shared" si="1632"/>
        <v>Dua Puluh Tiga</v>
      </c>
    </row>
    <row r="16896" spans="1:12">
      <c r="A16896" s="33" t="s">
        <v>79</v>
      </c>
      <c r="B16896" s="40" t="e">
        <f>TRUNC((A16870-SUM(C16892:C16895))/100)</f>
        <v>#REF!</v>
      </c>
      <c r="C16896" s="31" t="e">
        <f>B16896*100</f>
        <v>#REF!</v>
      </c>
      <c r="D16896" s="31" t="e">
        <f>IF(B16896&lt;1,"",IF(B16896=1,"",VLOOKUP(B16896,$J$3:$L$102,3)))</f>
        <v>#REF!</v>
      </c>
      <c r="E16896" s="31" t="e">
        <f>IF(B16896&lt;1,"",IF(B16896=1," Seratus "," Ratus "))</f>
        <v>#REF!</v>
      </c>
      <c r="J16896" s="31">
        <v>24</v>
      </c>
      <c r="K16896" s="33" t="s">
        <v>94</v>
      </c>
      <c r="L16896" s="31" t="str">
        <f t="shared" si="1632"/>
        <v>Dua Puluh Empat</v>
      </c>
    </row>
    <row r="16897" spans="1:12">
      <c r="A16897" s="33" t="s">
        <v>81</v>
      </c>
      <c r="B16897" s="41" t="e">
        <f>TRUNC((A16870-SUM(C16892:C16896)))</f>
        <v>#REF!</v>
      </c>
      <c r="C16897" s="42" t="e">
        <f>B16897</f>
        <v>#REF!</v>
      </c>
      <c r="D16897" s="31" t="e">
        <f>IF(B16897&lt;1,"",VLOOKUP(B16897,$J$3:$L$102,3))</f>
        <v>#REF!</v>
      </c>
      <c r="E16897" s="31" t="e">
        <f>IF(SUM(C16892:C16897)&lt;1,"",IF(B16898&lt;1,""," Dan "))</f>
        <v>#REF!</v>
      </c>
      <c r="J16897" s="31">
        <v>25</v>
      </c>
      <c r="K16897" s="33" t="s">
        <v>95</v>
      </c>
      <c r="L16897" s="31" t="str">
        <f t="shared" si="1632"/>
        <v>Dua Puluh Lima</v>
      </c>
    </row>
    <row r="16898" spans="1:12">
      <c r="A16898" s="33" t="s">
        <v>83</v>
      </c>
      <c r="B16898" s="40" t="e">
        <f>ROUND(A16870-SUM(C16892:C16897),2)*100</f>
        <v>#REF!</v>
      </c>
      <c r="D16898" s="31" t="e">
        <f>IF(B16898&lt;1,"",VLOOKUP(B16898,$J$3:$L$102,3))</f>
        <v>#REF!</v>
      </c>
      <c r="E16898" s="31" t="e">
        <f>IF(B16898&lt;1,""," Sen ")</f>
        <v>#REF!</v>
      </c>
      <c r="J16898" s="31">
        <v>26</v>
      </c>
      <c r="K16898" s="33" t="s">
        <v>96</v>
      </c>
      <c r="L16898" s="31" t="str">
        <f t="shared" si="1632"/>
        <v>Dua Puluh Enam</v>
      </c>
    </row>
    <row r="16899" spans="1:12">
      <c r="J16899" s="31">
        <v>27</v>
      </c>
      <c r="K16899" s="33" t="s">
        <v>97</v>
      </c>
      <c r="L16899" s="31" t="str">
        <f t="shared" si="1632"/>
        <v>Dua Puluh Tujuh</v>
      </c>
    </row>
    <row r="16900" spans="1:12">
      <c r="J16900" s="31">
        <v>28</v>
      </c>
      <c r="K16900" s="33" t="s">
        <v>98</v>
      </c>
      <c r="L16900" s="31" t="str">
        <f t="shared" si="1632"/>
        <v>Dua Puluh Delapan</v>
      </c>
    </row>
    <row r="16901" spans="1:12">
      <c r="J16901" s="31">
        <v>29</v>
      </c>
      <c r="K16901" s="33" t="s">
        <v>99</v>
      </c>
      <c r="L16901" s="31" t="str">
        <f t="shared" si="1632"/>
        <v>Dua Puluh Sembilan</v>
      </c>
    </row>
    <row r="16902" spans="1:12">
      <c r="J16902" s="31">
        <v>30</v>
      </c>
      <c r="K16902" s="33" t="s">
        <v>100</v>
      </c>
      <c r="L16902" s="31" t="s">
        <v>101</v>
      </c>
    </row>
    <row r="16903" spans="1:12">
      <c r="J16903" s="31">
        <v>31</v>
      </c>
      <c r="K16903" s="33" t="s">
        <v>102</v>
      </c>
      <c r="L16903" s="31" t="str">
        <f t="shared" ref="L16903:L16911" si="1633">$L$33&amp;" "&amp;L16873</f>
        <v>Tiga Puluh Satu</v>
      </c>
    </row>
    <row r="16904" spans="1:12">
      <c r="J16904" s="31">
        <v>32</v>
      </c>
      <c r="K16904" s="33" t="s">
        <v>103</v>
      </c>
      <c r="L16904" s="31" t="str">
        <f t="shared" si="1633"/>
        <v>Tiga Puluh Dua</v>
      </c>
    </row>
    <row r="16905" spans="1:12">
      <c r="J16905" s="31">
        <v>33</v>
      </c>
      <c r="K16905" s="33" t="s">
        <v>104</v>
      </c>
      <c r="L16905" s="31" t="str">
        <f t="shared" si="1633"/>
        <v>Tiga Puluh Tiga</v>
      </c>
    </row>
    <row r="16906" spans="1:12">
      <c r="J16906" s="31">
        <v>34</v>
      </c>
      <c r="K16906" s="33" t="s">
        <v>105</v>
      </c>
      <c r="L16906" s="31" t="str">
        <f t="shared" si="1633"/>
        <v>Tiga Puluh Empat</v>
      </c>
    </row>
    <row r="16907" spans="1:12">
      <c r="J16907" s="31">
        <v>35</v>
      </c>
      <c r="K16907" s="33" t="s">
        <v>106</v>
      </c>
      <c r="L16907" s="31" t="str">
        <f t="shared" si="1633"/>
        <v>Tiga Puluh Lima</v>
      </c>
    </row>
    <row r="16908" spans="1:12">
      <c r="J16908" s="31">
        <v>36</v>
      </c>
      <c r="K16908" s="33" t="s">
        <v>107</v>
      </c>
      <c r="L16908" s="31" t="str">
        <f t="shared" si="1633"/>
        <v>Tiga Puluh Enam</v>
      </c>
    </row>
    <row r="16909" spans="1:12">
      <c r="J16909" s="31">
        <v>37</v>
      </c>
      <c r="K16909" s="33" t="s">
        <v>108</v>
      </c>
      <c r="L16909" s="31" t="str">
        <f t="shared" si="1633"/>
        <v>Tiga Puluh Tujuh</v>
      </c>
    </row>
    <row r="16910" spans="1:12">
      <c r="J16910" s="31">
        <v>38</v>
      </c>
      <c r="K16910" s="33" t="s">
        <v>109</v>
      </c>
      <c r="L16910" s="31" t="str">
        <f t="shared" si="1633"/>
        <v>Tiga Puluh Delapan</v>
      </c>
    </row>
    <row r="16911" spans="1:12">
      <c r="J16911" s="31">
        <v>39</v>
      </c>
      <c r="K16911" s="33" t="s">
        <v>110</v>
      </c>
      <c r="L16911" s="31" t="str">
        <f t="shared" si="1633"/>
        <v>Tiga Puluh Sembilan</v>
      </c>
    </row>
    <row r="16912" spans="1:12">
      <c r="B16912" s="35"/>
      <c r="C16912" s="35"/>
      <c r="D16912" s="35"/>
      <c r="J16912" s="31">
        <v>40</v>
      </c>
      <c r="K16912" s="33" t="s">
        <v>111</v>
      </c>
      <c r="L16912" s="31" t="s">
        <v>112</v>
      </c>
    </row>
    <row r="16913" spans="1:12">
      <c r="A16913" s="35"/>
      <c r="B16913" s="35"/>
      <c r="C16913" s="35"/>
      <c r="D16913" s="35"/>
      <c r="J16913" s="31">
        <v>41</v>
      </c>
      <c r="K16913" s="33" t="s">
        <v>113</v>
      </c>
      <c r="L16913" s="31" t="str">
        <f t="shared" ref="L16913:L16921" si="1634">$L$43&amp;" "&amp;L16873</f>
        <v>Empat Puluh Satu</v>
      </c>
    </row>
    <row r="16914" spans="1:12">
      <c r="J16914" s="31">
        <v>42</v>
      </c>
      <c r="K16914" s="33" t="s">
        <v>114</v>
      </c>
      <c r="L16914" s="31" t="str">
        <f t="shared" si="1634"/>
        <v>Empat Puluh Dua</v>
      </c>
    </row>
    <row r="16915" spans="1:12">
      <c r="A16915" s="38"/>
      <c r="J16915" s="31">
        <v>43</v>
      </c>
      <c r="K16915" s="33" t="s">
        <v>115</v>
      </c>
      <c r="L16915" s="31" t="str">
        <f t="shared" si="1634"/>
        <v>Empat Puluh Tiga</v>
      </c>
    </row>
    <row r="16916" spans="1:12">
      <c r="J16916" s="31">
        <v>44</v>
      </c>
      <c r="K16916" s="33" t="s">
        <v>116</v>
      </c>
      <c r="L16916" s="31" t="str">
        <f t="shared" si="1634"/>
        <v>Empat Puluh Empat</v>
      </c>
    </row>
    <row r="16917" spans="1:12">
      <c r="J16917" s="31">
        <v>45</v>
      </c>
      <c r="K16917" s="33" t="s">
        <v>117</v>
      </c>
      <c r="L16917" s="31" t="str">
        <f t="shared" si="1634"/>
        <v>Empat Puluh Lima</v>
      </c>
    </row>
    <row r="16918" spans="1:12">
      <c r="J16918" s="31">
        <v>46</v>
      </c>
      <c r="K16918" s="33" t="s">
        <v>118</v>
      </c>
      <c r="L16918" s="31" t="str">
        <f t="shared" si="1634"/>
        <v>Empat Puluh Enam</v>
      </c>
    </row>
    <row r="16919" spans="1:12">
      <c r="J16919" s="31">
        <v>47</v>
      </c>
      <c r="K16919" s="33" t="s">
        <v>119</v>
      </c>
      <c r="L16919" s="31" t="str">
        <f t="shared" si="1634"/>
        <v>Empat Puluh Tujuh</v>
      </c>
    </row>
    <row r="16920" spans="1:12">
      <c r="J16920" s="31">
        <v>48</v>
      </c>
      <c r="K16920" s="33" t="s">
        <v>120</v>
      </c>
      <c r="L16920" s="31" t="str">
        <f t="shared" si="1634"/>
        <v>Empat Puluh Delapan</v>
      </c>
    </row>
    <row r="16921" spans="1:12">
      <c r="J16921" s="31">
        <v>49</v>
      </c>
      <c r="K16921" s="33" t="s">
        <v>121</v>
      </c>
      <c r="L16921" s="31" t="str">
        <f t="shared" si="1634"/>
        <v>Empat Puluh Sembilan</v>
      </c>
    </row>
    <row r="16922" spans="1:12">
      <c r="J16922" s="31">
        <v>50</v>
      </c>
      <c r="K16922" s="33" t="s">
        <v>122</v>
      </c>
      <c r="L16922" s="31" t="s">
        <v>123</v>
      </c>
    </row>
    <row r="16923" spans="1:12">
      <c r="J16923" s="31">
        <v>51</v>
      </c>
      <c r="K16923" s="33" t="s">
        <v>124</v>
      </c>
      <c r="L16923" s="31" t="str">
        <f t="shared" ref="L16923:L16931" si="1635">$L$53&amp;" "&amp;L16873</f>
        <v>Lima Puluh Satu</v>
      </c>
    </row>
    <row r="16924" spans="1:12">
      <c r="J16924" s="31">
        <v>52</v>
      </c>
      <c r="K16924" s="33" t="s">
        <v>125</v>
      </c>
      <c r="L16924" s="31" t="str">
        <f t="shared" si="1635"/>
        <v>Lima Puluh Dua</v>
      </c>
    </row>
    <row r="16925" spans="1:12">
      <c r="J16925" s="31">
        <v>53</v>
      </c>
      <c r="K16925" s="33" t="s">
        <v>126</v>
      </c>
      <c r="L16925" s="31" t="str">
        <f t="shared" si="1635"/>
        <v>Lima Puluh Tiga</v>
      </c>
    </row>
    <row r="16926" spans="1:12">
      <c r="J16926" s="31">
        <v>54</v>
      </c>
      <c r="K16926" s="33" t="s">
        <v>127</v>
      </c>
      <c r="L16926" s="31" t="str">
        <f t="shared" si="1635"/>
        <v>Lima Puluh Empat</v>
      </c>
    </row>
    <row r="16927" spans="1:12">
      <c r="J16927" s="31">
        <v>55</v>
      </c>
      <c r="K16927" s="33" t="s">
        <v>128</v>
      </c>
      <c r="L16927" s="31" t="str">
        <f t="shared" si="1635"/>
        <v>Lima Puluh Lima</v>
      </c>
    </row>
    <row r="16928" spans="1:12">
      <c r="J16928" s="31">
        <v>56</v>
      </c>
      <c r="K16928" s="33" t="s">
        <v>129</v>
      </c>
      <c r="L16928" s="31" t="str">
        <f t="shared" si="1635"/>
        <v>Lima Puluh Enam</v>
      </c>
    </row>
    <row r="16929" spans="10:12">
      <c r="J16929" s="31">
        <v>57</v>
      </c>
      <c r="K16929" s="33" t="s">
        <v>130</v>
      </c>
      <c r="L16929" s="31" t="str">
        <f t="shared" si="1635"/>
        <v>Lima Puluh Tujuh</v>
      </c>
    </row>
    <row r="16930" spans="10:12">
      <c r="J16930" s="31">
        <v>58</v>
      </c>
      <c r="K16930" s="33" t="s">
        <v>131</v>
      </c>
      <c r="L16930" s="31" t="str">
        <f t="shared" si="1635"/>
        <v>Lima Puluh Delapan</v>
      </c>
    </row>
    <row r="16931" spans="10:12">
      <c r="J16931" s="31">
        <v>59</v>
      </c>
      <c r="K16931" s="33" t="s">
        <v>132</v>
      </c>
      <c r="L16931" s="31" t="str">
        <f t="shared" si="1635"/>
        <v>Lima Puluh Sembilan</v>
      </c>
    </row>
    <row r="16932" spans="10:12">
      <c r="J16932" s="31">
        <v>60</v>
      </c>
      <c r="K16932" s="33" t="s">
        <v>133</v>
      </c>
      <c r="L16932" s="31" t="s">
        <v>134</v>
      </c>
    </row>
    <row r="16933" spans="10:12">
      <c r="J16933" s="31">
        <v>61</v>
      </c>
      <c r="K16933" s="33" t="s">
        <v>135</v>
      </c>
      <c r="L16933" s="31" t="str">
        <f t="shared" ref="L16933:L16941" si="1636">$L$63&amp;" "&amp;L16873</f>
        <v>Enam Puluh Satu</v>
      </c>
    </row>
    <row r="16934" spans="10:12">
      <c r="J16934" s="31">
        <v>62</v>
      </c>
      <c r="K16934" s="33" t="s">
        <v>136</v>
      </c>
      <c r="L16934" s="31" t="str">
        <f t="shared" si="1636"/>
        <v>Enam Puluh Dua</v>
      </c>
    </row>
    <row r="16935" spans="10:12">
      <c r="J16935" s="31">
        <v>63</v>
      </c>
      <c r="K16935" s="33" t="s">
        <v>137</v>
      </c>
      <c r="L16935" s="31" t="str">
        <f t="shared" si="1636"/>
        <v>Enam Puluh Tiga</v>
      </c>
    </row>
    <row r="16936" spans="10:12">
      <c r="J16936" s="31">
        <v>64</v>
      </c>
      <c r="K16936" s="33" t="s">
        <v>138</v>
      </c>
      <c r="L16936" s="31" t="str">
        <f t="shared" si="1636"/>
        <v>Enam Puluh Empat</v>
      </c>
    </row>
    <row r="16937" spans="10:12">
      <c r="J16937" s="31">
        <v>65</v>
      </c>
      <c r="K16937" s="33" t="s">
        <v>139</v>
      </c>
      <c r="L16937" s="31" t="str">
        <f t="shared" si="1636"/>
        <v>Enam Puluh Lima</v>
      </c>
    </row>
    <row r="16938" spans="10:12">
      <c r="J16938" s="31">
        <v>66</v>
      </c>
      <c r="K16938" s="33" t="s">
        <v>140</v>
      </c>
      <c r="L16938" s="31" t="str">
        <f t="shared" si="1636"/>
        <v>Enam Puluh Enam</v>
      </c>
    </row>
    <row r="16939" spans="10:12">
      <c r="J16939" s="31">
        <v>67</v>
      </c>
      <c r="K16939" s="33" t="s">
        <v>141</v>
      </c>
      <c r="L16939" s="31" t="str">
        <f t="shared" si="1636"/>
        <v>Enam Puluh Tujuh</v>
      </c>
    </row>
    <row r="16940" spans="10:12">
      <c r="J16940" s="31">
        <v>68</v>
      </c>
      <c r="K16940" s="33" t="s">
        <v>142</v>
      </c>
      <c r="L16940" s="31" t="str">
        <f t="shared" si="1636"/>
        <v>Enam Puluh Delapan</v>
      </c>
    </row>
    <row r="16941" spans="10:12">
      <c r="J16941" s="31">
        <v>69</v>
      </c>
      <c r="K16941" s="33" t="s">
        <v>143</v>
      </c>
      <c r="L16941" s="31" t="str">
        <f t="shared" si="1636"/>
        <v>Enam Puluh Sembilan</v>
      </c>
    </row>
    <row r="16942" spans="10:12">
      <c r="J16942" s="31">
        <v>70</v>
      </c>
      <c r="K16942" s="33" t="s">
        <v>144</v>
      </c>
      <c r="L16942" s="31" t="s">
        <v>145</v>
      </c>
    </row>
    <row r="16943" spans="10:12">
      <c r="J16943" s="31">
        <v>71</v>
      </c>
      <c r="K16943" s="33" t="s">
        <v>146</v>
      </c>
      <c r="L16943" s="31" t="str">
        <f t="shared" ref="L16943:L16951" si="1637">$L$73&amp;" "&amp;L16873</f>
        <v>Tujuh Puluh Satu</v>
      </c>
    </row>
    <row r="16944" spans="10:12">
      <c r="J16944" s="31">
        <v>72</v>
      </c>
      <c r="K16944" s="33" t="s">
        <v>147</v>
      </c>
      <c r="L16944" s="31" t="str">
        <f t="shared" si="1637"/>
        <v>Tujuh Puluh Dua</v>
      </c>
    </row>
    <row r="16945" spans="10:12">
      <c r="J16945" s="31">
        <v>73</v>
      </c>
      <c r="K16945" s="33" t="s">
        <v>148</v>
      </c>
      <c r="L16945" s="31" t="str">
        <f t="shared" si="1637"/>
        <v>Tujuh Puluh Tiga</v>
      </c>
    </row>
    <row r="16946" spans="10:12">
      <c r="J16946" s="31">
        <v>74</v>
      </c>
      <c r="K16946" s="33" t="s">
        <v>149</v>
      </c>
      <c r="L16946" s="31" t="str">
        <f t="shared" si="1637"/>
        <v>Tujuh Puluh Empat</v>
      </c>
    </row>
    <row r="16947" spans="10:12">
      <c r="J16947" s="31">
        <v>75</v>
      </c>
      <c r="K16947" s="33" t="s">
        <v>150</v>
      </c>
      <c r="L16947" s="31" t="str">
        <f t="shared" si="1637"/>
        <v>Tujuh Puluh Lima</v>
      </c>
    </row>
    <row r="16948" spans="10:12">
      <c r="J16948" s="31">
        <v>76</v>
      </c>
      <c r="K16948" s="33" t="s">
        <v>151</v>
      </c>
      <c r="L16948" s="31" t="str">
        <f t="shared" si="1637"/>
        <v>Tujuh Puluh Enam</v>
      </c>
    </row>
    <row r="16949" spans="10:12">
      <c r="J16949" s="31">
        <v>77</v>
      </c>
      <c r="K16949" s="33" t="s">
        <v>152</v>
      </c>
      <c r="L16949" s="31" t="str">
        <f t="shared" si="1637"/>
        <v>Tujuh Puluh Tujuh</v>
      </c>
    </row>
    <row r="16950" spans="10:12">
      <c r="J16950" s="31">
        <v>78</v>
      </c>
      <c r="K16950" s="33" t="s">
        <v>153</v>
      </c>
      <c r="L16950" s="31" t="str">
        <f t="shared" si="1637"/>
        <v>Tujuh Puluh Delapan</v>
      </c>
    </row>
    <row r="16951" spans="10:12">
      <c r="J16951" s="31">
        <v>79</v>
      </c>
      <c r="K16951" s="33" t="s">
        <v>154</v>
      </c>
      <c r="L16951" s="31" t="str">
        <f t="shared" si="1637"/>
        <v>Tujuh Puluh Sembilan</v>
      </c>
    </row>
    <row r="16952" spans="10:12">
      <c r="J16952" s="31">
        <v>80</v>
      </c>
      <c r="K16952" s="33" t="s">
        <v>155</v>
      </c>
      <c r="L16952" s="31" t="s">
        <v>156</v>
      </c>
    </row>
    <row r="16953" spans="10:12">
      <c r="J16953" s="31">
        <v>81</v>
      </c>
      <c r="K16953" s="33" t="s">
        <v>157</v>
      </c>
      <c r="L16953" s="31" t="str">
        <f t="shared" ref="L16953:L16961" si="1638">$L$83&amp;" "&amp;L16873</f>
        <v>Delapan Puluh Satu</v>
      </c>
    </row>
    <row r="16954" spans="10:12">
      <c r="J16954" s="31">
        <v>82</v>
      </c>
      <c r="K16954" s="33" t="s">
        <v>158</v>
      </c>
      <c r="L16954" s="31" t="str">
        <f t="shared" si="1638"/>
        <v>Delapan Puluh Dua</v>
      </c>
    </row>
    <row r="16955" spans="10:12">
      <c r="J16955" s="31">
        <v>83</v>
      </c>
      <c r="K16955" s="33" t="s">
        <v>159</v>
      </c>
      <c r="L16955" s="31" t="str">
        <f t="shared" si="1638"/>
        <v>Delapan Puluh Tiga</v>
      </c>
    </row>
    <row r="16956" spans="10:12">
      <c r="J16956" s="31">
        <v>84</v>
      </c>
      <c r="K16956" s="33" t="s">
        <v>160</v>
      </c>
      <c r="L16956" s="31" t="str">
        <f t="shared" si="1638"/>
        <v>Delapan Puluh Empat</v>
      </c>
    </row>
    <row r="16957" spans="10:12">
      <c r="J16957" s="31">
        <v>85</v>
      </c>
      <c r="K16957" s="33" t="s">
        <v>161</v>
      </c>
      <c r="L16957" s="31" t="str">
        <f t="shared" si="1638"/>
        <v>Delapan Puluh Lima</v>
      </c>
    </row>
    <row r="16958" spans="10:12">
      <c r="J16958" s="31">
        <v>86</v>
      </c>
      <c r="K16958" s="33" t="s">
        <v>162</v>
      </c>
      <c r="L16958" s="31" t="str">
        <f t="shared" si="1638"/>
        <v>Delapan Puluh Enam</v>
      </c>
    </row>
    <row r="16959" spans="10:12">
      <c r="J16959" s="31">
        <v>87</v>
      </c>
      <c r="K16959" s="33" t="s">
        <v>163</v>
      </c>
      <c r="L16959" s="31" t="str">
        <f t="shared" si="1638"/>
        <v>Delapan Puluh Tujuh</v>
      </c>
    </row>
    <row r="16960" spans="10:12">
      <c r="J16960" s="31">
        <v>88</v>
      </c>
      <c r="K16960" s="33" t="s">
        <v>164</v>
      </c>
      <c r="L16960" s="31" t="str">
        <f t="shared" si="1638"/>
        <v>Delapan Puluh Delapan</v>
      </c>
    </row>
    <row r="16961" spans="1:12">
      <c r="J16961" s="31">
        <v>89</v>
      </c>
      <c r="K16961" s="33" t="s">
        <v>165</v>
      </c>
      <c r="L16961" s="31" t="str">
        <f t="shared" si="1638"/>
        <v>Delapan Puluh Sembilan</v>
      </c>
    </row>
    <row r="16962" spans="1:12">
      <c r="J16962" s="31">
        <v>90</v>
      </c>
      <c r="K16962" s="33" t="s">
        <v>166</v>
      </c>
      <c r="L16962" s="31" t="s">
        <v>167</v>
      </c>
    </row>
    <row r="16963" spans="1:12">
      <c r="J16963" s="31">
        <v>91</v>
      </c>
      <c r="K16963" s="33" t="s">
        <v>168</v>
      </c>
      <c r="L16963" s="31" t="str">
        <f t="shared" ref="L16963:L16971" si="1639">$L$93&amp;" "&amp;L16873</f>
        <v>Sembilan Puluh Satu</v>
      </c>
    </row>
    <row r="16964" spans="1:12">
      <c r="J16964" s="31">
        <v>92</v>
      </c>
      <c r="K16964" s="33" t="s">
        <v>169</v>
      </c>
      <c r="L16964" s="31" t="str">
        <f t="shared" si="1639"/>
        <v>Sembilan Puluh Dua</v>
      </c>
    </row>
    <row r="16965" spans="1:12">
      <c r="J16965" s="31">
        <v>93</v>
      </c>
      <c r="K16965" s="33" t="s">
        <v>170</v>
      </c>
      <c r="L16965" s="31" t="str">
        <f t="shared" si="1639"/>
        <v>Sembilan Puluh Tiga</v>
      </c>
    </row>
    <row r="16966" spans="1:12">
      <c r="J16966" s="31">
        <v>94</v>
      </c>
      <c r="K16966" s="33" t="s">
        <v>171</v>
      </c>
      <c r="L16966" s="31" t="str">
        <f t="shared" si="1639"/>
        <v>Sembilan Puluh Empat</v>
      </c>
    </row>
    <row r="16967" spans="1:12">
      <c r="J16967" s="31">
        <v>95</v>
      </c>
      <c r="K16967" s="33" t="s">
        <v>172</v>
      </c>
      <c r="L16967" s="31" t="str">
        <f t="shared" si="1639"/>
        <v>Sembilan Puluh Lima</v>
      </c>
    </row>
    <row r="16968" spans="1:12">
      <c r="J16968" s="31">
        <v>96</v>
      </c>
      <c r="K16968" s="33" t="s">
        <v>173</v>
      </c>
      <c r="L16968" s="31" t="str">
        <f t="shared" si="1639"/>
        <v>Sembilan Puluh Enam</v>
      </c>
    </row>
    <row r="16969" spans="1:12">
      <c r="J16969" s="31">
        <v>97</v>
      </c>
      <c r="K16969" s="33" t="s">
        <v>174</v>
      </c>
      <c r="L16969" s="31" t="str">
        <f t="shared" si="1639"/>
        <v>Sembilan Puluh Tujuh</v>
      </c>
    </row>
    <row r="16970" spans="1:12">
      <c r="J16970" s="31">
        <v>98</v>
      </c>
      <c r="K16970" s="33" t="s">
        <v>175</v>
      </c>
      <c r="L16970" s="31" t="str">
        <f t="shared" si="1639"/>
        <v>Sembilan Puluh Delapan</v>
      </c>
    </row>
    <row r="16971" spans="1:12">
      <c r="J16971" s="31">
        <v>99</v>
      </c>
      <c r="K16971" s="33" t="s">
        <v>176</v>
      </c>
      <c r="L16971" s="31" t="str">
        <f t="shared" si="1639"/>
        <v>Sembilan Puluh Sembilan</v>
      </c>
    </row>
    <row r="16973" spans="1:12">
      <c r="A16973" s="30" t="e">
        <f>#REF!</f>
        <v>#REF!</v>
      </c>
      <c r="C16973" s="31" t="s">
        <v>400</v>
      </c>
    </row>
    <row r="16974" spans="1:12">
      <c r="A16974" s="32"/>
    </row>
    <row r="16975" spans="1:12">
      <c r="J16975" s="31">
        <v>0</v>
      </c>
      <c r="K16975" s="33" t="s">
        <v>48</v>
      </c>
      <c r="L16975" s="31" t="s">
        <v>49</v>
      </c>
    </row>
    <row r="16976" spans="1:12">
      <c r="A16976" s="34"/>
      <c r="J16976" s="31">
        <v>1</v>
      </c>
      <c r="K16976" s="33" t="s">
        <v>50</v>
      </c>
      <c r="L16976" s="31" t="s">
        <v>51</v>
      </c>
    </row>
    <row r="16977" spans="1:12">
      <c r="A16977" s="255" t="e">
        <f>TRIM(D16985&amp;E16985&amp;D16986&amp;E16986&amp;D16987&amp;E16987&amp;D16988&amp;E16988&amp;D16989&amp;E16989&amp;D16990&amp;E16990&amp;E16991&amp;D16991&amp;" Only")</f>
        <v>#REF!</v>
      </c>
      <c r="B16977" s="255"/>
      <c r="C16977" s="255"/>
      <c r="D16977" s="255"/>
      <c r="E16977" s="35"/>
      <c r="F16977" s="36"/>
      <c r="J16977" s="31">
        <v>2</v>
      </c>
      <c r="K16977" s="33" t="s">
        <v>52</v>
      </c>
      <c r="L16977" s="31" t="s">
        <v>53</v>
      </c>
    </row>
    <row r="16978" spans="1:12">
      <c r="A16978" s="124"/>
      <c r="B16978" s="124"/>
      <c r="C16978" s="124"/>
      <c r="D16978" s="124"/>
      <c r="E16978" s="35"/>
      <c r="F16978" s="36"/>
      <c r="J16978" s="31">
        <v>3</v>
      </c>
      <c r="K16978" s="33" t="s">
        <v>54</v>
      </c>
      <c r="L16978" s="31" t="s">
        <v>55</v>
      </c>
    </row>
    <row r="16979" spans="1:12">
      <c r="A16979" s="124"/>
      <c r="B16979" s="124"/>
      <c r="C16979" s="124"/>
      <c r="D16979" s="124"/>
      <c r="J16979" s="31">
        <v>4</v>
      </c>
      <c r="K16979" s="33" t="s">
        <v>56</v>
      </c>
      <c r="L16979" s="31" t="s">
        <v>57</v>
      </c>
    </row>
    <row r="16980" spans="1:12">
      <c r="A16980" s="255" t="e">
        <f>TRIM(D16995&amp;E16995&amp;D16996&amp;E16996&amp;D16997&amp;E16997&amp;D16998&amp;E16998&amp;D16999&amp;E16999&amp;D17000&amp;E17000&amp;D17001&amp;E17001&amp;" Rupiah")</f>
        <v>#REF!</v>
      </c>
      <c r="B16980" s="255"/>
      <c r="C16980" s="255"/>
      <c r="D16980" s="255"/>
      <c r="E16980" s="35"/>
      <c r="F16980" s="36"/>
      <c r="J16980" s="31">
        <v>5</v>
      </c>
      <c r="K16980" s="33" t="s">
        <v>58</v>
      </c>
      <c r="L16980" s="31" t="s">
        <v>59</v>
      </c>
    </row>
    <row r="16981" spans="1:12">
      <c r="A16981" s="35"/>
      <c r="B16981" s="35"/>
      <c r="C16981" s="35"/>
      <c r="D16981" s="35"/>
      <c r="E16981" s="35"/>
      <c r="F16981" s="36"/>
      <c r="J16981" s="31">
        <v>6</v>
      </c>
      <c r="K16981" s="33" t="s">
        <v>60</v>
      </c>
      <c r="L16981" s="31" t="s">
        <v>61</v>
      </c>
    </row>
    <row r="16982" spans="1:12">
      <c r="J16982" s="31">
        <v>7</v>
      </c>
      <c r="K16982" s="33" t="s">
        <v>62</v>
      </c>
      <c r="L16982" s="31" t="s">
        <v>63</v>
      </c>
    </row>
    <row r="16983" spans="1:12">
      <c r="J16983" s="31">
        <v>8</v>
      </c>
      <c r="K16983" s="33" t="s">
        <v>64</v>
      </c>
      <c r="L16983" s="31" t="s">
        <v>65</v>
      </c>
    </row>
    <row r="16984" spans="1:12">
      <c r="A16984" s="38" t="s">
        <v>66</v>
      </c>
      <c r="J16984" s="31">
        <v>9</v>
      </c>
      <c r="K16984" s="33" t="s">
        <v>67</v>
      </c>
      <c r="L16984" s="31" t="s">
        <v>68</v>
      </c>
    </row>
    <row r="16985" spans="1:12">
      <c r="A16985" s="31" t="s">
        <v>69</v>
      </c>
      <c r="B16985" s="39" t="e">
        <f>TRUNC(A16973/100000000)</f>
        <v>#REF!</v>
      </c>
      <c r="C16985" s="31" t="e">
        <f>B16985*100000000</f>
        <v>#REF!</v>
      </c>
      <c r="D16985" s="31" t="e">
        <f t="shared" ref="D16985:D16991" si="1640">IF(B16985&lt;1,"",VLOOKUP(B16985,$J$3:$K$102,2))</f>
        <v>#REF!</v>
      </c>
      <c r="E16985" s="31" t="e">
        <f>IF(B16985&lt;1,"",IF(B16985&gt;1," Hundreds "," Hundred "))</f>
        <v>#REF!</v>
      </c>
      <c r="J16985" s="31">
        <v>10</v>
      </c>
      <c r="K16985" s="33" t="s">
        <v>70</v>
      </c>
      <c r="L16985" s="31" t="s">
        <v>71</v>
      </c>
    </row>
    <row r="16986" spans="1:12">
      <c r="A16986" s="31" t="s">
        <v>72</v>
      </c>
      <c r="B16986" s="39" t="e">
        <f>TRUNC((A16973-C16985)/1000000)</f>
        <v>#REF!</v>
      </c>
      <c r="C16986" s="31" t="e">
        <f>B16986*1000000</f>
        <v>#REF!</v>
      </c>
      <c r="D16986" s="31" t="e">
        <f t="shared" si="1640"/>
        <v>#REF!</v>
      </c>
      <c r="E16986" s="31" t="e">
        <f>IF(B16985+B16986=0,"",IF(B16986=1," Million "," Millions "))</f>
        <v>#REF!</v>
      </c>
      <c r="J16986" s="31">
        <v>11</v>
      </c>
      <c r="K16986" s="33" t="s">
        <v>73</v>
      </c>
      <c r="L16986" s="31" t="s">
        <v>74</v>
      </c>
    </row>
    <row r="16987" spans="1:12">
      <c r="A16987" s="31" t="s">
        <v>75</v>
      </c>
      <c r="B16987" s="39" t="e">
        <f>TRUNC((A16973-SUM(C16985:C16986))/100000)</f>
        <v>#REF!</v>
      </c>
      <c r="C16987" s="31" t="e">
        <f>B16987*100000</f>
        <v>#REF!</v>
      </c>
      <c r="D16987" s="31" t="e">
        <f t="shared" si="1640"/>
        <v>#REF!</v>
      </c>
      <c r="E16987" s="31" t="e">
        <f>IF(B16987&lt;1,"",IF(B16987&gt;1," Hundreds "," Hundred "))</f>
        <v>#REF!</v>
      </c>
      <c r="J16987" s="31">
        <v>12</v>
      </c>
      <c r="K16987" s="33" t="s">
        <v>76</v>
      </c>
      <c r="L16987" s="31" t="str">
        <f t="shared" ref="L16987:L16994" si="1641">L16977&amp;" Belas"</f>
        <v>Dua Belas</v>
      </c>
    </row>
    <row r="16988" spans="1:12">
      <c r="A16988" s="33" t="s">
        <v>77</v>
      </c>
      <c r="B16988" s="40" t="e">
        <f>TRUNC((A16973-SUM(C16985:C16987))/1000)</f>
        <v>#REF!</v>
      </c>
      <c r="C16988" s="31" t="e">
        <f>B16988*1000</f>
        <v>#REF!</v>
      </c>
      <c r="D16988" s="31" t="e">
        <f t="shared" si="1640"/>
        <v>#REF!</v>
      </c>
      <c r="E16988" s="31" t="e">
        <f>IF(B16987+B16988=0,"",IF(B16988=1," Thousand "," Thousands "))</f>
        <v>#REF!</v>
      </c>
      <c r="J16988" s="31">
        <v>13</v>
      </c>
      <c r="K16988" s="33" t="s">
        <v>78</v>
      </c>
      <c r="L16988" s="31" t="str">
        <f t="shared" si="1641"/>
        <v>Tiga Belas</v>
      </c>
    </row>
    <row r="16989" spans="1:12">
      <c r="A16989" s="33" t="s">
        <v>79</v>
      </c>
      <c r="B16989" s="40" t="e">
        <f>TRUNC((A16973-SUM(C16985:C16988))/100)</f>
        <v>#REF!</v>
      </c>
      <c r="C16989" s="31" t="e">
        <f>B16989*100</f>
        <v>#REF!</v>
      </c>
      <c r="D16989" s="31" t="e">
        <f t="shared" si="1640"/>
        <v>#REF!</v>
      </c>
      <c r="E16989" s="31" t="e">
        <f>IF(B16989&lt;1,"",IF(B16989&gt;1," Hundreds "," Hundred "))</f>
        <v>#REF!</v>
      </c>
      <c r="J16989" s="31">
        <v>14</v>
      </c>
      <c r="K16989" s="33" t="s">
        <v>80</v>
      </c>
      <c r="L16989" s="31" t="str">
        <f t="shared" si="1641"/>
        <v>Empat Belas</v>
      </c>
    </row>
    <row r="16990" spans="1:12">
      <c r="A16990" s="33" t="s">
        <v>81</v>
      </c>
      <c r="B16990" s="41" t="e">
        <f>TRUNC((A16973-SUM(C16985:C16989)))</f>
        <v>#REF!</v>
      </c>
      <c r="C16990" s="42" t="e">
        <f>B16990</f>
        <v>#REF!</v>
      </c>
      <c r="D16990" s="31" t="e">
        <f t="shared" si="1640"/>
        <v>#REF!</v>
      </c>
      <c r="E16990" s="31" t="e">
        <f>IF(SUM(C16985:C16990)&lt;1,"",IF(B16991&lt;1,""," And "))</f>
        <v>#REF!</v>
      </c>
      <c r="J16990" s="31">
        <v>15</v>
      </c>
      <c r="K16990" s="33" t="s">
        <v>82</v>
      </c>
      <c r="L16990" s="31" t="str">
        <f t="shared" si="1641"/>
        <v>Lima Belas</v>
      </c>
    </row>
    <row r="16991" spans="1:12">
      <c r="A16991" s="33" t="s">
        <v>83</v>
      </c>
      <c r="B16991" s="40" t="e">
        <f>ROUND(A16973-SUM(C16985:C16990),2)*100</f>
        <v>#REF!</v>
      </c>
      <c r="D16991" s="43" t="e">
        <f t="shared" si="1640"/>
        <v>#REF!</v>
      </c>
      <c r="E16991" s="31" t="e">
        <f>IF(B16991&lt;1,"",IF(B16991=1," Cent "," Cents "))</f>
        <v>#REF!</v>
      </c>
      <c r="J16991" s="31">
        <v>16</v>
      </c>
      <c r="K16991" s="33" t="s">
        <v>84</v>
      </c>
      <c r="L16991" s="31" t="str">
        <f t="shared" si="1641"/>
        <v>Enam Belas</v>
      </c>
    </row>
    <row r="16992" spans="1:12">
      <c r="J16992" s="31">
        <v>17</v>
      </c>
      <c r="K16992" s="33" t="s">
        <v>85</v>
      </c>
      <c r="L16992" s="31" t="str">
        <f t="shared" si="1641"/>
        <v>Tujuh Belas</v>
      </c>
    </row>
    <row r="16993" spans="1:12">
      <c r="A16993" s="44"/>
      <c r="J16993" s="31">
        <v>18</v>
      </c>
      <c r="K16993" s="33" t="s">
        <v>86</v>
      </c>
      <c r="L16993" s="31" t="str">
        <f t="shared" si="1641"/>
        <v>Delapan Belas</v>
      </c>
    </row>
    <row r="16994" spans="1:12">
      <c r="A16994" s="38" t="s">
        <v>87</v>
      </c>
      <c r="J16994" s="31">
        <v>19</v>
      </c>
      <c r="K16994" s="33" t="s">
        <v>88</v>
      </c>
      <c r="L16994" s="31" t="str">
        <f t="shared" si="1641"/>
        <v>Sembilan Belas</v>
      </c>
    </row>
    <row r="16995" spans="1:12">
      <c r="A16995" s="31" t="s">
        <v>69</v>
      </c>
      <c r="B16995" s="39" t="e">
        <f>TRUNC(A16973/100000000)</f>
        <v>#REF!</v>
      </c>
      <c r="C16995" s="31" t="e">
        <f>B16995*100000000</f>
        <v>#REF!</v>
      </c>
      <c r="D16995" s="31" t="e">
        <f>IF(B16995&lt;1,"",IF(B16995=1,"",VLOOKUP(B16995,$J$3:$L$102,3)))</f>
        <v>#REF!</v>
      </c>
      <c r="E16995" s="31" t="e">
        <f>IF(B16995&lt;1,"",IF(B16995=1,"Seratus "," Ratus "))</f>
        <v>#REF!</v>
      </c>
      <c r="J16995" s="31">
        <v>20</v>
      </c>
      <c r="K16995" s="33" t="s">
        <v>89</v>
      </c>
      <c r="L16995" s="31" t="s">
        <v>90</v>
      </c>
    </row>
    <row r="16996" spans="1:12">
      <c r="A16996" s="31" t="s">
        <v>72</v>
      </c>
      <c r="B16996" s="39" t="e">
        <f>TRUNC((A16973-C16995)/1000000)</f>
        <v>#REF!</v>
      </c>
      <c r="C16996" s="31" t="e">
        <f>B16996*1000000</f>
        <v>#REF!</v>
      </c>
      <c r="D16996" s="31" t="e">
        <f>IF(B16996&lt;1,"",VLOOKUP(B16996,$J$3:$L$102,3))</f>
        <v>#REF!</v>
      </c>
      <c r="E16996" s="31" t="e">
        <f>IF(B16995+B16996=0,""," Juta ")</f>
        <v>#REF!</v>
      </c>
      <c r="J16996" s="31">
        <v>21</v>
      </c>
      <c r="K16996" s="33" t="s">
        <v>91</v>
      </c>
      <c r="L16996" s="31" t="str">
        <f t="shared" ref="L16996:L17004" si="1642">$L$23&amp;" "&amp;L16976</f>
        <v>Dua Puluh Satu</v>
      </c>
    </row>
    <row r="16997" spans="1:12">
      <c r="A16997" s="31" t="s">
        <v>75</v>
      </c>
      <c r="B16997" s="39" t="e">
        <f>TRUNC((A16973-SUM(C16995:C16996))/100000)</f>
        <v>#REF!</v>
      </c>
      <c r="C16997" s="31" t="e">
        <f>B16997*100000</f>
        <v>#REF!</v>
      </c>
      <c r="D16997" s="31" t="e">
        <f>IF(B16997&lt;1,"",IF(B16997=1,"",VLOOKUP(B16997,$J$3:$L$102,3)))</f>
        <v>#REF!</v>
      </c>
      <c r="E16997" s="31" t="e">
        <f>IF(B16997&lt;1,"",IF(B16997=1," Seratus "," Ratus "))</f>
        <v>#REF!</v>
      </c>
      <c r="J16997" s="31">
        <v>22</v>
      </c>
      <c r="K16997" s="33" t="s">
        <v>92</v>
      </c>
      <c r="L16997" s="31" t="str">
        <f t="shared" si="1642"/>
        <v>Dua Puluh Dua</v>
      </c>
    </row>
    <row r="16998" spans="1:12">
      <c r="A16998" s="33" t="s">
        <v>77</v>
      </c>
      <c r="B16998" s="40" t="e">
        <f>TRUNC((A16973-SUM(C16995:C16997))/1000)</f>
        <v>#REF!</v>
      </c>
      <c r="C16998" s="31" t="e">
        <f>B16998*1000</f>
        <v>#REF!</v>
      </c>
      <c r="D16998" s="31" t="e">
        <f>IF(B16998&lt;1,"",IF(B16998=1,"",VLOOKUP(B16998,$J$3:$L$102,3)))</f>
        <v>#REF!</v>
      </c>
      <c r="E16998" s="31" t="e">
        <f>IF(B16997+B16998&lt;1,"",IF(B16998=1," Seribu "," Ribu "))</f>
        <v>#REF!</v>
      </c>
      <c r="J16998" s="31">
        <v>23</v>
      </c>
      <c r="K16998" s="33" t="s">
        <v>93</v>
      </c>
      <c r="L16998" s="31" t="str">
        <f t="shared" si="1642"/>
        <v>Dua Puluh Tiga</v>
      </c>
    </row>
    <row r="16999" spans="1:12">
      <c r="A16999" s="33" t="s">
        <v>79</v>
      </c>
      <c r="B16999" s="40" t="e">
        <f>TRUNC((A16973-SUM(C16995:C16998))/100)</f>
        <v>#REF!</v>
      </c>
      <c r="C16999" s="31" t="e">
        <f>B16999*100</f>
        <v>#REF!</v>
      </c>
      <c r="D16999" s="31" t="e">
        <f>IF(B16999&lt;1,"",IF(B16999=1,"",VLOOKUP(B16999,$J$3:$L$102,3)))</f>
        <v>#REF!</v>
      </c>
      <c r="E16999" s="31" t="e">
        <f>IF(B16999&lt;1,"",IF(B16999=1," Seratus "," Ratus "))</f>
        <v>#REF!</v>
      </c>
      <c r="J16999" s="31">
        <v>24</v>
      </c>
      <c r="K16999" s="33" t="s">
        <v>94</v>
      </c>
      <c r="L16999" s="31" t="str">
        <f t="shared" si="1642"/>
        <v>Dua Puluh Empat</v>
      </c>
    </row>
    <row r="17000" spans="1:12">
      <c r="A17000" s="33" t="s">
        <v>81</v>
      </c>
      <c r="B17000" s="41" t="e">
        <f>TRUNC((A16973-SUM(C16995:C16999)))</f>
        <v>#REF!</v>
      </c>
      <c r="C17000" s="42" t="e">
        <f>B17000</f>
        <v>#REF!</v>
      </c>
      <c r="D17000" s="31" t="e">
        <f>IF(B17000&lt;1,"",VLOOKUP(B17000,$J$3:$L$102,3))</f>
        <v>#REF!</v>
      </c>
      <c r="E17000" s="31" t="e">
        <f>IF(SUM(C16995:C17000)&lt;1,"",IF(B17001&lt;1,""," Dan "))</f>
        <v>#REF!</v>
      </c>
      <c r="J17000" s="31">
        <v>25</v>
      </c>
      <c r="K17000" s="33" t="s">
        <v>95</v>
      </c>
      <c r="L17000" s="31" t="str">
        <f t="shared" si="1642"/>
        <v>Dua Puluh Lima</v>
      </c>
    </row>
    <row r="17001" spans="1:12">
      <c r="A17001" s="33" t="s">
        <v>83</v>
      </c>
      <c r="B17001" s="40" t="e">
        <f>ROUND(A16973-SUM(C16995:C17000),2)*100</f>
        <v>#REF!</v>
      </c>
      <c r="D17001" s="31" t="e">
        <f>IF(B17001&lt;1,"",VLOOKUP(B17001,$J$3:$L$102,3))</f>
        <v>#REF!</v>
      </c>
      <c r="E17001" s="31" t="e">
        <f>IF(B17001&lt;1,""," Sen ")</f>
        <v>#REF!</v>
      </c>
      <c r="J17001" s="31">
        <v>26</v>
      </c>
      <c r="K17001" s="33" t="s">
        <v>96</v>
      </c>
      <c r="L17001" s="31" t="str">
        <f t="shared" si="1642"/>
        <v>Dua Puluh Enam</v>
      </c>
    </row>
    <row r="17002" spans="1:12">
      <c r="J17002" s="31">
        <v>27</v>
      </c>
      <c r="K17002" s="33" t="s">
        <v>97</v>
      </c>
      <c r="L17002" s="31" t="str">
        <f t="shared" si="1642"/>
        <v>Dua Puluh Tujuh</v>
      </c>
    </row>
    <row r="17003" spans="1:12">
      <c r="J17003" s="31">
        <v>28</v>
      </c>
      <c r="K17003" s="33" t="s">
        <v>98</v>
      </c>
      <c r="L17003" s="31" t="str">
        <f t="shared" si="1642"/>
        <v>Dua Puluh Delapan</v>
      </c>
    </row>
    <row r="17004" spans="1:12">
      <c r="J17004" s="31">
        <v>29</v>
      </c>
      <c r="K17004" s="33" t="s">
        <v>99</v>
      </c>
      <c r="L17004" s="31" t="str">
        <f t="shared" si="1642"/>
        <v>Dua Puluh Sembilan</v>
      </c>
    </row>
    <row r="17005" spans="1:12">
      <c r="J17005" s="31">
        <v>30</v>
      </c>
      <c r="K17005" s="33" t="s">
        <v>100</v>
      </c>
      <c r="L17005" s="31" t="s">
        <v>101</v>
      </c>
    </row>
    <row r="17006" spans="1:12">
      <c r="J17006" s="31">
        <v>31</v>
      </c>
      <c r="K17006" s="33" t="s">
        <v>102</v>
      </c>
      <c r="L17006" s="31" t="str">
        <f t="shared" ref="L17006:L17014" si="1643">$L$33&amp;" "&amp;L16976</f>
        <v>Tiga Puluh Satu</v>
      </c>
    </row>
    <row r="17007" spans="1:12">
      <c r="J17007" s="31">
        <v>32</v>
      </c>
      <c r="K17007" s="33" t="s">
        <v>103</v>
      </c>
      <c r="L17007" s="31" t="str">
        <f t="shared" si="1643"/>
        <v>Tiga Puluh Dua</v>
      </c>
    </row>
    <row r="17008" spans="1:12">
      <c r="J17008" s="31">
        <v>33</v>
      </c>
      <c r="K17008" s="33" t="s">
        <v>104</v>
      </c>
      <c r="L17008" s="31" t="str">
        <f t="shared" si="1643"/>
        <v>Tiga Puluh Tiga</v>
      </c>
    </row>
    <row r="17009" spans="1:12">
      <c r="J17009" s="31">
        <v>34</v>
      </c>
      <c r="K17009" s="33" t="s">
        <v>105</v>
      </c>
      <c r="L17009" s="31" t="str">
        <f t="shared" si="1643"/>
        <v>Tiga Puluh Empat</v>
      </c>
    </row>
    <row r="17010" spans="1:12">
      <c r="J17010" s="31">
        <v>35</v>
      </c>
      <c r="K17010" s="33" t="s">
        <v>106</v>
      </c>
      <c r="L17010" s="31" t="str">
        <f t="shared" si="1643"/>
        <v>Tiga Puluh Lima</v>
      </c>
    </row>
    <row r="17011" spans="1:12">
      <c r="J17011" s="31">
        <v>36</v>
      </c>
      <c r="K17011" s="33" t="s">
        <v>107</v>
      </c>
      <c r="L17011" s="31" t="str">
        <f t="shared" si="1643"/>
        <v>Tiga Puluh Enam</v>
      </c>
    </row>
    <row r="17012" spans="1:12">
      <c r="J17012" s="31">
        <v>37</v>
      </c>
      <c r="K17012" s="33" t="s">
        <v>108</v>
      </c>
      <c r="L17012" s="31" t="str">
        <f t="shared" si="1643"/>
        <v>Tiga Puluh Tujuh</v>
      </c>
    </row>
    <row r="17013" spans="1:12">
      <c r="J17013" s="31">
        <v>38</v>
      </c>
      <c r="K17013" s="33" t="s">
        <v>109</v>
      </c>
      <c r="L17013" s="31" t="str">
        <f t="shared" si="1643"/>
        <v>Tiga Puluh Delapan</v>
      </c>
    </row>
    <row r="17014" spans="1:12">
      <c r="J17014" s="31">
        <v>39</v>
      </c>
      <c r="K17014" s="33" t="s">
        <v>110</v>
      </c>
      <c r="L17014" s="31" t="str">
        <f t="shared" si="1643"/>
        <v>Tiga Puluh Sembilan</v>
      </c>
    </row>
    <row r="17015" spans="1:12">
      <c r="B17015" s="35"/>
      <c r="C17015" s="35"/>
      <c r="D17015" s="35"/>
      <c r="J17015" s="31">
        <v>40</v>
      </c>
      <c r="K17015" s="33" t="s">
        <v>111</v>
      </c>
      <c r="L17015" s="31" t="s">
        <v>112</v>
      </c>
    </row>
    <row r="17016" spans="1:12">
      <c r="A17016" s="35"/>
      <c r="B17016" s="35"/>
      <c r="C17016" s="35"/>
      <c r="D17016" s="35"/>
      <c r="J17016" s="31">
        <v>41</v>
      </c>
      <c r="K17016" s="33" t="s">
        <v>113</v>
      </c>
      <c r="L17016" s="31" t="str">
        <f t="shared" ref="L17016:L17024" si="1644">$L$43&amp;" "&amp;L16976</f>
        <v>Empat Puluh Satu</v>
      </c>
    </row>
    <row r="17017" spans="1:12">
      <c r="J17017" s="31">
        <v>42</v>
      </c>
      <c r="K17017" s="33" t="s">
        <v>114</v>
      </c>
      <c r="L17017" s="31" t="str">
        <f t="shared" si="1644"/>
        <v>Empat Puluh Dua</v>
      </c>
    </row>
    <row r="17018" spans="1:12">
      <c r="A17018" s="38"/>
      <c r="J17018" s="31">
        <v>43</v>
      </c>
      <c r="K17018" s="33" t="s">
        <v>115</v>
      </c>
      <c r="L17018" s="31" t="str">
        <f t="shared" si="1644"/>
        <v>Empat Puluh Tiga</v>
      </c>
    </row>
    <row r="17019" spans="1:12">
      <c r="J17019" s="31">
        <v>44</v>
      </c>
      <c r="K17019" s="33" t="s">
        <v>116</v>
      </c>
      <c r="L17019" s="31" t="str">
        <f t="shared" si="1644"/>
        <v>Empat Puluh Empat</v>
      </c>
    </row>
    <row r="17020" spans="1:12">
      <c r="J17020" s="31">
        <v>45</v>
      </c>
      <c r="K17020" s="33" t="s">
        <v>117</v>
      </c>
      <c r="L17020" s="31" t="str">
        <f t="shared" si="1644"/>
        <v>Empat Puluh Lima</v>
      </c>
    </row>
    <row r="17021" spans="1:12">
      <c r="J17021" s="31">
        <v>46</v>
      </c>
      <c r="K17021" s="33" t="s">
        <v>118</v>
      </c>
      <c r="L17021" s="31" t="str">
        <f t="shared" si="1644"/>
        <v>Empat Puluh Enam</v>
      </c>
    </row>
    <row r="17022" spans="1:12">
      <c r="J17022" s="31">
        <v>47</v>
      </c>
      <c r="K17022" s="33" t="s">
        <v>119</v>
      </c>
      <c r="L17022" s="31" t="str">
        <f t="shared" si="1644"/>
        <v>Empat Puluh Tujuh</v>
      </c>
    </row>
    <row r="17023" spans="1:12">
      <c r="J17023" s="31">
        <v>48</v>
      </c>
      <c r="K17023" s="33" t="s">
        <v>120</v>
      </c>
      <c r="L17023" s="31" t="str">
        <f t="shared" si="1644"/>
        <v>Empat Puluh Delapan</v>
      </c>
    </row>
    <row r="17024" spans="1:12">
      <c r="J17024" s="31">
        <v>49</v>
      </c>
      <c r="K17024" s="33" t="s">
        <v>121</v>
      </c>
      <c r="L17024" s="31" t="str">
        <f t="shared" si="1644"/>
        <v>Empat Puluh Sembilan</v>
      </c>
    </row>
    <row r="17025" spans="10:12">
      <c r="J17025" s="31">
        <v>50</v>
      </c>
      <c r="K17025" s="33" t="s">
        <v>122</v>
      </c>
      <c r="L17025" s="31" t="s">
        <v>123</v>
      </c>
    </row>
    <row r="17026" spans="10:12">
      <c r="J17026" s="31">
        <v>51</v>
      </c>
      <c r="K17026" s="33" t="s">
        <v>124</v>
      </c>
      <c r="L17026" s="31" t="str">
        <f t="shared" ref="L17026:L17034" si="1645">$L$53&amp;" "&amp;L16976</f>
        <v>Lima Puluh Satu</v>
      </c>
    </row>
    <row r="17027" spans="10:12">
      <c r="J17027" s="31">
        <v>52</v>
      </c>
      <c r="K17027" s="33" t="s">
        <v>125</v>
      </c>
      <c r="L17027" s="31" t="str">
        <f t="shared" si="1645"/>
        <v>Lima Puluh Dua</v>
      </c>
    </row>
    <row r="17028" spans="10:12">
      <c r="J17028" s="31">
        <v>53</v>
      </c>
      <c r="K17028" s="33" t="s">
        <v>126</v>
      </c>
      <c r="L17028" s="31" t="str">
        <f t="shared" si="1645"/>
        <v>Lima Puluh Tiga</v>
      </c>
    </row>
    <row r="17029" spans="10:12">
      <c r="J17029" s="31">
        <v>54</v>
      </c>
      <c r="K17029" s="33" t="s">
        <v>127</v>
      </c>
      <c r="L17029" s="31" t="str">
        <f t="shared" si="1645"/>
        <v>Lima Puluh Empat</v>
      </c>
    </row>
    <row r="17030" spans="10:12">
      <c r="J17030" s="31">
        <v>55</v>
      </c>
      <c r="K17030" s="33" t="s">
        <v>128</v>
      </c>
      <c r="L17030" s="31" t="str">
        <f t="shared" si="1645"/>
        <v>Lima Puluh Lima</v>
      </c>
    </row>
    <row r="17031" spans="10:12">
      <c r="J17031" s="31">
        <v>56</v>
      </c>
      <c r="K17031" s="33" t="s">
        <v>129</v>
      </c>
      <c r="L17031" s="31" t="str">
        <f t="shared" si="1645"/>
        <v>Lima Puluh Enam</v>
      </c>
    </row>
    <row r="17032" spans="10:12">
      <c r="J17032" s="31">
        <v>57</v>
      </c>
      <c r="K17032" s="33" t="s">
        <v>130</v>
      </c>
      <c r="L17032" s="31" t="str">
        <f t="shared" si="1645"/>
        <v>Lima Puluh Tujuh</v>
      </c>
    </row>
    <row r="17033" spans="10:12">
      <c r="J17033" s="31">
        <v>58</v>
      </c>
      <c r="K17033" s="33" t="s">
        <v>131</v>
      </c>
      <c r="L17033" s="31" t="str">
        <f t="shared" si="1645"/>
        <v>Lima Puluh Delapan</v>
      </c>
    </row>
    <row r="17034" spans="10:12">
      <c r="J17034" s="31">
        <v>59</v>
      </c>
      <c r="K17034" s="33" t="s">
        <v>132</v>
      </c>
      <c r="L17034" s="31" t="str">
        <f t="shared" si="1645"/>
        <v>Lima Puluh Sembilan</v>
      </c>
    </row>
    <row r="17035" spans="10:12">
      <c r="J17035" s="31">
        <v>60</v>
      </c>
      <c r="K17035" s="33" t="s">
        <v>133</v>
      </c>
      <c r="L17035" s="31" t="s">
        <v>134</v>
      </c>
    </row>
    <row r="17036" spans="10:12">
      <c r="J17036" s="31">
        <v>61</v>
      </c>
      <c r="K17036" s="33" t="s">
        <v>135</v>
      </c>
      <c r="L17036" s="31" t="str">
        <f t="shared" ref="L17036:L17044" si="1646">$L$63&amp;" "&amp;L16976</f>
        <v>Enam Puluh Satu</v>
      </c>
    </row>
    <row r="17037" spans="10:12">
      <c r="J17037" s="31">
        <v>62</v>
      </c>
      <c r="K17037" s="33" t="s">
        <v>136</v>
      </c>
      <c r="L17037" s="31" t="str">
        <f t="shared" si="1646"/>
        <v>Enam Puluh Dua</v>
      </c>
    </row>
    <row r="17038" spans="10:12">
      <c r="J17038" s="31">
        <v>63</v>
      </c>
      <c r="K17038" s="33" t="s">
        <v>137</v>
      </c>
      <c r="L17038" s="31" t="str">
        <f t="shared" si="1646"/>
        <v>Enam Puluh Tiga</v>
      </c>
    </row>
    <row r="17039" spans="10:12">
      <c r="J17039" s="31">
        <v>64</v>
      </c>
      <c r="K17039" s="33" t="s">
        <v>138</v>
      </c>
      <c r="L17039" s="31" t="str">
        <f t="shared" si="1646"/>
        <v>Enam Puluh Empat</v>
      </c>
    </row>
    <row r="17040" spans="10:12">
      <c r="J17040" s="31">
        <v>65</v>
      </c>
      <c r="K17040" s="33" t="s">
        <v>139</v>
      </c>
      <c r="L17040" s="31" t="str">
        <f t="shared" si="1646"/>
        <v>Enam Puluh Lima</v>
      </c>
    </row>
    <row r="17041" spans="10:12">
      <c r="J17041" s="31">
        <v>66</v>
      </c>
      <c r="K17041" s="33" t="s">
        <v>140</v>
      </c>
      <c r="L17041" s="31" t="str">
        <f t="shared" si="1646"/>
        <v>Enam Puluh Enam</v>
      </c>
    </row>
    <row r="17042" spans="10:12">
      <c r="J17042" s="31">
        <v>67</v>
      </c>
      <c r="K17042" s="33" t="s">
        <v>141</v>
      </c>
      <c r="L17042" s="31" t="str">
        <f t="shared" si="1646"/>
        <v>Enam Puluh Tujuh</v>
      </c>
    </row>
    <row r="17043" spans="10:12">
      <c r="J17043" s="31">
        <v>68</v>
      </c>
      <c r="K17043" s="33" t="s">
        <v>142</v>
      </c>
      <c r="L17043" s="31" t="str">
        <f t="shared" si="1646"/>
        <v>Enam Puluh Delapan</v>
      </c>
    </row>
    <row r="17044" spans="10:12">
      <c r="J17044" s="31">
        <v>69</v>
      </c>
      <c r="K17044" s="33" t="s">
        <v>143</v>
      </c>
      <c r="L17044" s="31" t="str">
        <f t="shared" si="1646"/>
        <v>Enam Puluh Sembilan</v>
      </c>
    </row>
    <row r="17045" spans="10:12">
      <c r="J17045" s="31">
        <v>70</v>
      </c>
      <c r="K17045" s="33" t="s">
        <v>144</v>
      </c>
      <c r="L17045" s="31" t="s">
        <v>145</v>
      </c>
    </row>
    <row r="17046" spans="10:12">
      <c r="J17046" s="31">
        <v>71</v>
      </c>
      <c r="K17046" s="33" t="s">
        <v>146</v>
      </c>
      <c r="L17046" s="31" t="str">
        <f t="shared" ref="L17046:L17054" si="1647">$L$73&amp;" "&amp;L16976</f>
        <v>Tujuh Puluh Satu</v>
      </c>
    </row>
    <row r="17047" spans="10:12">
      <c r="J17047" s="31">
        <v>72</v>
      </c>
      <c r="K17047" s="33" t="s">
        <v>147</v>
      </c>
      <c r="L17047" s="31" t="str">
        <f t="shared" si="1647"/>
        <v>Tujuh Puluh Dua</v>
      </c>
    </row>
    <row r="17048" spans="10:12">
      <c r="J17048" s="31">
        <v>73</v>
      </c>
      <c r="K17048" s="33" t="s">
        <v>148</v>
      </c>
      <c r="L17048" s="31" t="str">
        <f t="shared" si="1647"/>
        <v>Tujuh Puluh Tiga</v>
      </c>
    </row>
    <row r="17049" spans="10:12">
      <c r="J17049" s="31">
        <v>74</v>
      </c>
      <c r="K17049" s="33" t="s">
        <v>149</v>
      </c>
      <c r="L17049" s="31" t="str">
        <f t="shared" si="1647"/>
        <v>Tujuh Puluh Empat</v>
      </c>
    </row>
    <row r="17050" spans="10:12">
      <c r="J17050" s="31">
        <v>75</v>
      </c>
      <c r="K17050" s="33" t="s">
        <v>150</v>
      </c>
      <c r="L17050" s="31" t="str">
        <f t="shared" si="1647"/>
        <v>Tujuh Puluh Lima</v>
      </c>
    </row>
    <row r="17051" spans="10:12">
      <c r="J17051" s="31">
        <v>76</v>
      </c>
      <c r="K17051" s="33" t="s">
        <v>151</v>
      </c>
      <c r="L17051" s="31" t="str">
        <f t="shared" si="1647"/>
        <v>Tujuh Puluh Enam</v>
      </c>
    </row>
    <row r="17052" spans="10:12">
      <c r="J17052" s="31">
        <v>77</v>
      </c>
      <c r="K17052" s="33" t="s">
        <v>152</v>
      </c>
      <c r="L17052" s="31" t="str">
        <f t="shared" si="1647"/>
        <v>Tujuh Puluh Tujuh</v>
      </c>
    </row>
    <row r="17053" spans="10:12">
      <c r="J17053" s="31">
        <v>78</v>
      </c>
      <c r="K17053" s="33" t="s">
        <v>153</v>
      </c>
      <c r="L17053" s="31" t="str">
        <f t="shared" si="1647"/>
        <v>Tujuh Puluh Delapan</v>
      </c>
    </row>
    <row r="17054" spans="10:12">
      <c r="J17054" s="31">
        <v>79</v>
      </c>
      <c r="K17054" s="33" t="s">
        <v>154</v>
      </c>
      <c r="L17054" s="31" t="str">
        <f t="shared" si="1647"/>
        <v>Tujuh Puluh Sembilan</v>
      </c>
    </row>
    <row r="17055" spans="10:12">
      <c r="J17055" s="31">
        <v>80</v>
      </c>
      <c r="K17055" s="33" t="s">
        <v>155</v>
      </c>
      <c r="L17055" s="31" t="s">
        <v>156</v>
      </c>
    </row>
    <row r="17056" spans="10:12">
      <c r="J17056" s="31">
        <v>81</v>
      </c>
      <c r="K17056" s="33" t="s">
        <v>157</v>
      </c>
      <c r="L17056" s="31" t="str">
        <f t="shared" ref="L17056:L17064" si="1648">$L$83&amp;" "&amp;L16976</f>
        <v>Delapan Puluh Satu</v>
      </c>
    </row>
    <row r="17057" spans="10:12">
      <c r="J17057" s="31">
        <v>82</v>
      </c>
      <c r="K17057" s="33" t="s">
        <v>158</v>
      </c>
      <c r="L17057" s="31" t="str">
        <f t="shared" si="1648"/>
        <v>Delapan Puluh Dua</v>
      </c>
    </row>
    <row r="17058" spans="10:12">
      <c r="J17058" s="31">
        <v>83</v>
      </c>
      <c r="K17058" s="33" t="s">
        <v>159</v>
      </c>
      <c r="L17058" s="31" t="str">
        <f t="shared" si="1648"/>
        <v>Delapan Puluh Tiga</v>
      </c>
    </row>
    <row r="17059" spans="10:12">
      <c r="J17059" s="31">
        <v>84</v>
      </c>
      <c r="K17059" s="33" t="s">
        <v>160</v>
      </c>
      <c r="L17059" s="31" t="str">
        <f t="shared" si="1648"/>
        <v>Delapan Puluh Empat</v>
      </c>
    </row>
    <row r="17060" spans="10:12">
      <c r="J17060" s="31">
        <v>85</v>
      </c>
      <c r="K17060" s="33" t="s">
        <v>161</v>
      </c>
      <c r="L17060" s="31" t="str">
        <f t="shared" si="1648"/>
        <v>Delapan Puluh Lima</v>
      </c>
    </row>
    <row r="17061" spans="10:12">
      <c r="J17061" s="31">
        <v>86</v>
      </c>
      <c r="K17061" s="33" t="s">
        <v>162</v>
      </c>
      <c r="L17061" s="31" t="str">
        <f t="shared" si="1648"/>
        <v>Delapan Puluh Enam</v>
      </c>
    </row>
    <row r="17062" spans="10:12">
      <c r="J17062" s="31">
        <v>87</v>
      </c>
      <c r="K17062" s="33" t="s">
        <v>163</v>
      </c>
      <c r="L17062" s="31" t="str">
        <f t="shared" si="1648"/>
        <v>Delapan Puluh Tujuh</v>
      </c>
    </row>
    <row r="17063" spans="10:12">
      <c r="J17063" s="31">
        <v>88</v>
      </c>
      <c r="K17063" s="33" t="s">
        <v>164</v>
      </c>
      <c r="L17063" s="31" t="str">
        <f t="shared" si="1648"/>
        <v>Delapan Puluh Delapan</v>
      </c>
    </row>
    <row r="17064" spans="10:12">
      <c r="J17064" s="31">
        <v>89</v>
      </c>
      <c r="K17064" s="33" t="s">
        <v>165</v>
      </c>
      <c r="L17064" s="31" t="str">
        <f t="shared" si="1648"/>
        <v>Delapan Puluh Sembilan</v>
      </c>
    </row>
    <row r="17065" spans="10:12">
      <c r="J17065" s="31">
        <v>90</v>
      </c>
      <c r="K17065" s="33" t="s">
        <v>166</v>
      </c>
      <c r="L17065" s="31" t="s">
        <v>167</v>
      </c>
    </row>
    <row r="17066" spans="10:12">
      <c r="J17066" s="31">
        <v>91</v>
      </c>
      <c r="K17066" s="33" t="s">
        <v>168</v>
      </c>
      <c r="L17066" s="31" t="str">
        <f t="shared" ref="L17066:L17074" si="1649">$L$93&amp;" "&amp;L16976</f>
        <v>Sembilan Puluh Satu</v>
      </c>
    </row>
    <row r="17067" spans="10:12">
      <c r="J17067" s="31">
        <v>92</v>
      </c>
      <c r="K17067" s="33" t="s">
        <v>169</v>
      </c>
      <c r="L17067" s="31" t="str">
        <f t="shared" si="1649"/>
        <v>Sembilan Puluh Dua</v>
      </c>
    </row>
    <row r="17068" spans="10:12">
      <c r="J17068" s="31">
        <v>93</v>
      </c>
      <c r="K17068" s="33" t="s">
        <v>170</v>
      </c>
      <c r="L17068" s="31" t="str">
        <f t="shared" si="1649"/>
        <v>Sembilan Puluh Tiga</v>
      </c>
    </row>
    <row r="17069" spans="10:12">
      <c r="J17069" s="31">
        <v>94</v>
      </c>
      <c r="K17069" s="33" t="s">
        <v>171</v>
      </c>
      <c r="L17069" s="31" t="str">
        <f t="shared" si="1649"/>
        <v>Sembilan Puluh Empat</v>
      </c>
    </row>
    <row r="17070" spans="10:12">
      <c r="J17070" s="31">
        <v>95</v>
      </c>
      <c r="K17070" s="33" t="s">
        <v>172</v>
      </c>
      <c r="L17070" s="31" t="str">
        <f t="shared" si="1649"/>
        <v>Sembilan Puluh Lima</v>
      </c>
    </row>
    <row r="17071" spans="10:12">
      <c r="J17071" s="31">
        <v>96</v>
      </c>
      <c r="K17071" s="33" t="s">
        <v>173</v>
      </c>
      <c r="L17071" s="31" t="str">
        <f t="shared" si="1649"/>
        <v>Sembilan Puluh Enam</v>
      </c>
    </row>
    <row r="17072" spans="10:12">
      <c r="J17072" s="31">
        <v>97</v>
      </c>
      <c r="K17072" s="33" t="s">
        <v>174</v>
      </c>
      <c r="L17072" s="31" t="str">
        <f t="shared" si="1649"/>
        <v>Sembilan Puluh Tujuh</v>
      </c>
    </row>
    <row r="17073" spans="1:12">
      <c r="J17073" s="31">
        <v>98</v>
      </c>
      <c r="K17073" s="33" t="s">
        <v>175</v>
      </c>
      <c r="L17073" s="31" t="str">
        <f t="shared" si="1649"/>
        <v>Sembilan Puluh Delapan</v>
      </c>
    </row>
    <row r="17074" spans="1:12">
      <c r="J17074" s="31">
        <v>99</v>
      </c>
      <c r="K17074" s="33" t="s">
        <v>176</v>
      </c>
      <c r="L17074" s="31" t="str">
        <f t="shared" si="1649"/>
        <v>Sembilan Puluh Sembilan</v>
      </c>
    </row>
    <row r="17076" spans="1:12">
      <c r="A17076" s="30" t="e">
        <f>#REF!</f>
        <v>#REF!</v>
      </c>
      <c r="C17076" s="31" t="s">
        <v>401</v>
      </c>
    </row>
    <row r="17077" spans="1:12">
      <c r="A17077" s="32"/>
    </row>
    <row r="17078" spans="1:12">
      <c r="J17078" s="31">
        <v>0</v>
      </c>
      <c r="K17078" s="33" t="s">
        <v>48</v>
      </c>
      <c r="L17078" s="31" t="s">
        <v>49</v>
      </c>
    </row>
    <row r="17079" spans="1:12">
      <c r="A17079" s="34"/>
      <c r="J17079" s="31">
        <v>1</v>
      </c>
      <c r="K17079" s="33" t="s">
        <v>50</v>
      </c>
      <c r="L17079" s="31" t="s">
        <v>51</v>
      </c>
    </row>
    <row r="17080" spans="1:12">
      <c r="A17080" s="255" t="e">
        <f>TRIM(D17088&amp;E17088&amp;D17089&amp;E17089&amp;D17090&amp;E17090&amp;D17091&amp;E17091&amp;D17092&amp;E17092&amp;D17093&amp;E17093&amp;E17094&amp;D17094&amp;" Only")</f>
        <v>#REF!</v>
      </c>
      <c r="B17080" s="255"/>
      <c r="C17080" s="255"/>
      <c r="D17080" s="255"/>
      <c r="E17080" s="35"/>
      <c r="F17080" s="36"/>
      <c r="J17080" s="31">
        <v>2</v>
      </c>
      <c r="K17080" s="33" t="s">
        <v>52</v>
      </c>
      <c r="L17080" s="31" t="s">
        <v>53</v>
      </c>
    </row>
    <row r="17081" spans="1:12">
      <c r="A17081" s="124"/>
      <c r="B17081" s="124"/>
      <c r="C17081" s="124"/>
      <c r="D17081" s="124"/>
      <c r="E17081" s="35"/>
      <c r="F17081" s="36"/>
      <c r="J17081" s="31">
        <v>3</v>
      </c>
      <c r="K17081" s="33" t="s">
        <v>54</v>
      </c>
      <c r="L17081" s="31" t="s">
        <v>55</v>
      </c>
    </row>
    <row r="17082" spans="1:12">
      <c r="A17082" s="124"/>
      <c r="B17082" s="124"/>
      <c r="C17082" s="124"/>
      <c r="D17082" s="124"/>
      <c r="J17082" s="31">
        <v>4</v>
      </c>
      <c r="K17082" s="33" t="s">
        <v>56</v>
      </c>
      <c r="L17082" s="31" t="s">
        <v>57</v>
      </c>
    </row>
    <row r="17083" spans="1:12">
      <c r="A17083" s="255" t="e">
        <f>TRIM(D17098&amp;E17098&amp;D17099&amp;E17099&amp;D17100&amp;E17100&amp;D17101&amp;E17101&amp;D17102&amp;E17102&amp;D17103&amp;E17103&amp;D17104&amp;E17104&amp;" Rupiah")</f>
        <v>#REF!</v>
      </c>
      <c r="B17083" s="255"/>
      <c r="C17083" s="255"/>
      <c r="D17083" s="255"/>
      <c r="E17083" s="35"/>
      <c r="F17083" s="36"/>
      <c r="J17083" s="31">
        <v>5</v>
      </c>
      <c r="K17083" s="33" t="s">
        <v>58</v>
      </c>
      <c r="L17083" s="31" t="s">
        <v>59</v>
      </c>
    </row>
    <row r="17084" spans="1:12">
      <c r="A17084" s="35"/>
      <c r="B17084" s="35"/>
      <c r="C17084" s="35"/>
      <c r="D17084" s="35"/>
      <c r="E17084" s="35"/>
      <c r="F17084" s="36"/>
      <c r="J17084" s="31">
        <v>6</v>
      </c>
      <c r="K17084" s="33" t="s">
        <v>60</v>
      </c>
      <c r="L17084" s="31" t="s">
        <v>61</v>
      </c>
    </row>
    <row r="17085" spans="1:12">
      <c r="J17085" s="31">
        <v>7</v>
      </c>
      <c r="K17085" s="33" t="s">
        <v>62</v>
      </c>
      <c r="L17085" s="31" t="s">
        <v>63</v>
      </c>
    </row>
    <row r="17086" spans="1:12">
      <c r="J17086" s="31">
        <v>8</v>
      </c>
      <c r="K17086" s="33" t="s">
        <v>64</v>
      </c>
      <c r="L17086" s="31" t="s">
        <v>65</v>
      </c>
    </row>
    <row r="17087" spans="1:12">
      <c r="A17087" s="38" t="s">
        <v>66</v>
      </c>
      <c r="J17087" s="31">
        <v>9</v>
      </c>
      <c r="K17087" s="33" t="s">
        <v>67</v>
      </c>
      <c r="L17087" s="31" t="s">
        <v>68</v>
      </c>
    </row>
    <row r="17088" spans="1:12">
      <c r="A17088" s="31" t="s">
        <v>69</v>
      </c>
      <c r="B17088" s="39" t="e">
        <f>TRUNC(A17076/100000000)</f>
        <v>#REF!</v>
      </c>
      <c r="C17088" s="31" t="e">
        <f>B17088*100000000</f>
        <v>#REF!</v>
      </c>
      <c r="D17088" s="31" t="e">
        <f t="shared" ref="D17088:D17094" si="1650">IF(B17088&lt;1,"",VLOOKUP(B17088,$J$3:$K$102,2))</f>
        <v>#REF!</v>
      </c>
      <c r="E17088" s="31" t="e">
        <f>IF(B17088&lt;1,"",IF(B17088&gt;1," Hundreds "," Hundred "))</f>
        <v>#REF!</v>
      </c>
      <c r="J17088" s="31">
        <v>10</v>
      </c>
      <c r="K17088" s="33" t="s">
        <v>70</v>
      </c>
      <c r="L17088" s="31" t="s">
        <v>71</v>
      </c>
    </row>
    <row r="17089" spans="1:12">
      <c r="A17089" s="31" t="s">
        <v>72</v>
      </c>
      <c r="B17089" s="39" t="e">
        <f>TRUNC((A17076-C17088)/1000000)</f>
        <v>#REF!</v>
      </c>
      <c r="C17089" s="31" t="e">
        <f>B17089*1000000</f>
        <v>#REF!</v>
      </c>
      <c r="D17089" s="31" t="e">
        <f t="shared" si="1650"/>
        <v>#REF!</v>
      </c>
      <c r="E17089" s="31" t="e">
        <f>IF(B17088+B17089=0,"",IF(B17089=1," Million "," Millions "))</f>
        <v>#REF!</v>
      </c>
      <c r="J17089" s="31">
        <v>11</v>
      </c>
      <c r="K17089" s="33" t="s">
        <v>73</v>
      </c>
      <c r="L17089" s="31" t="s">
        <v>74</v>
      </c>
    </row>
    <row r="17090" spans="1:12">
      <c r="A17090" s="31" t="s">
        <v>75</v>
      </c>
      <c r="B17090" s="39" t="e">
        <f>TRUNC((A17076-SUM(C17088:C17089))/100000)</f>
        <v>#REF!</v>
      </c>
      <c r="C17090" s="31" t="e">
        <f>B17090*100000</f>
        <v>#REF!</v>
      </c>
      <c r="D17090" s="31" t="e">
        <f t="shared" si="1650"/>
        <v>#REF!</v>
      </c>
      <c r="E17090" s="31" t="e">
        <f>IF(B17090&lt;1,"",IF(B17090&gt;1," Hundreds "," Hundred "))</f>
        <v>#REF!</v>
      </c>
      <c r="J17090" s="31">
        <v>12</v>
      </c>
      <c r="K17090" s="33" t="s">
        <v>76</v>
      </c>
      <c r="L17090" s="31" t="str">
        <f t="shared" ref="L17090:L17097" si="1651">L17080&amp;" Belas"</f>
        <v>Dua Belas</v>
      </c>
    </row>
    <row r="17091" spans="1:12">
      <c r="A17091" s="33" t="s">
        <v>77</v>
      </c>
      <c r="B17091" s="40" t="e">
        <f>TRUNC((A17076-SUM(C17088:C17090))/1000)</f>
        <v>#REF!</v>
      </c>
      <c r="C17091" s="31" t="e">
        <f>B17091*1000</f>
        <v>#REF!</v>
      </c>
      <c r="D17091" s="31" t="e">
        <f t="shared" si="1650"/>
        <v>#REF!</v>
      </c>
      <c r="E17091" s="31" t="e">
        <f>IF(B17090+B17091=0,"",IF(B17091=1," Thousand "," Thousands "))</f>
        <v>#REF!</v>
      </c>
      <c r="J17091" s="31">
        <v>13</v>
      </c>
      <c r="K17091" s="33" t="s">
        <v>78</v>
      </c>
      <c r="L17091" s="31" t="str">
        <f t="shared" si="1651"/>
        <v>Tiga Belas</v>
      </c>
    </row>
    <row r="17092" spans="1:12">
      <c r="A17092" s="33" t="s">
        <v>79</v>
      </c>
      <c r="B17092" s="40" t="e">
        <f>TRUNC((A17076-SUM(C17088:C17091))/100)</f>
        <v>#REF!</v>
      </c>
      <c r="C17092" s="31" t="e">
        <f>B17092*100</f>
        <v>#REF!</v>
      </c>
      <c r="D17092" s="31" t="e">
        <f t="shared" si="1650"/>
        <v>#REF!</v>
      </c>
      <c r="E17092" s="31" t="e">
        <f>IF(B17092&lt;1,"",IF(B17092&gt;1," Hundreds "," Hundred "))</f>
        <v>#REF!</v>
      </c>
      <c r="J17092" s="31">
        <v>14</v>
      </c>
      <c r="K17092" s="33" t="s">
        <v>80</v>
      </c>
      <c r="L17092" s="31" t="str">
        <f t="shared" si="1651"/>
        <v>Empat Belas</v>
      </c>
    </row>
    <row r="17093" spans="1:12">
      <c r="A17093" s="33" t="s">
        <v>81</v>
      </c>
      <c r="B17093" s="41" t="e">
        <f>TRUNC((A17076-SUM(C17088:C17092)))</f>
        <v>#REF!</v>
      </c>
      <c r="C17093" s="42" t="e">
        <f>B17093</f>
        <v>#REF!</v>
      </c>
      <c r="D17093" s="31" t="e">
        <f t="shared" si="1650"/>
        <v>#REF!</v>
      </c>
      <c r="E17093" s="31" t="e">
        <f>IF(SUM(C17088:C17093)&lt;1,"",IF(B17094&lt;1,""," And "))</f>
        <v>#REF!</v>
      </c>
      <c r="J17093" s="31">
        <v>15</v>
      </c>
      <c r="K17093" s="33" t="s">
        <v>82</v>
      </c>
      <c r="L17093" s="31" t="str">
        <f t="shared" si="1651"/>
        <v>Lima Belas</v>
      </c>
    </row>
    <row r="17094" spans="1:12">
      <c r="A17094" s="33" t="s">
        <v>83</v>
      </c>
      <c r="B17094" s="40" t="e">
        <f>ROUND(A17076-SUM(C17088:C17093),2)*100</f>
        <v>#REF!</v>
      </c>
      <c r="D17094" s="43" t="e">
        <f t="shared" si="1650"/>
        <v>#REF!</v>
      </c>
      <c r="E17094" s="31" t="e">
        <f>IF(B17094&lt;1,"",IF(B17094=1," Cent "," Cents "))</f>
        <v>#REF!</v>
      </c>
      <c r="J17094" s="31">
        <v>16</v>
      </c>
      <c r="K17094" s="33" t="s">
        <v>84</v>
      </c>
      <c r="L17094" s="31" t="str">
        <f t="shared" si="1651"/>
        <v>Enam Belas</v>
      </c>
    </row>
    <row r="17095" spans="1:12">
      <c r="J17095" s="31">
        <v>17</v>
      </c>
      <c r="K17095" s="33" t="s">
        <v>85</v>
      </c>
      <c r="L17095" s="31" t="str">
        <f t="shared" si="1651"/>
        <v>Tujuh Belas</v>
      </c>
    </row>
    <row r="17096" spans="1:12">
      <c r="A17096" s="44"/>
      <c r="J17096" s="31">
        <v>18</v>
      </c>
      <c r="K17096" s="33" t="s">
        <v>86</v>
      </c>
      <c r="L17096" s="31" t="str">
        <f t="shared" si="1651"/>
        <v>Delapan Belas</v>
      </c>
    </row>
    <row r="17097" spans="1:12">
      <c r="A17097" s="38" t="s">
        <v>87</v>
      </c>
      <c r="J17097" s="31">
        <v>19</v>
      </c>
      <c r="K17097" s="33" t="s">
        <v>88</v>
      </c>
      <c r="L17097" s="31" t="str">
        <f t="shared" si="1651"/>
        <v>Sembilan Belas</v>
      </c>
    </row>
    <row r="17098" spans="1:12">
      <c r="A17098" s="31" t="s">
        <v>69</v>
      </c>
      <c r="B17098" s="39" t="e">
        <f>TRUNC(A17076/100000000)</f>
        <v>#REF!</v>
      </c>
      <c r="C17098" s="31" t="e">
        <f>B17098*100000000</f>
        <v>#REF!</v>
      </c>
      <c r="D17098" s="31" t="e">
        <f>IF(B17098&lt;1,"",IF(B17098=1,"",VLOOKUP(B17098,$J$3:$L$102,3)))</f>
        <v>#REF!</v>
      </c>
      <c r="E17098" s="31" t="e">
        <f>IF(B17098&lt;1,"",IF(B17098=1,"Seratus "," Ratus "))</f>
        <v>#REF!</v>
      </c>
      <c r="J17098" s="31">
        <v>20</v>
      </c>
      <c r="K17098" s="33" t="s">
        <v>89</v>
      </c>
      <c r="L17098" s="31" t="s">
        <v>90</v>
      </c>
    </row>
    <row r="17099" spans="1:12">
      <c r="A17099" s="31" t="s">
        <v>72</v>
      </c>
      <c r="B17099" s="39" t="e">
        <f>TRUNC((A17076-C17098)/1000000)</f>
        <v>#REF!</v>
      </c>
      <c r="C17099" s="31" t="e">
        <f>B17099*1000000</f>
        <v>#REF!</v>
      </c>
      <c r="D17099" s="31" t="e">
        <f>IF(B17099&lt;1,"",VLOOKUP(B17099,$J$3:$L$102,3))</f>
        <v>#REF!</v>
      </c>
      <c r="E17099" s="31" t="e">
        <f>IF(B17098+B17099=0,""," Juta ")</f>
        <v>#REF!</v>
      </c>
      <c r="J17099" s="31">
        <v>21</v>
      </c>
      <c r="K17099" s="33" t="s">
        <v>91</v>
      </c>
      <c r="L17099" s="31" t="str">
        <f t="shared" ref="L17099:L17107" si="1652">$L$23&amp;" "&amp;L17079</f>
        <v>Dua Puluh Satu</v>
      </c>
    </row>
    <row r="17100" spans="1:12">
      <c r="A17100" s="31" t="s">
        <v>75</v>
      </c>
      <c r="B17100" s="39" t="e">
        <f>TRUNC((A17076-SUM(C17098:C17099))/100000)</f>
        <v>#REF!</v>
      </c>
      <c r="C17100" s="31" t="e">
        <f>B17100*100000</f>
        <v>#REF!</v>
      </c>
      <c r="D17100" s="31" t="e">
        <f>IF(B17100&lt;1,"",IF(B17100=1,"",VLOOKUP(B17100,$J$3:$L$102,3)))</f>
        <v>#REF!</v>
      </c>
      <c r="E17100" s="31" t="e">
        <f>IF(B17100&lt;1,"",IF(B17100=1," Seratus "," Ratus "))</f>
        <v>#REF!</v>
      </c>
      <c r="J17100" s="31">
        <v>22</v>
      </c>
      <c r="K17100" s="33" t="s">
        <v>92</v>
      </c>
      <c r="L17100" s="31" t="str">
        <f t="shared" si="1652"/>
        <v>Dua Puluh Dua</v>
      </c>
    </row>
    <row r="17101" spans="1:12">
      <c r="A17101" s="33" t="s">
        <v>77</v>
      </c>
      <c r="B17101" s="40" t="e">
        <f>TRUNC((A17076-SUM(C17098:C17100))/1000)</f>
        <v>#REF!</v>
      </c>
      <c r="C17101" s="31" t="e">
        <f>B17101*1000</f>
        <v>#REF!</v>
      </c>
      <c r="D17101" s="31" t="e">
        <f>IF(B17101&lt;1,"",IF(B17101=1,"",VLOOKUP(B17101,$J$3:$L$102,3)))</f>
        <v>#REF!</v>
      </c>
      <c r="E17101" s="31" t="e">
        <f>IF(B17100+B17101&lt;1,"",IF(B17101=1," Seribu "," Ribu "))</f>
        <v>#REF!</v>
      </c>
      <c r="J17101" s="31">
        <v>23</v>
      </c>
      <c r="K17101" s="33" t="s">
        <v>93</v>
      </c>
      <c r="L17101" s="31" t="str">
        <f t="shared" si="1652"/>
        <v>Dua Puluh Tiga</v>
      </c>
    </row>
    <row r="17102" spans="1:12">
      <c r="A17102" s="33" t="s">
        <v>79</v>
      </c>
      <c r="B17102" s="40" t="e">
        <f>TRUNC((A17076-SUM(C17098:C17101))/100)</f>
        <v>#REF!</v>
      </c>
      <c r="C17102" s="31" t="e">
        <f>B17102*100</f>
        <v>#REF!</v>
      </c>
      <c r="D17102" s="31" t="e">
        <f>IF(B17102&lt;1,"",IF(B17102=1,"",VLOOKUP(B17102,$J$3:$L$102,3)))</f>
        <v>#REF!</v>
      </c>
      <c r="E17102" s="31" t="e">
        <f>IF(B17102&lt;1,"",IF(B17102=1," Seratus "," Ratus "))</f>
        <v>#REF!</v>
      </c>
      <c r="J17102" s="31">
        <v>24</v>
      </c>
      <c r="K17102" s="33" t="s">
        <v>94</v>
      </c>
      <c r="L17102" s="31" t="str">
        <f t="shared" si="1652"/>
        <v>Dua Puluh Empat</v>
      </c>
    </row>
    <row r="17103" spans="1:12">
      <c r="A17103" s="33" t="s">
        <v>81</v>
      </c>
      <c r="B17103" s="41" t="e">
        <f>TRUNC((A17076-SUM(C17098:C17102)))</f>
        <v>#REF!</v>
      </c>
      <c r="C17103" s="42" t="e">
        <f>B17103</f>
        <v>#REF!</v>
      </c>
      <c r="D17103" s="31" t="e">
        <f>IF(B17103&lt;1,"",VLOOKUP(B17103,$J$3:$L$102,3))</f>
        <v>#REF!</v>
      </c>
      <c r="E17103" s="31" t="e">
        <f>IF(SUM(C17098:C17103)&lt;1,"",IF(B17104&lt;1,""," Dan "))</f>
        <v>#REF!</v>
      </c>
      <c r="J17103" s="31">
        <v>25</v>
      </c>
      <c r="K17103" s="33" t="s">
        <v>95</v>
      </c>
      <c r="L17103" s="31" t="str">
        <f t="shared" si="1652"/>
        <v>Dua Puluh Lima</v>
      </c>
    </row>
    <row r="17104" spans="1:12">
      <c r="A17104" s="33" t="s">
        <v>83</v>
      </c>
      <c r="B17104" s="40" t="e">
        <f>ROUND(A17076-SUM(C17098:C17103),2)*100</f>
        <v>#REF!</v>
      </c>
      <c r="D17104" s="31" t="e">
        <f>IF(B17104&lt;1,"",VLOOKUP(B17104,$J$3:$L$102,3))</f>
        <v>#REF!</v>
      </c>
      <c r="E17104" s="31" t="e">
        <f>IF(B17104&lt;1,""," Sen ")</f>
        <v>#REF!</v>
      </c>
      <c r="J17104" s="31">
        <v>26</v>
      </c>
      <c r="K17104" s="33" t="s">
        <v>96</v>
      </c>
      <c r="L17104" s="31" t="str">
        <f t="shared" si="1652"/>
        <v>Dua Puluh Enam</v>
      </c>
    </row>
    <row r="17105" spans="1:12">
      <c r="J17105" s="31">
        <v>27</v>
      </c>
      <c r="K17105" s="33" t="s">
        <v>97</v>
      </c>
      <c r="L17105" s="31" t="str">
        <f t="shared" si="1652"/>
        <v>Dua Puluh Tujuh</v>
      </c>
    </row>
    <row r="17106" spans="1:12">
      <c r="J17106" s="31">
        <v>28</v>
      </c>
      <c r="K17106" s="33" t="s">
        <v>98</v>
      </c>
      <c r="L17106" s="31" t="str">
        <f t="shared" si="1652"/>
        <v>Dua Puluh Delapan</v>
      </c>
    </row>
    <row r="17107" spans="1:12">
      <c r="J17107" s="31">
        <v>29</v>
      </c>
      <c r="K17107" s="33" t="s">
        <v>99</v>
      </c>
      <c r="L17107" s="31" t="str">
        <f t="shared" si="1652"/>
        <v>Dua Puluh Sembilan</v>
      </c>
    </row>
    <row r="17108" spans="1:12">
      <c r="J17108" s="31">
        <v>30</v>
      </c>
      <c r="K17108" s="33" t="s">
        <v>100</v>
      </c>
      <c r="L17108" s="31" t="s">
        <v>101</v>
      </c>
    </row>
    <row r="17109" spans="1:12">
      <c r="J17109" s="31">
        <v>31</v>
      </c>
      <c r="K17109" s="33" t="s">
        <v>102</v>
      </c>
      <c r="L17109" s="31" t="str">
        <f t="shared" ref="L17109:L17117" si="1653">$L$33&amp;" "&amp;L17079</f>
        <v>Tiga Puluh Satu</v>
      </c>
    </row>
    <row r="17110" spans="1:12">
      <c r="J17110" s="31">
        <v>32</v>
      </c>
      <c r="K17110" s="33" t="s">
        <v>103</v>
      </c>
      <c r="L17110" s="31" t="str">
        <f t="shared" si="1653"/>
        <v>Tiga Puluh Dua</v>
      </c>
    </row>
    <row r="17111" spans="1:12">
      <c r="J17111" s="31">
        <v>33</v>
      </c>
      <c r="K17111" s="33" t="s">
        <v>104</v>
      </c>
      <c r="L17111" s="31" t="str">
        <f t="shared" si="1653"/>
        <v>Tiga Puluh Tiga</v>
      </c>
    </row>
    <row r="17112" spans="1:12">
      <c r="J17112" s="31">
        <v>34</v>
      </c>
      <c r="K17112" s="33" t="s">
        <v>105</v>
      </c>
      <c r="L17112" s="31" t="str">
        <f t="shared" si="1653"/>
        <v>Tiga Puluh Empat</v>
      </c>
    </row>
    <row r="17113" spans="1:12">
      <c r="J17113" s="31">
        <v>35</v>
      </c>
      <c r="K17113" s="33" t="s">
        <v>106</v>
      </c>
      <c r="L17113" s="31" t="str">
        <f t="shared" si="1653"/>
        <v>Tiga Puluh Lima</v>
      </c>
    </row>
    <row r="17114" spans="1:12">
      <c r="J17114" s="31">
        <v>36</v>
      </c>
      <c r="K17114" s="33" t="s">
        <v>107</v>
      </c>
      <c r="L17114" s="31" t="str">
        <f t="shared" si="1653"/>
        <v>Tiga Puluh Enam</v>
      </c>
    </row>
    <row r="17115" spans="1:12">
      <c r="J17115" s="31">
        <v>37</v>
      </c>
      <c r="K17115" s="33" t="s">
        <v>108</v>
      </c>
      <c r="L17115" s="31" t="str">
        <f t="shared" si="1653"/>
        <v>Tiga Puluh Tujuh</v>
      </c>
    </row>
    <row r="17116" spans="1:12">
      <c r="J17116" s="31">
        <v>38</v>
      </c>
      <c r="K17116" s="33" t="s">
        <v>109</v>
      </c>
      <c r="L17116" s="31" t="str">
        <f t="shared" si="1653"/>
        <v>Tiga Puluh Delapan</v>
      </c>
    </row>
    <row r="17117" spans="1:12">
      <c r="J17117" s="31">
        <v>39</v>
      </c>
      <c r="K17117" s="33" t="s">
        <v>110</v>
      </c>
      <c r="L17117" s="31" t="str">
        <f t="shared" si="1653"/>
        <v>Tiga Puluh Sembilan</v>
      </c>
    </row>
    <row r="17118" spans="1:12">
      <c r="B17118" s="35"/>
      <c r="C17118" s="35"/>
      <c r="D17118" s="35"/>
      <c r="J17118" s="31">
        <v>40</v>
      </c>
      <c r="K17118" s="33" t="s">
        <v>111</v>
      </c>
      <c r="L17118" s="31" t="s">
        <v>112</v>
      </c>
    </row>
    <row r="17119" spans="1:12">
      <c r="A17119" s="35"/>
      <c r="B17119" s="35"/>
      <c r="C17119" s="35"/>
      <c r="D17119" s="35"/>
      <c r="J17119" s="31">
        <v>41</v>
      </c>
      <c r="K17119" s="33" t="s">
        <v>113</v>
      </c>
      <c r="L17119" s="31" t="str">
        <f t="shared" ref="L17119:L17127" si="1654">$L$43&amp;" "&amp;L17079</f>
        <v>Empat Puluh Satu</v>
      </c>
    </row>
    <row r="17120" spans="1:12">
      <c r="J17120" s="31">
        <v>42</v>
      </c>
      <c r="K17120" s="33" t="s">
        <v>114</v>
      </c>
      <c r="L17120" s="31" t="str">
        <f t="shared" si="1654"/>
        <v>Empat Puluh Dua</v>
      </c>
    </row>
    <row r="17121" spans="1:12">
      <c r="A17121" s="38"/>
      <c r="J17121" s="31">
        <v>43</v>
      </c>
      <c r="K17121" s="33" t="s">
        <v>115</v>
      </c>
      <c r="L17121" s="31" t="str">
        <f t="shared" si="1654"/>
        <v>Empat Puluh Tiga</v>
      </c>
    </row>
    <row r="17122" spans="1:12">
      <c r="J17122" s="31">
        <v>44</v>
      </c>
      <c r="K17122" s="33" t="s">
        <v>116</v>
      </c>
      <c r="L17122" s="31" t="str">
        <f t="shared" si="1654"/>
        <v>Empat Puluh Empat</v>
      </c>
    </row>
    <row r="17123" spans="1:12">
      <c r="J17123" s="31">
        <v>45</v>
      </c>
      <c r="K17123" s="33" t="s">
        <v>117</v>
      </c>
      <c r="L17123" s="31" t="str">
        <f t="shared" si="1654"/>
        <v>Empat Puluh Lima</v>
      </c>
    </row>
    <row r="17124" spans="1:12">
      <c r="J17124" s="31">
        <v>46</v>
      </c>
      <c r="K17124" s="33" t="s">
        <v>118</v>
      </c>
      <c r="L17124" s="31" t="str">
        <f t="shared" si="1654"/>
        <v>Empat Puluh Enam</v>
      </c>
    </row>
    <row r="17125" spans="1:12">
      <c r="J17125" s="31">
        <v>47</v>
      </c>
      <c r="K17125" s="33" t="s">
        <v>119</v>
      </c>
      <c r="L17125" s="31" t="str">
        <f t="shared" si="1654"/>
        <v>Empat Puluh Tujuh</v>
      </c>
    </row>
    <row r="17126" spans="1:12">
      <c r="J17126" s="31">
        <v>48</v>
      </c>
      <c r="K17126" s="33" t="s">
        <v>120</v>
      </c>
      <c r="L17126" s="31" t="str">
        <f t="shared" si="1654"/>
        <v>Empat Puluh Delapan</v>
      </c>
    </row>
    <row r="17127" spans="1:12">
      <c r="J17127" s="31">
        <v>49</v>
      </c>
      <c r="K17127" s="33" t="s">
        <v>121</v>
      </c>
      <c r="L17127" s="31" t="str">
        <f t="shared" si="1654"/>
        <v>Empat Puluh Sembilan</v>
      </c>
    </row>
    <row r="17128" spans="1:12">
      <c r="J17128" s="31">
        <v>50</v>
      </c>
      <c r="K17128" s="33" t="s">
        <v>122</v>
      </c>
      <c r="L17128" s="31" t="s">
        <v>123</v>
      </c>
    </row>
    <row r="17129" spans="1:12">
      <c r="J17129" s="31">
        <v>51</v>
      </c>
      <c r="K17129" s="33" t="s">
        <v>124</v>
      </c>
      <c r="L17129" s="31" t="str">
        <f t="shared" ref="L17129:L17137" si="1655">$L$53&amp;" "&amp;L17079</f>
        <v>Lima Puluh Satu</v>
      </c>
    </row>
    <row r="17130" spans="1:12">
      <c r="J17130" s="31">
        <v>52</v>
      </c>
      <c r="K17130" s="33" t="s">
        <v>125</v>
      </c>
      <c r="L17130" s="31" t="str">
        <f t="shared" si="1655"/>
        <v>Lima Puluh Dua</v>
      </c>
    </row>
    <row r="17131" spans="1:12">
      <c r="J17131" s="31">
        <v>53</v>
      </c>
      <c r="K17131" s="33" t="s">
        <v>126</v>
      </c>
      <c r="L17131" s="31" t="str">
        <f t="shared" si="1655"/>
        <v>Lima Puluh Tiga</v>
      </c>
    </row>
    <row r="17132" spans="1:12">
      <c r="J17132" s="31">
        <v>54</v>
      </c>
      <c r="K17132" s="33" t="s">
        <v>127</v>
      </c>
      <c r="L17132" s="31" t="str">
        <f t="shared" si="1655"/>
        <v>Lima Puluh Empat</v>
      </c>
    </row>
    <row r="17133" spans="1:12">
      <c r="J17133" s="31">
        <v>55</v>
      </c>
      <c r="K17133" s="33" t="s">
        <v>128</v>
      </c>
      <c r="L17133" s="31" t="str">
        <f t="shared" si="1655"/>
        <v>Lima Puluh Lima</v>
      </c>
    </row>
    <row r="17134" spans="1:12">
      <c r="J17134" s="31">
        <v>56</v>
      </c>
      <c r="K17134" s="33" t="s">
        <v>129</v>
      </c>
      <c r="L17134" s="31" t="str">
        <f t="shared" si="1655"/>
        <v>Lima Puluh Enam</v>
      </c>
    </row>
    <row r="17135" spans="1:12">
      <c r="J17135" s="31">
        <v>57</v>
      </c>
      <c r="K17135" s="33" t="s">
        <v>130</v>
      </c>
      <c r="L17135" s="31" t="str">
        <f t="shared" si="1655"/>
        <v>Lima Puluh Tujuh</v>
      </c>
    </row>
    <row r="17136" spans="1:12">
      <c r="J17136" s="31">
        <v>58</v>
      </c>
      <c r="K17136" s="33" t="s">
        <v>131</v>
      </c>
      <c r="L17136" s="31" t="str">
        <f t="shared" si="1655"/>
        <v>Lima Puluh Delapan</v>
      </c>
    </row>
    <row r="17137" spans="10:12">
      <c r="J17137" s="31">
        <v>59</v>
      </c>
      <c r="K17137" s="33" t="s">
        <v>132</v>
      </c>
      <c r="L17137" s="31" t="str">
        <f t="shared" si="1655"/>
        <v>Lima Puluh Sembilan</v>
      </c>
    </row>
    <row r="17138" spans="10:12">
      <c r="J17138" s="31">
        <v>60</v>
      </c>
      <c r="K17138" s="33" t="s">
        <v>133</v>
      </c>
      <c r="L17138" s="31" t="s">
        <v>134</v>
      </c>
    </row>
    <row r="17139" spans="10:12">
      <c r="J17139" s="31">
        <v>61</v>
      </c>
      <c r="K17139" s="33" t="s">
        <v>135</v>
      </c>
      <c r="L17139" s="31" t="str">
        <f t="shared" ref="L17139:L17147" si="1656">$L$63&amp;" "&amp;L17079</f>
        <v>Enam Puluh Satu</v>
      </c>
    </row>
    <row r="17140" spans="10:12">
      <c r="J17140" s="31">
        <v>62</v>
      </c>
      <c r="K17140" s="33" t="s">
        <v>136</v>
      </c>
      <c r="L17140" s="31" t="str">
        <f t="shared" si="1656"/>
        <v>Enam Puluh Dua</v>
      </c>
    </row>
    <row r="17141" spans="10:12">
      <c r="J17141" s="31">
        <v>63</v>
      </c>
      <c r="K17141" s="33" t="s">
        <v>137</v>
      </c>
      <c r="L17141" s="31" t="str">
        <f t="shared" si="1656"/>
        <v>Enam Puluh Tiga</v>
      </c>
    </row>
    <row r="17142" spans="10:12">
      <c r="J17142" s="31">
        <v>64</v>
      </c>
      <c r="K17142" s="33" t="s">
        <v>138</v>
      </c>
      <c r="L17142" s="31" t="str">
        <f t="shared" si="1656"/>
        <v>Enam Puluh Empat</v>
      </c>
    </row>
    <row r="17143" spans="10:12">
      <c r="J17143" s="31">
        <v>65</v>
      </c>
      <c r="K17143" s="33" t="s">
        <v>139</v>
      </c>
      <c r="L17143" s="31" t="str">
        <f t="shared" si="1656"/>
        <v>Enam Puluh Lima</v>
      </c>
    </row>
    <row r="17144" spans="10:12">
      <c r="J17144" s="31">
        <v>66</v>
      </c>
      <c r="K17144" s="33" t="s">
        <v>140</v>
      </c>
      <c r="L17144" s="31" t="str">
        <f t="shared" si="1656"/>
        <v>Enam Puluh Enam</v>
      </c>
    </row>
    <row r="17145" spans="10:12">
      <c r="J17145" s="31">
        <v>67</v>
      </c>
      <c r="K17145" s="33" t="s">
        <v>141</v>
      </c>
      <c r="L17145" s="31" t="str">
        <f t="shared" si="1656"/>
        <v>Enam Puluh Tujuh</v>
      </c>
    </row>
    <row r="17146" spans="10:12">
      <c r="J17146" s="31">
        <v>68</v>
      </c>
      <c r="K17146" s="33" t="s">
        <v>142</v>
      </c>
      <c r="L17146" s="31" t="str">
        <f t="shared" si="1656"/>
        <v>Enam Puluh Delapan</v>
      </c>
    </row>
    <row r="17147" spans="10:12">
      <c r="J17147" s="31">
        <v>69</v>
      </c>
      <c r="K17147" s="33" t="s">
        <v>143</v>
      </c>
      <c r="L17147" s="31" t="str">
        <f t="shared" si="1656"/>
        <v>Enam Puluh Sembilan</v>
      </c>
    </row>
    <row r="17148" spans="10:12">
      <c r="J17148" s="31">
        <v>70</v>
      </c>
      <c r="K17148" s="33" t="s">
        <v>144</v>
      </c>
      <c r="L17148" s="31" t="s">
        <v>145</v>
      </c>
    </row>
    <row r="17149" spans="10:12">
      <c r="J17149" s="31">
        <v>71</v>
      </c>
      <c r="K17149" s="33" t="s">
        <v>146</v>
      </c>
      <c r="L17149" s="31" t="str">
        <f t="shared" ref="L17149:L17157" si="1657">$L$73&amp;" "&amp;L17079</f>
        <v>Tujuh Puluh Satu</v>
      </c>
    </row>
    <row r="17150" spans="10:12">
      <c r="J17150" s="31">
        <v>72</v>
      </c>
      <c r="K17150" s="33" t="s">
        <v>147</v>
      </c>
      <c r="L17150" s="31" t="str">
        <f t="shared" si="1657"/>
        <v>Tujuh Puluh Dua</v>
      </c>
    </row>
    <row r="17151" spans="10:12">
      <c r="J17151" s="31">
        <v>73</v>
      </c>
      <c r="K17151" s="33" t="s">
        <v>148</v>
      </c>
      <c r="L17151" s="31" t="str">
        <f t="shared" si="1657"/>
        <v>Tujuh Puluh Tiga</v>
      </c>
    </row>
    <row r="17152" spans="10:12">
      <c r="J17152" s="31">
        <v>74</v>
      </c>
      <c r="K17152" s="33" t="s">
        <v>149</v>
      </c>
      <c r="L17152" s="31" t="str">
        <f t="shared" si="1657"/>
        <v>Tujuh Puluh Empat</v>
      </c>
    </row>
    <row r="17153" spans="10:12">
      <c r="J17153" s="31">
        <v>75</v>
      </c>
      <c r="K17153" s="33" t="s">
        <v>150</v>
      </c>
      <c r="L17153" s="31" t="str">
        <f t="shared" si="1657"/>
        <v>Tujuh Puluh Lima</v>
      </c>
    </row>
    <row r="17154" spans="10:12">
      <c r="J17154" s="31">
        <v>76</v>
      </c>
      <c r="K17154" s="33" t="s">
        <v>151</v>
      </c>
      <c r="L17154" s="31" t="str">
        <f t="shared" si="1657"/>
        <v>Tujuh Puluh Enam</v>
      </c>
    </row>
    <row r="17155" spans="10:12">
      <c r="J17155" s="31">
        <v>77</v>
      </c>
      <c r="K17155" s="33" t="s">
        <v>152</v>
      </c>
      <c r="L17155" s="31" t="str">
        <f t="shared" si="1657"/>
        <v>Tujuh Puluh Tujuh</v>
      </c>
    </row>
    <row r="17156" spans="10:12">
      <c r="J17156" s="31">
        <v>78</v>
      </c>
      <c r="K17156" s="33" t="s">
        <v>153</v>
      </c>
      <c r="L17156" s="31" t="str">
        <f t="shared" si="1657"/>
        <v>Tujuh Puluh Delapan</v>
      </c>
    </row>
    <row r="17157" spans="10:12">
      <c r="J17157" s="31">
        <v>79</v>
      </c>
      <c r="K17157" s="33" t="s">
        <v>154</v>
      </c>
      <c r="L17157" s="31" t="str">
        <f t="shared" si="1657"/>
        <v>Tujuh Puluh Sembilan</v>
      </c>
    </row>
    <row r="17158" spans="10:12">
      <c r="J17158" s="31">
        <v>80</v>
      </c>
      <c r="K17158" s="33" t="s">
        <v>155</v>
      </c>
      <c r="L17158" s="31" t="s">
        <v>156</v>
      </c>
    </row>
    <row r="17159" spans="10:12">
      <c r="J17159" s="31">
        <v>81</v>
      </c>
      <c r="K17159" s="33" t="s">
        <v>157</v>
      </c>
      <c r="L17159" s="31" t="str">
        <f t="shared" ref="L17159:L17167" si="1658">$L$83&amp;" "&amp;L17079</f>
        <v>Delapan Puluh Satu</v>
      </c>
    </row>
    <row r="17160" spans="10:12">
      <c r="J17160" s="31">
        <v>82</v>
      </c>
      <c r="K17160" s="33" t="s">
        <v>158</v>
      </c>
      <c r="L17160" s="31" t="str">
        <f t="shared" si="1658"/>
        <v>Delapan Puluh Dua</v>
      </c>
    </row>
    <row r="17161" spans="10:12">
      <c r="J17161" s="31">
        <v>83</v>
      </c>
      <c r="K17161" s="33" t="s">
        <v>159</v>
      </c>
      <c r="L17161" s="31" t="str">
        <f t="shared" si="1658"/>
        <v>Delapan Puluh Tiga</v>
      </c>
    </row>
    <row r="17162" spans="10:12">
      <c r="J17162" s="31">
        <v>84</v>
      </c>
      <c r="K17162" s="33" t="s">
        <v>160</v>
      </c>
      <c r="L17162" s="31" t="str">
        <f t="shared" si="1658"/>
        <v>Delapan Puluh Empat</v>
      </c>
    </row>
    <row r="17163" spans="10:12">
      <c r="J17163" s="31">
        <v>85</v>
      </c>
      <c r="K17163" s="33" t="s">
        <v>161</v>
      </c>
      <c r="L17163" s="31" t="str">
        <f t="shared" si="1658"/>
        <v>Delapan Puluh Lima</v>
      </c>
    </row>
    <row r="17164" spans="10:12">
      <c r="J17164" s="31">
        <v>86</v>
      </c>
      <c r="K17164" s="33" t="s">
        <v>162</v>
      </c>
      <c r="L17164" s="31" t="str">
        <f t="shared" si="1658"/>
        <v>Delapan Puluh Enam</v>
      </c>
    </row>
    <row r="17165" spans="10:12">
      <c r="J17165" s="31">
        <v>87</v>
      </c>
      <c r="K17165" s="33" t="s">
        <v>163</v>
      </c>
      <c r="L17165" s="31" t="str">
        <f t="shared" si="1658"/>
        <v>Delapan Puluh Tujuh</v>
      </c>
    </row>
    <row r="17166" spans="10:12">
      <c r="J17166" s="31">
        <v>88</v>
      </c>
      <c r="K17166" s="33" t="s">
        <v>164</v>
      </c>
      <c r="L17166" s="31" t="str">
        <f t="shared" si="1658"/>
        <v>Delapan Puluh Delapan</v>
      </c>
    </row>
    <row r="17167" spans="10:12">
      <c r="J17167" s="31">
        <v>89</v>
      </c>
      <c r="K17167" s="33" t="s">
        <v>165</v>
      </c>
      <c r="L17167" s="31" t="str">
        <f t="shared" si="1658"/>
        <v>Delapan Puluh Sembilan</v>
      </c>
    </row>
    <row r="17168" spans="10:12">
      <c r="J17168" s="31">
        <v>90</v>
      </c>
      <c r="K17168" s="33" t="s">
        <v>166</v>
      </c>
      <c r="L17168" s="31" t="s">
        <v>167</v>
      </c>
    </row>
    <row r="17169" spans="1:12">
      <c r="J17169" s="31">
        <v>91</v>
      </c>
      <c r="K17169" s="33" t="s">
        <v>168</v>
      </c>
      <c r="L17169" s="31" t="str">
        <f t="shared" ref="L17169:L17177" si="1659">$L$93&amp;" "&amp;L17079</f>
        <v>Sembilan Puluh Satu</v>
      </c>
    </row>
    <row r="17170" spans="1:12">
      <c r="J17170" s="31">
        <v>92</v>
      </c>
      <c r="K17170" s="33" t="s">
        <v>169</v>
      </c>
      <c r="L17170" s="31" t="str">
        <f t="shared" si="1659"/>
        <v>Sembilan Puluh Dua</v>
      </c>
    </row>
    <row r="17171" spans="1:12">
      <c r="J17171" s="31">
        <v>93</v>
      </c>
      <c r="K17171" s="33" t="s">
        <v>170</v>
      </c>
      <c r="L17171" s="31" t="str">
        <f t="shared" si="1659"/>
        <v>Sembilan Puluh Tiga</v>
      </c>
    </row>
    <row r="17172" spans="1:12">
      <c r="J17172" s="31">
        <v>94</v>
      </c>
      <c r="K17172" s="33" t="s">
        <v>171</v>
      </c>
      <c r="L17172" s="31" t="str">
        <f t="shared" si="1659"/>
        <v>Sembilan Puluh Empat</v>
      </c>
    </row>
    <row r="17173" spans="1:12">
      <c r="J17173" s="31">
        <v>95</v>
      </c>
      <c r="K17173" s="33" t="s">
        <v>172</v>
      </c>
      <c r="L17173" s="31" t="str">
        <f t="shared" si="1659"/>
        <v>Sembilan Puluh Lima</v>
      </c>
    </row>
    <row r="17174" spans="1:12">
      <c r="J17174" s="31">
        <v>96</v>
      </c>
      <c r="K17174" s="33" t="s">
        <v>173</v>
      </c>
      <c r="L17174" s="31" t="str">
        <f t="shared" si="1659"/>
        <v>Sembilan Puluh Enam</v>
      </c>
    </row>
    <row r="17175" spans="1:12">
      <c r="J17175" s="31">
        <v>97</v>
      </c>
      <c r="K17175" s="33" t="s">
        <v>174</v>
      </c>
      <c r="L17175" s="31" t="str">
        <f t="shared" si="1659"/>
        <v>Sembilan Puluh Tujuh</v>
      </c>
    </row>
    <row r="17176" spans="1:12">
      <c r="J17176" s="31">
        <v>98</v>
      </c>
      <c r="K17176" s="33" t="s">
        <v>175</v>
      </c>
      <c r="L17176" s="31" t="str">
        <f t="shared" si="1659"/>
        <v>Sembilan Puluh Delapan</v>
      </c>
    </row>
    <row r="17177" spans="1:12">
      <c r="J17177" s="31">
        <v>99</v>
      </c>
      <c r="K17177" s="33" t="s">
        <v>176</v>
      </c>
      <c r="L17177" s="31" t="str">
        <f t="shared" si="1659"/>
        <v>Sembilan Puluh Sembilan</v>
      </c>
    </row>
    <row r="17179" spans="1:12">
      <c r="A17179" s="30" t="e">
        <f>#REF!</f>
        <v>#REF!</v>
      </c>
      <c r="C17179" s="31" t="s">
        <v>402</v>
      </c>
    </row>
    <row r="17180" spans="1:12">
      <c r="A17180" s="32"/>
    </row>
    <row r="17181" spans="1:12">
      <c r="J17181" s="31">
        <v>0</v>
      </c>
      <c r="K17181" s="33" t="s">
        <v>48</v>
      </c>
      <c r="L17181" s="31" t="s">
        <v>49</v>
      </c>
    </row>
    <row r="17182" spans="1:12">
      <c r="A17182" s="34"/>
      <c r="J17182" s="31">
        <v>1</v>
      </c>
      <c r="K17182" s="33" t="s">
        <v>50</v>
      </c>
      <c r="L17182" s="31" t="s">
        <v>51</v>
      </c>
    </row>
    <row r="17183" spans="1:12">
      <c r="A17183" s="255" t="e">
        <f>TRIM(D17191&amp;E17191&amp;D17192&amp;E17192&amp;D17193&amp;E17193&amp;D17194&amp;E17194&amp;D17195&amp;E17195&amp;D17196&amp;E17196&amp;E17197&amp;D17197&amp;" Only")</f>
        <v>#REF!</v>
      </c>
      <c r="B17183" s="255"/>
      <c r="C17183" s="255"/>
      <c r="D17183" s="255"/>
      <c r="E17183" s="35"/>
      <c r="F17183" s="36"/>
      <c r="J17183" s="31">
        <v>2</v>
      </c>
      <c r="K17183" s="33" t="s">
        <v>52</v>
      </c>
      <c r="L17183" s="31" t="s">
        <v>53</v>
      </c>
    </row>
    <row r="17184" spans="1:12">
      <c r="A17184" s="125"/>
      <c r="B17184" s="125"/>
      <c r="C17184" s="125"/>
      <c r="D17184" s="125"/>
      <c r="E17184" s="35"/>
      <c r="F17184" s="36"/>
      <c r="J17184" s="31">
        <v>3</v>
      </c>
      <c r="K17184" s="33" t="s">
        <v>54</v>
      </c>
      <c r="L17184" s="31" t="s">
        <v>55</v>
      </c>
    </row>
    <row r="17185" spans="1:12">
      <c r="A17185" s="125"/>
      <c r="B17185" s="125"/>
      <c r="C17185" s="125"/>
      <c r="D17185" s="125"/>
      <c r="J17185" s="31">
        <v>4</v>
      </c>
      <c r="K17185" s="33" t="s">
        <v>56</v>
      </c>
      <c r="L17185" s="31" t="s">
        <v>57</v>
      </c>
    </row>
    <row r="17186" spans="1:12">
      <c r="A17186" s="255" t="e">
        <f>TRIM(D17201&amp;E17201&amp;D17202&amp;E17202&amp;D17203&amp;E17203&amp;D17204&amp;E17204&amp;D17205&amp;E17205&amp;D17206&amp;E17206&amp;D17207&amp;E17207&amp;" Rupiah")</f>
        <v>#REF!</v>
      </c>
      <c r="B17186" s="255"/>
      <c r="C17186" s="255"/>
      <c r="D17186" s="255"/>
      <c r="E17186" s="35"/>
      <c r="F17186" s="36"/>
      <c r="J17186" s="31">
        <v>5</v>
      </c>
      <c r="K17186" s="33" t="s">
        <v>58</v>
      </c>
      <c r="L17186" s="31" t="s">
        <v>59</v>
      </c>
    </row>
    <row r="17187" spans="1:12">
      <c r="A17187" s="35"/>
      <c r="B17187" s="35"/>
      <c r="C17187" s="35"/>
      <c r="D17187" s="35"/>
      <c r="E17187" s="35"/>
      <c r="F17187" s="36"/>
      <c r="J17187" s="31">
        <v>6</v>
      </c>
      <c r="K17187" s="33" t="s">
        <v>60</v>
      </c>
      <c r="L17187" s="31" t="s">
        <v>61</v>
      </c>
    </row>
    <row r="17188" spans="1:12">
      <c r="J17188" s="31">
        <v>7</v>
      </c>
      <c r="K17188" s="33" t="s">
        <v>62</v>
      </c>
      <c r="L17188" s="31" t="s">
        <v>63</v>
      </c>
    </row>
    <row r="17189" spans="1:12">
      <c r="J17189" s="31">
        <v>8</v>
      </c>
      <c r="K17189" s="33" t="s">
        <v>64</v>
      </c>
      <c r="L17189" s="31" t="s">
        <v>65</v>
      </c>
    </row>
    <row r="17190" spans="1:12">
      <c r="A17190" s="38" t="s">
        <v>66</v>
      </c>
      <c r="J17190" s="31">
        <v>9</v>
      </c>
      <c r="K17190" s="33" t="s">
        <v>67</v>
      </c>
      <c r="L17190" s="31" t="s">
        <v>68</v>
      </c>
    </row>
    <row r="17191" spans="1:12">
      <c r="A17191" s="31" t="s">
        <v>69</v>
      </c>
      <c r="B17191" s="39" t="e">
        <f>TRUNC(A17179/100000000)</f>
        <v>#REF!</v>
      </c>
      <c r="C17191" s="31" t="e">
        <f>B17191*100000000</f>
        <v>#REF!</v>
      </c>
      <c r="D17191" s="31" t="e">
        <f t="shared" ref="D17191:D17197" si="1660">IF(B17191&lt;1,"",VLOOKUP(B17191,$J$3:$K$102,2))</f>
        <v>#REF!</v>
      </c>
      <c r="E17191" s="31" t="e">
        <f>IF(B17191&lt;1,"",IF(B17191&gt;1," Hundreds "," Hundred "))</f>
        <v>#REF!</v>
      </c>
      <c r="J17191" s="31">
        <v>10</v>
      </c>
      <c r="K17191" s="33" t="s">
        <v>70</v>
      </c>
      <c r="L17191" s="31" t="s">
        <v>71</v>
      </c>
    </row>
    <row r="17192" spans="1:12">
      <c r="A17192" s="31" t="s">
        <v>72</v>
      </c>
      <c r="B17192" s="39" t="e">
        <f>TRUNC((A17179-C17191)/1000000)</f>
        <v>#REF!</v>
      </c>
      <c r="C17192" s="31" t="e">
        <f>B17192*1000000</f>
        <v>#REF!</v>
      </c>
      <c r="D17192" s="31" t="e">
        <f t="shared" si="1660"/>
        <v>#REF!</v>
      </c>
      <c r="E17192" s="31" t="e">
        <f>IF(B17191+B17192=0,"",IF(B17192=1," Million "," Millions "))</f>
        <v>#REF!</v>
      </c>
      <c r="J17192" s="31">
        <v>11</v>
      </c>
      <c r="K17192" s="33" t="s">
        <v>73</v>
      </c>
      <c r="L17192" s="31" t="s">
        <v>74</v>
      </c>
    </row>
    <row r="17193" spans="1:12">
      <c r="A17193" s="31" t="s">
        <v>75</v>
      </c>
      <c r="B17193" s="39" t="e">
        <f>TRUNC((A17179-SUM(C17191:C17192))/100000)</f>
        <v>#REF!</v>
      </c>
      <c r="C17193" s="31" t="e">
        <f>B17193*100000</f>
        <v>#REF!</v>
      </c>
      <c r="D17193" s="31" t="e">
        <f t="shared" si="1660"/>
        <v>#REF!</v>
      </c>
      <c r="E17193" s="31" t="e">
        <f>IF(B17193&lt;1,"",IF(B17193&gt;1," Hundreds "," Hundred "))</f>
        <v>#REF!</v>
      </c>
      <c r="J17193" s="31">
        <v>12</v>
      </c>
      <c r="K17193" s="33" t="s">
        <v>76</v>
      </c>
      <c r="L17193" s="31" t="str">
        <f t="shared" ref="L17193:L17200" si="1661">L17183&amp;" Belas"</f>
        <v>Dua Belas</v>
      </c>
    </row>
    <row r="17194" spans="1:12">
      <c r="A17194" s="33" t="s">
        <v>77</v>
      </c>
      <c r="B17194" s="40" t="e">
        <f>TRUNC((A17179-SUM(C17191:C17193))/1000)</f>
        <v>#REF!</v>
      </c>
      <c r="C17194" s="31" t="e">
        <f>B17194*1000</f>
        <v>#REF!</v>
      </c>
      <c r="D17194" s="31" t="e">
        <f t="shared" si="1660"/>
        <v>#REF!</v>
      </c>
      <c r="E17194" s="31" t="e">
        <f>IF(B17193+B17194=0,"",IF(B17194=1," Thousand "," Thousands "))</f>
        <v>#REF!</v>
      </c>
      <c r="J17194" s="31">
        <v>13</v>
      </c>
      <c r="K17194" s="33" t="s">
        <v>78</v>
      </c>
      <c r="L17194" s="31" t="str">
        <f t="shared" si="1661"/>
        <v>Tiga Belas</v>
      </c>
    </row>
    <row r="17195" spans="1:12">
      <c r="A17195" s="33" t="s">
        <v>79</v>
      </c>
      <c r="B17195" s="40" t="e">
        <f>TRUNC((A17179-SUM(C17191:C17194))/100)</f>
        <v>#REF!</v>
      </c>
      <c r="C17195" s="31" t="e">
        <f>B17195*100</f>
        <v>#REF!</v>
      </c>
      <c r="D17195" s="31" t="e">
        <f t="shared" si="1660"/>
        <v>#REF!</v>
      </c>
      <c r="E17195" s="31" t="e">
        <f>IF(B17195&lt;1,"",IF(B17195&gt;1," Hundreds "," Hundred "))</f>
        <v>#REF!</v>
      </c>
      <c r="J17195" s="31">
        <v>14</v>
      </c>
      <c r="K17195" s="33" t="s">
        <v>80</v>
      </c>
      <c r="L17195" s="31" t="str">
        <f t="shared" si="1661"/>
        <v>Empat Belas</v>
      </c>
    </row>
    <row r="17196" spans="1:12">
      <c r="A17196" s="33" t="s">
        <v>81</v>
      </c>
      <c r="B17196" s="41" t="e">
        <f>TRUNC((A17179-SUM(C17191:C17195)))</f>
        <v>#REF!</v>
      </c>
      <c r="C17196" s="42" t="e">
        <f>B17196</f>
        <v>#REF!</v>
      </c>
      <c r="D17196" s="31" t="e">
        <f t="shared" si="1660"/>
        <v>#REF!</v>
      </c>
      <c r="E17196" s="31" t="e">
        <f>IF(SUM(C17191:C17196)&lt;1,"",IF(B17197&lt;1,""," And "))</f>
        <v>#REF!</v>
      </c>
      <c r="J17196" s="31">
        <v>15</v>
      </c>
      <c r="K17196" s="33" t="s">
        <v>82</v>
      </c>
      <c r="L17196" s="31" t="str">
        <f t="shared" si="1661"/>
        <v>Lima Belas</v>
      </c>
    </row>
    <row r="17197" spans="1:12">
      <c r="A17197" s="33" t="s">
        <v>83</v>
      </c>
      <c r="B17197" s="40" t="e">
        <f>ROUND(A17179-SUM(C17191:C17196),2)*100</f>
        <v>#REF!</v>
      </c>
      <c r="D17197" s="43" t="e">
        <f t="shared" si="1660"/>
        <v>#REF!</v>
      </c>
      <c r="E17197" s="31" t="e">
        <f>IF(B17197&lt;1,"",IF(B17197=1," Cent "," Cents "))</f>
        <v>#REF!</v>
      </c>
      <c r="J17197" s="31">
        <v>16</v>
      </c>
      <c r="K17197" s="33" t="s">
        <v>84</v>
      </c>
      <c r="L17197" s="31" t="str">
        <f t="shared" si="1661"/>
        <v>Enam Belas</v>
      </c>
    </row>
    <row r="17198" spans="1:12">
      <c r="J17198" s="31">
        <v>17</v>
      </c>
      <c r="K17198" s="33" t="s">
        <v>85</v>
      </c>
      <c r="L17198" s="31" t="str">
        <f t="shared" si="1661"/>
        <v>Tujuh Belas</v>
      </c>
    </row>
    <row r="17199" spans="1:12">
      <c r="A17199" s="44"/>
      <c r="J17199" s="31">
        <v>18</v>
      </c>
      <c r="K17199" s="33" t="s">
        <v>86</v>
      </c>
      <c r="L17199" s="31" t="str">
        <f t="shared" si="1661"/>
        <v>Delapan Belas</v>
      </c>
    </row>
    <row r="17200" spans="1:12">
      <c r="A17200" s="38" t="s">
        <v>87</v>
      </c>
      <c r="J17200" s="31">
        <v>19</v>
      </c>
      <c r="K17200" s="33" t="s">
        <v>88</v>
      </c>
      <c r="L17200" s="31" t="str">
        <f t="shared" si="1661"/>
        <v>Sembilan Belas</v>
      </c>
    </row>
    <row r="17201" spans="1:12">
      <c r="A17201" s="31" t="s">
        <v>69</v>
      </c>
      <c r="B17201" s="39" t="e">
        <f>TRUNC(A17179/100000000)</f>
        <v>#REF!</v>
      </c>
      <c r="C17201" s="31" t="e">
        <f>B17201*100000000</f>
        <v>#REF!</v>
      </c>
      <c r="D17201" s="31" t="e">
        <f>IF(B17201&lt;1,"",IF(B17201=1,"",VLOOKUP(B17201,$J$3:$L$102,3)))</f>
        <v>#REF!</v>
      </c>
      <c r="E17201" s="31" t="e">
        <f>IF(B17201&lt;1,"",IF(B17201=1,"Seratus "," Ratus "))</f>
        <v>#REF!</v>
      </c>
      <c r="J17201" s="31">
        <v>20</v>
      </c>
      <c r="K17201" s="33" t="s">
        <v>89</v>
      </c>
      <c r="L17201" s="31" t="s">
        <v>90</v>
      </c>
    </row>
    <row r="17202" spans="1:12">
      <c r="A17202" s="31" t="s">
        <v>72</v>
      </c>
      <c r="B17202" s="39" t="e">
        <f>TRUNC((A17179-C17201)/1000000)</f>
        <v>#REF!</v>
      </c>
      <c r="C17202" s="31" t="e">
        <f>B17202*1000000</f>
        <v>#REF!</v>
      </c>
      <c r="D17202" s="31" t="e">
        <f>IF(B17202&lt;1,"",VLOOKUP(B17202,$J$3:$L$102,3))</f>
        <v>#REF!</v>
      </c>
      <c r="E17202" s="31" t="e">
        <f>IF(B17201+B17202=0,""," Juta ")</f>
        <v>#REF!</v>
      </c>
      <c r="J17202" s="31">
        <v>21</v>
      </c>
      <c r="K17202" s="33" t="s">
        <v>91</v>
      </c>
      <c r="L17202" s="31" t="str">
        <f t="shared" ref="L17202:L17210" si="1662">$L$23&amp;" "&amp;L17182</f>
        <v>Dua Puluh Satu</v>
      </c>
    </row>
    <row r="17203" spans="1:12">
      <c r="A17203" s="31" t="s">
        <v>75</v>
      </c>
      <c r="B17203" s="39" t="e">
        <f>TRUNC((A17179-SUM(C17201:C17202))/100000)</f>
        <v>#REF!</v>
      </c>
      <c r="C17203" s="31" t="e">
        <f>B17203*100000</f>
        <v>#REF!</v>
      </c>
      <c r="D17203" s="31" t="e">
        <f>IF(B17203&lt;1,"",IF(B17203=1,"",VLOOKUP(B17203,$J$3:$L$102,3)))</f>
        <v>#REF!</v>
      </c>
      <c r="E17203" s="31" t="e">
        <f>IF(B17203&lt;1,"",IF(B17203=1," Seratus "," Ratus "))</f>
        <v>#REF!</v>
      </c>
      <c r="J17203" s="31">
        <v>22</v>
      </c>
      <c r="K17203" s="33" t="s">
        <v>92</v>
      </c>
      <c r="L17203" s="31" t="str">
        <f t="shared" si="1662"/>
        <v>Dua Puluh Dua</v>
      </c>
    </row>
    <row r="17204" spans="1:12">
      <c r="A17204" s="33" t="s">
        <v>77</v>
      </c>
      <c r="B17204" s="40" t="e">
        <f>TRUNC((A17179-SUM(C17201:C17203))/1000)</f>
        <v>#REF!</v>
      </c>
      <c r="C17204" s="31" t="e">
        <f>B17204*1000</f>
        <v>#REF!</v>
      </c>
      <c r="D17204" s="31" t="e">
        <f>IF(B17204&lt;1,"",IF(B17204=1,"",VLOOKUP(B17204,$J$3:$L$102,3)))</f>
        <v>#REF!</v>
      </c>
      <c r="E17204" s="31" t="e">
        <f>IF(B17203+B17204&lt;1,"",IF(B17204=1," Seribu "," Ribu "))</f>
        <v>#REF!</v>
      </c>
      <c r="J17204" s="31">
        <v>23</v>
      </c>
      <c r="K17204" s="33" t="s">
        <v>93</v>
      </c>
      <c r="L17204" s="31" t="str">
        <f t="shared" si="1662"/>
        <v>Dua Puluh Tiga</v>
      </c>
    </row>
    <row r="17205" spans="1:12">
      <c r="A17205" s="33" t="s">
        <v>79</v>
      </c>
      <c r="B17205" s="40" t="e">
        <f>TRUNC((A17179-SUM(C17201:C17204))/100)</f>
        <v>#REF!</v>
      </c>
      <c r="C17205" s="31" t="e">
        <f>B17205*100</f>
        <v>#REF!</v>
      </c>
      <c r="D17205" s="31" t="e">
        <f>IF(B17205&lt;1,"",IF(B17205=1,"",VLOOKUP(B17205,$J$3:$L$102,3)))</f>
        <v>#REF!</v>
      </c>
      <c r="E17205" s="31" t="e">
        <f>IF(B17205&lt;1,"",IF(B17205=1," Seratus "," Ratus "))</f>
        <v>#REF!</v>
      </c>
      <c r="J17205" s="31">
        <v>24</v>
      </c>
      <c r="K17205" s="33" t="s">
        <v>94</v>
      </c>
      <c r="L17205" s="31" t="str">
        <f t="shared" si="1662"/>
        <v>Dua Puluh Empat</v>
      </c>
    </row>
    <row r="17206" spans="1:12">
      <c r="A17206" s="33" t="s">
        <v>81</v>
      </c>
      <c r="B17206" s="41" t="e">
        <f>TRUNC((A17179-SUM(C17201:C17205)))</f>
        <v>#REF!</v>
      </c>
      <c r="C17206" s="42" t="e">
        <f>B17206</f>
        <v>#REF!</v>
      </c>
      <c r="D17206" s="31" t="e">
        <f>IF(B17206&lt;1,"",VLOOKUP(B17206,$J$3:$L$102,3))</f>
        <v>#REF!</v>
      </c>
      <c r="E17206" s="31" t="e">
        <f>IF(SUM(C17201:C17206)&lt;1,"",IF(B17207&lt;1,""," Dan "))</f>
        <v>#REF!</v>
      </c>
      <c r="J17206" s="31">
        <v>25</v>
      </c>
      <c r="K17206" s="33" t="s">
        <v>95</v>
      </c>
      <c r="L17206" s="31" t="str">
        <f t="shared" si="1662"/>
        <v>Dua Puluh Lima</v>
      </c>
    </row>
    <row r="17207" spans="1:12">
      <c r="A17207" s="33" t="s">
        <v>83</v>
      </c>
      <c r="B17207" s="40" t="e">
        <f>ROUND(A17179-SUM(C17201:C17206),2)*100</f>
        <v>#REF!</v>
      </c>
      <c r="D17207" s="31" t="e">
        <f>IF(B17207&lt;1,"",VLOOKUP(B17207,$J$3:$L$102,3))</f>
        <v>#REF!</v>
      </c>
      <c r="E17207" s="31" t="e">
        <f>IF(B17207&lt;1,""," Sen ")</f>
        <v>#REF!</v>
      </c>
      <c r="J17207" s="31">
        <v>26</v>
      </c>
      <c r="K17207" s="33" t="s">
        <v>96</v>
      </c>
      <c r="L17207" s="31" t="str">
        <f t="shared" si="1662"/>
        <v>Dua Puluh Enam</v>
      </c>
    </row>
    <row r="17208" spans="1:12">
      <c r="J17208" s="31">
        <v>27</v>
      </c>
      <c r="K17208" s="33" t="s">
        <v>97</v>
      </c>
      <c r="L17208" s="31" t="str">
        <f t="shared" si="1662"/>
        <v>Dua Puluh Tujuh</v>
      </c>
    </row>
    <row r="17209" spans="1:12">
      <c r="J17209" s="31">
        <v>28</v>
      </c>
      <c r="K17209" s="33" t="s">
        <v>98</v>
      </c>
      <c r="L17209" s="31" t="str">
        <f t="shared" si="1662"/>
        <v>Dua Puluh Delapan</v>
      </c>
    </row>
    <row r="17210" spans="1:12">
      <c r="J17210" s="31">
        <v>29</v>
      </c>
      <c r="K17210" s="33" t="s">
        <v>99</v>
      </c>
      <c r="L17210" s="31" t="str">
        <f t="shared" si="1662"/>
        <v>Dua Puluh Sembilan</v>
      </c>
    </row>
    <row r="17211" spans="1:12">
      <c r="J17211" s="31">
        <v>30</v>
      </c>
      <c r="K17211" s="33" t="s">
        <v>100</v>
      </c>
      <c r="L17211" s="31" t="s">
        <v>101</v>
      </c>
    </row>
    <row r="17212" spans="1:12">
      <c r="J17212" s="31">
        <v>31</v>
      </c>
      <c r="K17212" s="33" t="s">
        <v>102</v>
      </c>
      <c r="L17212" s="31" t="str">
        <f t="shared" ref="L17212:L17220" si="1663">$L$33&amp;" "&amp;L17182</f>
        <v>Tiga Puluh Satu</v>
      </c>
    </row>
    <row r="17213" spans="1:12">
      <c r="J17213" s="31">
        <v>32</v>
      </c>
      <c r="K17213" s="33" t="s">
        <v>103</v>
      </c>
      <c r="L17213" s="31" t="str">
        <f t="shared" si="1663"/>
        <v>Tiga Puluh Dua</v>
      </c>
    </row>
    <row r="17214" spans="1:12">
      <c r="J17214" s="31">
        <v>33</v>
      </c>
      <c r="K17214" s="33" t="s">
        <v>104</v>
      </c>
      <c r="L17214" s="31" t="str">
        <f t="shared" si="1663"/>
        <v>Tiga Puluh Tiga</v>
      </c>
    </row>
    <row r="17215" spans="1:12">
      <c r="J17215" s="31">
        <v>34</v>
      </c>
      <c r="K17215" s="33" t="s">
        <v>105</v>
      </c>
      <c r="L17215" s="31" t="str">
        <f t="shared" si="1663"/>
        <v>Tiga Puluh Empat</v>
      </c>
    </row>
    <row r="17216" spans="1:12">
      <c r="J17216" s="31">
        <v>35</v>
      </c>
      <c r="K17216" s="33" t="s">
        <v>106</v>
      </c>
      <c r="L17216" s="31" t="str">
        <f t="shared" si="1663"/>
        <v>Tiga Puluh Lima</v>
      </c>
    </row>
    <row r="17217" spans="1:12">
      <c r="J17217" s="31">
        <v>36</v>
      </c>
      <c r="K17217" s="33" t="s">
        <v>107</v>
      </c>
      <c r="L17217" s="31" t="str">
        <f t="shared" si="1663"/>
        <v>Tiga Puluh Enam</v>
      </c>
    </row>
    <row r="17218" spans="1:12">
      <c r="J17218" s="31">
        <v>37</v>
      </c>
      <c r="K17218" s="33" t="s">
        <v>108</v>
      </c>
      <c r="L17218" s="31" t="str">
        <f t="shared" si="1663"/>
        <v>Tiga Puluh Tujuh</v>
      </c>
    </row>
    <row r="17219" spans="1:12">
      <c r="J17219" s="31">
        <v>38</v>
      </c>
      <c r="K17219" s="33" t="s">
        <v>109</v>
      </c>
      <c r="L17219" s="31" t="str">
        <f t="shared" si="1663"/>
        <v>Tiga Puluh Delapan</v>
      </c>
    </row>
    <row r="17220" spans="1:12">
      <c r="J17220" s="31">
        <v>39</v>
      </c>
      <c r="K17220" s="33" t="s">
        <v>110</v>
      </c>
      <c r="L17220" s="31" t="str">
        <f t="shared" si="1663"/>
        <v>Tiga Puluh Sembilan</v>
      </c>
    </row>
    <row r="17221" spans="1:12">
      <c r="B17221" s="35"/>
      <c r="C17221" s="35"/>
      <c r="D17221" s="35"/>
      <c r="J17221" s="31">
        <v>40</v>
      </c>
      <c r="K17221" s="33" t="s">
        <v>111</v>
      </c>
      <c r="L17221" s="31" t="s">
        <v>112</v>
      </c>
    </row>
    <row r="17222" spans="1:12">
      <c r="A17222" s="35"/>
      <c r="B17222" s="35"/>
      <c r="C17222" s="35"/>
      <c r="D17222" s="35"/>
      <c r="J17222" s="31">
        <v>41</v>
      </c>
      <c r="K17222" s="33" t="s">
        <v>113</v>
      </c>
      <c r="L17222" s="31" t="str">
        <f t="shared" ref="L17222:L17230" si="1664">$L$43&amp;" "&amp;L17182</f>
        <v>Empat Puluh Satu</v>
      </c>
    </row>
    <row r="17223" spans="1:12">
      <c r="J17223" s="31">
        <v>42</v>
      </c>
      <c r="K17223" s="33" t="s">
        <v>114</v>
      </c>
      <c r="L17223" s="31" t="str">
        <f t="shared" si="1664"/>
        <v>Empat Puluh Dua</v>
      </c>
    </row>
    <row r="17224" spans="1:12">
      <c r="A17224" s="38"/>
      <c r="J17224" s="31">
        <v>43</v>
      </c>
      <c r="K17224" s="33" t="s">
        <v>115</v>
      </c>
      <c r="L17224" s="31" t="str">
        <f t="shared" si="1664"/>
        <v>Empat Puluh Tiga</v>
      </c>
    </row>
    <row r="17225" spans="1:12">
      <c r="J17225" s="31">
        <v>44</v>
      </c>
      <c r="K17225" s="33" t="s">
        <v>116</v>
      </c>
      <c r="L17225" s="31" t="str">
        <f t="shared" si="1664"/>
        <v>Empat Puluh Empat</v>
      </c>
    </row>
    <row r="17226" spans="1:12">
      <c r="J17226" s="31">
        <v>45</v>
      </c>
      <c r="K17226" s="33" t="s">
        <v>117</v>
      </c>
      <c r="L17226" s="31" t="str">
        <f t="shared" si="1664"/>
        <v>Empat Puluh Lima</v>
      </c>
    </row>
    <row r="17227" spans="1:12">
      <c r="J17227" s="31">
        <v>46</v>
      </c>
      <c r="K17227" s="33" t="s">
        <v>118</v>
      </c>
      <c r="L17227" s="31" t="str">
        <f t="shared" si="1664"/>
        <v>Empat Puluh Enam</v>
      </c>
    </row>
    <row r="17228" spans="1:12">
      <c r="J17228" s="31">
        <v>47</v>
      </c>
      <c r="K17228" s="33" t="s">
        <v>119</v>
      </c>
      <c r="L17228" s="31" t="str">
        <f t="shared" si="1664"/>
        <v>Empat Puluh Tujuh</v>
      </c>
    </row>
    <row r="17229" spans="1:12">
      <c r="J17229" s="31">
        <v>48</v>
      </c>
      <c r="K17229" s="33" t="s">
        <v>120</v>
      </c>
      <c r="L17229" s="31" t="str">
        <f t="shared" si="1664"/>
        <v>Empat Puluh Delapan</v>
      </c>
    </row>
    <row r="17230" spans="1:12">
      <c r="J17230" s="31">
        <v>49</v>
      </c>
      <c r="K17230" s="33" t="s">
        <v>121</v>
      </c>
      <c r="L17230" s="31" t="str">
        <f t="shared" si="1664"/>
        <v>Empat Puluh Sembilan</v>
      </c>
    </row>
    <row r="17231" spans="1:12">
      <c r="J17231" s="31">
        <v>50</v>
      </c>
      <c r="K17231" s="33" t="s">
        <v>122</v>
      </c>
      <c r="L17231" s="31" t="s">
        <v>123</v>
      </c>
    </row>
    <row r="17232" spans="1:12">
      <c r="J17232" s="31">
        <v>51</v>
      </c>
      <c r="K17232" s="33" t="s">
        <v>124</v>
      </c>
      <c r="L17232" s="31" t="str">
        <f t="shared" ref="L17232:L17240" si="1665">$L$53&amp;" "&amp;L17182</f>
        <v>Lima Puluh Satu</v>
      </c>
    </row>
    <row r="17233" spans="10:12">
      <c r="J17233" s="31">
        <v>52</v>
      </c>
      <c r="K17233" s="33" t="s">
        <v>125</v>
      </c>
      <c r="L17233" s="31" t="str">
        <f t="shared" si="1665"/>
        <v>Lima Puluh Dua</v>
      </c>
    </row>
    <row r="17234" spans="10:12">
      <c r="J17234" s="31">
        <v>53</v>
      </c>
      <c r="K17234" s="33" t="s">
        <v>126</v>
      </c>
      <c r="L17234" s="31" t="str">
        <f t="shared" si="1665"/>
        <v>Lima Puluh Tiga</v>
      </c>
    </row>
    <row r="17235" spans="10:12">
      <c r="J17235" s="31">
        <v>54</v>
      </c>
      <c r="K17235" s="33" t="s">
        <v>127</v>
      </c>
      <c r="L17235" s="31" t="str">
        <f t="shared" si="1665"/>
        <v>Lima Puluh Empat</v>
      </c>
    </row>
    <row r="17236" spans="10:12">
      <c r="J17236" s="31">
        <v>55</v>
      </c>
      <c r="K17236" s="33" t="s">
        <v>128</v>
      </c>
      <c r="L17236" s="31" t="str">
        <f t="shared" si="1665"/>
        <v>Lima Puluh Lima</v>
      </c>
    </row>
    <row r="17237" spans="10:12">
      <c r="J17237" s="31">
        <v>56</v>
      </c>
      <c r="K17237" s="33" t="s">
        <v>129</v>
      </c>
      <c r="L17237" s="31" t="str">
        <f t="shared" si="1665"/>
        <v>Lima Puluh Enam</v>
      </c>
    </row>
    <row r="17238" spans="10:12">
      <c r="J17238" s="31">
        <v>57</v>
      </c>
      <c r="K17238" s="33" t="s">
        <v>130</v>
      </c>
      <c r="L17238" s="31" t="str">
        <f t="shared" si="1665"/>
        <v>Lima Puluh Tujuh</v>
      </c>
    </row>
    <row r="17239" spans="10:12">
      <c r="J17239" s="31">
        <v>58</v>
      </c>
      <c r="K17239" s="33" t="s">
        <v>131</v>
      </c>
      <c r="L17239" s="31" t="str">
        <f t="shared" si="1665"/>
        <v>Lima Puluh Delapan</v>
      </c>
    </row>
    <row r="17240" spans="10:12">
      <c r="J17240" s="31">
        <v>59</v>
      </c>
      <c r="K17240" s="33" t="s">
        <v>132</v>
      </c>
      <c r="L17240" s="31" t="str">
        <f t="shared" si="1665"/>
        <v>Lima Puluh Sembilan</v>
      </c>
    </row>
    <row r="17241" spans="10:12">
      <c r="J17241" s="31">
        <v>60</v>
      </c>
      <c r="K17241" s="33" t="s">
        <v>133</v>
      </c>
      <c r="L17241" s="31" t="s">
        <v>134</v>
      </c>
    </row>
    <row r="17242" spans="10:12">
      <c r="J17242" s="31">
        <v>61</v>
      </c>
      <c r="K17242" s="33" t="s">
        <v>135</v>
      </c>
      <c r="L17242" s="31" t="str">
        <f t="shared" ref="L17242:L17250" si="1666">$L$63&amp;" "&amp;L17182</f>
        <v>Enam Puluh Satu</v>
      </c>
    </row>
    <row r="17243" spans="10:12">
      <c r="J17243" s="31">
        <v>62</v>
      </c>
      <c r="K17243" s="33" t="s">
        <v>136</v>
      </c>
      <c r="L17243" s="31" t="str">
        <f t="shared" si="1666"/>
        <v>Enam Puluh Dua</v>
      </c>
    </row>
    <row r="17244" spans="10:12">
      <c r="J17244" s="31">
        <v>63</v>
      </c>
      <c r="K17244" s="33" t="s">
        <v>137</v>
      </c>
      <c r="L17244" s="31" t="str">
        <f t="shared" si="1666"/>
        <v>Enam Puluh Tiga</v>
      </c>
    </row>
    <row r="17245" spans="10:12">
      <c r="J17245" s="31">
        <v>64</v>
      </c>
      <c r="K17245" s="33" t="s">
        <v>138</v>
      </c>
      <c r="L17245" s="31" t="str">
        <f t="shared" si="1666"/>
        <v>Enam Puluh Empat</v>
      </c>
    </row>
    <row r="17246" spans="10:12">
      <c r="J17246" s="31">
        <v>65</v>
      </c>
      <c r="K17246" s="33" t="s">
        <v>139</v>
      </c>
      <c r="L17246" s="31" t="str">
        <f t="shared" si="1666"/>
        <v>Enam Puluh Lima</v>
      </c>
    </row>
    <row r="17247" spans="10:12">
      <c r="J17247" s="31">
        <v>66</v>
      </c>
      <c r="K17247" s="33" t="s">
        <v>140</v>
      </c>
      <c r="L17247" s="31" t="str">
        <f t="shared" si="1666"/>
        <v>Enam Puluh Enam</v>
      </c>
    </row>
    <row r="17248" spans="10:12">
      <c r="J17248" s="31">
        <v>67</v>
      </c>
      <c r="K17248" s="33" t="s">
        <v>141</v>
      </c>
      <c r="L17248" s="31" t="str">
        <f t="shared" si="1666"/>
        <v>Enam Puluh Tujuh</v>
      </c>
    </row>
    <row r="17249" spans="10:12">
      <c r="J17249" s="31">
        <v>68</v>
      </c>
      <c r="K17249" s="33" t="s">
        <v>142</v>
      </c>
      <c r="L17249" s="31" t="str">
        <f t="shared" si="1666"/>
        <v>Enam Puluh Delapan</v>
      </c>
    </row>
    <row r="17250" spans="10:12">
      <c r="J17250" s="31">
        <v>69</v>
      </c>
      <c r="K17250" s="33" t="s">
        <v>143</v>
      </c>
      <c r="L17250" s="31" t="str">
        <f t="shared" si="1666"/>
        <v>Enam Puluh Sembilan</v>
      </c>
    </row>
    <row r="17251" spans="10:12">
      <c r="J17251" s="31">
        <v>70</v>
      </c>
      <c r="K17251" s="33" t="s">
        <v>144</v>
      </c>
      <c r="L17251" s="31" t="s">
        <v>145</v>
      </c>
    </row>
    <row r="17252" spans="10:12">
      <c r="J17252" s="31">
        <v>71</v>
      </c>
      <c r="K17252" s="33" t="s">
        <v>146</v>
      </c>
      <c r="L17252" s="31" t="str">
        <f t="shared" ref="L17252:L17260" si="1667">$L$73&amp;" "&amp;L17182</f>
        <v>Tujuh Puluh Satu</v>
      </c>
    </row>
    <row r="17253" spans="10:12">
      <c r="J17253" s="31">
        <v>72</v>
      </c>
      <c r="K17253" s="33" t="s">
        <v>147</v>
      </c>
      <c r="L17253" s="31" t="str">
        <f t="shared" si="1667"/>
        <v>Tujuh Puluh Dua</v>
      </c>
    </row>
    <row r="17254" spans="10:12">
      <c r="J17254" s="31">
        <v>73</v>
      </c>
      <c r="K17254" s="33" t="s">
        <v>148</v>
      </c>
      <c r="L17254" s="31" t="str">
        <f t="shared" si="1667"/>
        <v>Tujuh Puluh Tiga</v>
      </c>
    </row>
    <row r="17255" spans="10:12">
      <c r="J17255" s="31">
        <v>74</v>
      </c>
      <c r="K17255" s="33" t="s">
        <v>149</v>
      </c>
      <c r="L17255" s="31" t="str">
        <f t="shared" si="1667"/>
        <v>Tujuh Puluh Empat</v>
      </c>
    </row>
    <row r="17256" spans="10:12">
      <c r="J17256" s="31">
        <v>75</v>
      </c>
      <c r="K17256" s="33" t="s">
        <v>150</v>
      </c>
      <c r="L17256" s="31" t="str">
        <f t="shared" si="1667"/>
        <v>Tujuh Puluh Lima</v>
      </c>
    </row>
    <row r="17257" spans="10:12">
      <c r="J17257" s="31">
        <v>76</v>
      </c>
      <c r="K17257" s="33" t="s">
        <v>151</v>
      </c>
      <c r="L17257" s="31" t="str">
        <f t="shared" si="1667"/>
        <v>Tujuh Puluh Enam</v>
      </c>
    </row>
    <row r="17258" spans="10:12">
      <c r="J17258" s="31">
        <v>77</v>
      </c>
      <c r="K17258" s="33" t="s">
        <v>152</v>
      </c>
      <c r="L17258" s="31" t="str">
        <f t="shared" si="1667"/>
        <v>Tujuh Puluh Tujuh</v>
      </c>
    </row>
    <row r="17259" spans="10:12">
      <c r="J17259" s="31">
        <v>78</v>
      </c>
      <c r="K17259" s="33" t="s">
        <v>153</v>
      </c>
      <c r="L17259" s="31" t="str">
        <f t="shared" si="1667"/>
        <v>Tujuh Puluh Delapan</v>
      </c>
    </row>
    <row r="17260" spans="10:12">
      <c r="J17260" s="31">
        <v>79</v>
      </c>
      <c r="K17260" s="33" t="s">
        <v>154</v>
      </c>
      <c r="L17260" s="31" t="str">
        <f t="shared" si="1667"/>
        <v>Tujuh Puluh Sembilan</v>
      </c>
    </row>
    <row r="17261" spans="10:12">
      <c r="J17261" s="31">
        <v>80</v>
      </c>
      <c r="K17261" s="33" t="s">
        <v>155</v>
      </c>
      <c r="L17261" s="31" t="s">
        <v>156</v>
      </c>
    </row>
    <row r="17262" spans="10:12">
      <c r="J17262" s="31">
        <v>81</v>
      </c>
      <c r="K17262" s="33" t="s">
        <v>157</v>
      </c>
      <c r="L17262" s="31" t="str">
        <f t="shared" ref="L17262:L17270" si="1668">$L$83&amp;" "&amp;L17182</f>
        <v>Delapan Puluh Satu</v>
      </c>
    </row>
    <row r="17263" spans="10:12">
      <c r="J17263" s="31">
        <v>82</v>
      </c>
      <c r="K17263" s="33" t="s">
        <v>158</v>
      </c>
      <c r="L17263" s="31" t="str">
        <f t="shared" si="1668"/>
        <v>Delapan Puluh Dua</v>
      </c>
    </row>
    <row r="17264" spans="10:12">
      <c r="J17264" s="31">
        <v>83</v>
      </c>
      <c r="K17264" s="33" t="s">
        <v>159</v>
      </c>
      <c r="L17264" s="31" t="str">
        <f t="shared" si="1668"/>
        <v>Delapan Puluh Tiga</v>
      </c>
    </row>
    <row r="17265" spans="10:12">
      <c r="J17265" s="31">
        <v>84</v>
      </c>
      <c r="K17265" s="33" t="s">
        <v>160</v>
      </c>
      <c r="L17265" s="31" t="str">
        <f t="shared" si="1668"/>
        <v>Delapan Puluh Empat</v>
      </c>
    </row>
    <row r="17266" spans="10:12">
      <c r="J17266" s="31">
        <v>85</v>
      </c>
      <c r="K17266" s="33" t="s">
        <v>161</v>
      </c>
      <c r="L17266" s="31" t="str">
        <f t="shared" si="1668"/>
        <v>Delapan Puluh Lima</v>
      </c>
    </row>
    <row r="17267" spans="10:12">
      <c r="J17267" s="31">
        <v>86</v>
      </c>
      <c r="K17267" s="33" t="s">
        <v>162</v>
      </c>
      <c r="L17267" s="31" t="str">
        <f t="shared" si="1668"/>
        <v>Delapan Puluh Enam</v>
      </c>
    </row>
    <row r="17268" spans="10:12">
      <c r="J17268" s="31">
        <v>87</v>
      </c>
      <c r="K17268" s="33" t="s">
        <v>163</v>
      </c>
      <c r="L17268" s="31" t="str">
        <f t="shared" si="1668"/>
        <v>Delapan Puluh Tujuh</v>
      </c>
    </row>
    <row r="17269" spans="10:12">
      <c r="J17269" s="31">
        <v>88</v>
      </c>
      <c r="K17269" s="33" t="s">
        <v>164</v>
      </c>
      <c r="L17269" s="31" t="str">
        <f t="shared" si="1668"/>
        <v>Delapan Puluh Delapan</v>
      </c>
    </row>
    <row r="17270" spans="10:12">
      <c r="J17270" s="31">
        <v>89</v>
      </c>
      <c r="K17270" s="33" t="s">
        <v>165</v>
      </c>
      <c r="L17270" s="31" t="str">
        <f t="shared" si="1668"/>
        <v>Delapan Puluh Sembilan</v>
      </c>
    </row>
    <row r="17271" spans="10:12">
      <c r="J17271" s="31">
        <v>90</v>
      </c>
      <c r="K17271" s="33" t="s">
        <v>166</v>
      </c>
      <c r="L17271" s="31" t="s">
        <v>167</v>
      </c>
    </row>
    <row r="17272" spans="10:12">
      <c r="J17272" s="31">
        <v>91</v>
      </c>
      <c r="K17272" s="33" t="s">
        <v>168</v>
      </c>
      <c r="L17272" s="31" t="str">
        <f t="shared" ref="L17272:L17280" si="1669">$L$93&amp;" "&amp;L17182</f>
        <v>Sembilan Puluh Satu</v>
      </c>
    </row>
    <row r="17273" spans="10:12">
      <c r="J17273" s="31">
        <v>92</v>
      </c>
      <c r="K17273" s="33" t="s">
        <v>169</v>
      </c>
      <c r="L17273" s="31" t="str">
        <f t="shared" si="1669"/>
        <v>Sembilan Puluh Dua</v>
      </c>
    </row>
    <row r="17274" spans="10:12">
      <c r="J17274" s="31">
        <v>93</v>
      </c>
      <c r="K17274" s="33" t="s">
        <v>170</v>
      </c>
      <c r="L17274" s="31" t="str">
        <f t="shared" si="1669"/>
        <v>Sembilan Puluh Tiga</v>
      </c>
    </row>
    <row r="17275" spans="10:12">
      <c r="J17275" s="31">
        <v>94</v>
      </c>
      <c r="K17275" s="33" t="s">
        <v>171</v>
      </c>
      <c r="L17275" s="31" t="str">
        <f t="shared" si="1669"/>
        <v>Sembilan Puluh Empat</v>
      </c>
    </row>
    <row r="17276" spans="10:12">
      <c r="J17276" s="31">
        <v>95</v>
      </c>
      <c r="K17276" s="33" t="s">
        <v>172</v>
      </c>
      <c r="L17276" s="31" t="str">
        <f t="shared" si="1669"/>
        <v>Sembilan Puluh Lima</v>
      </c>
    </row>
    <row r="17277" spans="10:12">
      <c r="J17277" s="31">
        <v>96</v>
      </c>
      <c r="K17277" s="33" t="s">
        <v>173</v>
      </c>
      <c r="L17277" s="31" t="str">
        <f t="shared" si="1669"/>
        <v>Sembilan Puluh Enam</v>
      </c>
    </row>
    <row r="17278" spans="10:12">
      <c r="J17278" s="31">
        <v>97</v>
      </c>
      <c r="K17278" s="33" t="s">
        <v>174</v>
      </c>
      <c r="L17278" s="31" t="str">
        <f t="shared" si="1669"/>
        <v>Sembilan Puluh Tujuh</v>
      </c>
    </row>
    <row r="17279" spans="10:12">
      <c r="J17279" s="31">
        <v>98</v>
      </c>
      <c r="K17279" s="33" t="s">
        <v>175</v>
      </c>
      <c r="L17279" s="31" t="str">
        <f t="shared" si="1669"/>
        <v>Sembilan Puluh Delapan</v>
      </c>
    </row>
    <row r="17280" spans="10:12">
      <c r="J17280" s="31">
        <v>99</v>
      </c>
      <c r="K17280" s="33" t="s">
        <v>176</v>
      </c>
      <c r="L17280" s="31" t="str">
        <f t="shared" si="1669"/>
        <v>Sembilan Puluh Sembilan</v>
      </c>
    </row>
    <row r="17282" spans="1:12">
      <c r="A17282" s="30" t="e">
        <f>#REF!</f>
        <v>#REF!</v>
      </c>
      <c r="C17282" s="31" t="s">
        <v>403</v>
      </c>
    </row>
    <row r="17283" spans="1:12">
      <c r="A17283" s="32"/>
    </row>
    <row r="17284" spans="1:12">
      <c r="J17284" s="31">
        <v>0</v>
      </c>
      <c r="K17284" s="33" t="s">
        <v>48</v>
      </c>
      <c r="L17284" s="31" t="s">
        <v>49</v>
      </c>
    </row>
    <row r="17285" spans="1:12">
      <c r="A17285" s="34"/>
      <c r="J17285" s="31">
        <v>1</v>
      </c>
      <c r="K17285" s="33" t="s">
        <v>50</v>
      </c>
      <c r="L17285" s="31" t="s">
        <v>51</v>
      </c>
    </row>
    <row r="17286" spans="1:12">
      <c r="A17286" s="255" t="e">
        <f>TRIM(D17294&amp;E17294&amp;D17295&amp;E17295&amp;D17296&amp;E17296&amp;D17297&amp;E17297&amp;D17298&amp;E17298&amp;D17299&amp;E17299&amp;E17300&amp;D17300&amp;" Only")</f>
        <v>#REF!</v>
      </c>
      <c r="B17286" s="255"/>
      <c r="C17286" s="255"/>
      <c r="D17286" s="255"/>
      <c r="E17286" s="35"/>
      <c r="F17286" s="36"/>
      <c r="J17286" s="31">
        <v>2</v>
      </c>
      <c r="K17286" s="33" t="s">
        <v>52</v>
      </c>
      <c r="L17286" s="31" t="s">
        <v>53</v>
      </c>
    </row>
    <row r="17287" spans="1:12">
      <c r="A17287" s="127"/>
      <c r="B17287" s="127"/>
      <c r="C17287" s="127"/>
      <c r="D17287" s="127"/>
      <c r="E17287" s="35"/>
      <c r="F17287" s="36"/>
      <c r="J17287" s="31">
        <v>3</v>
      </c>
      <c r="K17287" s="33" t="s">
        <v>54</v>
      </c>
      <c r="L17287" s="31" t="s">
        <v>55</v>
      </c>
    </row>
    <row r="17288" spans="1:12">
      <c r="A17288" s="127"/>
      <c r="B17288" s="127"/>
      <c r="C17288" s="127"/>
      <c r="D17288" s="127"/>
      <c r="J17288" s="31">
        <v>4</v>
      </c>
      <c r="K17288" s="33" t="s">
        <v>56</v>
      </c>
      <c r="L17288" s="31" t="s">
        <v>57</v>
      </c>
    </row>
    <row r="17289" spans="1:12">
      <c r="A17289" s="255" t="e">
        <f>TRIM(D17304&amp;E17304&amp;D17305&amp;E17305&amp;D17306&amp;E17306&amp;D17307&amp;E17307&amp;D17308&amp;E17308&amp;D17309&amp;E17309&amp;D17310&amp;E17310&amp;" Rupiah")</f>
        <v>#REF!</v>
      </c>
      <c r="B17289" s="255"/>
      <c r="C17289" s="255"/>
      <c r="D17289" s="255"/>
      <c r="E17289" s="35"/>
      <c r="F17289" s="36"/>
      <c r="J17289" s="31">
        <v>5</v>
      </c>
      <c r="K17289" s="33" t="s">
        <v>58</v>
      </c>
      <c r="L17289" s="31" t="s">
        <v>59</v>
      </c>
    </row>
    <row r="17290" spans="1:12">
      <c r="A17290" s="35"/>
      <c r="B17290" s="35"/>
      <c r="C17290" s="35"/>
      <c r="D17290" s="35"/>
      <c r="E17290" s="35"/>
      <c r="F17290" s="36"/>
      <c r="J17290" s="31">
        <v>6</v>
      </c>
      <c r="K17290" s="33" t="s">
        <v>60</v>
      </c>
      <c r="L17290" s="31" t="s">
        <v>61</v>
      </c>
    </row>
    <row r="17291" spans="1:12">
      <c r="J17291" s="31">
        <v>7</v>
      </c>
      <c r="K17291" s="33" t="s">
        <v>62</v>
      </c>
      <c r="L17291" s="31" t="s">
        <v>63</v>
      </c>
    </row>
    <row r="17292" spans="1:12">
      <c r="J17292" s="31">
        <v>8</v>
      </c>
      <c r="K17292" s="33" t="s">
        <v>64</v>
      </c>
      <c r="L17292" s="31" t="s">
        <v>65</v>
      </c>
    </row>
    <row r="17293" spans="1:12">
      <c r="A17293" s="38" t="s">
        <v>66</v>
      </c>
      <c r="J17293" s="31">
        <v>9</v>
      </c>
      <c r="K17293" s="33" t="s">
        <v>67</v>
      </c>
      <c r="L17293" s="31" t="s">
        <v>68</v>
      </c>
    </row>
    <row r="17294" spans="1:12">
      <c r="A17294" s="31" t="s">
        <v>69</v>
      </c>
      <c r="B17294" s="39" t="e">
        <f>TRUNC(A17282/100000000)</f>
        <v>#REF!</v>
      </c>
      <c r="C17294" s="31" t="e">
        <f>B17294*100000000</f>
        <v>#REF!</v>
      </c>
      <c r="D17294" s="31" t="e">
        <f t="shared" ref="D17294:D17300" si="1670">IF(B17294&lt;1,"",VLOOKUP(B17294,$J$3:$K$102,2))</f>
        <v>#REF!</v>
      </c>
      <c r="E17294" s="31" t="e">
        <f>IF(B17294&lt;1,"",IF(B17294&gt;1," Hundreds "," Hundred "))</f>
        <v>#REF!</v>
      </c>
      <c r="J17294" s="31">
        <v>10</v>
      </c>
      <c r="K17294" s="33" t="s">
        <v>70</v>
      </c>
      <c r="L17294" s="31" t="s">
        <v>71</v>
      </c>
    </row>
    <row r="17295" spans="1:12">
      <c r="A17295" s="31" t="s">
        <v>72</v>
      </c>
      <c r="B17295" s="39" t="e">
        <f>TRUNC((A17282-C17294)/1000000)</f>
        <v>#REF!</v>
      </c>
      <c r="C17295" s="31" t="e">
        <f>B17295*1000000</f>
        <v>#REF!</v>
      </c>
      <c r="D17295" s="31" t="e">
        <f t="shared" si="1670"/>
        <v>#REF!</v>
      </c>
      <c r="E17295" s="31" t="e">
        <f>IF(B17294+B17295=0,"",IF(B17295=1," Million "," Millions "))</f>
        <v>#REF!</v>
      </c>
      <c r="J17295" s="31">
        <v>11</v>
      </c>
      <c r="K17295" s="33" t="s">
        <v>73</v>
      </c>
      <c r="L17295" s="31" t="s">
        <v>74</v>
      </c>
    </row>
    <row r="17296" spans="1:12">
      <c r="A17296" s="31" t="s">
        <v>75</v>
      </c>
      <c r="B17296" s="39" t="e">
        <f>TRUNC((A17282-SUM(C17294:C17295))/100000)</f>
        <v>#REF!</v>
      </c>
      <c r="C17296" s="31" t="e">
        <f>B17296*100000</f>
        <v>#REF!</v>
      </c>
      <c r="D17296" s="31" t="e">
        <f t="shared" si="1670"/>
        <v>#REF!</v>
      </c>
      <c r="E17296" s="31" t="e">
        <f>IF(B17296&lt;1,"",IF(B17296&gt;1," Hundreds "," Hundred "))</f>
        <v>#REF!</v>
      </c>
      <c r="J17296" s="31">
        <v>12</v>
      </c>
      <c r="K17296" s="33" t="s">
        <v>76</v>
      </c>
      <c r="L17296" s="31" t="str">
        <f t="shared" ref="L17296:L17303" si="1671">L17286&amp;" Belas"</f>
        <v>Dua Belas</v>
      </c>
    </row>
    <row r="17297" spans="1:12">
      <c r="A17297" s="33" t="s">
        <v>77</v>
      </c>
      <c r="B17297" s="40" t="e">
        <f>TRUNC((A17282-SUM(C17294:C17296))/1000)</f>
        <v>#REF!</v>
      </c>
      <c r="C17297" s="31" t="e">
        <f>B17297*1000</f>
        <v>#REF!</v>
      </c>
      <c r="D17297" s="31" t="e">
        <f t="shared" si="1670"/>
        <v>#REF!</v>
      </c>
      <c r="E17297" s="31" t="e">
        <f>IF(B17296+B17297=0,"",IF(B17297=1," Thousand "," Thousands "))</f>
        <v>#REF!</v>
      </c>
      <c r="J17297" s="31">
        <v>13</v>
      </c>
      <c r="K17297" s="33" t="s">
        <v>78</v>
      </c>
      <c r="L17297" s="31" t="str">
        <f t="shared" si="1671"/>
        <v>Tiga Belas</v>
      </c>
    </row>
    <row r="17298" spans="1:12">
      <c r="A17298" s="33" t="s">
        <v>79</v>
      </c>
      <c r="B17298" s="40" t="e">
        <f>TRUNC((A17282-SUM(C17294:C17297))/100)</f>
        <v>#REF!</v>
      </c>
      <c r="C17298" s="31" t="e">
        <f>B17298*100</f>
        <v>#REF!</v>
      </c>
      <c r="D17298" s="31" t="e">
        <f t="shared" si="1670"/>
        <v>#REF!</v>
      </c>
      <c r="E17298" s="31" t="e">
        <f>IF(B17298&lt;1,"",IF(B17298&gt;1," Hundreds "," Hundred "))</f>
        <v>#REF!</v>
      </c>
      <c r="J17298" s="31">
        <v>14</v>
      </c>
      <c r="K17298" s="33" t="s">
        <v>80</v>
      </c>
      <c r="L17298" s="31" t="str">
        <f t="shared" si="1671"/>
        <v>Empat Belas</v>
      </c>
    </row>
    <row r="17299" spans="1:12">
      <c r="A17299" s="33" t="s">
        <v>81</v>
      </c>
      <c r="B17299" s="41" t="e">
        <f>TRUNC((A17282-SUM(C17294:C17298)))</f>
        <v>#REF!</v>
      </c>
      <c r="C17299" s="42" t="e">
        <f>B17299</f>
        <v>#REF!</v>
      </c>
      <c r="D17299" s="31" t="e">
        <f t="shared" si="1670"/>
        <v>#REF!</v>
      </c>
      <c r="E17299" s="31" t="e">
        <f>IF(SUM(C17294:C17299)&lt;1,"",IF(B17300&lt;1,""," And "))</f>
        <v>#REF!</v>
      </c>
      <c r="J17299" s="31">
        <v>15</v>
      </c>
      <c r="K17299" s="33" t="s">
        <v>82</v>
      </c>
      <c r="L17299" s="31" t="str">
        <f t="shared" si="1671"/>
        <v>Lima Belas</v>
      </c>
    </row>
    <row r="17300" spans="1:12">
      <c r="A17300" s="33" t="s">
        <v>83</v>
      </c>
      <c r="B17300" s="40" t="e">
        <f>ROUND(A17282-SUM(C17294:C17299),2)*100</f>
        <v>#REF!</v>
      </c>
      <c r="D17300" s="43" t="e">
        <f t="shared" si="1670"/>
        <v>#REF!</v>
      </c>
      <c r="E17300" s="31" t="e">
        <f>IF(B17300&lt;1,"",IF(B17300=1," Cent "," Cents "))</f>
        <v>#REF!</v>
      </c>
      <c r="J17300" s="31">
        <v>16</v>
      </c>
      <c r="K17300" s="33" t="s">
        <v>84</v>
      </c>
      <c r="L17300" s="31" t="str">
        <f t="shared" si="1671"/>
        <v>Enam Belas</v>
      </c>
    </row>
    <row r="17301" spans="1:12">
      <c r="J17301" s="31">
        <v>17</v>
      </c>
      <c r="K17301" s="33" t="s">
        <v>85</v>
      </c>
      <c r="L17301" s="31" t="str">
        <f t="shared" si="1671"/>
        <v>Tujuh Belas</v>
      </c>
    </row>
    <row r="17302" spans="1:12">
      <c r="A17302" s="44"/>
      <c r="J17302" s="31">
        <v>18</v>
      </c>
      <c r="K17302" s="33" t="s">
        <v>86</v>
      </c>
      <c r="L17302" s="31" t="str">
        <f t="shared" si="1671"/>
        <v>Delapan Belas</v>
      </c>
    </row>
    <row r="17303" spans="1:12">
      <c r="A17303" s="38" t="s">
        <v>87</v>
      </c>
      <c r="J17303" s="31">
        <v>19</v>
      </c>
      <c r="K17303" s="33" t="s">
        <v>88</v>
      </c>
      <c r="L17303" s="31" t="str">
        <f t="shared" si="1671"/>
        <v>Sembilan Belas</v>
      </c>
    </row>
    <row r="17304" spans="1:12">
      <c r="A17304" s="31" t="s">
        <v>69</v>
      </c>
      <c r="B17304" s="39" t="e">
        <f>TRUNC(A17282/100000000)</f>
        <v>#REF!</v>
      </c>
      <c r="C17304" s="31" t="e">
        <f>B17304*100000000</f>
        <v>#REF!</v>
      </c>
      <c r="D17304" s="31" t="e">
        <f>IF(B17304&lt;1,"",IF(B17304=1,"",VLOOKUP(B17304,$J$3:$L$102,3)))</f>
        <v>#REF!</v>
      </c>
      <c r="E17304" s="31" t="e">
        <f>IF(B17304&lt;1,"",IF(B17304=1,"Seratus "," Ratus "))</f>
        <v>#REF!</v>
      </c>
      <c r="J17304" s="31">
        <v>20</v>
      </c>
      <c r="K17304" s="33" t="s">
        <v>89</v>
      </c>
      <c r="L17304" s="31" t="s">
        <v>90</v>
      </c>
    </row>
    <row r="17305" spans="1:12">
      <c r="A17305" s="31" t="s">
        <v>72</v>
      </c>
      <c r="B17305" s="39" t="e">
        <f>TRUNC((A17282-C17304)/1000000)</f>
        <v>#REF!</v>
      </c>
      <c r="C17305" s="31" t="e">
        <f>B17305*1000000</f>
        <v>#REF!</v>
      </c>
      <c r="D17305" s="31" t="e">
        <f>IF(B17305&lt;1,"",VLOOKUP(B17305,$J$3:$L$102,3))</f>
        <v>#REF!</v>
      </c>
      <c r="E17305" s="31" t="e">
        <f>IF(B17304+B17305=0,""," Juta ")</f>
        <v>#REF!</v>
      </c>
      <c r="J17305" s="31">
        <v>21</v>
      </c>
      <c r="K17305" s="33" t="s">
        <v>91</v>
      </c>
      <c r="L17305" s="31" t="str">
        <f t="shared" ref="L17305:L17313" si="1672">$L$23&amp;" "&amp;L17285</f>
        <v>Dua Puluh Satu</v>
      </c>
    </row>
    <row r="17306" spans="1:12">
      <c r="A17306" s="31" t="s">
        <v>75</v>
      </c>
      <c r="B17306" s="39" t="e">
        <f>TRUNC((A17282-SUM(C17304:C17305))/100000)</f>
        <v>#REF!</v>
      </c>
      <c r="C17306" s="31" t="e">
        <f>B17306*100000</f>
        <v>#REF!</v>
      </c>
      <c r="D17306" s="31" t="e">
        <f>IF(B17306&lt;1,"",IF(B17306=1,"",VLOOKUP(B17306,$J$3:$L$102,3)))</f>
        <v>#REF!</v>
      </c>
      <c r="E17306" s="31" t="e">
        <f>IF(B17306&lt;1,"",IF(B17306=1," Seratus "," Ratus "))</f>
        <v>#REF!</v>
      </c>
      <c r="J17306" s="31">
        <v>22</v>
      </c>
      <c r="K17306" s="33" t="s">
        <v>92</v>
      </c>
      <c r="L17306" s="31" t="str">
        <f t="shared" si="1672"/>
        <v>Dua Puluh Dua</v>
      </c>
    </row>
    <row r="17307" spans="1:12">
      <c r="A17307" s="33" t="s">
        <v>77</v>
      </c>
      <c r="B17307" s="40" t="e">
        <f>TRUNC((A17282-SUM(C17304:C17306))/1000)</f>
        <v>#REF!</v>
      </c>
      <c r="C17307" s="31" t="e">
        <f>B17307*1000</f>
        <v>#REF!</v>
      </c>
      <c r="D17307" s="31" t="e">
        <f>IF(B17307&lt;1,"",IF(B17307=1,"",VLOOKUP(B17307,$J$3:$L$102,3)))</f>
        <v>#REF!</v>
      </c>
      <c r="E17307" s="31" t="e">
        <f>IF(B17306+B17307&lt;1,"",IF(B17307=1," Seribu "," Ribu "))</f>
        <v>#REF!</v>
      </c>
      <c r="J17307" s="31">
        <v>23</v>
      </c>
      <c r="K17307" s="33" t="s">
        <v>93</v>
      </c>
      <c r="L17307" s="31" t="str">
        <f t="shared" si="1672"/>
        <v>Dua Puluh Tiga</v>
      </c>
    </row>
    <row r="17308" spans="1:12">
      <c r="A17308" s="33" t="s">
        <v>79</v>
      </c>
      <c r="B17308" s="40" t="e">
        <f>TRUNC((A17282-SUM(C17304:C17307))/100)</f>
        <v>#REF!</v>
      </c>
      <c r="C17308" s="31" t="e">
        <f>B17308*100</f>
        <v>#REF!</v>
      </c>
      <c r="D17308" s="31" t="e">
        <f>IF(B17308&lt;1,"",IF(B17308=1,"",VLOOKUP(B17308,$J$3:$L$102,3)))</f>
        <v>#REF!</v>
      </c>
      <c r="E17308" s="31" t="e">
        <f>IF(B17308&lt;1,"",IF(B17308=1," Seratus "," Ratus "))</f>
        <v>#REF!</v>
      </c>
      <c r="J17308" s="31">
        <v>24</v>
      </c>
      <c r="K17308" s="33" t="s">
        <v>94</v>
      </c>
      <c r="L17308" s="31" t="str">
        <f t="shared" si="1672"/>
        <v>Dua Puluh Empat</v>
      </c>
    </row>
    <row r="17309" spans="1:12">
      <c r="A17309" s="33" t="s">
        <v>81</v>
      </c>
      <c r="B17309" s="41" t="e">
        <f>TRUNC((A17282-SUM(C17304:C17308)))</f>
        <v>#REF!</v>
      </c>
      <c r="C17309" s="42" t="e">
        <f>B17309</f>
        <v>#REF!</v>
      </c>
      <c r="D17309" s="31" t="e">
        <f>IF(B17309&lt;1,"",VLOOKUP(B17309,$J$3:$L$102,3))</f>
        <v>#REF!</v>
      </c>
      <c r="E17309" s="31" t="e">
        <f>IF(SUM(C17304:C17309)&lt;1,"",IF(B17310&lt;1,""," Dan "))</f>
        <v>#REF!</v>
      </c>
      <c r="J17309" s="31">
        <v>25</v>
      </c>
      <c r="K17309" s="33" t="s">
        <v>95</v>
      </c>
      <c r="L17309" s="31" t="str">
        <f t="shared" si="1672"/>
        <v>Dua Puluh Lima</v>
      </c>
    </row>
    <row r="17310" spans="1:12">
      <c r="A17310" s="33" t="s">
        <v>83</v>
      </c>
      <c r="B17310" s="40" t="e">
        <f>ROUND(A17282-SUM(C17304:C17309),2)*100</f>
        <v>#REF!</v>
      </c>
      <c r="D17310" s="31" t="e">
        <f>IF(B17310&lt;1,"",VLOOKUP(B17310,$J$3:$L$102,3))</f>
        <v>#REF!</v>
      </c>
      <c r="E17310" s="31" t="e">
        <f>IF(B17310&lt;1,""," Sen ")</f>
        <v>#REF!</v>
      </c>
      <c r="J17310" s="31">
        <v>26</v>
      </c>
      <c r="K17310" s="33" t="s">
        <v>96</v>
      </c>
      <c r="L17310" s="31" t="str">
        <f t="shared" si="1672"/>
        <v>Dua Puluh Enam</v>
      </c>
    </row>
    <row r="17311" spans="1:12">
      <c r="J17311" s="31">
        <v>27</v>
      </c>
      <c r="K17311" s="33" t="s">
        <v>97</v>
      </c>
      <c r="L17311" s="31" t="str">
        <f t="shared" si="1672"/>
        <v>Dua Puluh Tujuh</v>
      </c>
    </row>
    <row r="17312" spans="1:12">
      <c r="J17312" s="31">
        <v>28</v>
      </c>
      <c r="K17312" s="33" t="s">
        <v>98</v>
      </c>
      <c r="L17312" s="31" t="str">
        <f t="shared" si="1672"/>
        <v>Dua Puluh Delapan</v>
      </c>
    </row>
    <row r="17313" spans="1:12">
      <c r="J17313" s="31">
        <v>29</v>
      </c>
      <c r="K17313" s="33" t="s">
        <v>99</v>
      </c>
      <c r="L17313" s="31" t="str">
        <f t="shared" si="1672"/>
        <v>Dua Puluh Sembilan</v>
      </c>
    </row>
    <row r="17314" spans="1:12">
      <c r="J17314" s="31">
        <v>30</v>
      </c>
      <c r="K17314" s="33" t="s">
        <v>100</v>
      </c>
      <c r="L17314" s="31" t="s">
        <v>101</v>
      </c>
    </row>
    <row r="17315" spans="1:12">
      <c r="J17315" s="31">
        <v>31</v>
      </c>
      <c r="K17315" s="33" t="s">
        <v>102</v>
      </c>
      <c r="L17315" s="31" t="str">
        <f t="shared" ref="L17315:L17323" si="1673">$L$33&amp;" "&amp;L17285</f>
        <v>Tiga Puluh Satu</v>
      </c>
    </row>
    <row r="17316" spans="1:12">
      <c r="J17316" s="31">
        <v>32</v>
      </c>
      <c r="K17316" s="33" t="s">
        <v>103</v>
      </c>
      <c r="L17316" s="31" t="str">
        <f t="shared" si="1673"/>
        <v>Tiga Puluh Dua</v>
      </c>
    </row>
    <row r="17317" spans="1:12">
      <c r="J17317" s="31">
        <v>33</v>
      </c>
      <c r="K17317" s="33" t="s">
        <v>104</v>
      </c>
      <c r="L17317" s="31" t="str">
        <f t="shared" si="1673"/>
        <v>Tiga Puluh Tiga</v>
      </c>
    </row>
    <row r="17318" spans="1:12">
      <c r="J17318" s="31">
        <v>34</v>
      </c>
      <c r="K17318" s="33" t="s">
        <v>105</v>
      </c>
      <c r="L17318" s="31" t="str">
        <f t="shared" si="1673"/>
        <v>Tiga Puluh Empat</v>
      </c>
    </row>
    <row r="17319" spans="1:12">
      <c r="J17319" s="31">
        <v>35</v>
      </c>
      <c r="K17319" s="33" t="s">
        <v>106</v>
      </c>
      <c r="L17319" s="31" t="str">
        <f t="shared" si="1673"/>
        <v>Tiga Puluh Lima</v>
      </c>
    </row>
    <row r="17320" spans="1:12">
      <c r="J17320" s="31">
        <v>36</v>
      </c>
      <c r="K17320" s="33" t="s">
        <v>107</v>
      </c>
      <c r="L17320" s="31" t="str">
        <f t="shared" si="1673"/>
        <v>Tiga Puluh Enam</v>
      </c>
    </row>
    <row r="17321" spans="1:12">
      <c r="J17321" s="31">
        <v>37</v>
      </c>
      <c r="K17321" s="33" t="s">
        <v>108</v>
      </c>
      <c r="L17321" s="31" t="str">
        <f t="shared" si="1673"/>
        <v>Tiga Puluh Tujuh</v>
      </c>
    </row>
    <row r="17322" spans="1:12">
      <c r="J17322" s="31">
        <v>38</v>
      </c>
      <c r="K17322" s="33" t="s">
        <v>109</v>
      </c>
      <c r="L17322" s="31" t="str">
        <f t="shared" si="1673"/>
        <v>Tiga Puluh Delapan</v>
      </c>
    </row>
    <row r="17323" spans="1:12">
      <c r="J17323" s="31">
        <v>39</v>
      </c>
      <c r="K17323" s="33" t="s">
        <v>110</v>
      </c>
      <c r="L17323" s="31" t="str">
        <f t="shared" si="1673"/>
        <v>Tiga Puluh Sembilan</v>
      </c>
    </row>
    <row r="17324" spans="1:12">
      <c r="B17324" s="35"/>
      <c r="C17324" s="35"/>
      <c r="D17324" s="35"/>
      <c r="J17324" s="31">
        <v>40</v>
      </c>
      <c r="K17324" s="33" t="s">
        <v>111</v>
      </c>
      <c r="L17324" s="31" t="s">
        <v>112</v>
      </c>
    </row>
    <row r="17325" spans="1:12">
      <c r="A17325" s="35"/>
      <c r="B17325" s="35"/>
      <c r="C17325" s="35"/>
      <c r="D17325" s="35"/>
      <c r="J17325" s="31">
        <v>41</v>
      </c>
      <c r="K17325" s="33" t="s">
        <v>113</v>
      </c>
      <c r="L17325" s="31" t="str">
        <f t="shared" ref="L17325:L17333" si="1674">$L$43&amp;" "&amp;L17285</f>
        <v>Empat Puluh Satu</v>
      </c>
    </row>
    <row r="17326" spans="1:12">
      <c r="J17326" s="31">
        <v>42</v>
      </c>
      <c r="K17326" s="33" t="s">
        <v>114</v>
      </c>
      <c r="L17326" s="31" t="str">
        <f t="shared" si="1674"/>
        <v>Empat Puluh Dua</v>
      </c>
    </row>
    <row r="17327" spans="1:12">
      <c r="A17327" s="38"/>
      <c r="J17327" s="31">
        <v>43</v>
      </c>
      <c r="K17327" s="33" t="s">
        <v>115</v>
      </c>
      <c r="L17327" s="31" t="str">
        <f t="shared" si="1674"/>
        <v>Empat Puluh Tiga</v>
      </c>
    </row>
    <row r="17328" spans="1:12">
      <c r="J17328" s="31">
        <v>44</v>
      </c>
      <c r="K17328" s="33" t="s">
        <v>116</v>
      </c>
      <c r="L17328" s="31" t="str">
        <f t="shared" si="1674"/>
        <v>Empat Puluh Empat</v>
      </c>
    </row>
    <row r="17329" spans="10:12">
      <c r="J17329" s="31">
        <v>45</v>
      </c>
      <c r="K17329" s="33" t="s">
        <v>117</v>
      </c>
      <c r="L17329" s="31" t="str">
        <f t="shared" si="1674"/>
        <v>Empat Puluh Lima</v>
      </c>
    </row>
    <row r="17330" spans="10:12">
      <c r="J17330" s="31">
        <v>46</v>
      </c>
      <c r="K17330" s="33" t="s">
        <v>118</v>
      </c>
      <c r="L17330" s="31" t="str">
        <f t="shared" si="1674"/>
        <v>Empat Puluh Enam</v>
      </c>
    </row>
    <row r="17331" spans="10:12">
      <c r="J17331" s="31">
        <v>47</v>
      </c>
      <c r="K17331" s="33" t="s">
        <v>119</v>
      </c>
      <c r="L17331" s="31" t="str">
        <f t="shared" si="1674"/>
        <v>Empat Puluh Tujuh</v>
      </c>
    </row>
    <row r="17332" spans="10:12">
      <c r="J17332" s="31">
        <v>48</v>
      </c>
      <c r="K17332" s="33" t="s">
        <v>120</v>
      </c>
      <c r="L17332" s="31" t="str">
        <f t="shared" si="1674"/>
        <v>Empat Puluh Delapan</v>
      </c>
    </row>
    <row r="17333" spans="10:12">
      <c r="J17333" s="31">
        <v>49</v>
      </c>
      <c r="K17333" s="33" t="s">
        <v>121</v>
      </c>
      <c r="L17333" s="31" t="str">
        <f t="shared" si="1674"/>
        <v>Empat Puluh Sembilan</v>
      </c>
    </row>
    <row r="17334" spans="10:12">
      <c r="J17334" s="31">
        <v>50</v>
      </c>
      <c r="K17334" s="33" t="s">
        <v>122</v>
      </c>
      <c r="L17334" s="31" t="s">
        <v>123</v>
      </c>
    </row>
    <row r="17335" spans="10:12">
      <c r="J17335" s="31">
        <v>51</v>
      </c>
      <c r="K17335" s="33" t="s">
        <v>124</v>
      </c>
      <c r="L17335" s="31" t="str">
        <f t="shared" ref="L17335:L17343" si="1675">$L$53&amp;" "&amp;L17285</f>
        <v>Lima Puluh Satu</v>
      </c>
    </row>
    <row r="17336" spans="10:12">
      <c r="J17336" s="31">
        <v>52</v>
      </c>
      <c r="K17336" s="33" t="s">
        <v>125</v>
      </c>
      <c r="L17336" s="31" t="str">
        <f t="shared" si="1675"/>
        <v>Lima Puluh Dua</v>
      </c>
    </row>
    <row r="17337" spans="10:12">
      <c r="J17337" s="31">
        <v>53</v>
      </c>
      <c r="K17337" s="33" t="s">
        <v>126</v>
      </c>
      <c r="L17337" s="31" t="str">
        <f t="shared" si="1675"/>
        <v>Lima Puluh Tiga</v>
      </c>
    </row>
    <row r="17338" spans="10:12">
      <c r="J17338" s="31">
        <v>54</v>
      </c>
      <c r="K17338" s="33" t="s">
        <v>127</v>
      </c>
      <c r="L17338" s="31" t="str">
        <f t="shared" si="1675"/>
        <v>Lima Puluh Empat</v>
      </c>
    </row>
    <row r="17339" spans="10:12">
      <c r="J17339" s="31">
        <v>55</v>
      </c>
      <c r="K17339" s="33" t="s">
        <v>128</v>
      </c>
      <c r="L17339" s="31" t="str">
        <f t="shared" si="1675"/>
        <v>Lima Puluh Lima</v>
      </c>
    </row>
    <row r="17340" spans="10:12">
      <c r="J17340" s="31">
        <v>56</v>
      </c>
      <c r="K17340" s="33" t="s">
        <v>129</v>
      </c>
      <c r="L17340" s="31" t="str">
        <f t="shared" si="1675"/>
        <v>Lima Puluh Enam</v>
      </c>
    </row>
    <row r="17341" spans="10:12">
      <c r="J17341" s="31">
        <v>57</v>
      </c>
      <c r="K17341" s="33" t="s">
        <v>130</v>
      </c>
      <c r="L17341" s="31" t="str">
        <f t="shared" si="1675"/>
        <v>Lima Puluh Tujuh</v>
      </c>
    </row>
    <row r="17342" spans="10:12">
      <c r="J17342" s="31">
        <v>58</v>
      </c>
      <c r="K17342" s="33" t="s">
        <v>131</v>
      </c>
      <c r="L17342" s="31" t="str">
        <f t="shared" si="1675"/>
        <v>Lima Puluh Delapan</v>
      </c>
    </row>
    <row r="17343" spans="10:12">
      <c r="J17343" s="31">
        <v>59</v>
      </c>
      <c r="K17343" s="33" t="s">
        <v>132</v>
      </c>
      <c r="L17343" s="31" t="str">
        <f t="shared" si="1675"/>
        <v>Lima Puluh Sembilan</v>
      </c>
    </row>
    <row r="17344" spans="10:12">
      <c r="J17344" s="31">
        <v>60</v>
      </c>
      <c r="K17344" s="33" t="s">
        <v>133</v>
      </c>
      <c r="L17344" s="31" t="s">
        <v>134</v>
      </c>
    </row>
    <row r="17345" spans="10:12">
      <c r="J17345" s="31">
        <v>61</v>
      </c>
      <c r="K17345" s="33" t="s">
        <v>135</v>
      </c>
      <c r="L17345" s="31" t="str">
        <f t="shared" ref="L17345:L17353" si="1676">$L$63&amp;" "&amp;L17285</f>
        <v>Enam Puluh Satu</v>
      </c>
    </row>
    <row r="17346" spans="10:12">
      <c r="J17346" s="31">
        <v>62</v>
      </c>
      <c r="K17346" s="33" t="s">
        <v>136</v>
      </c>
      <c r="L17346" s="31" t="str">
        <f t="shared" si="1676"/>
        <v>Enam Puluh Dua</v>
      </c>
    </row>
    <row r="17347" spans="10:12">
      <c r="J17347" s="31">
        <v>63</v>
      </c>
      <c r="K17347" s="33" t="s">
        <v>137</v>
      </c>
      <c r="L17347" s="31" t="str">
        <f t="shared" si="1676"/>
        <v>Enam Puluh Tiga</v>
      </c>
    </row>
    <row r="17348" spans="10:12">
      <c r="J17348" s="31">
        <v>64</v>
      </c>
      <c r="K17348" s="33" t="s">
        <v>138</v>
      </c>
      <c r="L17348" s="31" t="str">
        <f t="shared" si="1676"/>
        <v>Enam Puluh Empat</v>
      </c>
    </row>
    <row r="17349" spans="10:12">
      <c r="J17349" s="31">
        <v>65</v>
      </c>
      <c r="K17349" s="33" t="s">
        <v>139</v>
      </c>
      <c r="L17349" s="31" t="str">
        <f t="shared" si="1676"/>
        <v>Enam Puluh Lima</v>
      </c>
    </row>
    <row r="17350" spans="10:12">
      <c r="J17350" s="31">
        <v>66</v>
      </c>
      <c r="K17350" s="33" t="s">
        <v>140</v>
      </c>
      <c r="L17350" s="31" t="str">
        <f t="shared" si="1676"/>
        <v>Enam Puluh Enam</v>
      </c>
    </row>
    <row r="17351" spans="10:12">
      <c r="J17351" s="31">
        <v>67</v>
      </c>
      <c r="K17351" s="33" t="s">
        <v>141</v>
      </c>
      <c r="L17351" s="31" t="str">
        <f t="shared" si="1676"/>
        <v>Enam Puluh Tujuh</v>
      </c>
    </row>
    <row r="17352" spans="10:12">
      <c r="J17352" s="31">
        <v>68</v>
      </c>
      <c r="K17352" s="33" t="s">
        <v>142</v>
      </c>
      <c r="L17352" s="31" t="str">
        <f t="shared" si="1676"/>
        <v>Enam Puluh Delapan</v>
      </c>
    </row>
    <row r="17353" spans="10:12">
      <c r="J17353" s="31">
        <v>69</v>
      </c>
      <c r="K17353" s="33" t="s">
        <v>143</v>
      </c>
      <c r="L17353" s="31" t="str">
        <f t="shared" si="1676"/>
        <v>Enam Puluh Sembilan</v>
      </c>
    </row>
    <row r="17354" spans="10:12">
      <c r="J17354" s="31">
        <v>70</v>
      </c>
      <c r="K17354" s="33" t="s">
        <v>144</v>
      </c>
      <c r="L17354" s="31" t="s">
        <v>145</v>
      </c>
    </row>
    <row r="17355" spans="10:12">
      <c r="J17355" s="31">
        <v>71</v>
      </c>
      <c r="K17355" s="33" t="s">
        <v>146</v>
      </c>
      <c r="L17355" s="31" t="str">
        <f t="shared" ref="L17355:L17363" si="1677">$L$73&amp;" "&amp;L17285</f>
        <v>Tujuh Puluh Satu</v>
      </c>
    </row>
    <row r="17356" spans="10:12">
      <c r="J17356" s="31">
        <v>72</v>
      </c>
      <c r="K17356" s="33" t="s">
        <v>147</v>
      </c>
      <c r="L17356" s="31" t="str">
        <f t="shared" si="1677"/>
        <v>Tujuh Puluh Dua</v>
      </c>
    </row>
    <row r="17357" spans="10:12">
      <c r="J17357" s="31">
        <v>73</v>
      </c>
      <c r="K17357" s="33" t="s">
        <v>148</v>
      </c>
      <c r="L17357" s="31" t="str">
        <f t="shared" si="1677"/>
        <v>Tujuh Puluh Tiga</v>
      </c>
    </row>
    <row r="17358" spans="10:12">
      <c r="J17358" s="31">
        <v>74</v>
      </c>
      <c r="K17358" s="33" t="s">
        <v>149</v>
      </c>
      <c r="L17358" s="31" t="str">
        <f t="shared" si="1677"/>
        <v>Tujuh Puluh Empat</v>
      </c>
    </row>
    <row r="17359" spans="10:12">
      <c r="J17359" s="31">
        <v>75</v>
      </c>
      <c r="K17359" s="33" t="s">
        <v>150</v>
      </c>
      <c r="L17359" s="31" t="str">
        <f t="shared" si="1677"/>
        <v>Tujuh Puluh Lima</v>
      </c>
    </row>
    <row r="17360" spans="10:12">
      <c r="J17360" s="31">
        <v>76</v>
      </c>
      <c r="K17360" s="33" t="s">
        <v>151</v>
      </c>
      <c r="L17360" s="31" t="str">
        <f t="shared" si="1677"/>
        <v>Tujuh Puluh Enam</v>
      </c>
    </row>
    <row r="17361" spans="10:12">
      <c r="J17361" s="31">
        <v>77</v>
      </c>
      <c r="K17361" s="33" t="s">
        <v>152</v>
      </c>
      <c r="L17361" s="31" t="str">
        <f t="shared" si="1677"/>
        <v>Tujuh Puluh Tujuh</v>
      </c>
    </row>
    <row r="17362" spans="10:12">
      <c r="J17362" s="31">
        <v>78</v>
      </c>
      <c r="K17362" s="33" t="s">
        <v>153</v>
      </c>
      <c r="L17362" s="31" t="str">
        <f t="shared" si="1677"/>
        <v>Tujuh Puluh Delapan</v>
      </c>
    </row>
    <row r="17363" spans="10:12">
      <c r="J17363" s="31">
        <v>79</v>
      </c>
      <c r="K17363" s="33" t="s">
        <v>154</v>
      </c>
      <c r="L17363" s="31" t="str">
        <f t="shared" si="1677"/>
        <v>Tujuh Puluh Sembilan</v>
      </c>
    </row>
    <row r="17364" spans="10:12">
      <c r="J17364" s="31">
        <v>80</v>
      </c>
      <c r="K17364" s="33" t="s">
        <v>155</v>
      </c>
      <c r="L17364" s="31" t="s">
        <v>156</v>
      </c>
    </row>
    <row r="17365" spans="10:12">
      <c r="J17365" s="31">
        <v>81</v>
      </c>
      <c r="K17365" s="33" t="s">
        <v>157</v>
      </c>
      <c r="L17365" s="31" t="str">
        <f t="shared" ref="L17365:L17373" si="1678">$L$83&amp;" "&amp;L17285</f>
        <v>Delapan Puluh Satu</v>
      </c>
    </row>
    <row r="17366" spans="10:12">
      <c r="J17366" s="31">
        <v>82</v>
      </c>
      <c r="K17366" s="33" t="s">
        <v>158</v>
      </c>
      <c r="L17366" s="31" t="str">
        <f t="shared" si="1678"/>
        <v>Delapan Puluh Dua</v>
      </c>
    </row>
    <row r="17367" spans="10:12">
      <c r="J17367" s="31">
        <v>83</v>
      </c>
      <c r="K17367" s="33" t="s">
        <v>159</v>
      </c>
      <c r="L17367" s="31" t="str">
        <f t="shared" si="1678"/>
        <v>Delapan Puluh Tiga</v>
      </c>
    </row>
    <row r="17368" spans="10:12">
      <c r="J17368" s="31">
        <v>84</v>
      </c>
      <c r="K17368" s="33" t="s">
        <v>160</v>
      </c>
      <c r="L17368" s="31" t="str">
        <f t="shared" si="1678"/>
        <v>Delapan Puluh Empat</v>
      </c>
    </row>
    <row r="17369" spans="10:12">
      <c r="J17369" s="31">
        <v>85</v>
      </c>
      <c r="K17369" s="33" t="s">
        <v>161</v>
      </c>
      <c r="L17369" s="31" t="str">
        <f t="shared" si="1678"/>
        <v>Delapan Puluh Lima</v>
      </c>
    </row>
    <row r="17370" spans="10:12">
      <c r="J17370" s="31">
        <v>86</v>
      </c>
      <c r="K17370" s="33" t="s">
        <v>162</v>
      </c>
      <c r="L17370" s="31" t="str">
        <f t="shared" si="1678"/>
        <v>Delapan Puluh Enam</v>
      </c>
    </row>
    <row r="17371" spans="10:12">
      <c r="J17371" s="31">
        <v>87</v>
      </c>
      <c r="K17371" s="33" t="s">
        <v>163</v>
      </c>
      <c r="L17371" s="31" t="str">
        <f t="shared" si="1678"/>
        <v>Delapan Puluh Tujuh</v>
      </c>
    </row>
    <row r="17372" spans="10:12">
      <c r="J17372" s="31">
        <v>88</v>
      </c>
      <c r="K17372" s="33" t="s">
        <v>164</v>
      </c>
      <c r="L17372" s="31" t="str">
        <f t="shared" si="1678"/>
        <v>Delapan Puluh Delapan</v>
      </c>
    </row>
    <row r="17373" spans="10:12">
      <c r="J17373" s="31">
        <v>89</v>
      </c>
      <c r="K17373" s="33" t="s">
        <v>165</v>
      </c>
      <c r="L17373" s="31" t="str">
        <f t="shared" si="1678"/>
        <v>Delapan Puluh Sembilan</v>
      </c>
    </row>
    <row r="17374" spans="10:12">
      <c r="J17374" s="31">
        <v>90</v>
      </c>
      <c r="K17374" s="33" t="s">
        <v>166</v>
      </c>
      <c r="L17374" s="31" t="s">
        <v>167</v>
      </c>
    </row>
    <row r="17375" spans="10:12">
      <c r="J17375" s="31">
        <v>91</v>
      </c>
      <c r="K17375" s="33" t="s">
        <v>168</v>
      </c>
      <c r="L17375" s="31" t="str">
        <f t="shared" ref="L17375:L17383" si="1679">$L$93&amp;" "&amp;L17285</f>
        <v>Sembilan Puluh Satu</v>
      </c>
    </row>
    <row r="17376" spans="10:12">
      <c r="J17376" s="31">
        <v>92</v>
      </c>
      <c r="K17376" s="33" t="s">
        <v>169</v>
      </c>
      <c r="L17376" s="31" t="str">
        <f t="shared" si="1679"/>
        <v>Sembilan Puluh Dua</v>
      </c>
    </row>
    <row r="17377" spans="1:12">
      <c r="J17377" s="31">
        <v>93</v>
      </c>
      <c r="K17377" s="33" t="s">
        <v>170</v>
      </c>
      <c r="L17377" s="31" t="str">
        <f t="shared" si="1679"/>
        <v>Sembilan Puluh Tiga</v>
      </c>
    </row>
    <row r="17378" spans="1:12">
      <c r="J17378" s="31">
        <v>94</v>
      </c>
      <c r="K17378" s="33" t="s">
        <v>171</v>
      </c>
      <c r="L17378" s="31" t="str">
        <f t="shared" si="1679"/>
        <v>Sembilan Puluh Empat</v>
      </c>
    </row>
    <row r="17379" spans="1:12">
      <c r="J17379" s="31">
        <v>95</v>
      </c>
      <c r="K17379" s="33" t="s">
        <v>172</v>
      </c>
      <c r="L17379" s="31" t="str">
        <f t="shared" si="1679"/>
        <v>Sembilan Puluh Lima</v>
      </c>
    </row>
    <row r="17380" spans="1:12">
      <c r="J17380" s="31">
        <v>96</v>
      </c>
      <c r="K17380" s="33" t="s">
        <v>173</v>
      </c>
      <c r="L17380" s="31" t="str">
        <f t="shared" si="1679"/>
        <v>Sembilan Puluh Enam</v>
      </c>
    </row>
    <row r="17381" spans="1:12">
      <c r="J17381" s="31">
        <v>97</v>
      </c>
      <c r="K17381" s="33" t="s">
        <v>174</v>
      </c>
      <c r="L17381" s="31" t="str">
        <f t="shared" si="1679"/>
        <v>Sembilan Puluh Tujuh</v>
      </c>
    </row>
    <row r="17382" spans="1:12">
      <c r="J17382" s="31">
        <v>98</v>
      </c>
      <c r="K17382" s="33" t="s">
        <v>175</v>
      </c>
      <c r="L17382" s="31" t="str">
        <f t="shared" si="1679"/>
        <v>Sembilan Puluh Delapan</v>
      </c>
    </row>
    <row r="17383" spans="1:12">
      <c r="J17383" s="31">
        <v>99</v>
      </c>
      <c r="K17383" s="33" t="s">
        <v>176</v>
      </c>
      <c r="L17383" s="31" t="str">
        <f t="shared" si="1679"/>
        <v>Sembilan Puluh Sembilan</v>
      </c>
    </row>
    <row r="17385" spans="1:12">
      <c r="A17385" s="30" t="e">
        <f>#REF!</f>
        <v>#REF!</v>
      </c>
      <c r="C17385" s="31" t="s">
        <v>404</v>
      </c>
    </row>
    <row r="17386" spans="1:12">
      <c r="A17386" s="32"/>
    </row>
    <row r="17387" spans="1:12">
      <c r="J17387" s="31">
        <v>0</v>
      </c>
      <c r="K17387" s="33" t="s">
        <v>48</v>
      </c>
      <c r="L17387" s="31" t="s">
        <v>49</v>
      </c>
    </row>
    <row r="17388" spans="1:12">
      <c r="A17388" s="34"/>
      <c r="J17388" s="31">
        <v>1</v>
      </c>
      <c r="K17388" s="33" t="s">
        <v>50</v>
      </c>
      <c r="L17388" s="31" t="s">
        <v>51</v>
      </c>
    </row>
    <row r="17389" spans="1:12">
      <c r="A17389" s="255" t="e">
        <f>TRIM(D17397&amp;E17397&amp;D17398&amp;E17398&amp;D17399&amp;E17399&amp;D17400&amp;E17400&amp;D17401&amp;E17401&amp;D17402&amp;E17402&amp;E17403&amp;D17403&amp;" Only")</f>
        <v>#REF!</v>
      </c>
      <c r="B17389" s="255"/>
      <c r="C17389" s="255"/>
      <c r="D17389" s="255"/>
      <c r="E17389" s="35"/>
      <c r="F17389" s="36"/>
      <c r="J17389" s="31">
        <v>2</v>
      </c>
      <c r="K17389" s="33" t="s">
        <v>52</v>
      </c>
      <c r="L17389" s="31" t="s">
        <v>53</v>
      </c>
    </row>
    <row r="17390" spans="1:12">
      <c r="A17390" s="128"/>
      <c r="B17390" s="128"/>
      <c r="C17390" s="128"/>
      <c r="D17390" s="128"/>
      <c r="E17390" s="35"/>
      <c r="F17390" s="36"/>
      <c r="J17390" s="31">
        <v>3</v>
      </c>
      <c r="K17390" s="33" t="s">
        <v>54</v>
      </c>
      <c r="L17390" s="31" t="s">
        <v>55</v>
      </c>
    </row>
    <row r="17391" spans="1:12">
      <c r="A17391" s="128"/>
      <c r="B17391" s="128"/>
      <c r="C17391" s="128"/>
      <c r="D17391" s="128"/>
      <c r="J17391" s="31">
        <v>4</v>
      </c>
      <c r="K17391" s="33" t="s">
        <v>56</v>
      </c>
      <c r="L17391" s="31" t="s">
        <v>57</v>
      </c>
    </row>
    <row r="17392" spans="1:12">
      <c r="A17392" s="255" t="e">
        <f>TRIM(D17407&amp;E17407&amp;D17408&amp;E17408&amp;D17409&amp;E17409&amp;D17410&amp;E17410&amp;D17411&amp;E17411&amp;D17412&amp;E17412&amp;D17413&amp;E17413&amp;" Rupiah")</f>
        <v>#REF!</v>
      </c>
      <c r="B17392" s="255"/>
      <c r="C17392" s="255"/>
      <c r="D17392" s="255"/>
      <c r="E17392" s="35"/>
      <c r="F17392" s="36"/>
      <c r="J17392" s="31">
        <v>5</v>
      </c>
      <c r="K17392" s="33" t="s">
        <v>58</v>
      </c>
      <c r="L17392" s="31" t="s">
        <v>59</v>
      </c>
    </row>
    <row r="17393" spans="1:12">
      <c r="A17393" s="35"/>
      <c r="B17393" s="35"/>
      <c r="C17393" s="35"/>
      <c r="D17393" s="35"/>
      <c r="E17393" s="35"/>
      <c r="F17393" s="36"/>
      <c r="J17393" s="31">
        <v>6</v>
      </c>
      <c r="K17393" s="33" t="s">
        <v>60</v>
      </c>
      <c r="L17393" s="31" t="s">
        <v>61</v>
      </c>
    </row>
    <row r="17394" spans="1:12">
      <c r="J17394" s="31">
        <v>7</v>
      </c>
      <c r="K17394" s="33" t="s">
        <v>62</v>
      </c>
      <c r="L17394" s="31" t="s">
        <v>63</v>
      </c>
    </row>
    <row r="17395" spans="1:12">
      <c r="J17395" s="31">
        <v>8</v>
      </c>
      <c r="K17395" s="33" t="s">
        <v>64</v>
      </c>
      <c r="L17395" s="31" t="s">
        <v>65</v>
      </c>
    </row>
    <row r="17396" spans="1:12">
      <c r="A17396" s="38" t="s">
        <v>66</v>
      </c>
      <c r="J17396" s="31">
        <v>9</v>
      </c>
      <c r="K17396" s="33" t="s">
        <v>67</v>
      </c>
      <c r="L17396" s="31" t="s">
        <v>68</v>
      </c>
    </row>
    <row r="17397" spans="1:12">
      <c r="A17397" s="31" t="s">
        <v>69</v>
      </c>
      <c r="B17397" s="39" t="e">
        <f>TRUNC(A17385/100000000)</f>
        <v>#REF!</v>
      </c>
      <c r="C17397" s="31" t="e">
        <f>B17397*100000000</f>
        <v>#REF!</v>
      </c>
      <c r="D17397" s="31" t="e">
        <f t="shared" ref="D17397:D17403" si="1680">IF(B17397&lt;1,"",VLOOKUP(B17397,$J$3:$K$102,2))</f>
        <v>#REF!</v>
      </c>
      <c r="E17397" s="31" t="e">
        <f>IF(B17397&lt;1,"",IF(B17397&gt;1," Hundreds "," Hundred "))</f>
        <v>#REF!</v>
      </c>
      <c r="J17397" s="31">
        <v>10</v>
      </c>
      <c r="K17397" s="33" t="s">
        <v>70</v>
      </c>
      <c r="L17397" s="31" t="s">
        <v>71</v>
      </c>
    </row>
    <row r="17398" spans="1:12">
      <c r="A17398" s="31" t="s">
        <v>72</v>
      </c>
      <c r="B17398" s="39" t="e">
        <f>TRUNC((A17385-C17397)/1000000)</f>
        <v>#REF!</v>
      </c>
      <c r="C17398" s="31" t="e">
        <f>B17398*1000000</f>
        <v>#REF!</v>
      </c>
      <c r="D17398" s="31" t="e">
        <f t="shared" si="1680"/>
        <v>#REF!</v>
      </c>
      <c r="E17398" s="31" t="e">
        <f>IF(B17397+B17398=0,"",IF(B17398=1," Million "," Millions "))</f>
        <v>#REF!</v>
      </c>
      <c r="J17398" s="31">
        <v>11</v>
      </c>
      <c r="K17398" s="33" t="s">
        <v>73</v>
      </c>
      <c r="L17398" s="31" t="s">
        <v>74</v>
      </c>
    </row>
    <row r="17399" spans="1:12">
      <c r="A17399" s="31" t="s">
        <v>75</v>
      </c>
      <c r="B17399" s="39" t="e">
        <f>TRUNC((A17385-SUM(C17397:C17398))/100000)</f>
        <v>#REF!</v>
      </c>
      <c r="C17399" s="31" t="e">
        <f>B17399*100000</f>
        <v>#REF!</v>
      </c>
      <c r="D17399" s="31" t="e">
        <f t="shared" si="1680"/>
        <v>#REF!</v>
      </c>
      <c r="E17399" s="31" t="e">
        <f>IF(B17399&lt;1,"",IF(B17399&gt;1," Hundreds "," Hundred "))</f>
        <v>#REF!</v>
      </c>
      <c r="J17399" s="31">
        <v>12</v>
      </c>
      <c r="K17399" s="33" t="s">
        <v>76</v>
      </c>
      <c r="L17399" s="31" t="str">
        <f t="shared" ref="L17399:L17406" si="1681">L17389&amp;" Belas"</f>
        <v>Dua Belas</v>
      </c>
    </row>
    <row r="17400" spans="1:12">
      <c r="A17400" s="33" t="s">
        <v>77</v>
      </c>
      <c r="B17400" s="40" t="e">
        <f>TRUNC((A17385-SUM(C17397:C17399))/1000)</f>
        <v>#REF!</v>
      </c>
      <c r="C17400" s="31" t="e">
        <f>B17400*1000</f>
        <v>#REF!</v>
      </c>
      <c r="D17400" s="31" t="e">
        <f t="shared" si="1680"/>
        <v>#REF!</v>
      </c>
      <c r="E17400" s="31" t="e">
        <f>IF(B17399+B17400=0,"",IF(B17400=1," Thousand "," Thousands "))</f>
        <v>#REF!</v>
      </c>
      <c r="J17400" s="31">
        <v>13</v>
      </c>
      <c r="K17400" s="33" t="s">
        <v>78</v>
      </c>
      <c r="L17400" s="31" t="str">
        <f t="shared" si="1681"/>
        <v>Tiga Belas</v>
      </c>
    </row>
    <row r="17401" spans="1:12">
      <c r="A17401" s="33" t="s">
        <v>79</v>
      </c>
      <c r="B17401" s="40" t="e">
        <f>TRUNC((A17385-SUM(C17397:C17400))/100)</f>
        <v>#REF!</v>
      </c>
      <c r="C17401" s="31" t="e">
        <f>B17401*100</f>
        <v>#REF!</v>
      </c>
      <c r="D17401" s="31" t="e">
        <f t="shared" si="1680"/>
        <v>#REF!</v>
      </c>
      <c r="E17401" s="31" t="e">
        <f>IF(B17401&lt;1,"",IF(B17401&gt;1," Hundreds "," Hundred "))</f>
        <v>#REF!</v>
      </c>
      <c r="J17401" s="31">
        <v>14</v>
      </c>
      <c r="K17401" s="33" t="s">
        <v>80</v>
      </c>
      <c r="L17401" s="31" t="str">
        <f t="shared" si="1681"/>
        <v>Empat Belas</v>
      </c>
    </row>
    <row r="17402" spans="1:12">
      <c r="A17402" s="33" t="s">
        <v>81</v>
      </c>
      <c r="B17402" s="41" t="e">
        <f>TRUNC((A17385-SUM(C17397:C17401)))</f>
        <v>#REF!</v>
      </c>
      <c r="C17402" s="42" t="e">
        <f>B17402</f>
        <v>#REF!</v>
      </c>
      <c r="D17402" s="31" t="e">
        <f t="shared" si="1680"/>
        <v>#REF!</v>
      </c>
      <c r="E17402" s="31" t="e">
        <f>IF(SUM(C17397:C17402)&lt;1,"",IF(B17403&lt;1,""," And "))</f>
        <v>#REF!</v>
      </c>
      <c r="J17402" s="31">
        <v>15</v>
      </c>
      <c r="K17402" s="33" t="s">
        <v>82</v>
      </c>
      <c r="L17402" s="31" t="str">
        <f t="shared" si="1681"/>
        <v>Lima Belas</v>
      </c>
    </row>
    <row r="17403" spans="1:12">
      <c r="A17403" s="33" t="s">
        <v>83</v>
      </c>
      <c r="B17403" s="40" t="e">
        <f>ROUND(A17385-SUM(C17397:C17402),2)*100</f>
        <v>#REF!</v>
      </c>
      <c r="D17403" s="43" t="e">
        <f t="shared" si="1680"/>
        <v>#REF!</v>
      </c>
      <c r="E17403" s="31" t="e">
        <f>IF(B17403&lt;1,"",IF(B17403=1," Cent "," Cents "))</f>
        <v>#REF!</v>
      </c>
      <c r="J17403" s="31">
        <v>16</v>
      </c>
      <c r="K17403" s="33" t="s">
        <v>84</v>
      </c>
      <c r="L17403" s="31" t="str">
        <f t="shared" si="1681"/>
        <v>Enam Belas</v>
      </c>
    </row>
    <row r="17404" spans="1:12">
      <c r="J17404" s="31">
        <v>17</v>
      </c>
      <c r="K17404" s="33" t="s">
        <v>85</v>
      </c>
      <c r="L17404" s="31" t="str">
        <f t="shared" si="1681"/>
        <v>Tujuh Belas</v>
      </c>
    </row>
    <row r="17405" spans="1:12">
      <c r="A17405" s="44"/>
      <c r="J17405" s="31">
        <v>18</v>
      </c>
      <c r="K17405" s="33" t="s">
        <v>86</v>
      </c>
      <c r="L17405" s="31" t="str">
        <f t="shared" si="1681"/>
        <v>Delapan Belas</v>
      </c>
    </row>
    <row r="17406" spans="1:12">
      <c r="A17406" s="38" t="s">
        <v>87</v>
      </c>
      <c r="J17406" s="31">
        <v>19</v>
      </c>
      <c r="K17406" s="33" t="s">
        <v>88</v>
      </c>
      <c r="L17406" s="31" t="str">
        <f t="shared" si="1681"/>
        <v>Sembilan Belas</v>
      </c>
    </row>
    <row r="17407" spans="1:12">
      <c r="A17407" s="31" t="s">
        <v>69</v>
      </c>
      <c r="B17407" s="39" t="e">
        <f>TRUNC(A17385/100000000)</f>
        <v>#REF!</v>
      </c>
      <c r="C17407" s="31" t="e">
        <f>B17407*100000000</f>
        <v>#REF!</v>
      </c>
      <c r="D17407" s="31" t="e">
        <f>IF(B17407&lt;1,"",IF(B17407=1,"",VLOOKUP(B17407,$J$3:$L$102,3)))</f>
        <v>#REF!</v>
      </c>
      <c r="E17407" s="31" t="e">
        <f>IF(B17407&lt;1,"",IF(B17407=1,"Seratus "," Ratus "))</f>
        <v>#REF!</v>
      </c>
      <c r="J17407" s="31">
        <v>20</v>
      </c>
      <c r="K17407" s="33" t="s">
        <v>89</v>
      </c>
      <c r="L17407" s="31" t="s">
        <v>90</v>
      </c>
    </row>
    <row r="17408" spans="1:12">
      <c r="A17408" s="31" t="s">
        <v>72</v>
      </c>
      <c r="B17408" s="39" t="e">
        <f>TRUNC((A17385-C17407)/1000000)</f>
        <v>#REF!</v>
      </c>
      <c r="C17408" s="31" t="e">
        <f>B17408*1000000</f>
        <v>#REF!</v>
      </c>
      <c r="D17408" s="31" t="e">
        <f>IF(B17408&lt;1,"",VLOOKUP(B17408,$J$3:$L$102,3))</f>
        <v>#REF!</v>
      </c>
      <c r="E17408" s="31" t="e">
        <f>IF(B17407+B17408=0,""," Juta ")</f>
        <v>#REF!</v>
      </c>
      <c r="J17408" s="31">
        <v>21</v>
      </c>
      <c r="K17408" s="33" t="s">
        <v>91</v>
      </c>
      <c r="L17408" s="31" t="str">
        <f t="shared" ref="L17408:L17416" si="1682">$L$23&amp;" "&amp;L17388</f>
        <v>Dua Puluh Satu</v>
      </c>
    </row>
    <row r="17409" spans="1:12">
      <c r="A17409" s="31" t="s">
        <v>75</v>
      </c>
      <c r="B17409" s="39" t="e">
        <f>TRUNC((A17385-SUM(C17407:C17408))/100000)</f>
        <v>#REF!</v>
      </c>
      <c r="C17409" s="31" t="e">
        <f>B17409*100000</f>
        <v>#REF!</v>
      </c>
      <c r="D17409" s="31" t="e">
        <f>IF(B17409&lt;1,"",IF(B17409=1,"",VLOOKUP(B17409,$J$3:$L$102,3)))</f>
        <v>#REF!</v>
      </c>
      <c r="E17409" s="31" t="e">
        <f>IF(B17409&lt;1,"",IF(B17409=1," Seratus "," Ratus "))</f>
        <v>#REF!</v>
      </c>
      <c r="J17409" s="31">
        <v>22</v>
      </c>
      <c r="K17409" s="33" t="s">
        <v>92</v>
      </c>
      <c r="L17409" s="31" t="str">
        <f t="shared" si="1682"/>
        <v>Dua Puluh Dua</v>
      </c>
    </row>
    <row r="17410" spans="1:12">
      <c r="A17410" s="33" t="s">
        <v>77</v>
      </c>
      <c r="B17410" s="40" t="e">
        <f>TRUNC((A17385-SUM(C17407:C17409))/1000)</f>
        <v>#REF!</v>
      </c>
      <c r="C17410" s="31" t="e">
        <f>B17410*1000</f>
        <v>#REF!</v>
      </c>
      <c r="D17410" s="31" t="e">
        <f>IF(B17410&lt;1,"",IF(B17410=1,"",VLOOKUP(B17410,$J$3:$L$102,3)))</f>
        <v>#REF!</v>
      </c>
      <c r="E17410" s="31" t="e">
        <f>IF(B17409+B17410&lt;1,"",IF(B17410=1," Seribu "," Ribu "))</f>
        <v>#REF!</v>
      </c>
      <c r="J17410" s="31">
        <v>23</v>
      </c>
      <c r="K17410" s="33" t="s">
        <v>93</v>
      </c>
      <c r="L17410" s="31" t="str">
        <f t="shared" si="1682"/>
        <v>Dua Puluh Tiga</v>
      </c>
    </row>
    <row r="17411" spans="1:12">
      <c r="A17411" s="33" t="s">
        <v>79</v>
      </c>
      <c r="B17411" s="40" t="e">
        <f>TRUNC((A17385-SUM(C17407:C17410))/100)</f>
        <v>#REF!</v>
      </c>
      <c r="C17411" s="31" t="e">
        <f>B17411*100</f>
        <v>#REF!</v>
      </c>
      <c r="D17411" s="31" t="e">
        <f>IF(B17411&lt;1,"",IF(B17411=1,"",VLOOKUP(B17411,$J$3:$L$102,3)))</f>
        <v>#REF!</v>
      </c>
      <c r="E17411" s="31" t="e">
        <f>IF(B17411&lt;1,"",IF(B17411=1," Seratus "," Ratus "))</f>
        <v>#REF!</v>
      </c>
      <c r="J17411" s="31">
        <v>24</v>
      </c>
      <c r="K17411" s="33" t="s">
        <v>94</v>
      </c>
      <c r="L17411" s="31" t="str">
        <f t="shared" si="1682"/>
        <v>Dua Puluh Empat</v>
      </c>
    </row>
    <row r="17412" spans="1:12">
      <c r="A17412" s="33" t="s">
        <v>81</v>
      </c>
      <c r="B17412" s="41" t="e">
        <f>TRUNC((A17385-SUM(C17407:C17411)))</f>
        <v>#REF!</v>
      </c>
      <c r="C17412" s="42" t="e">
        <f>B17412</f>
        <v>#REF!</v>
      </c>
      <c r="D17412" s="31" t="e">
        <f>IF(B17412&lt;1,"",VLOOKUP(B17412,$J$3:$L$102,3))</f>
        <v>#REF!</v>
      </c>
      <c r="E17412" s="31" t="e">
        <f>IF(SUM(C17407:C17412)&lt;1,"",IF(B17413&lt;1,""," Dan "))</f>
        <v>#REF!</v>
      </c>
      <c r="J17412" s="31">
        <v>25</v>
      </c>
      <c r="K17412" s="33" t="s">
        <v>95</v>
      </c>
      <c r="L17412" s="31" t="str">
        <f t="shared" si="1682"/>
        <v>Dua Puluh Lima</v>
      </c>
    </row>
    <row r="17413" spans="1:12">
      <c r="A17413" s="33" t="s">
        <v>83</v>
      </c>
      <c r="B17413" s="40" t="e">
        <f>ROUND(A17385-SUM(C17407:C17412),2)*100</f>
        <v>#REF!</v>
      </c>
      <c r="D17413" s="31" t="e">
        <f>IF(B17413&lt;1,"",VLOOKUP(B17413,$J$3:$L$102,3))</f>
        <v>#REF!</v>
      </c>
      <c r="E17413" s="31" t="e">
        <f>IF(B17413&lt;1,""," Sen ")</f>
        <v>#REF!</v>
      </c>
      <c r="J17413" s="31">
        <v>26</v>
      </c>
      <c r="K17413" s="33" t="s">
        <v>96</v>
      </c>
      <c r="L17413" s="31" t="str">
        <f t="shared" si="1682"/>
        <v>Dua Puluh Enam</v>
      </c>
    </row>
    <row r="17414" spans="1:12">
      <c r="J17414" s="31">
        <v>27</v>
      </c>
      <c r="K17414" s="33" t="s">
        <v>97</v>
      </c>
      <c r="L17414" s="31" t="str">
        <f t="shared" si="1682"/>
        <v>Dua Puluh Tujuh</v>
      </c>
    </row>
    <row r="17415" spans="1:12">
      <c r="J17415" s="31">
        <v>28</v>
      </c>
      <c r="K17415" s="33" t="s">
        <v>98</v>
      </c>
      <c r="L17415" s="31" t="str">
        <f t="shared" si="1682"/>
        <v>Dua Puluh Delapan</v>
      </c>
    </row>
    <row r="17416" spans="1:12">
      <c r="J17416" s="31">
        <v>29</v>
      </c>
      <c r="K17416" s="33" t="s">
        <v>99</v>
      </c>
      <c r="L17416" s="31" t="str">
        <f t="shared" si="1682"/>
        <v>Dua Puluh Sembilan</v>
      </c>
    </row>
    <row r="17417" spans="1:12">
      <c r="J17417" s="31">
        <v>30</v>
      </c>
      <c r="K17417" s="33" t="s">
        <v>100</v>
      </c>
      <c r="L17417" s="31" t="s">
        <v>101</v>
      </c>
    </row>
    <row r="17418" spans="1:12">
      <c r="J17418" s="31">
        <v>31</v>
      </c>
      <c r="K17418" s="33" t="s">
        <v>102</v>
      </c>
      <c r="L17418" s="31" t="str">
        <f t="shared" ref="L17418:L17426" si="1683">$L$33&amp;" "&amp;L17388</f>
        <v>Tiga Puluh Satu</v>
      </c>
    </row>
    <row r="17419" spans="1:12">
      <c r="J17419" s="31">
        <v>32</v>
      </c>
      <c r="K17419" s="33" t="s">
        <v>103</v>
      </c>
      <c r="L17419" s="31" t="str">
        <f t="shared" si="1683"/>
        <v>Tiga Puluh Dua</v>
      </c>
    </row>
    <row r="17420" spans="1:12">
      <c r="J17420" s="31">
        <v>33</v>
      </c>
      <c r="K17420" s="33" t="s">
        <v>104</v>
      </c>
      <c r="L17420" s="31" t="str">
        <f t="shared" si="1683"/>
        <v>Tiga Puluh Tiga</v>
      </c>
    </row>
    <row r="17421" spans="1:12">
      <c r="J17421" s="31">
        <v>34</v>
      </c>
      <c r="K17421" s="33" t="s">
        <v>105</v>
      </c>
      <c r="L17421" s="31" t="str">
        <f t="shared" si="1683"/>
        <v>Tiga Puluh Empat</v>
      </c>
    </row>
    <row r="17422" spans="1:12">
      <c r="J17422" s="31">
        <v>35</v>
      </c>
      <c r="K17422" s="33" t="s">
        <v>106</v>
      </c>
      <c r="L17422" s="31" t="str">
        <f t="shared" si="1683"/>
        <v>Tiga Puluh Lima</v>
      </c>
    </row>
    <row r="17423" spans="1:12">
      <c r="J17423" s="31">
        <v>36</v>
      </c>
      <c r="K17423" s="33" t="s">
        <v>107</v>
      </c>
      <c r="L17423" s="31" t="str">
        <f t="shared" si="1683"/>
        <v>Tiga Puluh Enam</v>
      </c>
    </row>
    <row r="17424" spans="1:12">
      <c r="J17424" s="31">
        <v>37</v>
      </c>
      <c r="K17424" s="33" t="s">
        <v>108</v>
      </c>
      <c r="L17424" s="31" t="str">
        <f t="shared" si="1683"/>
        <v>Tiga Puluh Tujuh</v>
      </c>
    </row>
    <row r="17425" spans="1:12">
      <c r="J17425" s="31">
        <v>38</v>
      </c>
      <c r="K17425" s="33" t="s">
        <v>109</v>
      </c>
      <c r="L17425" s="31" t="str">
        <f t="shared" si="1683"/>
        <v>Tiga Puluh Delapan</v>
      </c>
    </row>
    <row r="17426" spans="1:12">
      <c r="J17426" s="31">
        <v>39</v>
      </c>
      <c r="K17426" s="33" t="s">
        <v>110</v>
      </c>
      <c r="L17426" s="31" t="str">
        <f t="shared" si="1683"/>
        <v>Tiga Puluh Sembilan</v>
      </c>
    </row>
    <row r="17427" spans="1:12">
      <c r="B17427" s="35"/>
      <c r="C17427" s="35"/>
      <c r="D17427" s="35"/>
      <c r="J17427" s="31">
        <v>40</v>
      </c>
      <c r="K17427" s="33" t="s">
        <v>111</v>
      </c>
      <c r="L17427" s="31" t="s">
        <v>112</v>
      </c>
    </row>
    <row r="17428" spans="1:12">
      <c r="A17428" s="35"/>
      <c r="B17428" s="35"/>
      <c r="C17428" s="35"/>
      <c r="D17428" s="35"/>
      <c r="J17428" s="31">
        <v>41</v>
      </c>
      <c r="K17428" s="33" t="s">
        <v>113</v>
      </c>
      <c r="L17428" s="31" t="str">
        <f t="shared" ref="L17428:L17436" si="1684">$L$43&amp;" "&amp;L17388</f>
        <v>Empat Puluh Satu</v>
      </c>
    </row>
    <row r="17429" spans="1:12">
      <c r="J17429" s="31">
        <v>42</v>
      </c>
      <c r="K17429" s="33" t="s">
        <v>114</v>
      </c>
      <c r="L17429" s="31" t="str">
        <f t="shared" si="1684"/>
        <v>Empat Puluh Dua</v>
      </c>
    </row>
    <row r="17430" spans="1:12">
      <c r="A17430" s="38"/>
      <c r="J17430" s="31">
        <v>43</v>
      </c>
      <c r="K17430" s="33" t="s">
        <v>115</v>
      </c>
      <c r="L17430" s="31" t="str">
        <f t="shared" si="1684"/>
        <v>Empat Puluh Tiga</v>
      </c>
    </row>
    <row r="17431" spans="1:12">
      <c r="J17431" s="31">
        <v>44</v>
      </c>
      <c r="K17431" s="33" t="s">
        <v>116</v>
      </c>
      <c r="L17431" s="31" t="str">
        <f t="shared" si="1684"/>
        <v>Empat Puluh Empat</v>
      </c>
    </row>
    <row r="17432" spans="1:12">
      <c r="J17432" s="31">
        <v>45</v>
      </c>
      <c r="K17432" s="33" t="s">
        <v>117</v>
      </c>
      <c r="L17432" s="31" t="str">
        <f t="shared" si="1684"/>
        <v>Empat Puluh Lima</v>
      </c>
    </row>
    <row r="17433" spans="1:12">
      <c r="J17433" s="31">
        <v>46</v>
      </c>
      <c r="K17433" s="33" t="s">
        <v>118</v>
      </c>
      <c r="L17433" s="31" t="str">
        <f t="shared" si="1684"/>
        <v>Empat Puluh Enam</v>
      </c>
    </row>
    <row r="17434" spans="1:12">
      <c r="J17434" s="31">
        <v>47</v>
      </c>
      <c r="K17434" s="33" t="s">
        <v>119</v>
      </c>
      <c r="L17434" s="31" t="str">
        <f t="shared" si="1684"/>
        <v>Empat Puluh Tujuh</v>
      </c>
    </row>
    <row r="17435" spans="1:12">
      <c r="J17435" s="31">
        <v>48</v>
      </c>
      <c r="K17435" s="33" t="s">
        <v>120</v>
      </c>
      <c r="L17435" s="31" t="str">
        <f t="shared" si="1684"/>
        <v>Empat Puluh Delapan</v>
      </c>
    </row>
    <row r="17436" spans="1:12">
      <c r="J17436" s="31">
        <v>49</v>
      </c>
      <c r="K17436" s="33" t="s">
        <v>121</v>
      </c>
      <c r="L17436" s="31" t="str">
        <f t="shared" si="1684"/>
        <v>Empat Puluh Sembilan</v>
      </c>
    </row>
    <row r="17437" spans="1:12">
      <c r="J17437" s="31">
        <v>50</v>
      </c>
      <c r="K17437" s="33" t="s">
        <v>122</v>
      </c>
      <c r="L17437" s="31" t="s">
        <v>123</v>
      </c>
    </row>
    <row r="17438" spans="1:12">
      <c r="J17438" s="31">
        <v>51</v>
      </c>
      <c r="K17438" s="33" t="s">
        <v>124</v>
      </c>
      <c r="L17438" s="31" t="str">
        <f t="shared" ref="L17438:L17446" si="1685">$L$53&amp;" "&amp;L17388</f>
        <v>Lima Puluh Satu</v>
      </c>
    </row>
    <row r="17439" spans="1:12">
      <c r="J17439" s="31">
        <v>52</v>
      </c>
      <c r="K17439" s="33" t="s">
        <v>125</v>
      </c>
      <c r="L17439" s="31" t="str">
        <f t="shared" si="1685"/>
        <v>Lima Puluh Dua</v>
      </c>
    </row>
    <row r="17440" spans="1:12">
      <c r="J17440" s="31">
        <v>53</v>
      </c>
      <c r="K17440" s="33" t="s">
        <v>126</v>
      </c>
      <c r="L17440" s="31" t="str">
        <f t="shared" si="1685"/>
        <v>Lima Puluh Tiga</v>
      </c>
    </row>
    <row r="17441" spans="10:12">
      <c r="J17441" s="31">
        <v>54</v>
      </c>
      <c r="K17441" s="33" t="s">
        <v>127</v>
      </c>
      <c r="L17441" s="31" t="str">
        <f t="shared" si="1685"/>
        <v>Lima Puluh Empat</v>
      </c>
    </row>
    <row r="17442" spans="10:12">
      <c r="J17442" s="31">
        <v>55</v>
      </c>
      <c r="K17442" s="33" t="s">
        <v>128</v>
      </c>
      <c r="L17442" s="31" t="str">
        <f t="shared" si="1685"/>
        <v>Lima Puluh Lima</v>
      </c>
    </row>
    <row r="17443" spans="10:12">
      <c r="J17443" s="31">
        <v>56</v>
      </c>
      <c r="K17443" s="33" t="s">
        <v>129</v>
      </c>
      <c r="L17443" s="31" t="str">
        <f t="shared" si="1685"/>
        <v>Lima Puluh Enam</v>
      </c>
    </row>
    <row r="17444" spans="10:12">
      <c r="J17444" s="31">
        <v>57</v>
      </c>
      <c r="K17444" s="33" t="s">
        <v>130</v>
      </c>
      <c r="L17444" s="31" t="str">
        <f t="shared" si="1685"/>
        <v>Lima Puluh Tujuh</v>
      </c>
    </row>
    <row r="17445" spans="10:12">
      <c r="J17445" s="31">
        <v>58</v>
      </c>
      <c r="K17445" s="33" t="s">
        <v>131</v>
      </c>
      <c r="L17445" s="31" t="str">
        <f t="shared" si="1685"/>
        <v>Lima Puluh Delapan</v>
      </c>
    </row>
    <row r="17446" spans="10:12">
      <c r="J17446" s="31">
        <v>59</v>
      </c>
      <c r="K17446" s="33" t="s">
        <v>132</v>
      </c>
      <c r="L17446" s="31" t="str">
        <f t="shared" si="1685"/>
        <v>Lima Puluh Sembilan</v>
      </c>
    </row>
    <row r="17447" spans="10:12">
      <c r="J17447" s="31">
        <v>60</v>
      </c>
      <c r="K17447" s="33" t="s">
        <v>133</v>
      </c>
      <c r="L17447" s="31" t="s">
        <v>134</v>
      </c>
    </row>
    <row r="17448" spans="10:12">
      <c r="J17448" s="31">
        <v>61</v>
      </c>
      <c r="K17448" s="33" t="s">
        <v>135</v>
      </c>
      <c r="L17448" s="31" t="str">
        <f t="shared" ref="L17448:L17456" si="1686">$L$63&amp;" "&amp;L17388</f>
        <v>Enam Puluh Satu</v>
      </c>
    </row>
    <row r="17449" spans="10:12">
      <c r="J17449" s="31">
        <v>62</v>
      </c>
      <c r="K17449" s="33" t="s">
        <v>136</v>
      </c>
      <c r="L17449" s="31" t="str">
        <f t="shared" si="1686"/>
        <v>Enam Puluh Dua</v>
      </c>
    </row>
    <row r="17450" spans="10:12">
      <c r="J17450" s="31">
        <v>63</v>
      </c>
      <c r="K17450" s="33" t="s">
        <v>137</v>
      </c>
      <c r="L17450" s="31" t="str">
        <f t="shared" si="1686"/>
        <v>Enam Puluh Tiga</v>
      </c>
    </row>
    <row r="17451" spans="10:12">
      <c r="J17451" s="31">
        <v>64</v>
      </c>
      <c r="K17451" s="33" t="s">
        <v>138</v>
      </c>
      <c r="L17451" s="31" t="str">
        <f t="shared" si="1686"/>
        <v>Enam Puluh Empat</v>
      </c>
    </row>
    <row r="17452" spans="10:12">
      <c r="J17452" s="31">
        <v>65</v>
      </c>
      <c r="K17452" s="33" t="s">
        <v>139</v>
      </c>
      <c r="L17452" s="31" t="str">
        <f t="shared" si="1686"/>
        <v>Enam Puluh Lima</v>
      </c>
    </row>
    <row r="17453" spans="10:12">
      <c r="J17453" s="31">
        <v>66</v>
      </c>
      <c r="K17453" s="33" t="s">
        <v>140</v>
      </c>
      <c r="L17453" s="31" t="str">
        <f t="shared" si="1686"/>
        <v>Enam Puluh Enam</v>
      </c>
    </row>
    <row r="17454" spans="10:12">
      <c r="J17454" s="31">
        <v>67</v>
      </c>
      <c r="K17454" s="33" t="s">
        <v>141</v>
      </c>
      <c r="L17454" s="31" t="str">
        <f t="shared" si="1686"/>
        <v>Enam Puluh Tujuh</v>
      </c>
    </row>
    <row r="17455" spans="10:12">
      <c r="J17455" s="31">
        <v>68</v>
      </c>
      <c r="K17455" s="33" t="s">
        <v>142</v>
      </c>
      <c r="L17455" s="31" t="str">
        <f t="shared" si="1686"/>
        <v>Enam Puluh Delapan</v>
      </c>
    </row>
    <row r="17456" spans="10:12">
      <c r="J17456" s="31">
        <v>69</v>
      </c>
      <c r="K17456" s="33" t="s">
        <v>143</v>
      </c>
      <c r="L17456" s="31" t="str">
        <f t="shared" si="1686"/>
        <v>Enam Puluh Sembilan</v>
      </c>
    </row>
    <row r="17457" spans="10:12">
      <c r="J17457" s="31">
        <v>70</v>
      </c>
      <c r="K17457" s="33" t="s">
        <v>144</v>
      </c>
      <c r="L17457" s="31" t="s">
        <v>145</v>
      </c>
    </row>
    <row r="17458" spans="10:12">
      <c r="J17458" s="31">
        <v>71</v>
      </c>
      <c r="K17458" s="33" t="s">
        <v>146</v>
      </c>
      <c r="L17458" s="31" t="str">
        <f t="shared" ref="L17458:L17466" si="1687">$L$73&amp;" "&amp;L17388</f>
        <v>Tujuh Puluh Satu</v>
      </c>
    </row>
    <row r="17459" spans="10:12">
      <c r="J17459" s="31">
        <v>72</v>
      </c>
      <c r="K17459" s="33" t="s">
        <v>147</v>
      </c>
      <c r="L17459" s="31" t="str">
        <f t="shared" si="1687"/>
        <v>Tujuh Puluh Dua</v>
      </c>
    </row>
    <row r="17460" spans="10:12">
      <c r="J17460" s="31">
        <v>73</v>
      </c>
      <c r="K17460" s="33" t="s">
        <v>148</v>
      </c>
      <c r="L17460" s="31" t="str">
        <f t="shared" si="1687"/>
        <v>Tujuh Puluh Tiga</v>
      </c>
    </row>
    <row r="17461" spans="10:12">
      <c r="J17461" s="31">
        <v>74</v>
      </c>
      <c r="K17461" s="33" t="s">
        <v>149</v>
      </c>
      <c r="L17461" s="31" t="str">
        <f t="shared" si="1687"/>
        <v>Tujuh Puluh Empat</v>
      </c>
    </row>
    <row r="17462" spans="10:12">
      <c r="J17462" s="31">
        <v>75</v>
      </c>
      <c r="K17462" s="33" t="s">
        <v>150</v>
      </c>
      <c r="L17462" s="31" t="str">
        <f t="shared" si="1687"/>
        <v>Tujuh Puluh Lima</v>
      </c>
    </row>
    <row r="17463" spans="10:12">
      <c r="J17463" s="31">
        <v>76</v>
      </c>
      <c r="K17463" s="33" t="s">
        <v>151</v>
      </c>
      <c r="L17463" s="31" t="str">
        <f t="shared" si="1687"/>
        <v>Tujuh Puluh Enam</v>
      </c>
    </row>
    <row r="17464" spans="10:12">
      <c r="J17464" s="31">
        <v>77</v>
      </c>
      <c r="K17464" s="33" t="s">
        <v>152</v>
      </c>
      <c r="L17464" s="31" t="str">
        <f t="shared" si="1687"/>
        <v>Tujuh Puluh Tujuh</v>
      </c>
    </row>
    <row r="17465" spans="10:12">
      <c r="J17465" s="31">
        <v>78</v>
      </c>
      <c r="K17465" s="33" t="s">
        <v>153</v>
      </c>
      <c r="L17465" s="31" t="str">
        <f t="shared" si="1687"/>
        <v>Tujuh Puluh Delapan</v>
      </c>
    </row>
    <row r="17466" spans="10:12">
      <c r="J17466" s="31">
        <v>79</v>
      </c>
      <c r="K17466" s="33" t="s">
        <v>154</v>
      </c>
      <c r="L17466" s="31" t="str">
        <f t="shared" si="1687"/>
        <v>Tujuh Puluh Sembilan</v>
      </c>
    </row>
    <row r="17467" spans="10:12">
      <c r="J17467" s="31">
        <v>80</v>
      </c>
      <c r="K17467" s="33" t="s">
        <v>155</v>
      </c>
      <c r="L17467" s="31" t="s">
        <v>156</v>
      </c>
    </row>
    <row r="17468" spans="10:12">
      <c r="J17468" s="31">
        <v>81</v>
      </c>
      <c r="K17468" s="33" t="s">
        <v>157</v>
      </c>
      <c r="L17468" s="31" t="str">
        <f t="shared" ref="L17468:L17476" si="1688">$L$83&amp;" "&amp;L17388</f>
        <v>Delapan Puluh Satu</v>
      </c>
    </row>
    <row r="17469" spans="10:12">
      <c r="J17469" s="31">
        <v>82</v>
      </c>
      <c r="K17469" s="33" t="s">
        <v>158</v>
      </c>
      <c r="L17469" s="31" t="str">
        <f t="shared" si="1688"/>
        <v>Delapan Puluh Dua</v>
      </c>
    </row>
    <row r="17470" spans="10:12">
      <c r="J17470" s="31">
        <v>83</v>
      </c>
      <c r="K17470" s="33" t="s">
        <v>159</v>
      </c>
      <c r="L17470" s="31" t="str">
        <f t="shared" si="1688"/>
        <v>Delapan Puluh Tiga</v>
      </c>
    </row>
    <row r="17471" spans="10:12">
      <c r="J17471" s="31">
        <v>84</v>
      </c>
      <c r="K17471" s="33" t="s">
        <v>160</v>
      </c>
      <c r="L17471" s="31" t="str">
        <f t="shared" si="1688"/>
        <v>Delapan Puluh Empat</v>
      </c>
    </row>
    <row r="17472" spans="10:12">
      <c r="J17472" s="31">
        <v>85</v>
      </c>
      <c r="K17472" s="33" t="s">
        <v>161</v>
      </c>
      <c r="L17472" s="31" t="str">
        <f t="shared" si="1688"/>
        <v>Delapan Puluh Lima</v>
      </c>
    </row>
    <row r="17473" spans="1:12">
      <c r="J17473" s="31">
        <v>86</v>
      </c>
      <c r="K17473" s="33" t="s">
        <v>162</v>
      </c>
      <c r="L17473" s="31" t="str">
        <f t="shared" si="1688"/>
        <v>Delapan Puluh Enam</v>
      </c>
    </row>
    <row r="17474" spans="1:12">
      <c r="J17474" s="31">
        <v>87</v>
      </c>
      <c r="K17474" s="33" t="s">
        <v>163</v>
      </c>
      <c r="L17474" s="31" t="str">
        <f t="shared" si="1688"/>
        <v>Delapan Puluh Tujuh</v>
      </c>
    </row>
    <row r="17475" spans="1:12">
      <c r="J17475" s="31">
        <v>88</v>
      </c>
      <c r="K17475" s="33" t="s">
        <v>164</v>
      </c>
      <c r="L17475" s="31" t="str">
        <f t="shared" si="1688"/>
        <v>Delapan Puluh Delapan</v>
      </c>
    </row>
    <row r="17476" spans="1:12">
      <c r="J17476" s="31">
        <v>89</v>
      </c>
      <c r="K17476" s="33" t="s">
        <v>165</v>
      </c>
      <c r="L17476" s="31" t="str">
        <f t="shared" si="1688"/>
        <v>Delapan Puluh Sembilan</v>
      </c>
    </row>
    <row r="17477" spans="1:12">
      <c r="J17477" s="31">
        <v>90</v>
      </c>
      <c r="K17477" s="33" t="s">
        <v>166</v>
      </c>
      <c r="L17477" s="31" t="s">
        <v>167</v>
      </c>
    </row>
    <row r="17478" spans="1:12">
      <c r="J17478" s="31">
        <v>91</v>
      </c>
      <c r="K17478" s="33" t="s">
        <v>168</v>
      </c>
      <c r="L17478" s="31" t="str">
        <f t="shared" ref="L17478:L17486" si="1689">$L$93&amp;" "&amp;L17388</f>
        <v>Sembilan Puluh Satu</v>
      </c>
    </row>
    <row r="17479" spans="1:12">
      <c r="J17479" s="31">
        <v>92</v>
      </c>
      <c r="K17479" s="33" t="s">
        <v>169</v>
      </c>
      <c r="L17479" s="31" t="str">
        <f t="shared" si="1689"/>
        <v>Sembilan Puluh Dua</v>
      </c>
    </row>
    <row r="17480" spans="1:12">
      <c r="J17480" s="31">
        <v>93</v>
      </c>
      <c r="K17480" s="33" t="s">
        <v>170</v>
      </c>
      <c r="L17480" s="31" t="str">
        <f t="shared" si="1689"/>
        <v>Sembilan Puluh Tiga</v>
      </c>
    </row>
    <row r="17481" spans="1:12">
      <c r="J17481" s="31">
        <v>94</v>
      </c>
      <c r="K17481" s="33" t="s">
        <v>171</v>
      </c>
      <c r="L17481" s="31" t="str">
        <f t="shared" si="1689"/>
        <v>Sembilan Puluh Empat</v>
      </c>
    </row>
    <row r="17482" spans="1:12">
      <c r="J17482" s="31">
        <v>95</v>
      </c>
      <c r="K17482" s="33" t="s">
        <v>172</v>
      </c>
      <c r="L17482" s="31" t="str">
        <f t="shared" si="1689"/>
        <v>Sembilan Puluh Lima</v>
      </c>
    </row>
    <row r="17483" spans="1:12">
      <c r="J17483" s="31">
        <v>96</v>
      </c>
      <c r="K17483" s="33" t="s">
        <v>173</v>
      </c>
      <c r="L17483" s="31" t="str">
        <f t="shared" si="1689"/>
        <v>Sembilan Puluh Enam</v>
      </c>
    </row>
    <row r="17484" spans="1:12">
      <c r="J17484" s="31">
        <v>97</v>
      </c>
      <c r="K17484" s="33" t="s">
        <v>174</v>
      </c>
      <c r="L17484" s="31" t="str">
        <f t="shared" si="1689"/>
        <v>Sembilan Puluh Tujuh</v>
      </c>
    </row>
    <row r="17485" spans="1:12">
      <c r="J17485" s="31">
        <v>98</v>
      </c>
      <c r="K17485" s="33" t="s">
        <v>175</v>
      </c>
      <c r="L17485" s="31" t="str">
        <f t="shared" si="1689"/>
        <v>Sembilan Puluh Delapan</v>
      </c>
    </row>
    <row r="17486" spans="1:12">
      <c r="J17486" s="31">
        <v>99</v>
      </c>
      <c r="K17486" s="33" t="s">
        <v>176</v>
      </c>
      <c r="L17486" s="31" t="str">
        <f t="shared" si="1689"/>
        <v>Sembilan Puluh Sembilan</v>
      </c>
    </row>
    <row r="17488" spans="1:12">
      <c r="A17488" s="30" t="e">
        <f>#REF!</f>
        <v>#REF!</v>
      </c>
      <c r="C17488" s="31" t="s">
        <v>405</v>
      </c>
    </row>
    <row r="17489" spans="1:12">
      <c r="A17489" s="32"/>
    </row>
    <row r="17490" spans="1:12">
      <c r="J17490" s="31">
        <v>0</v>
      </c>
      <c r="K17490" s="33" t="s">
        <v>48</v>
      </c>
      <c r="L17490" s="31" t="s">
        <v>49</v>
      </c>
    </row>
    <row r="17491" spans="1:12">
      <c r="A17491" s="34"/>
      <c r="J17491" s="31">
        <v>1</v>
      </c>
      <c r="K17491" s="33" t="s">
        <v>50</v>
      </c>
      <c r="L17491" s="31" t="s">
        <v>51</v>
      </c>
    </row>
    <row r="17492" spans="1:12">
      <c r="A17492" s="255" t="e">
        <f>TRIM(D17500&amp;E17500&amp;D17501&amp;E17501&amp;D17502&amp;E17502&amp;D17503&amp;E17503&amp;D17504&amp;E17504&amp;D17505&amp;E17505&amp;E17506&amp;D17506&amp;" Only")</f>
        <v>#REF!</v>
      </c>
      <c r="B17492" s="255"/>
      <c r="C17492" s="255"/>
      <c r="D17492" s="255"/>
      <c r="E17492" s="35"/>
      <c r="F17492" s="36"/>
      <c r="J17492" s="31">
        <v>2</v>
      </c>
      <c r="K17492" s="33" t="s">
        <v>52</v>
      </c>
      <c r="L17492" s="31" t="s">
        <v>53</v>
      </c>
    </row>
    <row r="17493" spans="1:12">
      <c r="A17493" s="129"/>
      <c r="B17493" s="129"/>
      <c r="C17493" s="129"/>
      <c r="D17493" s="129"/>
      <c r="E17493" s="35"/>
      <c r="F17493" s="36"/>
      <c r="J17493" s="31">
        <v>3</v>
      </c>
      <c r="K17493" s="33" t="s">
        <v>54</v>
      </c>
      <c r="L17493" s="31" t="s">
        <v>55</v>
      </c>
    </row>
    <row r="17494" spans="1:12">
      <c r="A17494" s="129"/>
      <c r="B17494" s="129"/>
      <c r="C17494" s="129"/>
      <c r="D17494" s="129"/>
      <c r="J17494" s="31">
        <v>4</v>
      </c>
      <c r="K17494" s="33" t="s">
        <v>56</v>
      </c>
      <c r="L17494" s="31" t="s">
        <v>57</v>
      </c>
    </row>
    <row r="17495" spans="1:12">
      <c r="A17495" s="255" t="e">
        <f>TRIM(D17510&amp;E17510&amp;D17511&amp;E17511&amp;D17512&amp;E17512&amp;D17513&amp;E17513&amp;D17514&amp;E17514&amp;D17515&amp;E17515&amp;D17516&amp;E17516&amp;" Rupiah")</f>
        <v>#REF!</v>
      </c>
      <c r="B17495" s="255"/>
      <c r="C17495" s="255"/>
      <c r="D17495" s="255"/>
      <c r="E17495" s="35"/>
      <c r="F17495" s="36"/>
      <c r="J17495" s="31">
        <v>5</v>
      </c>
      <c r="K17495" s="33" t="s">
        <v>58</v>
      </c>
      <c r="L17495" s="31" t="s">
        <v>59</v>
      </c>
    </row>
    <row r="17496" spans="1:12">
      <c r="A17496" s="35"/>
      <c r="B17496" s="35"/>
      <c r="C17496" s="35"/>
      <c r="D17496" s="35"/>
      <c r="E17496" s="35"/>
      <c r="F17496" s="36"/>
      <c r="J17496" s="31">
        <v>6</v>
      </c>
      <c r="K17496" s="33" t="s">
        <v>60</v>
      </c>
      <c r="L17496" s="31" t="s">
        <v>61</v>
      </c>
    </row>
    <row r="17497" spans="1:12">
      <c r="J17497" s="31">
        <v>7</v>
      </c>
      <c r="K17497" s="33" t="s">
        <v>62</v>
      </c>
      <c r="L17497" s="31" t="s">
        <v>63</v>
      </c>
    </row>
    <row r="17498" spans="1:12">
      <c r="J17498" s="31">
        <v>8</v>
      </c>
      <c r="K17498" s="33" t="s">
        <v>64</v>
      </c>
      <c r="L17498" s="31" t="s">
        <v>65</v>
      </c>
    </row>
    <row r="17499" spans="1:12">
      <c r="A17499" s="38" t="s">
        <v>66</v>
      </c>
      <c r="J17499" s="31">
        <v>9</v>
      </c>
      <c r="K17499" s="33" t="s">
        <v>67</v>
      </c>
      <c r="L17499" s="31" t="s">
        <v>68</v>
      </c>
    </row>
    <row r="17500" spans="1:12">
      <c r="A17500" s="31" t="s">
        <v>69</v>
      </c>
      <c r="B17500" s="39" t="e">
        <f>TRUNC(A17488/100000000)</f>
        <v>#REF!</v>
      </c>
      <c r="C17500" s="31" t="e">
        <f>B17500*100000000</f>
        <v>#REF!</v>
      </c>
      <c r="D17500" s="31" t="e">
        <f t="shared" ref="D17500:D17506" si="1690">IF(B17500&lt;1,"",VLOOKUP(B17500,$J$3:$K$102,2))</f>
        <v>#REF!</v>
      </c>
      <c r="E17500" s="31" t="e">
        <f>IF(B17500&lt;1,"",IF(B17500&gt;1," Hundreds "," Hundred "))</f>
        <v>#REF!</v>
      </c>
      <c r="J17500" s="31">
        <v>10</v>
      </c>
      <c r="K17500" s="33" t="s">
        <v>70</v>
      </c>
      <c r="L17500" s="31" t="s">
        <v>71</v>
      </c>
    </row>
    <row r="17501" spans="1:12">
      <c r="A17501" s="31" t="s">
        <v>72</v>
      </c>
      <c r="B17501" s="39" t="e">
        <f>TRUNC((A17488-C17500)/1000000)</f>
        <v>#REF!</v>
      </c>
      <c r="C17501" s="31" t="e">
        <f>B17501*1000000</f>
        <v>#REF!</v>
      </c>
      <c r="D17501" s="31" t="e">
        <f t="shared" si="1690"/>
        <v>#REF!</v>
      </c>
      <c r="E17501" s="31" t="e">
        <f>IF(B17500+B17501=0,"",IF(B17501=1," Million "," Millions "))</f>
        <v>#REF!</v>
      </c>
      <c r="J17501" s="31">
        <v>11</v>
      </c>
      <c r="K17501" s="33" t="s">
        <v>73</v>
      </c>
      <c r="L17501" s="31" t="s">
        <v>74</v>
      </c>
    </row>
    <row r="17502" spans="1:12">
      <c r="A17502" s="31" t="s">
        <v>75</v>
      </c>
      <c r="B17502" s="39" t="e">
        <f>TRUNC((A17488-SUM(C17500:C17501))/100000)</f>
        <v>#REF!</v>
      </c>
      <c r="C17502" s="31" t="e">
        <f>B17502*100000</f>
        <v>#REF!</v>
      </c>
      <c r="D17502" s="31" t="e">
        <f t="shared" si="1690"/>
        <v>#REF!</v>
      </c>
      <c r="E17502" s="31" t="e">
        <f>IF(B17502&lt;1,"",IF(B17502&gt;1," Hundreds "," Hundred "))</f>
        <v>#REF!</v>
      </c>
      <c r="J17502" s="31">
        <v>12</v>
      </c>
      <c r="K17502" s="33" t="s">
        <v>76</v>
      </c>
      <c r="L17502" s="31" t="str">
        <f t="shared" ref="L17502:L17509" si="1691">L17492&amp;" Belas"</f>
        <v>Dua Belas</v>
      </c>
    </row>
    <row r="17503" spans="1:12">
      <c r="A17503" s="33" t="s">
        <v>77</v>
      </c>
      <c r="B17503" s="40" t="e">
        <f>TRUNC((A17488-SUM(C17500:C17502))/1000)</f>
        <v>#REF!</v>
      </c>
      <c r="C17503" s="31" t="e">
        <f>B17503*1000</f>
        <v>#REF!</v>
      </c>
      <c r="D17503" s="31" t="e">
        <f t="shared" si="1690"/>
        <v>#REF!</v>
      </c>
      <c r="E17503" s="31" t="e">
        <f>IF(B17502+B17503=0,"",IF(B17503=1," Thousand "," Thousands "))</f>
        <v>#REF!</v>
      </c>
      <c r="J17503" s="31">
        <v>13</v>
      </c>
      <c r="K17503" s="33" t="s">
        <v>78</v>
      </c>
      <c r="L17503" s="31" t="str">
        <f t="shared" si="1691"/>
        <v>Tiga Belas</v>
      </c>
    </row>
    <row r="17504" spans="1:12">
      <c r="A17504" s="33" t="s">
        <v>79</v>
      </c>
      <c r="B17504" s="40" t="e">
        <f>TRUNC((A17488-SUM(C17500:C17503))/100)</f>
        <v>#REF!</v>
      </c>
      <c r="C17504" s="31" t="e">
        <f>B17504*100</f>
        <v>#REF!</v>
      </c>
      <c r="D17504" s="31" t="e">
        <f t="shared" si="1690"/>
        <v>#REF!</v>
      </c>
      <c r="E17504" s="31" t="e">
        <f>IF(B17504&lt;1,"",IF(B17504&gt;1," Hundreds "," Hundred "))</f>
        <v>#REF!</v>
      </c>
      <c r="J17504" s="31">
        <v>14</v>
      </c>
      <c r="K17504" s="33" t="s">
        <v>80</v>
      </c>
      <c r="L17504" s="31" t="str">
        <f t="shared" si="1691"/>
        <v>Empat Belas</v>
      </c>
    </row>
    <row r="17505" spans="1:12">
      <c r="A17505" s="33" t="s">
        <v>81</v>
      </c>
      <c r="B17505" s="41" t="e">
        <f>TRUNC((A17488-SUM(C17500:C17504)))</f>
        <v>#REF!</v>
      </c>
      <c r="C17505" s="42" t="e">
        <f>B17505</f>
        <v>#REF!</v>
      </c>
      <c r="D17505" s="31" t="e">
        <f t="shared" si="1690"/>
        <v>#REF!</v>
      </c>
      <c r="E17505" s="31" t="e">
        <f>IF(SUM(C17500:C17505)&lt;1,"",IF(B17506&lt;1,""," And "))</f>
        <v>#REF!</v>
      </c>
      <c r="J17505" s="31">
        <v>15</v>
      </c>
      <c r="K17505" s="33" t="s">
        <v>82</v>
      </c>
      <c r="L17505" s="31" t="str">
        <f t="shared" si="1691"/>
        <v>Lima Belas</v>
      </c>
    </row>
    <row r="17506" spans="1:12">
      <c r="A17506" s="33" t="s">
        <v>83</v>
      </c>
      <c r="B17506" s="40" t="e">
        <f>ROUND(A17488-SUM(C17500:C17505),2)*100</f>
        <v>#REF!</v>
      </c>
      <c r="D17506" s="43" t="e">
        <f t="shared" si="1690"/>
        <v>#REF!</v>
      </c>
      <c r="E17506" s="31" t="e">
        <f>IF(B17506&lt;1,"",IF(B17506=1," Cent "," Cents "))</f>
        <v>#REF!</v>
      </c>
      <c r="J17506" s="31">
        <v>16</v>
      </c>
      <c r="K17506" s="33" t="s">
        <v>84</v>
      </c>
      <c r="L17506" s="31" t="str">
        <f t="shared" si="1691"/>
        <v>Enam Belas</v>
      </c>
    </row>
    <row r="17507" spans="1:12">
      <c r="J17507" s="31">
        <v>17</v>
      </c>
      <c r="K17507" s="33" t="s">
        <v>85</v>
      </c>
      <c r="L17507" s="31" t="str">
        <f t="shared" si="1691"/>
        <v>Tujuh Belas</v>
      </c>
    </row>
    <row r="17508" spans="1:12">
      <c r="A17508" s="44"/>
      <c r="J17508" s="31">
        <v>18</v>
      </c>
      <c r="K17508" s="33" t="s">
        <v>86</v>
      </c>
      <c r="L17508" s="31" t="str">
        <f t="shared" si="1691"/>
        <v>Delapan Belas</v>
      </c>
    </row>
    <row r="17509" spans="1:12">
      <c r="A17509" s="38" t="s">
        <v>87</v>
      </c>
      <c r="J17509" s="31">
        <v>19</v>
      </c>
      <c r="K17509" s="33" t="s">
        <v>88</v>
      </c>
      <c r="L17509" s="31" t="str">
        <f t="shared" si="1691"/>
        <v>Sembilan Belas</v>
      </c>
    </row>
    <row r="17510" spans="1:12">
      <c r="A17510" s="31" t="s">
        <v>69</v>
      </c>
      <c r="B17510" s="39" t="e">
        <f>TRUNC(A17488/100000000)</f>
        <v>#REF!</v>
      </c>
      <c r="C17510" s="31" t="e">
        <f>B17510*100000000</f>
        <v>#REF!</v>
      </c>
      <c r="D17510" s="31" t="e">
        <f>IF(B17510&lt;1,"",IF(B17510=1,"",VLOOKUP(B17510,$J$3:$L$102,3)))</f>
        <v>#REF!</v>
      </c>
      <c r="E17510" s="31" t="e">
        <f>IF(B17510&lt;1,"",IF(B17510=1,"Seratus "," Ratus "))</f>
        <v>#REF!</v>
      </c>
      <c r="J17510" s="31">
        <v>20</v>
      </c>
      <c r="K17510" s="33" t="s">
        <v>89</v>
      </c>
      <c r="L17510" s="31" t="s">
        <v>90</v>
      </c>
    </row>
    <row r="17511" spans="1:12">
      <c r="A17511" s="31" t="s">
        <v>72</v>
      </c>
      <c r="B17511" s="39" t="e">
        <f>TRUNC((A17488-C17510)/1000000)</f>
        <v>#REF!</v>
      </c>
      <c r="C17511" s="31" t="e">
        <f>B17511*1000000</f>
        <v>#REF!</v>
      </c>
      <c r="D17511" s="31" t="e">
        <f>IF(B17511&lt;1,"",VLOOKUP(B17511,$J$3:$L$102,3))</f>
        <v>#REF!</v>
      </c>
      <c r="E17511" s="31" t="e">
        <f>IF(B17510+B17511=0,""," Juta ")</f>
        <v>#REF!</v>
      </c>
      <c r="J17511" s="31">
        <v>21</v>
      </c>
      <c r="K17511" s="33" t="s">
        <v>91</v>
      </c>
      <c r="L17511" s="31" t="str">
        <f t="shared" ref="L17511:L17519" si="1692">$L$23&amp;" "&amp;L17491</f>
        <v>Dua Puluh Satu</v>
      </c>
    </row>
    <row r="17512" spans="1:12">
      <c r="A17512" s="31" t="s">
        <v>75</v>
      </c>
      <c r="B17512" s="39" t="e">
        <f>TRUNC((A17488-SUM(C17510:C17511))/100000)</f>
        <v>#REF!</v>
      </c>
      <c r="C17512" s="31" t="e">
        <f>B17512*100000</f>
        <v>#REF!</v>
      </c>
      <c r="D17512" s="31" t="e">
        <f>IF(B17512&lt;1,"",IF(B17512=1,"",VLOOKUP(B17512,$J$3:$L$102,3)))</f>
        <v>#REF!</v>
      </c>
      <c r="E17512" s="31" t="e">
        <f>IF(B17512&lt;1,"",IF(B17512=1," Seratus "," Ratus "))</f>
        <v>#REF!</v>
      </c>
      <c r="J17512" s="31">
        <v>22</v>
      </c>
      <c r="K17512" s="33" t="s">
        <v>92</v>
      </c>
      <c r="L17512" s="31" t="str">
        <f t="shared" si="1692"/>
        <v>Dua Puluh Dua</v>
      </c>
    </row>
    <row r="17513" spans="1:12">
      <c r="A17513" s="33" t="s">
        <v>77</v>
      </c>
      <c r="B17513" s="40" t="e">
        <f>TRUNC((A17488-SUM(C17510:C17512))/1000)</f>
        <v>#REF!</v>
      </c>
      <c r="C17513" s="31" t="e">
        <f>B17513*1000</f>
        <v>#REF!</v>
      </c>
      <c r="D17513" s="31" t="e">
        <f>IF(B17513&lt;1,"",IF(B17513=1,"",VLOOKUP(B17513,$J$3:$L$102,3)))</f>
        <v>#REF!</v>
      </c>
      <c r="E17513" s="31" t="e">
        <f>IF(B17512+B17513&lt;1,"",IF(B17513=1," Seribu "," Ribu "))</f>
        <v>#REF!</v>
      </c>
      <c r="J17513" s="31">
        <v>23</v>
      </c>
      <c r="K17513" s="33" t="s">
        <v>93</v>
      </c>
      <c r="L17513" s="31" t="str">
        <f t="shared" si="1692"/>
        <v>Dua Puluh Tiga</v>
      </c>
    </row>
    <row r="17514" spans="1:12">
      <c r="A17514" s="33" t="s">
        <v>79</v>
      </c>
      <c r="B17514" s="40" t="e">
        <f>TRUNC((A17488-SUM(C17510:C17513))/100)</f>
        <v>#REF!</v>
      </c>
      <c r="C17514" s="31" t="e">
        <f>B17514*100</f>
        <v>#REF!</v>
      </c>
      <c r="D17514" s="31" t="e">
        <f>IF(B17514&lt;1,"",IF(B17514=1,"",VLOOKUP(B17514,$J$3:$L$102,3)))</f>
        <v>#REF!</v>
      </c>
      <c r="E17514" s="31" t="e">
        <f>IF(B17514&lt;1,"",IF(B17514=1," Seratus "," Ratus "))</f>
        <v>#REF!</v>
      </c>
      <c r="J17514" s="31">
        <v>24</v>
      </c>
      <c r="K17514" s="33" t="s">
        <v>94</v>
      </c>
      <c r="L17514" s="31" t="str">
        <f t="shared" si="1692"/>
        <v>Dua Puluh Empat</v>
      </c>
    </row>
    <row r="17515" spans="1:12">
      <c r="A17515" s="33" t="s">
        <v>81</v>
      </c>
      <c r="B17515" s="41" t="e">
        <f>TRUNC((A17488-SUM(C17510:C17514)))</f>
        <v>#REF!</v>
      </c>
      <c r="C17515" s="42" t="e">
        <f>B17515</f>
        <v>#REF!</v>
      </c>
      <c r="D17515" s="31" t="e">
        <f>IF(B17515&lt;1,"",VLOOKUP(B17515,$J$3:$L$102,3))</f>
        <v>#REF!</v>
      </c>
      <c r="E17515" s="31" t="e">
        <f>IF(SUM(C17510:C17515)&lt;1,"",IF(B17516&lt;1,""," Dan "))</f>
        <v>#REF!</v>
      </c>
      <c r="J17515" s="31">
        <v>25</v>
      </c>
      <c r="K17515" s="33" t="s">
        <v>95</v>
      </c>
      <c r="L17515" s="31" t="str">
        <f t="shared" si="1692"/>
        <v>Dua Puluh Lima</v>
      </c>
    </row>
    <row r="17516" spans="1:12">
      <c r="A17516" s="33" t="s">
        <v>83</v>
      </c>
      <c r="B17516" s="40" t="e">
        <f>ROUND(A17488-SUM(C17510:C17515),2)*100</f>
        <v>#REF!</v>
      </c>
      <c r="D17516" s="31" t="e">
        <f>IF(B17516&lt;1,"",VLOOKUP(B17516,$J$3:$L$102,3))</f>
        <v>#REF!</v>
      </c>
      <c r="E17516" s="31" t="e">
        <f>IF(B17516&lt;1,""," Sen ")</f>
        <v>#REF!</v>
      </c>
      <c r="J17516" s="31">
        <v>26</v>
      </c>
      <c r="K17516" s="33" t="s">
        <v>96</v>
      </c>
      <c r="L17516" s="31" t="str">
        <f t="shared" si="1692"/>
        <v>Dua Puluh Enam</v>
      </c>
    </row>
    <row r="17517" spans="1:12">
      <c r="J17517" s="31">
        <v>27</v>
      </c>
      <c r="K17517" s="33" t="s">
        <v>97</v>
      </c>
      <c r="L17517" s="31" t="str">
        <f t="shared" si="1692"/>
        <v>Dua Puluh Tujuh</v>
      </c>
    </row>
    <row r="17518" spans="1:12">
      <c r="J17518" s="31">
        <v>28</v>
      </c>
      <c r="K17518" s="33" t="s">
        <v>98</v>
      </c>
      <c r="L17518" s="31" t="str">
        <f t="shared" si="1692"/>
        <v>Dua Puluh Delapan</v>
      </c>
    </row>
    <row r="17519" spans="1:12">
      <c r="J17519" s="31">
        <v>29</v>
      </c>
      <c r="K17519" s="33" t="s">
        <v>99</v>
      </c>
      <c r="L17519" s="31" t="str">
        <f t="shared" si="1692"/>
        <v>Dua Puluh Sembilan</v>
      </c>
    </row>
    <row r="17520" spans="1:12">
      <c r="J17520" s="31">
        <v>30</v>
      </c>
      <c r="K17520" s="33" t="s">
        <v>100</v>
      </c>
      <c r="L17520" s="31" t="s">
        <v>101</v>
      </c>
    </row>
    <row r="17521" spans="1:12">
      <c r="J17521" s="31">
        <v>31</v>
      </c>
      <c r="K17521" s="33" t="s">
        <v>102</v>
      </c>
      <c r="L17521" s="31" t="str">
        <f t="shared" ref="L17521:L17529" si="1693">$L$33&amp;" "&amp;L17491</f>
        <v>Tiga Puluh Satu</v>
      </c>
    </row>
    <row r="17522" spans="1:12">
      <c r="J17522" s="31">
        <v>32</v>
      </c>
      <c r="K17522" s="33" t="s">
        <v>103</v>
      </c>
      <c r="L17522" s="31" t="str">
        <f t="shared" si="1693"/>
        <v>Tiga Puluh Dua</v>
      </c>
    </row>
    <row r="17523" spans="1:12">
      <c r="J17523" s="31">
        <v>33</v>
      </c>
      <c r="K17523" s="33" t="s">
        <v>104</v>
      </c>
      <c r="L17523" s="31" t="str">
        <f t="shared" si="1693"/>
        <v>Tiga Puluh Tiga</v>
      </c>
    </row>
    <row r="17524" spans="1:12">
      <c r="J17524" s="31">
        <v>34</v>
      </c>
      <c r="K17524" s="33" t="s">
        <v>105</v>
      </c>
      <c r="L17524" s="31" t="str">
        <f t="shared" si="1693"/>
        <v>Tiga Puluh Empat</v>
      </c>
    </row>
    <row r="17525" spans="1:12">
      <c r="J17525" s="31">
        <v>35</v>
      </c>
      <c r="K17525" s="33" t="s">
        <v>106</v>
      </c>
      <c r="L17525" s="31" t="str">
        <f t="shared" si="1693"/>
        <v>Tiga Puluh Lima</v>
      </c>
    </row>
    <row r="17526" spans="1:12">
      <c r="J17526" s="31">
        <v>36</v>
      </c>
      <c r="K17526" s="33" t="s">
        <v>107</v>
      </c>
      <c r="L17526" s="31" t="str">
        <f t="shared" si="1693"/>
        <v>Tiga Puluh Enam</v>
      </c>
    </row>
    <row r="17527" spans="1:12">
      <c r="J17527" s="31">
        <v>37</v>
      </c>
      <c r="K17527" s="33" t="s">
        <v>108</v>
      </c>
      <c r="L17527" s="31" t="str">
        <f t="shared" si="1693"/>
        <v>Tiga Puluh Tujuh</v>
      </c>
    </row>
    <row r="17528" spans="1:12">
      <c r="J17528" s="31">
        <v>38</v>
      </c>
      <c r="K17528" s="33" t="s">
        <v>109</v>
      </c>
      <c r="L17528" s="31" t="str">
        <f t="shared" si="1693"/>
        <v>Tiga Puluh Delapan</v>
      </c>
    </row>
    <row r="17529" spans="1:12">
      <c r="J17529" s="31">
        <v>39</v>
      </c>
      <c r="K17529" s="33" t="s">
        <v>110</v>
      </c>
      <c r="L17529" s="31" t="str">
        <f t="shared" si="1693"/>
        <v>Tiga Puluh Sembilan</v>
      </c>
    </row>
    <row r="17530" spans="1:12">
      <c r="B17530" s="35"/>
      <c r="C17530" s="35"/>
      <c r="D17530" s="35"/>
      <c r="J17530" s="31">
        <v>40</v>
      </c>
      <c r="K17530" s="33" t="s">
        <v>111</v>
      </c>
      <c r="L17530" s="31" t="s">
        <v>112</v>
      </c>
    </row>
    <row r="17531" spans="1:12">
      <c r="A17531" s="35"/>
      <c r="B17531" s="35"/>
      <c r="C17531" s="35"/>
      <c r="D17531" s="35"/>
      <c r="J17531" s="31">
        <v>41</v>
      </c>
      <c r="K17531" s="33" t="s">
        <v>113</v>
      </c>
      <c r="L17531" s="31" t="str">
        <f t="shared" ref="L17531:L17539" si="1694">$L$43&amp;" "&amp;L17491</f>
        <v>Empat Puluh Satu</v>
      </c>
    </row>
    <row r="17532" spans="1:12">
      <c r="J17532" s="31">
        <v>42</v>
      </c>
      <c r="K17532" s="33" t="s">
        <v>114</v>
      </c>
      <c r="L17532" s="31" t="str">
        <f t="shared" si="1694"/>
        <v>Empat Puluh Dua</v>
      </c>
    </row>
    <row r="17533" spans="1:12">
      <c r="A17533" s="38"/>
      <c r="J17533" s="31">
        <v>43</v>
      </c>
      <c r="K17533" s="33" t="s">
        <v>115</v>
      </c>
      <c r="L17533" s="31" t="str">
        <f t="shared" si="1694"/>
        <v>Empat Puluh Tiga</v>
      </c>
    </row>
    <row r="17534" spans="1:12">
      <c r="J17534" s="31">
        <v>44</v>
      </c>
      <c r="K17534" s="33" t="s">
        <v>116</v>
      </c>
      <c r="L17534" s="31" t="str">
        <f t="shared" si="1694"/>
        <v>Empat Puluh Empat</v>
      </c>
    </row>
    <row r="17535" spans="1:12">
      <c r="J17535" s="31">
        <v>45</v>
      </c>
      <c r="K17535" s="33" t="s">
        <v>117</v>
      </c>
      <c r="L17535" s="31" t="str">
        <f t="shared" si="1694"/>
        <v>Empat Puluh Lima</v>
      </c>
    </row>
    <row r="17536" spans="1:12">
      <c r="J17536" s="31">
        <v>46</v>
      </c>
      <c r="K17536" s="33" t="s">
        <v>118</v>
      </c>
      <c r="L17536" s="31" t="str">
        <f t="shared" si="1694"/>
        <v>Empat Puluh Enam</v>
      </c>
    </row>
    <row r="17537" spans="10:12">
      <c r="J17537" s="31">
        <v>47</v>
      </c>
      <c r="K17537" s="33" t="s">
        <v>119</v>
      </c>
      <c r="L17537" s="31" t="str">
        <f t="shared" si="1694"/>
        <v>Empat Puluh Tujuh</v>
      </c>
    </row>
    <row r="17538" spans="10:12">
      <c r="J17538" s="31">
        <v>48</v>
      </c>
      <c r="K17538" s="33" t="s">
        <v>120</v>
      </c>
      <c r="L17538" s="31" t="str">
        <f t="shared" si="1694"/>
        <v>Empat Puluh Delapan</v>
      </c>
    </row>
    <row r="17539" spans="10:12">
      <c r="J17539" s="31">
        <v>49</v>
      </c>
      <c r="K17539" s="33" t="s">
        <v>121</v>
      </c>
      <c r="L17539" s="31" t="str">
        <f t="shared" si="1694"/>
        <v>Empat Puluh Sembilan</v>
      </c>
    </row>
    <row r="17540" spans="10:12">
      <c r="J17540" s="31">
        <v>50</v>
      </c>
      <c r="K17540" s="33" t="s">
        <v>122</v>
      </c>
      <c r="L17540" s="31" t="s">
        <v>123</v>
      </c>
    </row>
    <row r="17541" spans="10:12">
      <c r="J17541" s="31">
        <v>51</v>
      </c>
      <c r="K17541" s="33" t="s">
        <v>124</v>
      </c>
      <c r="L17541" s="31" t="str">
        <f t="shared" ref="L17541:L17549" si="1695">$L$53&amp;" "&amp;L17491</f>
        <v>Lima Puluh Satu</v>
      </c>
    </row>
    <row r="17542" spans="10:12">
      <c r="J17542" s="31">
        <v>52</v>
      </c>
      <c r="K17542" s="33" t="s">
        <v>125</v>
      </c>
      <c r="L17542" s="31" t="str">
        <f t="shared" si="1695"/>
        <v>Lima Puluh Dua</v>
      </c>
    </row>
    <row r="17543" spans="10:12">
      <c r="J17543" s="31">
        <v>53</v>
      </c>
      <c r="K17543" s="33" t="s">
        <v>126</v>
      </c>
      <c r="L17543" s="31" t="str">
        <f t="shared" si="1695"/>
        <v>Lima Puluh Tiga</v>
      </c>
    </row>
    <row r="17544" spans="10:12">
      <c r="J17544" s="31">
        <v>54</v>
      </c>
      <c r="K17544" s="33" t="s">
        <v>127</v>
      </c>
      <c r="L17544" s="31" t="str">
        <f t="shared" si="1695"/>
        <v>Lima Puluh Empat</v>
      </c>
    </row>
    <row r="17545" spans="10:12">
      <c r="J17545" s="31">
        <v>55</v>
      </c>
      <c r="K17545" s="33" t="s">
        <v>128</v>
      </c>
      <c r="L17545" s="31" t="str">
        <f t="shared" si="1695"/>
        <v>Lima Puluh Lima</v>
      </c>
    </row>
    <row r="17546" spans="10:12">
      <c r="J17546" s="31">
        <v>56</v>
      </c>
      <c r="K17546" s="33" t="s">
        <v>129</v>
      </c>
      <c r="L17546" s="31" t="str">
        <f t="shared" si="1695"/>
        <v>Lima Puluh Enam</v>
      </c>
    </row>
    <row r="17547" spans="10:12">
      <c r="J17547" s="31">
        <v>57</v>
      </c>
      <c r="K17547" s="33" t="s">
        <v>130</v>
      </c>
      <c r="L17547" s="31" t="str">
        <f t="shared" si="1695"/>
        <v>Lima Puluh Tujuh</v>
      </c>
    </row>
    <row r="17548" spans="10:12">
      <c r="J17548" s="31">
        <v>58</v>
      </c>
      <c r="K17548" s="33" t="s">
        <v>131</v>
      </c>
      <c r="L17548" s="31" t="str">
        <f t="shared" si="1695"/>
        <v>Lima Puluh Delapan</v>
      </c>
    </row>
    <row r="17549" spans="10:12">
      <c r="J17549" s="31">
        <v>59</v>
      </c>
      <c r="K17549" s="33" t="s">
        <v>132</v>
      </c>
      <c r="L17549" s="31" t="str">
        <f t="shared" si="1695"/>
        <v>Lima Puluh Sembilan</v>
      </c>
    </row>
    <row r="17550" spans="10:12">
      <c r="J17550" s="31">
        <v>60</v>
      </c>
      <c r="K17550" s="33" t="s">
        <v>133</v>
      </c>
      <c r="L17550" s="31" t="s">
        <v>134</v>
      </c>
    </row>
    <row r="17551" spans="10:12">
      <c r="J17551" s="31">
        <v>61</v>
      </c>
      <c r="K17551" s="33" t="s">
        <v>135</v>
      </c>
      <c r="L17551" s="31" t="str">
        <f t="shared" ref="L17551:L17559" si="1696">$L$63&amp;" "&amp;L17491</f>
        <v>Enam Puluh Satu</v>
      </c>
    </row>
    <row r="17552" spans="10:12">
      <c r="J17552" s="31">
        <v>62</v>
      </c>
      <c r="K17552" s="33" t="s">
        <v>136</v>
      </c>
      <c r="L17552" s="31" t="str">
        <f t="shared" si="1696"/>
        <v>Enam Puluh Dua</v>
      </c>
    </row>
    <row r="17553" spans="10:12">
      <c r="J17553" s="31">
        <v>63</v>
      </c>
      <c r="K17553" s="33" t="s">
        <v>137</v>
      </c>
      <c r="L17553" s="31" t="str">
        <f t="shared" si="1696"/>
        <v>Enam Puluh Tiga</v>
      </c>
    </row>
    <row r="17554" spans="10:12">
      <c r="J17554" s="31">
        <v>64</v>
      </c>
      <c r="K17554" s="33" t="s">
        <v>138</v>
      </c>
      <c r="L17554" s="31" t="str">
        <f t="shared" si="1696"/>
        <v>Enam Puluh Empat</v>
      </c>
    </row>
    <row r="17555" spans="10:12">
      <c r="J17555" s="31">
        <v>65</v>
      </c>
      <c r="K17555" s="33" t="s">
        <v>139</v>
      </c>
      <c r="L17555" s="31" t="str">
        <f t="shared" si="1696"/>
        <v>Enam Puluh Lima</v>
      </c>
    </row>
    <row r="17556" spans="10:12">
      <c r="J17556" s="31">
        <v>66</v>
      </c>
      <c r="K17556" s="33" t="s">
        <v>140</v>
      </c>
      <c r="L17556" s="31" t="str">
        <f t="shared" si="1696"/>
        <v>Enam Puluh Enam</v>
      </c>
    </row>
    <row r="17557" spans="10:12">
      <c r="J17557" s="31">
        <v>67</v>
      </c>
      <c r="K17557" s="33" t="s">
        <v>141</v>
      </c>
      <c r="L17557" s="31" t="str">
        <f t="shared" si="1696"/>
        <v>Enam Puluh Tujuh</v>
      </c>
    </row>
    <row r="17558" spans="10:12">
      <c r="J17558" s="31">
        <v>68</v>
      </c>
      <c r="K17558" s="33" t="s">
        <v>142</v>
      </c>
      <c r="L17558" s="31" t="str">
        <f t="shared" si="1696"/>
        <v>Enam Puluh Delapan</v>
      </c>
    </row>
    <row r="17559" spans="10:12">
      <c r="J17559" s="31">
        <v>69</v>
      </c>
      <c r="K17559" s="33" t="s">
        <v>143</v>
      </c>
      <c r="L17559" s="31" t="str">
        <f t="shared" si="1696"/>
        <v>Enam Puluh Sembilan</v>
      </c>
    </row>
    <row r="17560" spans="10:12">
      <c r="J17560" s="31">
        <v>70</v>
      </c>
      <c r="K17560" s="33" t="s">
        <v>144</v>
      </c>
      <c r="L17560" s="31" t="s">
        <v>145</v>
      </c>
    </row>
    <row r="17561" spans="10:12">
      <c r="J17561" s="31">
        <v>71</v>
      </c>
      <c r="K17561" s="33" t="s">
        <v>146</v>
      </c>
      <c r="L17561" s="31" t="str">
        <f t="shared" ref="L17561:L17569" si="1697">$L$73&amp;" "&amp;L17491</f>
        <v>Tujuh Puluh Satu</v>
      </c>
    </row>
    <row r="17562" spans="10:12">
      <c r="J17562" s="31">
        <v>72</v>
      </c>
      <c r="K17562" s="33" t="s">
        <v>147</v>
      </c>
      <c r="L17562" s="31" t="str">
        <f t="shared" si="1697"/>
        <v>Tujuh Puluh Dua</v>
      </c>
    </row>
    <row r="17563" spans="10:12">
      <c r="J17563" s="31">
        <v>73</v>
      </c>
      <c r="K17563" s="33" t="s">
        <v>148</v>
      </c>
      <c r="L17563" s="31" t="str">
        <f t="shared" si="1697"/>
        <v>Tujuh Puluh Tiga</v>
      </c>
    </row>
    <row r="17564" spans="10:12">
      <c r="J17564" s="31">
        <v>74</v>
      </c>
      <c r="K17564" s="33" t="s">
        <v>149</v>
      </c>
      <c r="L17564" s="31" t="str">
        <f t="shared" si="1697"/>
        <v>Tujuh Puluh Empat</v>
      </c>
    </row>
    <row r="17565" spans="10:12">
      <c r="J17565" s="31">
        <v>75</v>
      </c>
      <c r="K17565" s="33" t="s">
        <v>150</v>
      </c>
      <c r="L17565" s="31" t="str">
        <f t="shared" si="1697"/>
        <v>Tujuh Puluh Lima</v>
      </c>
    </row>
    <row r="17566" spans="10:12">
      <c r="J17566" s="31">
        <v>76</v>
      </c>
      <c r="K17566" s="33" t="s">
        <v>151</v>
      </c>
      <c r="L17566" s="31" t="str">
        <f t="shared" si="1697"/>
        <v>Tujuh Puluh Enam</v>
      </c>
    </row>
    <row r="17567" spans="10:12">
      <c r="J17567" s="31">
        <v>77</v>
      </c>
      <c r="K17567" s="33" t="s">
        <v>152</v>
      </c>
      <c r="L17567" s="31" t="str">
        <f t="shared" si="1697"/>
        <v>Tujuh Puluh Tujuh</v>
      </c>
    </row>
    <row r="17568" spans="10:12">
      <c r="J17568" s="31">
        <v>78</v>
      </c>
      <c r="K17568" s="33" t="s">
        <v>153</v>
      </c>
      <c r="L17568" s="31" t="str">
        <f t="shared" si="1697"/>
        <v>Tujuh Puluh Delapan</v>
      </c>
    </row>
    <row r="17569" spans="10:12">
      <c r="J17569" s="31">
        <v>79</v>
      </c>
      <c r="K17569" s="33" t="s">
        <v>154</v>
      </c>
      <c r="L17569" s="31" t="str">
        <f t="shared" si="1697"/>
        <v>Tujuh Puluh Sembilan</v>
      </c>
    </row>
    <row r="17570" spans="10:12">
      <c r="J17570" s="31">
        <v>80</v>
      </c>
      <c r="K17570" s="33" t="s">
        <v>155</v>
      </c>
      <c r="L17570" s="31" t="s">
        <v>156</v>
      </c>
    </row>
    <row r="17571" spans="10:12">
      <c r="J17571" s="31">
        <v>81</v>
      </c>
      <c r="K17571" s="33" t="s">
        <v>157</v>
      </c>
      <c r="L17571" s="31" t="str">
        <f t="shared" ref="L17571:L17579" si="1698">$L$83&amp;" "&amp;L17491</f>
        <v>Delapan Puluh Satu</v>
      </c>
    </row>
    <row r="17572" spans="10:12">
      <c r="J17572" s="31">
        <v>82</v>
      </c>
      <c r="K17572" s="33" t="s">
        <v>158</v>
      </c>
      <c r="L17572" s="31" t="str">
        <f t="shared" si="1698"/>
        <v>Delapan Puluh Dua</v>
      </c>
    </row>
    <row r="17573" spans="10:12">
      <c r="J17573" s="31">
        <v>83</v>
      </c>
      <c r="K17573" s="33" t="s">
        <v>159</v>
      </c>
      <c r="L17573" s="31" t="str">
        <f t="shared" si="1698"/>
        <v>Delapan Puluh Tiga</v>
      </c>
    </row>
    <row r="17574" spans="10:12">
      <c r="J17574" s="31">
        <v>84</v>
      </c>
      <c r="K17574" s="33" t="s">
        <v>160</v>
      </c>
      <c r="L17574" s="31" t="str">
        <f t="shared" si="1698"/>
        <v>Delapan Puluh Empat</v>
      </c>
    </row>
    <row r="17575" spans="10:12">
      <c r="J17575" s="31">
        <v>85</v>
      </c>
      <c r="K17575" s="33" t="s">
        <v>161</v>
      </c>
      <c r="L17575" s="31" t="str">
        <f t="shared" si="1698"/>
        <v>Delapan Puluh Lima</v>
      </c>
    </row>
    <row r="17576" spans="10:12">
      <c r="J17576" s="31">
        <v>86</v>
      </c>
      <c r="K17576" s="33" t="s">
        <v>162</v>
      </c>
      <c r="L17576" s="31" t="str">
        <f t="shared" si="1698"/>
        <v>Delapan Puluh Enam</v>
      </c>
    </row>
    <row r="17577" spans="10:12">
      <c r="J17577" s="31">
        <v>87</v>
      </c>
      <c r="K17577" s="33" t="s">
        <v>163</v>
      </c>
      <c r="L17577" s="31" t="str">
        <f t="shared" si="1698"/>
        <v>Delapan Puluh Tujuh</v>
      </c>
    </row>
    <row r="17578" spans="10:12">
      <c r="J17578" s="31">
        <v>88</v>
      </c>
      <c r="K17578" s="33" t="s">
        <v>164</v>
      </c>
      <c r="L17578" s="31" t="str">
        <f t="shared" si="1698"/>
        <v>Delapan Puluh Delapan</v>
      </c>
    </row>
    <row r="17579" spans="10:12">
      <c r="J17579" s="31">
        <v>89</v>
      </c>
      <c r="K17579" s="33" t="s">
        <v>165</v>
      </c>
      <c r="L17579" s="31" t="str">
        <f t="shared" si="1698"/>
        <v>Delapan Puluh Sembilan</v>
      </c>
    </row>
    <row r="17580" spans="10:12">
      <c r="J17580" s="31">
        <v>90</v>
      </c>
      <c r="K17580" s="33" t="s">
        <v>166</v>
      </c>
      <c r="L17580" s="31" t="s">
        <v>167</v>
      </c>
    </row>
    <row r="17581" spans="10:12">
      <c r="J17581" s="31">
        <v>91</v>
      </c>
      <c r="K17581" s="33" t="s">
        <v>168</v>
      </c>
      <c r="L17581" s="31" t="str">
        <f t="shared" ref="L17581:L17589" si="1699">$L$93&amp;" "&amp;L17491</f>
        <v>Sembilan Puluh Satu</v>
      </c>
    </row>
    <row r="17582" spans="10:12">
      <c r="J17582" s="31">
        <v>92</v>
      </c>
      <c r="K17582" s="33" t="s">
        <v>169</v>
      </c>
      <c r="L17582" s="31" t="str">
        <f t="shared" si="1699"/>
        <v>Sembilan Puluh Dua</v>
      </c>
    </row>
    <row r="17583" spans="10:12">
      <c r="J17583" s="31">
        <v>93</v>
      </c>
      <c r="K17583" s="33" t="s">
        <v>170</v>
      </c>
      <c r="L17583" s="31" t="str">
        <f t="shared" si="1699"/>
        <v>Sembilan Puluh Tiga</v>
      </c>
    </row>
    <row r="17584" spans="10:12">
      <c r="J17584" s="31">
        <v>94</v>
      </c>
      <c r="K17584" s="33" t="s">
        <v>171</v>
      </c>
      <c r="L17584" s="31" t="str">
        <f t="shared" si="1699"/>
        <v>Sembilan Puluh Empat</v>
      </c>
    </row>
    <row r="17585" spans="1:12">
      <c r="J17585" s="31">
        <v>95</v>
      </c>
      <c r="K17585" s="33" t="s">
        <v>172</v>
      </c>
      <c r="L17585" s="31" t="str">
        <f t="shared" si="1699"/>
        <v>Sembilan Puluh Lima</v>
      </c>
    </row>
    <row r="17586" spans="1:12">
      <c r="J17586" s="31">
        <v>96</v>
      </c>
      <c r="K17586" s="33" t="s">
        <v>173</v>
      </c>
      <c r="L17586" s="31" t="str">
        <f t="shared" si="1699"/>
        <v>Sembilan Puluh Enam</v>
      </c>
    </row>
    <row r="17587" spans="1:12">
      <c r="J17587" s="31">
        <v>97</v>
      </c>
      <c r="K17587" s="33" t="s">
        <v>174</v>
      </c>
      <c r="L17587" s="31" t="str">
        <f t="shared" si="1699"/>
        <v>Sembilan Puluh Tujuh</v>
      </c>
    </row>
    <row r="17588" spans="1:12">
      <c r="J17588" s="31">
        <v>98</v>
      </c>
      <c r="K17588" s="33" t="s">
        <v>175</v>
      </c>
      <c r="L17588" s="31" t="str">
        <f t="shared" si="1699"/>
        <v>Sembilan Puluh Delapan</v>
      </c>
    </row>
    <row r="17589" spans="1:12">
      <c r="J17589" s="31">
        <v>99</v>
      </c>
      <c r="K17589" s="33" t="s">
        <v>176</v>
      </c>
      <c r="L17589" s="31" t="str">
        <f t="shared" si="1699"/>
        <v>Sembilan Puluh Sembilan</v>
      </c>
    </row>
    <row r="17591" spans="1:12">
      <c r="A17591" s="30" t="e">
        <f>#REF!</f>
        <v>#REF!</v>
      </c>
      <c r="C17591" s="31" t="s">
        <v>415</v>
      </c>
    </row>
    <row r="17592" spans="1:12">
      <c r="A17592" s="32"/>
    </row>
    <row r="17593" spans="1:12">
      <c r="J17593" s="31">
        <v>0</v>
      </c>
      <c r="K17593" s="33" t="s">
        <v>48</v>
      </c>
      <c r="L17593" s="31" t="s">
        <v>49</v>
      </c>
    </row>
    <row r="17594" spans="1:12">
      <c r="A17594" s="34"/>
      <c r="J17594" s="31">
        <v>1</v>
      </c>
      <c r="K17594" s="33" t="s">
        <v>50</v>
      </c>
      <c r="L17594" s="31" t="s">
        <v>51</v>
      </c>
    </row>
    <row r="17595" spans="1:12">
      <c r="A17595" s="255" t="e">
        <f>TRIM(D17603&amp;E17603&amp;D17604&amp;E17604&amp;D17605&amp;E17605&amp;D17606&amp;E17606&amp;D17607&amp;E17607&amp;D17608&amp;E17608&amp;E17609&amp;D17609&amp;" Only")</f>
        <v>#REF!</v>
      </c>
      <c r="B17595" s="255"/>
      <c r="C17595" s="255"/>
      <c r="D17595" s="255"/>
      <c r="E17595" s="35"/>
      <c r="F17595" s="36"/>
      <c r="J17595" s="31">
        <v>2</v>
      </c>
      <c r="K17595" s="33" t="s">
        <v>52</v>
      </c>
      <c r="L17595" s="31" t="s">
        <v>53</v>
      </c>
    </row>
    <row r="17596" spans="1:12">
      <c r="A17596" s="134"/>
      <c r="B17596" s="134"/>
      <c r="C17596" s="134"/>
      <c r="D17596" s="134"/>
      <c r="E17596" s="35"/>
      <c r="F17596" s="36"/>
      <c r="J17596" s="31">
        <v>3</v>
      </c>
      <c r="K17596" s="33" t="s">
        <v>54</v>
      </c>
      <c r="L17596" s="31" t="s">
        <v>55</v>
      </c>
    </row>
    <row r="17597" spans="1:12">
      <c r="A17597" s="134"/>
      <c r="B17597" s="134"/>
      <c r="C17597" s="134"/>
      <c r="D17597" s="134"/>
      <c r="J17597" s="31">
        <v>4</v>
      </c>
      <c r="K17597" s="33" t="s">
        <v>56</v>
      </c>
      <c r="L17597" s="31" t="s">
        <v>57</v>
      </c>
    </row>
    <row r="17598" spans="1:12">
      <c r="A17598" s="255" t="e">
        <f>TRIM(D17613&amp;E17613&amp;D17614&amp;E17614&amp;D17615&amp;E17615&amp;D17616&amp;E17616&amp;D17617&amp;E17617&amp;D17618&amp;E17618&amp;D17619&amp;E17619&amp;" Rupiah")</f>
        <v>#REF!</v>
      </c>
      <c r="B17598" s="255"/>
      <c r="C17598" s="255"/>
      <c r="D17598" s="255"/>
      <c r="E17598" s="35"/>
      <c r="F17598" s="36"/>
      <c r="J17598" s="31">
        <v>5</v>
      </c>
      <c r="K17598" s="33" t="s">
        <v>58</v>
      </c>
      <c r="L17598" s="31" t="s">
        <v>59</v>
      </c>
    </row>
    <row r="17599" spans="1:12">
      <c r="A17599" s="35"/>
      <c r="B17599" s="35"/>
      <c r="C17599" s="35"/>
      <c r="D17599" s="35"/>
      <c r="E17599" s="35"/>
      <c r="F17599" s="36"/>
      <c r="J17599" s="31">
        <v>6</v>
      </c>
      <c r="K17599" s="33" t="s">
        <v>60</v>
      </c>
      <c r="L17599" s="31" t="s">
        <v>61</v>
      </c>
    </row>
    <row r="17600" spans="1:12">
      <c r="J17600" s="31">
        <v>7</v>
      </c>
      <c r="K17600" s="33" t="s">
        <v>62</v>
      </c>
      <c r="L17600" s="31" t="s">
        <v>63</v>
      </c>
    </row>
    <row r="17601" spans="1:12">
      <c r="J17601" s="31">
        <v>8</v>
      </c>
      <c r="K17601" s="33" t="s">
        <v>64</v>
      </c>
      <c r="L17601" s="31" t="s">
        <v>65</v>
      </c>
    </row>
    <row r="17602" spans="1:12">
      <c r="A17602" s="38" t="s">
        <v>66</v>
      </c>
      <c r="J17602" s="31">
        <v>9</v>
      </c>
      <c r="K17602" s="33" t="s">
        <v>67</v>
      </c>
      <c r="L17602" s="31" t="s">
        <v>68</v>
      </c>
    </row>
    <row r="17603" spans="1:12">
      <c r="A17603" s="31" t="s">
        <v>69</v>
      </c>
      <c r="B17603" s="39" t="e">
        <f>TRUNC(A17591/100000000)</f>
        <v>#REF!</v>
      </c>
      <c r="C17603" s="31" t="e">
        <f>B17603*100000000</f>
        <v>#REF!</v>
      </c>
      <c r="D17603" s="31" t="e">
        <f t="shared" ref="D17603:D17609" si="1700">IF(B17603&lt;1,"",VLOOKUP(B17603,$J$3:$K$102,2))</f>
        <v>#REF!</v>
      </c>
      <c r="E17603" s="31" t="e">
        <f>IF(B17603&lt;1,"",IF(B17603&gt;1," Hundreds "," Hundred "))</f>
        <v>#REF!</v>
      </c>
      <c r="J17603" s="31">
        <v>10</v>
      </c>
      <c r="K17603" s="33" t="s">
        <v>70</v>
      </c>
      <c r="L17603" s="31" t="s">
        <v>71</v>
      </c>
    </row>
    <row r="17604" spans="1:12">
      <c r="A17604" s="31" t="s">
        <v>72</v>
      </c>
      <c r="B17604" s="39" t="e">
        <f>TRUNC((A17591-C17603)/1000000)</f>
        <v>#REF!</v>
      </c>
      <c r="C17604" s="31" t="e">
        <f>B17604*1000000</f>
        <v>#REF!</v>
      </c>
      <c r="D17604" s="31" t="e">
        <f t="shared" si="1700"/>
        <v>#REF!</v>
      </c>
      <c r="E17604" s="31" t="e">
        <f>IF(B17603+B17604=0,"",IF(B17604=1," Million "," Millions "))</f>
        <v>#REF!</v>
      </c>
      <c r="J17604" s="31">
        <v>11</v>
      </c>
      <c r="K17604" s="33" t="s">
        <v>73</v>
      </c>
      <c r="L17604" s="31" t="s">
        <v>74</v>
      </c>
    </row>
    <row r="17605" spans="1:12">
      <c r="A17605" s="31" t="s">
        <v>75</v>
      </c>
      <c r="B17605" s="39" t="e">
        <f>TRUNC((A17591-SUM(C17603:C17604))/100000)</f>
        <v>#REF!</v>
      </c>
      <c r="C17605" s="31" t="e">
        <f>B17605*100000</f>
        <v>#REF!</v>
      </c>
      <c r="D17605" s="31" t="e">
        <f t="shared" si="1700"/>
        <v>#REF!</v>
      </c>
      <c r="E17605" s="31" t="e">
        <f>IF(B17605&lt;1,"",IF(B17605&gt;1," Hundreds "," Hundred "))</f>
        <v>#REF!</v>
      </c>
      <c r="J17605" s="31">
        <v>12</v>
      </c>
      <c r="K17605" s="33" t="s">
        <v>76</v>
      </c>
      <c r="L17605" s="31" t="str">
        <f t="shared" ref="L17605:L17612" si="1701">L17595&amp;" Belas"</f>
        <v>Dua Belas</v>
      </c>
    </row>
    <row r="17606" spans="1:12">
      <c r="A17606" s="33" t="s">
        <v>77</v>
      </c>
      <c r="B17606" s="40" t="e">
        <f>TRUNC((A17591-SUM(C17603:C17605))/1000)</f>
        <v>#REF!</v>
      </c>
      <c r="C17606" s="31" t="e">
        <f>B17606*1000</f>
        <v>#REF!</v>
      </c>
      <c r="D17606" s="31" t="e">
        <f t="shared" si="1700"/>
        <v>#REF!</v>
      </c>
      <c r="E17606" s="31" t="e">
        <f>IF(B17605+B17606=0,"",IF(B17606=1," Thousand "," Thousands "))</f>
        <v>#REF!</v>
      </c>
      <c r="J17606" s="31">
        <v>13</v>
      </c>
      <c r="K17606" s="33" t="s">
        <v>78</v>
      </c>
      <c r="L17606" s="31" t="str">
        <f t="shared" si="1701"/>
        <v>Tiga Belas</v>
      </c>
    </row>
    <row r="17607" spans="1:12">
      <c r="A17607" s="33" t="s">
        <v>79</v>
      </c>
      <c r="B17607" s="40" t="e">
        <f>TRUNC((A17591-SUM(C17603:C17606))/100)</f>
        <v>#REF!</v>
      </c>
      <c r="C17607" s="31" t="e">
        <f>B17607*100</f>
        <v>#REF!</v>
      </c>
      <c r="D17607" s="31" t="e">
        <f t="shared" si="1700"/>
        <v>#REF!</v>
      </c>
      <c r="E17607" s="31" t="e">
        <f>IF(B17607&lt;1,"",IF(B17607&gt;1," Hundreds "," Hundred "))</f>
        <v>#REF!</v>
      </c>
      <c r="J17607" s="31">
        <v>14</v>
      </c>
      <c r="K17607" s="33" t="s">
        <v>80</v>
      </c>
      <c r="L17607" s="31" t="str">
        <f t="shared" si="1701"/>
        <v>Empat Belas</v>
      </c>
    </row>
    <row r="17608" spans="1:12">
      <c r="A17608" s="33" t="s">
        <v>81</v>
      </c>
      <c r="B17608" s="41" t="e">
        <f>TRUNC((A17591-SUM(C17603:C17607)))</f>
        <v>#REF!</v>
      </c>
      <c r="C17608" s="42" t="e">
        <f>B17608</f>
        <v>#REF!</v>
      </c>
      <c r="D17608" s="31" t="e">
        <f t="shared" si="1700"/>
        <v>#REF!</v>
      </c>
      <c r="E17608" s="31" t="e">
        <f>IF(SUM(C17603:C17608)&lt;1,"",IF(B17609&lt;1,""," And "))</f>
        <v>#REF!</v>
      </c>
      <c r="J17608" s="31">
        <v>15</v>
      </c>
      <c r="K17608" s="33" t="s">
        <v>82</v>
      </c>
      <c r="L17608" s="31" t="str">
        <f t="shared" si="1701"/>
        <v>Lima Belas</v>
      </c>
    </row>
    <row r="17609" spans="1:12">
      <c r="A17609" s="33" t="s">
        <v>83</v>
      </c>
      <c r="B17609" s="40" t="e">
        <f>ROUND(A17591-SUM(C17603:C17608),2)*100</f>
        <v>#REF!</v>
      </c>
      <c r="D17609" s="43" t="e">
        <f t="shared" si="1700"/>
        <v>#REF!</v>
      </c>
      <c r="E17609" s="31" t="e">
        <f>IF(B17609&lt;1,"",IF(B17609=1," Cent "," Cents "))</f>
        <v>#REF!</v>
      </c>
      <c r="J17609" s="31">
        <v>16</v>
      </c>
      <c r="K17609" s="33" t="s">
        <v>84</v>
      </c>
      <c r="L17609" s="31" t="str">
        <f t="shared" si="1701"/>
        <v>Enam Belas</v>
      </c>
    </row>
    <row r="17610" spans="1:12">
      <c r="J17610" s="31">
        <v>17</v>
      </c>
      <c r="K17610" s="33" t="s">
        <v>85</v>
      </c>
      <c r="L17610" s="31" t="str">
        <f t="shared" si="1701"/>
        <v>Tujuh Belas</v>
      </c>
    </row>
    <row r="17611" spans="1:12">
      <c r="A17611" s="44"/>
      <c r="J17611" s="31">
        <v>18</v>
      </c>
      <c r="K17611" s="33" t="s">
        <v>86</v>
      </c>
      <c r="L17611" s="31" t="str">
        <f t="shared" si="1701"/>
        <v>Delapan Belas</v>
      </c>
    </row>
    <row r="17612" spans="1:12">
      <c r="A17612" s="38" t="s">
        <v>87</v>
      </c>
      <c r="J17612" s="31">
        <v>19</v>
      </c>
      <c r="K17612" s="33" t="s">
        <v>88</v>
      </c>
      <c r="L17612" s="31" t="str">
        <f t="shared" si="1701"/>
        <v>Sembilan Belas</v>
      </c>
    </row>
    <row r="17613" spans="1:12">
      <c r="A17613" s="31" t="s">
        <v>69</v>
      </c>
      <c r="B17613" s="39" t="e">
        <f>TRUNC(A17591/100000000)</f>
        <v>#REF!</v>
      </c>
      <c r="C17613" s="31" t="e">
        <f>B17613*100000000</f>
        <v>#REF!</v>
      </c>
      <c r="D17613" s="31" t="e">
        <f>IF(B17613&lt;1,"",IF(B17613=1,"",VLOOKUP(B17613,$J$3:$L$102,3)))</f>
        <v>#REF!</v>
      </c>
      <c r="E17613" s="31" t="e">
        <f>IF(B17613&lt;1,"",IF(B17613=1,"Seratus "," Ratus "))</f>
        <v>#REF!</v>
      </c>
      <c r="J17613" s="31">
        <v>20</v>
      </c>
      <c r="K17613" s="33" t="s">
        <v>89</v>
      </c>
      <c r="L17613" s="31" t="s">
        <v>90</v>
      </c>
    </row>
    <row r="17614" spans="1:12">
      <c r="A17614" s="31" t="s">
        <v>72</v>
      </c>
      <c r="B17614" s="39" t="e">
        <f>TRUNC((A17591-C17613)/1000000)</f>
        <v>#REF!</v>
      </c>
      <c r="C17614" s="31" t="e">
        <f>B17614*1000000</f>
        <v>#REF!</v>
      </c>
      <c r="D17614" s="31" t="e">
        <f>IF(B17614&lt;1,"",VLOOKUP(B17614,$J$3:$L$102,3))</f>
        <v>#REF!</v>
      </c>
      <c r="E17614" s="31" t="e">
        <f>IF(B17613+B17614=0,""," Juta ")</f>
        <v>#REF!</v>
      </c>
      <c r="J17614" s="31">
        <v>21</v>
      </c>
      <c r="K17614" s="33" t="s">
        <v>91</v>
      </c>
      <c r="L17614" s="31" t="str">
        <f t="shared" ref="L17614:L17622" si="1702">$L$23&amp;" "&amp;L17594</f>
        <v>Dua Puluh Satu</v>
      </c>
    </row>
    <row r="17615" spans="1:12">
      <c r="A17615" s="31" t="s">
        <v>75</v>
      </c>
      <c r="B17615" s="39" t="e">
        <f>TRUNC((A17591-SUM(C17613:C17614))/100000)</f>
        <v>#REF!</v>
      </c>
      <c r="C17615" s="31" t="e">
        <f>B17615*100000</f>
        <v>#REF!</v>
      </c>
      <c r="D17615" s="31" t="e">
        <f>IF(B17615&lt;1,"",IF(B17615=1,"",VLOOKUP(B17615,$J$3:$L$102,3)))</f>
        <v>#REF!</v>
      </c>
      <c r="E17615" s="31" t="e">
        <f>IF(B17615&lt;1,"",IF(B17615=1," Seratus "," Ratus "))</f>
        <v>#REF!</v>
      </c>
      <c r="J17615" s="31">
        <v>22</v>
      </c>
      <c r="K17615" s="33" t="s">
        <v>92</v>
      </c>
      <c r="L17615" s="31" t="str">
        <f t="shared" si="1702"/>
        <v>Dua Puluh Dua</v>
      </c>
    </row>
    <row r="17616" spans="1:12">
      <c r="A17616" s="33" t="s">
        <v>77</v>
      </c>
      <c r="B17616" s="40" t="e">
        <f>TRUNC((A17591-SUM(C17613:C17615))/1000)</f>
        <v>#REF!</v>
      </c>
      <c r="C17616" s="31" t="e">
        <f>B17616*1000</f>
        <v>#REF!</v>
      </c>
      <c r="D17616" s="31" t="e">
        <f>IF(B17616&lt;1,"",IF(B17616=1,"",VLOOKUP(B17616,$J$3:$L$102,3)))</f>
        <v>#REF!</v>
      </c>
      <c r="E17616" s="31" t="e">
        <f>IF(B17615+B17616&lt;1,"",IF(B17616=1," Seribu "," Ribu "))</f>
        <v>#REF!</v>
      </c>
      <c r="J17616" s="31">
        <v>23</v>
      </c>
      <c r="K17616" s="33" t="s">
        <v>93</v>
      </c>
      <c r="L17616" s="31" t="str">
        <f t="shared" si="1702"/>
        <v>Dua Puluh Tiga</v>
      </c>
    </row>
    <row r="17617" spans="1:12">
      <c r="A17617" s="33" t="s">
        <v>79</v>
      </c>
      <c r="B17617" s="40" t="e">
        <f>TRUNC((A17591-SUM(C17613:C17616))/100)</f>
        <v>#REF!</v>
      </c>
      <c r="C17617" s="31" t="e">
        <f>B17617*100</f>
        <v>#REF!</v>
      </c>
      <c r="D17617" s="31" t="e">
        <f>IF(B17617&lt;1,"",IF(B17617=1,"",VLOOKUP(B17617,$J$3:$L$102,3)))</f>
        <v>#REF!</v>
      </c>
      <c r="E17617" s="31" t="e">
        <f>IF(B17617&lt;1,"",IF(B17617=1," Seratus "," Ratus "))</f>
        <v>#REF!</v>
      </c>
      <c r="J17617" s="31">
        <v>24</v>
      </c>
      <c r="K17617" s="33" t="s">
        <v>94</v>
      </c>
      <c r="L17617" s="31" t="str">
        <f t="shared" si="1702"/>
        <v>Dua Puluh Empat</v>
      </c>
    </row>
    <row r="17618" spans="1:12">
      <c r="A17618" s="33" t="s">
        <v>81</v>
      </c>
      <c r="B17618" s="41" t="e">
        <f>TRUNC((A17591-SUM(C17613:C17617)))</f>
        <v>#REF!</v>
      </c>
      <c r="C17618" s="42" t="e">
        <f>B17618</f>
        <v>#REF!</v>
      </c>
      <c r="D17618" s="31" t="e">
        <f>IF(B17618&lt;1,"",VLOOKUP(B17618,$J$3:$L$102,3))</f>
        <v>#REF!</v>
      </c>
      <c r="E17618" s="31" t="e">
        <f>IF(SUM(C17613:C17618)&lt;1,"",IF(B17619&lt;1,""," Dan "))</f>
        <v>#REF!</v>
      </c>
      <c r="J17618" s="31">
        <v>25</v>
      </c>
      <c r="K17618" s="33" t="s">
        <v>95</v>
      </c>
      <c r="L17618" s="31" t="str">
        <f t="shared" si="1702"/>
        <v>Dua Puluh Lima</v>
      </c>
    </row>
    <row r="17619" spans="1:12">
      <c r="A17619" s="33" t="s">
        <v>83</v>
      </c>
      <c r="B17619" s="40" t="e">
        <f>ROUND(A17591-SUM(C17613:C17618),2)*100</f>
        <v>#REF!</v>
      </c>
      <c r="D17619" s="31" t="e">
        <f>IF(B17619&lt;1,"",VLOOKUP(B17619,$J$3:$L$102,3))</f>
        <v>#REF!</v>
      </c>
      <c r="E17619" s="31" t="e">
        <f>IF(B17619&lt;1,""," Sen ")</f>
        <v>#REF!</v>
      </c>
      <c r="J17619" s="31">
        <v>26</v>
      </c>
      <c r="K17619" s="33" t="s">
        <v>96</v>
      </c>
      <c r="L17619" s="31" t="str">
        <f t="shared" si="1702"/>
        <v>Dua Puluh Enam</v>
      </c>
    </row>
    <row r="17620" spans="1:12">
      <c r="J17620" s="31">
        <v>27</v>
      </c>
      <c r="K17620" s="33" t="s">
        <v>97</v>
      </c>
      <c r="L17620" s="31" t="str">
        <f t="shared" si="1702"/>
        <v>Dua Puluh Tujuh</v>
      </c>
    </row>
    <row r="17621" spans="1:12">
      <c r="J17621" s="31">
        <v>28</v>
      </c>
      <c r="K17621" s="33" t="s">
        <v>98</v>
      </c>
      <c r="L17621" s="31" t="str">
        <f t="shared" si="1702"/>
        <v>Dua Puluh Delapan</v>
      </c>
    </row>
    <row r="17622" spans="1:12">
      <c r="J17622" s="31">
        <v>29</v>
      </c>
      <c r="K17622" s="33" t="s">
        <v>99</v>
      </c>
      <c r="L17622" s="31" t="str">
        <f t="shared" si="1702"/>
        <v>Dua Puluh Sembilan</v>
      </c>
    </row>
    <row r="17623" spans="1:12">
      <c r="J17623" s="31">
        <v>30</v>
      </c>
      <c r="K17623" s="33" t="s">
        <v>100</v>
      </c>
      <c r="L17623" s="31" t="s">
        <v>101</v>
      </c>
    </row>
    <row r="17624" spans="1:12">
      <c r="J17624" s="31">
        <v>31</v>
      </c>
      <c r="K17624" s="33" t="s">
        <v>102</v>
      </c>
      <c r="L17624" s="31" t="str">
        <f t="shared" ref="L17624:L17632" si="1703">$L$33&amp;" "&amp;L17594</f>
        <v>Tiga Puluh Satu</v>
      </c>
    </row>
    <row r="17625" spans="1:12">
      <c r="J17625" s="31">
        <v>32</v>
      </c>
      <c r="K17625" s="33" t="s">
        <v>103</v>
      </c>
      <c r="L17625" s="31" t="str">
        <f t="shared" si="1703"/>
        <v>Tiga Puluh Dua</v>
      </c>
    </row>
    <row r="17626" spans="1:12">
      <c r="J17626" s="31">
        <v>33</v>
      </c>
      <c r="K17626" s="33" t="s">
        <v>104</v>
      </c>
      <c r="L17626" s="31" t="str">
        <f t="shared" si="1703"/>
        <v>Tiga Puluh Tiga</v>
      </c>
    </row>
    <row r="17627" spans="1:12">
      <c r="J17627" s="31">
        <v>34</v>
      </c>
      <c r="K17627" s="33" t="s">
        <v>105</v>
      </c>
      <c r="L17627" s="31" t="str">
        <f t="shared" si="1703"/>
        <v>Tiga Puluh Empat</v>
      </c>
    </row>
    <row r="17628" spans="1:12">
      <c r="J17628" s="31">
        <v>35</v>
      </c>
      <c r="K17628" s="33" t="s">
        <v>106</v>
      </c>
      <c r="L17628" s="31" t="str">
        <f t="shared" si="1703"/>
        <v>Tiga Puluh Lima</v>
      </c>
    </row>
    <row r="17629" spans="1:12">
      <c r="J17629" s="31">
        <v>36</v>
      </c>
      <c r="K17629" s="33" t="s">
        <v>107</v>
      </c>
      <c r="L17629" s="31" t="str">
        <f t="shared" si="1703"/>
        <v>Tiga Puluh Enam</v>
      </c>
    </row>
    <row r="17630" spans="1:12">
      <c r="J17630" s="31">
        <v>37</v>
      </c>
      <c r="K17630" s="33" t="s">
        <v>108</v>
      </c>
      <c r="L17630" s="31" t="str">
        <f t="shared" si="1703"/>
        <v>Tiga Puluh Tujuh</v>
      </c>
    </row>
    <row r="17631" spans="1:12">
      <c r="J17631" s="31">
        <v>38</v>
      </c>
      <c r="K17631" s="33" t="s">
        <v>109</v>
      </c>
      <c r="L17631" s="31" t="str">
        <f t="shared" si="1703"/>
        <v>Tiga Puluh Delapan</v>
      </c>
    </row>
    <row r="17632" spans="1:12">
      <c r="J17632" s="31">
        <v>39</v>
      </c>
      <c r="K17632" s="33" t="s">
        <v>110</v>
      </c>
      <c r="L17632" s="31" t="str">
        <f t="shared" si="1703"/>
        <v>Tiga Puluh Sembilan</v>
      </c>
    </row>
    <row r="17633" spans="1:12">
      <c r="B17633" s="35"/>
      <c r="C17633" s="35"/>
      <c r="D17633" s="35"/>
      <c r="J17633" s="31">
        <v>40</v>
      </c>
      <c r="K17633" s="33" t="s">
        <v>111</v>
      </c>
      <c r="L17633" s="31" t="s">
        <v>112</v>
      </c>
    </row>
    <row r="17634" spans="1:12">
      <c r="A17634" s="35"/>
      <c r="B17634" s="35"/>
      <c r="C17634" s="35"/>
      <c r="D17634" s="35"/>
      <c r="J17634" s="31">
        <v>41</v>
      </c>
      <c r="K17634" s="33" t="s">
        <v>113</v>
      </c>
      <c r="L17634" s="31" t="str">
        <f t="shared" ref="L17634:L17642" si="1704">$L$43&amp;" "&amp;L17594</f>
        <v>Empat Puluh Satu</v>
      </c>
    </row>
    <row r="17635" spans="1:12">
      <c r="J17635" s="31">
        <v>42</v>
      </c>
      <c r="K17635" s="33" t="s">
        <v>114</v>
      </c>
      <c r="L17635" s="31" t="str">
        <f t="shared" si="1704"/>
        <v>Empat Puluh Dua</v>
      </c>
    </row>
    <row r="17636" spans="1:12">
      <c r="A17636" s="38"/>
      <c r="J17636" s="31">
        <v>43</v>
      </c>
      <c r="K17636" s="33" t="s">
        <v>115</v>
      </c>
      <c r="L17636" s="31" t="str">
        <f t="shared" si="1704"/>
        <v>Empat Puluh Tiga</v>
      </c>
    </row>
    <row r="17637" spans="1:12">
      <c r="J17637" s="31">
        <v>44</v>
      </c>
      <c r="K17637" s="33" t="s">
        <v>116</v>
      </c>
      <c r="L17637" s="31" t="str">
        <f t="shared" si="1704"/>
        <v>Empat Puluh Empat</v>
      </c>
    </row>
    <row r="17638" spans="1:12">
      <c r="J17638" s="31">
        <v>45</v>
      </c>
      <c r="K17638" s="33" t="s">
        <v>117</v>
      </c>
      <c r="L17638" s="31" t="str">
        <f t="shared" si="1704"/>
        <v>Empat Puluh Lima</v>
      </c>
    </row>
    <row r="17639" spans="1:12">
      <c r="J17639" s="31">
        <v>46</v>
      </c>
      <c r="K17639" s="33" t="s">
        <v>118</v>
      </c>
      <c r="L17639" s="31" t="str">
        <f t="shared" si="1704"/>
        <v>Empat Puluh Enam</v>
      </c>
    </row>
    <row r="17640" spans="1:12">
      <c r="J17640" s="31">
        <v>47</v>
      </c>
      <c r="K17640" s="33" t="s">
        <v>119</v>
      </c>
      <c r="L17640" s="31" t="str">
        <f t="shared" si="1704"/>
        <v>Empat Puluh Tujuh</v>
      </c>
    </row>
    <row r="17641" spans="1:12">
      <c r="J17641" s="31">
        <v>48</v>
      </c>
      <c r="K17641" s="33" t="s">
        <v>120</v>
      </c>
      <c r="L17641" s="31" t="str">
        <f t="shared" si="1704"/>
        <v>Empat Puluh Delapan</v>
      </c>
    </row>
    <row r="17642" spans="1:12">
      <c r="J17642" s="31">
        <v>49</v>
      </c>
      <c r="K17642" s="33" t="s">
        <v>121</v>
      </c>
      <c r="L17642" s="31" t="str">
        <f t="shared" si="1704"/>
        <v>Empat Puluh Sembilan</v>
      </c>
    </row>
    <row r="17643" spans="1:12">
      <c r="J17643" s="31">
        <v>50</v>
      </c>
      <c r="K17643" s="33" t="s">
        <v>122</v>
      </c>
      <c r="L17643" s="31" t="s">
        <v>123</v>
      </c>
    </row>
    <row r="17644" spans="1:12">
      <c r="J17644" s="31">
        <v>51</v>
      </c>
      <c r="K17644" s="33" t="s">
        <v>124</v>
      </c>
      <c r="L17644" s="31" t="str">
        <f t="shared" ref="L17644:L17652" si="1705">$L$53&amp;" "&amp;L17594</f>
        <v>Lima Puluh Satu</v>
      </c>
    </row>
    <row r="17645" spans="1:12">
      <c r="J17645" s="31">
        <v>52</v>
      </c>
      <c r="K17645" s="33" t="s">
        <v>125</v>
      </c>
      <c r="L17645" s="31" t="str">
        <f t="shared" si="1705"/>
        <v>Lima Puluh Dua</v>
      </c>
    </row>
    <row r="17646" spans="1:12">
      <c r="J17646" s="31">
        <v>53</v>
      </c>
      <c r="K17646" s="33" t="s">
        <v>126</v>
      </c>
      <c r="L17646" s="31" t="str">
        <f t="shared" si="1705"/>
        <v>Lima Puluh Tiga</v>
      </c>
    </row>
    <row r="17647" spans="1:12">
      <c r="J17647" s="31">
        <v>54</v>
      </c>
      <c r="K17647" s="33" t="s">
        <v>127</v>
      </c>
      <c r="L17647" s="31" t="str">
        <f t="shared" si="1705"/>
        <v>Lima Puluh Empat</v>
      </c>
    </row>
    <row r="17648" spans="1:12">
      <c r="J17648" s="31">
        <v>55</v>
      </c>
      <c r="K17648" s="33" t="s">
        <v>128</v>
      </c>
      <c r="L17648" s="31" t="str">
        <f t="shared" si="1705"/>
        <v>Lima Puluh Lima</v>
      </c>
    </row>
    <row r="17649" spans="10:12">
      <c r="J17649" s="31">
        <v>56</v>
      </c>
      <c r="K17649" s="33" t="s">
        <v>129</v>
      </c>
      <c r="L17649" s="31" t="str">
        <f t="shared" si="1705"/>
        <v>Lima Puluh Enam</v>
      </c>
    </row>
    <row r="17650" spans="10:12">
      <c r="J17650" s="31">
        <v>57</v>
      </c>
      <c r="K17650" s="33" t="s">
        <v>130</v>
      </c>
      <c r="L17650" s="31" t="str">
        <f t="shared" si="1705"/>
        <v>Lima Puluh Tujuh</v>
      </c>
    </row>
    <row r="17651" spans="10:12">
      <c r="J17651" s="31">
        <v>58</v>
      </c>
      <c r="K17651" s="33" t="s">
        <v>131</v>
      </c>
      <c r="L17651" s="31" t="str">
        <f t="shared" si="1705"/>
        <v>Lima Puluh Delapan</v>
      </c>
    </row>
    <row r="17652" spans="10:12">
      <c r="J17652" s="31">
        <v>59</v>
      </c>
      <c r="K17652" s="33" t="s">
        <v>132</v>
      </c>
      <c r="L17652" s="31" t="str">
        <f t="shared" si="1705"/>
        <v>Lima Puluh Sembilan</v>
      </c>
    </row>
    <row r="17653" spans="10:12">
      <c r="J17653" s="31">
        <v>60</v>
      </c>
      <c r="K17653" s="33" t="s">
        <v>133</v>
      </c>
      <c r="L17653" s="31" t="s">
        <v>134</v>
      </c>
    </row>
    <row r="17654" spans="10:12">
      <c r="J17654" s="31">
        <v>61</v>
      </c>
      <c r="K17654" s="33" t="s">
        <v>135</v>
      </c>
      <c r="L17654" s="31" t="str">
        <f t="shared" ref="L17654:L17662" si="1706">$L$63&amp;" "&amp;L17594</f>
        <v>Enam Puluh Satu</v>
      </c>
    </row>
    <row r="17655" spans="10:12">
      <c r="J17655" s="31">
        <v>62</v>
      </c>
      <c r="K17655" s="33" t="s">
        <v>136</v>
      </c>
      <c r="L17655" s="31" t="str">
        <f t="shared" si="1706"/>
        <v>Enam Puluh Dua</v>
      </c>
    </row>
    <row r="17656" spans="10:12">
      <c r="J17656" s="31">
        <v>63</v>
      </c>
      <c r="K17656" s="33" t="s">
        <v>137</v>
      </c>
      <c r="L17656" s="31" t="str">
        <f t="shared" si="1706"/>
        <v>Enam Puluh Tiga</v>
      </c>
    </row>
    <row r="17657" spans="10:12">
      <c r="J17657" s="31">
        <v>64</v>
      </c>
      <c r="K17657" s="33" t="s">
        <v>138</v>
      </c>
      <c r="L17657" s="31" t="str">
        <f t="shared" si="1706"/>
        <v>Enam Puluh Empat</v>
      </c>
    </row>
    <row r="17658" spans="10:12">
      <c r="J17658" s="31">
        <v>65</v>
      </c>
      <c r="K17658" s="33" t="s">
        <v>139</v>
      </c>
      <c r="L17658" s="31" t="str">
        <f t="shared" si="1706"/>
        <v>Enam Puluh Lima</v>
      </c>
    </row>
    <row r="17659" spans="10:12">
      <c r="J17659" s="31">
        <v>66</v>
      </c>
      <c r="K17659" s="33" t="s">
        <v>140</v>
      </c>
      <c r="L17659" s="31" t="str">
        <f t="shared" si="1706"/>
        <v>Enam Puluh Enam</v>
      </c>
    </row>
    <row r="17660" spans="10:12">
      <c r="J17660" s="31">
        <v>67</v>
      </c>
      <c r="K17660" s="33" t="s">
        <v>141</v>
      </c>
      <c r="L17660" s="31" t="str">
        <f t="shared" si="1706"/>
        <v>Enam Puluh Tujuh</v>
      </c>
    </row>
    <row r="17661" spans="10:12">
      <c r="J17661" s="31">
        <v>68</v>
      </c>
      <c r="K17661" s="33" t="s">
        <v>142</v>
      </c>
      <c r="L17661" s="31" t="str">
        <f t="shared" si="1706"/>
        <v>Enam Puluh Delapan</v>
      </c>
    </row>
    <row r="17662" spans="10:12">
      <c r="J17662" s="31">
        <v>69</v>
      </c>
      <c r="K17662" s="33" t="s">
        <v>143</v>
      </c>
      <c r="L17662" s="31" t="str">
        <f t="shared" si="1706"/>
        <v>Enam Puluh Sembilan</v>
      </c>
    </row>
    <row r="17663" spans="10:12">
      <c r="J17663" s="31">
        <v>70</v>
      </c>
      <c r="K17663" s="33" t="s">
        <v>144</v>
      </c>
      <c r="L17663" s="31" t="s">
        <v>145</v>
      </c>
    </row>
    <row r="17664" spans="10:12">
      <c r="J17664" s="31">
        <v>71</v>
      </c>
      <c r="K17664" s="33" t="s">
        <v>146</v>
      </c>
      <c r="L17664" s="31" t="str">
        <f t="shared" ref="L17664:L17672" si="1707">$L$73&amp;" "&amp;L17594</f>
        <v>Tujuh Puluh Satu</v>
      </c>
    </row>
    <row r="17665" spans="10:12">
      <c r="J17665" s="31">
        <v>72</v>
      </c>
      <c r="K17665" s="33" t="s">
        <v>147</v>
      </c>
      <c r="L17665" s="31" t="str">
        <f t="shared" si="1707"/>
        <v>Tujuh Puluh Dua</v>
      </c>
    </row>
    <row r="17666" spans="10:12">
      <c r="J17666" s="31">
        <v>73</v>
      </c>
      <c r="K17666" s="33" t="s">
        <v>148</v>
      </c>
      <c r="L17666" s="31" t="str">
        <f t="shared" si="1707"/>
        <v>Tujuh Puluh Tiga</v>
      </c>
    </row>
    <row r="17667" spans="10:12">
      <c r="J17667" s="31">
        <v>74</v>
      </c>
      <c r="K17667" s="33" t="s">
        <v>149</v>
      </c>
      <c r="L17667" s="31" t="str">
        <f t="shared" si="1707"/>
        <v>Tujuh Puluh Empat</v>
      </c>
    </row>
    <row r="17668" spans="10:12">
      <c r="J17668" s="31">
        <v>75</v>
      </c>
      <c r="K17668" s="33" t="s">
        <v>150</v>
      </c>
      <c r="L17668" s="31" t="str">
        <f t="shared" si="1707"/>
        <v>Tujuh Puluh Lima</v>
      </c>
    </row>
    <row r="17669" spans="10:12">
      <c r="J17669" s="31">
        <v>76</v>
      </c>
      <c r="K17669" s="33" t="s">
        <v>151</v>
      </c>
      <c r="L17669" s="31" t="str">
        <f t="shared" si="1707"/>
        <v>Tujuh Puluh Enam</v>
      </c>
    </row>
    <row r="17670" spans="10:12">
      <c r="J17670" s="31">
        <v>77</v>
      </c>
      <c r="K17670" s="33" t="s">
        <v>152</v>
      </c>
      <c r="L17670" s="31" t="str">
        <f t="shared" si="1707"/>
        <v>Tujuh Puluh Tujuh</v>
      </c>
    </row>
    <row r="17671" spans="10:12">
      <c r="J17671" s="31">
        <v>78</v>
      </c>
      <c r="K17671" s="33" t="s">
        <v>153</v>
      </c>
      <c r="L17671" s="31" t="str">
        <f t="shared" si="1707"/>
        <v>Tujuh Puluh Delapan</v>
      </c>
    </row>
    <row r="17672" spans="10:12">
      <c r="J17672" s="31">
        <v>79</v>
      </c>
      <c r="K17672" s="33" t="s">
        <v>154</v>
      </c>
      <c r="L17672" s="31" t="str">
        <f t="shared" si="1707"/>
        <v>Tujuh Puluh Sembilan</v>
      </c>
    </row>
    <row r="17673" spans="10:12">
      <c r="J17673" s="31">
        <v>80</v>
      </c>
      <c r="K17673" s="33" t="s">
        <v>155</v>
      </c>
      <c r="L17673" s="31" t="s">
        <v>156</v>
      </c>
    </row>
    <row r="17674" spans="10:12">
      <c r="J17674" s="31">
        <v>81</v>
      </c>
      <c r="K17674" s="33" t="s">
        <v>157</v>
      </c>
      <c r="L17674" s="31" t="str">
        <f t="shared" ref="L17674:L17682" si="1708">$L$83&amp;" "&amp;L17594</f>
        <v>Delapan Puluh Satu</v>
      </c>
    </row>
    <row r="17675" spans="10:12">
      <c r="J17675" s="31">
        <v>82</v>
      </c>
      <c r="K17675" s="33" t="s">
        <v>158</v>
      </c>
      <c r="L17675" s="31" t="str">
        <f t="shared" si="1708"/>
        <v>Delapan Puluh Dua</v>
      </c>
    </row>
    <row r="17676" spans="10:12">
      <c r="J17676" s="31">
        <v>83</v>
      </c>
      <c r="K17676" s="33" t="s">
        <v>159</v>
      </c>
      <c r="L17676" s="31" t="str">
        <f t="shared" si="1708"/>
        <v>Delapan Puluh Tiga</v>
      </c>
    </row>
    <row r="17677" spans="10:12">
      <c r="J17677" s="31">
        <v>84</v>
      </c>
      <c r="K17677" s="33" t="s">
        <v>160</v>
      </c>
      <c r="L17677" s="31" t="str">
        <f t="shared" si="1708"/>
        <v>Delapan Puluh Empat</v>
      </c>
    </row>
    <row r="17678" spans="10:12">
      <c r="J17678" s="31">
        <v>85</v>
      </c>
      <c r="K17678" s="33" t="s">
        <v>161</v>
      </c>
      <c r="L17678" s="31" t="str">
        <f t="shared" si="1708"/>
        <v>Delapan Puluh Lima</v>
      </c>
    </row>
    <row r="17679" spans="10:12">
      <c r="J17679" s="31">
        <v>86</v>
      </c>
      <c r="K17679" s="33" t="s">
        <v>162</v>
      </c>
      <c r="L17679" s="31" t="str">
        <f t="shared" si="1708"/>
        <v>Delapan Puluh Enam</v>
      </c>
    </row>
    <row r="17680" spans="10:12">
      <c r="J17680" s="31">
        <v>87</v>
      </c>
      <c r="K17680" s="33" t="s">
        <v>163</v>
      </c>
      <c r="L17680" s="31" t="str">
        <f t="shared" si="1708"/>
        <v>Delapan Puluh Tujuh</v>
      </c>
    </row>
    <row r="17681" spans="1:12">
      <c r="J17681" s="31">
        <v>88</v>
      </c>
      <c r="K17681" s="33" t="s">
        <v>164</v>
      </c>
      <c r="L17681" s="31" t="str">
        <f t="shared" si="1708"/>
        <v>Delapan Puluh Delapan</v>
      </c>
    </row>
    <row r="17682" spans="1:12">
      <c r="J17682" s="31">
        <v>89</v>
      </c>
      <c r="K17682" s="33" t="s">
        <v>165</v>
      </c>
      <c r="L17682" s="31" t="str">
        <f t="shared" si="1708"/>
        <v>Delapan Puluh Sembilan</v>
      </c>
    </row>
    <row r="17683" spans="1:12">
      <c r="J17683" s="31">
        <v>90</v>
      </c>
      <c r="K17683" s="33" t="s">
        <v>166</v>
      </c>
      <c r="L17683" s="31" t="s">
        <v>167</v>
      </c>
    </row>
    <row r="17684" spans="1:12">
      <c r="J17684" s="31">
        <v>91</v>
      </c>
      <c r="K17684" s="33" t="s">
        <v>168</v>
      </c>
      <c r="L17684" s="31" t="str">
        <f t="shared" ref="L17684:L17692" si="1709">$L$93&amp;" "&amp;L17594</f>
        <v>Sembilan Puluh Satu</v>
      </c>
    </row>
    <row r="17685" spans="1:12">
      <c r="J17685" s="31">
        <v>92</v>
      </c>
      <c r="K17685" s="33" t="s">
        <v>169</v>
      </c>
      <c r="L17685" s="31" t="str">
        <f t="shared" si="1709"/>
        <v>Sembilan Puluh Dua</v>
      </c>
    </row>
    <row r="17686" spans="1:12">
      <c r="J17686" s="31">
        <v>93</v>
      </c>
      <c r="K17686" s="33" t="s">
        <v>170</v>
      </c>
      <c r="L17686" s="31" t="str">
        <f t="shared" si="1709"/>
        <v>Sembilan Puluh Tiga</v>
      </c>
    </row>
    <row r="17687" spans="1:12">
      <c r="J17687" s="31">
        <v>94</v>
      </c>
      <c r="K17687" s="33" t="s">
        <v>171</v>
      </c>
      <c r="L17687" s="31" t="str">
        <f t="shared" si="1709"/>
        <v>Sembilan Puluh Empat</v>
      </c>
    </row>
    <row r="17688" spans="1:12">
      <c r="J17688" s="31">
        <v>95</v>
      </c>
      <c r="K17688" s="33" t="s">
        <v>172</v>
      </c>
      <c r="L17688" s="31" t="str">
        <f t="shared" si="1709"/>
        <v>Sembilan Puluh Lima</v>
      </c>
    </row>
    <row r="17689" spans="1:12">
      <c r="J17689" s="31">
        <v>96</v>
      </c>
      <c r="K17689" s="33" t="s">
        <v>173</v>
      </c>
      <c r="L17689" s="31" t="str">
        <f t="shared" si="1709"/>
        <v>Sembilan Puluh Enam</v>
      </c>
    </row>
    <row r="17690" spans="1:12">
      <c r="J17690" s="31">
        <v>97</v>
      </c>
      <c r="K17690" s="33" t="s">
        <v>174</v>
      </c>
      <c r="L17690" s="31" t="str">
        <f t="shared" si="1709"/>
        <v>Sembilan Puluh Tujuh</v>
      </c>
    </row>
    <row r="17691" spans="1:12">
      <c r="J17691" s="31">
        <v>98</v>
      </c>
      <c r="K17691" s="33" t="s">
        <v>175</v>
      </c>
      <c r="L17691" s="31" t="str">
        <f t="shared" si="1709"/>
        <v>Sembilan Puluh Delapan</v>
      </c>
    </row>
    <row r="17692" spans="1:12">
      <c r="J17692" s="31">
        <v>99</v>
      </c>
      <c r="K17692" s="33" t="s">
        <v>176</v>
      </c>
      <c r="L17692" s="31" t="str">
        <f t="shared" si="1709"/>
        <v>Sembilan Puluh Sembilan</v>
      </c>
    </row>
    <row r="17693" spans="1:12">
      <c r="A17693" s="30" t="e">
        <f>#REF!</f>
        <v>#REF!</v>
      </c>
      <c r="C17693" s="31" t="s">
        <v>410</v>
      </c>
    </row>
    <row r="17694" spans="1:12">
      <c r="A17694" s="32"/>
    </row>
    <row r="17695" spans="1:12">
      <c r="J17695" s="31">
        <v>0</v>
      </c>
      <c r="K17695" s="33" t="s">
        <v>48</v>
      </c>
      <c r="L17695" s="31" t="s">
        <v>49</v>
      </c>
    </row>
    <row r="17696" spans="1:12">
      <c r="A17696" s="34"/>
      <c r="J17696" s="31">
        <v>1</v>
      </c>
      <c r="K17696" s="33" t="s">
        <v>50</v>
      </c>
      <c r="L17696" s="31" t="s">
        <v>51</v>
      </c>
    </row>
    <row r="17697" spans="1:12">
      <c r="A17697" s="255" t="e">
        <f>TRIM(D17705&amp;E17705&amp;D17706&amp;E17706&amp;D17707&amp;E17707&amp;D17708&amp;E17708&amp;D17709&amp;E17709&amp;D17710&amp;E17710&amp;E17711&amp;D17711&amp;" Only")</f>
        <v>#REF!</v>
      </c>
      <c r="B17697" s="255"/>
      <c r="C17697" s="255"/>
      <c r="D17697" s="255"/>
      <c r="E17697" s="35"/>
      <c r="F17697" s="36"/>
      <c r="J17697" s="31">
        <v>2</v>
      </c>
      <c r="K17697" s="33" t="s">
        <v>52</v>
      </c>
      <c r="L17697" s="31" t="s">
        <v>53</v>
      </c>
    </row>
    <row r="17698" spans="1:12">
      <c r="A17698" s="133"/>
      <c r="B17698" s="133"/>
      <c r="C17698" s="133"/>
      <c r="D17698" s="133"/>
      <c r="E17698" s="35"/>
      <c r="F17698" s="36"/>
      <c r="J17698" s="31">
        <v>3</v>
      </c>
      <c r="K17698" s="33" t="s">
        <v>54</v>
      </c>
      <c r="L17698" s="31" t="s">
        <v>55</v>
      </c>
    </row>
    <row r="17699" spans="1:12">
      <c r="A17699" s="133"/>
      <c r="B17699" s="133"/>
      <c r="C17699" s="133"/>
      <c r="D17699" s="133"/>
      <c r="J17699" s="31">
        <v>4</v>
      </c>
      <c r="K17699" s="33" t="s">
        <v>56</v>
      </c>
      <c r="L17699" s="31" t="s">
        <v>57</v>
      </c>
    </row>
    <row r="17700" spans="1:12">
      <c r="A17700" s="255" t="e">
        <f>TRIM(D17715&amp;E17715&amp;D17716&amp;E17716&amp;D17717&amp;E17717&amp;D17718&amp;E17718&amp;D17719&amp;E17719&amp;D17720&amp;E17720&amp;D17721&amp;E17721&amp;" Rupiah")</f>
        <v>#REF!</v>
      </c>
      <c r="B17700" s="255"/>
      <c r="C17700" s="255"/>
      <c r="D17700" s="255"/>
      <c r="E17700" s="35"/>
      <c r="F17700" s="36"/>
      <c r="J17700" s="31">
        <v>5</v>
      </c>
      <c r="K17700" s="33" t="s">
        <v>58</v>
      </c>
      <c r="L17700" s="31" t="s">
        <v>59</v>
      </c>
    </row>
    <row r="17701" spans="1:12">
      <c r="A17701" s="35"/>
      <c r="B17701" s="35"/>
      <c r="C17701" s="35"/>
      <c r="D17701" s="35"/>
      <c r="E17701" s="35"/>
      <c r="F17701" s="36"/>
      <c r="J17701" s="31">
        <v>6</v>
      </c>
      <c r="K17701" s="33" t="s">
        <v>60</v>
      </c>
      <c r="L17701" s="31" t="s">
        <v>61</v>
      </c>
    </row>
    <row r="17702" spans="1:12">
      <c r="J17702" s="31">
        <v>7</v>
      </c>
      <c r="K17702" s="33" t="s">
        <v>62</v>
      </c>
      <c r="L17702" s="31" t="s">
        <v>63</v>
      </c>
    </row>
    <row r="17703" spans="1:12">
      <c r="J17703" s="31">
        <v>8</v>
      </c>
      <c r="K17703" s="33" t="s">
        <v>64</v>
      </c>
      <c r="L17703" s="31" t="s">
        <v>65</v>
      </c>
    </row>
    <row r="17704" spans="1:12">
      <c r="A17704" s="38" t="s">
        <v>66</v>
      </c>
      <c r="J17704" s="31">
        <v>9</v>
      </c>
      <c r="K17704" s="33" t="s">
        <v>67</v>
      </c>
      <c r="L17704" s="31" t="s">
        <v>68</v>
      </c>
    </row>
    <row r="17705" spans="1:12">
      <c r="A17705" s="31" t="s">
        <v>69</v>
      </c>
      <c r="B17705" s="39" t="e">
        <f>TRUNC(A17693/100000000)</f>
        <v>#REF!</v>
      </c>
      <c r="C17705" s="31" t="e">
        <f>B17705*100000000</f>
        <v>#REF!</v>
      </c>
      <c r="D17705" s="31" t="e">
        <f t="shared" ref="D17705:D17711" si="1710">IF(B17705&lt;1,"",VLOOKUP(B17705,$J$3:$K$102,2))</f>
        <v>#REF!</v>
      </c>
      <c r="E17705" s="31" t="e">
        <f>IF(B17705&lt;1,"",IF(B17705&gt;1," Hundreds "," Hundred "))</f>
        <v>#REF!</v>
      </c>
      <c r="J17705" s="31">
        <v>10</v>
      </c>
      <c r="K17705" s="33" t="s">
        <v>70</v>
      </c>
      <c r="L17705" s="31" t="s">
        <v>71</v>
      </c>
    </row>
    <row r="17706" spans="1:12">
      <c r="A17706" s="31" t="s">
        <v>72</v>
      </c>
      <c r="B17706" s="39" t="e">
        <f>TRUNC((A17693-C17705)/1000000)</f>
        <v>#REF!</v>
      </c>
      <c r="C17706" s="31" t="e">
        <f>B17706*1000000</f>
        <v>#REF!</v>
      </c>
      <c r="D17706" s="31" t="e">
        <f t="shared" si="1710"/>
        <v>#REF!</v>
      </c>
      <c r="E17706" s="31" t="e">
        <f>IF(B17705+B17706=0,"",IF(B17706=1," Million "," Millions "))</f>
        <v>#REF!</v>
      </c>
      <c r="J17706" s="31">
        <v>11</v>
      </c>
      <c r="K17706" s="33" t="s">
        <v>73</v>
      </c>
      <c r="L17706" s="31" t="s">
        <v>74</v>
      </c>
    </row>
    <row r="17707" spans="1:12">
      <c r="A17707" s="31" t="s">
        <v>75</v>
      </c>
      <c r="B17707" s="39" t="e">
        <f>TRUNC((A17693-SUM(C17705:C17706))/100000)</f>
        <v>#REF!</v>
      </c>
      <c r="C17707" s="31" t="e">
        <f>B17707*100000</f>
        <v>#REF!</v>
      </c>
      <c r="D17707" s="31" t="e">
        <f t="shared" si="1710"/>
        <v>#REF!</v>
      </c>
      <c r="E17707" s="31" t="e">
        <f>IF(B17707&lt;1,"",IF(B17707&gt;1," Hundreds "," Hundred "))</f>
        <v>#REF!</v>
      </c>
      <c r="J17707" s="31">
        <v>12</v>
      </c>
      <c r="K17707" s="33" t="s">
        <v>76</v>
      </c>
      <c r="L17707" s="31" t="str">
        <f t="shared" ref="L17707:L17714" si="1711">L17697&amp;" Belas"</f>
        <v>Dua Belas</v>
      </c>
    </row>
    <row r="17708" spans="1:12">
      <c r="A17708" s="33" t="s">
        <v>77</v>
      </c>
      <c r="B17708" s="40" t="e">
        <f>TRUNC((A17693-SUM(C17705:C17707))/1000)</f>
        <v>#REF!</v>
      </c>
      <c r="C17708" s="31" t="e">
        <f>B17708*1000</f>
        <v>#REF!</v>
      </c>
      <c r="D17708" s="31" t="e">
        <f t="shared" si="1710"/>
        <v>#REF!</v>
      </c>
      <c r="E17708" s="31" t="e">
        <f>IF(B17707+B17708=0,"",IF(B17708=1," Thousand "," Thousands "))</f>
        <v>#REF!</v>
      </c>
      <c r="J17708" s="31">
        <v>13</v>
      </c>
      <c r="K17708" s="33" t="s">
        <v>78</v>
      </c>
      <c r="L17708" s="31" t="str">
        <f t="shared" si="1711"/>
        <v>Tiga Belas</v>
      </c>
    </row>
    <row r="17709" spans="1:12">
      <c r="A17709" s="33" t="s">
        <v>79</v>
      </c>
      <c r="B17709" s="40" t="e">
        <f>TRUNC((A17693-SUM(C17705:C17708))/100)</f>
        <v>#REF!</v>
      </c>
      <c r="C17709" s="31" t="e">
        <f>B17709*100</f>
        <v>#REF!</v>
      </c>
      <c r="D17709" s="31" t="e">
        <f t="shared" si="1710"/>
        <v>#REF!</v>
      </c>
      <c r="E17709" s="31" t="e">
        <f>IF(B17709&lt;1,"",IF(B17709&gt;1," Hundreds "," Hundred "))</f>
        <v>#REF!</v>
      </c>
      <c r="J17709" s="31">
        <v>14</v>
      </c>
      <c r="K17709" s="33" t="s">
        <v>80</v>
      </c>
      <c r="L17709" s="31" t="str">
        <f t="shared" si="1711"/>
        <v>Empat Belas</v>
      </c>
    </row>
    <row r="17710" spans="1:12">
      <c r="A17710" s="33" t="s">
        <v>81</v>
      </c>
      <c r="B17710" s="41" t="e">
        <f>TRUNC((A17693-SUM(C17705:C17709)))</f>
        <v>#REF!</v>
      </c>
      <c r="C17710" s="42" t="e">
        <f>B17710</f>
        <v>#REF!</v>
      </c>
      <c r="D17710" s="31" t="e">
        <f t="shared" si="1710"/>
        <v>#REF!</v>
      </c>
      <c r="E17710" s="31" t="e">
        <f>IF(SUM(C17705:C17710)&lt;1,"",IF(B17711&lt;1,""," And "))</f>
        <v>#REF!</v>
      </c>
      <c r="J17710" s="31">
        <v>15</v>
      </c>
      <c r="K17710" s="33" t="s">
        <v>82</v>
      </c>
      <c r="L17710" s="31" t="str">
        <f t="shared" si="1711"/>
        <v>Lima Belas</v>
      </c>
    </row>
    <row r="17711" spans="1:12">
      <c r="A17711" s="33" t="s">
        <v>83</v>
      </c>
      <c r="B17711" s="40" t="e">
        <f>ROUND(A17693-SUM(C17705:C17710),2)*100</f>
        <v>#REF!</v>
      </c>
      <c r="D17711" s="43" t="e">
        <f t="shared" si="1710"/>
        <v>#REF!</v>
      </c>
      <c r="E17711" s="31" t="e">
        <f>IF(B17711&lt;1,"",IF(B17711=1," Cent "," Cents "))</f>
        <v>#REF!</v>
      </c>
      <c r="J17711" s="31">
        <v>16</v>
      </c>
      <c r="K17711" s="33" t="s">
        <v>84</v>
      </c>
      <c r="L17711" s="31" t="str">
        <f t="shared" si="1711"/>
        <v>Enam Belas</v>
      </c>
    </row>
    <row r="17712" spans="1:12">
      <c r="J17712" s="31">
        <v>17</v>
      </c>
      <c r="K17712" s="33" t="s">
        <v>85</v>
      </c>
      <c r="L17712" s="31" t="str">
        <f t="shared" si="1711"/>
        <v>Tujuh Belas</v>
      </c>
    </row>
    <row r="17713" spans="1:12">
      <c r="A17713" s="44"/>
      <c r="J17713" s="31">
        <v>18</v>
      </c>
      <c r="K17713" s="33" t="s">
        <v>86</v>
      </c>
      <c r="L17713" s="31" t="str">
        <f t="shared" si="1711"/>
        <v>Delapan Belas</v>
      </c>
    </row>
    <row r="17714" spans="1:12">
      <c r="A17714" s="38" t="s">
        <v>87</v>
      </c>
      <c r="J17714" s="31">
        <v>19</v>
      </c>
      <c r="K17714" s="33" t="s">
        <v>88</v>
      </c>
      <c r="L17714" s="31" t="str">
        <f t="shared" si="1711"/>
        <v>Sembilan Belas</v>
      </c>
    </row>
    <row r="17715" spans="1:12">
      <c r="A17715" s="31" t="s">
        <v>69</v>
      </c>
      <c r="B17715" s="39" t="e">
        <f>TRUNC(A17693/100000000)</f>
        <v>#REF!</v>
      </c>
      <c r="C17715" s="31" t="e">
        <f>B17715*100000000</f>
        <v>#REF!</v>
      </c>
      <c r="D17715" s="31" t="e">
        <f>IF(B17715&lt;1,"",IF(B17715=1,"",VLOOKUP(B17715,$J$3:$L$102,3)))</f>
        <v>#REF!</v>
      </c>
      <c r="E17715" s="31" t="e">
        <f>IF(B17715&lt;1,"",IF(B17715=1,"Seratus "," Ratus "))</f>
        <v>#REF!</v>
      </c>
      <c r="J17715" s="31">
        <v>20</v>
      </c>
      <c r="K17715" s="33" t="s">
        <v>89</v>
      </c>
      <c r="L17715" s="31" t="s">
        <v>90</v>
      </c>
    </row>
    <row r="17716" spans="1:12">
      <c r="A17716" s="31" t="s">
        <v>72</v>
      </c>
      <c r="B17716" s="39" t="e">
        <f>TRUNC((A17693-C17715)/1000000)</f>
        <v>#REF!</v>
      </c>
      <c r="C17716" s="31" t="e">
        <f>B17716*1000000</f>
        <v>#REF!</v>
      </c>
      <c r="D17716" s="31" t="e">
        <f>IF(B17716&lt;1,"",VLOOKUP(B17716,$J$3:$L$102,3))</f>
        <v>#REF!</v>
      </c>
      <c r="E17716" s="31" t="e">
        <f>IF(B17715+B17716=0,""," Juta ")</f>
        <v>#REF!</v>
      </c>
      <c r="J17716" s="31">
        <v>21</v>
      </c>
      <c r="K17716" s="33" t="s">
        <v>91</v>
      </c>
      <c r="L17716" s="31" t="str">
        <f t="shared" ref="L17716:L17724" si="1712">$L$23&amp;" "&amp;L17696</f>
        <v>Dua Puluh Satu</v>
      </c>
    </row>
    <row r="17717" spans="1:12">
      <c r="A17717" s="31" t="s">
        <v>75</v>
      </c>
      <c r="B17717" s="39" t="e">
        <f>TRUNC((A17693-SUM(C17715:C17716))/100000)</f>
        <v>#REF!</v>
      </c>
      <c r="C17717" s="31" t="e">
        <f>B17717*100000</f>
        <v>#REF!</v>
      </c>
      <c r="D17717" s="31" t="e">
        <f>IF(B17717&lt;1,"",IF(B17717=1,"",VLOOKUP(B17717,$J$3:$L$102,3)))</f>
        <v>#REF!</v>
      </c>
      <c r="E17717" s="31" t="e">
        <f>IF(B17717&lt;1,"",IF(B17717=1," Seratus "," Ratus "))</f>
        <v>#REF!</v>
      </c>
      <c r="J17717" s="31">
        <v>22</v>
      </c>
      <c r="K17717" s="33" t="s">
        <v>92</v>
      </c>
      <c r="L17717" s="31" t="str">
        <f t="shared" si="1712"/>
        <v>Dua Puluh Dua</v>
      </c>
    </row>
    <row r="17718" spans="1:12">
      <c r="A17718" s="33" t="s">
        <v>77</v>
      </c>
      <c r="B17718" s="40" t="e">
        <f>TRUNC((A17693-SUM(C17715:C17717))/1000)</f>
        <v>#REF!</v>
      </c>
      <c r="C17718" s="31" t="e">
        <f>B17718*1000</f>
        <v>#REF!</v>
      </c>
      <c r="D17718" s="31" t="e">
        <f>IF(B17718&lt;1,"",IF(B17718=1,"",VLOOKUP(B17718,$J$3:$L$102,3)))</f>
        <v>#REF!</v>
      </c>
      <c r="E17718" s="31" t="e">
        <f>IF(B17717+B17718&lt;1,"",IF(B17718=1," Seribu "," Ribu "))</f>
        <v>#REF!</v>
      </c>
      <c r="J17718" s="31">
        <v>23</v>
      </c>
      <c r="K17718" s="33" t="s">
        <v>93</v>
      </c>
      <c r="L17718" s="31" t="str">
        <f t="shared" si="1712"/>
        <v>Dua Puluh Tiga</v>
      </c>
    </row>
    <row r="17719" spans="1:12">
      <c r="A17719" s="33" t="s">
        <v>79</v>
      </c>
      <c r="B17719" s="40" t="e">
        <f>TRUNC((A17693-SUM(C17715:C17718))/100)</f>
        <v>#REF!</v>
      </c>
      <c r="C17719" s="31" t="e">
        <f>B17719*100</f>
        <v>#REF!</v>
      </c>
      <c r="D17719" s="31" t="e">
        <f>IF(B17719&lt;1,"",IF(B17719=1,"",VLOOKUP(B17719,$J$3:$L$102,3)))</f>
        <v>#REF!</v>
      </c>
      <c r="E17719" s="31" t="e">
        <f>IF(B17719&lt;1,"",IF(B17719=1," Seratus "," Ratus "))</f>
        <v>#REF!</v>
      </c>
      <c r="J17719" s="31">
        <v>24</v>
      </c>
      <c r="K17719" s="33" t="s">
        <v>94</v>
      </c>
      <c r="L17719" s="31" t="str">
        <f t="shared" si="1712"/>
        <v>Dua Puluh Empat</v>
      </c>
    </row>
    <row r="17720" spans="1:12">
      <c r="A17720" s="33" t="s">
        <v>81</v>
      </c>
      <c r="B17720" s="41" t="e">
        <f>TRUNC((A17693-SUM(C17715:C17719)))</f>
        <v>#REF!</v>
      </c>
      <c r="C17720" s="42" t="e">
        <f>B17720</f>
        <v>#REF!</v>
      </c>
      <c r="D17720" s="31" t="e">
        <f>IF(B17720&lt;1,"",VLOOKUP(B17720,$J$3:$L$102,3))</f>
        <v>#REF!</v>
      </c>
      <c r="E17720" s="31" t="e">
        <f>IF(SUM(C17715:C17720)&lt;1,"",IF(B17721&lt;1,""," Dan "))</f>
        <v>#REF!</v>
      </c>
      <c r="J17720" s="31">
        <v>25</v>
      </c>
      <c r="K17720" s="33" t="s">
        <v>95</v>
      </c>
      <c r="L17720" s="31" t="str">
        <f t="shared" si="1712"/>
        <v>Dua Puluh Lima</v>
      </c>
    </row>
    <row r="17721" spans="1:12">
      <c r="A17721" s="33" t="s">
        <v>83</v>
      </c>
      <c r="B17721" s="40" t="e">
        <f>ROUND(A17693-SUM(C17715:C17720),2)*100</f>
        <v>#REF!</v>
      </c>
      <c r="D17721" s="31" t="e">
        <f>IF(B17721&lt;1,"",VLOOKUP(B17721,$J$3:$L$102,3))</f>
        <v>#REF!</v>
      </c>
      <c r="E17721" s="31" t="e">
        <f>IF(B17721&lt;1,""," Sen ")</f>
        <v>#REF!</v>
      </c>
      <c r="J17721" s="31">
        <v>26</v>
      </c>
      <c r="K17721" s="33" t="s">
        <v>96</v>
      </c>
      <c r="L17721" s="31" t="str">
        <f t="shared" si="1712"/>
        <v>Dua Puluh Enam</v>
      </c>
    </row>
    <row r="17722" spans="1:12">
      <c r="J17722" s="31">
        <v>27</v>
      </c>
      <c r="K17722" s="33" t="s">
        <v>97</v>
      </c>
      <c r="L17722" s="31" t="str">
        <f t="shared" si="1712"/>
        <v>Dua Puluh Tujuh</v>
      </c>
    </row>
    <row r="17723" spans="1:12">
      <c r="J17723" s="31">
        <v>28</v>
      </c>
      <c r="K17723" s="33" t="s">
        <v>98</v>
      </c>
      <c r="L17723" s="31" t="str">
        <f t="shared" si="1712"/>
        <v>Dua Puluh Delapan</v>
      </c>
    </row>
    <row r="17724" spans="1:12">
      <c r="J17724" s="31">
        <v>29</v>
      </c>
      <c r="K17724" s="33" t="s">
        <v>99</v>
      </c>
      <c r="L17724" s="31" t="str">
        <f t="shared" si="1712"/>
        <v>Dua Puluh Sembilan</v>
      </c>
    </row>
    <row r="17725" spans="1:12">
      <c r="J17725" s="31">
        <v>30</v>
      </c>
      <c r="K17725" s="33" t="s">
        <v>100</v>
      </c>
      <c r="L17725" s="31" t="s">
        <v>101</v>
      </c>
    </row>
    <row r="17726" spans="1:12">
      <c r="J17726" s="31">
        <v>31</v>
      </c>
      <c r="K17726" s="33" t="s">
        <v>102</v>
      </c>
      <c r="L17726" s="31" t="str">
        <f t="shared" ref="L17726:L17734" si="1713">$L$33&amp;" "&amp;L17696</f>
        <v>Tiga Puluh Satu</v>
      </c>
    </row>
    <row r="17727" spans="1:12">
      <c r="J17727" s="31">
        <v>32</v>
      </c>
      <c r="K17727" s="33" t="s">
        <v>103</v>
      </c>
      <c r="L17727" s="31" t="str">
        <f t="shared" si="1713"/>
        <v>Tiga Puluh Dua</v>
      </c>
    </row>
    <row r="17728" spans="1:12">
      <c r="J17728" s="31">
        <v>33</v>
      </c>
      <c r="K17728" s="33" t="s">
        <v>104</v>
      </c>
      <c r="L17728" s="31" t="str">
        <f t="shared" si="1713"/>
        <v>Tiga Puluh Tiga</v>
      </c>
    </row>
    <row r="17729" spans="1:12">
      <c r="J17729" s="31">
        <v>34</v>
      </c>
      <c r="K17729" s="33" t="s">
        <v>105</v>
      </c>
      <c r="L17729" s="31" t="str">
        <f t="shared" si="1713"/>
        <v>Tiga Puluh Empat</v>
      </c>
    </row>
    <row r="17730" spans="1:12">
      <c r="J17730" s="31">
        <v>35</v>
      </c>
      <c r="K17730" s="33" t="s">
        <v>106</v>
      </c>
      <c r="L17730" s="31" t="str">
        <f t="shared" si="1713"/>
        <v>Tiga Puluh Lima</v>
      </c>
    </row>
    <row r="17731" spans="1:12">
      <c r="J17731" s="31">
        <v>36</v>
      </c>
      <c r="K17731" s="33" t="s">
        <v>107</v>
      </c>
      <c r="L17731" s="31" t="str">
        <f t="shared" si="1713"/>
        <v>Tiga Puluh Enam</v>
      </c>
    </row>
    <row r="17732" spans="1:12">
      <c r="J17732" s="31">
        <v>37</v>
      </c>
      <c r="K17732" s="33" t="s">
        <v>108</v>
      </c>
      <c r="L17732" s="31" t="str">
        <f t="shared" si="1713"/>
        <v>Tiga Puluh Tujuh</v>
      </c>
    </row>
    <row r="17733" spans="1:12">
      <c r="J17733" s="31">
        <v>38</v>
      </c>
      <c r="K17733" s="33" t="s">
        <v>109</v>
      </c>
      <c r="L17733" s="31" t="str">
        <f t="shared" si="1713"/>
        <v>Tiga Puluh Delapan</v>
      </c>
    </row>
    <row r="17734" spans="1:12">
      <c r="J17734" s="31">
        <v>39</v>
      </c>
      <c r="K17734" s="33" t="s">
        <v>110</v>
      </c>
      <c r="L17734" s="31" t="str">
        <f t="shared" si="1713"/>
        <v>Tiga Puluh Sembilan</v>
      </c>
    </row>
    <row r="17735" spans="1:12">
      <c r="B17735" s="35"/>
      <c r="C17735" s="35"/>
      <c r="D17735" s="35"/>
      <c r="J17735" s="31">
        <v>40</v>
      </c>
      <c r="K17735" s="33" t="s">
        <v>111</v>
      </c>
      <c r="L17735" s="31" t="s">
        <v>112</v>
      </c>
    </row>
    <row r="17736" spans="1:12">
      <c r="A17736" s="35"/>
      <c r="B17736" s="35"/>
      <c r="C17736" s="35"/>
      <c r="D17736" s="35"/>
      <c r="J17736" s="31">
        <v>41</v>
      </c>
      <c r="K17736" s="33" t="s">
        <v>113</v>
      </c>
      <c r="L17736" s="31" t="str">
        <f t="shared" ref="L17736:L17744" si="1714">$L$43&amp;" "&amp;L17696</f>
        <v>Empat Puluh Satu</v>
      </c>
    </row>
    <row r="17737" spans="1:12">
      <c r="J17737" s="31">
        <v>42</v>
      </c>
      <c r="K17737" s="33" t="s">
        <v>114</v>
      </c>
      <c r="L17737" s="31" t="str">
        <f t="shared" si="1714"/>
        <v>Empat Puluh Dua</v>
      </c>
    </row>
    <row r="17738" spans="1:12">
      <c r="A17738" s="38"/>
      <c r="J17738" s="31">
        <v>43</v>
      </c>
      <c r="K17738" s="33" t="s">
        <v>115</v>
      </c>
      <c r="L17738" s="31" t="str">
        <f t="shared" si="1714"/>
        <v>Empat Puluh Tiga</v>
      </c>
    </row>
    <row r="17739" spans="1:12">
      <c r="J17739" s="31">
        <v>44</v>
      </c>
      <c r="K17739" s="33" t="s">
        <v>116</v>
      </c>
      <c r="L17739" s="31" t="str">
        <f t="shared" si="1714"/>
        <v>Empat Puluh Empat</v>
      </c>
    </row>
    <row r="17740" spans="1:12">
      <c r="J17740" s="31">
        <v>45</v>
      </c>
      <c r="K17740" s="33" t="s">
        <v>117</v>
      </c>
      <c r="L17740" s="31" t="str">
        <f t="shared" si="1714"/>
        <v>Empat Puluh Lima</v>
      </c>
    </row>
    <row r="17741" spans="1:12">
      <c r="J17741" s="31">
        <v>46</v>
      </c>
      <c r="K17741" s="33" t="s">
        <v>118</v>
      </c>
      <c r="L17741" s="31" t="str">
        <f t="shared" si="1714"/>
        <v>Empat Puluh Enam</v>
      </c>
    </row>
    <row r="17742" spans="1:12">
      <c r="J17742" s="31">
        <v>47</v>
      </c>
      <c r="K17742" s="33" t="s">
        <v>119</v>
      </c>
      <c r="L17742" s="31" t="str">
        <f t="shared" si="1714"/>
        <v>Empat Puluh Tujuh</v>
      </c>
    </row>
    <row r="17743" spans="1:12">
      <c r="J17743" s="31">
        <v>48</v>
      </c>
      <c r="K17743" s="33" t="s">
        <v>120</v>
      </c>
      <c r="L17743" s="31" t="str">
        <f t="shared" si="1714"/>
        <v>Empat Puluh Delapan</v>
      </c>
    </row>
    <row r="17744" spans="1:12">
      <c r="J17744" s="31">
        <v>49</v>
      </c>
      <c r="K17744" s="33" t="s">
        <v>121</v>
      </c>
      <c r="L17744" s="31" t="str">
        <f t="shared" si="1714"/>
        <v>Empat Puluh Sembilan</v>
      </c>
    </row>
    <row r="17745" spans="10:12">
      <c r="J17745" s="31">
        <v>50</v>
      </c>
      <c r="K17745" s="33" t="s">
        <v>122</v>
      </c>
      <c r="L17745" s="31" t="s">
        <v>123</v>
      </c>
    </row>
    <row r="17746" spans="10:12">
      <c r="J17746" s="31">
        <v>51</v>
      </c>
      <c r="K17746" s="33" t="s">
        <v>124</v>
      </c>
      <c r="L17746" s="31" t="str">
        <f t="shared" ref="L17746:L17754" si="1715">$L$53&amp;" "&amp;L17696</f>
        <v>Lima Puluh Satu</v>
      </c>
    </row>
    <row r="17747" spans="10:12">
      <c r="J17747" s="31">
        <v>52</v>
      </c>
      <c r="K17747" s="33" t="s">
        <v>125</v>
      </c>
      <c r="L17747" s="31" t="str">
        <f t="shared" si="1715"/>
        <v>Lima Puluh Dua</v>
      </c>
    </row>
    <row r="17748" spans="10:12">
      <c r="J17748" s="31">
        <v>53</v>
      </c>
      <c r="K17748" s="33" t="s">
        <v>126</v>
      </c>
      <c r="L17748" s="31" t="str">
        <f t="shared" si="1715"/>
        <v>Lima Puluh Tiga</v>
      </c>
    </row>
    <row r="17749" spans="10:12">
      <c r="J17749" s="31">
        <v>54</v>
      </c>
      <c r="K17749" s="33" t="s">
        <v>127</v>
      </c>
      <c r="L17749" s="31" t="str">
        <f t="shared" si="1715"/>
        <v>Lima Puluh Empat</v>
      </c>
    </row>
    <row r="17750" spans="10:12">
      <c r="J17750" s="31">
        <v>55</v>
      </c>
      <c r="K17750" s="33" t="s">
        <v>128</v>
      </c>
      <c r="L17750" s="31" t="str">
        <f t="shared" si="1715"/>
        <v>Lima Puluh Lima</v>
      </c>
    </row>
    <row r="17751" spans="10:12">
      <c r="J17751" s="31">
        <v>56</v>
      </c>
      <c r="K17751" s="33" t="s">
        <v>129</v>
      </c>
      <c r="L17751" s="31" t="str">
        <f t="shared" si="1715"/>
        <v>Lima Puluh Enam</v>
      </c>
    </row>
    <row r="17752" spans="10:12">
      <c r="J17752" s="31">
        <v>57</v>
      </c>
      <c r="K17752" s="33" t="s">
        <v>130</v>
      </c>
      <c r="L17752" s="31" t="str">
        <f t="shared" si="1715"/>
        <v>Lima Puluh Tujuh</v>
      </c>
    </row>
    <row r="17753" spans="10:12">
      <c r="J17753" s="31">
        <v>58</v>
      </c>
      <c r="K17753" s="33" t="s">
        <v>131</v>
      </c>
      <c r="L17753" s="31" t="str">
        <f t="shared" si="1715"/>
        <v>Lima Puluh Delapan</v>
      </c>
    </row>
    <row r="17754" spans="10:12">
      <c r="J17754" s="31">
        <v>59</v>
      </c>
      <c r="K17754" s="33" t="s">
        <v>132</v>
      </c>
      <c r="L17754" s="31" t="str">
        <f t="shared" si="1715"/>
        <v>Lima Puluh Sembilan</v>
      </c>
    </row>
    <row r="17755" spans="10:12">
      <c r="J17755" s="31">
        <v>60</v>
      </c>
      <c r="K17755" s="33" t="s">
        <v>133</v>
      </c>
      <c r="L17755" s="31" t="s">
        <v>134</v>
      </c>
    </row>
    <row r="17756" spans="10:12">
      <c r="J17756" s="31">
        <v>61</v>
      </c>
      <c r="K17756" s="33" t="s">
        <v>135</v>
      </c>
      <c r="L17756" s="31" t="str">
        <f t="shared" ref="L17756:L17764" si="1716">$L$63&amp;" "&amp;L17696</f>
        <v>Enam Puluh Satu</v>
      </c>
    </row>
    <row r="17757" spans="10:12">
      <c r="J17757" s="31">
        <v>62</v>
      </c>
      <c r="K17757" s="33" t="s">
        <v>136</v>
      </c>
      <c r="L17757" s="31" t="str">
        <f t="shared" si="1716"/>
        <v>Enam Puluh Dua</v>
      </c>
    </row>
    <row r="17758" spans="10:12">
      <c r="J17758" s="31">
        <v>63</v>
      </c>
      <c r="K17758" s="33" t="s">
        <v>137</v>
      </c>
      <c r="L17758" s="31" t="str">
        <f t="shared" si="1716"/>
        <v>Enam Puluh Tiga</v>
      </c>
    </row>
    <row r="17759" spans="10:12">
      <c r="J17759" s="31">
        <v>64</v>
      </c>
      <c r="K17759" s="33" t="s">
        <v>138</v>
      </c>
      <c r="L17759" s="31" t="str">
        <f t="shared" si="1716"/>
        <v>Enam Puluh Empat</v>
      </c>
    </row>
    <row r="17760" spans="10:12">
      <c r="J17760" s="31">
        <v>65</v>
      </c>
      <c r="K17760" s="33" t="s">
        <v>139</v>
      </c>
      <c r="L17760" s="31" t="str">
        <f t="shared" si="1716"/>
        <v>Enam Puluh Lima</v>
      </c>
    </row>
    <row r="17761" spans="10:12">
      <c r="J17761" s="31">
        <v>66</v>
      </c>
      <c r="K17761" s="33" t="s">
        <v>140</v>
      </c>
      <c r="L17761" s="31" t="str">
        <f t="shared" si="1716"/>
        <v>Enam Puluh Enam</v>
      </c>
    </row>
    <row r="17762" spans="10:12">
      <c r="J17762" s="31">
        <v>67</v>
      </c>
      <c r="K17762" s="33" t="s">
        <v>141</v>
      </c>
      <c r="L17762" s="31" t="str">
        <f t="shared" si="1716"/>
        <v>Enam Puluh Tujuh</v>
      </c>
    </row>
    <row r="17763" spans="10:12">
      <c r="J17763" s="31">
        <v>68</v>
      </c>
      <c r="K17763" s="33" t="s">
        <v>142</v>
      </c>
      <c r="L17763" s="31" t="str">
        <f t="shared" si="1716"/>
        <v>Enam Puluh Delapan</v>
      </c>
    </row>
    <row r="17764" spans="10:12">
      <c r="J17764" s="31">
        <v>69</v>
      </c>
      <c r="K17764" s="33" t="s">
        <v>143</v>
      </c>
      <c r="L17764" s="31" t="str">
        <f t="shared" si="1716"/>
        <v>Enam Puluh Sembilan</v>
      </c>
    </row>
    <row r="17765" spans="10:12">
      <c r="J17765" s="31">
        <v>70</v>
      </c>
      <c r="K17765" s="33" t="s">
        <v>144</v>
      </c>
      <c r="L17765" s="31" t="s">
        <v>145</v>
      </c>
    </row>
    <row r="17766" spans="10:12">
      <c r="J17766" s="31">
        <v>71</v>
      </c>
      <c r="K17766" s="33" t="s">
        <v>146</v>
      </c>
      <c r="L17766" s="31" t="str">
        <f t="shared" ref="L17766:L17774" si="1717">$L$73&amp;" "&amp;L17696</f>
        <v>Tujuh Puluh Satu</v>
      </c>
    </row>
    <row r="17767" spans="10:12">
      <c r="J17767" s="31">
        <v>72</v>
      </c>
      <c r="K17767" s="33" t="s">
        <v>147</v>
      </c>
      <c r="L17767" s="31" t="str">
        <f t="shared" si="1717"/>
        <v>Tujuh Puluh Dua</v>
      </c>
    </row>
    <row r="17768" spans="10:12">
      <c r="J17768" s="31">
        <v>73</v>
      </c>
      <c r="K17768" s="33" t="s">
        <v>148</v>
      </c>
      <c r="L17768" s="31" t="str">
        <f t="shared" si="1717"/>
        <v>Tujuh Puluh Tiga</v>
      </c>
    </row>
    <row r="17769" spans="10:12">
      <c r="J17769" s="31">
        <v>74</v>
      </c>
      <c r="K17769" s="33" t="s">
        <v>149</v>
      </c>
      <c r="L17769" s="31" t="str">
        <f t="shared" si="1717"/>
        <v>Tujuh Puluh Empat</v>
      </c>
    </row>
    <row r="17770" spans="10:12">
      <c r="J17770" s="31">
        <v>75</v>
      </c>
      <c r="K17770" s="33" t="s">
        <v>150</v>
      </c>
      <c r="L17770" s="31" t="str">
        <f t="shared" si="1717"/>
        <v>Tujuh Puluh Lima</v>
      </c>
    </row>
    <row r="17771" spans="10:12">
      <c r="J17771" s="31">
        <v>76</v>
      </c>
      <c r="K17771" s="33" t="s">
        <v>151</v>
      </c>
      <c r="L17771" s="31" t="str">
        <f t="shared" si="1717"/>
        <v>Tujuh Puluh Enam</v>
      </c>
    </row>
    <row r="17772" spans="10:12">
      <c r="J17772" s="31">
        <v>77</v>
      </c>
      <c r="K17772" s="33" t="s">
        <v>152</v>
      </c>
      <c r="L17772" s="31" t="str">
        <f t="shared" si="1717"/>
        <v>Tujuh Puluh Tujuh</v>
      </c>
    </row>
    <row r="17773" spans="10:12">
      <c r="J17773" s="31">
        <v>78</v>
      </c>
      <c r="K17773" s="33" t="s">
        <v>153</v>
      </c>
      <c r="L17773" s="31" t="str">
        <f t="shared" si="1717"/>
        <v>Tujuh Puluh Delapan</v>
      </c>
    </row>
    <row r="17774" spans="10:12">
      <c r="J17774" s="31">
        <v>79</v>
      </c>
      <c r="K17774" s="33" t="s">
        <v>154</v>
      </c>
      <c r="L17774" s="31" t="str">
        <f t="shared" si="1717"/>
        <v>Tujuh Puluh Sembilan</v>
      </c>
    </row>
    <row r="17775" spans="10:12">
      <c r="J17775" s="31">
        <v>80</v>
      </c>
      <c r="K17775" s="33" t="s">
        <v>155</v>
      </c>
      <c r="L17775" s="31" t="s">
        <v>156</v>
      </c>
    </row>
    <row r="17776" spans="10:12">
      <c r="J17776" s="31">
        <v>81</v>
      </c>
      <c r="K17776" s="33" t="s">
        <v>157</v>
      </c>
      <c r="L17776" s="31" t="str">
        <f t="shared" ref="L17776:L17784" si="1718">$L$83&amp;" "&amp;L17696</f>
        <v>Delapan Puluh Satu</v>
      </c>
    </row>
    <row r="17777" spans="10:12">
      <c r="J17777" s="31">
        <v>82</v>
      </c>
      <c r="K17777" s="33" t="s">
        <v>158</v>
      </c>
      <c r="L17777" s="31" t="str">
        <f t="shared" si="1718"/>
        <v>Delapan Puluh Dua</v>
      </c>
    </row>
    <row r="17778" spans="10:12">
      <c r="J17778" s="31">
        <v>83</v>
      </c>
      <c r="K17778" s="33" t="s">
        <v>159</v>
      </c>
      <c r="L17778" s="31" t="str">
        <f t="shared" si="1718"/>
        <v>Delapan Puluh Tiga</v>
      </c>
    </row>
    <row r="17779" spans="10:12">
      <c r="J17779" s="31">
        <v>84</v>
      </c>
      <c r="K17779" s="33" t="s">
        <v>160</v>
      </c>
      <c r="L17779" s="31" t="str">
        <f t="shared" si="1718"/>
        <v>Delapan Puluh Empat</v>
      </c>
    </row>
    <row r="17780" spans="10:12">
      <c r="J17780" s="31">
        <v>85</v>
      </c>
      <c r="K17780" s="33" t="s">
        <v>161</v>
      </c>
      <c r="L17780" s="31" t="str">
        <f t="shared" si="1718"/>
        <v>Delapan Puluh Lima</v>
      </c>
    </row>
    <row r="17781" spans="10:12">
      <c r="J17781" s="31">
        <v>86</v>
      </c>
      <c r="K17781" s="33" t="s">
        <v>162</v>
      </c>
      <c r="L17781" s="31" t="str">
        <f t="shared" si="1718"/>
        <v>Delapan Puluh Enam</v>
      </c>
    </row>
    <row r="17782" spans="10:12">
      <c r="J17782" s="31">
        <v>87</v>
      </c>
      <c r="K17782" s="33" t="s">
        <v>163</v>
      </c>
      <c r="L17782" s="31" t="str">
        <f t="shared" si="1718"/>
        <v>Delapan Puluh Tujuh</v>
      </c>
    </row>
    <row r="17783" spans="10:12">
      <c r="J17783" s="31">
        <v>88</v>
      </c>
      <c r="K17783" s="33" t="s">
        <v>164</v>
      </c>
      <c r="L17783" s="31" t="str">
        <f t="shared" si="1718"/>
        <v>Delapan Puluh Delapan</v>
      </c>
    </row>
    <row r="17784" spans="10:12">
      <c r="J17784" s="31">
        <v>89</v>
      </c>
      <c r="K17784" s="33" t="s">
        <v>165</v>
      </c>
      <c r="L17784" s="31" t="str">
        <f t="shared" si="1718"/>
        <v>Delapan Puluh Sembilan</v>
      </c>
    </row>
    <row r="17785" spans="10:12">
      <c r="J17785" s="31">
        <v>90</v>
      </c>
      <c r="K17785" s="33" t="s">
        <v>166</v>
      </c>
      <c r="L17785" s="31" t="s">
        <v>167</v>
      </c>
    </row>
    <row r="17786" spans="10:12">
      <c r="J17786" s="31">
        <v>91</v>
      </c>
      <c r="K17786" s="33" t="s">
        <v>168</v>
      </c>
      <c r="L17786" s="31" t="str">
        <f t="shared" ref="L17786:L17794" si="1719">$L$93&amp;" "&amp;L17696</f>
        <v>Sembilan Puluh Satu</v>
      </c>
    </row>
    <row r="17787" spans="10:12">
      <c r="J17787" s="31">
        <v>92</v>
      </c>
      <c r="K17787" s="33" t="s">
        <v>169</v>
      </c>
      <c r="L17787" s="31" t="str">
        <f t="shared" si="1719"/>
        <v>Sembilan Puluh Dua</v>
      </c>
    </row>
    <row r="17788" spans="10:12">
      <c r="J17788" s="31">
        <v>93</v>
      </c>
      <c r="K17788" s="33" t="s">
        <v>170</v>
      </c>
      <c r="L17788" s="31" t="str">
        <f t="shared" si="1719"/>
        <v>Sembilan Puluh Tiga</v>
      </c>
    </row>
    <row r="17789" spans="10:12">
      <c r="J17789" s="31">
        <v>94</v>
      </c>
      <c r="K17789" s="33" t="s">
        <v>171</v>
      </c>
      <c r="L17789" s="31" t="str">
        <f t="shared" si="1719"/>
        <v>Sembilan Puluh Empat</v>
      </c>
    </row>
    <row r="17790" spans="10:12">
      <c r="J17790" s="31">
        <v>95</v>
      </c>
      <c r="K17790" s="33" t="s">
        <v>172</v>
      </c>
      <c r="L17790" s="31" t="str">
        <f t="shared" si="1719"/>
        <v>Sembilan Puluh Lima</v>
      </c>
    </row>
    <row r="17791" spans="10:12">
      <c r="J17791" s="31">
        <v>96</v>
      </c>
      <c r="K17791" s="33" t="s">
        <v>173</v>
      </c>
      <c r="L17791" s="31" t="str">
        <f t="shared" si="1719"/>
        <v>Sembilan Puluh Enam</v>
      </c>
    </row>
    <row r="17792" spans="10:12">
      <c r="J17792" s="31">
        <v>97</v>
      </c>
      <c r="K17792" s="33" t="s">
        <v>174</v>
      </c>
      <c r="L17792" s="31" t="str">
        <f t="shared" si="1719"/>
        <v>Sembilan Puluh Tujuh</v>
      </c>
    </row>
    <row r="17793" spans="1:12">
      <c r="J17793" s="31">
        <v>98</v>
      </c>
      <c r="K17793" s="33" t="s">
        <v>175</v>
      </c>
      <c r="L17793" s="31" t="str">
        <f t="shared" si="1719"/>
        <v>Sembilan Puluh Delapan</v>
      </c>
    </row>
    <row r="17794" spans="1:12">
      <c r="J17794" s="31">
        <v>99</v>
      </c>
      <c r="K17794" s="33" t="s">
        <v>176</v>
      </c>
      <c r="L17794" s="31" t="str">
        <f t="shared" si="1719"/>
        <v>Sembilan Puluh Sembilan</v>
      </c>
    </row>
    <row r="17796" spans="1:12">
      <c r="A17796" s="30" t="e">
        <f>#REF!</f>
        <v>#REF!</v>
      </c>
      <c r="C17796" s="31" t="s">
        <v>411</v>
      </c>
    </row>
    <row r="17797" spans="1:12">
      <c r="A17797" s="32"/>
    </row>
    <row r="17798" spans="1:12">
      <c r="J17798" s="31">
        <v>0</v>
      </c>
      <c r="K17798" s="33" t="s">
        <v>48</v>
      </c>
      <c r="L17798" s="31" t="s">
        <v>49</v>
      </c>
    </row>
    <row r="17799" spans="1:12">
      <c r="A17799" s="34"/>
      <c r="J17799" s="31">
        <v>1</v>
      </c>
      <c r="K17799" s="33" t="s">
        <v>50</v>
      </c>
      <c r="L17799" s="31" t="s">
        <v>51</v>
      </c>
    </row>
    <row r="17800" spans="1:12">
      <c r="A17800" s="255" t="e">
        <f>TRIM(D17808&amp;E17808&amp;D17809&amp;E17809&amp;D17810&amp;E17810&amp;D17811&amp;E17811&amp;D17812&amp;E17812&amp;D17813&amp;E17813&amp;E17814&amp;D17814&amp;" Only")</f>
        <v>#REF!</v>
      </c>
      <c r="B17800" s="255"/>
      <c r="C17800" s="255"/>
      <c r="D17800" s="255"/>
      <c r="E17800" s="35"/>
      <c r="F17800" s="36"/>
      <c r="J17800" s="31">
        <v>2</v>
      </c>
      <c r="K17800" s="33" t="s">
        <v>52</v>
      </c>
      <c r="L17800" s="31" t="s">
        <v>53</v>
      </c>
    </row>
    <row r="17801" spans="1:12">
      <c r="A17801" s="133"/>
      <c r="B17801" s="133"/>
      <c r="C17801" s="133"/>
      <c r="D17801" s="133"/>
      <c r="E17801" s="35"/>
      <c r="F17801" s="36"/>
      <c r="J17801" s="31">
        <v>3</v>
      </c>
      <c r="K17801" s="33" t="s">
        <v>54</v>
      </c>
      <c r="L17801" s="31" t="s">
        <v>55</v>
      </c>
    </row>
    <row r="17802" spans="1:12">
      <c r="A17802" s="133"/>
      <c r="B17802" s="133"/>
      <c r="C17802" s="133"/>
      <c r="D17802" s="133"/>
      <c r="J17802" s="31">
        <v>4</v>
      </c>
      <c r="K17802" s="33" t="s">
        <v>56</v>
      </c>
      <c r="L17802" s="31" t="s">
        <v>57</v>
      </c>
    </row>
    <row r="17803" spans="1:12">
      <c r="A17803" s="255" t="e">
        <f>TRIM(D17818&amp;E17818&amp;D17819&amp;E17819&amp;D17820&amp;E17820&amp;D17821&amp;E17821&amp;D17822&amp;E17822&amp;D17823&amp;E17823&amp;D17824&amp;E17824&amp;" Rupiah")</f>
        <v>#REF!</v>
      </c>
      <c r="B17803" s="255"/>
      <c r="C17803" s="255"/>
      <c r="D17803" s="255"/>
      <c r="E17803" s="35"/>
      <c r="F17803" s="36"/>
      <c r="J17803" s="31">
        <v>5</v>
      </c>
      <c r="K17803" s="33" t="s">
        <v>58</v>
      </c>
      <c r="L17803" s="31" t="s">
        <v>59</v>
      </c>
    </row>
    <row r="17804" spans="1:12">
      <c r="A17804" s="35"/>
      <c r="B17804" s="35"/>
      <c r="C17804" s="35"/>
      <c r="D17804" s="35"/>
      <c r="E17804" s="35"/>
      <c r="F17804" s="36"/>
      <c r="J17804" s="31">
        <v>6</v>
      </c>
      <c r="K17804" s="33" t="s">
        <v>60</v>
      </c>
      <c r="L17804" s="31" t="s">
        <v>61</v>
      </c>
    </row>
    <row r="17805" spans="1:12">
      <c r="J17805" s="31">
        <v>7</v>
      </c>
      <c r="K17805" s="33" t="s">
        <v>62</v>
      </c>
      <c r="L17805" s="31" t="s">
        <v>63</v>
      </c>
    </row>
    <row r="17806" spans="1:12">
      <c r="J17806" s="31">
        <v>8</v>
      </c>
      <c r="K17806" s="33" t="s">
        <v>64</v>
      </c>
      <c r="L17806" s="31" t="s">
        <v>65</v>
      </c>
    </row>
    <row r="17807" spans="1:12">
      <c r="A17807" s="38" t="s">
        <v>66</v>
      </c>
      <c r="J17807" s="31">
        <v>9</v>
      </c>
      <c r="K17807" s="33" t="s">
        <v>67</v>
      </c>
      <c r="L17807" s="31" t="s">
        <v>68</v>
      </c>
    </row>
    <row r="17808" spans="1:12">
      <c r="A17808" s="31" t="s">
        <v>69</v>
      </c>
      <c r="B17808" s="39" t="e">
        <f>TRUNC(A17796/100000000)</f>
        <v>#REF!</v>
      </c>
      <c r="C17808" s="31" t="e">
        <f>B17808*100000000</f>
        <v>#REF!</v>
      </c>
      <c r="D17808" s="31" t="e">
        <f t="shared" ref="D17808:D17814" si="1720">IF(B17808&lt;1,"",VLOOKUP(B17808,$J$3:$K$102,2))</f>
        <v>#REF!</v>
      </c>
      <c r="E17808" s="31" t="e">
        <f>IF(B17808&lt;1,"",IF(B17808&gt;1," Hundreds "," Hundred "))</f>
        <v>#REF!</v>
      </c>
      <c r="J17808" s="31">
        <v>10</v>
      </c>
      <c r="K17808" s="33" t="s">
        <v>70</v>
      </c>
      <c r="L17808" s="31" t="s">
        <v>71</v>
      </c>
    </row>
    <row r="17809" spans="1:12">
      <c r="A17809" s="31" t="s">
        <v>72</v>
      </c>
      <c r="B17809" s="39" t="e">
        <f>TRUNC((A17796-C17808)/1000000)</f>
        <v>#REF!</v>
      </c>
      <c r="C17809" s="31" t="e">
        <f>B17809*1000000</f>
        <v>#REF!</v>
      </c>
      <c r="D17809" s="31" t="e">
        <f t="shared" si="1720"/>
        <v>#REF!</v>
      </c>
      <c r="E17809" s="31" t="e">
        <f>IF(B17808+B17809=0,"",IF(B17809=1," Million "," Millions "))</f>
        <v>#REF!</v>
      </c>
      <c r="J17809" s="31">
        <v>11</v>
      </c>
      <c r="K17809" s="33" t="s">
        <v>73</v>
      </c>
      <c r="L17809" s="31" t="s">
        <v>74</v>
      </c>
    </row>
    <row r="17810" spans="1:12">
      <c r="A17810" s="31" t="s">
        <v>75</v>
      </c>
      <c r="B17810" s="39" t="e">
        <f>TRUNC((A17796-SUM(C17808:C17809))/100000)</f>
        <v>#REF!</v>
      </c>
      <c r="C17810" s="31" t="e">
        <f>B17810*100000</f>
        <v>#REF!</v>
      </c>
      <c r="D17810" s="31" t="e">
        <f t="shared" si="1720"/>
        <v>#REF!</v>
      </c>
      <c r="E17810" s="31" t="e">
        <f>IF(B17810&lt;1,"",IF(B17810&gt;1," Hundreds "," Hundred "))</f>
        <v>#REF!</v>
      </c>
      <c r="J17810" s="31">
        <v>12</v>
      </c>
      <c r="K17810" s="33" t="s">
        <v>76</v>
      </c>
      <c r="L17810" s="31" t="str">
        <f t="shared" ref="L17810:L17817" si="1721">L17800&amp;" Belas"</f>
        <v>Dua Belas</v>
      </c>
    </row>
    <row r="17811" spans="1:12">
      <c r="A17811" s="33" t="s">
        <v>77</v>
      </c>
      <c r="B17811" s="40" t="e">
        <f>TRUNC((A17796-SUM(C17808:C17810))/1000)</f>
        <v>#REF!</v>
      </c>
      <c r="C17811" s="31" t="e">
        <f>B17811*1000</f>
        <v>#REF!</v>
      </c>
      <c r="D17811" s="31" t="e">
        <f t="shared" si="1720"/>
        <v>#REF!</v>
      </c>
      <c r="E17811" s="31" t="e">
        <f>IF(B17810+B17811=0,"",IF(B17811=1," Thousand "," Thousands "))</f>
        <v>#REF!</v>
      </c>
      <c r="J17811" s="31">
        <v>13</v>
      </c>
      <c r="K17811" s="33" t="s">
        <v>78</v>
      </c>
      <c r="L17811" s="31" t="str">
        <f t="shared" si="1721"/>
        <v>Tiga Belas</v>
      </c>
    </row>
    <row r="17812" spans="1:12">
      <c r="A17812" s="33" t="s">
        <v>79</v>
      </c>
      <c r="B17812" s="40" t="e">
        <f>TRUNC((A17796-SUM(C17808:C17811))/100)</f>
        <v>#REF!</v>
      </c>
      <c r="C17812" s="31" t="e">
        <f>B17812*100</f>
        <v>#REF!</v>
      </c>
      <c r="D17812" s="31" t="e">
        <f t="shared" si="1720"/>
        <v>#REF!</v>
      </c>
      <c r="E17812" s="31" t="e">
        <f>IF(B17812&lt;1,"",IF(B17812&gt;1," Hundreds "," Hundred "))</f>
        <v>#REF!</v>
      </c>
      <c r="J17812" s="31">
        <v>14</v>
      </c>
      <c r="K17812" s="33" t="s">
        <v>80</v>
      </c>
      <c r="L17812" s="31" t="str">
        <f t="shared" si="1721"/>
        <v>Empat Belas</v>
      </c>
    </row>
    <row r="17813" spans="1:12">
      <c r="A17813" s="33" t="s">
        <v>81</v>
      </c>
      <c r="B17813" s="41" t="e">
        <f>TRUNC((A17796-SUM(C17808:C17812)))</f>
        <v>#REF!</v>
      </c>
      <c r="C17813" s="42" t="e">
        <f>B17813</f>
        <v>#REF!</v>
      </c>
      <c r="D17813" s="31" t="e">
        <f t="shared" si="1720"/>
        <v>#REF!</v>
      </c>
      <c r="E17813" s="31" t="e">
        <f>IF(SUM(C17808:C17813)&lt;1,"",IF(B17814&lt;1,""," And "))</f>
        <v>#REF!</v>
      </c>
      <c r="J17813" s="31">
        <v>15</v>
      </c>
      <c r="K17813" s="33" t="s">
        <v>82</v>
      </c>
      <c r="L17813" s="31" t="str">
        <f t="shared" si="1721"/>
        <v>Lima Belas</v>
      </c>
    </row>
    <row r="17814" spans="1:12">
      <c r="A17814" s="33" t="s">
        <v>83</v>
      </c>
      <c r="B17814" s="40" t="e">
        <f>ROUND(A17796-SUM(C17808:C17813),2)*100</f>
        <v>#REF!</v>
      </c>
      <c r="D17814" s="43" t="e">
        <f t="shared" si="1720"/>
        <v>#REF!</v>
      </c>
      <c r="E17814" s="31" t="e">
        <f>IF(B17814&lt;1,"",IF(B17814=1," Cent "," Cents "))</f>
        <v>#REF!</v>
      </c>
      <c r="J17814" s="31">
        <v>16</v>
      </c>
      <c r="K17814" s="33" t="s">
        <v>84</v>
      </c>
      <c r="L17814" s="31" t="str">
        <f t="shared" si="1721"/>
        <v>Enam Belas</v>
      </c>
    </row>
    <row r="17815" spans="1:12">
      <c r="J17815" s="31">
        <v>17</v>
      </c>
      <c r="K17815" s="33" t="s">
        <v>85</v>
      </c>
      <c r="L17815" s="31" t="str">
        <f t="shared" si="1721"/>
        <v>Tujuh Belas</v>
      </c>
    </row>
    <row r="17816" spans="1:12">
      <c r="A17816" s="44"/>
      <c r="J17816" s="31">
        <v>18</v>
      </c>
      <c r="K17816" s="33" t="s">
        <v>86</v>
      </c>
      <c r="L17816" s="31" t="str">
        <f t="shared" si="1721"/>
        <v>Delapan Belas</v>
      </c>
    </row>
    <row r="17817" spans="1:12">
      <c r="A17817" s="38" t="s">
        <v>87</v>
      </c>
      <c r="J17817" s="31">
        <v>19</v>
      </c>
      <c r="K17817" s="33" t="s">
        <v>88</v>
      </c>
      <c r="L17817" s="31" t="str">
        <f t="shared" si="1721"/>
        <v>Sembilan Belas</v>
      </c>
    </row>
    <row r="17818" spans="1:12">
      <c r="A17818" s="31" t="s">
        <v>69</v>
      </c>
      <c r="B17818" s="39" t="e">
        <f>TRUNC(A17796/100000000)</f>
        <v>#REF!</v>
      </c>
      <c r="C17818" s="31" t="e">
        <f>B17818*100000000</f>
        <v>#REF!</v>
      </c>
      <c r="D17818" s="31" t="e">
        <f>IF(B17818&lt;1,"",IF(B17818=1,"",VLOOKUP(B17818,$J$3:$L$102,3)))</f>
        <v>#REF!</v>
      </c>
      <c r="E17818" s="31" t="e">
        <f>IF(B17818&lt;1,"",IF(B17818=1,"Seratus "," Ratus "))</f>
        <v>#REF!</v>
      </c>
      <c r="J17818" s="31">
        <v>20</v>
      </c>
      <c r="K17818" s="33" t="s">
        <v>89</v>
      </c>
      <c r="L17818" s="31" t="s">
        <v>90</v>
      </c>
    </row>
    <row r="17819" spans="1:12">
      <c r="A17819" s="31" t="s">
        <v>72</v>
      </c>
      <c r="B17819" s="39" t="e">
        <f>TRUNC((A17796-C17818)/1000000)</f>
        <v>#REF!</v>
      </c>
      <c r="C17819" s="31" t="e">
        <f>B17819*1000000</f>
        <v>#REF!</v>
      </c>
      <c r="D17819" s="31" t="e">
        <f>IF(B17819&lt;1,"",VLOOKUP(B17819,$J$3:$L$102,3))</f>
        <v>#REF!</v>
      </c>
      <c r="E17819" s="31" t="e">
        <f>IF(B17818+B17819=0,""," Juta ")</f>
        <v>#REF!</v>
      </c>
      <c r="J17819" s="31">
        <v>21</v>
      </c>
      <c r="K17819" s="33" t="s">
        <v>91</v>
      </c>
      <c r="L17819" s="31" t="str">
        <f t="shared" ref="L17819:L17827" si="1722">$L$23&amp;" "&amp;L17799</f>
        <v>Dua Puluh Satu</v>
      </c>
    </row>
    <row r="17820" spans="1:12">
      <c r="A17820" s="31" t="s">
        <v>75</v>
      </c>
      <c r="B17820" s="39" t="e">
        <f>TRUNC((A17796-SUM(C17818:C17819))/100000)</f>
        <v>#REF!</v>
      </c>
      <c r="C17820" s="31" t="e">
        <f>B17820*100000</f>
        <v>#REF!</v>
      </c>
      <c r="D17820" s="31" t="e">
        <f>IF(B17820&lt;1,"",IF(B17820=1,"",VLOOKUP(B17820,$J$3:$L$102,3)))</f>
        <v>#REF!</v>
      </c>
      <c r="E17820" s="31" t="e">
        <f>IF(B17820&lt;1,"",IF(B17820=1," Seratus "," Ratus "))</f>
        <v>#REF!</v>
      </c>
      <c r="J17820" s="31">
        <v>22</v>
      </c>
      <c r="K17820" s="33" t="s">
        <v>92</v>
      </c>
      <c r="L17820" s="31" t="str">
        <f t="shared" si="1722"/>
        <v>Dua Puluh Dua</v>
      </c>
    </row>
    <row r="17821" spans="1:12">
      <c r="A17821" s="33" t="s">
        <v>77</v>
      </c>
      <c r="B17821" s="40" t="e">
        <f>TRUNC((A17796-SUM(C17818:C17820))/1000)</f>
        <v>#REF!</v>
      </c>
      <c r="C17821" s="31" t="e">
        <f>B17821*1000</f>
        <v>#REF!</v>
      </c>
      <c r="D17821" s="31" t="e">
        <f>IF(B17821&lt;1,"",IF(B17821=1,"",VLOOKUP(B17821,$J$3:$L$102,3)))</f>
        <v>#REF!</v>
      </c>
      <c r="E17821" s="31" t="e">
        <f>IF(B17820+B17821&lt;1,"",IF(B17821=1," Seribu "," Ribu "))</f>
        <v>#REF!</v>
      </c>
      <c r="J17821" s="31">
        <v>23</v>
      </c>
      <c r="K17821" s="33" t="s">
        <v>93</v>
      </c>
      <c r="L17821" s="31" t="str">
        <f t="shared" si="1722"/>
        <v>Dua Puluh Tiga</v>
      </c>
    </row>
    <row r="17822" spans="1:12">
      <c r="A17822" s="33" t="s">
        <v>79</v>
      </c>
      <c r="B17822" s="40" t="e">
        <f>TRUNC((A17796-SUM(C17818:C17821))/100)</f>
        <v>#REF!</v>
      </c>
      <c r="C17822" s="31" t="e">
        <f>B17822*100</f>
        <v>#REF!</v>
      </c>
      <c r="D17822" s="31" t="e">
        <f>IF(B17822&lt;1,"",IF(B17822=1,"",VLOOKUP(B17822,$J$3:$L$102,3)))</f>
        <v>#REF!</v>
      </c>
      <c r="E17822" s="31" t="e">
        <f>IF(B17822&lt;1,"",IF(B17822=1," Seratus "," Ratus "))</f>
        <v>#REF!</v>
      </c>
      <c r="J17822" s="31">
        <v>24</v>
      </c>
      <c r="K17822" s="33" t="s">
        <v>94</v>
      </c>
      <c r="L17822" s="31" t="str">
        <f t="shared" si="1722"/>
        <v>Dua Puluh Empat</v>
      </c>
    </row>
    <row r="17823" spans="1:12">
      <c r="A17823" s="33" t="s">
        <v>81</v>
      </c>
      <c r="B17823" s="41" t="e">
        <f>TRUNC((A17796-SUM(C17818:C17822)))</f>
        <v>#REF!</v>
      </c>
      <c r="C17823" s="42" t="e">
        <f>B17823</f>
        <v>#REF!</v>
      </c>
      <c r="D17823" s="31" t="e">
        <f>IF(B17823&lt;1,"",VLOOKUP(B17823,$J$3:$L$102,3))</f>
        <v>#REF!</v>
      </c>
      <c r="E17823" s="31" t="e">
        <f>IF(SUM(C17818:C17823)&lt;1,"",IF(B17824&lt;1,""," Dan "))</f>
        <v>#REF!</v>
      </c>
      <c r="J17823" s="31">
        <v>25</v>
      </c>
      <c r="K17823" s="33" t="s">
        <v>95</v>
      </c>
      <c r="L17823" s="31" t="str">
        <f t="shared" si="1722"/>
        <v>Dua Puluh Lima</v>
      </c>
    </row>
    <row r="17824" spans="1:12">
      <c r="A17824" s="33" t="s">
        <v>83</v>
      </c>
      <c r="B17824" s="40" t="e">
        <f>ROUND(A17796-SUM(C17818:C17823),2)*100</f>
        <v>#REF!</v>
      </c>
      <c r="D17824" s="31" t="e">
        <f>IF(B17824&lt;1,"",VLOOKUP(B17824,$J$3:$L$102,3))</f>
        <v>#REF!</v>
      </c>
      <c r="E17824" s="31" t="e">
        <f>IF(B17824&lt;1,""," Sen ")</f>
        <v>#REF!</v>
      </c>
      <c r="J17824" s="31">
        <v>26</v>
      </c>
      <c r="K17824" s="33" t="s">
        <v>96</v>
      </c>
      <c r="L17824" s="31" t="str">
        <f t="shared" si="1722"/>
        <v>Dua Puluh Enam</v>
      </c>
    </row>
    <row r="17825" spans="1:12">
      <c r="J17825" s="31">
        <v>27</v>
      </c>
      <c r="K17825" s="33" t="s">
        <v>97</v>
      </c>
      <c r="L17825" s="31" t="str">
        <f t="shared" si="1722"/>
        <v>Dua Puluh Tujuh</v>
      </c>
    </row>
    <row r="17826" spans="1:12">
      <c r="J17826" s="31">
        <v>28</v>
      </c>
      <c r="K17826" s="33" t="s">
        <v>98</v>
      </c>
      <c r="L17826" s="31" t="str">
        <f t="shared" si="1722"/>
        <v>Dua Puluh Delapan</v>
      </c>
    </row>
    <row r="17827" spans="1:12">
      <c r="J17827" s="31">
        <v>29</v>
      </c>
      <c r="K17827" s="33" t="s">
        <v>99</v>
      </c>
      <c r="L17827" s="31" t="str">
        <f t="shared" si="1722"/>
        <v>Dua Puluh Sembilan</v>
      </c>
    </row>
    <row r="17828" spans="1:12">
      <c r="J17828" s="31">
        <v>30</v>
      </c>
      <c r="K17828" s="33" t="s">
        <v>100</v>
      </c>
      <c r="L17828" s="31" t="s">
        <v>101</v>
      </c>
    </row>
    <row r="17829" spans="1:12">
      <c r="J17829" s="31">
        <v>31</v>
      </c>
      <c r="K17829" s="33" t="s">
        <v>102</v>
      </c>
      <c r="L17829" s="31" t="str">
        <f t="shared" ref="L17829:L17837" si="1723">$L$33&amp;" "&amp;L17799</f>
        <v>Tiga Puluh Satu</v>
      </c>
    </row>
    <row r="17830" spans="1:12">
      <c r="J17830" s="31">
        <v>32</v>
      </c>
      <c r="K17830" s="33" t="s">
        <v>103</v>
      </c>
      <c r="L17830" s="31" t="str">
        <f t="shared" si="1723"/>
        <v>Tiga Puluh Dua</v>
      </c>
    </row>
    <row r="17831" spans="1:12">
      <c r="J17831" s="31">
        <v>33</v>
      </c>
      <c r="K17831" s="33" t="s">
        <v>104</v>
      </c>
      <c r="L17831" s="31" t="str">
        <f t="shared" si="1723"/>
        <v>Tiga Puluh Tiga</v>
      </c>
    </row>
    <row r="17832" spans="1:12">
      <c r="J17832" s="31">
        <v>34</v>
      </c>
      <c r="K17832" s="33" t="s">
        <v>105</v>
      </c>
      <c r="L17832" s="31" t="str">
        <f t="shared" si="1723"/>
        <v>Tiga Puluh Empat</v>
      </c>
    </row>
    <row r="17833" spans="1:12">
      <c r="J17833" s="31">
        <v>35</v>
      </c>
      <c r="K17833" s="33" t="s">
        <v>106</v>
      </c>
      <c r="L17833" s="31" t="str">
        <f t="shared" si="1723"/>
        <v>Tiga Puluh Lima</v>
      </c>
    </row>
    <row r="17834" spans="1:12">
      <c r="J17834" s="31">
        <v>36</v>
      </c>
      <c r="K17834" s="33" t="s">
        <v>107</v>
      </c>
      <c r="L17834" s="31" t="str">
        <f t="shared" si="1723"/>
        <v>Tiga Puluh Enam</v>
      </c>
    </row>
    <row r="17835" spans="1:12">
      <c r="J17835" s="31">
        <v>37</v>
      </c>
      <c r="K17835" s="33" t="s">
        <v>108</v>
      </c>
      <c r="L17835" s="31" t="str">
        <f t="shared" si="1723"/>
        <v>Tiga Puluh Tujuh</v>
      </c>
    </row>
    <row r="17836" spans="1:12">
      <c r="J17836" s="31">
        <v>38</v>
      </c>
      <c r="K17836" s="33" t="s">
        <v>109</v>
      </c>
      <c r="L17836" s="31" t="str">
        <f t="shared" si="1723"/>
        <v>Tiga Puluh Delapan</v>
      </c>
    </row>
    <row r="17837" spans="1:12">
      <c r="J17837" s="31">
        <v>39</v>
      </c>
      <c r="K17837" s="33" t="s">
        <v>110</v>
      </c>
      <c r="L17837" s="31" t="str">
        <f t="shared" si="1723"/>
        <v>Tiga Puluh Sembilan</v>
      </c>
    </row>
    <row r="17838" spans="1:12">
      <c r="B17838" s="35"/>
      <c r="C17838" s="35"/>
      <c r="D17838" s="35"/>
      <c r="J17838" s="31">
        <v>40</v>
      </c>
      <c r="K17838" s="33" t="s">
        <v>111</v>
      </c>
      <c r="L17838" s="31" t="s">
        <v>112</v>
      </c>
    </row>
    <row r="17839" spans="1:12">
      <c r="A17839" s="35"/>
      <c r="B17839" s="35"/>
      <c r="C17839" s="35"/>
      <c r="D17839" s="35"/>
      <c r="J17839" s="31">
        <v>41</v>
      </c>
      <c r="K17839" s="33" t="s">
        <v>113</v>
      </c>
      <c r="L17839" s="31" t="str">
        <f t="shared" ref="L17839:L17847" si="1724">$L$43&amp;" "&amp;L17799</f>
        <v>Empat Puluh Satu</v>
      </c>
    </row>
    <row r="17840" spans="1:12">
      <c r="J17840" s="31">
        <v>42</v>
      </c>
      <c r="K17840" s="33" t="s">
        <v>114</v>
      </c>
      <c r="L17840" s="31" t="str">
        <f t="shared" si="1724"/>
        <v>Empat Puluh Dua</v>
      </c>
    </row>
    <row r="17841" spans="1:12">
      <c r="A17841" s="38"/>
      <c r="J17841" s="31">
        <v>43</v>
      </c>
      <c r="K17841" s="33" t="s">
        <v>115</v>
      </c>
      <c r="L17841" s="31" t="str">
        <f t="shared" si="1724"/>
        <v>Empat Puluh Tiga</v>
      </c>
    </row>
    <row r="17842" spans="1:12">
      <c r="J17842" s="31">
        <v>44</v>
      </c>
      <c r="K17842" s="33" t="s">
        <v>116</v>
      </c>
      <c r="L17842" s="31" t="str">
        <f t="shared" si="1724"/>
        <v>Empat Puluh Empat</v>
      </c>
    </row>
    <row r="17843" spans="1:12">
      <c r="J17843" s="31">
        <v>45</v>
      </c>
      <c r="K17843" s="33" t="s">
        <v>117</v>
      </c>
      <c r="L17843" s="31" t="str">
        <f t="shared" si="1724"/>
        <v>Empat Puluh Lima</v>
      </c>
    </row>
    <row r="17844" spans="1:12">
      <c r="J17844" s="31">
        <v>46</v>
      </c>
      <c r="K17844" s="33" t="s">
        <v>118</v>
      </c>
      <c r="L17844" s="31" t="str">
        <f t="shared" si="1724"/>
        <v>Empat Puluh Enam</v>
      </c>
    </row>
    <row r="17845" spans="1:12">
      <c r="J17845" s="31">
        <v>47</v>
      </c>
      <c r="K17845" s="33" t="s">
        <v>119</v>
      </c>
      <c r="L17845" s="31" t="str">
        <f t="shared" si="1724"/>
        <v>Empat Puluh Tujuh</v>
      </c>
    </row>
    <row r="17846" spans="1:12">
      <c r="J17846" s="31">
        <v>48</v>
      </c>
      <c r="K17846" s="33" t="s">
        <v>120</v>
      </c>
      <c r="L17846" s="31" t="str">
        <f t="shared" si="1724"/>
        <v>Empat Puluh Delapan</v>
      </c>
    </row>
    <row r="17847" spans="1:12">
      <c r="J17847" s="31">
        <v>49</v>
      </c>
      <c r="K17847" s="33" t="s">
        <v>121</v>
      </c>
      <c r="L17847" s="31" t="str">
        <f t="shared" si="1724"/>
        <v>Empat Puluh Sembilan</v>
      </c>
    </row>
    <row r="17848" spans="1:12">
      <c r="J17848" s="31">
        <v>50</v>
      </c>
      <c r="K17848" s="33" t="s">
        <v>122</v>
      </c>
      <c r="L17848" s="31" t="s">
        <v>123</v>
      </c>
    </row>
    <row r="17849" spans="1:12">
      <c r="J17849" s="31">
        <v>51</v>
      </c>
      <c r="K17849" s="33" t="s">
        <v>124</v>
      </c>
      <c r="L17849" s="31" t="str">
        <f t="shared" ref="L17849:L17857" si="1725">$L$53&amp;" "&amp;L17799</f>
        <v>Lima Puluh Satu</v>
      </c>
    </row>
    <row r="17850" spans="1:12">
      <c r="J17850" s="31">
        <v>52</v>
      </c>
      <c r="K17850" s="33" t="s">
        <v>125</v>
      </c>
      <c r="L17850" s="31" t="str">
        <f t="shared" si="1725"/>
        <v>Lima Puluh Dua</v>
      </c>
    </row>
    <row r="17851" spans="1:12">
      <c r="J17851" s="31">
        <v>53</v>
      </c>
      <c r="K17851" s="33" t="s">
        <v>126</v>
      </c>
      <c r="L17851" s="31" t="str">
        <f t="shared" si="1725"/>
        <v>Lima Puluh Tiga</v>
      </c>
    </row>
    <row r="17852" spans="1:12">
      <c r="J17852" s="31">
        <v>54</v>
      </c>
      <c r="K17852" s="33" t="s">
        <v>127</v>
      </c>
      <c r="L17852" s="31" t="str">
        <f t="shared" si="1725"/>
        <v>Lima Puluh Empat</v>
      </c>
    </row>
    <row r="17853" spans="1:12">
      <c r="J17853" s="31">
        <v>55</v>
      </c>
      <c r="K17853" s="33" t="s">
        <v>128</v>
      </c>
      <c r="L17853" s="31" t="str">
        <f t="shared" si="1725"/>
        <v>Lima Puluh Lima</v>
      </c>
    </row>
    <row r="17854" spans="1:12">
      <c r="J17854" s="31">
        <v>56</v>
      </c>
      <c r="K17854" s="33" t="s">
        <v>129</v>
      </c>
      <c r="L17854" s="31" t="str">
        <f t="shared" si="1725"/>
        <v>Lima Puluh Enam</v>
      </c>
    </row>
    <row r="17855" spans="1:12">
      <c r="J17855" s="31">
        <v>57</v>
      </c>
      <c r="K17855" s="33" t="s">
        <v>130</v>
      </c>
      <c r="L17855" s="31" t="str">
        <f t="shared" si="1725"/>
        <v>Lima Puluh Tujuh</v>
      </c>
    </row>
    <row r="17856" spans="1:12">
      <c r="J17856" s="31">
        <v>58</v>
      </c>
      <c r="K17856" s="33" t="s">
        <v>131</v>
      </c>
      <c r="L17856" s="31" t="str">
        <f t="shared" si="1725"/>
        <v>Lima Puluh Delapan</v>
      </c>
    </row>
    <row r="17857" spans="10:12">
      <c r="J17857" s="31">
        <v>59</v>
      </c>
      <c r="K17857" s="33" t="s">
        <v>132</v>
      </c>
      <c r="L17857" s="31" t="str">
        <f t="shared" si="1725"/>
        <v>Lima Puluh Sembilan</v>
      </c>
    </row>
    <row r="17858" spans="10:12">
      <c r="J17858" s="31">
        <v>60</v>
      </c>
      <c r="K17858" s="33" t="s">
        <v>133</v>
      </c>
      <c r="L17858" s="31" t="s">
        <v>134</v>
      </c>
    </row>
    <row r="17859" spans="10:12">
      <c r="J17859" s="31">
        <v>61</v>
      </c>
      <c r="K17859" s="33" t="s">
        <v>135</v>
      </c>
      <c r="L17859" s="31" t="str">
        <f t="shared" ref="L17859:L17867" si="1726">$L$63&amp;" "&amp;L17799</f>
        <v>Enam Puluh Satu</v>
      </c>
    </row>
    <row r="17860" spans="10:12">
      <c r="J17860" s="31">
        <v>62</v>
      </c>
      <c r="K17860" s="33" t="s">
        <v>136</v>
      </c>
      <c r="L17860" s="31" t="str">
        <f t="shared" si="1726"/>
        <v>Enam Puluh Dua</v>
      </c>
    </row>
    <row r="17861" spans="10:12">
      <c r="J17861" s="31">
        <v>63</v>
      </c>
      <c r="K17861" s="33" t="s">
        <v>137</v>
      </c>
      <c r="L17861" s="31" t="str">
        <f t="shared" si="1726"/>
        <v>Enam Puluh Tiga</v>
      </c>
    </row>
    <row r="17862" spans="10:12">
      <c r="J17862" s="31">
        <v>64</v>
      </c>
      <c r="K17862" s="33" t="s">
        <v>138</v>
      </c>
      <c r="L17862" s="31" t="str">
        <f t="shared" si="1726"/>
        <v>Enam Puluh Empat</v>
      </c>
    </row>
    <row r="17863" spans="10:12">
      <c r="J17863" s="31">
        <v>65</v>
      </c>
      <c r="K17863" s="33" t="s">
        <v>139</v>
      </c>
      <c r="L17863" s="31" t="str">
        <f t="shared" si="1726"/>
        <v>Enam Puluh Lima</v>
      </c>
    </row>
    <row r="17864" spans="10:12">
      <c r="J17864" s="31">
        <v>66</v>
      </c>
      <c r="K17864" s="33" t="s">
        <v>140</v>
      </c>
      <c r="L17864" s="31" t="str">
        <f t="shared" si="1726"/>
        <v>Enam Puluh Enam</v>
      </c>
    </row>
    <row r="17865" spans="10:12">
      <c r="J17865" s="31">
        <v>67</v>
      </c>
      <c r="K17865" s="33" t="s">
        <v>141</v>
      </c>
      <c r="L17865" s="31" t="str">
        <f t="shared" si="1726"/>
        <v>Enam Puluh Tujuh</v>
      </c>
    </row>
    <row r="17866" spans="10:12">
      <c r="J17866" s="31">
        <v>68</v>
      </c>
      <c r="K17866" s="33" t="s">
        <v>142</v>
      </c>
      <c r="L17866" s="31" t="str">
        <f t="shared" si="1726"/>
        <v>Enam Puluh Delapan</v>
      </c>
    </row>
    <row r="17867" spans="10:12">
      <c r="J17867" s="31">
        <v>69</v>
      </c>
      <c r="K17867" s="33" t="s">
        <v>143</v>
      </c>
      <c r="L17867" s="31" t="str">
        <f t="shared" si="1726"/>
        <v>Enam Puluh Sembilan</v>
      </c>
    </row>
    <row r="17868" spans="10:12">
      <c r="J17868" s="31">
        <v>70</v>
      </c>
      <c r="K17868" s="33" t="s">
        <v>144</v>
      </c>
      <c r="L17868" s="31" t="s">
        <v>145</v>
      </c>
    </row>
    <row r="17869" spans="10:12">
      <c r="J17869" s="31">
        <v>71</v>
      </c>
      <c r="K17869" s="33" t="s">
        <v>146</v>
      </c>
      <c r="L17869" s="31" t="str">
        <f t="shared" ref="L17869:L17877" si="1727">$L$73&amp;" "&amp;L17799</f>
        <v>Tujuh Puluh Satu</v>
      </c>
    </row>
    <row r="17870" spans="10:12">
      <c r="J17870" s="31">
        <v>72</v>
      </c>
      <c r="K17870" s="33" t="s">
        <v>147</v>
      </c>
      <c r="L17870" s="31" t="str">
        <f t="shared" si="1727"/>
        <v>Tujuh Puluh Dua</v>
      </c>
    </row>
    <row r="17871" spans="10:12">
      <c r="J17871" s="31">
        <v>73</v>
      </c>
      <c r="K17871" s="33" t="s">
        <v>148</v>
      </c>
      <c r="L17871" s="31" t="str">
        <f t="shared" si="1727"/>
        <v>Tujuh Puluh Tiga</v>
      </c>
    </row>
    <row r="17872" spans="10:12">
      <c r="J17872" s="31">
        <v>74</v>
      </c>
      <c r="K17872" s="33" t="s">
        <v>149</v>
      </c>
      <c r="L17872" s="31" t="str">
        <f t="shared" si="1727"/>
        <v>Tujuh Puluh Empat</v>
      </c>
    </row>
    <row r="17873" spans="10:12">
      <c r="J17873" s="31">
        <v>75</v>
      </c>
      <c r="K17873" s="33" t="s">
        <v>150</v>
      </c>
      <c r="L17873" s="31" t="str">
        <f t="shared" si="1727"/>
        <v>Tujuh Puluh Lima</v>
      </c>
    </row>
    <row r="17874" spans="10:12">
      <c r="J17874" s="31">
        <v>76</v>
      </c>
      <c r="K17874" s="33" t="s">
        <v>151</v>
      </c>
      <c r="L17874" s="31" t="str">
        <f t="shared" si="1727"/>
        <v>Tujuh Puluh Enam</v>
      </c>
    </row>
    <row r="17875" spans="10:12">
      <c r="J17875" s="31">
        <v>77</v>
      </c>
      <c r="K17875" s="33" t="s">
        <v>152</v>
      </c>
      <c r="L17875" s="31" t="str">
        <f t="shared" si="1727"/>
        <v>Tujuh Puluh Tujuh</v>
      </c>
    </row>
    <row r="17876" spans="10:12">
      <c r="J17876" s="31">
        <v>78</v>
      </c>
      <c r="K17876" s="33" t="s">
        <v>153</v>
      </c>
      <c r="L17876" s="31" t="str">
        <f t="shared" si="1727"/>
        <v>Tujuh Puluh Delapan</v>
      </c>
    </row>
    <row r="17877" spans="10:12">
      <c r="J17877" s="31">
        <v>79</v>
      </c>
      <c r="K17877" s="33" t="s">
        <v>154</v>
      </c>
      <c r="L17877" s="31" t="str">
        <f t="shared" si="1727"/>
        <v>Tujuh Puluh Sembilan</v>
      </c>
    </row>
    <row r="17878" spans="10:12">
      <c r="J17878" s="31">
        <v>80</v>
      </c>
      <c r="K17878" s="33" t="s">
        <v>155</v>
      </c>
      <c r="L17878" s="31" t="s">
        <v>156</v>
      </c>
    </row>
    <row r="17879" spans="10:12">
      <c r="J17879" s="31">
        <v>81</v>
      </c>
      <c r="K17879" s="33" t="s">
        <v>157</v>
      </c>
      <c r="L17879" s="31" t="str">
        <f t="shared" ref="L17879:L17887" si="1728">$L$83&amp;" "&amp;L17799</f>
        <v>Delapan Puluh Satu</v>
      </c>
    </row>
    <row r="17880" spans="10:12">
      <c r="J17880" s="31">
        <v>82</v>
      </c>
      <c r="K17880" s="33" t="s">
        <v>158</v>
      </c>
      <c r="L17880" s="31" t="str">
        <f t="shared" si="1728"/>
        <v>Delapan Puluh Dua</v>
      </c>
    </row>
    <row r="17881" spans="10:12">
      <c r="J17881" s="31">
        <v>83</v>
      </c>
      <c r="K17881" s="33" t="s">
        <v>159</v>
      </c>
      <c r="L17881" s="31" t="str">
        <f t="shared" si="1728"/>
        <v>Delapan Puluh Tiga</v>
      </c>
    </row>
    <row r="17882" spans="10:12">
      <c r="J17882" s="31">
        <v>84</v>
      </c>
      <c r="K17882" s="33" t="s">
        <v>160</v>
      </c>
      <c r="L17882" s="31" t="str">
        <f t="shared" si="1728"/>
        <v>Delapan Puluh Empat</v>
      </c>
    </row>
    <row r="17883" spans="10:12">
      <c r="J17883" s="31">
        <v>85</v>
      </c>
      <c r="K17883" s="33" t="s">
        <v>161</v>
      </c>
      <c r="L17883" s="31" t="str">
        <f t="shared" si="1728"/>
        <v>Delapan Puluh Lima</v>
      </c>
    </row>
    <row r="17884" spans="10:12">
      <c r="J17884" s="31">
        <v>86</v>
      </c>
      <c r="K17884" s="33" t="s">
        <v>162</v>
      </c>
      <c r="L17884" s="31" t="str">
        <f t="shared" si="1728"/>
        <v>Delapan Puluh Enam</v>
      </c>
    </row>
    <row r="17885" spans="10:12">
      <c r="J17885" s="31">
        <v>87</v>
      </c>
      <c r="K17885" s="33" t="s">
        <v>163</v>
      </c>
      <c r="L17885" s="31" t="str">
        <f t="shared" si="1728"/>
        <v>Delapan Puluh Tujuh</v>
      </c>
    </row>
    <row r="17886" spans="10:12">
      <c r="J17886" s="31">
        <v>88</v>
      </c>
      <c r="K17886" s="33" t="s">
        <v>164</v>
      </c>
      <c r="L17886" s="31" t="str">
        <f t="shared" si="1728"/>
        <v>Delapan Puluh Delapan</v>
      </c>
    </row>
    <row r="17887" spans="10:12">
      <c r="J17887" s="31">
        <v>89</v>
      </c>
      <c r="K17887" s="33" t="s">
        <v>165</v>
      </c>
      <c r="L17887" s="31" t="str">
        <f t="shared" si="1728"/>
        <v>Delapan Puluh Sembilan</v>
      </c>
    </row>
    <row r="17888" spans="10:12">
      <c r="J17888" s="31">
        <v>90</v>
      </c>
      <c r="K17888" s="33" t="s">
        <v>166</v>
      </c>
      <c r="L17888" s="31" t="s">
        <v>167</v>
      </c>
    </row>
    <row r="17889" spans="1:12">
      <c r="J17889" s="31">
        <v>91</v>
      </c>
      <c r="K17889" s="33" t="s">
        <v>168</v>
      </c>
      <c r="L17889" s="31" t="str">
        <f t="shared" ref="L17889:L17897" si="1729">$L$93&amp;" "&amp;L17799</f>
        <v>Sembilan Puluh Satu</v>
      </c>
    </row>
    <row r="17890" spans="1:12">
      <c r="J17890" s="31">
        <v>92</v>
      </c>
      <c r="K17890" s="33" t="s">
        <v>169</v>
      </c>
      <c r="L17890" s="31" t="str">
        <f t="shared" si="1729"/>
        <v>Sembilan Puluh Dua</v>
      </c>
    </row>
    <row r="17891" spans="1:12">
      <c r="J17891" s="31">
        <v>93</v>
      </c>
      <c r="K17891" s="33" t="s">
        <v>170</v>
      </c>
      <c r="L17891" s="31" t="str">
        <f t="shared" si="1729"/>
        <v>Sembilan Puluh Tiga</v>
      </c>
    </row>
    <row r="17892" spans="1:12">
      <c r="J17892" s="31">
        <v>94</v>
      </c>
      <c r="K17892" s="33" t="s">
        <v>171</v>
      </c>
      <c r="L17892" s="31" t="str">
        <f t="shared" si="1729"/>
        <v>Sembilan Puluh Empat</v>
      </c>
    </row>
    <row r="17893" spans="1:12">
      <c r="J17893" s="31">
        <v>95</v>
      </c>
      <c r="K17893" s="33" t="s">
        <v>172</v>
      </c>
      <c r="L17893" s="31" t="str">
        <f t="shared" si="1729"/>
        <v>Sembilan Puluh Lima</v>
      </c>
    </row>
    <row r="17894" spans="1:12">
      <c r="J17894" s="31">
        <v>96</v>
      </c>
      <c r="K17894" s="33" t="s">
        <v>173</v>
      </c>
      <c r="L17894" s="31" t="str">
        <f t="shared" si="1729"/>
        <v>Sembilan Puluh Enam</v>
      </c>
    </row>
    <row r="17895" spans="1:12">
      <c r="J17895" s="31">
        <v>97</v>
      </c>
      <c r="K17895" s="33" t="s">
        <v>174</v>
      </c>
      <c r="L17895" s="31" t="str">
        <f t="shared" si="1729"/>
        <v>Sembilan Puluh Tujuh</v>
      </c>
    </row>
    <row r="17896" spans="1:12">
      <c r="J17896" s="31">
        <v>98</v>
      </c>
      <c r="K17896" s="33" t="s">
        <v>175</v>
      </c>
      <c r="L17896" s="31" t="str">
        <f t="shared" si="1729"/>
        <v>Sembilan Puluh Delapan</v>
      </c>
    </row>
    <row r="17897" spans="1:12">
      <c r="J17897" s="31">
        <v>99</v>
      </c>
      <c r="K17897" s="33" t="s">
        <v>176</v>
      </c>
      <c r="L17897" s="31" t="str">
        <f t="shared" si="1729"/>
        <v>Sembilan Puluh Sembilan</v>
      </c>
    </row>
    <row r="17899" spans="1:12">
      <c r="A17899" s="30" t="e">
        <f>#REF!</f>
        <v>#REF!</v>
      </c>
      <c r="C17899" s="31" t="s">
        <v>412</v>
      </c>
    </row>
    <row r="17900" spans="1:12">
      <c r="A17900" s="32"/>
    </row>
    <row r="17901" spans="1:12">
      <c r="J17901" s="31">
        <v>0</v>
      </c>
      <c r="K17901" s="33" t="s">
        <v>48</v>
      </c>
      <c r="L17901" s="31" t="s">
        <v>49</v>
      </c>
    </row>
    <row r="17902" spans="1:12">
      <c r="A17902" s="34"/>
      <c r="J17902" s="31">
        <v>1</v>
      </c>
      <c r="K17902" s="33" t="s">
        <v>50</v>
      </c>
      <c r="L17902" s="31" t="s">
        <v>51</v>
      </c>
    </row>
    <row r="17903" spans="1:12">
      <c r="A17903" s="255" t="e">
        <f>TRIM(D17911&amp;E17911&amp;D17912&amp;E17912&amp;D17913&amp;E17913&amp;D17914&amp;E17914&amp;D17915&amp;E17915&amp;D17916&amp;E17916&amp;E17917&amp;D17917&amp;" Only")</f>
        <v>#REF!</v>
      </c>
      <c r="B17903" s="255"/>
      <c r="C17903" s="255"/>
      <c r="D17903" s="255"/>
      <c r="E17903" s="35"/>
      <c r="F17903" s="36"/>
      <c r="J17903" s="31">
        <v>2</v>
      </c>
      <c r="K17903" s="33" t="s">
        <v>52</v>
      </c>
      <c r="L17903" s="31" t="s">
        <v>53</v>
      </c>
    </row>
    <row r="17904" spans="1:12">
      <c r="A17904" s="133"/>
      <c r="B17904" s="133"/>
      <c r="C17904" s="133"/>
      <c r="D17904" s="133"/>
      <c r="E17904" s="35"/>
      <c r="F17904" s="36"/>
      <c r="J17904" s="31">
        <v>3</v>
      </c>
      <c r="K17904" s="33" t="s">
        <v>54</v>
      </c>
      <c r="L17904" s="31" t="s">
        <v>55</v>
      </c>
    </row>
    <row r="17905" spans="1:12">
      <c r="A17905" s="133"/>
      <c r="B17905" s="133"/>
      <c r="C17905" s="133"/>
      <c r="D17905" s="133"/>
      <c r="J17905" s="31">
        <v>4</v>
      </c>
      <c r="K17905" s="33" t="s">
        <v>56</v>
      </c>
      <c r="L17905" s="31" t="s">
        <v>57</v>
      </c>
    </row>
    <row r="17906" spans="1:12">
      <c r="A17906" s="255" t="e">
        <f>TRIM(D17921&amp;E17921&amp;D17922&amp;E17922&amp;D17923&amp;E17923&amp;D17924&amp;E17924&amp;D17925&amp;E17925&amp;D17926&amp;E17926&amp;D17927&amp;E17927&amp;" Rupiah")</f>
        <v>#REF!</v>
      </c>
      <c r="B17906" s="255"/>
      <c r="C17906" s="255"/>
      <c r="D17906" s="255"/>
      <c r="E17906" s="35"/>
      <c r="F17906" s="36"/>
      <c r="J17906" s="31">
        <v>5</v>
      </c>
      <c r="K17906" s="33" t="s">
        <v>58</v>
      </c>
      <c r="L17906" s="31" t="s">
        <v>59</v>
      </c>
    </row>
    <row r="17907" spans="1:12">
      <c r="A17907" s="35"/>
      <c r="B17907" s="35"/>
      <c r="C17907" s="35"/>
      <c r="D17907" s="35"/>
      <c r="E17907" s="35"/>
      <c r="F17907" s="36"/>
      <c r="J17907" s="31">
        <v>6</v>
      </c>
      <c r="K17907" s="33" t="s">
        <v>60</v>
      </c>
      <c r="L17907" s="31" t="s">
        <v>61</v>
      </c>
    </row>
    <row r="17908" spans="1:12">
      <c r="J17908" s="31">
        <v>7</v>
      </c>
      <c r="K17908" s="33" t="s">
        <v>62</v>
      </c>
      <c r="L17908" s="31" t="s">
        <v>63</v>
      </c>
    </row>
    <row r="17909" spans="1:12">
      <c r="J17909" s="31">
        <v>8</v>
      </c>
      <c r="K17909" s="33" t="s">
        <v>64</v>
      </c>
      <c r="L17909" s="31" t="s">
        <v>65</v>
      </c>
    </row>
    <row r="17910" spans="1:12">
      <c r="A17910" s="38" t="s">
        <v>66</v>
      </c>
      <c r="J17910" s="31">
        <v>9</v>
      </c>
      <c r="K17910" s="33" t="s">
        <v>67</v>
      </c>
      <c r="L17910" s="31" t="s">
        <v>68</v>
      </c>
    </row>
    <row r="17911" spans="1:12">
      <c r="A17911" s="31" t="s">
        <v>69</v>
      </c>
      <c r="B17911" s="39" t="e">
        <f>TRUNC(A17899/100000000)</f>
        <v>#REF!</v>
      </c>
      <c r="C17911" s="31" t="e">
        <f>B17911*100000000</f>
        <v>#REF!</v>
      </c>
      <c r="D17911" s="31" t="e">
        <f t="shared" ref="D17911:D17917" si="1730">IF(B17911&lt;1,"",VLOOKUP(B17911,$J$3:$K$102,2))</f>
        <v>#REF!</v>
      </c>
      <c r="E17911" s="31" t="e">
        <f>IF(B17911&lt;1,"",IF(B17911&gt;1," Hundreds "," Hundred "))</f>
        <v>#REF!</v>
      </c>
      <c r="J17911" s="31">
        <v>10</v>
      </c>
      <c r="K17911" s="33" t="s">
        <v>70</v>
      </c>
      <c r="L17911" s="31" t="s">
        <v>71</v>
      </c>
    </row>
    <row r="17912" spans="1:12">
      <c r="A17912" s="31" t="s">
        <v>72</v>
      </c>
      <c r="B17912" s="39" t="e">
        <f>TRUNC((A17899-C17911)/1000000)</f>
        <v>#REF!</v>
      </c>
      <c r="C17912" s="31" t="e">
        <f>B17912*1000000</f>
        <v>#REF!</v>
      </c>
      <c r="D17912" s="31" t="e">
        <f t="shared" si="1730"/>
        <v>#REF!</v>
      </c>
      <c r="E17912" s="31" t="e">
        <f>IF(B17911+B17912=0,"",IF(B17912=1," Million "," Millions "))</f>
        <v>#REF!</v>
      </c>
      <c r="J17912" s="31">
        <v>11</v>
      </c>
      <c r="K17912" s="33" t="s">
        <v>73</v>
      </c>
      <c r="L17912" s="31" t="s">
        <v>74</v>
      </c>
    </row>
    <row r="17913" spans="1:12">
      <c r="A17913" s="31" t="s">
        <v>75</v>
      </c>
      <c r="B17913" s="39" t="e">
        <f>TRUNC((A17899-SUM(C17911:C17912))/100000)</f>
        <v>#REF!</v>
      </c>
      <c r="C17913" s="31" t="e">
        <f>B17913*100000</f>
        <v>#REF!</v>
      </c>
      <c r="D17913" s="31" t="e">
        <f t="shared" si="1730"/>
        <v>#REF!</v>
      </c>
      <c r="E17913" s="31" t="e">
        <f>IF(B17913&lt;1,"",IF(B17913&gt;1," Hundreds "," Hundred "))</f>
        <v>#REF!</v>
      </c>
      <c r="J17913" s="31">
        <v>12</v>
      </c>
      <c r="K17913" s="33" t="s">
        <v>76</v>
      </c>
      <c r="L17913" s="31" t="str">
        <f t="shared" ref="L17913:L17920" si="1731">L17903&amp;" Belas"</f>
        <v>Dua Belas</v>
      </c>
    </row>
    <row r="17914" spans="1:12">
      <c r="A17914" s="33" t="s">
        <v>77</v>
      </c>
      <c r="B17914" s="40" t="e">
        <f>TRUNC((A17899-SUM(C17911:C17913))/1000)</f>
        <v>#REF!</v>
      </c>
      <c r="C17914" s="31" t="e">
        <f>B17914*1000</f>
        <v>#REF!</v>
      </c>
      <c r="D17914" s="31" t="e">
        <f t="shared" si="1730"/>
        <v>#REF!</v>
      </c>
      <c r="E17914" s="31" t="e">
        <f>IF(B17913+B17914=0,"",IF(B17914=1," Thousand "," Thousands "))</f>
        <v>#REF!</v>
      </c>
      <c r="J17914" s="31">
        <v>13</v>
      </c>
      <c r="K17914" s="33" t="s">
        <v>78</v>
      </c>
      <c r="L17914" s="31" t="str">
        <f t="shared" si="1731"/>
        <v>Tiga Belas</v>
      </c>
    </row>
    <row r="17915" spans="1:12">
      <c r="A17915" s="33" t="s">
        <v>79</v>
      </c>
      <c r="B17915" s="40" t="e">
        <f>TRUNC((A17899-SUM(C17911:C17914))/100)</f>
        <v>#REF!</v>
      </c>
      <c r="C17915" s="31" t="e">
        <f>B17915*100</f>
        <v>#REF!</v>
      </c>
      <c r="D17915" s="31" t="e">
        <f t="shared" si="1730"/>
        <v>#REF!</v>
      </c>
      <c r="E17915" s="31" t="e">
        <f>IF(B17915&lt;1,"",IF(B17915&gt;1," Hundreds "," Hundred "))</f>
        <v>#REF!</v>
      </c>
      <c r="J17915" s="31">
        <v>14</v>
      </c>
      <c r="K17915" s="33" t="s">
        <v>80</v>
      </c>
      <c r="L17915" s="31" t="str">
        <f t="shared" si="1731"/>
        <v>Empat Belas</v>
      </c>
    </row>
    <row r="17916" spans="1:12">
      <c r="A17916" s="33" t="s">
        <v>81</v>
      </c>
      <c r="B17916" s="41" t="e">
        <f>TRUNC((A17899-SUM(C17911:C17915)))</f>
        <v>#REF!</v>
      </c>
      <c r="C17916" s="42" t="e">
        <f>B17916</f>
        <v>#REF!</v>
      </c>
      <c r="D17916" s="31" t="e">
        <f t="shared" si="1730"/>
        <v>#REF!</v>
      </c>
      <c r="E17916" s="31" t="e">
        <f>IF(SUM(C17911:C17916)&lt;1,"",IF(B17917&lt;1,""," And "))</f>
        <v>#REF!</v>
      </c>
      <c r="J17916" s="31">
        <v>15</v>
      </c>
      <c r="K17916" s="33" t="s">
        <v>82</v>
      </c>
      <c r="L17916" s="31" t="str">
        <f t="shared" si="1731"/>
        <v>Lima Belas</v>
      </c>
    </row>
    <row r="17917" spans="1:12">
      <c r="A17917" s="33" t="s">
        <v>83</v>
      </c>
      <c r="B17917" s="40" t="e">
        <f>ROUND(A17899-SUM(C17911:C17916),2)*100</f>
        <v>#REF!</v>
      </c>
      <c r="D17917" s="43" t="e">
        <f t="shared" si="1730"/>
        <v>#REF!</v>
      </c>
      <c r="E17917" s="31" t="e">
        <f>IF(B17917&lt;1,"",IF(B17917=1," Cent "," Cents "))</f>
        <v>#REF!</v>
      </c>
      <c r="J17917" s="31">
        <v>16</v>
      </c>
      <c r="K17917" s="33" t="s">
        <v>84</v>
      </c>
      <c r="L17917" s="31" t="str">
        <f t="shared" si="1731"/>
        <v>Enam Belas</v>
      </c>
    </row>
    <row r="17918" spans="1:12">
      <c r="J17918" s="31">
        <v>17</v>
      </c>
      <c r="K17918" s="33" t="s">
        <v>85</v>
      </c>
      <c r="L17918" s="31" t="str">
        <f t="shared" si="1731"/>
        <v>Tujuh Belas</v>
      </c>
    </row>
    <row r="17919" spans="1:12">
      <c r="A17919" s="44"/>
      <c r="J17919" s="31">
        <v>18</v>
      </c>
      <c r="K17919" s="33" t="s">
        <v>86</v>
      </c>
      <c r="L17919" s="31" t="str">
        <f t="shared" si="1731"/>
        <v>Delapan Belas</v>
      </c>
    </row>
    <row r="17920" spans="1:12">
      <c r="A17920" s="38" t="s">
        <v>87</v>
      </c>
      <c r="J17920" s="31">
        <v>19</v>
      </c>
      <c r="K17920" s="33" t="s">
        <v>88</v>
      </c>
      <c r="L17920" s="31" t="str">
        <f t="shared" si="1731"/>
        <v>Sembilan Belas</v>
      </c>
    </row>
    <row r="17921" spans="1:12">
      <c r="A17921" s="31" t="s">
        <v>69</v>
      </c>
      <c r="B17921" s="39" t="e">
        <f>TRUNC(A17899/100000000)</f>
        <v>#REF!</v>
      </c>
      <c r="C17921" s="31" t="e">
        <f>B17921*100000000</f>
        <v>#REF!</v>
      </c>
      <c r="D17921" s="31" t="e">
        <f>IF(B17921&lt;1,"",IF(B17921=1,"",VLOOKUP(B17921,$J$3:$L$102,3)))</f>
        <v>#REF!</v>
      </c>
      <c r="E17921" s="31" t="e">
        <f>IF(B17921&lt;1,"",IF(B17921=1,"Seratus "," Ratus "))</f>
        <v>#REF!</v>
      </c>
      <c r="J17921" s="31">
        <v>20</v>
      </c>
      <c r="K17921" s="33" t="s">
        <v>89</v>
      </c>
      <c r="L17921" s="31" t="s">
        <v>90</v>
      </c>
    </row>
    <row r="17922" spans="1:12">
      <c r="A17922" s="31" t="s">
        <v>72</v>
      </c>
      <c r="B17922" s="39" t="e">
        <f>TRUNC((A17899-C17921)/1000000)</f>
        <v>#REF!</v>
      </c>
      <c r="C17922" s="31" t="e">
        <f>B17922*1000000</f>
        <v>#REF!</v>
      </c>
      <c r="D17922" s="31" t="e">
        <f>IF(B17922&lt;1,"",VLOOKUP(B17922,$J$3:$L$102,3))</f>
        <v>#REF!</v>
      </c>
      <c r="E17922" s="31" t="e">
        <f>IF(B17921+B17922=0,""," Juta ")</f>
        <v>#REF!</v>
      </c>
      <c r="J17922" s="31">
        <v>21</v>
      </c>
      <c r="K17922" s="33" t="s">
        <v>91</v>
      </c>
      <c r="L17922" s="31" t="str">
        <f t="shared" ref="L17922:L17930" si="1732">$L$23&amp;" "&amp;L17902</f>
        <v>Dua Puluh Satu</v>
      </c>
    </row>
    <row r="17923" spans="1:12">
      <c r="A17923" s="31" t="s">
        <v>75</v>
      </c>
      <c r="B17923" s="39" t="e">
        <f>TRUNC((A17899-SUM(C17921:C17922))/100000)</f>
        <v>#REF!</v>
      </c>
      <c r="C17923" s="31" t="e">
        <f>B17923*100000</f>
        <v>#REF!</v>
      </c>
      <c r="D17923" s="31" t="e">
        <f>IF(B17923&lt;1,"",IF(B17923=1,"",VLOOKUP(B17923,$J$3:$L$102,3)))</f>
        <v>#REF!</v>
      </c>
      <c r="E17923" s="31" t="e">
        <f>IF(B17923&lt;1,"",IF(B17923=1," Seratus "," Ratus "))</f>
        <v>#REF!</v>
      </c>
      <c r="J17923" s="31">
        <v>22</v>
      </c>
      <c r="K17923" s="33" t="s">
        <v>92</v>
      </c>
      <c r="L17923" s="31" t="str">
        <f t="shared" si="1732"/>
        <v>Dua Puluh Dua</v>
      </c>
    </row>
    <row r="17924" spans="1:12">
      <c r="A17924" s="33" t="s">
        <v>77</v>
      </c>
      <c r="B17924" s="40" t="e">
        <f>TRUNC((A17899-SUM(C17921:C17923))/1000)</f>
        <v>#REF!</v>
      </c>
      <c r="C17924" s="31" t="e">
        <f>B17924*1000</f>
        <v>#REF!</v>
      </c>
      <c r="D17924" s="31" t="e">
        <f>IF(B17924&lt;1,"",IF(B17924=1,"",VLOOKUP(B17924,$J$3:$L$102,3)))</f>
        <v>#REF!</v>
      </c>
      <c r="E17924" s="31" t="e">
        <f>IF(B17923+B17924&lt;1,"",IF(B17924=1," Seribu "," Ribu "))</f>
        <v>#REF!</v>
      </c>
      <c r="J17924" s="31">
        <v>23</v>
      </c>
      <c r="K17924" s="33" t="s">
        <v>93</v>
      </c>
      <c r="L17924" s="31" t="str">
        <f t="shared" si="1732"/>
        <v>Dua Puluh Tiga</v>
      </c>
    </row>
    <row r="17925" spans="1:12">
      <c r="A17925" s="33" t="s">
        <v>79</v>
      </c>
      <c r="B17925" s="40" t="e">
        <f>TRUNC((A17899-SUM(C17921:C17924))/100)</f>
        <v>#REF!</v>
      </c>
      <c r="C17925" s="31" t="e">
        <f>B17925*100</f>
        <v>#REF!</v>
      </c>
      <c r="D17925" s="31" t="e">
        <f>IF(B17925&lt;1,"",IF(B17925=1,"",VLOOKUP(B17925,$J$3:$L$102,3)))</f>
        <v>#REF!</v>
      </c>
      <c r="E17925" s="31" t="e">
        <f>IF(B17925&lt;1,"",IF(B17925=1," Seratus "," Ratus "))</f>
        <v>#REF!</v>
      </c>
      <c r="J17925" s="31">
        <v>24</v>
      </c>
      <c r="K17925" s="33" t="s">
        <v>94</v>
      </c>
      <c r="L17925" s="31" t="str">
        <f t="shared" si="1732"/>
        <v>Dua Puluh Empat</v>
      </c>
    </row>
    <row r="17926" spans="1:12">
      <c r="A17926" s="33" t="s">
        <v>81</v>
      </c>
      <c r="B17926" s="41" t="e">
        <f>TRUNC((A17899-SUM(C17921:C17925)))</f>
        <v>#REF!</v>
      </c>
      <c r="C17926" s="42" t="e">
        <f>B17926</f>
        <v>#REF!</v>
      </c>
      <c r="D17926" s="31" t="e">
        <f>IF(B17926&lt;1,"",VLOOKUP(B17926,$J$3:$L$102,3))</f>
        <v>#REF!</v>
      </c>
      <c r="E17926" s="31" t="e">
        <f>IF(SUM(C17921:C17926)&lt;1,"",IF(B17927&lt;1,""," Dan "))</f>
        <v>#REF!</v>
      </c>
      <c r="J17926" s="31">
        <v>25</v>
      </c>
      <c r="K17926" s="33" t="s">
        <v>95</v>
      </c>
      <c r="L17926" s="31" t="str">
        <f t="shared" si="1732"/>
        <v>Dua Puluh Lima</v>
      </c>
    </row>
    <row r="17927" spans="1:12">
      <c r="A17927" s="33" t="s">
        <v>83</v>
      </c>
      <c r="B17927" s="40" t="e">
        <f>ROUND(A17899-SUM(C17921:C17926),2)*100</f>
        <v>#REF!</v>
      </c>
      <c r="D17927" s="31" t="e">
        <f>IF(B17927&lt;1,"",VLOOKUP(B17927,$J$3:$L$102,3))</f>
        <v>#REF!</v>
      </c>
      <c r="E17927" s="31" t="e">
        <f>IF(B17927&lt;1,""," Sen ")</f>
        <v>#REF!</v>
      </c>
      <c r="J17927" s="31">
        <v>26</v>
      </c>
      <c r="K17927" s="33" t="s">
        <v>96</v>
      </c>
      <c r="L17927" s="31" t="str">
        <f t="shared" si="1732"/>
        <v>Dua Puluh Enam</v>
      </c>
    </row>
    <row r="17928" spans="1:12">
      <c r="J17928" s="31">
        <v>27</v>
      </c>
      <c r="K17928" s="33" t="s">
        <v>97</v>
      </c>
      <c r="L17928" s="31" t="str">
        <f t="shared" si="1732"/>
        <v>Dua Puluh Tujuh</v>
      </c>
    </row>
    <row r="17929" spans="1:12">
      <c r="J17929" s="31">
        <v>28</v>
      </c>
      <c r="K17929" s="33" t="s">
        <v>98</v>
      </c>
      <c r="L17929" s="31" t="str">
        <f t="shared" si="1732"/>
        <v>Dua Puluh Delapan</v>
      </c>
    </row>
    <row r="17930" spans="1:12">
      <c r="J17930" s="31">
        <v>29</v>
      </c>
      <c r="K17930" s="33" t="s">
        <v>99</v>
      </c>
      <c r="L17930" s="31" t="str">
        <f t="shared" si="1732"/>
        <v>Dua Puluh Sembilan</v>
      </c>
    </row>
    <row r="17931" spans="1:12">
      <c r="J17931" s="31">
        <v>30</v>
      </c>
      <c r="K17931" s="33" t="s">
        <v>100</v>
      </c>
      <c r="L17931" s="31" t="s">
        <v>101</v>
      </c>
    </row>
    <row r="17932" spans="1:12">
      <c r="J17932" s="31">
        <v>31</v>
      </c>
      <c r="K17932" s="33" t="s">
        <v>102</v>
      </c>
      <c r="L17932" s="31" t="str">
        <f t="shared" ref="L17932:L17940" si="1733">$L$33&amp;" "&amp;L17902</f>
        <v>Tiga Puluh Satu</v>
      </c>
    </row>
    <row r="17933" spans="1:12">
      <c r="J17933" s="31">
        <v>32</v>
      </c>
      <c r="K17933" s="33" t="s">
        <v>103</v>
      </c>
      <c r="L17933" s="31" t="str">
        <f t="shared" si="1733"/>
        <v>Tiga Puluh Dua</v>
      </c>
    </row>
    <row r="17934" spans="1:12">
      <c r="J17934" s="31">
        <v>33</v>
      </c>
      <c r="K17934" s="33" t="s">
        <v>104</v>
      </c>
      <c r="L17934" s="31" t="str">
        <f t="shared" si="1733"/>
        <v>Tiga Puluh Tiga</v>
      </c>
    </row>
    <row r="17935" spans="1:12">
      <c r="J17935" s="31">
        <v>34</v>
      </c>
      <c r="K17935" s="33" t="s">
        <v>105</v>
      </c>
      <c r="L17935" s="31" t="str">
        <f t="shared" si="1733"/>
        <v>Tiga Puluh Empat</v>
      </c>
    </row>
    <row r="17936" spans="1:12">
      <c r="J17936" s="31">
        <v>35</v>
      </c>
      <c r="K17936" s="33" t="s">
        <v>106</v>
      </c>
      <c r="L17936" s="31" t="str">
        <f t="shared" si="1733"/>
        <v>Tiga Puluh Lima</v>
      </c>
    </row>
    <row r="17937" spans="1:12">
      <c r="J17937" s="31">
        <v>36</v>
      </c>
      <c r="K17937" s="33" t="s">
        <v>107</v>
      </c>
      <c r="L17937" s="31" t="str">
        <f t="shared" si="1733"/>
        <v>Tiga Puluh Enam</v>
      </c>
    </row>
    <row r="17938" spans="1:12">
      <c r="J17938" s="31">
        <v>37</v>
      </c>
      <c r="K17938" s="33" t="s">
        <v>108</v>
      </c>
      <c r="L17938" s="31" t="str">
        <f t="shared" si="1733"/>
        <v>Tiga Puluh Tujuh</v>
      </c>
    </row>
    <row r="17939" spans="1:12">
      <c r="J17939" s="31">
        <v>38</v>
      </c>
      <c r="K17939" s="33" t="s">
        <v>109</v>
      </c>
      <c r="L17939" s="31" t="str">
        <f t="shared" si="1733"/>
        <v>Tiga Puluh Delapan</v>
      </c>
    </row>
    <row r="17940" spans="1:12">
      <c r="J17940" s="31">
        <v>39</v>
      </c>
      <c r="K17940" s="33" t="s">
        <v>110</v>
      </c>
      <c r="L17940" s="31" t="str">
        <f t="shared" si="1733"/>
        <v>Tiga Puluh Sembilan</v>
      </c>
    </row>
    <row r="17941" spans="1:12">
      <c r="B17941" s="35"/>
      <c r="C17941" s="35"/>
      <c r="D17941" s="35"/>
      <c r="J17941" s="31">
        <v>40</v>
      </c>
      <c r="K17941" s="33" t="s">
        <v>111</v>
      </c>
      <c r="L17941" s="31" t="s">
        <v>112</v>
      </c>
    </row>
    <row r="17942" spans="1:12">
      <c r="A17942" s="35"/>
      <c r="B17942" s="35"/>
      <c r="C17942" s="35"/>
      <c r="D17942" s="35"/>
      <c r="J17942" s="31">
        <v>41</v>
      </c>
      <c r="K17942" s="33" t="s">
        <v>113</v>
      </c>
      <c r="L17942" s="31" t="str">
        <f t="shared" ref="L17942:L17950" si="1734">$L$43&amp;" "&amp;L17902</f>
        <v>Empat Puluh Satu</v>
      </c>
    </row>
    <row r="17943" spans="1:12">
      <c r="J17943" s="31">
        <v>42</v>
      </c>
      <c r="K17943" s="33" t="s">
        <v>114</v>
      </c>
      <c r="L17943" s="31" t="str">
        <f t="shared" si="1734"/>
        <v>Empat Puluh Dua</v>
      </c>
    </row>
    <row r="17944" spans="1:12">
      <c r="A17944" s="38"/>
      <c r="J17944" s="31">
        <v>43</v>
      </c>
      <c r="K17944" s="33" t="s">
        <v>115</v>
      </c>
      <c r="L17944" s="31" t="str">
        <f t="shared" si="1734"/>
        <v>Empat Puluh Tiga</v>
      </c>
    </row>
    <row r="17945" spans="1:12">
      <c r="J17945" s="31">
        <v>44</v>
      </c>
      <c r="K17945" s="33" t="s">
        <v>116</v>
      </c>
      <c r="L17945" s="31" t="str">
        <f t="shared" si="1734"/>
        <v>Empat Puluh Empat</v>
      </c>
    </row>
    <row r="17946" spans="1:12">
      <c r="J17946" s="31">
        <v>45</v>
      </c>
      <c r="K17946" s="33" t="s">
        <v>117</v>
      </c>
      <c r="L17946" s="31" t="str">
        <f t="shared" si="1734"/>
        <v>Empat Puluh Lima</v>
      </c>
    </row>
    <row r="17947" spans="1:12">
      <c r="J17947" s="31">
        <v>46</v>
      </c>
      <c r="K17947" s="33" t="s">
        <v>118</v>
      </c>
      <c r="L17947" s="31" t="str">
        <f t="shared" si="1734"/>
        <v>Empat Puluh Enam</v>
      </c>
    </row>
    <row r="17948" spans="1:12">
      <c r="J17948" s="31">
        <v>47</v>
      </c>
      <c r="K17948" s="33" t="s">
        <v>119</v>
      </c>
      <c r="L17948" s="31" t="str">
        <f t="shared" si="1734"/>
        <v>Empat Puluh Tujuh</v>
      </c>
    </row>
    <row r="17949" spans="1:12">
      <c r="J17949" s="31">
        <v>48</v>
      </c>
      <c r="K17949" s="33" t="s">
        <v>120</v>
      </c>
      <c r="L17949" s="31" t="str">
        <f t="shared" si="1734"/>
        <v>Empat Puluh Delapan</v>
      </c>
    </row>
    <row r="17950" spans="1:12">
      <c r="J17950" s="31">
        <v>49</v>
      </c>
      <c r="K17950" s="33" t="s">
        <v>121</v>
      </c>
      <c r="L17950" s="31" t="str">
        <f t="shared" si="1734"/>
        <v>Empat Puluh Sembilan</v>
      </c>
    </row>
    <row r="17951" spans="1:12">
      <c r="J17951" s="31">
        <v>50</v>
      </c>
      <c r="K17951" s="33" t="s">
        <v>122</v>
      </c>
      <c r="L17951" s="31" t="s">
        <v>123</v>
      </c>
    </row>
    <row r="17952" spans="1:12">
      <c r="J17952" s="31">
        <v>51</v>
      </c>
      <c r="K17952" s="33" t="s">
        <v>124</v>
      </c>
      <c r="L17952" s="31" t="str">
        <f t="shared" ref="L17952:L17960" si="1735">$L$53&amp;" "&amp;L17902</f>
        <v>Lima Puluh Satu</v>
      </c>
    </row>
    <row r="17953" spans="10:12">
      <c r="J17953" s="31">
        <v>52</v>
      </c>
      <c r="K17953" s="33" t="s">
        <v>125</v>
      </c>
      <c r="L17953" s="31" t="str">
        <f t="shared" si="1735"/>
        <v>Lima Puluh Dua</v>
      </c>
    </row>
    <row r="17954" spans="10:12">
      <c r="J17954" s="31">
        <v>53</v>
      </c>
      <c r="K17954" s="33" t="s">
        <v>126</v>
      </c>
      <c r="L17954" s="31" t="str">
        <f t="shared" si="1735"/>
        <v>Lima Puluh Tiga</v>
      </c>
    </row>
    <row r="17955" spans="10:12">
      <c r="J17955" s="31">
        <v>54</v>
      </c>
      <c r="K17955" s="33" t="s">
        <v>127</v>
      </c>
      <c r="L17955" s="31" t="str">
        <f t="shared" si="1735"/>
        <v>Lima Puluh Empat</v>
      </c>
    </row>
    <row r="17956" spans="10:12">
      <c r="J17956" s="31">
        <v>55</v>
      </c>
      <c r="K17956" s="33" t="s">
        <v>128</v>
      </c>
      <c r="L17956" s="31" t="str">
        <f t="shared" si="1735"/>
        <v>Lima Puluh Lima</v>
      </c>
    </row>
    <row r="17957" spans="10:12">
      <c r="J17957" s="31">
        <v>56</v>
      </c>
      <c r="K17957" s="33" t="s">
        <v>129</v>
      </c>
      <c r="L17957" s="31" t="str">
        <f t="shared" si="1735"/>
        <v>Lima Puluh Enam</v>
      </c>
    </row>
    <row r="17958" spans="10:12">
      <c r="J17958" s="31">
        <v>57</v>
      </c>
      <c r="K17958" s="33" t="s">
        <v>130</v>
      </c>
      <c r="L17958" s="31" t="str">
        <f t="shared" si="1735"/>
        <v>Lima Puluh Tujuh</v>
      </c>
    </row>
    <row r="17959" spans="10:12">
      <c r="J17959" s="31">
        <v>58</v>
      </c>
      <c r="K17959" s="33" t="s">
        <v>131</v>
      </c>
      <c r="L17959" s="31" t="str">
        <f t="shared" si="1735"/>
        <v>Lima Puluh Delapan</v>
      </c>
    </row>
    <row r="17960" spans="10:12">
      <c r="J17960" s="31">
        <v>59</v>
      </c>
      <c r="K17960" s="33" t="s">
        <v>132</v>
      </c>
      <c r="L17960" s="31" t="str">
        <f t="shared" si="1735"/>
        <v>Lima Puluh Sembilan</v>
      </c>
    </row>
    <row r="17961" spans="10:12">
      <c r="J17961" s="31">
        <v>60</v>
      </c>
      <c r="K17961" s="33" t="s">
        <v>133</v>
      </c>
      <c r="L17961" s="31" t="s">
        <v>134</v>
      </c>
    </row>
    <row r="17962" spans="10:12">
      <c r="J17962" s="31">
        <v>61</v>
      </c>
      <c r="K17962" s="33" t="s">
        <v>135</v>
      </c>
      <c r="L17962" s="31" t="str">
        <f t="shared" ref="L17962:L17970" si="1736">$L$63&amp;" "&amp;L17902</f>
        <v>Enam Puluh Satu</v>
      </c>
    </row>
    <row r="17963" spans="10:12">
      <c r="J17963" s="31">
        <v>62</v>
      </c>
      <c r="K17963" s="33" t="s">
        <v>136</v>
      </c>
      <c r="L17963" s="31" t="str">
        <f t="shared" si="1736"/>
        <v>Enam Puluh Dua</v>
      </c>
    </row>
    <row r="17964" spans="10:12">
      <c r="J17964" s="31">
        <v>63</v>
      </c>
      <c r="K17964" s="33" t="s">
        <v>137</v>
      </c>
      <c r="L17964" s="31" t="str">
        <f t="shared" si="1736"/>
        <v>Enam Puluh Tiga</v>
      </c>
    </row>
    <row r="17965" spans="10:12">
      <c r="J17965" s="31">
        <v>64</v>
      </c>
      <c r="K17965" s="33" t="s">
        <v>138</v>
      </c>
      <c r="L17965" s="31" t="str">
        <f t="shared" si="1736"/>
        <v>Enam Puluh Empat</v>
      </c>
    </row>
    <row r="17966" spans="10:12">
      <c r="J17966" s="31">
        <v>65</v>
      </c>
      <c r="K17966" s="33" t="s">
        <v>139</v>
      </c>
      <c r="L17966" s="31" t="str">
        <f t="shared" si="1736"/>
        <v>Enam Puluh Lima</v>
      </c>
    </row>
    <row r="17967" spans="10:12">
      <c r="J17967" s="31">
        <v>66</v>
      </c>
      <c r="K17967" s="33" t="s">
        <v>140</v>
      </c>
      <c r="L17967" s="31" t="str">
        <f t="shared" si="1736"/>
        <v>Enam Puluh Enam</v>
      </c>
    </row>
    <row r="17968" spans="10:12">
      <c r="J17968" s="31">
        <v>67</v>
      </c>
      <c r="K17968" s="33" t="s">
        <v>141</v>
      </c>
      <c r="L17968" s="31" t="str">
        <f t="shared" si="1736"/>
        <v>Enam Puluh Tujuh</v>
      </c>
    </row>
    <row r="17969" spans="10:12">
      <c r="J17969" s="31">
        <v>68</v>
      </c>
      <c r="K17969" s="33" t="s">
        <v>142</v>
      </c>
      <c r="L17969" s="31" t="str">
        <f t="shared" si="1736"/>
        <v>Enam Puluh Delapan</v>
      </c>
    </row>
    <row r="17970" spans="10:12">
      <c r="J17970" s="31">
        <v>69</v>
      </c>
      <c r="K17970" s="33" t="s">
        <v>143</v>
      </c>
      <c r="L17970" s="31" t="str">
        <f t="shared" si="1736"/>
        <v>Enam Puluh Sembilan</v>
      </c>
    </row>
    <row r="17971" spans="10:12">
      <c r="J17971" s="31">
        <v>70</v>
      </c>
      <c r="K17971" s="33" t="s">
        <v>144</v>
      </c>
      <c r="L17971" s="31" t="s">
        <v>145</v>
      </c>
    </row>
    <row r="17972" spans="10:12">
      <c r="J17972" s="31">
        <v>71</v>
      </c>
      <c r="K17972" s="33" t="s">
        <v>146</v>
      </c>
      <c r="L17972" s="31" t="str">
        <f t="shared" ref="L17972:L17980" si="1737">$L$73&amp;" "&amp;L17902</f>
        <v>Tujuh Puluh Satu</v>
      </c>
    </row>
    <row r="17973" spans="10:12">
      <c r="J17973" s="31">
        <v>72</v>
      </c>
      <c r="K17973" s="33" t="s">
        <v>147</v>
      </c>
      <c r="L17973" s="31" t="str">
        <f t="shared" si="1737"/>
        <v>Tujuh Puluh Dua</v>
      </c>
    </row>
    <row r="17974" spans="10:12">
      <c r="J17974" s="31">
        <v>73</v>
      </c>
      <c r="K17974" s="33" t="s">
        <v>148</v>
      </c>
      <c r="L17974" s="31" t="str">
        <f t="shared" si="1737"/>
        <v>Tujuh Puluh Tiga</v>
      </c>
    </row>
    <row r="17975" spans="10:12">
      <c r="J17975" s="31">
        <v>74</v>
      </c>
      <c r="K17975" s="33" t="s">
        <v>149</v>
      </c>
      <c r="L17975" s="31" t="str">
        <f t="shared" si="1737"/>
        <v>Tujuh Puluh Empat</v>
      </c>
    </row>
    <row r="17976" spans="10:12">
      <c r="J17976" s="31">
        <v>75</v>
      </c>
      <c r="K17976" s="33" t="s">
        <v>150</v>
      </c>
      <c r="L17976" s="31" t="str">
        <f t="shared" si="1737"/>
        <v>Tujuh Puluh Lima</v>
      </c>
    </row>
    <row r="17977" spans="10:12">
      <c r="J17977" s="31">
        <v>76</v>
      </c>
      <c r="K17977" s="33" t="s">
        <v>151</v>
      </c>
      <c r="L17977" s="31" t="str">
        <f t="shared" si="1737"/>
        <v>Tujuh Puluh Enam</v>
      </c>
    </row>
    <row r="17978" spans="10:12">
      <c r="J17978" s="31">
        <v>77</v>
      </c>
      <c r="K17978" s="33" t="s">
        <v>152</v>
      </c>
      <c r="L17978" s="31" t="str">
        <f t="shared" si="1737"/>
        <v>Tujuh Puluh Tujuh</v>
      </c>
    </row>
    <row r="17979" spans="10:12">
      <c r="J17979" s="31">
        <v>78</v>
      </c>
      <c r="K17979" s="33" t="s">
        <v>153</v>
      </c>
      <c r="L17979" s="31" t="str">
        <f t="shared" si="1737"/>
        <v>Tujuh Puluh Delapan</v>
      </c>
    </row>
    <row r="17980" spans="10:12">
      <c r="J17980" s="31">
        <v>79</v>
      </c>
      <c r="K17980" s="33" t="s">
        <v>154</v>
      </c>
      <c r="L17980" s="31" t="str">
        <f t="shared" si="1737"/>
        <v>Tujuh Puluh Sembilan</v>
      </c>
    </row>
    <row r="17981" spans="10:12">
      <c r="J17981" s="31">
        <v>80</v>
      </c>
      <c r="K17981" s="33" t="s">
        <v>155</v>
      </c>
      <c r="L17981" s="31" t="s">
        <v>156</v>
      </c>
    </row>
    <row r="17982" spans="10:12">
      <c r="J17982" s="31">
        <v>81</v>
      </c>
      <c r="K17982" s="33" t="s">
        <v>157</v>
      </c>
      <c r="L17982" s="31" t="str">
        <f t="shared" ref="L17982:L17990" si="1738">$L$83&amp;" "&amp;L17902</f>
        <v>Delapan Puluh Satu</v>
      </c>
    </row>
    <row r="17983" spans="10:12">
      <c r="J17983" s="31">
        <v>82</v>
      </c>
      <c r="K17983" s="33" t="s">
        <v>158</v>
      </c>
      <c r="L17983" s="31" t="str">
        <f t="shared" si="1738"/>
        <v>Delapan Puluh Dua</v>
      </c>
    </row>
    <row r="17984" spans="10:12">
      <c r="J17984" s="31">
        <v>83</v>
      </c>
      <c r="K17984" s="33" t="s">
        <v>159</v>
      </c>
      <c r="L17984" s="31" t="str">
        <f t="shared" si="1738"/>
        <v>Delapan Puluh Tiga</v>
      </c>
    </row>
    <row r="17985" spans="10:12">
      <c r="J17985" s="31">
        <v>84</v>
      </c>
      <c r="K17985" s="33" t="s">
        <v>160</v>
      </c>
      <c r="L17985" s="31" t="str">
        <f t="shared" si="1738"/>
        <v>Delapan Puluh Empat</v>
      </c>
    </row>
    <row r="17986" spans="10:12">
      <c r="J17986" s="31">
        <v>85</v>
      </c>
      <c r="K17986" s="33" t="s">
        <v>161</v>
      </c>
      <c r="L17986" s="31" t="str">
        <f t="shared" si="1738"/>
        <v>Delapan Puluh Lima</v>
      </c>
    </row>
    <row r="17987" spans="10:12">
      <c r="J17987" s="31">
        <v>86</v>
      </c>
      <c r="K17987" s="33" t="s">
        <v>162</v>
      </c>
      <c r="L17987" s="31" t="str">
        <f t="shared" si="1738"/>
        <v>Delapan Puluh Enam</v>
      </c>
    </row>
    <row r="17988" spans="10:12">
      <c r="J17988" s="31">
        <v>87</v>
      </c>
      <c r="K17988" s="33" t="s">
        <v>163</v>
      </c>
      <c r="L17988" s="31" t="str">
        <f t="shared" si="1738"/>
        <v>Delapan Puluh Tujuh</v>
      </c>
    </row>
    <row r="17989" spans="10:12">
      <c r="J17989" s="31">
        <v>88</v>
      </c>
      <c r="K17989" s="33" t="s">
        <v>164</v>
      </c>
      <c r="L17989" s="31" t="str">
        <f t="shared" si="1738"/>
        <v>Delapan Puluh Delapan</v>
      </c>
    </row>
    <row r="17990" spans="10:12">
      <c r="J17990" s="31">
        <v>89</v>
      </c>
      <c r="K17990" s="33" t="s">
        <v>165</v>
      </c>
      <c r="L17990" s="31" t="str">
        <f t="shared" si="1738"/>
        <v>Delapan Puluh Sembilan</v>
      </c>
    </row>
    <row r="17991" spans="10:12">
      <c r="J17991" s="31">
        <v>90</v>
      </c>
      <c r="K17991" s="33" t="s">
        <v>166</v>
      </c>
      <c r="L17991" s="31" t="s">
        <v>167</v>
      </c>
    </row>
    <row r="17992" spans="10:12">
      <c r="J17992" s="31">
        <v>91</v>
      </c>
      <c r="K17992" s="33" t="s">
        <v>168</v>
      </c>
      <c r="L17992" s="31" t="str">
        <f t="shared" ref="L17992:L18000" si="1739">$L$93&amp;" "&amp;L17902</f>
        <v>Sembilan Puluh Satu</v>
      </c>
    </row>
    <row r="17993" spans="10:12">
      <c r="J17993" s="31">
        <v>92</v>
      </c>
      <c r="K17993" s="33" t="s">
        <v>169</v>
      </c>
      <c r="L17993" s="31" t="str">
        <f t="shared" si="1739"/>
        <v>Sembilan Puluh Dua</v>
      </c>
    </row>
    <row r="17994" spans="10:12">
      <c r="J17994" s="31">
        <v>93</v>
      </c>
      <c r="K17994" s="33" t="s">
        <v>170</v>
      </c>
      <c r="L17994" s="31" t="str">
        <f t="shared" si="1739"/>
        <v>Sembilan Puluh Tiga</v>
      </c>
    </row>
    <row r="17995" spans="10:12">
      <c r="J17995" s="31">
        <v>94</v>
      </c>
      <c r="K17995" s="33" t="s">
        <v>171</v>
      </c>
      <c r="L17995" s="31" t="str">
        <f t="shared" si="1739"/>
        <v>Sembilan Puluh Empat</v>
      </c>
    </row>
    <row r="17996" spans="10:12">
      <c r="J17996" s="31">
        <v>95</v>
      </c>
      <c r="K17996" s="33" t="s">
        <v>172</v>
      </c>
      <c r="L17996" s="31" t="str">
        <f t="shared" si="1739"/>
        <v>Sembilan Puluh Lima</v>
      </c>
    </row>
    <row r="17997" spans="10:12">
      <c r="J17997" s="31">
        <v>96</v>
      </c>
      <c r="K17997" s="33" t="s">
        <v>173</v>
      </c>
      <c r="L17997" s="31" t="str">
        <f t="shared" si="1739"/>
        <v>Sembilan Puluh Enam</v>
      </c>
    </row>
    <row r="17998" spans="10:12">
      <c r="J17998" s="31">
        <v>97</v>
      </c>
      <c r="K17998" s="33" t="s">
        <v>174</v>
      </c>
      <c r="L17998" s="31" t="str">
        <f t="shared" si="1739"/>
        <v>Sembilan Puluh Tujuh</v>
      </c>
    </row>
    <row r="17999" spans="10:12">
      <c r="J17999" s="31">
        <v>98</v>
      </c>
      <c r="K17999" s="33" t="s">
        <v>175</v>
      </c>
      <c r="L17999" s="31" t="str">
        <f t="shared" si="1739"/>
        <v>Sembilan Puluh Delapan</v>
      </c>
    </row>
    <row r="18000" spans="10:12">
      <c r="J18000" s="31">
        <v>99</v>
      </c>
      <c r="K18000" s="33" t="s">
        <v>176</v>
      </c>
      <c r="L18000" s="31" t="str">
        <f t="shared" si="1739"/>
        <v>Sembilan Puluh Sembilan</v>
      </c>
    </row>
    <row r="18002" spans="1:12">
      <c r="A18002" s="30" t="e">
        <f>#REF!</f>
        <v>#REF!</v>
      </c>
      <c r="C18002" s="31" t="s">
        <v>357</v>
      </c>
    </row>
    <row r="18003" spans="1:12">
      <c r="A18003" s="32"/>
    </row>
    <row r="18004" spans="1:12">
      <c r="J18004" s="31">
        <v>0</v>
      </c>
      <c r="K18004" s="33" t="s">
        <v>48</v>
      </c>
      <c r="L18004" s="31" t="s">
        <v>49</v>
      </c>
    </row>
    <row r="18005" spans="1:12">
      <c r="A18005" s="34"/>
      <c r="J18005" s="31">
        <v>1</v>
      </c>
      <c r="K18005" s="33" t="s">
        <v>50</v>
      </c>
      <c r="L18005" s="31" t="s">
        <v>51</v>
      </c>
    </row>
    <row r="18006" spans="1:12">
      <c r="A18006" s="255" t="e">
        <f>TRIM(D18014&amp;E18014&amp;D18015&amp;E18015&amp;D18016&amp;E18016&amp;D18017&amp;E18017&amp;D18018&amp;E18018&amp;D18019&amp;E18019&amp;E18020&amp;D18020&amp;" Only")</f>
        <v>#REF!</v>
      </c>
      <c r="B18006" s="255"/>
      <c r="C18006" s="255"/>
      <c r="D18006" s="255"/>
      <c r="E18006" s="35"/>
      <c r="F18006" s="36"/>
      <c r="J18006" s="31">
        <v>2</v>
      </c>
      <c r="K18006" s="33" t="s">
        <v>52</v>
      </c>
      <c r="L18006" s="31" t="s">
        <v>53</v>
      </c>
    </row>
    <row r="18007" spans="1:12">
      <c r="A18007" s="133"/>
      <c r="B18007" s="133"/>
      <c r="C18007" s="133"/>
      <c r="D18007" s="133"/>
      <c r="E18007" s="35"/>
      <c r="F18007" s="36"/>
      <c r="J18007" s="31">
        <v>3</v>
      </c>
      <c r="K18007" s="33" t="s">
        <v>54</v>
      </c>
      <c r="L18007" s="31" t="s">
        <v>55</v>
      </c>
    </row>
    <row r="18008" spans="1:12">
      <c r="A18008" s="133"/>
      <c r="B18008" s="133"/>
      <c r="C18008" s="133"/>
      <c r="D18008" s="133"/>
      <c r="J18008" s="31">
        <v>4</v>
      </c>
      <c r="K18008" s="33" t="s">
        <v>56</v>
      </c>
      <c r="L18008" s="31" t="s">
        <v>57</v>
      </c>
    </row>
    <row r="18009" spans="1:12">
      <c r="A18009" s="255" t="e">
        <f>TRIM(D18024&amp;E18024&amp;D18025&amp;E18025&amp;D18026&amp;E18026&amp;D18027&amp;E18027&amp;D18028&amp;E18028&amp;D18029&amp;E18029&amp;D18030&amp;E18030&amp;" Rupiah")</f>
        <v>#REF!</v>
      </c>
      <c r="B18009" s="255"/>
      <c r="C18009" s="255"/>
      <c r="D18009" s="255"/>
      <c r="E18009" s="35"/>
      <c r="F18009" s="36"/>
      <c r="J18009" s="31">
        <v>5</v>
      </c>
      <c r="K18009" s="33" t="s">
        <v>58</v>
      </c>
      <c r="L18009" s="31" t="s">
        <v>59</v>
      </c>
    </row>
    <row r="18010" spans="1:12">
      <c r="A18010" s="35"/>
      <c r="B18010" s="35"/>
      <c r="C18010" s="35"/>
      <c r="D18010" s="35"/>
      <c r="E18010" s="35"/>
      <c r="F18010" s="36"/>
      <c r="J18010" s="31">
        <v>6</v>
      </c>
      <c r="K18010" s="33" t="s">
        <v>60</v>
      </c>
      <c r="L18010" s="31" t="s">
        <v>61</v>
      </c>
    </row>
    <row r="18011" spans="1:12">
      <c r="J18011" s="31">
        <v>7</v>
      </c>
      <c r="K18011" s="33" t="s">
        <v>62</v>
      </c>
      <c r="L18011" s="31" t="s">
        <v>63</v>
      </c>
    </row>
    <row r="18012" spans="1:12">
      <c r="J18012" s="31">
        <v>8</v>
      </c>
      <c r="K18012" s="33" t="s">
        <v>64</v>
      </c>
      <c r="L18012" s="31" t="s">
        <v>65</v>
      </c>
    </row>
    <row r="18013" spans="1:12">
      <c r="A18013" s="38" t="s">
        <v>66</v>
      </c>
      <c r="J18013" s="31">
        <v>9</v>
      </c>
      <c r="K18013" s="33" t="s">
        <v>67</v>
      </c>
      <c r="L18013" s="31" t="s">
        <v>68</v>
      </c>
    </row>
    <row r="18014" spans="1:12">
      <c r="A18014" s="31" t="s">
        <v>69</v>
      </c>
      <c r="B18014" s="39" t="e">
        <f>TRUNC(A18002/100000000)</f>
        <v>#REF!</v>
      </c>
      <c r="C18014" s="31" t="e">
        <f>B18014*100000000</f>
        <v>#REF!</v>
      </c>
      <c r="D18014" s="31" t="e">
        <f t="shared" ref="D18014:D18020" si="1740">IF(B18014&lt;1,"",VLOOKUP(B18014,$J$3:$K$102,2))</f>
        <v>#REF!</v>
      </c>
      <c r="E18014" s="31" t="e">
        <f>IF(B18014&lt;1,"",IF(B18014&gt;1," Hundreds "," Hundred "))</f>
        <v>#REF!</v>
      </c>
      <c r="J18014" s="31">
        <v>10</v>
      </c>
      <c r="K18014" s="33" t="s">
        <v>70</v>
      </c>
      <c r="L18014" s="31" t="s">
        <v>71</v>
      </c>
    </row>
    <row r="18015" spans="1:12">
      <c r="A18015" s="31" t="s">
        <v>72</v>
      </c>
      <c r="B18015" s="39" t="e">
        <f>TRUNC((A18002-C18014)/1000000)</f>
        <v>#REF!</v>
      </c>
      <c r="C18015" s="31" t="e">
        <f>B18015*1000000</f>
        <v>#REF!</v>
      </c>
      <c r="D18015" s="31" t="e">
        <f t="shared" si="1740"/>
        <v>#REF!</v>
      </c>
      <c r="E18015" s="31" t="e">
        <f>IF(B18014+B18015=0,"",IF(B18015=1," Million "," Millions "))</f>
        <v>#REF!</v>
      </c>
      <c r="J18015" s="31">
        <v>11</v>
      </c>
      <c r="K18015" s="33" t="s">
        <v>73</v>
      </c>
      <c r="L18015" s="31" t="s">
        <v>74</v>
      </c>
    </row>
    <row r="18016" spans="1:12">
      <c r="A18016" s="31" t="s">
        <v>75</v>
      </c>
      <c r="B18016" s="39" t="e">
        <f>TRUNC((A18002-SUM(C18014:C18015))/100000)</f>
        <v>#REF!</v>
      </c>
      <c r="C18016" s="31" t="e">
        <f>B18016*100000</f>
        <v>#REF!</v>
      </c>
      <c r="D18016" s="31" t="e">
        <f t="shared" si="1740"/>
        <v>#REF!</v>
      </c>
      <c r="E18016" s="31" t="e">
        <f>IF(B18016&lt;1,"",IF(B18016&gt;1," Hundreds "," Hundred "))</f>
        <v>#REF!</v>
      </c>
      <c r="J18016" s="31">
        <v>12</v>
      </c>
      <c r="K18016" s="33" t="s">
        <v>76</v>
      </c>
      <c r="L18016" s="31" t="str">
        <f t="shared" ref="L18016:L18023" si="1741">L18006&amp;" Belas"</f>
        <v>Dua Belas</v>
      </c>
    </row>
    <row r="18017" spans="1:12">
      <c r="A18017" s="33" t="s">
        <v>77</v>
      </c>
      <c r="B18017" s="40" t="e">
        <f>TRUNC((A18002-SUM(C18014:C18016))/1000)</f>
        <v>#REF!</v>
      </c>
      <c r="C18017" s="31" t="e">
        <f>B18017*1000</f>
        <v>#REF!</v>
      </c>
      <c r="D18017" s="31" t="e">
        <f t="shared" si="1740"/>
        <v>#REF!</v>
      </c>
      <c r="E18017" s="31" t="e">
        <f>IF(B18016+B18017=0,"",IF(B18017=1," Thousand "," Thousands "))</f>
        <v>#REF!</v>
      </c>
      <c r="J18017" s="31">
        <v>13</v>
      </c>
      <c r="K18017" s="33" t="s">
        <v>78</v>
      </c>
      <c r="L18017" s="31" t="str">
        <f t="shared" si="1741"/>
        <v>Tiga Belas</v>
      </c>
    </row>
    <row r="18018" spans="1:12">
      <c r="A18018" s="33" t="s">
        <v>79</v>
      </c>
      <c r="B18018" s="40" t="e">
        <f>TRUNC((A18002-SUM(C18014:C18017))/100)</f>
        <v>#REF!</v>
      </c>
      <c r="C18018" s="31" t="e">
        <f>B18018*100</f>
        <v>#REF!</v>
      </c>
      <c r="D18018" s="31" t="e">
        <f t="shared" si="1740"/>
        <v>#REF!</v>
      </c>
      <c r="E18018" s="31" t="e">
        <f>IF(B18018&lt;1,"",IF(B18018&gt;1," Hundreds "," Hundred "))</f>
        <v>#REF!</v>
      </c>
      <c r="J18018" s="31">
        <v>14</v>
      </c>
      <c r="K18018" s="33" t="s">
        <v>80</v>
      </c>
      <c r="L18018" s="31" t="str">
        <f t="shared" si="1741"/>
        <v>Empat Belas</v>
      </c>
    </row>
    <row r="18019" spans="1:12">
      <c r="A18019" s="33" t="s">
        <v>81</v>
      </c>
      <c r="B18019" s="41" t="e">
        <f>TRUNC((A18002-SUM(C18014:C18018)))</f>
        <v>#REF!</v>
      </c>
      <c r="C18019" s="42" t="e">
        <f>B18019</f>
        <v>#REF!</v>
      </c>
      <c r="D18019" s="31" t="e">
        <f t="shared" si="1740"/>
        <v>#REF!</v>
      </c>
      <c r="E18019" s="31" t="e">
        <f>IF(SUM(C18014:C18019)&lt;1,"",IF(B18020&lt;1,""," And "))</f>
        <v>#REF!</v>
      </c>
      <c r="J18019" s="31">
        <v>15</v>
      </c>
      <c r="K18019" s="33" t="s">
        <v>82</v>
      </c>
      <c r="L18019" s="31" t="str">
        <f t="shared" si="1741"/>
        <v>Lima Belas</v>
      </c>
    </row>
    <row r="18020" spans="1:12">
      <c r="A18020" s="33" t="s">
        <v>83</v>
      </c>
      <c r="B18020" s="40" t="e">
        <f>ROUND(A18002-SUM(C18014:C18019),2)*100</f>
        <v>#REF!</v>
      </c>
      <c r="D18020" s="43" t="e">
        <f t="shared" si="1740"/>
        <v>#REF!</v>
      </c>
      <c r="E18020" s="31" t="e">
        <f>IF(B18020&lt;1,"",IF(B18020=1," Cent "," Cents "))</f>
        <v>#REF!</v>
      </c>
      <c r="J18020" s="31">
        <v>16</v>
      </c>
      <c r="K18020" s="33" t="s">
        <v>84</v>
      </c>
      <c r="L18020" s="31" t="str">
        <f t="shared" si="1741"/>
        <v>Enam Belas</v>
      </c>
    </row>
    <row r="18021" spans="1:12">
      <c r="J18021" s="31">
        <v>17</v>
      </c>
      <c r="K18021" s="33" t="s">
        <v>85</v>
      </c>
      <c r="L18021" s="31" t="str">
        <f t="shared" si="1741"/>
        <v>Tujuh Belas</v>
      </c>
    </row>
    <row r="18022" spans="1:12">
      <c r="A18022" s="44"/>
      <c r="J18022" s="31">
        <v>18</v>
      </c>
      <c r="K18022" s="33" t="s">
        <v>86</v>
      </c>
      <c r="L18022" s="31" t="str">
        <f t="shared" si="1741"/>
        <v>Delapan Belas</v>
      </c>
    </row>
    <row r="18023" spans="1:12">
      <c r="A18023" s="38" t="s">
        <v>87</v>
      </c>
      <c r="J18023" s="31">
        <v>19</v>
      </c>
      <c r="K18023" s="33" t="s">
        <v>88</v>
      </c>
      <c r="L18023" s="31" t="str">
        <f t="shared" si="1741"/>
        <v>Sembilan Belas</v>
      </c>
    </row>
    <row r="18024" spans="1:12">
      <c r="A18024" s="31" t="s">
        <v>69</v>
      </c>
      <c r="B18024" s="39" t="e">
        <f>TRUNC(A18002/100000000)</f>
        <v>#REF!</v>
      </c>
      <c r="C18024" s="31" t="e">
        <f>B18024*100000000</f>
        <v>#REF!</v>
      </c>
      <c r="D18024" s="31" t="e">
        <f>IF(B18024&lt;1,"",IF(B18024=1,"",VLOOKUP(B18024,$J$3:$L$102,3)))</f>
        <v>#REF!</v>
      </c>
      <c r="E18024" s="31" t="e">
        <f>IF(B18024&lt;1,"",IF(B18024=1,"Seratus "," Ratus "))</f>
        <v>#REF!</v>
      </c>
      <c r="J18024" s="31">
        <v>20</v>
      </c>
      <c r="K18024" s="33" t="s">
        <v>89</v>
      </c>
      <c r="L18024" s="31" t="s">
        <v>90</v>
      </c>
    </row>
    <row r="18025" spans="1:12">
      <c r="A18025" s="31" t="s">
        <v>72</v>
      </c>
      <c r="B18025" s="39" t="e">
        <f>TRUNC((A18002-C18024)/1000000)</f>
        <v>#REF!</v>
      </c>
      <c r="C18025" s="31" t="e">
        <f>B18025*1000000</f>
        <v>#REF!</v>
      </c>
      <c r="D18025" s="31" t="e">
        <f>IF(B18025&lt;1,"",VLOOKUP(B18025,$J$3:$L$102,3))</f>
        <v>#REF!</v>
      </c>
      <c r="E18025" s="31" t="e">
        <f>IF(B18024+B18025=0,""," Juta ")</f>
        <v>#REF!</v>
      </c>
      <c r="J18025" s="31">
        <v>21</v>
      </c>
      <c r="K18025" s="33" t="s">
        <v>91</v>
      </c>
      <c r="L18025" s="31" t="str">
        <f t="shared" ref="L18025:L18033" si="1742">$L$23&amp;" "&amp;L18005</f>
        <v>Dua Puluh Satu</v>
      </c>
    </row>
    <row r="18026" spans="1:12">
      <c r="A18026" s="31" t="s">
        <v>75</v>
      </c>
      <c r="B18026" s="39" t="e">
        <f>TRUNC((A18002-SUM(C18024:C18025))/100000)</f>
        <v>#REF!</v>
      </c>
      <c r="C18026" s="31" t="e">
        <f>B18026*100000</f>
        <v>#REF!</v>
      </c>
      <c r="D18026" s="31" t="e">
        <f>IF(B18026&lt;1,"",IF(B18026=1,"",VLOOKUP(B18026,$J$3:$L$102,3)))</f>
        <v>#REF!</v>
      </c>
      <c r="E18026" s="31" t="e">
        <f>IF(B18026&lt;1,"",IF(B18026=1," Seratus "," Ratus "))</f>
        <v>#REF!</v>
      </c>
      <c r="J18026" s="31">
        <v>22</v>
      </c>
      <c r="K18026" s="33" t="s">
        <v>92</v>
      </c>
      <c r="L18026" s="31" t="str">
        <f t="shared" si="1742"/>
        <v>Dua Puluh Dua</v>
      </c>
    </row>
    <row r="18027" spans="1:12">
      <c r="A18027" s="33" t="s">
        <v>77</v>
      </c>
      <c r="B18027" s="40" t="e">
        <f>TRUNC((A18002-SUM(C18024:C18026))/1000)</f>
        <v>#REF!</v>
      </c>
      <c r="C18027" s="31" t="e">
        <f>B18027*1000</f>
        <v>#REF!</v>
      </c>
      <c r="D18027" s="31" t="e">
        <f>IF(B18027&lt;1,"",IF(B18027=1,"",VLOOKUP(B18027,$J$3:$L$102,3)))</f>
        <v>#REF!</v>
      </c>
      <c r="E18027" s="31" t="e">
        <f>IF(B18026+B18027&lt;1,"",IF(B18027=1," Seribu "," Ribu "))</f>
        <v>#REF!</v>
      </c>
      <c r="J18027" s="31">
        <v>23</v>
      </c>
      <c r="K18027" s="33" t="s">
        <v>93</v>
      </c>
      <c r="L18027" s="31" t="str">
        <f t="shared" si="1742"/>
        <v>Dua Puluh Tiga</v>
      </c>
    </row>
    <row r="18028" spans="1:12">
      <c r="A18028" s="33" t="s">
        <v>79</v>
      </c>
      <c r="B18028" s="40" t="e">
        <f>TRUNC((A18002-SUM(C18024:C18027))/100)</f>
        <v>#REF!</v>
      </c>
      <c r="C18028" s="31" t="e">
        <f>B18028*100</f>
        <v>#REF!</v>
      </c>
      <c r="D18028" s="31" t="e">
        <f>IF(B18028&lt;1,"",IF(B18028=1,"",VLOOKUP(B18028,$J$3:$L$102,3)))</f>
        <v>#REF!</v>
      </c>
      <c r="E18028" s="31" t="e">
        <f>IF(B18028&lt;1,"",IF(B18028=1," Seratus "," Ratus "))</f>
        <v>#REF!</v>
      </c>
      <c r="J18028" s="31">
        <v>24</v>
      </c>
      <c r="K18028" s="33" t="s">
        <v>94</v>
      </c>
      <c r="L18028" s="31" t="str">
        <f t="shared" si="1742"/>
        <v>Dua Puluh Empat</v>
      </c>
    </row>
    <row r="18029" spans="1:12">
      <c r="A18029" s="33" t="s">
        <v>81</v>
      </c>
      <c r="B18029" s="41" t="e">
        <f>TRUNC((A18002-SUM(C18024:C18028)))</f>
        <v>#REF!</v>
      </c>
      <c r="C18029" s="42" t="e">
        <f>B18029</f>
        <v>#REF!</v>
      </c>
      <c r="D18029" s="31" t="e">
        <f>IF(B18029&lt;1,"",VLOOKUP(B18029,$J$3:$L$102,3))</f>
        <v>#REF!</v>
      </c>
      <c r="E18029" s="31" t="e">
        <f>IF(SUM(C18024:C18029)&lt;1,"",IF(B18030&lt;1,""," Dan "))</f>
        <v>#REF!</v>
      </c>
      <c r="J18029" s="31">
        <v>25</v>
      </c>
      <c r="K18029" s="33" t="s">
        <v>95</v>
      </c>
      <c r="L18029" s="31" t="str">
        <f t="shared" si="1742"/>
        <v>Dua Puluh Lima</v>
      </c>
    </row>
    <row r="18030" spans="1:12">
      <c r="A18030" s="33" t="s">
        <v>83</v>
      </c>
      <c r="B18030" s="40" t="e">
        <f>ROUND(A18002-SUM(C18024:C18029),2)*100</f>
        <v>#REF!</v>
      </c>
      <c r="D18030" s="31" t="e">
        <f>IF(B18030&lt;1,"",VLOOKUP(B18030,$J$3:$L$102,3))</f>
        <v>#REF!</v>
      </c>
      <c r="E18030" s="31" t="e">
        <f>IF(B18030&lt;1,""," Sen ")</f>
        <v>#REF!</v>
      </c>
      <c r="J18030" s="31">
        <v>26</v>
      </c>
      <c r="K18030" s="33" t="s">
        <v>96</v>
      </c>
      <c r="L18030" s="31" t="str">
        <f t="shared" si="1742"/>
        <v>Dua Puluh Enam</v>
      </c>
    </row>
    <row r="18031" spans="1:12">
      <c r="J18031" s="31">
        <v>27</v>
      </c>
      <c r="K18031" s="33" t="s">
        <v>97</v>
      </c>
      <c r="L18031" s="31" t="str">
        <f t="shared" si="1742"/>
        <v>Dua Puluh Tujuh</v>
      </c>
    </row>
    <row r="18032" spans="1:12">
      <c r="J18032" s="31">
        <v>28</v>
      </c>
      <c r="K18032" s="33" t="s">
        <v>98</v>
      </c>
      <c r="L18032" s="31" t="str">
        <f t="shared" si="1742"/>
        <v>Dua Puluh Delapan</v>
      </c>
    </row>
    <row r="18033" spans="1:12">
      <c r="J18033" s="31">
        <v>29</v>
      </c>
      <c r="K18033" s="33" t="s">
        <v>99</v>
      </c>
      <c r="L18033" s="31" t="str">
        <f t="shared" si="1742"/>
        <v>Dua Puluh Sembilan</v>
      </c>
    </row>
    <row r="18034" spans="1:12">
      <c r="J18034" s="31">
        <v>30</v>
      </c>
      <c r="K18034" s="33" t="s">
        <v>100</v>
      </c>
      <c r="L18034" s="31" t="s">
        <v>101</v>
      </c>
    </row>
    <row r="18035" spans="1:12">
      <c r="J18035" s="31">
        <v>31</v>
      </c>
      <c r="K18035" s="33" t="s">
        <v>102</v>
      </c>
      <c r="L18035" s="31" t="str">
        <f t="shared" ref="L18035:L18043" si="1743">$L$33&amp;" "&amp;L18005</f>
        <v>Tiga Puluh Satu</v>
      </c>
    </row>
    <row r="18036" spans="1:12">
      <c r="J18036" s="31">
        <v>32</v>
      </c>
      <c r="K18036" s="33" t="s">
        <v>103</v>
      </c>
      <c r="L18036" s="31" t="str">
        <f t="shared" si="1743"/>
        <v>Tiga Puluh Dua</v>
      </c>
    </row>
    <row r="18037" spans="1:12">
      <c r="J18037" s="31">
        <v>33</v>
      </c>
      <c r="K18037" s="33" t="s">
        <v>104</v>
      </c>
      <c r="L18037" s="31" t="str">
        <f t="shared" si="1743"/>
        <v>Tiga Puluh Tiga</v>
      </c>
    </row>
    <row r="18038" spans="1:12">
      <c r="J18038" s="31">
        <v>34</v>
      </c>
      <c r="K18038" s="33" t="s">
        <v>105</v>
      </c>
      <c r="L18038" s="31" t="str">
        <f t="shared" si="1743"/>
        <v>Tiga Puluh Empat</v>
      </c>
    </row>
    <row r="18039" spans="1:12">
      <c r="J18039" s="31">
        <v>35</v>
      </c>
      <c r="K18039" s="33" t="s">
        <v>106</v>
      </c>
      <c r="L18039" s="31" t="str">
        <f t="shared" si="1743"/>
        <v>Tiga Puluh Lima</v>
      </c>
    </row>
    <row r="18040" spans="1:12">
      <c r="J18040" s="31">
        <v>36</v>
      </c>
      <c r="K18040" s="33" t="s">
        <v>107</v>
      </c>
      <c r="L18040" s="31" t="str">
        <f t="shared" si="1743"/>
        <v>Tiga Puluh Enam</v>
      </c>
    </row>
    <row r="18041" spans="1:12">
      <c r="J18041" s="31">
        <v>37</v>
      </c>
      <c r="K18041" s="33" t="s">
        <v>108</v>
      </c>
      <c r="L18041" s="31" t="str">
        <f t="shared" si="1743"/>
        <v>Tiga Puluh Tujuh</v>
      </c>
    </row>
    <row r="18042" spans="1:12">
      <c r="J18042" s="31">
        <v>38</v>
      </c>
      <c r="K18042" s="33" t="s">
        <v>109</v>
      </c>
      <c r="L18042" s="31" t="str">
        <f t="shared" si="1743"/>
        <v>Tiga Puluh Delapan</v>
      </c>
    </row>
    <row r="18043" spans="1:12">
      <c r="J18043" s="31">
        <v>39</v>
      </c>
      <c r="K18043" s="33" t="s">
        <v>110</v>
      </c>
      <c r="L18043" s="31" t="str">
        <f t="shared" si="1743"/>
        <v>Tiga Puluh Sembilan</v>
      </c>
    </row>
    <row r="18044" spans="1:12">
      <c r="B18044" s="35"/>
      <c r="C18044" s="35"/>
      <c r="D18044" s="35"/>
      <c r="J18044" s="31">
        <v>40</v>
      </c>
      <c r="K18044" s="33" t="s">
        <v>111</v>
      </c>
      <c r="L18044" s="31" t="s">
        <v>112</v>
      </c>
    </row>
    <row r="18045" spans="1:12">
      <c r="A18045" s="35"/>
      <c r="B18045" s="35"/>
      <c r="C18045" s="35"/>
      <c r="D18045" s="35"/>
      <c r="J18045" s="31">
        <v>41</v>
      </c>
      <c r="K18045" s="33" t="s">
        <v>113</v>
      </c>
      <c r="L18045" s="31" t="str">
        <f t="shared" ref="L18045:L18053" si="1744">$L$43&amp;" "&amp;L18005</f>
        <v>Empat Puluh Satu</v>
      </c>
    </row>
    <row r="18046" spans="1:12">
      <c r="J18046" s="31">
        <v>42</v>
      </c>
      <c r="K18046" s="33" t="s">
        <v>114</v>
      </c>
      <c r="L18046" s="31" t="str">
        <f t="shared" si="1744"/>
        <v>Empat Puluh Dua</v>
      </c>
    </row>
    <row r="18047" spans="1:12">
      <c r="A18047" s="38"/>
      <c r="J18047" s="31">
        <v>43</v>
      </c>
      <c r="K18047" s="33" t="s">
        <v>115</v>
      </c>
      <c r="L18047" s="31" t="str">
        <f t="shared" si="1744"/>
        <v>Empat Puluh Tiga</v>
      </c>
    </row>
    <row r="18048" spans="1:12">
      <c r="J18048" s="31">
        <v>44</v>
      </c>
      <c r="K18048" s="33" t="s">
        <v>116</v>
      </c>
      <c r="L18048" s="31" t="str">
        <f t="shared" si="1744"/>
        <v>Empat Puluh Empat</v>
      </c>
    </row>
    <row r="18049" spans="10:12">
      <c r="J18049" s="31">
        <v>45</v>
      </c>
      <c r="K18049" s="33" t="s">
        <v>117</v>
      </c>
      <c r="L18049" s="31" t="str">
        <f t="shared" si="1744"/>
        <v>Empat Puluh Lima</v>
      </c>
    </row>
    <row r="18050" spans="10:12">
      <c r="J18050" s="31">
        <v>46</v>
      </c>
      <c r="K18050" s="33" t="s">
        <v>118</v>
      </c>
      <c r="L18050" s="31" t="str">
        <f t="shared" si="1744"/>
        <v>Empat Puluh Enam</v>
      </c>
    </row>
    <row r="18051" spans="10:12">
      <c r="J18051" s="31">
        <v>47</v>
      </c>
      <c r="K18051" s="33" t="s">
        <v>119</v>
      </c>
      <c r="L18051" s="31" t="str">
        <f t="shared" si="1744"/>
        <v>Empat Puluh Tujuh</v>
      </c>
    </row>
    <row r="18052" spans="10:12">
      <c r="J18052" s="31">
        <v>48</v>
      </c>
      <c r="K18052" s="33" t="s">
        <v>120</v>
      </c>
      <c r="L18052" s="31" t="str">
        <f t="shared" si="1744"/>
        <v>Empat Puluh Delapan</v>
      </c>
    </row>
    <row r="18053" spans="10:12">
      <c r="J18053" s="31">
        <v>49</v>
      </c>
      <c r="K18053" s="33" t="s">
        <v>121</v>
      </c>
      <c r="L18053" s="31" t="str">
        <f t="shared" si="1744"/>
        <v>Empat Puluh Sembilan</v>
      </c>
    </row>
    <row r="18054" spans="10:12">
      <c r="J18054" s="31">
        <v>50</v>
      </c>
      <c r="K18054" s="33" t="s">
        <v>122</v>
      </c>
      <c r="L18054" s="31" t="s">
        <v>123</v>
      </c>
    </row>
    <row r="18055" spans="10:12">
      <c r="J18055" s="31">
        <v>51</v>
      </c>
      <c r="K18055" s="33" t="s">
        <v>124</v>
      </c>
      <c r="L18055" s="31" t="str">
        <f t="shared" ref="L18055:L18063" si="1745">$L$53&amp;" "&amp;L18005</f>
        <v>Lima Puluh Satu</v>
      </c>
    </row>
    <row r="18056" spans="10:12">
      <c r="J18056" s="31">
        <v>52</v>
      </c>
      <c r="K18056" s="33" t="s">
        <v>125</v>
      </c>
      <c r="L18056" s="31" t="str">
        <f t="shared" si="1745"/>
        <v>Lima Puluh Dua</v>
      </c>
    </row>
    <row r="18057" spans="10:12">
      <c r="J18057" s="31">
        <v>53</v>
      </c>
      <c r="K18057" s="33" t="s">
        <v>126</v>
      </c>
      <c r="L18057" s="31" t="str">
        <f t="shared" si="1745"/>
        <v>Lima Puluh Tiga</v>
      </c>
    </row>
    <row r="18058" spans="10:12">
      <c r="J18058" s="31">
        <v>54</v>
      </c>
      <c r="K18058" s="33" t="s">
        <v>127</v>
      </c>
      <c r="L18058" s="31" t="str">
        <f t="shared" si="1745"/>
        <v>Lima Puluh Empat</v>
      </c>
    </row>
    <row r="18059" spans="10:12">
      <c r="J18059" s="31">
        <v>55</v>
      </c>
      <c r="K18059" s="33" t="s">
        <v>128</v>
      </c>
      <c r="L18059" s="31" t="str">
        <f t="shared" si="1745"/>
        <v>Lima Puluh Lima</v>
      </c>
    </row>
    <row r="18060" spans="10:12">
      <c r="J18060" s="31">
        <v>56</v>
      </c>
      <c r="K18060" s="33" t="s">
        <v>129</v>
      </c>
      <c r="L18060" s="31" t="str">
        <f t="shared" si="1745"/>
        <v>Lima Puluh Enam</v>
      </c>
    </row>
    <row r="18061" spans="10:12">
      <c r="J18061" s="31">
        <v>57</v>
      </c>
      <c r="K18061" s="33" t="s">
        <v>130</v>
      </c>
      <c r="L18061" s="31" t="str">
        <f t="shared" si="1745"/>
        <v>Lima Puluh Tujuh</v>
      </c>
    </row>
    <row r="18062" spans="10:12">
      <c r="J18062" s="31">
        <v>58</v>
      </c>
      <c r="K18062" s="33" t="s">
        <v>131</v>
      </c>
      <c r="L18062" s="31" t="str">
        <f t="shared" si="1745"/>
        <v>Lima Puluh Delapan</v>
      </c>
    </row>
    <row r="18063" spans="10:12">
      <c r="J18063" s="31">
        <v>59</v>
      </c>
      <c r="K18063" s="33" t="s">
        <v>132</v>
      </c>
      <c r="L18063" s="31" t="str">
        <f t="shared" si="1745"/>
        <v>Lima Puluh Sembilan</v>
      </c>
    </row>
    <row r="18064" spans="10:12">
      <c r="J18064" s="31">
        <v>60</v>
      </c>
      <c r="K18064" s="33" t="s">
        <v>133</v>
      </c>
      <c r="L18064" s="31" t="s">
        <v>134</v>
      </c>
    </row>
    <row r="18065" spans="10:12">
      <c r="J18065" s="31">
        <v>61</v>
      </c>
      <c r="K18065" s="33" t="s">
        <v>135</v>
      </c>
      <c r="L18065" s="31" t="str">
        <f t="shared" ref="L18065:L18073" si="1746">$L$63&amp;" "&amp;L18005</f>
        <v>Enam Puluh Satu</v>
      </c>
    </row>
    <row r="18066" spans="10:12">
      <c r="J18066" s="31">
        <v>62</v>
      </c>
      <c r="K18066" s="33" t="s">
        <v>136</v>
      </c>
      <c r="L18066" s="31" t="str">
        <f t="shared" si="1746"/>
        <v>Enam Puluh Dua</v>
      </c>
    </row>
    <row r="18067" spans="10:12">
      <c r="J18067" s="31">
        <v>63</v>
      </c>
      <c r="K18067" s="33" t="s">
        <v>137</v>
      </c>
      <c r="L18067" s="31" t="str">
        <f t="shared" si="1746"/>
        <v>Enam Puluh Tiga</v>
      </c>
    </row>
    <row r="18068" spans="10:12">
      <c r="J18068" s="31">
        <v>64</v>
      </c>
      <c r="K18068" s="33" t="s">
        <v>138</v>
      </c>
      <c r="L18068" s="31" t="str">
        <f t="shared" si="1746"/>
        <v>Enam Puluh Empat</v>
      </c>
    </row>
    <row r="18069" spans="10:12">
      <c r="J18069" s="31">
        <v>65</v>
      </c>
      <c r="K18069" s="33" t="s">
        <v>139</v>
      </c>
      <c r="L18069" s="31" t="str">
        <f t="shared" si="1746"/>
        <v>Enam Puluh Lima</v>
      </c>
    </row>
    <row r="18070" spans="10:12">
      <c r="J18070" s="31">
        <v>66</v>
      </c>
      <c r="K18070" s="33" t="s">
        <v>140</v>
      </c>
      <c r="L18070" s="31" t="str">
        <f t="shared" si="1746"/>
        <v>Enam Puluh Enam</v>
      </c>
    </row>
    <row r="18071" spans="10:12">
      <c r="J18071" s="31">
        <v>67</v>
      </c>
      <c r="K18071" s="33" t="s">
        <v>141</v>
      </c>
      <c r="L18071" s="31" t="str">
        <f t="shared" si="1746"/>
        <v>Enam Puluh Tujuh</v>
      </c>
    </row>
    <row r="18072" spans="10:12">
      <c r="J18072" s="31">
        <v>68</v>
      </c>
      <c r="K18072" s="33" t="s">
        <v>142</v>
      </c>
      <c r="L18072" s="31" t="str">
        <f t="shared" si="1746"/>
        <v>Enam Puluh Delapan</v>
      </c>
    </row>
    <row r="18073" spans="10:12">
      <c r="J18073" s="31">
        <v>69</v>
      </c>
      <c r="K18073" s="33" t="s">
        <v>143</v>
      </c>
      <c r="L18073" s="31" t="str">
        <f t="shared" si="1746"/>
        <v>Enam Puluh Sembilan</v>
      </c>
    </row>
    <row r="18074" spans="10:12">
      <c r="J18074" s="31">
        <v>70</v>
      </c>
      <c r="K18074" s="33" t="s">
        <v>144</v>
      </c>
      <c r="L18074" s="31" t="s">
        <v>145</v>
      </c>
    </row>
    <row r="18075" spans="10:12">
      <c r="J18075" s="31">
        <v>71</v>
      </c>
      <c r="K18075" s="33" t="s">
        <v>146</v>
      </c>
      <c r="L18075" s="31" t="str">
        <f t="shared" ref="L18075:L18083" si="1747">$L$73&amp;" "&amp;L18005</f>
        <v>Tujuh Puluh Satu</v>
      </c>
    </row>
    <row r="18076" spans="10:12">
      <c r="J18076" s="31">
        <v>72</v>
      </c>
      <c r="K18076" s="33" t="s">
        <v>147</v>
      </c>
      <c r="L18076" s="31" t="str">
        <f t="shared" si="1747"/>
        <v>Tujuh Puluh Dua</v>
      </c>
    </row>
    <row r="18077" spans="10:12">
      <c r="J18077" s="31">
        <v>73</v>
      </c>
      <c r="K18077" s="33" t="s">
        <v>148</v>
      </c>
      <c r="L18077" s="31" t="str">
        <f t="shared" si="1747"/>
        <v>Tujuh Puluh Tiga</v>
      </c>
    </row>
    <row r="18078" spans="10:12">
      <c r="J18078" s="31">
        <v>74</v>
      </c>
      <c r="K18078" s="33" t="s">
        <v>149</v>
      </c>
      <c r="L18078" s="31" t="str">
        <f t="shared" si="1747"/>
        <v>Tujuh Puluh Empat</v>
      </c>
    </row>
    <row r="18079" spans="10:12">
      <c r="J18079" s="31">
        <v>75</v>
      </c>
      <c r="K18079" s="33" t="s">
        <v>150</v>
      </c>
      <c r="L18079" s="31" t="str">
        <f t="shared" si="1747"/>
        <v>Tujuh Puluh Lima</v>
      </c>
    </row>
    <row r="18080" spans="10:12">
      <c r="J18080" s="31">
        <v>76</v>
      </c>
      <c r="K18080" s="33" t="s">
        <v>151</v>
      </c>
      <c r="L18080" s="31" t="str">
        <f t="shared" si="1747"/>
        <v>Tujuh Puluh Enam</v>
      </c>
    </row>
    <row r="18081" spans="10:12">
      <c r="J18081" s="31">
        <v>77</v>
      </c>
      <c r="K18081" s="33" t="s">
        <v>152</v>
      </c>
      <c r="L18081" s="31" t="str">
        <f t="shared" si="1747"/>
        <v>Tujuh Puluh Tujuh</v>
      </c>
    </row>
    <row r="18082" spans="10:12">
      <c r="J18082" s="31">
        <v>78</v>
      </c>
      <c r="K18082" s="33" t="s">
        <v>153</v>
      </c>
      <c r="L18082" s="31" t="str">
        <f t="shared" si="1747"/>
        <v>Tujuh Puluh Delapan</v>
      </c>
    </row>
    <row r="18083" spans="10:12">
      <c r="J18083" s="31">
        <v>79</v>
      </c>
      <c r="K18083" s="33" t="s">
        <v>154</v>
      </c>
      <c r="L18083" s="31" t="str">
        <f t="shared" si="1747"/>
        <v>Tujuh Puluh Sembilan</v>
      </c>
    </row>
    <row r="18084" spans="10:12">
      <c r="J18084" s="31">
        <v>80</v>
      </c>
      <c r="K18084" s="33" t="s">
        <v>155</v>
      </c>
      <c r="L18084" s="31" t="s">
        <v>156</v>
      </c>
    </row>
    <row r="18085" spans="10:12">
      <c r="J18085" s="31">
        <v>81</v>
      </c>
      <c r="K18085" s="33" t="s">
        <v>157</v>
      </c>
      <c r="L18085" s="31" t="str">
        <f t="shared" ref="L18085:L18093" si="1748">$L$83&amp;" "&amp;L18005</f>
        <v>Delapan Puluh Satu</v>
      </c>
    </row>
    <row r="18086" spans="10:12">
      <c r="J18086" s="31">
        <v>82</v>
      </c>
      <c r="K18086" s="33" t="s">
        <v>158</v>
      </c>
      <c r="L18086" s="31" t="str">
        <f t="shared" si="1748"/>
        <v>Delapan Puluh Dua</v>
      </c>
    </row>
    <row r="18087" spans="10:12">
      <c r="J18087" s="31">
        <v>83</v>
      </c>
      <c r="K18087" s="33" t="s">
        <v>159</v>
      </c>
      <c r="L18087" s="31" t="str">
        <f t="shared" si="1748"/>
        <v>Delapan Puluh Tiga</v>
      </c>
    </row>
    <row r="18088" spans="10:12">
      <c r="J18088" s="31">
        <v>84</v>
      </c>
      <c r="K18088" s="33" t="s">
        <v>160</v>
      </c>
      <c r="L18088" s="31" t="str">
        <f t="shared" si="1748"/>
        <v>Delapan Puluh Empat</v>
      </c>
    </row>
    <row r="18089" spans="10:12">
      <c r="J18089" s="31">
        <v>85</v>
      </c>
      <c r="K18089" s="33" t="s">
        <v>161</v>
      </c>
      <c r="L18089" s="31" t="str">
        <f t="shared" si="1748"/>
        <v>Delapan Puluh Lima</v>
      </c>
    </row>
    <row r="18090" spans="10:12">
      <c r="J18090" s="31">
        <v>86</v>
      </c>
      <c r="K18090" s="33" t="s">
        <v>162</v>
      </c>
      <c r="L18090" s="31" t="str">
        <f t="shared" si="1748"/>
        <v>Delapan Puluh Enam</v>
      </c>
    </row>
    <row r="18091" spans="10:12">
      <c r="J18091" s="31">
        <v>87</v>
      </c>
      <c r="K18091" s="33" t="s">
        <v>163</v>
      </c>
      <c r="L18091" s="31" t="str">
        <f t="shared" si="1748"/>
        <v>Delapan Puluh Tujuh</v>
      </c>
    </row>
    <row r="18092" spans="10:12">
      <c r="J18092" s="31">
        <v>88</v>
      </c>
      <c r="K18092" s="33" t="s">
        <v>164</v>
      </c>
      <c r="L18092" s="31" t="str">
        <f t="shared" si="1748"/>
        <v>Delapan Puluh Delapan</v>
      </c>
    </row>
    <row r="18093" spans="10:12">
      <c r="J18093" s="31">
        <v>89</v>
      </c>
      <c r="K18093" s="33" t="s">
        <v>165</v>
      </c>
      <c r="L18093" s="31" t="str">
        <f t="shared" si="1748"/>
        <v>Delapan Puluh Sembilan</v>
      </c>
    </row>
    <row r="18094" spans="10:12">
      <c r="J18094" s="31">
        <v>90</v>
      </c>
      <c r="K18094" s="33" t="s">
        <v>166</v>
      </c>
      <c r="L18094" s="31" t="s">
        <v>167</v>
      </c>
    </row>
    <row r="18095" spans="10:12">
      <c r="J18095" s="31">
        <v>91</v>
      </c>
      <c r="K18095" s="33" t="s">
        <v>168</v>
      </c>
      <c r="L18095" s="31" t="str">
        <f t="shared" ref="L18095:L18103" si="1749">$L$93&amp;" "&amp;L18005</f>
        <v>Sembilan Puluh Satu</v>
      </c>
    </row>
    <row r="18096" spans="10:12">
      <c r="J18096" s="31">
        <v>92</v>
      </c>
      <c r="K18096" s="33" t="s">
        <v>169</v>
      </c>
      <c r="L18096" s="31" t="str">
        <f t="shared" si="1749"/>
        <v>Sembilan Puluh Dua</v>
      </c>
    </row>
    <row r="18097" spans="1:12">
      <c r="J18097" s="31">
        <v>93</v>
      </c>
      <c r="K18097" s="33" t="s">
        <v>170</v>
      </c>
      <c r="L18097" s="31" t="str">
        <f t="shared" si="1749"/>
        <v>Sembilan Puluh Tiga</v>
      </c>
    </row>
    <row r="18098" spans="1:12">
      <c r="J18098" s="31">
        <v>94</v>
      </c>
      <c r="K18098" s="33" t="s">
        <v>171</v>
      </c>
      <c r="L18098" s="31" t="str">
        <f t="shared" si="1749"/>
        <v>Sembilan Puluh Empat</v>
      </c>
    </row>
    <row r="18099" spans="1:12">
      <c r="J18099" s="31">
        <v>95</v>
      </c>
      <c r="K18099" s="33" t="s">
        <v>172</v>
      </c>
      <c r="L18099" s="31" t="str">
        <f t="shared" si="1749"/>
        <v>Sembilan Puluh Lima</v>
      </c>
    </row>
    <row r="18100" spans="1:12">
      <c r="J18100" s="31">
        <v>96</v>
      </c>
      <c r="K18100" s="33" t="s">
        <v>173</v>
      </c>
      <c r="L18100" s="31" t="str">
        <f t="shared" si="1749"/>
        <v>Sembilan Puluh Enam</v>
      </c>
    </row>
    <row r="18101" spans="1:12">
      <c r="J18101" s="31">
        <v>97</v>
      </c>
      <c r="K18101" s="33" t="s">
        <v>174</v>
      </c>
      <c r="L18101" s="31" t="str">
        <f t="shared" si="1749"/>
        <v>Sembilan Puluh Tujuh</v>
      </c>
    </row>
    <row r="18102" spans="1:12">
      <c r="J18102" s="31">
        <v>98</v>
      </c>
      <c r="K18102" s="33" t="s">
        <v>175</v>
      </c>
      <c r="L18102" s="31" t="str">
        <f t="shared" si="1749"/>
        <v>Sembilan Puluh Delapan</v>
      </c>
    </row>
    <row r="18103" spans="1:12">
      <c r="J18103" s="31">
        <v>99</v>
      </c>
      <c r="K18103" s="33" t="s">
        <v>176</v>
      </c>
      <c r="L18103" s="31" t="str">
        <f t="shared" si="1749"/>
        <v>Sembilan Puluh Sembilan</v>
      </c>
    </row>
    <row r="18105" spans="1:12">
      <c r="A18105" s="30" t="e">
        <f>#REF!</f>
        <v>#REF!</v>
      </c>
      <c r="C18105" s="31" t="s">
        <v>414</v>
      </c>
    </row>
    <row r="18106" spans="1:12">
      <c r="A18106" s="32"/>
    </row>
    <row r="18107" spans="1:12">
      <c r="J18107" s="31">
        <v>0</v>
      </c>
      <c r="K18107" s="33" t="s">
        <v>48</v>
      </c>
      <c r="L18107" s="31" t="s">
        <v>49</v>
      </c>
    </row>
    <row r="18108" spans="1:12">
      <c r="A18108" s="34"/>
      <c r="J18108" s="31">
        <v>1</v>
      </c>
      <c r="K18108" s="33" t="s">
        <v>50</v>
      </c>
      <c r="L18108" s="31" t="s">
        <v>51</v>
      </c>
    </row>
    <row r="18109" spans="1:12">
      <c r="A18109" s="255" t="e">
        <f>TRIM(D18117&amp;E18117&amp;D18118&amp;E18118&amp;D18119&amp;E18119&amp;D18120&amp;E18120&amp;D18121&amp;E18121&amp;D18122&amp;E18122&amp;E18123&amp;D18123&amp;" Only")</f>
        <v>#REF!</v>
      </c>
      <c r="B18109" s="255"/>
      <c r="C18109" s="255"/>
      <c r="D18109" s="255"/>
      <c r="E18109" s="35"/>
      <c r="F18109" s="36"/>
      <c r="J18109" s="31">
        <v>2</v>
      </c>
      <c r="K18109" s="33" t="s">
        <v>52</v>
      </c>
      <c r="L18109" s="31" t="s">
        <v>53</v>
      </c>
    </row>
    <row r="18110" spans="1:12">
      <c r="A18110" s="134"/>
      <c r="B18110" s="134"/>
      <c r="C18110" s="134"/>
      <c r="D18110" s="134"/>
      <c r="E18110" s="35"/>
      <c r="F18110" s="36"/>
      <c r="J18110" s="31">
        <v>3</v>
      </c>
      <c r="K18110" s="33" t="s">
        <v>54</v>
      </c>
      <c r="L18110" s="31" t="s">
        <v>55</v>
      </c>
    </row>
    <row r="18111" spans="1:12">
      <c r="A18111" s="134"/>
      <c r="B18111" s="134"/>
      <c r="C18111" s="134"/>
      <c r="D18111" s="134"/>
      <c r="J18111" s="31">
        <v>4</v>
      </c>
      <c r="K18111" s="33" t="s">
        <v>56</v>
      </c>
      <c r="L18111" s="31" t="s">
        <v>57</v>
      </c>
    </row>
    <row r="18112" spans="1:12">
      <c r="A18112" s="255" t="e">
        <f>TRIM(D18127&amp;E18127&amp;D18128&amp;E18128&amp;D18129&amp;E18129&amp;D18130&amp;E18130&amp;D18131&amp;E18131&amp;D18132&amp;E18132&amp;D18133&amp;E18133&amp;" Rupiah")</f>
        <v>#REF!</v>
      </c>
      <c r="B18112" s="255"/>
      <c r="C18112" s="255"/>
      <c r="D18112" s="255"/>
      <c r="E18112" s="35"/>
      <c r="F18112" s="36"/>
      <c r="J18112" s="31">
        <v>5</v>
      </c>
      <c r="K18112" s="33" t="s">
        <v>58</v>
      </c>
      <c r="L18112" s="31" t="s">
        <v>59</v>
      </c>
    </row>
    <row r="18113" spans="1:12">
      <c r="A18113" s="35"/>
      <c r="B18113" s="35"/>
      <c r="C18113" s="35"/>
      <c r="D18113" s="35"/>
      <c r="E18113" s="35"/>
      <c r="F18113" s="36"/>
      <c r="J18113" s="31">
        <v>6</v>
      </c>
      <c r="K18113" s="33" t="s">
        <v>60</v>
      </c>
      <c r="L18113" s="31" t="s">
        <v>61</v>
      </c>
    </row>
    <row r="18114" spans="1:12">
      <c r="J18114" s="31">
        <v>7</v>
      </c>
      <c r="K18114" s="33" t="s">
        <v>62</v>
      </c>
      <c r="L18114" s="31" t="s">
        <v>63</v>
      </c>
    </row>
    <row r="18115" spans="1:12">
      <c r="J18115" s="31">
        <v>8</v>
      </c>
      <c r="K18115" s="33" t="s">
        <v>64</v>
      </c>
      <c r="L18115" s="31" t="s">
        <v>65</v>
      </c>
    </row>
    <row r="18116" spans="1:12">
      <c r="A18116" s="38" t="s">
        <v>66</v>
      </c>
      <c r="J18116" s="31">
        <v>9</v>
      </c>
      <c r="K18116" s="33" t="s">
        <v>67</v>
      </c>
      <c r="L18116" s="31" t="s">
        <v>68</v>
      </c>
    </row>
    <row r="18117" spans="1:12">
      <c r="A18117" s="31" t="s">
        <v>69</v>
      </c>
      <c r="B18117" s="39" t="e">
        <f>TRUNC(A18105/100000000)</f>
        <v>#REF!</v>
      </c>
      <c r="C18117" s="31" t="e">
        <f>B18117*100000000</f>
        <v>#REF!</v>
      </c>
      <c r="D18117" s="31" t="e">
        <f t="shared" ref="D18117:D18123" si="1750">IF(B18117&lt;1,"",VLOOKUP(B18117,$J$3:$K$102,2))</f>
        <v>#REF!</v>
      </c>
      <c r="E18117" s="31" t="e">
        <f>IF(B18117&lt;1,"",IF(B18117&gt;1," Hundreds "," Hundred "))</f>
        <v>#REF!</v>
      </c>
      <c r="J18117" s="31">
        <v>10</v>
      </c>
      <c r="K18117" s="33" t="s">
        <v>70</v>
      </c>
      <c r="L18117" s="31" t="s">
        <v>71</v>
      </c>
    </row>
    <row r="18118" spans="1:12">
      <c r="A18118" s="31" t="s">
        <v>72</v>
      </c>
      <c r="B18118" s="39" t="e">
        <f>TRUNC((A18105-C18117)/1000000)</f>
        <v>#REF!</v>
      </c>
      <c r="C18118" s="31" t="e">
        <f>B18118*1000000</f>
        <v>#REF!</v>
      </c>
      <c r="D18118" s="31" t="e">
        <f t="shared" si="1750"/>
        <v>#REF!</v>
      </c>
      <c r="E18118" s="31" t="e">
        <f>IF(B18117+B18118=0,"",IF(B18118=1," Million "," Millions "))</f>
        <v>#REF!</v>
      </c>
      <c r="J18118" s="31">
        <v>11</v>
      </c>
      <c r="K18118" s="33" t="s">
        <v>73</v>
      </c>
      <c r="L18118" s="31" t="s">
        <v>74</v>
      </c>
    </row>
    <row r="18119" spans="1:12">
      <c r="A18119" s="31" t="s">
        <v>75</v>
      </c>
      <c r="B18119" s="39" t="e">
        <f>TRUNC((A18105-SUM(C18117:C18118))/100000)</f>
        <v>#REF!</v>
      </c>
      <c r="C18119" s="31" t="e">
        <f>B18119*100000</f>
        <v>#REF!</v>
      </c>
      <c r="D18119" s="31" t="e">
        <f t="shared" si="1750"/>
        <v>#REF!</v>
      </c>
      <c r="E18119" s="31" t="e">
        <f>IF(B18119&lt;1,"",IF(B18119&gt;1," Hundreds "," Hundred "))</f>
        <v>#REF!</v>
      </c>
      <c r="J18119" s="31">
        <v>12</v>
      </c>
      <c r="K18119" s="33" t="s">
        <v>76</v>
      </c>
      <c r="L18119" s="31" t="str">
        <f t="shared" ref="L18119:L18126" si="1751">L18109&amp;" Belas"</f>
        <v>Dua Belas</v>
      </c>
    </row>
    <row r="18120" spans="1:12">
      <c r="A18120" s="33" t="s">
        <v>77</v>
      </c>
      <c r="B18120" s="40" t="e">
        <f>TRUNC((A18105-SUM(C18117:C18119))/1000)</f>
        <v>#REF!</v>
      </c>
      <c r="C18120" s="31" t="e">
        <f>B18120*1000</f>
        <v>#REF!</v>
      </c>
      <c r="D18120" s="31" t="e">
        <f t="shared" si="1750"/>
        <v>#REF!</v>
      </c>
      <c r="E18120" s="31" t="e">
        <f>IF(B18119+B18120=0,"",IF(B18120=1," Thousand "," Thousands "))</f>
        <v>#REF!</v>
      </c>
      <c r="J18120" s="31">
        <v>13</v>
      </c>
      <c r="K18120" s="33" t="s">
        <v>78</v>
      </c>
      <c r="L18120" s="31" t="str">
        <f t="shared" si="1751"/>
        <v>Tiga Belas</v>
      </c>
    </row>
    <row r="18121" spans="1:12">
      <c r="A18121" s="33" t="s">
        <v>79</v>
      </c>
      <c r="B18121" s="40" t="e">
        <f>TRUNC((A18105-SUM(C18117:C18120))/100)</f>
        <v>#REF!</v>
      </c>
      <c r="C18121" s="31" t="e">
        <f>B18121*100</f>
        <v>#REF!</v>
      </c>
      <c r="D18121" s="31" t="e">
        <f t="shared" si="1750"/>
        <v>#REF!</v>
      </c>
      <c r="E18121" s="31" t="e">
        <f>IF(B18121&lt;1,"",IF(B18121&gt;1," Hundreds "," Hundred "))</f>
        <v>#REF!</v>
      </c>
      <c r="J18121" s="31">
        <v>14</v>
      </c>
      <c r="K18121" s="33" t="s">
        <v>80</v>
      </c>
      <c r="L18121" s="31" t="str">
        <f t="shared" si="1751"/>
        <v>Empat Belas</v>
      </c>
    </row>
    <row r="18122" spans="1:12">
      <c r="A18122" s="33" t="s">
        <v>81</v>
      </c>
      <c r="B18122" s="41" t="e">
        <f>TRUNC((A18105-SUM(C18117:C18121)))</f>
        <v>#REF!</v>
      </c>
      <c r="C18122" s="42" t="e">
        <f>B18122</f>
        <v>#REF!</v>
      </c>
      <c r="D18122" s="31" t="e">
        <f t="shared" si="1750"/>
        <v>#REF!</v>
      </c>
      <c r="E18122" s="31" t="e">
        <f>IF(SUM(C18117:C18122)&lt;1,"",IF(B18123&lt;1,""," And "))</f>
        <v>#REF!</v>
      </c>
      <c r="J18122" s="31">
        <v>15</v>
      </c>
      <c r="K18122" s="33" t="s">
        <v>82</v>
      </c>
      <c r="L18122" s="31" t="str">
        <f t="shared" si="1751"/>
        <v>Lima Belas</v>
      </c>
    </row>
    <row r="18123" spans="1:12">
      <c r="A18123" s="33" t="s">
        <v>83</v>
      </c>
      <c r="B18123" s="40" t="e">
        <f>ROUND(A18105-SUM(C18117:C18122),2)*100</f>
        <v>#REF!</v>
      </c>
      <c r="D18123" s="43" t="e">
        <f t="shared" si="1750"/>
        <v>#REF!</v>
      </c>
      <c r="E18123" s="31" t="e">
        <f>IF(B18123&lt;1,"",IF(B18123=1," Cent "," Cents "))</f>
        <v>#REF!</v>
      </c>
      <c r="J18123" s="31">
        <v>16</v>
      </c>
      <c r="K18123" s="33" t="s">
        <v>84</v>
      </c>
      <c r="L18123" s="31" t="str">
        <f t="shared" si="1751"/>
        <v>Enam Belas</v>
      </c>
    </row>
    <row r="18124" spans="1:12">
      <c r="J18124" s="31">
        <v>17</v>
      </c>
      <c r="K18124" s="33" t="s">
        <v>85</v>
      </c>
      <c r="L18124" s="31" t="str">
        <f t="shared" si="1751"/>
        <v>Tujuh Belas</v>
      </c>
    </row>
    <row r="18125" spans="1:12">
      <c r="A18125" s="44"/>
      <c r="J18125" s="31">
        <v>18</v>
      </c>
      <c r="K18125" s="33" t="s">
        <v>86</v>
      </c>
      <c r="L18125" s="31" t="str">
        <f t="shared" si="1751"/>
        <v>Delapan Belas</v>
      </c>
    </row>
    <row r="18126" spans="1:12">
      <c r="A18126" s="38" t="s">
        <v>87</v>
      </c>
      <c r="J18126" s="31">
        <v>19</v>
      </c>
      <c r="K18126" s="33" t="s">
        <v>88</v>
      </c>
      <c r="L18126" s="31" t="str">
        <f t="shared" si="1751"/>
        <v>Sembilan Belas</v>
      </c>
    </row>
    <row r="18127" spans="1:12">
      <c r="A18127" s="31" t="s">
        <v>69</v>
      </c>
      <c r="B18127" s="39" t="e">
        <f>TRUNC(A18105/100000000)</f>
        <v>#REF!</v>
      </c>
      <c r="C18127" s="31" t="e">
        <f>B18127*100000000</f>
        <v>#REF!</v>
      </c>
      <c r="D18127" s="31" t="e">
        <f>IF(B18127&lt;1,"",IF(B18127=1,"",VLOOKUP(B18127,$J$3:$L$102,3)))</f>
        <v>#REF!</v>
      </c>
      <c r="E18127" s="31" t="e">
        <f>IF(B18127&lt;1,"",IF(B18127=1,"Seratus "," Ratus "))</f>
        <v>#REF!</v>
      </c>
      <c r="J18127" s="31">
        <v>20</v>
      </c>
      <c r="K18127" s="33" t="s">
        <v>89</v>
      </c>
      <c r="L18127" s="31" t="s">
        <v>90</v>
      </c>
    </row>
    <row r="18128" spans="1:12">
      <c r="A18128" s="31" t="s">
        <v>72</v>
      </c>
      <c r="B18128" s="39" t="e">
        <f>TRUNC((A18105-C18127)/1000000)</f>
        <v>#REF!</v>
      </c>
      <c r="C18128" s="31" t="e">
        <f>B18128*1000000</f>
        <v>#REF!</v>
      </c>
      <c r="D18128" s="31" t="e">
        <f>IF(B18128&lt;1,"",VLOOKUP(B18128,$J$3:$L$102,3))</f>
        <v>#REF!</v>
      </c>
      <c r="E18128" s="31" t="e">
        <f>IF(B18127+B18128=0,""," Juta ")</f>
        <v>#REF!</v>
      </c>
      <c r="J18128" s="31">
        <v>21</v>
      </c>
      <c r="K18128" s="33" t="s">
        <v>91</v>
      </c>
      <c r="L18128" s="31" t="str">
        <f t="shared" ref="L18128:L18136" si="1752">$L$23&amp;" "&amp;L18108</f>
        <v>Dua Puluh Satu</v>
      </c>
    </row>
    <row r="18129" spans="1:12">
      <c r="A18129" s="31" t="s">
        <v>75</v>
      </c>
      <c r="B18129" s="39" t="e">
        <f>TRUNC((A18105-SUM(C18127:C18128))/100000)</f>
        <v>#REF!</v>
      </c>
      <c r="C18129" s="31" t="e">
        <f>B18129*100000</f>
        <v>#REF!</v>
      </c>
      <c r="D18129" s="31" t="e">
        <f>IF(B18129&lt;1,"",IF(B18129=1,"",VLOOKUP(B18129,$J$3:$L$102,3)))</f>
        <v>#REF!</v>
      </c>
      <c r="E18129" s="31" t="e">
        <f>IF(B18129&lt;1,"",IF(B18129=1," Seratus "," Ratus "))</f>
        <v>#REF!</v>
      </c>
      <c r="J18129" s="31">
        <v>22</v>
      </c>
      <c r="K18129" s="33" t="s">
        <v>92</v>
      </c>
      <c r="L18129" s="31" t="str">
        <f t="shared" si="1752"/>
        <v>Dua Puluh Dua</v>
      </c>
    </row>
    <row r="18130" spans="1:12">
      <c r="A18130" s="33" t="s">
        <v>77</v>
      </c>
      <c r="B18130" s="40" t="e">
        <f>TRUNC((A18105-SUM(C18127:C18129))/1000)</f>
        <v>#REF!</v>
      </c>
      <c r="C18130" s="31" t="e">
        <f>B18130*1000</f>
        <v>#REF!</v>
      </c>
      <c r="D18130" s="31" t="e">
        <f>IF(B18130&lt;1,"",IF(B18130=1,"",VLOOKUP(B18130,$J$3:$L$102,3)))</f>
        <v>#REF!</v>
      </c>
      <c r="E18130" s="31" t="e">
        <f>IF(B18129+B18130&lt;1,"",IF(B18130=1," Seribu "," Ribu "))</f>
        <v>#REF!</v>
      </c>
      <c r="J18130" s="31">
        <v>23</v>
      </c>
      <c r="K18130" s="33" t="s">
        <v>93</v>
      </c>
      <c r="L18130" s="31" t="str">
        <f t="shared" si="1752"/>
        <v>Dua Puluh Tiga</v>
      </c>
    </row>
    <row r="18131" spans="1:12">
      <c r="A18131" s="33" t="s">
        <v>79</v>
      </c>
      <c r="B18131" s="40" t="e">
        <f>TRUNC((A18105-SUM(C18127:C18130))/100)</f>
        <v>#REF!</v>
      </c>
      <c r="C18131" s="31" t="e">
        <f>B18131*100</f>
        <v>#REF!</v>
      </c>
      <c r="D18131" s="31" t="e">
        <f>IF(B18131&lt;1,"",IF(B18131=1,"",VLOOKUP(B18131,$J$3:$L$102,3)))</f>
        <v>#REF!</v>
      </c>
      <c r="E18131" s="31" t="e">
        <f>IF(B18131&lt;1,"",IF(B18131=1," Seratus "," Ratus "))</f>
        <v>#REF!</v>
      </c>
      <c r="J18131" s="31">
        <v>24</v>
      </c>
      <c r="K18131" s="33" t="s">
        <v>94</v>
      </c>
      <c r="L18131" s="31" t="str">
        <f t="shared" si="1752"/>
        <v>Dua Puluh Empat</v>
      </c>
    </row>
    <row r="18132" spans="1:12">
      <c r="A18132" s="33" t="s">
        <v>81</v>
      </c>
      <c r="B18132" s="41" t="e">
        <f>TRUNC((A18105-SUM(C18127:C18131)))</f>
        <v>#REF!</v>
      </c>
      <c r="C18132" s="42" t="e">
        <f>B18132</f>
        <v>#REF!</v>
      </c>
      <c r="D18132" s="31" t="e">
        <f>IF(B18132&lt;1,"",VLOOKUP(B18132,$J$3:$L$102,3))</f>
        <v>#REF!</v>
      </c>
      <c r="E18132" s="31" t="e">
        <f>IF(SUM(C18127:C18132)&lt;1,"",IF(B18133&lt;1,""," Dan "))</f>
        <v>#REF!</v>
      </c>
      <c r="J18132" s="31">
        <v>25</v>
      </c>
      <c r="K18132" s="33" t="s">
        <v>95</v>
      </c>
      <c r="L18132" s="31" t="str">
        <f t="shared" si="1752"/>
        <v>Dua Puluh Lima</v>
      </c>
    </row>
    <row r="18133" spans="1:12">
      <c r="A18133" s="33" t="s">
        <v>83</v>
      </c>
      <c r="B18133" s="40" t="e">
        <f>ROUND(A18105-SUM(C18127:C18132),2)*100</f>
        <v>#REF!</v>
      </c>
      <c r="D18133" s="31" t="e">
        <f>IF(B18133&lt;1,"",VLOOKUP(B18133,$J$3:$L$102,3))</f>
        <v>#REF!</v>
      </c>
      <c r="E18133" s="31" t="e">
        <f>IF(B18133&lt;1,""," Sen ")</f>
        <v>#REF!</v>
      </c>
      <c r="J18133" s="31">
        <v>26</v>
      </c>
      <c r="K18133" s="33" t="s">
        <v>96</v>
      </c>
      <c r="L18133" s="31" t="str">
        <f t="shared" si="1752"/>
        <v>Dua Puluh Enam</v>
      </c>
    </row>
    <row r="18134" spans="1:12">
      <c r="J18134" s="31">
        <v>27</v>
      </c>
      <c r="K18134" s="33" t="s">
        <v>97</v>
      </c>
      <c r="L18134" s="31" t="str">
        <f t="shared" si="1752"/>
        <v>Dua Puluh Tujuh</v>
      </c>
    </row>
    <row r="18135" spans="1:12">
      <c r="J18135" s="31">
        <v>28</v>
      </c>
      <c r="K18135" s="33" t="s">
        <v>98</v>
      </c>
      <c r="L18135" s="31" t="str">
        <f t="shared" si="1752"/>
        <v>Dua Puluh Delapan</v>
      </c>
    </row>
    <row r="18136" spans="1:12">
      <c r="J18136" s="31">
        <v>29</v>
      </c>
      <c r="K18136" s="33" t="s">
        <v>99</v>
      </c>
      <c r="L18136" s="31" t="str">
        <f t="shared" si="1752"/>
        <v>Dua Puluh Sembilan</v>
      </c>
    </row>
    <row r="18137" spans="1:12">
      <c r="J18137" s="31">
        <v>30</v>
      </c>
      <c r="K18137" s="33" t="s">
        <v>100</v>
      </c>
      <c r="L18137" s="31" t="s">
        <v>101</v>
      </c>
    </row>
    <row r="18138" spans="1:12">
      <c r="J18138" s="31">
        <v>31</v>
      </c>
      <c r="K18138" s="33" t="s">
        <v>102</v>
      </c>
      <c r="L18138" s="31" t="str">
        <f t="shared" ref="L18138:L18146" si="1753">$L$33&amp;" "&amp;L18108</f>
        <v>Tiga Puluh Satu</v>
      </c>
    </row>
    <row r="18139" spans="1:12">
      <c r="J18139" s="31">
        <v>32</v>
      </c>
      <c r="K18139" s="33" t="s">
        <v>103</v>
      </c>
      <c r="L18139" s="31" t="str">
        <f t="shared" si="1753"/>
        <v>Tiga Puluh Dua</v>
      </c>
    </row>
    <row r="18140" spans="1:12">
      <c r="J18140" s="31">
        <v>33</v>
      </c>
      <c r="K18140" s="33" t="s">
        <v>104</v>
      </c>
      <c r="L18140" s="31" t="str">
        <f t="shared" si="1753"/>
        <v>Tiga Puluh Tiga</v>
      </c>
    </row>
    <row r="18141" spans="1:12">
      <c r="J18141" s="31">
        <v>34</v>
      </c>
      <c r="K18141" s="33" t="s">
        <v>105</v>
      </c>
      <c r="L18141" s="31" t="str">
        <f t="shared" si="1753"/>
        <v>Tiga Puluh Empat</v>
      </c>
    </row>
    <row r="18142" spans="1:12">
      <c r="J18142" s="31">
        <v>35</v>
      </c>
      <c r="K18142" s="33" t="s">
        <v>106</v>
      </c>
      <c r="L18142" s="31" t="str">
        <f t="shared" si="1753"/>
        <v>Tiga Puluh Lima</v>
      </c>
    </row>
    <row r="18143" spans="1:12">
      <c r="J18143" s="31">
        <v>36</v>
      </c>
      <c r="K18143" s="33" t="s">
        <v>107</v>
      </c>
      <c r="L18143" s="31" t="str">
        <f t="shared" si="1753"/>
        <v>Tiga Puluh Enam</v>
      </c>
    </row>
    <row r="18144" spans="1:12">
      <c r="J18144" s="31">
        <v>37</v>
      </c>
      <c r="K18144" s="33" t="s">
        <v>108</v>
      </c>
      <c r="L18144" s="31" t="str">
        <f t="shared" si="1753"/>
        <v>Tiga Puluh Tujuh</v>
      </c>
    </row>
    <row r="18145" spans="1:12">
      <c r="J18145" s="31">
        <v>38</v>
      </c>
      <c r="K18145" s="33" t="s">
        <v>109</v>
      </c>
      <c r="L18145" s="31" t="str">
        <f t="shared" si="1753"/>
        <v>Tiga Puluh Delapan</v>
      </c>
    </row>
    <row r="18146" spans="1:12">
      <c r="J18146" s="31">
        <v>39</v>
      </c>
      <c r="K18146" s="33" t="s">
        <v>110</v>
      </c>
      <c r="L18146" s="31" t="str">
        <f t="shared" si="1753"/>
        <v>Tiga Puluh Sembilan</v>
      </c>
    </row>
    <row r="18147" spans="1:12">
      <c r="B18147" s="35"/>
      <c r="C18147" s="35"/>
      <c r="D18147" s="35"/>
      <c r="J18147" s="31">
        <v>40</v>
      </c>
      <c r="K18147" s="33" t="s">
        <v>111</v>
      </c>
      <c r="L18147" s="31" t="s">
        <v>112</v>
      </c>
    </row>
    <row r="18148" spans="1:12">
      <c r="A18148" s="35"/>
      <c r="B18148" s="35"/>
      <c r="C18148" s="35"/>
      <c r="D18148" s="35"/>
      <c r="J18148" s="31">
        <v>41</v>
      </c>
      <c r="K18148" s="33" t="s">
        <v>113</v>
      </c>
      <c r="L18148" s="31" t="str">
        <f t="shared" ref="L18148:L18156" si="1754">$L$43&amp;" "&amp;L18108</f>
        <v>Empat Puluh Satu</v>
      </c>
    </row>
    <row r="18149" spans="1:12">
      <c r="J18149" s="31">
        <v>42</v>
      </c>
      <c r="K18149" s="33" t="s">
        <v>114</v>
      </c>
      <c r="L18149" s="31" t="str">
        <f t="shared" si="1754"/>
        <v>Empat Puluh Dua</v>
      </c>
    </row>
    <row r="18150" spans="1:12">
      <c r="A18150" s="38"/>
      <c r="J18150" s="31">
        <v>43</v>
      </c>
      <c r="K18150" s="33" t="s">
        <v>115</v>
      </c>
      <c r="L18150" s="31" t="str">
        <f t="shared" si="1754"/>
        <v>Empat Puluh Tiga</v>
      </c>
    </row>
    <row r="18151" spans="1:12">
      <c r="J18151" s="31">
        <v>44</v>
      </c>
      <c r="K18151" s="33" t="s">
        <v>116</v>
      </c>
      <c r="L18151" s="31" t="str">
        <f t="shared" si="1754"/>
        <v>Empat Puluh Empat</v>
      </c>
    </row>
    <row r="18152" spans="1:12">
      <c r="J18152" s="31">
        <v>45</v>
      </c>
      <c r="K18152" s="33" t="s">
        <v>117</v>
      </c>
      <c r="L18152" s="31" t="str">
        <f t="shared" si="1754"/>
        <v>Empat Puluh Lima</v>
      </c>
    </row>
    <row r="18153" spans="1:12">
      <c r="J18153" s="31">
        <v>46</v>
      </c>
      <c r="K18153" s="33" t="s">
        <v>118</v>
      </c>
      <c r="L18153" s="31" t="str">
        <f t="shared" si="1754"/>
        <v>Empat Puluh Enam</v>
      </c>
    </row>
    <row r="18154" spans="1:12">
      <c r="J18154" s="31">
        <v>47</v>
      </c>
      <c r="K18154" s="33" t="s">
        <v>119</v>
      </c>
      <c r="L18154" s="31" t="str">
        <f t="shared" si="1754"/>
        <v>Empat Puluh Tujuh</v>
      </c>
    </row>
    <row r="18155" spans="1:12">
      <c r="J18155" s="31">
        <v>48</v>
      </c>
      <c r="K18155" s="33" t="s">
        <v>120</v>
      </c>
      <c r="L18155" s="31" t="str">
        <f t="shared" si="1754"/>
        <v>Empat Puluh Delapan</v>
      </c>
    </row>
    <row r="18156" spans="1:12">
      <c r="J18156" s="31">
        <v>49</v>
      </c>
      <c r="K18156" s="33" t="s">
        <v>121</v>
      </c>
      <c r="L18156" s="31" t="str">
        <f t="shared" si="1754"/>
        <v>Empat Puluh Sembilan</v>
      </c>
    </row>
    <row r="18157" spans="1:12">
      <c r="J18157" s="31">
        <v>50</v>
      </c>
      <c r="K18157" s="33" t="s">
        <v>122</v>
      </c>
      <c r="L18157" s="31" t="s">
        <v>123</v>
      </c>
    </row>
    <row r="18158" spans="1:12">
      <c r="J18158" s="31">
        <v>51</v>
      </c>
      <c r="K18158" s="33" t="s">
        <v>124</v>
      </c>
      <c r="L18158" s="31" t="str">
        <f t="shared" ref="L18158:L18166" si="1755">$L$53&amp;" "&amp;L18108</f>
        <v>Lima Puluh Satu</v>
      </c>
    </row>
    <row r="18159" spans="1:12">
      <c r="J18159" s="31">
        <v>52</v>
      </c>
      <c r="K18159" s="33" t="s">
        <v>125</v>
      </c>
      <c r="L18159" s="31" t="str">
        <f t="shared" si="1755"/>
        <v>Lima Puluh Dua</v>
      </c>
    </row>
    <row r="18160" spans="1:12">
      <c r="J18160" s="31">
        <v>53</v>
      </c>
      <c r="K18160" s="33" t="s">
        <v>126</v>
      </c>
      <c r="L18160" s="31" t="str">
        <f t="shared" si="1755"/>
        <v>Lima Puluh Tiga</v>
      </c>
    </row>
    <row r="18161" spans="10:12">
      <c r="J18161" s="31">
        <v>54</v>
      </c>
      <c r="K18161" s="33" t="s">
        <v>127</v>
      </c>
      <c r="L18161" s="31" t="str">
        <f t="shared" si="1755"/>
        <v>Lima Puluh Empat</v>
      </c>
    </row>
    <row r="18162" spans="10:12">
      <c r="J18162" s="31">
        <v>55</v>
      </c>
      <c r="K18162" s="33" t="s">
        <v>128</v>
      </c>
      <c r="L18162" s="31" t="str">
        <f t="shared" si="1755"/>
        <v>Lima Puluh Lima</v>
      </c>
    </row>
    <row r="18163" spans="10:12">
      <c r="J18163" s="31">
        <v>56</v>
      </c>
      <c r="K18163" s="33" t="s">
        <v>129</v>
      </c>
      <c r="L18163" s="31" t="str">
        <f t="shared" si="1755"/>
        <v>Lima Puluh Enam</v>
      </c>
    </row>
    <row r="18164" spans="10:12">
      <c r="J18164" s="31">
        <v>57</v>
      </c>
      <c r="K18164" s="33" t="s">
        <v>130</v>
      </c>
      <c r="L18164" s="31" t="str">
        <f t="shared" si="1755"/>
        <v>Lima Puluh Tujuh</v>
      </c>
    </row>
    <row r="18165" spans="10:12">
      <c r="J18165" s="31">
        <v>58</v>
      </c>
      <c r="K18165" s="33" t="s">
        <v>131</v>
      </c>
      <c r="L18165" s="31" t="str">
        <f t="shared" si="1755"/>
        <v>Lima Puluh Delapan</v>
      </c>
    </row>
    <row r="18166" spans="10:12">
      <c r="J18166" s="31">
        <v>59</v>
      </c>
      <c r="K18166" s="33" t="s">
        <v>132</v>
      </c>
      <c r="L18166" s="31" t="str">
        <f t="shared" si="1755"/>
        <v>Lima Puluh Sembilan</v>
      </c>
    </row>
    <row r="18167" spans="10:12">
      <c r="J18167" s="31">
        <v>60</v>
      </c>
      <c r="K18167" s="33" t="s">
        <v>133</v>
      </c>
      <c r="L18167" s="31" t="s">
        <v>134</v>
      </c>
    </row>
    <row r="18168" spans="10:12">
      <c r="J18168" s="31">
        <v>61</v>
      </c>
      <c r="K18168" s="33" t="s">
        <v>135</v>
      </c>
      <c r="L18168" s="31" t="str">
        <f t="shared" ref="L18168:L18176" si="1756">$L$63&amp;" "&amp;L18108</f>
        <v>Enam Puluh Satu</v>
      </c>
    </row>
    <row r="18169" spans="10:12">
      <c r="J18169" s="31">
        <v>62</v>
      </c>
      <c r="K18169" s="33" t="s">
        <v>136</v>
      </c>
      <c r="L18169" s="31" t="str">
        <f t="shared" si="1756"/>
        <v>Enam Puluh Dua</v>
      </c>
    </row>
    <row r="18170" spans="10:12">
      <c r="J18170" s="31">
        <v>63</v>
      </c>
      <c r="K18170" s="33" t="s">
        <v>137</v>
      </c>
      <c r="L18170" s="31" t="str">
        <f t="shared" si="1756"/>
        <v>Enam Puluh Tiga</v>
      </c>
    </row>
    <row r="18171" spans="10:12">
      <c r="J18171" s="31">
        <v>64</v>
      </c>
      <c r="K18171" s="33" t="s">
        <v>138</v>
      </c>
      <c r="L18171" s="31" t="str">
        <f t="shared" si="1756"/>
        <v>Enam Puluh Empat</v>
      </c>
    </row>
    <row r="18172" spans="10:12">
      <c r="J18172" s="31">
        <v>65</v>
      </c>
      <c r="K18172" s="33" t="s">
        <v>139</v>
      </c>
      <c r="L18172" s="31" t="str">
        <f t="shared" si="1756"/>
        <v>Enam Puluh Lima</v>
      </c>
    </row>
    <row r="18173" spans="10:12">
      <c r="J18173" s="31">
        <v>66</v>
      </c>
      <c r="K18173" s="33" t="s">
        <v>140</v>
      </c>
      <c r="L18173" s="31" t="str">
        <f t="shared" si="1756"/>
        <v>Enam Puluh Enam</v>
      </c>
    </row>
    <row r="18174" spans="10:12">
      <c r="J18174" s="31">
        <v>67</v>
      </c>
      <c r="K18174" s="33" t="s">
        <v>141</v>
      </c>
      <c r="L18174" s="31" t="str">
        <f t="shared" si="1756"/>
        <v>Enam Puluh Tujuh</v>
      </c>
    </row>
    <row r="18175" spans="10:12">
      <c r="J18175" s="31">
        <v>68</v>
      </c>
      <c r="K18175" s="33" t="s">
        <v>142</v>
      </c>
      <c r="L18175" s="31" t="str">
        <f t="shared" si="1756"/>
        <v>Enam Puluh Delapan</v>
      </c>
    </row>
    <row r="18176" spans="10:12">
      <c r="J18176" s="31">
        <v>69</v>
      </c>
      <c r="K18176" s="33" t="s">
        <v>143</v>
      </c>
      <c r="L18176" s="31" t="str">
        <f t="shared" si="1756"/>
        <v>Enam Puluh Sembilan</v>
      </c>
    </row>
    <row r="18177" spans="10:12">
      <c r="J18177" s="31">
        <v>70</v>
      </c>
      <c r="K18177" s="33" t="s">
        <v>144</v>
      </c>
      <c r="L18177" s="31" t="s">
        <v>145</v>
      </c>
    </row>
    <row r="18178" spans="10:12">
      <c r="J18178" s="31">
        <v>71</v>
      </c>
      <c r="K18178" s="33" t="s">
        <v>146</v>
      </c>
      <c r="L18178" s="31" t="str">
        <f t="shared" ref="L18178:L18186" si="1757">$L$73&amp;" "&amp;L18108</f>
        <v>Tujuh Puluh Satu</v>
      </c>
    </row>
    <row r="18179" spans="10:12">
      <c r="J18179" s="31">
        <v>72</v>
      </c>
      <c r="K18179" s="33" t="s">
        <v>147</v>
      </c>
      <c r="L18179" s="31" t="str">
        <f t="shared" si="1757"/>
        <v>Tujuh Puluh Dua</v>
      </c>
    </row>
    <row r="18180" spans="10:12">
      <c r="J18180" s="31">
        <v>73</v>
      </c>
      <c r="K18180" s="33" t="s">
        <v>148</v>
      </c>
      <c r="L18180" s="31" t="str">
        <f t="shared" si="1757"/>
        <v>Tujuh Puluh Tiga</v>
      </c>
    </row>
    <row r="18181" spans="10:12">
      <c r="J18181" s="31">
        <v>74</v>
      </c>
      <c r="K18181" s="33" t="s">
        <v>149</v>
      </c>
      <c r="L18181" s="31" t="str">
        <f t="shared" si="1757"/>
        <v>Tujuh Puluh Empat</v>
      </c>
    </row>
    <row r="18182" spans="10:12">
      <c r="J18182" s="31">
        <v>75</v>
      </c>
      <c r="K18182" s="33" t="s">
        <v>150</v>
      </c>
      <c r="L18182" s="31" t="str">
        <f t="shared" si="1757"/>
        <v>Tujuh Puluh Lima</v>
      </c>
    </row>
    <row r="18183" spans="10:12">
      <c r="J18183" s="31">
        <v>76</v>
      </c>
      <c r="K18183" s="33" t="s">
        <v>151</v>
      </c>
      <c r="L18183" s="31" t="str">
        <f t="shared" si="1757"/>
        <v>Tujuh Puluh Enam</v>
      </c>
    </row>
    <row r="18184" spans="10:12">
      <c r="J18184" s="31">
        <v>77</v>
      </c>
      <c r="K18184" s="33" t="s">
        <v>152</v>
      </c>
      <c r="L18184" s="31" t="str">
        <f t="shared" si="1757"/>
        <v>Tujuh Puluh Tujuh</v>
      </c>
    </row>
    <row r="18185" spans="10:12">
      <c r="J18185" s="31">
        <v>78</v>
      </c>
      <c r="K18185" s="33" t="s">
        <v>153</v>
      </c>
      <c r="L18185" s="31" t="str">
        <f t="shared" si="1757"/>
        <v>Tujuh Puluh Delapan</v>
      </c>
    </row>
    <row r="18186" spans="10:12">
      <c r="J18186" s="31">
        <v>79</v>
      </c>
      <c r="K18186" s="33" t="s">
        <v>154</v>
      </c>
      <c r="L18186" s="31" t="str">
        <f t="shared" si="1757"/>
        <v>Tujuh Puluh Sembilan</v>
      </c>
    </row>
    <row r="18187" spans="10:12">
      <c r="J18187" s="31">
        <v>80</v>
      </c>
      <c r="K18187" s="33" t="s">
        <v>155</v>
      </c>
      <c r="L18187" s="31" t="s">
        <v>156</v>
      </c>
    </row>
    <row r="18188" spans="10:12">
      <c r="J18188" s="31">
        <v>81</v>
      </c>
      <c r="K18188" s="33" t="s">
        <v>157</v>
      </c>
      <c r="L18188" s="31" t="str">
        <f t="shared" ref="L18188:L18196" si="1758">$L$83&amp;" "&amp;L18108</f>
        <v>Delapan Puluh Satu</v>
      </c>
    </row>
    <row r="18189" spans="10:12">
      <c r="J18189" s="31">
        <v>82</v>
      </c>
      <c r="K18189" s="33" t="s">
        <v>158</v>
      </c>
      <c r="L18189" s="31" t="str">
        <f t="shared" si="1758"/>
        <v>Delapan Puluh Dua</v>
      </c>
    </row>
    <row r="18190" spans="10:12">
      <c r="J18190" s="31">
        <v>83</v>
      </c>
      <c r="K18190" s="33" t="s">
        <v>159</v>
      </c>
      <c r="L18190" s="31" t="str">
        <f t="shared" si="1758"/>
        <v>Delapan Puluh Tiga</v>
      </c>
    </row>
    <row r="18191" spans="10:12">
      <c r="J18191" s="31">
        <v>84</v>
      </c>
      <c r="K18191" s="33" t="s">
        <v>160</v>
      </c>
      <c r="L18191" s="31" t="str">
        <f t="shared" si="1758"/>
        <v>Delapan Puluh Empat</v>
      </c>
    </row>
    <row r="18192" spans="10:12">
      <c r="J18192" s="31">
        <v>85</v>
      </c>
      <c r="K18192" s="33" t="s">
        <v>161</v>
      </c>
      <c r="L18192" s="31" t="str">
        <f t="shared" si="1758"/>
        <v>Delapan Puluh Lima</v>
      </c>
    </row>
    <row r="18193" spans="1:12">
      <c r="J18193" s="31">
        <v>86</v>
      </c>
      <c r="K18193" s="33" t="s">
        <v>162</v>
      </c>
      <c r="L18193" s="31" t="str">
        <f t="shared" si="1758"/>
        <v>Delapan Puluh Enam</v>
      </c>
    </row>
    <row r="18194" spans="1:12">
      <c r="J18194" s="31">
        <v>87</v>
      </c>
      <c r="K18194" s="33" t="s">
        <v>163</v>
      </c>
      <c r="L18194" s="31" t="str">
        <f t="shared" si="1758"/>
        <v>Delapan Puluh Tujuh</v>
      </c>
    </row>
    <row r="18195" spans="1:12">
      <c r="J18195" s="31">
        <v>88</v>
      </c>
      <c r="K18195" s="33" t="s">
        <v>164</v>
      </c>
      <c r="L18195" s="31" t="str">
        <f t="shared" si="1758"/>
        <v>Delapan Puluh Delapan</v>
      </c>
    </row>
    <row r="18196" spans="1:12">
      <c r="J18196" s="31">
        <v>89</v>
      </c>
      <c r="K18196" s="33" t="s">
        <v>165</v>
      </c>
      <c r="L18196" s="31" t="str">
        <f t="shared" si="1758"/>
        <v>Delapan Puluh Sembilan</v>
      </c>
    </row>
    <row r="18197" spans="1:12">
      <c r="J18197" s="31">
        <v>90</v>
      </c>
      <c r="K18197" s="33" t="s">
        <v>166</v>
      </c>
      <c r="L18197" s="31" t="s">
        <v>167</v>
      </c>
    </row>
    <row r="18198" spans="1:12">
      <c r="J18198" s="31">
        <v>91</v>
      </c>
      <c r="K18198" s="33" t="s">
        <v>168</v>
      </c>
      <c r="L18198" s="31" t="str">
        <f t="shared" ref="L18198:L18206" si="1759">$L$93&amp;" "&amp;L18108</f>
        <v>Sembilan Puluh Satu</v>
      </c>
    </row>
    <row r="18199" spans="1:12">
      <c r="J18199" s="31">
        <v>92</v>
      </c>
      <c r="K18199" s="33" t="s">
        <v>169</v>
      </c>
      <c r="L18199" s="31" t="str">
        <f t="shared" si="1759"/>
        <v>Sembilan Puluh Dua</v>
      </c>
    </row>
    <row r="18200" spans="1:12">
      <c r="J18200" s="31">
        <v>93</v>
      </c>
      <c r="K18200" s="33" t="s">
        <v>170</v>
      </c>
      <c r="L18200" s="31" t="str">
        <f t="shared" si="1759"/>
        <v>Sembilan Puluh Tiga</v>
      </c>
    </row>
    <row r="18201" spans="1:12">
      <c r="J18201" s="31">
        <v>94</v>
      </c>
      <c r="K18201" s="33" t="s">
        <v>171</v>
      </c>
      <c r="L18201" s="31" t="str">
        <f t="shared" si="1759"/>
        <v>Sembilan Puluh Empat</v>
      </c>
    </row>
    <row r="18202" spans="1:12">
      <c r="J18202" s="31">
        <v>95</v>
      </c>
      <c r="K18202" s="33" t="s">
        <v>172</v>
      </c>
      <c r="L18202" s="31" t="str">
        <f t="shared" si="1759"/>
        <v>Sembilan Puluh Lima</v>
      </c>
    </row>
    <row r="18203" spans="1:12">
      <c r="J18203" s="31">
        <v>96</v>
      </c>
      <c r="K18203" s="33" t="s">
        <v>173</v>
      </c>
      <c r="L18203" s="31" t="str">
        <f t="shared" si="1759"/>
        <v>Sembilan Puluh Enam</v>
      </c>
    </row>
    <row r="18204" spans="1:12">
      <c r="J18204" s="31">
        <v>97</v>
      </c>
      <c r="K18204" s="33" t="s">
        <v>174</v>
      </c>
      <c r="L18204" s="31" t="str">
        <f t="shared" si="1759"/>
        <v>Sembilan Puluh Tujuh</v>
      </c>
    </row>
    <row r="18205" spans="1:12">
      <c r="J18205" s="31">
        <v>98</v>
      </c>
      <c r="K18205" s="33" t="s">
        <v>175</v>
      </c>
      <c r="L18205" s="31" t="str">
        <f t="shared" si="1759"/>
        <v>Sembilan Puluh Delapan</v>
      </c>
    </row>
    <row r="18206" spans="1:12">
      <c r="J18206" s="31">
        <v>99</v>
      </c>
      <c r="K18206" s="33" t="s">
        <v>176</v>
      </c>
      <c r="L18206" s="31" t="str">
        <f t="shared" si="1759"/>
        <v>Sembilan Puluh Sembilan</v>
      </c>
    </row>
    <row r="18208" spans="1:12">
      <c r="A18208" s="30" t="e">
        <f>#REF!</f>
        <v>#REF!</v>
      </c>
      <c r="C18208" s="31" t="s">
        <v>437</v>
      </c>
    </row>
    <row r="18209" spans="1:12">
      <c r="A18209" s="32"/>
    </row>
    <row r="18210" spans="1:12">
      <c r="J18210" s="31">
        <v>0</v>
      </c>
      <c r="K18210" s="33" t="s">
        <v>48</v>
      </c>
      <c r="L18210" s="31" t="s">
        <v>49</v>
      </c>
    </row>
    <row r="18211" spans="1:12">
      <c r="A18211" s="34"/>
      <c r="J18211" s="31">
        <v>1</v>
      </c>
      <c r="K18211" s="33" t="s">
        <v>50</v>
      </c>
      <c r="L18211" s="31" t="s">
        <v>51</v>
      </c>
    </row>
    <row r="18212" spans="1:12">
      <c r="A18212" s="255" t="e">
        <f>TRIM(D18220&amp;E18220&amp;D18221&amp;E18221&amp;D18222&amp;E18222&amp;D18223&amp;E18223&amp;D18224&amp;E18224&amp;D18225&amp;E18225&amp;E18226&amp;D18226&amp;" Only")</f>
        <v>#REF!</v>
      </c>
      <c r="B18212" s="255"/>
      <c r="C18212" s="255"/>
      <c r="D18212" s="255"/>
      <c r="E18212" s="35"/>
      <c r="F18212" s="36"/>
      <c r="J18212" s="31">
        <v>2</v>
      </c>
      <c r="K18212" s="33" t="s">
        <v>52</v>
      </c>
      <c r="L18212" s="31" t="s">
        <v>53</v>
      </c>
    </row>
    <row r="18213" spans="1:12">
      <c r="A18213" s="134"/>
      <c r="B18213" s="134"/>
      <c r="C18213" s="134"/>
      <c r="D18213" s="134"/>
      <c r="E18213" s="35"/>
      <c r="F18213" s="36"/>
      <c r="J18213" s="31">
        <v>3</v>
      </c>
      <c r="K18213" s="33" t="s">
        <v>54</v>
      </c>
      <c r="L18213" s="31" t="s">
        <v>55</v>
      </c>
    </row>
    <row r="18214" spans="1:12">
      <c r="A18214" s="134"/>
      <c r="B18214" s="134"/>
      <c r="C18214" s="134"/>
      <c r="D18214" s="134"/>
      <c r="J18214" s="31">
        <v>4</v>
      </c>
      <c r="K18214" s="33" t="s">
        <v>56</v>
      </c>
      <c r="L18214" s="31" t="s">
        <v>57</v>
      </c>
    </row>
    <row r="18215" spans="1:12">
      <c r="A18215" s="255" t="e">
        <f>TRIM(D18230&amp;E18230&amp;D18231&amp;E18231&amp;D18232&amp;E18232&amp;D18233&amp;E18233&amp;D18234&amp;E18234&amp;D18235&amp;E18235&amp;D18236&amp;E18236&amp;" Rupiah")</f>
        <v>#REF!</v>
      </c>
      <c r="B18215" s="255"/>
      <c r="C18215" s="255"/>
      <c r="D18215" s="255"/>
      <c r="E18215" s="35"/>
      <c r="F18215" s="36"/>
      <c r="J18215" s="31">
        <v>5</v>
      </c>
      <c r="K18215" s="33" t="s">
        <v>58</v>
      </c>
      <c r="L18215" s="31" t="s">
        <v>59</v>
      </c>
    </row>
    <row r="18216" spans="1:12">
      <c r="A18216" s="35"/>
      <c r="B18216" s="35"/>
      <c r="C18216" s="35"/>
      <c r="D18216" s="35"/>
      <c r="E18216" s="35"/>
      <c r="F18216" s="36"/>
      <c r="J18216" s="31">
        <v>6</v>
      </c>
      <c r="K18216" s="33" t="s">
        <v>60</v>
      </c>
      <c r="L18216" s="31" t="s">
        <v>61</v>
      </c>
    </row>
    <row r="18217" spans="1:12">
      <c r="J18217" s="31">
        <v>7</v>
      </c>
      <c r="K18217" s="33" t="s">
        <v>62</v>
      </c>
      <c r="L18217" s="31" t="s">
        <v>63</v>
      </c>
    </row>
    <row r="18218" spans="1:12">
      <c r="J18218" s="31">
        <v>8</v>
      </c>
      <c r="K18218" s="33" t="s">
        <v>64</v>
      </c>
      <c r="L18218" s="31" t="s">
        <v>65</v>
      </c>
    </row>
    <row r="18219" spans="1:12">
      <c r="A18219" s="38" t="s">
        <v>66</v>
      </c>
      <c r="J18219" s="31">
        <v>9</v>
      </c>
      <c r="K18219" s="33" t="s">
        <v>67</v>
      </c>
      <c r="L18219" s="31" t="s">
        <v>68</v>
      </c>
    </row>
    <row r="18220" spans="1:12">
      <c r="A18220" s="31" t="s">
        <v>69</v>
      </c>
      <c r="B18220" s="39" t="e">
        <f>TRUNC(A18208/100000000)</f>
        <v>#REF!</v>
      </c>
      <c r="C18220" s="31" t="e">
        <f>B18220*100000000</f>
        <v>#REF!</v>
      </c>
      <c r="D18220" s="31" t="e">
        <f t="shared" ref="D18220:D18226" si="1760">IF(B18220&lt;1,"",VLOOKUP(B18220,$J$3:$K$102,2))</f>
        <v>#REF!</v>
      </c>
      <c r="E18220" s="31" t="e">
        <f>IF(B18220&lt;1,"",IF(B18220&gt;1," Hundreds "," Hundred "))</f>
        <v>#REF!</v>
      </c>
      <c r="J18220" s="31">
        <v>10</v>
      </c>
      <c r="K18220" s="33" t="s">
        <v>70</v>
      </c>
      <c r="L18220" s="31" t="s">
        <v>71</v>
      </c>
    </row>
    <row r="18221" spans="1:12">
      <c r="A18221" s="31" t="s">
        <v>72</v>
      </c>
      <c r="B18221" s="39" t="e">
        <f>TRUNC((A18208-C18220)/1000000)</f>
        <v>#REF!</v>
      </c>
      <c r="C18221" s="31" t="e">
        <f>B18221*1000000</f>
        <v>#REF!</v>
      </c>
      <c r="D18221" s="31" t="e">
        <f t="shared" si="1760"/>
        <v>#REF!</v>
      </c>
      <c r="E18221" s="31" t="e">
        <f>IF(B18220+B18221=0,"",IF(B18221=1," Million "," Millions "))</f>
        <v>#REF!</v>
      </c>
      <c r="J18221" s="31">
        <v>11</v>
      </c>
      <c r="K18221" s="33" t="s">
        <v>73</v>
      </c>
      <c r="L18221" s="31" t="s">
        <v>74</v>
      </c>
    </row>
    <row r="18222" spans="1:12">
      <c r="A18222" s="31" t="s">
        <v>75</v>
      </c>
      <c r="B18222" s="39" t="e">
        <f>TRUNC((A18208-SUM(C18220:C18221))/100000)</f>
        <v>#REF!</v>
      </c>
      <c r="C18222" s="31" t="e">
        <f>B18222*100000</f>
        <v>#REF!</v>
      </c>
      <c r="D18222" s="31" t="e">
        <f t="shared" si="1760"/>
        <v>#REF!</v>
      </c>
      <c r="E18222" s="31" t="e">
        <f>IF(B18222&lt;1,"",IF(B18222&gt;1," Hundreds "," Hundred "))</f>
        <v>#REF!</v>
      </c>
      <c r="J18222" s="31">
        <v>12</v>
      </c>
      <c r="K18222" s="33" t="s">
        <v>76</v>
      </c>
      <c r="L18222" s="31" t="str">
        <f t="shared" ref="L18222:L18229" si="1761">L18212&amp;" Belas"</f>
        <v>Dua Belas</v>
      </c>
    </row>
    <row r="18223" spans="1:12">
      <c r="A18223" s="33" t="s">
        <v>77</v>
      </c>
      <c r="B18223" s="40" t="e">
        <f>TRUNC((A18208-SUM(C18220:C18222))/1000)</f>
        <v>#REF!</v>
      </c>
      <c r="C18223" s="31" t="e">
        <f>B18223*1000</f>
        <v>#REF!</v>
      </c>
      <c r="D18223" s="31" t="e">
        <f t="shared" si="1760"/>
        <v>#REF!</v>
      </c>
      <c r="E18223" s="31" t="e">
        <f>IF(B18222+B18223=0,"",IF(B18223=1," Thousand "," Thousands "))</f>
        <v>#REF!</v>
      </c>
      <c r="J18223" s="31">
        <v>13</v>
      </c>
      <c r="K18223" s="33" t="s">
        <v>78</v>
      </c>
      <c r="L18223" s="31" t="str">
        <f t="shared" si="1761"/>
        <v>Tiga Belas</v>
      </c>
    </row>
    <row r="18224" spans="1:12">
      <c r="A18224" s="33" t="s">
        <v>79</v>
      </c>
      <c r="B18224" s="40" t="e">
        <f>TRUNC((A18208-SUM(C18220:C18223))/100)</f>
        <v>#REF!</v>
      </c>
      <c r="C18224" s="31" t="e">
        <f>B18224*100</f>
        <v>#REF!</v>
      </c>
      <c r="D18224" s="31" t="e">
        <f t="shared" si="1760"/>
        <v>#REF!</v>
      </c>
      <c r="E18224" s="31" t="e">
        <f>IF(B18224&lt;1,"",IF(B18224&gt;1," Hundreds "," Hundred "))</f>
        <v>#REF!</v>
      </c>
      <c r="J18224" s="31">
        <v>14</v>
      </c>
      <c r="K18224" s="33" t="s">
        <v>80</v>
      </c>
      <c r="L18224" s="31" t="str">
        <f t="shared" si="1761"/>
        <v>Empat Belas</v>
      </c>
    </row>
    <row r="18225" spans="1:12">
      <c r="A18225" s="33" t="s">
        <v>81</v>
      </c>
      <c r="B18225" s="41" t="e">
        <f>TRUNC((A18208-SUM(C18220:C18224)))</f>
        <v>#REF!</v>
      </c>
      <c r="C18225" s="42" t="e">
        <f>B18225</f>
        <v>#REF!</v>
      </c>
      <c r="D18225" s="31" t="e">
        <f t="shared" si="1760"/>
        <v>#REF!</v>
      </c>
      <c r="E18225" s="31" t="e">
        <f>IF(SUM(C18220:C18225)&lt;1,"",IF(B18226&lt;1,""," And "))</f>
        <v>#REF!</v>
      </c>
      <c r="J18225" s="31">
        <v>15</v>
      </c>
      <c r="K18225" s="33" t="s">
        <v>82</v>
      </c>
      <c r="L18225" s="31" t="str">
        <f t="shared" si="1761"/>
        <v>Lima Belas</v>
      </c>
    </row>
    <row r="18226" spans="1:12">
      <c r="A18226" s="33" t="s">
        <v>83</v>
      </c>
      <c r="B18226" s="40" t="e">
        <f>ROUND(A18208-SUM(C18220:C18225),2)*100</f>
        <v>#REF!</v>
      </c>
      <c r="D18226" s="43" t="e">
        <f t="shared" si="1760"/>
        <v>#REF!</v>
      </c>
      <c r="E18226" s="31" t="e">
        <f>IF(B18226&lt;1,"",IF(B18226=1," Cent "," Cents "))</f>
        <v>#REF!</v>
      </c>
      <c r="J18226" s="31">
        <v>16</v>
      </c>
      <c r="K18226" s="33" t="s">
        <v>84</v>
      </c>
      <c r="L18226" s="31" t="str">
        <f t="shared" si="1761"/>
        <v>Enam Belas</v>
      </c>
    </row>
    <row r="18227" spans="1:12">
      <c r="J18227" s="31">
        <v>17</v>
      </c>
      <c r="K18227" s="33" t="s">
        <v>85</v>
      </c>
      <c r="L18227" s="31" t="str">
        <f t="shared" si="1761"/>
        <v>Tujuh Belas</v>
      </c>
    </row>
    <row r="18228" spans="1:12">
      <c r="A18228" s="44"/>
      <c r="J18228" s="31">
        <v>18</v>
      </c>
      <c r="K18228" s="33" t="s">
        <v>86</v>
      </c>
      <c r="L18228" s="31" t="str">
        <f t="shared" si="1761"/>
        <v>Delapan Belas</v>
      </c>
    </row>
    <row r="18229" spans="1:12">
      <c r="A18229" s="38" t="s">
        <v>87</v>
      </c>
      <c r="J18229" s="31">
        <v>19</v>
      </c>
      <c r="K18229" s="33" t="s">
        <v>88</v>
      </c>
      <c r="L18229" s="31" t="str">
        <f t="shared" si="1761"/>
        <v>Sembilan Belas</v>
      </c>
    </row>
    <row r="18230" spans="1:12">
      <c r="A18230" s="31" t="s">
        <v>69</v>
      </c>
      <c r="B18230" s="39" t="e">
        <f>TRUNC(A18208/100000000)</f>
        <v>#REF!</v>
      </c>
      <c r="C18230" s="31" t="e">
        <f>B18230*100000000</f>
        <v>#REF!</v>
      </c>
      <c r="D18230" s="31" t="e">
        <f>IF(B18230&lt;1,"",IF(B18230=1,"",VLOOKUP(B18230,$J$3:$L$102,3)))</f>
        <v>#REF!</v>
      </c>
      <c r="E18230" s="31" t="e">
        <f>IF(B18230&lt;1,"",IF(B18230=1,"Seratus "," Ratus "))</f>
        <v>#REF!</v>
      </c>
      <c r="J18230" s="31">
        <v>20</v>
      </c>
      <c r="K18230" s="33" t="s">
        <v>89</v>
      </c>
      <c r="L18230" s="31" t="s">
        <v>90</v>
      </c>
    </row>
    <row r="18231" spans="1:12">
      <c r="A18231" s="31" t="s">
        <v>72</v>
      </c>
      <c r="B18231" s="39" t="e">
        <f>TRUNC((A18208-C18230)/1000000)</f>
        <v>#REF!</v>
      </c>
      <c r="C18231" s="31" t="e">
        <f>B18231*1000000</f>
        <v>#REF!</v>
      </c>
      <c r="D18231" s="31" t="e">
        <f>IF(B18231&lt;1,"",VLOOKUP(B18231,$J$3:$L$102,3))</f>
        <v>#REF!</v>
      </c>
      <c r="E18231" s="31" t="e">
        <f>IF(B18230+B18231=0,""," Juta ")</f>
        <v>#REF!</v>
      </c>
      <c r="J18231" s="31">
        <v>21</v>
      </c>
      <c r="K18231" s="33" t="s">
        <v>91</v>
      </c>
      <c r="L18231" s="31" t="str">
        <f t="shared" ref="L18231:L18239" si="1762">$L$23&amp;" "&amp;L18211</f>
        <v>Dua Puluh Satu</v>
      </c>
    </row>
    <row r="18232" spans="1:12">
      <c r="A18232" s="31" t="s">
        <v>75</v>
      </c>
      <c r="B18232" s="39" t="e">
        <f>TRUNC((A18208-SUM(C18230:C18231))/100000)</f>
        <v>#REF!</v>
      </c>
      <c r="C18232" s="31" t="e">
        <f>B18232*100000</f>
        <v>#REF!</v>
      </c>
      <c r="D18232" s="31" t="e">
        <f>IF(B18232&lt;1,"",IF(B18232=1,"",VLOOKUP(B18232,$J$3:$L$102,3)))</f>
        <v>#REF!</v>
      </c>
      <c r="E18232" s="31" t="e">
        <f>IF(B18232&lt;1,"",IF(B18232=1," Seratus "," Ratus "))</f>
        <v>#REF!</v>
      </c>
      <c r="J18232" s="31">
        <v>22</v>
      </c>
      <c r="K18232" s="33" t="s">
        <v>92</v>
      </c>
      <c r="L18232" s="31" t="str">
        <f t="shared" si="1762"/>
        <v>Dua Puluh Dua</v>
      </c>
    </row>
    <row r="18233" spans="1:12">
      <c r="A18233" s="33" t="s">
        <v>77</v>
      </c>
      <c r="B18233" s="40" t="e">
        <f>TRUNC((A18208-SUM(C18230:C18232))/1000)</f>
        <v>#REF!</v>
      </c>
      <c r="C18233" s="31" t="e">
        <f>B18233*1000</f>
        <v>#REF!</v>
      </c>
      <c r="D18233" s="31" t="e">
        <f>IF(B18233&lt;1,"",IF(B18233=1,"",VLOOKUP(B18233,$J$3:$L$102,3)))</f>
        <v>#REF!</v>
      </c>
      <c r="E18233" s="31" t="e">
        <f>IF(B18232+B18233&lt;1,"",IF(B18233=1," Seribu "," Ribu "))</f>
        <v>#REF!</v>
      </c>
      <c r="J18233" s="31">
        <v>23</v>
      </c>
      <c r="K18233" s="33" t="s">
        <v>93</v>
      </c>
      <c r="L18233" s="31" t="str">
        <f t="shared" si="1762"/>
        <v>Dua Puluh Tiga</v>
      </c>
    </row>
    <row r="18234" spans="1:12">
      <c r="A18234" s="33" t="s">
        <v>79</v>
      </c>
      <c r="B18234" s="40" t="e">
        <f>TRUNC((A18208-SUM(C18230:C18233))/100)</f>
        <v>#REF!</v>
      </c>
      <c r="C18234" s="31" t="e">
        <f>B18234*100</f>
        <v>#REF!</v>
      </c>
      <c r="D18234" s="31" t="e">
        <f>IF(B18234&lt;1,"",IF(B18234=1,"",VLOOKUP(B18234,$J$3:$L$102,3)))</f>
        <v>#REF!</v>
      </c>
      <c r="E18234" s="31" t="e">
        <f>IF(B18234&lt;1,"",IF(B18234=1," Seratus "," Ratus "))</f>
        <v>#REF!</v>
      </c>
      <c r="J18234" s="31">
        <v>24</v>
      </c>
      <c r="K18234" s="33" t="s">
        <v>94</v>
      </c>
      <c r="L18234" s="31" t="str">
        <f t="shared" si="1762"/>
        <v>Dua Puluh Empat</v>
      </c>
    </row>
    <row r="18235" spans="1:12">
      <c r="A18235" s="33" t="s">
        <v>81</v>
      </c>
      <c r="B18235" s="41" t="e">
        <f>TRUNC((A18208-SUM(C18230:C18234)))</f>
        <v>#REF!</v>
      </c>
      <c r="C18235" s="42" t="e">
        <f>B18235</f>
        <v>#REF!</v>
      </c>
      <c r="D18235" s="31" t="e">
        <f>IF(B18235&lt;1,"",VLOOKUP(B18235,$J$3:$L$102,3))</f>
        <v>#REF!</v>
      </c>
      <c r="E18235" s="31" t="e">
        <f>IF(SUM(C18230:C18235)&lt;1,"",IF(B18236&lt;1,""," Dan "))</f>
        <v>#REF!</v>
      </c>
      <c r="J18235" s="31">
        <v>25</v>
      </c>
      <c r="K18235" s="33" t="s">
        <v>95</v>
      </c>
      <c r="L18235" s="31" t="str">
        <f t="shared" si="1762"/>
        <v>Dua Puluh Lima</v>
      </c>
    </row>
    <row r="18236" spans="1:12">
      <c r="A18236" s="33" t="s">
        <v>83</v>
      </c>
      <c r="B18236" s="40" t="e">
        <f>ROUND(A18208-SUM(C18230:C18235),2)*100</f>
        <v>#REF!</v>
      </c>
      <c r="D18236" s="31" t="e">
        <f>IF(B18236&lt;1,"",VLOOKUP(B18236,$J$3:$L$102,3))</f>
        <v>#REF!</v>
      </c>
      <c r="E18236" s="31" t="e">
        <f>IF(B18236&lt;1,""," Sen ")</f>
        <v>#REF!</v>
      </c>
      <c r="J18236" s="31">
        <v>26</v>
      </c>
      <c r="K18236" s="33" t="s">
        <v>96</v>
      </c>
      <c r="L18236" s="31" t="str">
        <f t="shared" si="1762"/>
        <v>Dua Puluh Enam</v>
      </c>
    </row>
    <row r="18237" spans="1:12">
      <c r="J18237" s="31">
        <v>27</v>
      </c>
      <c r="K18237" s="33" t="s">
        <v>97</v>
      </c>
      <c r="L18237" s="31" t="str">
        <f t="shared" si="1762"/>
        <v>Dua Puluh Tujuh</v>
      </c>
    </row>
    <row r="18238" spans="1:12">
      <c r="J18238" s="31">
        <v>28</v>
      </c>
      <c r="K18238" s="33" t="s">
        <v>98</v>
      </c>
      <c r="L18238" s="31" t="str">
        <f t="shared" si="1762"/>
        <v>Dua Puluh Delapan</v>
      </c>
    </row>
    <row r="18239" spans="1:12">
      <c r="J18239" s="31">
        <v>29</v>
      </c>
      <c r="K18239" s="33" t="s">
        <v>99</v>
      </c>
      <c r="L18239" s="31" t="str">
        <f t="shared" si="1762"/>
        <v>Dua Puluh Sembilan</v>
      </c>
    </row>
    <row r="18240" spans="1:12">
      <c r="J18240" s="31">
        <v>30</v>
      </c>
      <c r="K18240" s="33" t="s">
        <v>100</v>
      </c>
      <c r="L18240" s="31" t="s">
        <v>101</v>
      </c>
    </row>
    <row r="18241" spans="1:12">
      <c r="J18241" s="31">
        <v>31</v>
      </c>
      <c r="K18241" s="33" t="s">
        <v>102</v>
      </c>
      <c r="L18241" s="31" t="str">
        <f t="shared" ref="L18241:L18249" si="1763">$L$33&amp;" "&amp;L18211</f>
        <v>Tiga Puluh Satu</v>
      </c>
    </row>
    <row r="18242" spans="1:12">
      <c r="J18242" s="31">
        <v>32</v>
      </c>
      <c r="K18242" s="33" t="s">
        <v>103</v>
      </c>
      <c r="L18242" s="31" t="str">
        <f t="shared" si="1763"/>
        <v>Tiga Puluh Dua</v>
      </c>
    </row>
    <row r="18243" spans="1:12">
      <c r="J18243" s="31">
        <v>33</v>
      </c>
      <c r="K18243" s="33" t="s">
        <v>104</v>
      </c>
      <c r="L18243" s="31" t="str">
        <f t="shared" si="1763"/>
        <v>Tiga Puluh Tiga</v>
      </c>
    </row>
    <row r="18244" spans="1:12">
      <c r="J18244" s="31">
        <v>34</v>
      </c>
      <c r="K18244" s="33" t="s">
        <v>105</v>
      </c>
      <c r="L18244" s="31" t="str">
        <f t="shared" si="1763"/>
        <v>Tiga Puluh Empat</v>
      </c>
    </row>
    <row r="18245" spans="1:12">
      <c r="J18245" s="31">
        <v>35</v>
      </c>
      <c r="K18245" s="33" t="s">
        <v>106</v>
      </c>
      <c r="L18245" s="31" t="str">
        <f t="shared" si="1763"/>
        <v>Tiga Puluh Lima</v>
      </c>
    </row>
    <row r="18246" spans="1:12">
      <c r="J18246" s="31">
        <v>36</v>
      </c>
      <c r="K18246" s="33" t="s">
        <v>107</v>
      </c>
      <c r="L18246" s="31" t="str">
        <f t="shared" si="1763"/>
        <v>Tiga Puluh Enam</v>
      </c>
    </row>
    <row r="18247" spans="1:12">
      <c r="J18247" s="31">
        <v>37</v>
      </c>
      <c r="K18247" s="33" t="s">
        <v>108</v>
      </c>
      <c r="L18247" s="31" t="str">
        <f t="shared" si="1763"/>
        <v>Tiga Puluh Tujuh</v>
      </c>
    </row>
    <row r="18248" spans="1:12">
      <c r="J18248" s="31">
        <v>38</v>
      </c>
      <c r="K18248" s="33" t="s">
        <v>109</v>
      </c>
      <c r="L18248" s="31" t="str">
        <f t="shared" si="1763"/>
        <v>Tiga Puluh Delapan</v>
      </c>
    </row>
    <row r="18249" spans="1:12">
      <c r="J18249" s="31">
        <v>39</v>
      </c>
      <c r="K18249" s="33" t="s">
        <v>110</v>
      </c>
      <c r="L18249" s="31" t="str">
        <f t="shared" si="1763"/>
        <v>Tiga Puluh Sembilan</v>
      </c>
    </row>
    <row r="18250" spans="1:12">
      <c r="B18250" s="35"/>
      <c r="C18250" s="35"/>
      <c r="D18250" s="35"/>
      <c r="J18250" s="31">
        <v>40</v>
      </c>
      <c r="K18250" s="33" t="s">
        <v>111</v>
      </c>
      <c r="L18250" s="31" t="s">
        <v>112</v>
      </c>
    </row>
    <row r="18251" spans="1:12">
      <c r="A18251" s="35"/>
      <c r="B18251" s="35"/>
      <c r="C18251" s="35"/>
      <c r="D18251" s="35"/>
      <c r="J18251" s="31">
        <v>41</v>
      </c>
      <c r="K18251" s="33" t="s">
        <v>113</v>
      </c>
      <c r="L18251" s="31" t="str">
        <f t="shared" ref="L18251:L18259" si="1764">$L$43&amp;" "&amp;L18211</f>
        <v>Empat Puluh Satu</v>
      </c>
    </row>
    <row r="18252" spans="1:12">
      <c r="J18252" s="31">
        <v>42</v>
      </c>
      <c r="K18252" s="33" t="s">
        <v>114</v>
      </c>
      <c r="L18252" s="31" t="str">
        <f t="shared" si="1764"/>
        <v>Empat Puluh Dua</v>
      </c>
    </row>
    <row r="18253" spans="1:12">
      <c r="A18253" s="38"/>
      <c r="J18253" s="31">
        <v>43</v>
      </c>
      <c r="K18253" s="33" t="s">
        <v>115</v>
      </c>
      <c r="L18253" s="31" t="str">
        <f t="shared" si="1764"/>
        <v>Empat Puluh Tiga</v>
      </c>
    </row>
    <row r="18254" spans="1:12">
      <c r="J18254" s="31">
        <v>44</v>
      </c>
      <c r="K18254" s="33" t="s">
        <v>116</v>
      </c>
      <c r="L18254" s="31" t="str">
        <f t="shared" si="1764"/>
        <v>Empat Puluh Empat</v>
      </c>
    </row>
    <row r="18255" spans="1:12">
      <c r="J18255" s="31">
        <v>45</v>
      </c>
      <c r="K18255" s="33" t="s">
        <v>117</v>
      </c>
      <c r="L18255" s="31" t="str">
        <f t="shared" si="1764"/>
        <v>Empat Puluh Lima</v>
      </c>
    </row>
    <row r="18256" spans="1:12">
      <c r="J18256" s="31">
        <v>46</v>
      </c>
      <c r="K18256" s="33" t="s">
        <v>118</v>
      </c>
      <c r="L18256" s="31" t="str">
        <f t="shared" si="1764"/>
        <v>Empat Puluh Enam</v>
      </c>
    </row>
    <row r="18257" spans="10:12">
      <c r="J18257" s="31">
        <v>47</v>
      </c>
      <c r="K18257" s="33" t="s">
        <v>119</v>
      </c>
      <c r="L18257" s="31" t="str">
        <f t="shared" si="1764"/>
        <v>Empat Puluh Tujuh</v>
      </c>
    </row>
    <row r="18258" spans="10:12">
      <c r="J18258" s="31">
        <v>48</v>
      </c>
      <c r="K18258" s="33" t="s">
        <v>120</v>
      </c>
      <c r="L18258" s="31" t="str">
        <f t="shared" si="1764"/>
        <v>Empat Puluh Delapan</v>
      </c>
    </row>
    <row r="18259" spans="10:12">
      <c r="J18259" s="31">
        <v>49</v>
      </c>
      <c r="K18259" s="33" t="s">
        <v>121</v>
      </c>
      <c r="L18259" s="31" t="str">
        <f t="shared" si="1764"/>
        <v>Empat Puluh Sembilan</v>
      </c>
    </row>
    <row r="18260" spans="10:12">
      <c r="J18260" s="31">
        <v>50</v>
      </c>
      <c r="K18260" s="33" t="s">
        <v>122</v>
      </c>
      <c r="L18260" s="31" t="s">
        <v>123</v>
      </c>
    </row>
    <row r="18261" spans="10:12">
      <c r="J18261" s="31">
        <v>51</v>
      </c>
      <c r="K18261" s="33" t="s">
        <v>124</v>
      </c>
      <c r="L18261" s="31" t="str">
        <f t="shared" ref="L18261:L18269" si="1765">$L$53&amp;" "&amp;L18211</f>
        <v>Lima Puluh Satu</v>
      </c>
    </row>
    <row r="18262" spans="10:12">
      <c r="J18262" s="31">
        <v>52</v>
      </c>
      <c r="K18262" s="33" t="s">
        <v>125</v>
      </c>
      <c r="L18262" s="31" t="str">
        <f t="shared" si="1765"/>
        <v>Lima Puluh Dua</v>
      </c>
    </row>
    <row r="18263" spans="10:12">
      <c r="J18263" s="31">
        <v>53</v>
      </c>
      <c r="K18263" s="33" t="s">
        <v>126</v>
      </c>
      <c r="L18263" s="31" t="str">
        <f t="shared" si="1765"/>
        <v>Lima Puluh Tiga</v>
      </c>
    </row>
    <row r="18264" spans="10:12">
      <c r="J18264" s="31">
        <v>54</v>
      </c>
      <c r="K18264" s="33" t="s">
        <v>127</v>
      </c>
      <c r="L18264" s="31" t="str">
        <f t="shared" si="1765"/>
        <v>Lima Puluh Empat</v>
      </c>
    </row>
    <row r="18265" spans="10:12">
      <c r="J18265" s="31">
        <v>55</v>
      </c>
      <c r="K18265" s="33" t="s">
        <v>128</v>
      </c>
      <c r="L18265" s="31" t="str">
        <f t="shared" si="1765"/>
        <v>Lima Puluh Lima</v>
      </c>
    </row>
    <row r="18266" spans="10:12">
      <c r="J18266" s="31">
        <v>56</v>
      </c>
      <c r="K18266" s="33" t="s">
        <v>129</v>
      </c>
      <c r="L18266" s="31" t="str">
        <f t="shared" si="1765"/>
        <v>Lima Puluh Enam</v>
      </c>
    </row>
    <row r="18267" spans="10:12">
      <c r="J18267" s="31">
        <v>57</v>
      </c>
      <c r="K18267" s="33" t="s">
        <v>130</v>
      </c>
      <c r="L18267" s="31" t="str">
        <f t="shared" si="1765"/>
        <v>Lima Puluh Tujuh</v>
      </c>
    </row>
    <row r="18268" spans="10:12">
      <c r="J18268" s="31">
        <v>58</v>
      </c>
      <c r="K18268" s="33" t="s">
        <v>131</v>
      </c>
      <c r="L18268" s="31" t="str">
        <f t="shared" si="1765"/>
        <v>Lima Puluh Delapan</v>
      </c>
    </row>
    <row r="18269" spans="10:12">
      <c r="J18269" s="31">
        <v>59</v>
      </c>
      <c r="K18269" s="33" t="s">
        <v>132</v>
      </c>
      <c r="L18269" s="31" t="str">
        <f t="shared" si="1765"/>
        <v>Lima Puluh Sembilan</v>
      </c>
    </row>
    <row r="18270" spans="10:12">
      <c r="J18270" s="31">
        <v>60</v>
      </c>
      <c r="K18270" s="33" t="s">
        <v>133</v>
      </c>
      <c r="L18270" s="31" t="s">
        <v>134</v>
      </c>
    </row>
    <row r="18271" spans="10:12">
      <c r="J18271" s="31">
        <v>61</v>
      </c>
      <c r="K18271" s="33" t="s">
        <v>135</v>
      </c>
      <c r="L18271" s="31" t="str">
        <f t="shared" ref="L18271:L18279" si="1766">$L$63&amp;" "&amp;L18211</f>
        <v>Enam Puluh Satu</v>
      </c>
    </row>
    <row r="18272" spans="10:12">
      <c r="J18272" s="31">
        <v>62</v>
      </c>
      <c r="K18272" s="33" t="s">
        <v>136</v>
      </c>
      <c r="L18272" s="31" t="str">
        <f t="shared" si="1766"/>
        <v>Enam Puluh Dua</v>
      </c>
    </row>
    <row r="18273" spans="10:12">
      <c r="J18273" s="31">
        <v>63</v>
      </c>
      <c r="K18273" s="33" t="s">
        <v>137</v>
      </c>
      <c r="L18273" s="31" t="str">
        <f t="shared" si="1766"/>
        <v>Enam Puluh Tiga</v>
      </c>
    </row>
    <row r="18274" spans="10:12">
      <c r="J18274" s="31">
        <v>64</v>
      </c>
      <c r="K18274" s="33" t="s">
        <v>138</v>
      </c>
      <c r="L18274" s="31" t="str">
        <f t="shared" si="1766"/>
        <v>Enam Puluh Empat</v>
      </c>
    </row>
    <row r="18275" spans="10:12">
      <c r="J18275" s="31">
        <v>65</v>
      </c>
      <c r="K18275" s="33" t="s">
        <v>139</v>
      </c>
      <c r="L18275" s="31" t="str">
        <f t="shared" si="1766"/>
        <v>Enam Puluh Lima</v>
      </c>
    </row>
    <row r="18276" spans="10:12">
      <c r="J18276" s="31">
        <v>66</v>
      </c>
      <c r="K18276" s="33" t="s">
        <v>140</v>
      </c>
      <c r="L18276" s="31" t="str">
        <f t="shared" si="1766"/>
        <v>Enam Puluh Enam</v>
      </c>
    </row>
    <row r="18277" spans="10:12">
      <c r="J18277" s="31">
        <v>67</v>
      </c>
      <c r="K18277" s="33" t="s">
        <v>141</v>
      </c>
      <c r="L18277" s="31" t="str">
        <f t="shared" si="1766"/>
        <v>Enam Puluh Tujuh</v>
      </c>
    </row>
    <row r="18278" spans="10:12">
      <c r="J18278" s="31">
        <v>68</v>
      </c>
      <c r="K18278" s="33" t="s">
        <v>142</v>
      </c>
      <c r="L18278" s="31" t="str">
        <f t="shared" si="1766"/>
        <v>Enam Puluh Delapan</v>
      </c>
    </row>
    <row r="18279" spans="10:12">
      <c r="J18279" s="31">
        <v>69</v>
      </c>
      <c r="K18279" s="33" t="s">
        <v>143</v>
      </c>
      <c r="L18279" s="31" t="str">
        <f t="shared" si="1766"/>
        <v>Enam Puluh Sembilan</v>
      </c>
    </row>
    <row r="18280" spans="10:12">
      <c r="J18280" s="31">
        <v>70</v>
      </c>
      <c r="K18280" s="33" t="s">
        <v>144</v>
      </c>
      <c r="L18280" s="31" t="s">
        <v>145</v>
      </c>
    </row>
    <row r="18281" spans="10:12">
      <c r="J18281" s="31">
        <v>71</v>
      </c>
      <c r="K18281" s="33" t="s">
        <v>146</v>
      </c>
      <c r="L18281" s="31" t="str">
        <f t="shared" ref="L18281:L18289" si="1767">$L$73&amp;" "&amp;L18211</f>
        <v>Tujuh Puluh Satu</v>
      </c>
    </row>
    <row r="18282" spans="10:12">
      <c r="J18282" s="31">
        <v>72</v>
      </c>
      <c r="K18282" s="33" t="s">
        <v>147</v>
      </c>
      <c r="L18282" s="31" t="str">
        <f t="shared" si="1767"/>
        <v>Tujuh Puluh Dua</v>
      </c>
    </row>
    <row r="18283" spans="10:12">
      <c r="J18283" s="31">
        <v>73</v>
      </c>
      <c r="K18283" s="33" t="s">
        <v>148</v>
      </c>
      <c r="L18283" s="31" t="str">
        <f t="shared" si="1767"/>
        <v>Tujuh Puluh Tiga</v>
      </c>
    </row>
    <row r="18284" spans="10:12">
      <c r="J18284" s="31">
        <v>74</v>
      </c>
      <c r="K18284" s="33" t="s">
        <v>149</v>
      </c>
      <c r="L18284" s="31" t="str">
        <f t="shared" si="1767"/>
        <v>Tujuh Puluh Empat</v>
      </c>
    </row>
    <row r="18285" spans="10:12">
      <c r="J18285" s="31">
        <v>75</v>
      </c>
      <c r="K18285" s="33" t="s">
        <v>150</v>
      </c>
      <c r="L18285" s="31" t="str">
        <f t="shared" si="1767"/>
        <v>Tujuh Puluh Lima</v>
      </c>
    </row>
    <row r="18286" spans="10:12">
      <c r="J18286" s="31">
        <v>76</v>
      </c>
      <c r="K18286" s="33" t="s">
        <v>151</v>
      </c>
      <c r="L18286" s="31" t="str">
        <f t="shared" si="1767"/>
        <v>Tujuh Puluh Enam</v>
      </c>
    </row>
    <row r="18287" spans="10:12">
      <c r="J18287" s="31">
        <v>77</v>
      </c>
      <c r="K18287" s="33" t="s">
        <v>152</v>
      </c>
      <c r="L18287" s="31" t="str">
        <f t="shared" si="1767"/>
        <v>Tujuh Puluh Tujuh</v>
      </c>
    </row>
    <row r="18288" spans="10:12">
      <c r="J18288" s="31">
        <v>78</v>
      </c>
      <c r="K18288" s="33" t="s">
        <v>153</v>
      </c>
      <c r="L18288" s="31" t="str">
        <f t="shared" si="1767"/>
        <v>Tujuh Puluh Delapan</v>
      </c>
    </row>
    <row r="18289" spans="10:12">
      <c r="J18289" s="31">
        <v>79</v>
      </c>
      <c r="K18289" s="33" t="s">
        <v>154</v>
      </c>
      <c r="L18289" s="31" t="str">
        <f t="shared" si="1767"/>
        <v>Tujuh Puluh Sembilan</v>
      </c>
    </row>
    <row r="18290" spans="10:12">
      <c r="J18290" s="31">
        <v>80</v>
      </c>
      <c r="K18290" s="33" t="s">
        <v>155</v>
      </c>
      <c r="L18290" s="31" t="s">
        <v>156</v>
      </c>
    </row>
    <row r="18291" spans="10:12">
      <c r="J18291" s="31">
        <v>81</v>
      </c>
      <c r="K18291" s="33" t="s">
        <v>157</v>
      </c>
      <c r="L18291" s="31" t="str">
        <f t="shared" ref="L18291:L18299" si="1768">$L$83&amp;" "&amp;L18211</f>
        <v>Delapan Puluh Satu</v>
      </c>
    </row>
    <row r="18292" spans="10:12">
      <c r="J18292" s="31">
        <v>82</v>
      </c>
      <c r="K18292" s="33" t="s">
        <v>158</v>
      </c>
      <c r="L18292" s="31" t="str">
        <f t="shared" si="1768"/>
        <v>Delapan Puluh Dua</v>
      </c>
    </row>
    <row r="18293" spans="10:12">
      <c r="J18293" s="31">
        <v>83</v>
      </c>
      <c r="K18293" s="33" t="s">
        <v>159</v>
      </c>
      <c r="L18293" s="31" t="str">
        <f t="shared" si="1768"/>
        <v>Delapan Puluh Tiga</v>
      </c>
    </row>
    <row r="18294" spans="10:12">
      <c r="J18294" s="31">
        <v>84</v>
      </c>
      <c r="K18294" s="33" t="s">
        <v>160</v>
      </c>
      <c r="L18294" s="31" t="str">
        <f t="shared" si="1768"/>
        <v>Delapan Puluh Empat</v>
      </c>
    </row>
    <row r="18295" spans="10:12">
      <c r="J18295" s="31">
        <v>85</v>
      </c>
      <c r="K18295" s="33" t="s">
        <v>161</v>
      </c>
      <c r="L18295" s="31" t="str">
        <f t="shared" si="1768"/>
        <v>Delapan Puluh Lima</v>
      </c>
    </row>
    <row r="18296" spans="10:12">
      <c r="J18296" s="31">
        <v>86</v>
      </c>
      <c r="K18296" s="33" t="s">
        <v>162</v>
      </c>
      <c r="L18296" s="31" t="str">
        <f t="shared" si="1768"/>
        <v>Delapan Puluh Enam</v>
      </c>
    </row>
    <row r="18297" spans="10:12">
      <c r="J18297" s="31">
        <v>87</v>
      </c>
      <c r="K18297" s="33" t="s">
        <v>163</v>
      </c>
      <c r="L18297" s="31" t="str">
        <f t="shared" si="1768"/>
        <v>Delapan Puluh Tujuh</v>
      </c>
    </row>
    <row r="18298" spans="10:12">
      <c r="J18298" s="31">
        <v>88</v>
      </c>
      <c r="K18298" s="33" t="s">
        <v>164</v>
      </c>
      <c r="L18298" s="31" t="str">
        <f t="shared" si="1768"/>
        <v>Delapan Puluh Delapan</v>
      </c>
    </row>
    <row r="18299" spans="10:12">
      <c r="J18299" s="31">
        <v>89</v>
      </c>
      <c r="K18299" s="33" t="s">
        <v>165</v>
      </c>
      <c r="L18299" s="31" t="str">
        <f t="shared" si="1768"/>
        <v>Delapan Puluh Sembilan</v>
      </c>
    </row>
    <row r="18300" spans="10:12">
      <c r="J18300" s="31">
        <v>90</v>
      </c>
      <c r="K18300" s="33" t="s">
        <v>166</v>
      </c>
      <c r="L18300" s="31" t="s">
        <v>167</v>
      </c>
    </row>
    <row r="18301" spans="10:12">
      <c r="J18301" s="31">
        <v>91</v>
      </c>
      <c r="K18301" s="33" t="s">
        <v>168</v>
      </c>
      <c r="L18301" s="31" t="str">
        <f t="shared" ref="L18301:L18309" si="1769">$L$93&amp;" "&amp;L18211</f>
        <v>Sembilan Puluh Satu</v>
      </c>
    </row>
    <row r="18302" spans="10:12">
      <c r="J18302" s="31">
        <v>92</v>
      </c>
      <c r="K18302" s="33" t="s">
        <v>169</v>
      </c>
      <c r="L18302" s="31" t="str">
        <f t="shared" si="1769"/>
        <v>Sembilan Puluh Dua</v>
      </c>
    </row>
    <row r="18303" spans="10:12">
      <c r="J18303" s="31">
        <v>93</v>
      </c>
      <c r="K18303" s="33" t="s">
        <v>170</v>
      </c>
      <c r="L18303" s="31" t="str">
        <f t="shared" si="1769"/>
        <v>Sembilan Puluh Tiga</v>
      </c>
    </row>
    <row r="18304" spans="10:12">
      <c r="J18304" s="31">
        <v>94</v>
      </c>
      <c r="K18304" s="33" t="s">
        <v>171</v>
      </c>
      <c r="L18304" s="31" t="str">
        <f t="shared" si="1769"/>
        <v>Sembilan Puluh Empat</v>
      </c>
    </row>
    <row r="18305" spans="1:12">
      <c r="J18305" s="31">
        <v>95</v>
      </c>
      <c r="K18305" s="33" t="s">
        <v>172</v>
      </c>
      <c r="L18305" s="31" t="str">
        <f t="shared" si="1769"/>
        <v>Sembilan Puluh Lima</v>
      </c>
    </row>
    <row r="18306" spans="1:12">
      <c r="J18306" s="31">
        <v>96</v>
      </c>
      <c r="K18306" s="33" t="s">
        <v>173</v>
      </c>
      <c r="L18306" s="31" t="str">
        <f t="shared" si="1769"/>
        <v>Sembilan Puluh Enam</v>
      </c>
    </row>
    <row r="18307" spans="1:12">
      <c r="J18307" s="31">
        <v>97</v>
      </c>
      <c r="K18307" s="33" t="s">
        <v>174</v>
      </c>
      <c r="L18307" s="31" t="str">
        <f t="shared" si="1769"/>
        <v>Sembilan Puluh Tujuh</v>
      </c>
    </row>
    <row r="18308" spans="1:12">
      <c r="J18308" s="31">
        <v>98</v>
      </c>
      <c r="K18308" s="33" t="s">
        <v>175</v>
      </c>
      <c r="L18308" s="31" t="str">
        <f t="shared" si="1769"/>
        <v>Sembilan Puluh Delapan</v>
      </c>
    </row>
    <row r="18309" spans="1:12">
      <c r="J18309" s="31">
        <v>99</v>
      </c>
      <c r="K18309" s="33" t="s">
        <v>176</v>
      </c>
      <c r="L18309" s="31" t="str">
        <f t="shared" si="1769"/>
        <v>Sembilan Puluh Sembilan</v>
      </c>
    </row>
    <row r="18311" spans="1:12">
      <c r="A18311" s="30" t="e">
        <f>#REF!</f>
        <v>#REF!</v>
      </c>
      <c r="C18311" s="31" t="s">
        <v>395</v>
      </c>
    </row>
    <row r="18312" spans="1:12">
      <c r="A18312" s="32"/>
    </row>
    <row r="18313" spans="1:12">
      <c r="J18313" s="31">
        <v>0</v>
      </c>
      <c r="K18313" s="33" t="s">
        <v>48</v>
      </c>
      <c r="L18313" s="31" t="s">
        <v>49</v>
      </c>
    </row>
    <row r="18314" spans="1:12">
      <c r="A18314" s="34"/>
      <c r="J18314" s="31">
        <v>1</v>
      </c>
      <c r="K18314" s="33" t="s">
        <v>50</v>
      </c>
      <c r="L18314" s="31" t="s">
        <v>51</v>
      </c>
    </row>
    <row r="18315" spans="1:12">
      <c r="A18315" s="255" t="e">
        <f>TRIM(D18323&amp;E18323&amp;D18324&amp;E18324&amp;D18325&amp;E18325&amp;D18326&amp;E18326&amp;D18327&amp;E18327&amp;D18328&amp;E18328&amp;E18329&amp;D18329&amp;" Only")</f>
        <v>#REF!</v>
      </c>
      <c r="B18315" s="255"/>
      <c r="C18315" s="255"/>
      <c r="D18315" s="255"/>
      <c r="E18315" s="35"/>
      <c r="F18315" s="36"/>
      <c r="J18315" s="31">
        <v>2</v>
      </c>
      <c r="K18315" s="33" t="s">
        <v>52</v>
      </c>
      <c r="L18315" s="31" t="s">
        <v>53</v>
      </c>
    </row>
    <row r="18316" spans="1:12">
      <c r="A18316" s="138"/>
      <c r="B18316" s="138"/>
      <c r="C18316" s="138"/>
      <c r="D18316" s="138"/>
      <c r="E18316" s="35"/>
      <c r="F18316" s="36"/>
      <c r="J18316" s="31">
        <v>3</v>
      </c>
      <c r="K18316" s="33" t="s">
        <v>54</v>
      </c>
      <c r="L18316" s="31" t="s">
        <v>55</v>
      </c>
    </row>
    <row r="18317" spans="1:12">
      <c r="A18317" s="138"/>
      <c r="B18317" s="138"/>
      <c r="C18317" s="138"/>
      <c r="D18317" s="138"/>
      <c r="J18317" s="31">
        <v>4</v>
      </c>
      <c r="K18317" s="33" t="s">
        <v>56</v>
      </c>
      <c r="L18317" s="31" t="s">
        <v>57</v>
      </c>
    </row>
    <row r="18318" spans="1:12">
      <c r="A18318" s="255" t="e">
        <f>TRIM(D18333&amp;E18333&amp;D18334&amp;E18334&amp;D18335&amp;E18335&amp;D18336&amp;E18336&amp;D18337&amp;E18337&amp;D18338&amp;E18338&amp;D18339&amp;E18339&amp;" Rupiah")</f>
        <v>#REF!</v>
      </c>
      <c r="B18318" s="255"/>
      <c r="C18318" s="255"/>
      <c r="D18318" s="255"/>
      <c r="E18318" s="35"/>
      <c r="F18318" s="36"/>
      <c r="J18318" s="31">
        <v>5</v>
      </c>
      <c r="K18318" s="33" t="s">
        <v>58</v>
      </c>
      <c r="L18318" s="31" t="s">
        <v>59</v>
      </c>
    </row>
    <row r="18319" spans="1:12">
      <c r="A18319" s="35"/>
      <c r="B18319" s="35"/>
      <c r="C18319" s="35"/>
      <c r="D18319" s="35"/>
      <c r="E18319" s="35"/>
      <c r="F18319" s="36"/>
      <c r="J18319" s="31">
        <v>6</v>
      </c>
      <c r="K18319" s="33" t="s">
        <v>60</v>
      </c>
      <c r="L18319" s="31" t="s">
        <v>61</v>
      </c>
    </row>
    <row r="18320" spans="1:12">
      <c r="J18320" s="31">
        <v>7</v>
      </c>
      <c r="K18320" s="33" t="s">
        <v>62</v>
      </c>
      <c r="L18320" s="31" t="s">
        <v>63</v>
      </c>
    </row>
    <row r="18321" spans="1:12">
      <c r="J18321" s="31">
        <v>8</v>
      </c>
      <c r="K18321" s="33" t="s">
        <v>64</v>
      </c>
      <c r="L18321" s="31" t="s">
        <v>65</v>
      </c>
    </row>
    <row r="18322" spans="1:12">
      <c r="A18322" s="38" t="s">
        <v>66</v>
      </c>
      <c r="J18322" s="31">
        <v>9</v>
      </c>
      <c r="K18322" s="33" t="s">
        <v>67</v>
      </c>
      <c r="L18322" s="31" t="s">
        <v>68</v>
      </c>
    </row>
    <row r="18323" spans="1:12">
      <c r="A18323" s="31" t="s">
        <v>69</v>
      </c>
      <c r="B18323" s="39" t="e">
        <f>TRUNC(A18311/100000000)</f>
        <v>#REF!</v>
      </c>
      <c r="C18323" s="31" t="e">
        <f>B18323*100000000</f>
        <v>#REF!</v>
      </c>
      <c r="D18323" s="31" t="e">
        <f t="shared" ref="D18323:D18329" si="1770">IF(B18323&lt;1,"",VLOOKUP(B18323,$J$3:$K$102,2))</f>
        <v>#REF!</v>
      </c>
      <c r="E18323" s="31" t="e">
        <f>IF(B18323&lt;1,"",IF(B18323&gt;1," Hundreds "," Hundred "))</f>
        <v>#REF!</v>
      </c>
      <c r="J18323" s="31">
        <v>10</v>
      </c>
      <c r="K18323" s="33" t="s">
        <v>70</v>
      </c>
      <c r="L18323" s="31" t="s">
        <v>71</v>
      </c>
    </row>
    <row r="18324" spans="1:12">
      <c r="A18324" s="31" t="s">
        <v>72</v>
      </c>
      <c r="B18324" s="39" t="e">
        <f>TRUNC((A18311-C18323)/1000000)</f>
        <v>#REF!</v>
      </c>
      <c r="C18324" s="31" t="e">
        <f>B18324*1000000</f>
        <v>#REF!</v>
      </c>
      <c r="D18324" s="31" t="e">
        <f t="shared" si="1770"/>
        <v>#REF!</v>
      </c>
      <c r="E18324" s="31" t="e">
        <f>IF(B18323+B18324=0,"",IF(B18324=1," Million "," Millions "))</f>
        <v>#REF!</v>
      </c>
      <c r="J18324" s="31">
        <v>11</v>
      </c>
      <c r="K18324" s="33" t="s">
        <v>73</v>
      </c>
      <c r="L18324" s="31" t="s">
        <v>74</v>
      </c>
    </row>
    <row r="18325" spans="1:12">
      <c r="A18325" s="31" t="s">
        <v>75</v>
      </c>
      <c r="B18325" s="39" t="e">
        <f>TRUNC((A18311-SUM(C18323:C18324))/100000)</f>
        <v>#REF!</v>
      </c>
      <c r="C18325" s="31" t="e">
        <f>B18325*100000</f>
        <v>#REF!</v>
      </c>
      <c r="D18325" s="31" t="e">
        <f t="shared" si="1770"/>
        <v>#REF!</v>
      </c>
      <c r="E18325" s="31" t="e">
        <f>IF(B18325&lt;1,"",IF(B18325&gt;1," Hundreds "," Hundred "))</f>
        <v>#REF!</v>
      </c>
      <c r="J18325" s="31">
        <v>12</v>
      </c>
      <c r="K18325" s="33" t="s">
        <v>76</v>
      </c>
      <c r="L18325" s="31" t="str">
        <f t="shared" ref="L18325:L18332" si="1771">L18315&amp;" Belas"</f>
        <v>Dua Belas</v>
      </c>
    </row>
    <row r="18326" spans="1:12">
      <c r="A18326" s="33" t="s">
        <v>77</v>
      </c>
      <c r="B18326" s="40" t="e">
        <f>TRUNC((A18311-SUM(C18323:C18325))/1000)</f>
        <v>#REF!</v>
      </c>
      <c r="C18326" s="31" t="e">
        <f>B18326*1000</f>
        <v>#REF!</v>
      </c>
      <c r="D18326" s="31" t="e">
        <f t="shared" si="1770"/>
        <v>#REF!</v>
      </c>
      <c r="E18326" s="31" t="e">
        <f>IF(B18325+B18326=0,"",IF(B18326=1," Thousand "," Thousands "))</f>
        <v>#REF!</v>
      </c>
      <c r="J18326" s="31">
        <v>13</v>
      </c>
      <c r="K18326" s="33" t="s">
        <v>78</v>
      </c>
      <c r="L18326" s="31" t="str">
        <f t="shared" si="1771"/>
        <v>Tiga Belas</v>
      </c>
    </row>
    <row r="18327" spans="1:12">
      <c r="A18327" s="33" t="s">
        <v>79</v>
      </c>
      <c r="B18327" s="40" t="e">
        <f>TRUNC((A18311-SUM(C18323:C18326))/100)</f>
        <v>#REF!</v>
      </c>
      <c r="C18327" s="31" t="e">
        <f>B18327*100</f>
        <v>#REF!</v>
      </c>
      <c r="D18327" s="31" t="e">
        <f t="shared" si="1770"/>
        <v>#REF!</v>
      </c>
      <c r="E18327" s="31" t="e">
        <f>IF(B18327&lt;1,"",IF(B18327&gt;1," Hundreds "," Hundred "))</f>
        <v>#REF!</v>
      </c>
      <c r="J18327" s="31">
        <v>14</v>
      </c>
      <c r="K18327" s="33" t="s">
        <v>80</v>
      </c>
      <c r="L18327" s="31" t="str">
        <f t="shared" si="1771"/>
        <v>Empat Belas</v>
      </c>
    </row>
    <row r="18328" spans="1:12">
      <c r="A18328" s="33" t="s">
        <v>81</v>
      </c>
      <c r="B18328" s="41" t="e">
        <f>TRUNC((A18311-SUM(C18323:C18327)))</f>
        <v>#REF!</v>
      </c>
      <c r="C18328" s="42" t="e">
        <f>B18328</f>
        <v>#REF!</v>
      </c>
      <c r="D18328" s="31" t="e">
        <f t="shared" si="1770"/>
        <v>#REF!</v>
      </c>
      <c r="E18328" s="31" t="e">
        <f>IF(SUM(C18323:C18328)&lt;1,"",IF(B18329&lt;1,""," And "))</f>
        <v>#REF!</v>
      </c>
      <c r="J18328" s="31">
        <v>15</v>
      </c>
      <c r="K18328" s="33" t="s">
        <v>82</v>
      </c>
      <c r="L18328" s="31" t="str">
        <f t="shared" si="1771"/>
        <v>Lima Belas</v>
      </c>
    </row>
    <row r="18329" spans="1:12">
      <c r="A18329" s="33" t="s">
        <v>83</v>
      </c>
      <c r="B18329" s="40" t="e">
        <f>ROUND(A18311-SUM(C18323:C18328),2)*100</f>
        <v>#REF!</v>
      </c>
      <c r="D18329" s="43" t="e">
        <f t="shared" si="1770"/>
        <v>#REF!</v>
      </c>
      <c r="E18329" s="31" t="e">
        <f>IF(B18329&lt;1,"",IF(B18329=1," Cent "," Cents "))</f>
        <v>#REF!</v>
      </c>
      <c r="J18329" s="31">
        <v>16</v>
      </c>
      <c r="K18329" s="33" t="s">
        <v>84</v>
      </c>
      <c r="L18329" s="31" t="str">
        <f t="shared" si="1771"/>
        <v>Enam Belas</v>
      </c>
    </row>
    <row r="18330" spans="1:12">
      <c r="J18330" s="31">
        <v>17</v>
      </c>
      <c r="K18330" s="33" t="s">
        <v>85</v>
      </c>
      <c r="L18330" s="31" t="str">
        <f t="shared" si="1771"/>
        <v>Tujuh Belas</v>
      </c>
    </row>
    <row r="18331" spans="1:12">
      <c r="A18331" s="44"/>
      <c r="J18331" s="31">
        <v>18</v>
      </c>
      <c r="K18331" s="33" t="s">
        <v>86</v>
      </c>
      <c r="L18331" s="31" t="str">
        <f t="shared" si="1771"/>
        <v>Delapan Belas</v>
      </c>
    </row>
    <row r="18332" spans="1:12">
      <c r="A18332" s="38" t="s">
        <v>87</v>
      </c>
      <c r="J18332" s="31">
        <v>19</v>
      </c>
      <c r="K18332" s="33" t="s">
        <v>88</v>
      </c>
      <c r="L18332" s="31" t="str">
        <f t="shared" si="1771"/>
        <v>Sembilan Belas</v>
      </c>
    </row>
    <row r="18333" spans="1:12">
      <c r="A18333" s="31" t="s">
        <v>69</v>
      </c>
      <c r="B18333" s="39" t="e">
        <f>TRUNC(A18311/100000000)</f>
        <v>#REF!</v>
      </c>
      <c r="C18333" s="31" t="e">
        <f>B18333*100000000</f>
        <v>#REF!</v>
      </c>
      <c r="D18333" s="31" t="e">
        <f>IF(B18333&lt;1,"",IF(B18333=1,"",VLOOKUP(B18333,$J$3:$L$102,3)))</f>
        <v>#REF!</v>
      </c>
      <c r="E18333" s="31" t="e">
        <f>IF(B18333&lt;1,"",IF(B18333=1,"Seratus "," Ratus "))</f>
        <v>#REF!</v>
      </c>
      <c r="J18333" s="31">
        <v>20</v>
      </c>
      <c r="K18333" s="33" t="s">
        <v>89</v>
      </c>
      <c r="L18333" s="31" t="s">
        <v>90</v>
      </c>
    </row>
    <row r="18334" spans="1:12">
      <c r="A18334" s="31" t="s">
        <v>72</v>
      </c>
      <c r="B18334" s="39" t="e">
        <f>TRUNC((A18311-C18333)/1000000)</f>
        <v>#REF!</v>
      </c>
      <c r="C18334" s="31" t="e">
        <f>B18334*1000000</f>
        <v>#REF!</v>
      </c>
      <c r="D18334" s="31" t="e">
        <f>IF(B18334&lt;1,"",VLOOKUP(B18334,$J$3:$L$102,3))</f>
        <v>#REF!</v>
      </c>
      <c r="E18334" s="31" t="e">
        <f>IF(B18333+B18334=0,""," Juta ")</f>
        <v>#REF!</v>
      </c>
      <c r="J18334" s="31">
        <v>21</v>
      </c>
      <c r="K18334" s="33" t="s">
        <v>91</v>
      </c>
      <c r="L18334" s="31" t="str">
        <f t="shared" ref="L18334:L18342" si="1772">$L$23&amp;" "&amp;L18314</f>
        <v>Dua Puluh Satu</v>
      </c>
    </row>
    <row r="18335" spans="1:12">
      <c r="A18335" s="31" t="s">
        <v>75</v>
      </c>
      <c r="B18335" s="39" t="e">
        <f>TRUNC((A18311-SUM(C18333:C18334))/100000)</f>
        <v>#REF!</v>
      </c>
      <c r="C18335" s="31" t="e">
        <f>B18335*100000</f>
        <v>#REF!</v>
      </c>
      <c r="D18335" s="31" t="e">
        <f>IF(B18335&lt;1,"",IF(B18335=1,"",VLOOKUP(B18335,$J$3:$L$102,3)))</f>
        <v>#REF!</v>
      </c>
      <c r="E18335" s="31" t="e">
        <f>IF(B18335&lt;1,"",IF(B18335=1," Seratus "," Ratus "))</f>
        <v>#REF!</v>
      </c>
      <c r="J18335" s="31">
        <v>22</v>
      </c>
      <c r="K18335" s="33" t="s">
        <v>92</v>
      </c>
      <c r="L18335" s="31" t="str">
        <f t="shared" si="1772"/>
        <v>Dua Puluh Dua</v>
      </c>
    </row>
    <row r="18336" spans="1:12">
      <c r="A18336" s="33" t="s">
        <v>77</v>
      </c>
      <c r="B18336" s="40" t="e">
        <f>TRUNC((A18311-SUM(C18333:C18335))/1000)</f>
        <v>#REF!</v>
      </c>
      <c r="C18336" s="31" t="e">
        <f>B18336*1000</f>
        <v>#REF!</v>
      </c>
      <c r="D18336" s="31" t="e">
        <f>IF(B18336&lt;1,"",IF(B18336=1,"",VLOOKUP(B18336,$J$3:$L$102,3)))</f>
        <v>#REF!</v>
      </c>
      <c r="E18336" s="31" t="e">
        <f>IF(B18335+B18336&lt;1,"",IF(B18336=1," Seribu "," Ribu "))</f>
        <v>#REF!</v>
      </c>
      <c r="J18336" s="31">
        <v>23</v>
      </c>
      <c r="K18336" s="33" t="s">
        <v>93</v>
      </c>
      <c r="L18336" s="31" t="str">
        <f t="shared" si="1772"/>
        <v>Dua Puluh Tiga</v>
      </c>
    </row>
    <row r="18337" spans="1:12">
      <c r="A18337" s="33" t="s">
        <v>79</v>
      </c>
      <c r="B18337" s="40" t="e">
        <f>TRUNC((A18311-SUM(C18333:C18336))/100)</f>
        <v>#REF!</v>
      </c>
      <c r="C18337" s="31" t="e">
        <f>B18337*100</f>
        <v>#REF!</v>
      </c>
      <c r="D18337" s="31" t="e">
        <f>IF(B18337&lt;1,"",IF(B18337=1,"",VLOOKUP(B18337,$J$3:$L$102,3)))</f>
        <v>#REF!</v>
      </c>
      <c r="E18337" s="31" t="e">
        <f>IF(B18337&lt;1,"",IF(B18337=1," Seratus "," Ratus "))</f>
        <v>#REF!</v>
      </c>
      <c r="J18337" s="31">
        <v>24</v>
      </c>
      <c r="K18337" s="33" t="s">
        <v>94</v>
      </c>
      <c r="L18337" s="31" t="str">
        <f t="shared" si="1772"/>
        <v>Dua Puluh Empat</v>
      </c>
    </row>
    <row r="18338" spans="1:12">
      <c r="A18338" s="33" t="s">
        <v>81</v>
      </c>
      <c r="B18338" s="41" t="e">
        <f>TRUNC((A18311-SUM(C18333:C18337)))</f>
        <v>#REF!</v>
      </c>
      <c r="C18338" s="42" t="e">
        <f>B18338</f>
        <v>#REF!</v>
      </c>
      <c r="D18338" s="31" t="e">
        <f>IF(B18338&lt;1,"",VLOOKUP(B18338,$J$3:$L$102,3))</f>
        <v>#REF!</v>
      </c>
      <c r="E18338" s="31" t="e">
        <f>IF(SUM(C18333:C18338)&lt;1,"",IF(B18339&lt;1,""," Dan "))</f>
        <v>#REF!</v>
      </c>
      <c r="J18338" s="31">
        <v>25</v>
      </c>
      <c r="K18338" s="33" t="s">
        <v>95</v>
      </c>
      <c r="L18338" s="31" t="str">
        <f t="shared" si="1772"/>
        <v>Dua Puluh Lima</v>
      </c>
    </row>
    <row r="18339" spans="1:12">
      <c r="A18339" s="33" t="s">
        <v>83</v>
      </c>
      <c r="B18339" s="40" t="e">
        <f>ROUND(A18311-SUM(C18333:C18338),2)*100</f>
        <v>#REF!</v>
      </c>
      <c r="D18339" s="31" t="e">
        <f>IF(B18339&lt;1,"",VLOOKUP(B18339,$J$3:$L$102,3))</f>
        <v>#REF!</v>
      </c>
      <c r="E18339" s="31" t="e">
        <f>IF(B18339&lt;1,""," Sen ")</f>
        <v>#REF!</v>
      </c>
      <c r="J18339" s="31">
        <v>26</v>
      </c>
      <c r="K18339" s="33" t="s">
        <v>96</v>
      </c>
      <c r="L18339" s="31" t="str">
        <f t="shared" si="1772"/>
        <v>Dua Puluh Enam</v>
      </c>
    </row>
    <row r="18340" spans="1:12">
      <c r="J18340" s="31">
        <v>27</v>
      </c>
      <c r="K18340" s="33" t="s">
        <v>97</v>
      </c>
      <c r="L18340" s="31" t="str">
        <f t="shared" si="1772"/>
        <v>Dua Puluh Tujuh</v>
      </c>
    </row>
    <row r="18341" spans="1:12">
      <c r="J18341" s="31">
        <v>28</v>
      </c>
      <c r="K18341" s="33" t="s">
        <v>98</v>
      </c>
      <c r="L18341" s="31" t="str">
        <f t="shared" si="1772"/>
        <v>Dua Puluh Delapan</v>
      </c>
    </row>
    <row r="18342" spans="1:12">
      <c r="J18342" s="31">
        <v>29</v>
      </c>
      <c r="K18342" s="33" t="s">
        <v>99</v>
      </c>
      <c r="L18342" s="31" t="str">
        <f t="shared" si="1772"/>
        <v>Dua Puluh Sembilan</v>
      </c>
    </row>
    <row r="18343" spans="1:12">
      <c r="J18343" s="31">
        <v>30</v>
      </c>
      <c r="K18343" s="33" t="s">
        <v>100</v>
      </c>
      <c r="L18343" s="31" t="s">
        <v>101</v>
      </c>
    </row>
    <row r="18344" spans="1:12">
      <c r="J18344" s="31">
        <v>31</v>
      </c>
      <c r="K18344" s="33" t="s">
        <v>102</v>
      </c>
      <c r="L18344" s="31" t="str">
        <f t="shared" ref="L18344:L18352" si="1773">$L$33&amp;" "&amp;L18314</f>
        <v>Tiga Puluh Satu</v>
      </c>
    </row>
    <row r="18345" spans="1:12">
      <c r="J18345" s="31">
        <v>32</v>
      </c>
      <c r="K18345" s="33" t="s">
        <v>103</v>
      </c>
      <c r="L18345" s="31" t="str">
        <f t="shared" si="1773"/>
        <v>Tiga Puluh Dua</v>
      </c>
    </row>
    <row r="18346" spans="1:12">
      <c r="J18346" s="31">
        <v>33</v>
      </c>
      <c r="K18346" s="33" t="s">
        <v>104</v>
      </c>
      <c r="L18346" s="31" t="str">
        <f t="shared" si="1773"/>
        <v>Tiga Puluh Tiga</v>
      </c>
    </row>
    <row r="18347" spans="1:12">
      <c r="J18347" s="31">
        <v>34</v>
      </c>
      <c r="K18347" s="33" t="s">
        <v>105</v>
      </c>
      <c r="L18347" s="31" t="str">
        <f t="shared" si="1773"/>
        <v>Tiga Puluh Empat</v>
      </c>
    </row>
    <row r="18348" spans="1:12">
      <c r="J18348" s="31">
        <v>35</v>
      </c>
      <c r="K18348" s="33" t="s">
        <v>106</v>
      </c>
      <c r="L18348" s="31" t="str">
        <f t="shared" si="1773"/>
        <v>Tiga Puluh Lima</v>
      </c>
    </row>
    <row r="18349" spans="1:12">
      <c r="J18349" s="31">
        <v>36</v>
      </c>
      <c r="K18349" s="33" t="s">
        <v>107</v>
      </c>
      <c r="L18349" s="31" t="str">
        <f t="shared" si="1773"/>
        <v>Tiga Puluh Enam</v>
      </c>
    </row>
    <row r="18350" spans="1:12">
      <c r="J18350" s="31">
        <v>37</v>
      </c>
      <c r="K18350" s="33" t="s">
        <v>108</v>
      </c>
      <c r="L18350" s="31" t="str">
        <f t="shared" si="1773"/>
        <v>Tiga Puluh Tujuh</v>
      </c>
    </row>
    <row r="18351" spans="1:12">
      <c r="J18351" s="31">
        <v>38</v>
      </c>
      <c r="K18351" s="33" t="s">
        <v>109</v>
      </c>
      <c r="L18351" s="31" t="str">
        <f t="shared" si="1773"/>
        <v>Tiga Puluh Delapan</v>
      </c>
    </row>
    <row r="18352" spans="1:12">
      <c r="J18352" s="31">
        <v>39</v>
      </c>
      <c r="K18352" s="33" t="s">
        <v>110</v>
      </c>
      <c r="L18352" s="31" t="str">
        <f t="shared" si="1773"/>
        <v>Tiga Puluh Sembilan</v>
      </c>
    </row>
    <row r="18353" spans="1:12">
      <c r="B18353" s="35"/>
      <c r="C18353" s="35"/>
      <c r="D18353" s="35"/>
      <c r="J18353" s="31">
        <v>40</v>
      </c>
      <c r="K18353" s="33" t="s">
        <v>111</v>
      </c>
      <c r="L18353" s="31" t="s">
        <v>112</v>
      </c>
    </row>
    <row r="18354" spans="1:12">
      <c r="A18354" s="35"/>
      <c r="B18354" s="35"/>
      <c r="C18354" s="35"/>
      <c r="D18354" s="35"/>
      <c r="J18354" s="31">
        <v>41</v>
      </c>
      <c r="K18354" s="33" t="s">
        <v>113</v>
      </c>
      <c r="L18354" s="31" t="str">
        <f t="shared" ref="L18354:L18362" si="1774">$L$43&amp;" "&amp;L18314</f>
        <v>Empat Puluh Satu</v>
      </c>
    </row>
    <row r="18355" spans="1:12">
      <c r="J18355" s="31">
        <v>42</v>
      </c>
      <c r="K18355" s="33" t="s">
        <v>114</v>
      </c>
      <c r="L18355" s="31" t="str">
        <f t="shared" si="1774"/>
        <v>Empat Puluh Dua</v>
      </c>
    </row>
    <row r="18356" spans="1:12">
      <c r="A18356" s="38"/>
      <c r="J18356" s="31">
        <v>43</v>
      </c>
      <c r="K18356" s="33" t="s">
        <v>115</v>
      </c>
      <c r="L18356" s="31" t="str">
        <f t="shared" si="1774"/>
        <v>Empat Puluh Tiga</v>
      </c>
    </row>
    <row r="18357" spans="1:12">
      <c r="J18357" s="31">
        <v>44</v>
      </c>
      <c r="K18357" s="33" t="s">
        <v>116</v>
      </c>
      <c r="L18357" s="31" t="str">
        <f t="shared" si="1774"/>
        <v>Empat Puluh Empat</v>
      </c>
    </row>
    <row r="18358" spans="1:12">
      <c r="J18358" s="31">
        <v>45</v>
      </c>
      <c r="K18358" s="33" t="s">
        <v>117</v>
      </c>
      <c r="L18358" s="31" t="str">
        <f t="shared" si="1774"/>
        <v>Empat Puluh Lima</v>
      </c>
    </row>
    <row r="18359" spans="1:12">
      <c r="J18359" s="31">
        <v>46</v>
      </c>
      <c r="K18359" s="33" t="s">
        <v>118</v>
      </c>
      <c r="L18359" s="31" t="str">
        <f t="shared" si="1774"/>
        <v>Empat Puluh Enam</v>
      </c>
    </row>
    <row r="18360" spans="1:12">
      <c r="J18360" s="31">
        <v>47</v>
      </c>
      <c r="K18360" s="33" t="s">
        <v>119</v>
      </c>
      <c r="L18360" s="31" t="str">
        <f t="shared" si="1774"/>
        <v>Empat Puluh Tujuh</v>
      </c>
    </row>
    <row r="18361" spans="1:12">
      <c r="J18361" s="31">
        <v>48</v>
      </c>
      <c r="K18361" s="33" t="s">
        <v>120</v>
      </c>
      <c r="L18361" s="31" t="str">
        <f t="shared" si="1774"/>
        <v>Empat Puluh Delapan</v>
      </c>
    </row>
    <row r="18362" spans="1:12">
      <c r="J18362" s="31">
        <v>49</v>
      </c>
      <c r="K18362" s="33" t="s">
        <v>121</v>
      </c>
      <c r="L18362" s="31" t="str">
        <f t="shared" si="1774"/>
        <v>Empat Puluh Sembilan</v>
      </c>
    </row>
    <row r="18363" spans="1:12">
      <c r="J18363" s="31">
        <v>50</v>
      </c>
      <c r="K18363" s="33" t="s">
        <v>122</v>
      </c>
      <c r="L18363" s="31" t="s">
        <v>123</v>
      </c>
    </row>
    <row r="18364" spans="1:12">
      <c r="J18364" s="31">
        <v>51</v>
      </c>
      <c r="K18364" s="33" t="s">
        <v>124</v>
      </c>
      <c r="L18364" s="31" t="str">
        <f t="shared" ref="L18364:L18372" si="1775">$L$53&amp;" "&amp;L18314</f>
        <v>Lima Puluh Satu</v>
      </c>
    </row>
    <row r="18365" spans="1:12">
      <c r="J18365" s="31">
        <v>52</v>
      </c>
      <c r="K18365" s="33" t="s">
        <v>125</v>
      </c>
      <c r="L18365" s="31" t="str">
        <f t="shared" si="1775"/>
        <v>Lima Puluh Dua</v>
      </c>
    </row>
    <row r="18366" spans="1:12">
      <c r="J18366" s="31">
        <v>53</v>
      </c>
      <c r="K18366" s="33" t="s">
        <v>126</v>
      </c>
      <c r="L18366" s="31" t="str">
        <f t="shared" si="1775"/>
        <v>Lima Puluh Tiga</v>
      </c>
    </row>
    <row r="18367" spans="1:12">
      <c r="J18367" s="31">
        <v>54</v>
      </c>
      <c r="K18367" s="33" t="s">
        <v>127</v>
      </c>
      <c r="L18367" s="31" t="str">
        <f t="shared" si="1775"/>
        <v>Lima Puluh Empat</v>
      </c>
    </row>
    <row r="18368" spans="1:12">
      <c r="J18368" s="31">
        <v>55</v>
      </c>
      <c r="K18368" s="33" t="s">
        <v>128</v>
      </c>
      <c r="L18368" s="31" t="str">
        <f t="shared" si="1775"/>
        <v>Lima Puluh Lima</v>
      </c>
    </row>
    <row r="18369" spans="10:12">
      <c r="J18369" s="31">
        <v>56</v>
      </c>
      <c r="K18369" s="33" t="s">
        <v>129</v>
      </c>
      <c r="L18369" s="31" t="str">
        <f t="shared" si="1775"/>
        <v>Lima Puluh Enam</v>
      </c>
    </row>
    <row r="18370" spans="10:12">
      <c r="J18370" s="31">
        <v>57</v>
      </c>
      <c r="K18370" s="33" t="s">
        <v>130</v>
      </c>
      <c r="L18370" s="31" t="str">
        <f t="shared" si="1775"/>
        <v>Lima Puluh Tujuh</v>
      </c>
    </row>
    <row r="18371" spans="10:12">
      <c r="J18371" s="31">
        <v>58</v>
      </c>
      <c r="K18371" s="33" t="s">
        <v>131</v>
      </c>
      <c r="L18371" s="31" t="str">
        <f t="shared" si="1775"/>
        <v>Lima Puluh Delapan</v>
      </c>
    </row>
    <row r="18372" spans="10:12">
      <c r="J18372" s="31">
        <v>59</v>
      </c>
      <c r="K18372" s="33" t="s">
        <v>132</v>
      </c>
      <c r="L18372" s="31" t="str">
        <f t="shared" si="1775"/>
        <v>Lima Puluh Sembilan</v>
      </c>
    </row>
    <row r="18373" spans="10:12">
      <c r="J18373" s="31">
        <v>60</v>
      </c>
      <c r="K18373" s="33" t="s">
        <v>133</v>
      </c>
      <c r="L18373" s="31" t="s">
        <v>134</v>
      </c>
    </row>
    <row r="18374" spans="10:12">
      <c r="J18374" s="31">
        <v>61</v>
      </c>
      <c r="K18374" s="33" t="s">
        <v>135</v>
      </c>
      <c r="L18374" s="31" t="str">
        <f t="shared" ref="L18374:L18382" si="1776">$L$63&amp;" "&amp;L18314</f>
        <v>Enam Puluh Satu</v>
      </c>
    </row>
    <row r="18375" spans="10:12">
      <c r="J18375" s="31">
        <v>62</v>
      </c>
      <c r="K18375" s="33" t="s">
        <v>136</v>
      </c>
      <c r="L18375" s="31" t="str">
        <f t="shared" si="1776"/>
        <v>Enam Puluh Dua</v>
      </c>
    </row>
    <row r="18376" spans="10:12">
      <c r="J18376" s="31">
        <v>63</v>
      </c>
      <c r="K18376" s="33" t="s">
        <v>137</v>
      </c>
      <c r="L18376" s="31" t="str">
        <f t="shared" si="1776"/>
        <v>Enam Puluh Tiga</v>
      </c>
    </row>
    <row r="18377" spans="10:12">
      <c r="J18377" s="31">
        <v>64</v>
      </c>
      <c r="K18377" s="33" t="s">
        <v>138</v>
      </c>
      <c r="L18377" s="31" t="str">
        <f t="shared" si="1776"/>
        <v>Enam Puluh Empat</v>
      </c>
    </row>
    <row r="18378" spans="10:12">
      <c r="J18378" s="31">
        <v>65</v>
      </c>
      <c r="K18378" s="33" t="s">
        <v>139</v>
      </c>
      <c r="L18378" s="31" t="str">
        <f t="shared" si="1776"/>
        <v>Enam Puluh Lima</v>
      </c>
    </row>
    <row r="18379" spans="10:12">
      <c r="J18379" s="31">
        <v>66</v>
      </c>
      <c r="K18379" s="33" t="s">
        <v>140</v>
      </c>
      <c r="L18379" s="31" t="str">
        <f t="shared" si="1776"/>
        <v>Enam Puluh Enam</v>
      </c>
    </row>
    <row r="18380" spans="10:12">
      <c r="J18380" s="31">
        <v>67</v>
      </c>
      <c r="K18380" s="33" t="s">
        <v>141</v>
      </c>
      <c r="L18380" s="31" t="str">
        <f t="shared" si="1776"/>
        <v>Enam Puluh Tujuh</v>
      </c>
    </row>
    <row r="18381" spans="10:12">
      <c r="J18381" s="31">
        <v>68</v>
      </c>
      <c r="K18381" s="33" t="s">
        <v>142</v>
      </c>
      <c r="L18381" s="31" t="str">
        <f t="shared" si="1776"/>
        <v>Enam Puluh Delapan</v>
      </c>
    </row>
    <row r="18382" spans="10:12">
      <c r="J18382" s="31">
        <v>69</v>
      </c>
      <c r="K18382" s="33" t="s">
        <v>143</v>
      </c>
      <c r="L18382" s="31" t="str">
        <f t="shared" si="1776"/>
        <v>Enam Puluh Sembilan</v>
      </c>
    </row>
    <row r="18383" spans="10:12">
      <c r="J18383" s="31">
        <v>70</v>
      </c>
      <c r="K18383" s="33" t="s">
        <v>144</v>
      </c>
      <c r="L18383" s="31" t="s">
        <v>145</v>
      </c>
    </row>
    <row r="18384" spans="10:12">
      <c r="J18384" s="31">
        <v>71</v>
      </c>
      <c r="K18384" s="33" t="s">
        <v>146</v>
      </c>
      <c r="L18384" s="31" t="str">
        <f t="shared" ref="L18384:L18392" si="1777">$L$73&amp;" "&amp;L18314</f>
        <v>Tujuh Puluh Satu</v>
      </c>
    </row>
    <row r="18385" spans="10:12">
      <c r="J18385" s="31">
        <v>72</v>
      </c>
      <c r="K18385" s="33" t="s">
        <v>147</v>
      </c>
      <c r="L18385" s="31" t="str">
        <f t="shared" si="1777"/>
        <v>Tujuh Puluh Dua</v>
      </c>
    </row>
    <row r="18386" spans="10:12">
      <c r="J18386" s="31">
        <v>73</v>
      </c>
      <c r="K18386" s="33" t="s">
        <v>148</v>
      </c>
      <c r="L18386" s="31" t="str">
        <f t="shared" si="1777"/>
        <v>Tujuh Puluh Tiga</v>
      </c>
    </row>
    <row r="18387" spans="10:12">
      <c r="J18387" s="31">
        <v>74</v>
      </c>
      <c r="K18387" s="33" t="s">
        <v>149</v>
      </c>
      <c r="L18387" s="31" t="str">
        <f t="shared" si="1777"/>
        <v>Tujuh Puluh Empat</v>
      </c>
    </row>
    <row r="18388" spans="10:12">
      <c r="J18388" s="31">
        <v>75</v>
      </c>
      <c r="K18388" s="33" t="s">
        <v>150</v>
      </c>
      <c r="L18388" s="31" t="str">
        <f t="shared" si="1777"/>
        <v>Tujuh Puluh Lima</v>
      </c>
    </row>
    <row r="18389" spans="10:12">
      <c r="J18389" s="31">
        <v>76</v>
      </c>
      <c r="K18389" s="33" t="s">
        <v>151</v>
      </c>
      <c r="L18389" s="31" t="str">
        <f t="shared" si="1777"/>
        <v>Tujuh Puluh Enam</v>
      </c>
    </row>
    <row r="18390" spans="10:12">
      <c r="J18390" s="31">
        <v>77</v>
      </c>
      <c r="K18390" s="33" t="s">
        <v>152</v>
      </c>
      <c r="L18390" s="31" t="str">
        <f t="shared" si="1777"/>
        <v>Tujuh Puluh Tujuh</v>
      </c>
    </row>
    <row r="18391" spans="10:12">
      <c r="J18391" s="31">
        <v>78</v>
      </c>
      <c r="K18391" s="33" t="s">
        <v>153</v>
      </c>
      <c r="L18391" s="31" t="str">
        <f t="shared" si="1777"/>
        <v>Tujuh Puluh Delapan</v>
      </c>
    </row>
    <row r="18392" spans="10:12">
      <c r="J18392" s="31">
        <v>79</v>
      </c>
      <c r="K18392" s="33" t="s">
        <v>154</v>
      </c>
      <c r="L18392" s="31" t="str">
        <f t="shared" si="1777"/>
        <v>Tujuh Puluh Sembilan</v>
      </c>
    </row>
    <row r="18393" spans="10:12">
      <c r="J18393" s="31">
        <v>80</v>
      </c>
      <c r="K18393" s="33" t="s">
        <v>155</v>
      </c>
      <c r="L18393" s="31" t="s">
        <v>156</v>
      </c>
    </row>
    <row r="18394" spans="10:12">
      <c r="J18394" s="31">
        <v>81</v>
      </c>
      <c r="K18394" s="33" t="s">
        <v>157</v>
      </c>
      <c r="L18394" s="31" t="str">
        <f t="shared" ref="L18394:L18402" si="1778">$L$83&amp;" "&amp;L18314</f>
        <v>Delapan Puluh Satu</v>
      </c>
    </row>
    <row r="18395" spans="10:12">
      <c r="J18395" s="31">
        <v>82</v>
      </c>
      <c r="K18395" s="33" t="s">
        <v>158</v>
      </c>
      <c r="L18395" s="31" t="str">
        <f t="shared" si="1778"/>
        <v>Delapan Puluh Dua</v>
      </c>
    </row>
    <row r="18396" spans="10:12">
      <c r="J18396" s="31">
        <v>83</v>
      </c>
      <c r="K18396" s="33" t="s">
        <v>159</v>
      </c>
      <c r="L18396" s="31" t="str">
        <f t="shared" si="1778"/>
        <v>Delapan Puluh Tiga</v>
      </c>
    </row>
    <row r="18397" spans="10:12">
      <c r="J18397" s="31">
        <v>84</v>
      </c>
      <c r="K18397" s="33" t="s">
        <v>160</v>
      </c>
      <c r="L18397" s="31" t="str">
        <f t="shared" si="1778"/>
        <v>Delapan Puluh Empat</v>
      </c>
    </row>
    <row r="18398" spans="10:12">
      <c r="J18398" s="31">
        <v>85</v>
      </c>
      <c r="K18398" s="33" t="s">
        <v>161</v>
      </c>
      <c r="L18398" s="31" t="str">
        <f t="shared" si="1778"/>
        <v>Delapan Puluh Lima</v>
      </c>
    </row>
    <row r="18399" spans="10:12">
      <c r="J18399" s="31">
        <v>86</v>
      </c>
      <c r="K18399" s="33" t="s">
        <v>162</v>
      </c>
      <c r="L18399" s="31" t="str">
        <f t="shared" si="1778"/>
        <v>Delapan Puluh Enam</v>
      </c>
    </row>
    <row r="18400" spans="10:12">
      <c r="J18400" s="31">
        <v>87</v>
      </c>
      <c r="K18400" s="33" t="s">
        <v>163</v>
      </c>
      <c r="L18400" s="31" t="str">
        <f t="shared" si="1778"/>
        <v>Delapan Puluh Tujuh</v>
      </c>
    </row>
    <row r="18401" spans="1:12">
      <c r="J18401" s="31">
        <v>88</v>
      </c>
      <c r="K18401" s="33" t="s">
        <v>164</v>
      </c>
      <c r="L18401" s="31" t="str">
        <f t="shared" si="1778"/>
        <v>Delapan Puluh Delapan</v>
      </c>
    </row>
    <row r="18402" spans="1:12">
      <c r="J18402" s="31">
        <v>89</v>
      </c>
      <c r="K18402" s="33" t="s">
        <v>165</v>
      </c>
      <c r="L18402" s="31" t="str">
        <f t="shared" si="1778"/>
        <v>Delapan Puluh Sembilan</v>
      </c>
    </row>
    <row r="18403" spans="1:12">
      <c r="J18403" s="31">
        <v>90</v>
      </c>
      <c r="K18403" s="33" t="s">
        <v>166</v>
      </c>
      <c r="L18403" s="31" t="s">
        <v>167</v>
      </c>
    </row>
    <row r="18404" spans="1:12">
      <c r="J18404" s="31">
        <v>91</v>
      </c>
      <c r="K18404" s="33" t="s">
        <v>168</v>
      </c>
      <c r="L18404" s="31" t="str">
        <f t="shared" ref="L18404:L18412" si="1779">$L$93&amp;" "&amp;L18314</f>
        <v>Sembilan Puluh Satu</v>
      </c>
    </row>
    <row r="18405" spans="1:12">
      <c r="J18405" s="31">
        <v>92</v>
      </c>
      <c r="K18405" s="33" t="s">
        <v>169</v>
      </c>
      <c r="L18405" s="31" t="str">
        <f t="shared" si="1779"/>
        <v>Sembilan Puluh Dua</v>
      </c>
    </row>
    <row r="18406" spans="1:12">
      <c r="J18406" s="31">
        <v>93</v>
      </c>
      <c r="K18406" s="33" t="s">
        <v>170</v>
      </c>
      <c r="L18406" s="31" t="str">
        <f t="shared" si="1779"/>
        <v>Sembilan Puluh Tiga</v>
      </c>
    </row>
    <row r="18407" spans="1:12">
      <c r="J18407" s="31">
        <v>94</v>
      </c>
      <c r="K18407" s="33" t="s">
        <v>171</v>
      </c>
      <c r="L18407" s="31" t="str">
        <f t="shared" si="1779"/>
        <v>Sembilan Puluh Empat</v>
      </c>
    </row>
    <row r="18408" spans="1:12">
      <c r="J18408" s="31">
        <v>95</v>
      </c>
      <c r="K18408" s="33" t="s">
        <v>172</v>
      </c>
      <c r="L18408" s="31" t="str">
        <f t="shared" si="1779"/>
        <v>Sembilan Puluh Lima</v>
      </c>
    </row>
    <row r="18409" spans="1:12">
      <c r="J18409" s="31">
        <v>96</v>
      </c>
      <c r="K18409" s="33" t="s">
        <v>173</v>
      </c>
      <c r="L18409" s="31" t="str">
        <f t="shared" si="1779"/>
        <v>Sembilan Puluh Enam</v>
      </c>
    </row>
    <row r="18410" spans="1:12">
      <c r="J18410" s="31">
        <v>97</v>
      </c>
      <c r="K18410" s="33" t="s">
        <v>174</v>
      </c>
      <c r="L18410" s="31" t="str">
        <f t="shared" si="1779"/>
        <v>Sembilan Puluh Tujuh</v>
      </c>
    </row>
    <row r="18411" spans="1:12">
      <c r="J18411" s="31">
        <v>98</v>
      </c>
      <c r="K18411" s="33" t="s">
        <v>175</v>
      </c>
      <c r="L18411" s="31" t="str">
        <f t="shared" si="1779"/>
        <v>Sembilan Puluh Delapan</v>
      </c>
    </row>
    <row r="18412" spans="1:12">
      <c r="J18412" s="31">
        <v>99</v>
      </c>
      <c r="K18412" s="33" t="s">
        <v>176</v>
      </c>
      <c r="L18412" s="31" t="str">
        <f t="shared" si="1779"/>
        <v>Sembilan Puluh Sembilan</v>
      </c>
    </row>
    <row r="18413" spans="1:12">
      <c r="A18413" s="30" t="e">
        <f>#REF!</f>
        <v>#REF!</v>
      </c>
      <c r="C18413" s="31" t="s">
        <v>436</v>
      </c>
    </row>
    <row r="18414" spans="1:12">
      <c r="A18414" s="32"/>
    </row>
    <row r="18415" spans="1:12">
      <c r="J18415" s="31">
        <v>0</v>
      </c>
      <c r="K18415" s="33" t="s">
        <v>48</v>
      </c>
      <c r="L18415" s="31" t="s">
        <v>49</v>
      </c>
    </row>
    <row r="18416" spans="1:12">
      <c r="A18416" s="34"/>
      <c r="J18416" s="31">
        <v>1</v>
      </c>
      <c r="K18416" s="33" t="s">
        <v>50</v>
      </c>
      <c r="L18416" s="31" t="s">
        <v>51</v>
      </c>
    </row>
    <row r="18417" spans="1:12">
      <c r="A18417" s="255" t="e">
        <f>TRIM(D18425&amp;E18425&amp;D18426&amp;E18426&amp;D18427&amp;E18427&amp;D18428&amp;E18428&amp;D18429&amp;E18429&amp;D18430&amp;E18430&amp;E18431&amp;D18431&amp;" Only")</f>
        <v>#REF!</v>
      </c>
      <c r="B18417" s="255"/>
      <c r="C18417" s="255"/>
      <c r="D18417" s="255"/>
      <c r="E18417" s="35"/>
      <c r="F18417" s="36"/>
      <c r="J18417" s="31">
        <v>2</v>
      </c>
      <c r="K18417" s="33" t="s">
        <v>52</v>
      </c>
      <c r="L18417" s="31" t="s">
        <v>53</v>
      </c>
    </row>
    <row r="18418" spans="1:12">
      <c r="A18418" s="138"/>
      <c r="B18418" s="138"/>
      <c r="C18418" s="138"/>
      <c r="D18418" s="138"/>
      <c r="E18418" s="35"/>
      <c r="F18418" s="36"/>
      <c r="J18418" s="31">
        <v>3</v>
      </c>
      <c r="K18418" s="33" t="s">
        <v>54</v>
      </c>
      <c r="L18418" s="31" t="s">
        <v>55</v>
      </c>
    </row>
    <row r="18419" spans="1:12">
      <c r="A18419" s="138"/>
      <c r="B18419" s="138"/>
      <c r="C18419" s="138"/>
      <c r="D18419" s="138"/>
      <c r="J18419" s="31">
        <v>4</v>
      </c>
      <c r="K18419" s="33" t="s">
        <v>56</v>
      </c>
      <c r="L18419" s="31" t="s">
        <v>57</v>
      </c>
    </row>
    <row r="18420" spans="1:12">
      <c r="A18420" s="255" t="e">
        <f>TRIM(D18435&amp;E18435&amp;D18436&amp;E18436&amp;D18437&amp;E18437&amp;D18438&amp;E18438&amp;D18439&amp;E18439&amp;D18440&amp;E18440&amp;D18441&amp;E18441&amp;" Rupiah")</f>
        <v>#REF!</v>
      </c>
      <c r="B18420" s="255"/>
      <c r="C18420" s="255"/>
      <c r="D18420" s="255"/>
      <c r="E18420" s="35"/>
      <c r="F18420" s="36"/>
      <c r="J18420" s="31">
        <v>5</v>
      </c>
      <c r="K18420" s="33" t="s">
        <v>58</v>
      </c>
      <c r="L18420" s="31" t="s">
        <v>59</v>
      </c>
    </row>
    <row r="18421" spans="1:12">
      <c r="A18421" s="35"/>
      <c r="B18421" s="35"/>
      <c r="C18421" s="35"/>
      <c r="D18421" s="35"/>
      <c r="E18421" s="35"/>
      <c r="F18421" s="36"/>
      <c r="J18421" s="31">
        <v>6</v>
      </c>
      <c r="K18421" s="33" t="s">
        <v>60</v>
      </c>
      <c r="L18421" s="31" t="s">
        <v>61</v>
      </c>
    </row>
    <row r="18422" spans="1:12">
      <c r="J18422" s="31">
        <v>7</v>
      </c>
      <c r="K18422" s="33" t="s">
        <v>62</v>
      </c>
      <c r="L18422" s="31" t="s">
        <v>63</v>
      </c>
    </row>
    <row r="18423" spans="1:12">
      <c r="J18423" s="31">
        <v>8</v>
      </c>
      <c r="K18423" s="33" t="s">
        <v>64</v>
      </c>
      <c r="L18423" s="31" t="s">
        <v>65</v>
      </c>
    </row>
    <row r="18424" spans="1:12">
      <c r="A18424" s="38" t="s">
        <v>66</v>
      </c>
      <c r="J18424" s="31">
        <v>9</v>
      </c>
      <c r="K18424" s="33" t="s">
        <v>67</v>
      </c>
      <c r="L18424" s="31" t="s">
        <v>68</v>
      </c>
    </row>
    <row r="18425" spans="1:12">
      <c r="A18425" s="31" t="s">
        <v>69</v>
      </c>
      <c r="B18425" s="39" t="e">
        <f>TRUNC(A18413/100000000)</f>
        <v>#REF!</v>
      </c>
      <c r="C18425" s="31" t="e">
        <f>B18425*100000000</f>
        <v>#REF!</v>
      </c>
      <c r="D18425" s="31" t="e">
        <f t="shared" ref="D18425:D18431" si="1780">IF(B18425&lt;1,"",VLOOKUP(B18425,$J$3:$K$102,2))</f>
        <v>#REF!</v>
      </c>
      <c r="E18425" s="31" t="e">
        <f>IF(B18425&lt;1,"",IF(B18425&gt;1," Hundreds "," Hundred "))</f>
        <v>#REF!</v>
      </c>
      <c r="J18425" s="31">
        <v>10</v>
      </c>
      <c r="K18425" s="33" t="s">
        <v>70</v>
      </c>
      <c r="L18425" s="31" t="s">
        <v>71</v>
      </c>
    </row>
    <row r="18426" spans="1:12">
      <c r="A18426" s="31" t="s">
        <v>72</v>
      </c>
      <c r="B18426" s="39" t="e">
        <f>TRUNC((A18413-C18425)/1000000)</f>
        <v>#REF!</v>
      </c>
      <c r="C18426" s="31" t="e">
        <f>B18426*1000000</f>
        <v>#REF!</v>
      </c>
      <c r="D18426" s="31" t="e">
        <f t="shared" si="1780"/>
        <v>#REF!</v>
      </c>
      <c r="E18426" s="31" t="e">
        <f>IF(B18425+B18426=0,"",IF(B18426=1," Million "," Millions "))</f>
        <v>#REF!</v>
      </c>
      <c r="J18426" s="31">
        <v>11</v>
      </c>
      <c r="K18426" s="33" t="s">
        <v>73</v>
      </c>
      <c r="L18426" s="31" t="s">
        <v>74</v>
      </c>
    </row>
    <row r="18427" spans="1:12">
      <c r="A18427" s="31" t="s">
        <v>75</v>
      </c>
      <c r="B18427" s="39" t="e">
        <f>TRUNC((A18413-SUM(C18425:C18426))/100000)</f>
        <v>#REF!</v>
      </c>
      <c r="C18427" s="31" t="e">
        <f>B18427*100000</f>
        <v>#REF!</v>
      </c>
      <c r="D18427" s="31" t="e">
        <f t="shared" si="1780"/>
        <v>#REF!</v>
      </c>
      <c r="E18427" s="31" t="e">
        <f>IF(B18427&lt;1,"",IF(B18427&gt;1," Hundreds "," Hundred "))</f>
        <v>#REF!</v>
      </c>
      <c r="J18427" s="31">
        <v>12</v>
      </c>
      <c r="K18427" s="33" t="s">
        <v>76</v>
      </c>
      <c r="L18427" s="31" t="str">
        <f t="shared" ref="L18427:L18434" si="1781">L18417&amp;" Belas"</f>
        <v>Dua Belas</v>
      </c>
    </row>
    <row r="18428" spans="1:12">
      <c r="A18428" s="33" t="s">
        <v>77</v>
      </c>
      <c r="B18428" s="40" t="e">
        <f>TRUNC((A18413-SUM(C18425:C18427))/1000)</f>
        <v>#REF!</v>
      </c>
      <c r="C18428" s="31" t="e">
        <f>B18428*1000</f>
        <v>#REF!</v>
      </c>
      <c r="D18428" s="31" t="e">
        <f t="shared" si="1780"/>
        <v>#REF!</v>
      </c>
      <c r="E18428" s="31" t="e">
        <f>IF(B18427+B18428=0,"",IF(B18428=1," Thousand "," Thousands "))</f>
        <v>#REF!</v>
      </c>
      <c r="J18428" s="31">
        <v>13</v>
      </c>
      <c r="K18428" s="33" t="s">
        <v>78</v>
      </c>
      <c r="L18428" s="31" t="str">
        <f t="shared" si="1781"/>
        <v>Tiga Belas</v>
      </c>
    </row>
    <row r="18429" spans="1:12">
      <c r="A18429" s="33" t="s">
        <v>79</v>
      </c>
      <c r="B18429" s="40" t="e">
        <f>TRUNC((A18413-SUM(C18425:C18428))/100)</f>
        <v>#REF!</v>
      </c>
      <c r="C18429" s="31" t="e">
        <f>B18429*100</f>
        <v>#REF!</v>
      </c>
      <c r="D18429" s="31" t="e">
        <f t="shared" si="1780"/>
        <v>#REF!</v>
      </c>
      <c r="E18429" s="31" t="e">
        <f>IF(B18429&lt;1,"",IF(B18429&gt;1," Hundreds "," Hundred "))</f>
        <v>#REF!</v>
      </c>
      <c r="J18429" s="31">
        <v>14</v>
      </c>
      <c r="K18429" s="33" t="s">
        <v>80</v>
      </c>
      <c r="L18429" s="31" t="str">
        <f t="shared" si="1781"/>
        <v>Empat Belas</v>
      </c>
    </row>
    <row r="18430" spans="1:12">
      <c r="A18430" s="33" t="s">
        <v>81</v>
      </c>
      <c r="B18430" s="41" t="e">
        <f>TRUNC((A18413-SUM(C18425:C18429)))</f>
        <v>#REF!</v>
      </c>
      <c r="C18430" s="42" t="e">
        <f>B18430</f>
        <v>#REF!</v>
      </c>
      <c r="D18430" s="31" t="e">
        <f t="shared" si="1780"/>
        <v>#REF!</v>
      </c>
      <c r="E18430" s="31" t="e">
        <f>IF(SUM(C18425:C18430)&lt;1,"",IF(B18431&lt;1,""," And "))</f>
        <v>#REF!</v>
      </c>
      <c r="J18430" s="31">
        <v>15</v>
      </c>
      <c r="K18430" s="33" t="s">
        <v>82</v>
      </c>
      <c r="L18430" s="31" t="str">
        <f t="shared" si="1781"/>
        <v>Lima Belas</v>
      </c>
    </row>
    <row r="18431" spans="1:12">
      <c r="A18431" s="33" t="s">
        <v>83</v>
      </c>
      <c r="B18431" s="40" t="e">
        <f>ROUND(A18413-SUM(C18425:C18430),2)*100</f>
        <v>#REF!</v>
      </c>
      <c r="D18431" s="43" t="e">
        <f t="shared" si="1780"/>
        <v>#REF!</v>
      </c>
      <c r="E18431" s="31" t="e">
        <f>IF(B18431&lt;1,"",IF(B18431=1," Cent "," Cents "))</f>
        <v>#REF!</v>
      </c>
      <c r="J18431" s="31">
        <v>16</v>
      </c>
      <c r="K18431" s="33" t="s">
        <v>84</v>
      </c>
      <c r="L18431" s="31" t="str">
        <f t="shared" si="1781"/>
        <v>Enam Belas</v>
      </c>
    </row>
    <row r="18432" spans="1:12">
      <c r="J18432" s="31">
        <v>17</v>
      </c>
      <c r="K18432" s="33" t="s">
        <v>85</v>
      </c>
      <c r="L18432" s="31" t="str">
        <f t="shared" si="1781"/>
        <v>Tujuh Belas</v>
      </c>
    </row>
    <row r="18433" spans="1:12">
      <c r="A18433" s="44"/>
      <c r="J18433" s="31">
        <v>18</v>
      </c>
      <c r="K18433" s="33" t="s">
        <v>86</v>
      </c>
      <c r="L18433" s="31" t="str">
        <f t="shared" si="1781"/>
        <v>Delapan Belas</v>
      </c>
    </row>
    <row r="18434" spans="1:12">
      <c r="A18434" s="38" t="s">
        <v>87</v>
      </c>
      <c r="J18434" s="31">
        <v>19</v>
      </c>
      <c r="K18434" s="33" t="s">
        <v>88</v>
      </c>
      <c r="L18434" s="31" t="str">
        <f t="shared" si="1781"/>
        <v>Sembilan Belas</v>
      </c>
    </row>
    <row r="18435" spans="1:12">
      <c r="A18435" s="31" t="s">
        <v>69</v>
      </c>
      <c r="B18435" s="39" t="e">
        <f>TRUNC(A18413/100000000)</f>
        <v>#REF!</v>
      </c>
      <c r="C18435" s="31" t="e">
        <f>B18435*100000000</f>
        <v>#REF!</v>
      </c>
      <c r="D18435" s="31" t="e">
        <f>IF(B18435&lt;1,"",IF(B18435=1,"",VLOOKUP(B18435,$J$3:$L$102,3)))</f>
        <v>#REF!</v>
      </c>
      <c r="E18435" s="31" t="e">
        <f>IF(B18435&lt;1,"",IF(B18435=1,"Seratus "," Ratus "))</f>
        <v>#REF!</v>
      </c>
      <c r="J18435" s="31">
        <v>20</v>
      </c>
      <c r="K18435" s="33" t="s">
        <v>89</v>
      </c>
      <c r="L18435" s="31" t="s">
        <v>90</v>
      </c>
    </row>
    <row r="18436" spans="1:12">
      <c r="A18436" s="31" t="s">
        <v>72</v>
      </c>
      <c r="B18436" s="39" t="e">
        <f>TRUNC((A18413-C18435)/1000000)</f>
        <v>#REF!</v>
      </c>
      <c r="C18436" s="31" t="e">
        <f>B18436*1000000</f>
        <v>#REF!</v>
      </c>
      <c r="D18436" s="31" t="e">
        <f>IF(B18436&lt;1,"",VLOOKUP(B18436,$J$3:$L$102,3))</f>
        <v>#REF!</v>
      </c>
      <c r="E18436" s="31" t="e">
        <f>IF(B18435+B18436=0,""," Juta ")</f>
        <v>#REF!</v>
      </c>
      <c r="J18436" s="31">
        <v>21</v>
      </c>
      <c r="K18436" s="33" t="s">
        <v>91</v>
      </c>
      <c r="L18436" s="31" t="str">
        <f t="shared" ref="L18436:L18444" si="1782">$L$23&amp;" "&amp;L18416</f>
        <v>Dua Puluh Satu</v>
      </c>
    </row>
    <row r="18437" spans="1:12">
      <c r="A18437" s="31" t="s">
        <v>75</v>
      </c>
      <c r="B18437" s="39" t="e">
        <f>TRUNC((A18413-SUM(C18435:C18436))/100000)</f>
        <v>#REF!</v>
      </c>
      <c r="C18437" s="31" t="e">
        <f>B18437*100000</f>
        <v>#REF!</v>
      </c>
      <c r="D18437" s="31" t="e">
        <f>IF(B18437&lt;1,"",IF(B18437=1,"",VLOOKUP(B18437,$J$3:$L$102,3)))</f>
        <v>#REF!</v>
      </c>
      <c r="E18437" s="31" t="e">
        <f>IF(B18437&lt;1,"",IF(B18437=1," Seratus "," Ratus "))</f>
        <v>#REF!</v>
      </c>
      <c r="J18437" s="31">
        <v>22</v>
      </c>
      <c r="K18437" s="33" t="s">
        <v>92</v>
      </c>
      <c r="L18437" s="31" t="str">
        <f t="shared" si="1782"/>
        <v>Dua Puluh Dua</v>
      </c>
    </row>
    <row r="18438" spans="1:12">
      <c r="A18438" s="33" t="s">
        <v>77</v>
      </c>
      <c r="B18438" s="40" t="e">
        <f>TRUNC((A18413-SUM(C18435:C18437))/1000)</f>
        <v>#REF!</v>
      </c>
      <c r="C18438" s="31" t="e">
        <f>B18438*1000</f>
        <v>#REF!</v>
      </c>
      <c r="D18438" s="31" t="e">
        <f>IF(B18438&lt;1,"",IF(B18438=1,"",VLOOKUP(B18438,$J$3:$L$102,3)))</f>
        <v>#REF!</v>
      </c>
      <c r="E18438" s="31" t="e">
        <f>IF(B18437+B18438&lt;1,"",IF(B18438=1," Seribu "," Ribu "))</f>
        <v>#REF!</v>
      </c>
      <c r="J18438" s="31">
        <v>23</v>
      </c>
      <c r="K18438" s="33" t="s">
        <v>93</v>
      </c>
      <c r="L18438" s="31" t="str">
        <f t="shared" si="1782"/>
        <v>Dua Puluh Tiga</v>
      </c>
    </row>
    <row r="18439" spans="1:12">
      <c r="A18439" s="33" t="s">
        <v>79</v>
      </c>
      <c r="B18439" s="40" t="e">
        <f>TRUNC((A18413-SUM(C18435:C18438))/100)</f>
        <v>#REF!</v>
      </c>
      <c r="C18439" s="31" t="e">
        <f>B18439*100</f>
        <v>#REF!</v>
      </c>
      <c r="D18439" s="31" t="e">
        <f>IF(B18439&lt;1,"",IF(B18439=1,"",VLOOKUP(B18439,$J$3:$L$102,3)))</f>
        <v>#REF!</v>
      </c>
      <c r="E18439" s="31" t="e">
        <f>IF(B18439&lt;1,"",IF(B18439=1," Seratus "," Ratus "))</f>
        <v>#REF!</v>
      </c>
      <c r="J18439" s="31">
        <v>24</v>
      </c>
      <c r="K18439" s="33" t="s">
        <v>94</v>
      </c>
      <c r="L18439" s="31" t="str">
        <f t="shared" si="1782"/>
        <v>Dua Puluh Empat</v>
      </c>
    </row>
    <row r="18440" spans="1:12">
      <c r="A18440" s="33" t="s">
        <v>81</v>
      </c>
      <c r="B18440" s="41" t="e">
        <f>TRUNC((A18413-SUM(C18435:C18439)))</f>
        <v>#REF!</v>
      </c>
      <c r="C18440" s="42" t="e">
        <f>B18440</f>
        <v>#REF!</v>
      </c>
      <c r="D18440" s="31" t="e">
        <f>IF(B18440&lt;1,"",VLOOKUP(B18440,$J$3:$L$102,3))</f>
        <v>#REF!</v>
      </c>
      <c r="E18440" s="31" t="e">
        <f>IF(SUM(C18435:C18440)&lt;1,"",IF(B18441&lt;1,""," Dan "))</f>
        <v>#REF!</v>
      </c>
      <c r="J18440" s="31">
        <v>25</v>
      </c>
      <c r="K18440" s="33" t="s">
        <v>95</v>
      </c>
      <c r="L18440" s="31" t="str">
        <f t="shared" si="1782"/>
        <v>Dua Puluh Lima</v>
      </c>
    </row>
    <row r="18441" spans="1:12">
      <c r="A18441" s="33" t="s">
        <v>83</v>
      </c>
      <c r="B18441" s="40" t="e">
        <f>ROUND(A18413-SUM(C18435:C18440),2)*100</f>
        <v>#REF!</v>
      </c>
      <c r="D18441" s="31" t="e">
        <f>IF(B18441&lt;1,"",VLOOKUP(B18441,$J$3:$L$102,3))</f>
        <v>#REF!</v>
      </c>
      <c r="E18441" s="31" t="e">
        <f>IF(B18441&lt;1,""," Sen ")</f>
        <v>#REF!</v>
      </c>
      <c r="J18441" s="31">
        <v>26</v>
      </c>
      <c r="K18441" s="33" t="s">
        <v>96</v>
      </c>
      <c r="L18441" s="31" t="str">
        <f t="shared" si="1782"/>
        <v>Dua Puluh Enam</v>
      </c>
    </row>
    <row r="18442" spans="1:12">
      <c r="J18442" s="31">
        <v>27</v>
      </c>
      <c r="K18442" s="33" t="s">
        <v>97</v>
      </c>
      <c r="L18442" s="31" t="str">
        <f t="shared" si="1782"/>
        <v>Dua Puluh Tujuh</v>
      </c>
    </row>
    <row r="18443" spans="1:12">
      <c r="J18443" s="31">
        <v>28</v>
      </c>
      <c r="K18443" s="33" t="s">
        <v>98</v>
      </c>
      <c r="L18443" s="31" t="str">
        <f t="shared" si="1782"/>
        <v>Dua Puluh Delapan</v>
      </c>
    </row>
    <row r="18444" spans="1:12">
      <c r="J18444" s="31">
        <v>29</v>
      </c>
      <c r="K18444" s="33" t="s">
        <v>99</v>
      </c>
      <c r="L18444" s="31" t="str">
        <f t="shared" si="1782"/>
        <v>Dua Puluh Sembilan</v>
      </c>
    </row>
    <row r="18445" spans="1:12">
      <c r="J18445" s="31">
        <v>30</v>
      </c>
      <c r="K18445" s="33" t="s">
        <v>100</v>
      </c>
      <c r="L18445" s="31" t="s">
        <v>101</v>
      </c>
    </row>
    <row r="18446" spans="1:12">
      <c r="J18446" s="31">
        <v>31</v>
      </c>
      <c r="K18446" s="33" t="s">
        <v>102</v>
      </c>
      <c r="L18446" s="31" t="str">
        <f t="shared" ref="L18446:L18454" si="1783">$L$33&amp;" "&amp;L18416</f>
        <v>Tiga Puluh Satu</v>
      </c>
    </row>
    <row r="18447" spans="1:12">
      <c r="J18447" s="31">
        <v>32</v>
      </c>
      <c r="K18447" s="33" t="s">
        <v>103</v>
      </c>
      <c r="L18447" s="31" t="str">
        <f t="shared" si="1783"/>
        <v>Tiga Puluh Dua</v>
      </c>
    </row>
    <row r="18448" spans="1:12">
      <c r="J18448" s="31">
        <v>33</v>
      </c>
      <c r="K18448" s="33" t="s">
        <v>104</v>
      </c>
      <c r="L18448" s="31" t="str">
        <f t="shared" si="1783"/>
        <v>Tiga Puluh Tiga</v>
      </c>
    </row>
    <row r="18449" spans="1:12">
      <c r="J18449" s="31">
        <v>34</v>
      </c>
      <c r="K18449" s="33" t="s">
        <v>105</v>
      </c>
      <c r="L18449" s="31" t="str">
        <f t="shared" si="1783"/>
        <v>Tiga Puluh Empat</v>
      </c>
    </row>
    <row r="18450" spans="1:12">
      <c r="J18450" s="31">
        <v>35</v>
      </c>
      <c r="K18450" s="33" t="s">
        <v>106</v>
      </c>
      <c r="L18450" s="31" t="str">
        <f t="shared" si="1783"/>
        <v>Tiga Puluh Lima</v>
      </c>
    </row>
    <row r="18451" spans="1:12">
      <c r="J18451" s="31">
        <v>36</v>
      </c>
      <c r="K18451" s="33" t="s">
        <v>107</v>
      </c>
      <c r="L18451" s="31" t="str">
        <f t="shared" si="1783"/>
        <v>Tiga Puluh Enam</v>
      </c>
    </row>
    <row r="18452" spans="1:12">
      <c r="J18452" s="31">
        <v>37</v>
      </c>
      <c r="K18452" s="33" t="s">
        <v>108</v>
      </c>
      <c r="L18452" s="31" t="str">
        <f t="shared" si="1783"/>
        <v>Tiga Puluh Tujuh</v>
      </c>
    </row>
    <row r="18453" spans="1:12">
      <c r="J18453" s="31">
        <v>38</v>
      </c>
      <c r="K18453" s="33" t="s">
        <v>109</v>
      </c>
      <c r="L18453" s="31" t="str">
        <f t="shared" si="1783"/>
        <v>Tiga Puluh Delapan</v>
      </c>
    </row>
    <row r="18454" spans="1:12">
      <c r="J18454" s="31">
        <v>39</v>
      </c>
      <c r="K18454" s="33" t="s">
        <v>110</v>
      </c>
      <c r="L18454" s="31" t="str">
        <f t="shared" si="1783"/>
        <v>Tiga Puluh Sembilan</v>
      </c>
    </row>
    <row r="18455" spans="1:12">
      <c r="B18455" s="35"/>
      <c r="C18455" s="35"/>
      <c r="D18455" s="35"/>
      <c r="J18455" s="31">
        <v>40</v>
      </c>
      <c r="K18455" s="33" t="s">
        <v>111</v>
      </c>
      <c r="L18455" s="31" t="s">
        <v>112</v>
      </c>
    </row>
    <row r="18456" spans="1:12">
      <c r="A18456" s="35"/>
      <c r="B18456" s="35"/>
      <c r="C18456" s="35"/>
      <c r="D18456" s="35"/>
      <c r="J18456" s="31">
        <v>41</v>
      </c>
      <c r="K18456" s="33" t="s">
        <v>113</v>
      </c>
      <c r="L18456" s="31" t="str">
        <f t="shared" ref="L18456:L18464" si="1784">$L$43&amp;" "&amp;L18416</f>
        <v>Empat Puluh Satu</v>
      </c>
    </row>
    <row r="18457" spans="1:12">
      <c r="J18457" s="31">
        <v>42</v>
      </c>
      <c r="K18457" s="33" t="s">
        <v>114</v>
      </c>
      <c r="L18457" s="31" t="str">
        <f t="shared" si="1784"/>
        <v>Empat Puluh Dua</v>
      </c>
    </row>
    <row r="18458" spans="1:12">
      <c r="A18458" s="38"/>
      <c r="J18458" s="31">
        <v>43</v>
      </c>
      <c r="K18458" s="33" t="s">
        <v>115</v>
      </c>
      <c r="L18458" s="31" t="str">
        <f t="shared" si="1784"/>
        <v>Empat Puluh Tiga</v>
      </c>
    </row>
    <row r="18459" spans="1:12">
      <c r="J18459" s="31">
        <v>44</v>
      </c>
      <c r="K18459" s="33" t="s">
        <v>116</v>
      </c>
      <c r="L18459" s="31" t="str">
        <f t="shared" si="1784"/>
        <v>Empat Puluh Empat</v>
      </c>
    </row>
    <row r="18460" spans="1:12">
      <c r="J18460" s="31">
        <v>45</v>
      </c>
      <c r="K18460" s="33" t="s">
        <v>117</v>
      </c>
      <c r="L18460" s="31" t="str">
        <f t="shared" si="1784"/>
        <v>Empat Puluh Lima</v>
      </c>
    </row>
    <row r="18461" spans="1:12">
      <c r="J18461" s="31">
        <v>46</v>
      </c>
      <c r="K18461" s="33" t="s">
        <v>118</v>
      </c>
      <c r="L18461" s="31" t="str">
        <f t="shared" si="1784"/>
        <v>Empat Puluh Enam</v>
      </c>
    </row>
    <row r="18462" spans="1:12">
      <c r="J18462" s="31">
        <v>47</v>
      </c>
      <c r="K18462" s="33" t="s">
        <v>119</v>
      </c>
      <c r="L18462" s="31" t="str">
        <f t="shared" si="1784"/>
        <v>Empat Puluh Tujuh</v>
      </c>
    </row>
    <row r="18463" spans="1:12">
      <c r="J18463" s="31">
        <v>48</v>
      </c>
      <c r="K18463" s="33" t="s">
        <v>120</v>
      </c>
      <c r="L18463" s="31" t="str">
        <f t="shared" si="1784"/>
        <v>Empat Puluh Delapan</v>
      </c>
    </row>
    <row r="18464" spans="1:12">
      <c r="J18464" s="31">
        <v>49</v>
      </c>
      <c r="K18464" s="33" t="s">
        <v>121</v>
      </c>
      <c r="L18464" s="31" t="str">
        <f t="shared" si="1784"/>
        <v>Empat Puluh Sembilan</v>
      </c>
    </row>
    <row r="18465" spans="10:12">
      <c r="J18465" s="31">
        <v>50</v>
      </c>
      <c r="K18465" s="33" t="s">
        <v>122</v>
      </c>
      <c r="L18465" s="31" t="s">
        <v>123</v>
      </c>
    </row>
    <row r="18466" spans="10:12">
      <c r="J18466" s="31">
        <v>51</v>
      </c>
      <c r="K18466" s="33" t="s">
        <v>124</v>
      </c>
      <c r="L18466" s="31" t="str">
        <f t="shared" ref="L18466:L18474" si="1785">$L$53&amp;" "&amp;L18416</f>
        <v>Lima Puluh Satu</v>
      </c>
    </row>
    <row r="18467" spans="10:12">
      <c r="J18467" s="31">
        <v>52</v>
      </c>
      <c r="K18467" s="33" t="s">
        <v>125</v>
      </c>
      <c r="L18467" s="31" t="str">
        <f t="shared" si="1785"/>
        <v>Lima Puluh Dua</v>
      </c>
    </row>
    <row r="18468" spans="10:12">
      <c r="J18468" s="31">
        <v>53</v>
      </c>
      <c r="K18468" s="33" t="s">
        <v>126</v>
      </c>
      <c r="L18468" s="31" t="str">
        <f t="shared" si="1785"/>
        <v>Lima Puluh Tiga</v>
      </c>
    </row>
    <row r="18469" spans="10:12">
      <c r="J18469" s="31">
        <v>54</v>
      </c>
      <c r="K18469" s="33" t="s">
        <v>127</v>
      </c>
      <c r="L18469" s="31" t="str">
        <f t="shared" si="1785"/>
        <v>Lima Puluh Empat</v>
      </c>
    </row>
    <row r="18470" spans="10:12">
      <c r="J18470" s="31">
        <v>55</v>
      </c>
      <c r="K18470" s="33" t="s">
        <v>128</v>
      </c>
      <c r="L18470" s="31" t="str">
        <f t="shared" si="1785"/>
        <v>Lima Puluh Lima</v>
      </c>
    </row>
    <row r="18471" spans="10:12">
      <c r="J18471" s="31">
        <v>56</v>
      </c>
      <c r="K18471" s="33" t="s">
        <v>129</v>
      </c>
      <c r="L18471" s="31" t="str">
        <f t="shared" si="1785"/>
        <v>Lima Puluh Enam</v>
      </c>
    </row>
    <row r="18472" spans="10:12">
      <c r="J18472" s="31">
        <v>57</v>
      </c>
      <c r="K18472" s="33" t="s">
        <v>130</v>
      </c>
      <c r="L18472" s="31" t="str">
        <f t="shared" si="1785"/>
        <v>Lima Puluh Tujuh</v>
      </c>
    </row>
    <row r="18473" spans="10:12">
      <c r="J18473" s="31">
        <v>58</v>
      </c>
      <c r="K18473" s="33" t="s">
        <v>131</v>
      </c>
      <c r="L18473" s="31" t="str">
        <f t="shared" si="1785"/>
        <v>Lima Puluh Delapan</v>
      </c>
    </row>
    <row r="18474" spans="10:12">
      <c r="J18474" s="31">
        <v>59</v>
      </c>
      <c r="K18474" s="33" t="s">
        <v>132</v>
      </c>
      <c r="L18474" s="31" t="str">
        <f t="shared" si="1785"/>
        <v>Lima Puluh Sembilan</v>
      </c>
    </row>
    <row r="18475" spans="10:12">
      <c r="J18475" s="31">
        <v>60</v>
      </c>
      <c r="K18475" s="33" t="s">
        <v>133</v>
      </c>
      <c r="L18475" s="31" t="s">
        <v>134</v>
      </c>
    </row>
    <row r="18476" spans="10:12">
      <c r="J18476" s="31">
        <v>61</v>
      </c>
      <c r="K18476" s="33" t="s">
        <v>135</v>
      </c>
      <c r="L18476" s="31" t="str">
        <f t="shared" ref="L18476:L18484" si="1786">$L$63&amp;" "&amp;L18416</f>
        <v>Enam Puluh Satu</v>
      </c>
    </row>
    <row r="18477" spans="10:12">
      <c r="J18477" s="31">
        <v>62</v>
      </c>
      <c r="K18477" s="33" t="s">
        <v>136</v>
      </c>
      <c r="L18477" s="31" t="str">
        <f t="shared" si="1786"/>
        <v>Enam Puluh Dua</v>
      </c>
    </row>
    <row r="18478" spans="10:12">
      <c r="J18478" s="31">
        <v>63</v>
      </c>
      <c r="K18478" s="33" t="s">
        <v>137</v>
      </c>
      <c r="L18478" s="31" t="str">
        <f t="shared" si="1786"/>
        <v>Enam Puluh Tiga</v>
      </c>
    </row>
    <row r="18479" spans="10:12">
      <c r="J18479" s="31">
        <v>64</v>
      </c>
      <c r="K18479" s="33" t="s">
        <v>138</v>
      </c>
      <c r="L18479" s="31" t="str">
        <f t="shared" si="1786"/>
        <v>Enam Puluh Empat</v>
      </c>
    </row>
    <row r="18480" spans="10:12">
      <c r="J18480" s="31">
        <v>65</v>
      </c>
      <c r="K18480" s="33" t="s">
        <v>139</v>
      </c>
      <c r="L18480" s="31" t="str">
        <f t="shared" si="1786"/>
        <v>Enam Puluh Lima</v>
      </c>
    </row>
    <row r="18481" spans="10:12">
      <c r="J18481" s="31">
        <v>66</v>
      </c>
      <c r="K18481" s="33" t="s">
        <v>140</v>
      </c>
      <c r="L18481" s="31" t="str">
        <f t="shared" si="1786"/>
        <v>Enam Puluh Enam</v>
      </c>
    </row>
    <row r="18482" spans="10:12">
      <c r="J18482" s="31">
        <v>67</v>
      </c>
      <c r="K18482" s="33" t="s">
        <v>141</v>
      </c>
      <c r="L18482" s="31" t="str">
        <f t="shared" si="1786"/>
        <v>Enam Puluh Tujuh</v>
      </c>
    </row>
    <row r="18483" spans="10:12">
      <c r="J18483" s="31">
        <v>68</v>
      </c>
      <c r="K18483" s="33" t="s">
        <v>142</v>
      </c>
      <c r="L18483" s="31" t="str">
        <f t="shared" si="1786"/>
        <v>Enam Puluh Delapan</v>
      </c>
    </row>
    <row r="18484" spans="10:12">
      <c r="J18484" s="31">
        <v>69</v>
      </c>
      <c r="K18484" s="33" t="s">
        <v>143</v>
      </c>
      <c r="L18484" s="31" t="str">
        <f t="shared" si="1786"/>
        <v>Enam Puluh Sembilan</v>
      </c>
    </row>
    <row r="18485" spans="10:12">
      <c r="J18485" s="31">
        <v>70</v>
      </c>
      <c r="K18485" s="33" t="s">
        <v>144</v>
      </c>
      <c r="L18485" s="31" t="s">
        <v>145</v>
      </c>
    </row>
    <row r="18486" spans="10:12">
      <c r="J18486" s="31">
        <v>71</v>
      </c>
      <c r="K18486" s="33" t="s">
        <v>146</v>
      </c>
      <c r="L18486" s="31" t="str">
        <f t="shared" ref="L18486:L18494" si="1787">$L$73&amp;" "&amp;L18416</f>
        <v>Tujuh Puluh Satu</v>
      </c>
    </row>
    <row r="18487" spans="10:12">
      <c r="J18487" s="31">
        <v>72</v>
      </c>
      <c r="K18487" s="33" t="s">
        <v>147</v>
      </c>
      <c r="L18487" s="31" t="str">
        <f t="shared" si="1787"/>
        <v>Tujuh Puluh Dua</v>
      </c>
    </row>
    <row r="18488" spans="10:12">
      <c r="J18488" s="31">
        <v>73</v>
      </c>
      <c r="K18488" s="33" t="s">
        <v>148</v>
      </c>
      <c r="L18488" s="31" t="str">
        <f t="shared" si="1787"/>
        <v>Tujuh Puluh Tiga</v>
      </c>
    </row>
    <row r="18489" spans="10:12">
      <c r="J18489" s="31">
        <v>74</v>
      </c>
      <c r="K18489" s="33" t="s">
        <v>149</v>
      </c>
      <c r="L18489" s="31" t="str">
        <f t="shared" si="1787"/>
        <v>Tujuh Puluh Empat</v>
      </c>
    </row>
    <row r="18490" spans="10:12">
      <c r="J18490" s="31">
        <v>75</v>
      </c>
      <c r="K18490" s="33" t="s">
        <v>150</v>
      </c>
      <c r="L18490" s="31" t="str">
        <f t="shared" si="1787"/>
        <v>Tujuh Puluh Lima</v>
      </c>
    </row>
    <row r="18491" spans="10:12">
      <c r="J18491" s="31">
        <v>76</v>
      </c>
      <c r="K18491" s="33" t="s">
        <v>151</v>
      </c>
      <c r="L18491" s="31" t="str">
        <f t="shared" si="1787"/>
        <v>Tujuh Puluh Enam</v>
      </c>
    </row>
    <row r="18492" spans="10:12">
      <c r="J18492" s="31">
        <v>77</v>
      </c>
      <c r="K18492" s="33" t="s">
        <v>152</v>
      </c>
      <c r="L18492" s="31" t="str">
        <f t="shared" si="1787"/>
        <v>Tujuh Puluh Tujuh</v>
      </c>
    </row>
    <row r="18493" spans="10:12">
      <c r="J18493" s="31">
        <v>78</v>
      </c>
      <c r="K18493" s="33" t="s">
        <v>153</v>
      </c>
      <c r="L18493" s="31" t="str">
        <f t="shared" si="1787"/>
        <v>Tujuh Puluh Delapan</v>
      </c>
    </row>
    <row r="18494" spans="10:12">
      <c r="J18494" s="31">
        <v>79</v>
      </c>
      <c r="K18494" s="33" t="s">
        <v>154</v>
      </c>
      <c r="L18494" s="31" t="str">
        <f t="shared" si="1787"/>
        <v>Tujuh Puluh Sembilan</v>
      </c>
    </row>
    <row r="18495" spans="10:12">
      <c r="J18495" s="31">
        <v>80</v>
      </c>
      <c r="K18495" s="33" t="s">
        <v>155</v>
      </c>
      <c r="L18495" s="31" t="s">
        <v>156</v>
      </c>
    </row>
    <row r="18496" spans="10:12">
      <c r="J18496" s="31">
        <v>81</v>
      </c>
      <c r="K18496" s="33" t="s">
        <v>157</v>
      </c>
      <c r="L18496" s="31" t="str">
        <f t="shared" ref="L18496:L18504" si="1788">$L$83&amp;" "&amp;L18416</f>
        <v>Delapan Puluh Satu</v>
      </c>
    </row>
    <row r="18497" spans="10:12">
      <c r="J18497" s="31">
        <v>82</v>
      </c>
      <c r="K18497" s="33" t="s">
        <v>158</v>
      </c>
      <c r="L18497" s="31" t="str">
        <f t="shared" si="1788"/>
        <v>Delapan Puluh Dua</v>
      </c>
    </row>
    <row r="18498" spans="10:12">
      <c r="J18498" s="31">
        <v>83</v>
      </c>
      <c r="K18498" s="33" t="s">
        <v>159</v>
      </c>
      <c r="L18498" s="31" t="str">
        <f t="shared" si="1788"/>
        <v>Delapan Puluh Tiga</v>
      </c>
    </row>
    <row r="18499" spans="10:12">
      <c r="J18499" s="31">
        <v>84</v>
      </c>
      <c r="K18499" s="33" t="s">
        <v>160</v>
      </c>
      <c r="L18499" s="31" t="str">
        <f t="shared" si="1788"/>
        <v>Delapan Puluh Empat</v>
      </c>
    </row>
    <row r="18500" spans="10:12">
      <c r="J18500" s="31">
        <v>85</v>
      </c>
      <c r="K18500" s="33" t="s">
        <v>161</v>
      </c>
      <c r="L18500" s="31" t="str">
        <f t="shared" si="1788"/>
        <v>Delapan Puluh Lima</v>
      </c>
    </row>
    <row r="18501" spans="10:12">
      <c r="J18501" s="31">
        <v>86</v>
      </c>
      <c r="K18501" s="33" t="s">
        <v>162</v>
      </c>
      <c r="L18501" s="31" t="str">
        <f t="shared" si="1788"/>
        <v>Delapan Puluh Enam</v>
      </c>
    </row>
    <row r="18502" spans="10:12">
      <c r="J18502" s="31">
        <v>87</v>
      </c>
      <c r="K18502" s="33" t="s">
        <v>163</v>
      </c>
      <c r="L18502" s="31" t="str">
        <f t="shared" si="1788"/>
        <v>Delapan Puluh Tujuh</v>
      </c>
    </row>
    <row r="18503" spans="10:12">
      <c r="J18503" s="31">
        <v>88</v>
      </c>
      <c r="K18503" s="33" t="s">
        <v>164</v>
      </c>
      <c r="L18503" s="31" t="str">
        <f t="shared" si="1788"/>
        <v>Delapan Puluh Delapan</v>
      </c>
    </row>
    <row r="18504" spans="10:12">
      <c r="J18504" s="31">
        <v>89</v>
      </c>
      <c r="K18504" s="33" t="s">
        <v>165</v>
      </c>
      <c r="L18504" s="31" t="str">
        <f t="shared" si="1788"/>
        <v>Delapan Puluh Sembilan</v>
      </c>
    </row>
    <row r="18505" spans="10:12">
      <c r="J18505" s="31">
        <v>90</v>
      </c>
      <c r="K18505" s="33" t="s">
        <v>166</v>
      </c>
      <c r="L18505" s="31" t="s">
        <v>167</v>
      </c>
    </row>
    <row r="18506" spans="10:12">
      <c r="J18506" s="31">
        <v>91</v>
      </c>
      <c r="K18506" s="33" t="s">
        <v>168</v>
      </c>
      <c r="L18506" s="31" t="str">
        <f t="shared" ref="L18506:L18513" si="1789">$L$93&amp;" "&amp;L18416</f>
        <v>Sembilan Puluh Satu</v>
      </c>
    </row>
    <row r="18507" spans="10:12">
      <c r="J18507" s="31">
        <v>92</v>
      </c>
      <c r="K18507" s="33" t="s">
        <v>169</v>
      </c>
      <c r="L18507" s="31" t="str">
        <f t="shared" si="1789"/>
        <v>Sembilan Puluh Dua</v>
      </c>
    </row>
    <row r="18508" spans="10:12">
      <c r="J18508" s="31">
        <v>93</v>
      </c>
      <c r="K18508" s="33" t="s">
        <v>170</v>
      </c>
      <c r="L18508" s="31" t="str">
        <f t="shared" si="1789"/>
        <v>Sembilan Puluh Tiga</v>
      </c>
    </row>
    <row r="18509" spans="10:12">
      <c r="J18509" s="31">
        <v>94</v>
      </c>
      <c r="K18509" s="33" t="s">
        <v>171</v>
      </c>
      <c r="L18509" s="31" t="str">
        <f t="shared" si="1789"/>
        <v>Sembilan Puluh Empat</v>
      </c>
    </row>
    <row r="18510" spans="10:12">
      <c r="J18510" s="31">
        <v>95</v>
      </c>
      <c r="K18510" s="33" t="s">
        <v>172</v>
      </c>
      <c r="L18510" s="31" t="str">
        <f t="shared" si="1789"/>
        <v>Sembilan Puluh Lima</v>
      </c>
    </row>
    <row r="18511" spans="10:12">
      <c r="J18511" s="31">
        <v>96</v>
      </c>
      <c r="K18511" s="33" t="s">
        <v>173</v>
      </c>
      <c r="L18511" s="31" t="str">
        <f t="shared" si="1789"/>
        <v>Sembilan Puluh Enam</v>
      </c>
    </row>
    <row r="18512" spans="10:12">
      <c r="J18512" s="31">
        <v>97</v>
      </c>
      <c r="K18512" s="33" t="s">
        <v>174</v>
      </c>
      <c r="L18512" s="31" t="str">
        <f t="shared" si="1789"/>
        <v>Sembilan Puluh Tujuh</v>
      </c>
    </row>
    <row r="18513" spans="1:12">
      <c r="J18513" s="31">
        <v>98</v>
      </c>
      <c r="K18513" s="33" t="s">
        <v>175</v>
      </c>
      <c r="L18513" s="31" t="str">
        <f t="shared" si="1789"/>
        <v>Sembilan Puluh Delapan</v>
      </c>
    </row>
    <row r="18515" spans="1:12">
      <c r="A18515" s="30" t="e">
        <f>#REF!</f>
        <v>#REF!</v>
      </c>
      <c r="C18515" s="31" t="s">
        <v>438</v>
      </c>
    </row>
    <row r="18516" spans="1:12">
      <c r="A18516" s="32"/>
    </row>
    <row r="18517" spans="1:12">
      <c r="J18517" s="31">
        <v>0</v>
      </c>
      <c r="K18517" s="33" t="s">
        <v>48</v>
      </c>
      <c r="L18517" s="31" t="s">
        <v>49</v>
      </c>
    </row>
    <row r="18518" spans="1:12">
      <c r="A18518" s="34"/>
      <c r="J18518" s="31">
        <v>1</v>
      </c>
      <c r="K18518" s="33" t="s">
        <v>50</v>
      </c>
      <c r="L18518" s="31" t="s">
        <v>51</v>
      </c>
    </row>
    <row r="18519" spans="1:12">
      <c r="A18519" s="255" t="e">
        <f>TRIM(D18527&amp;E18527&amp;D18528&amp;E18528&amp;D18529&amp;E18529&amp;D18530&amp;E18530&amp;D18531&amp;E18531&amp;D18532&amp;E18532&amp;E18533&amp;D18533&amp;" Only")</f>
        <v>#REF!</v>
      </c>
      <c r="B18519" s="255"/>
      <c r="C18519" s="255"/>
      <c r="D18519" s="255"/>
      <c r="E18519" s="35"/>
      <c r="F18519" s="36"/>
      <c r="J18519" s="31">
        <v>2</v>
      </c>
      <c r="K18519" s="33" t="s">
        <v>52</v>
      </c>
      <c r="L18519" s="31" t="s">
        <v>53</v>
      </c>
    </row>
    <row r="18520" spans="1:12">
      <c r="A18520" s="138"/>
      <c r="B18520" s="138"/>
      <c r="C18520" s="138"/>
      <c r="D18520" s="138"/>
      <c r="E18520" s="35"/>
      <c r="F18520" s="36"/>
      <c r="J18520" s="31">
        <v>3</v>
      </c>
      <c r="K18520" s="33" t="s">
        <v>54</v>
      </c>
      <c r="L18520" s="31" t="s">
        <v>55</v>
      </c>
    </row>
    <row r="18521" spans="1:12">
      <c r="A18521" s="138"/>
      <c r="B18521" s="138"/>
      <c r="C18521" s="138"/>
      <c r="D18521" s="138"/>
      <c r="J18521" s="31">
        <v>4</v>
      </c>
      <c r="K18521" s="33" t="s">
        <v>56</v>
      </c>
      <c r="L18521" s="31" t="s">
        <v>57</v>
      </c>
    </row>
    <row r="18522" spans="1:12">
      <c r="A18522" s="255" t="e">
        <f>TRIM(D18537&amp;E18537&amp;D18538&amp;E18538&amp;D18539&amp;E18539&amp;D18540&amp;E18540&amp;D18541&amp;E18541&amp;D18542&amp;E18542&amp;D18543&amp;E18543&amp;" Rupiah")</f>
        <v>#REF!</v>
      </c>
      <c r="B18522" s="255"/>
      <c r="C18522" s="255"/>
      <c r="D18522" s="255"/>
      <c r="E18522" s="35"/>
      <c r="F18522" s="36"/>
      <c r="J18522" s="31">
        <v>5</v>
      </c>
      <c r="K18522" s="33" t="s">
        <v>58</v>
      </c>
      <c r="L18522" s="31" t="s">
        <v>59</v>
      </c>
    </row>
    <row r="18523" spans="1:12">
      <c r="A18523" s="35"/>
      <c r="B18523" s="35"/>
      <c r="C18523" s="35"/>
      <c r="D18523" s="35"/>
      <c r="E18523" s="35"/>
      <c r="F18523" s="36"/>
      <c r="J18523" s="31">
        <v>6</v>
      </c>
      <c r="K18523" s="33" t="s">
        <v>60</v>
      </c>
      <c r="L18523" s="31" t="s">
        <v>61</v>
      </c>
    </row>
    <row r="18524" spans="1:12">
      <c r="J18524" s="31">
        <v>7</v>
      </c>
      <c r="K18524" s="33" t="s">
        <v>62</v>
      </c>
      <c r="L18524" s="31" t="s">
        <v>63</v>
      </c>
    </row>
    <row r="18525" spans="1:12">
      <c r="J18525" s="31">
        <v>8</v>
      </c>
      <c r="K18525" s="33" t="s">
        <v>64</v>
      </c>
      <c r="L18525" s="31" t="s">
        <v>65</v>
      </c>
    </row>
    <row r="18526" spans="1:12">
      <c r="A18526" s="38" t="s">
        <v>66</v>
      </c>
      <c r="J18526" s="31">
        <v>9</v>
      </c>
      <c r="K18526" s="33" t="s">
        <v>67</v>
      </c>
      <c r="L18526" s="31" t="s">
        <v>68</v>
      </c>
    </row>
    <row r="18527" spans="1:12">
      <c r="A18527" s="31" t="s">
        <v>69</v>
      </c>
      <c r="B18527" s="39" t="e">
        <f>TRUNC(A18515/100000000)</f>
        <v>#REF!</v>
      </c>
      <c r="C18527" s="31" t="e">
        <f>B18527*100000000</f>
        <v>#REF!</v>
      </c>
      <c r="D18527" s="31" t="e">
        <f t="shared" ref="D18527:D18533" si="1790">IF(B18527&lt;1,"",VLOOKUP(B18527,$J$3:$K$102,2))</f>
        <v>#REF!</v>
      </c>
      <c r="E18527" s="31" t="e">
        <f>IF(B18527&lt;1,"",IF(B18527&gt;1," Hundreds "," Hundred "))</f>
        <v>#REF!</v>
      </c>
      <c r="J18527" s="31">
        <v>10</v>
      </c>
      <c r="K18527" s="33" t="s">
        <v>70</v>
      </c>
      <c r="L18527" s="31" t="s">
        <v>71</v>
      </c>
    </row>
    <row r="18528" spans="1:12">
      <c r="A18528" s="31" t="s">
        <v>72</v>
      </c>
      <c r="B18528" s="39" t="e">
        <f>TRUNC((A18515-C18527)/1000000)</f>
        <v>#REF!</v>
      </c>
      <c r="C18528" s="31" t="e">
        <f>B18528*1000000</f>
        <v>#REF!</v>
      </c>
      <c r="D18528" s="31" t="e">
        <f t="shared" si="1790"/>
        <v>#REF!</v>
      </c>
      <c r="E18528" s="31" t="e">
        <f>IF(B18527+B18528=0,"",IF(B18528=1," Million "," Millions "))</f>
        <v>#REF!</v>
      </c>
      <c r="J18528" s="31">
        <v>11</v>
      </c>
      <c r="K18528" s="33" t="s">
        <v>73</v>
      </c>
      <c r="L18528" s="31" t="s">
        <v>74</v>
      </c>
    </row>
    <row r="18529" spans="1:12">
      <c r="A18529" s="31" t="s">
        <v>75</v>
      </c>
      <c r="B18529" s="39" t="e">
        <f>TRUNC((A18515-SUM(C18527:C18528))/100000)</f>
        <v>#REF!</v>
      </c>
      <c r="C18529" s="31" t="e">
        <f>B18529*100000</f>
        <v>#REF!</v>
      </c>
      <c r="D18529" s="31" t="e">
        <f t="shared" si="1790"/>
        <v>#REF!</v>
      </c>
      <c r="E18529" s="31" t="e">
        <f>IF(B18529&lt;1,"",IF(B18529&gt;1," Hundreds "," Hundred "))</f>
        <v>#REF!</v>
      </c>
      <c r="J18529" s="31">
        <v>12</v>
      </c>
      <c r="K18529" s="33" t="s">
        <v>76</v>
      </c>
      <c r="L18529" s="31" t="str">
        <f t="shared" ref="L18529:L18536" si="1791">L18519&amp;" Belas"</f>
        <v>Dua Belas</v>
      </c>
    </row>
    <row r="18530" spans="1:12">
      <c r="A18530" s="33" t="s">
        <v>77</v>
      </c>
      <c r="B18530" s="40" t="e">
        <f>TRUNC((A18515-SUM(C18527:C18529))/1000)</f>
        <v>#REF!</v>
      </c>
      <c r="C18530" s="31" t="e">
        <f>B18530*1000</f>
        <v>#REF!</v>
      </c>
      <c r="D18530" s="31" t="e">
        <f t="shared" si="1790"/>
        <v>#REF!</v>
      </c>
      <c r="E18530" s="31" t="e">
        <f>IF(B18529+B18530=0,"",IF(B18530=1," Thousand "," Thousands "))</f>
        <v>#REF!</v>
      </c>
      <c r="J18530" s="31">
        <v>13</v>
      </c>
      <c r="K18530" s="33" t="s">
        <v>78</v>
      </c>
      <c r="L18530" s="31" t="str">
        <f t="shared" si="1791"/>
        <v>Tiga Belas</v>
      </c>
    </row>
    <row r="18531" spans="1:12">
      <c r="A18531" s="33" t="s">
        <v>79</v>
      </c>
      <c r="B18531" s="40" t="e">
        <f>TRUNC((A18515-SUM(C18527:C18530))/100)</f>
        <v>#REF!</v>
      </c>
      <c r="C18531" s="31" t="e">
        <f>B18531*100</f>
        <v>#REF!</v>
      </c>
      <c r="D18531" s="31" t="e">
        <f t="shared" si="1790"/>
        <v>#REF!</v>
      </c>
      <c r="E18531" s="31" t="e">
        <f>IF(B18531&lt;1,"",IF(B18531&gt;1," Hundreds "," Hundred "))</f>
        <v>#REF!</v>
      </c>
      <c r="J18531" s="31">
        <v>14</v>
      </c>
      <c r="K18531" s="33" t="s">
        <v>80</v>
      </c>
      <c r="L18531" s="31" t="str">
        <f t="shared" si="1791"/>
        <v>Empat Belas</v>
      </c>
    </row>
    <row r="18532" spans="1:12">
      <c r="A18532" s="33" t="s">
        <v>81</v>
      </c>
      <c r="B18532" s="41" t="e">
        <f>TRUNC((A18515-SUM(C18527:C18531)))</f>
        <v>#REF!</v>
      </c>
      <c r="C18532" s="42" t="e">
        <f>B18532</f>
        <v>#REF!</v>
      </c>
      <c r="D18532" s="31" t="e">
        <f t="shared" si="1790"/>
        <v>#REF!</v>
      </c>
      <c r="E18532" s="31" t="e">
        <f>IF(SUM(C18527:C18532)&lt;1,"",IF(B18533&lt;1,""," And "))</f>
        <v>#REF!</v>
      </c>
      <c r="J18532" s="31">
        <v>15</v>
      </c>
      <c r="K18532" s="33" t="s">
        <v>82</v>
      </c>
      <c r="L18532" s="31" t="str">
        <f t="shared" si="1791"/>
        <v>Lima Belas</v>
      </c>
    </row>
    <row r="18533" spans="1:12">
      <c r="A18533" s="33" t="s">
        <v>83</v>
      </c>
      <c r="B18533" s="40" t="e">
        <f>ROUND(A18515-SUM(C18527:C18532),2)*100</f>
        <v>#REF!</v>
      </c>
      <c r="D18533" s="43" t="e">
        <f t="shared" si="1790"/>
        <v>#REF!</v>
      </c>
      <c r="E18533" s="31" t="e">
        <f>IF(B18533&lt;1,"",IF(B18533=1," Cent "," Cents "))</f>
        <v>#REF!</v>
      </c>
      <c r="J18533" s="31">
        <v>16</v>
      </c>
      <c r="K18533" s="33" t="s">
        <v>84</v>
      </c>
      <c r="L18533" s="31" t="str">
        <f t="shared" si="1791"/>
        <v>Enam Belas</v>
      </c>
    </row>
    <row r="18534" spans="1:12">
      <c r="J18534" s="31">
        <v>17</v>
      </c>
      <c r="K18534" s="33" t="s">
        <v>85</v>
      </c>
      <c r="L18534" s="31" t="str">
        <f t="shared" si="1791"/>
        <v>Tujuh Belas</v>
      </c>
    </row>
    <row r="18535" spans="1:12">
      <c r="A18535" s="44"/>
      <c r="J18535" s="31">
        <v>18</v>
      </c>
      <c r="K18535" s="33" t="s">
        <v>86</v>
      </c>
      <c r="L18535" s="31" t="str">
        <f t="shared" si="1791"/>
        <v>Delapan Belas</v>
      </c>
    </row>
    <row r="18536" spans="1:12">
      <c r="A18536" s="38" t="s">
        <v>87</v>
      </c>
      <c r="J18536" s="31">
        <v>19</v>
      </c>
      <c r="K18536" s="33" t="s">
        <v>88</v>
      </c>
      <c r="L18536" s="31" t="str">
        <f t="shared" si="1791"/>
        <v>Sembilan Belas</v>
      </c>
    </row>
    <row r="18537" spans="1:12">
      <c r="A18537" s="31" t="s">
        <v>69</v>
      </c>
      <c r="B18537" s="39" t="e">
        <f>TRUNC(A18515/100000000)</f>
        <v>#REF!</v>
      </c>
      <c r="C18537" s="31" t="e">
        <f>B18537*100000000</f>
        <v>#REF!</v>
      </c>
      <c r="D18537" s="31" t="e">
        <f>IF(B18537&lt;1,"",IF(B18537=1,"",VLOOKUP(B18537,$J$3:$L$102,3)))</f>
        <v>#REF!</v>
      </c>
      <c r="E18537" s="31" t="e">
        <f>IF(B18537&lt;1,"",IF(B18537=1,"Seratus "," Ratus "))</f>
        <v>#REF!</v>
      </c>
      <c r="J18537" s="31">
        <v>20</v>
      </c>
      <c r="K18537" s="33" t="s">
        <v>89</v>
      </c>
      <c r="L18537" s="31" t="s">
        <v>90</v>
      </c>
    </row>
    <row r="18538" spans="1:12">
      <c r="A18538" s="31" t="s">
        <v>72</v>
      </c>
      <c r="B18538" s="39" t="e">
        <f>TRUNC((A18515-C18537)/1000000)</f>
        <v>#REF!</v>
      </c>
      <c r="C18538" s="31" t="e">
        <f>B18538*1000000</f>
        <v>#REF!</v>
      </c>
      <c r="D18538" s="31" t="e">
        <f>IF(B18538&lt;1,"",VLOOKUP(B18538,$J$3:$L$102,3))</f>
        <v>#REF!</v>
      </c>
      <c r="E18538" s="31" t="e">
        <f>IF(B18537+B18538=0,""," Juta ")</f>
        <v>#REF!</v>
      </c>
      <c r="J18538" s="31">
        <v>21</v>
      </c>
      <c r="K18538" s="33" t="s">
        <v>91</v>
      </c>
      <c r="L18538" s="31" t="str">
        <f t="shared" ref="L18538:L18546" si="1792">$L$23&amp;" "&amp;L18518</f>
        <v>Dua Puluh Satu</v>
      </c>
    </row>
    <row r="18539" spans="1:12">
      <c r="A18539" s="31" t="s">
        <v>75</v>
      </c>
      <c r="B18539" s="39" t="e">
        <f>TRUNC((A18515-SUM(C18537:C18538))/100000)</f>
        <v>#REF!</v>
      </c>
      <c r="C18539" s="31" t="e">
        <f>B18539*100000</f>
        <v>#REF!</v>
      </c>
      <c r="D18539" s="31" t="e">
        <f>IF(B18539&lt;1,"",IF(B18539=1,"",VLOOKUP(B18539,$J$3:$L$102,3)))</f>
        <v>#REF!</v>
      </c>
      <c r="E18539" s="31" t="e">
        <f>IF(B18539&lt;1,"",IF(B18539=1," Seratus "," Ratus "))</f>
        <v>#REF!</v>
      </c>
      <c r="J18539" s="31">
        <v>22</v>
      </c>
      <c r="K18539" s="33" t="s">
        <v>92</v>
      </c>
      <c r="L18539" s="31" t="str">
        <f t="shared" si="1792"/>
        <v>Dua Puluh Dua</v>
      </c>
    </row>
    <row r="18540" spans="1:12">
      <c r="A18540" s="33" t="s">
        <v>77</v>
      </c>
      <c r="B18540" s="40" t="e">
        <f>TRUNC((A18515-SUM(C18537:C18539))/1000)</f>
        <v>#REF!</v>
      </c>
      <c r="C18540" s="31" t="e">
        <f>B18540*1000</f>
        <v>#REF!</v>
      </c>
      <c r="D18540" s="31" t="e">
        <f>IF(B18540&lt;1,"",IF(B18540=1,"",VLOOKUP(B18540,$J$3:$L$102,3)))</f>
        <v>#REF!</v>
      </c>
      <c r="E18540" s="31" t="e">
        <f>IF(B18539+B18540&lt;1,"",IF(B18540=1," Seribu "," Ribu "))</f>
        <v>#REF!</v>
      </c>
      <c r="J18540" s="31">
        <v>23</v>
      </c>
      <c r="K18540" s="33" t="s">
        <v>93</v>
      </c>
      <c r="L18540" s="31" t="str">
        <f t="shared" si="1792"/>
        <v>Dua Puluh Tiga</v>
      </c>
    </row>
    <row r="18541" spans="1:12">
      <c r="A18541" s="33" t="s">
        <v>79</v>
      </c>
      <c r="B18541" s="40" t="e">
        <f>TRUNC((A18515-SUM(C18537:C18540))/100)</f>
        <v>#REF!</v>
      </c>
      <c r="C18541" s="31" t="e">
        <f>B18541*100</f>
        <v>#REF!</v>
      </c>
      <c r="D18541" s="31" t="e">
        <f>IF(B18541&lt;1,"",IF(B18541=1,"",VLOOKUP(B18541,$J$3:$L$102,3)))</f>
        <v>#REF!</v>
      </c>
      <c r="E18541" s="31" t="e">
        <f>IF(B18541&lt;1,"",IF(B18541=1," Seratus "," Ratus "))</f>
        <v>#REF!</v>
      </c>
      <c r="J18541" s="31">
        <v>24</v>
      </c>
      <c r="K18541" s="33" t="s">
        <v>94</v>
      </c>
      <c r="L18541" s="31" t="str">
        <f t="shared" si="1792"/>
        <v>Dua Puluh Empat</v>
      </c>
    </row>
    <row r="18542" spans="1:12">
      <c r="A18542" s="33" t="s">
        <v>81</v>
      </c>
      <c r="B18542" s="41" t="e">
        <f>TRUNC((A18515-SUM(C18537:C18541)))</f>
        <v>#REF!</v>
      </c>
      <c r="C18542" s="42" t="e">
        <f>B18542</f>
        <v>#REF!</v>
      </c>
      <c r="D18542" s="31" t="e">
        <f>IF(B18542&lt;1,"",VLOOKUP(B18542,$J$3:$L$102,3))</f>
        <v>#REF!</v>
      </c>
      <c r="E18542" s="31" t="e">
        <f>IF(SUM(C18537:C18542)&lt;1,"",IF(B18543&lt;1,""," Dan "))</f>
        <v>#REF!</v>
      </c>
      <c r="J18542" s="31">
        <v>25</v>
      </c>
      <c r="K18542" s="33" t="s">
        <v>95</v>
      </c>
      <c r="L18542" s="31" t="str">
        <f t="shared" si="1792"/>
        <v>Dua Puluh Lima</v>
      </c>
    </row>
    <row r="18543" spans="1:12">
      <c r="A18543" s="33" t="s">
        <v>83</v>
      </c>
      <c r="B18543" s="40" t="e">
        <f>ROUND(A18515-SUM(C18537:C18542),2)*100</f>
        <v>#REF!</v>
      </c>
      <c r="D18543" s="31" t="e">
        <f>IF(B18543&lt;1,"",VLOOKUP(B18543,$J$3:$L$102,3))</f>
        <v>#REF!</v>
      </c>
      <c r="E18543" s="31" t="e">
        <f>IF(B18543&lt;1,""," Sen ")</f>
        <v>#REF!</v>
      </c>
      <c r="J18543" s="31">
        <v>26</v>
      </c>
      <c r="K18543" s="33" t="s">
        <v>96</v>
      </c>
      <c r="L18543" s="31" t="str">
        <f t="shared" si="1792"/>
        <v>Dua Puluh Enam</v>
      </c>
    </row>
    <row r="18544" spans="1:12">
      <c r="J18544" s="31">
        <v>27</v>
      </c>
      <c r="K18544" s="33" t="s">
        <v>97</v>
      </c>
      <c r="L18544" s="31" t="str">
        <f t="shared" si="1792"/>
        <v>Dua Puluh Tujuh</v>
      </c>
    </row>
    <row r="18545" spans="1:12">
      <c r="J18545" s="31">
        <v>28</v>
      </c>
      <c r="K18545" s="33" t="s">
        <v>98</v>
      </c>
      <c r="L18545" s="31" t="str">
        <f t="shared" si="1792"/>
        <v>Dua Puluh Delapan</v>
      </c>
    </row>
    <row r="18546" spans="1:12">
      <c r="J18546" s="31">
        <v>29</v>
      </c>
      <c r="K18546" s="33" t="s">
        <v>99</v>
      </c>
      <c r="L18546" s="31" t="str">
        <f t="shared" si="1792"/>
        <v>Dua Puluh Sembilan</v>
      </c>
    </row>
    <row r="18547" spans="1:12">
      <c r="J18547" s="31">
        <v>30</v>
      </c>
      <c r="K18547" s="33" t="s">
        <v>100</v>
      </c>
      <c r="L18547" s="31" t="s">
        <v>101</v>
      </c>
    </row>
    <row r="18548" spans="1:12">
      <c r="J18548" s="31">
        <v>31</v>
      </c>
      <c r="K18548" s="33" t="s">
        <v>102</v>
      </c>
      <c r="L18548" s="31" t="str">
        <f t="shared" ref="L18548:L18556" si="1793">$L$33&amp;" "&amp;L18518</f>
        <v>Tiga Puluh Satu</v>
      </c>
    </row>
    <row r="18549" spans="1:12">
      <c r="J18549" s="31">
        <v>32</v>
      </c>
      <c r="K18549" s="33" t="s">
        <v>103</v>
      </c>
      <c r="L18549" s="31" t="str">
        <f t="shared" si="1793"/>
        <v>Tiga Puluh Dua</v>
      </c>
    </row>
    <row r="18550" spans="1:12">
      <c r="J18550" s="31">
        <v>33</v>
      </c>
      <c r="K18550" s="33" t="s">
        <v>104</v>
      </c>
      <c r="L18550" s="31" t="str">
        <f t="shared" si="1793"/>
        <v>Tiga Puluh Tiga</v>
      </c>
    </row>
    <row r="18551" spans="1:12">
      <c r="J18551" s="31">
        <v>34</v>
      </c>
      <c r="K18551" s="33" t="s">
        <v>105</v>
      </c>
      <c r="L18551" s="31" t="str">
        <f t="shared" si="1793"/>
        <v>Tiga Puluh Empat</v>
      </c>
    </row>
    <row r="18552" spans="1:12">
      <c r="J18552" s="31">
        <v>35</v>
      </c>
      <c r="K18552" s="33" t="s">
        <v>106</v>
      </c>
      <c r="L18552" s="31" t="str">
        <f t="shared" si="1793"/>
        <v>Tiga Puluh Lima</v>
      </c>
    </row>
    <row r="18553" spans="1:12">
      <c r="J18553" s="31">
        <v>36</v>
      </c>
      <c r="K18553" s="33" t="s">
        <v>107</v>
      </c>
      <c r="L18553" s="31" t="str">
        <f t="shared" si="1793"/>
        <v>Tiga Puluh Enam</v>
      </c>
    </row>
    <row r="18554" spans="1:12">
      <c r="J18554" s="31">
        <v>37</v>
      </c>
      <c r="K18554" s="33" t="s">
        <v>108</v>
      </c>
      <c r="L18554" s="31" t="str">
        <f t="shared" si="1793"/>
        <v>Tiga Puluh Tujuh</v>
      </c>
    </row>
    <row r="18555" spans="1:12">
      <c r="J18555" s="31">
        <v>38</v>
      </c>
      <c r="K18555" s="33" t="s">
        <v>109</v>
      </c>
      <c r="L18555" s="31" t="str">
        <f t="shared" si="1793"/>
        <v>Tiga Puluh Delapan</v>
      </c>
    </row>
    <row r="18556" spans="1:12">
      <c r="J18556" s="31">
        <v>39</v>
      </c>
      <c r="K18556" s="33" t="s">
        <v>110</v>
      </c>
      <c r="L18556" s="31" t="str">
        <f t="shared" si="1793"/>
        <v>Tiga Puluh Sembilan</v>
      </c>
    </row>
    <row r="18557" spans="1:12">
      <c r="B18557" s="35"/>
      <c r="C18557" s="35"/>
      <c r="D18557" s="35"/>
      <c r="J18557" s="31">
        <v>40</v>
      </c>
      <c r="K18557" s="33" t="s">
        <v>111</v>
      </c>
      <c r="L18557" s="31" t="s">
        <v>112</v>
      </c>
    </row>
    <row r="18558" spans="1:12">
      <c r="A18558" s="35"/>
      <c r="B18558" s="35"/>
      <c r="C18558" s="35"/>
      <c r="D18558" s="35"/>
      <c r="J18558" s="31">
        <v>41</v>
      </c>
      <c r="K18558" s="33" t="s">
        <v>113</v>
      </c>
      <c r="L18558" s="31" t="str">
        <f t="shared" ref="L18558:L18566" si="1794">$L$43&amp;" "&amp;L18518</f>
        <v>Empat Puluh Satu</v>
      </c>
    </row>
    <row r="18559" spans="1:12">
      <c r="J18559" s="31">
        <v>42</v>
      </c>
      <c r="K18559" s="33" t="s">
        <v>114</v>
      </c>
      <c r="L18559" s="31" t="str">
        <f t="shared" si="1794"/>
        <v>Empat Puluh Dua</v>
      </c>
    </row>
    <row r="18560" spans="1:12">
      <c r="A18560" s="38"/>
      <c r="J18560" s="31">
        <v>43</v>
      </c>
      <c r="K18560" s="33" t="s">
        <v>115</v>
      </c>
      <c r="L18560" s="31" t="str">
        <f t="shared" si="1794"/>
        <v>Empat Puluh Tiga</v>
      </c>
    </row>
    <row r="18561" spans="10:12">
      <c r="J18561" s="31">
        <v>44</v>
      </c>
      <c r="K18561" s="33" t="s">
        <v>116</v>
      </c>
      <c r="L18561" s="31" t="str">
        <f t="shared" si="1794"/>
        <v>Empat Puluh Empat</v>
      </c>
    </row>
    <row r="18562" spans="10:12">
      <c r="J18562" s="31">
        <v>45</v>
      </c>
      <c r="K18562" s="33" t="s">
        <v>117</v>
      </c>
      <c r="L18562" s="31" t="str">
        <f t="shared" si="1794"/>
        <v>Empat Puluh Lima</v>
      </c>
    </row>
    <row r="18563" spans="10:12">
      <c r="J18563" s="31">
        <v>46</v>
      </c>
      <c r="K18563" s="33" t="s">
        <v>118</v>
      </c>
      <c r="L18563" s="31" t="str">
        <f t="shared" si="1794"/>
        <v>Empat Puluh Enam</v>
      </c>
    </row>
    <row r="18564" spans="10:12">
      <c r="J18564" s="31">
        <v>47</v>
      </c>
      <c r="K18564" s="33" t="s">
        <v>119</v>
      </c>
      <c r="L18564" s="31" t="str">
        <f t="shared" si="1794"/>
        <v>Empat Puluh Tujuh</v>
      </c>
    </row>
    <row r="18565" spans="10:12">
      <c r="J18565" s="31">
        <v>48</v>
      </c>
      <c r="K18565" s="33" t="s">
        <v>120</v>
      </c>
      <c r="L18565" s="31" t="str">
        <f t="shared" si="1794"/>
        <v>Empat Puluh Delapan</v>
      </c>
    </row>
    <row r="18566" spans="10:12">
      <c r="J18566" s="31">
        <v>49</v>
      </c>
      <c r="K18566" s="33" t="s">
        <v>121</v>
      </c>
      <c r="L18566" s="31" t="str">
        <f t="shared" si="1794"/>
        <v>Empat Puluh Sembilan</v>
      </c>
    </row>
    <row r="18567" spans="10:12">
      <c r="J18567" s="31">
        <v>50</v>
      </c>
      <c r="K18567" s="33" t="s">
        <v>122</v>
      </c>
      <c r="L18567" s="31" t="s">
        <v>123</v>
      </c>
    </row>
    <row r="18568" spans="10:12">
      <c r="J18568" s="31">
        <v>51</v>
      </c>
      <c r="K18568" s="33" t="s">
        <v>124</v>
      </c>
      <c r="L18568" s="31" t="str">
        <f t="shared" ref="L18568:L18576" si="1795">$L$53&amp;" "&amp;L18518</f>
        <v>Lima Puluh Satu</v>
      </c>
    </row>
    <row r="18569" spans="10:12">
      <c r="J18569" s="31">
        <v>52</v>
      </c>
      <c r="K18569" s="33" t="s">
        <v>125</v>
      </c>
      <c r="L18569" s="31" t="str">
        <f t="shared" si="1795"/>
        <v>Lima Puluh Dua</v>
      </c>
    </row>
    <row r="18570" spans="10:12">
      <c r="J18570" s="31">
        <v>53</v>
      </c>
      <c r="K18570" s="33" t="s">
        <v>126</v>
      </c>
      <c r="L18570" s="31" t="str">
        <f t="shared" si="1795"/>
        <v>Lima Puluh Tiga</v>
      </c>
    </row>
    <row r="18571" spans="10:12">
      <c r="J18571" s="31">
        <v>54</v>
      </c>
      <c r="K18571" s="33" t="s">
        <v>127</v>
      </c>
      <c r="L18571" s="31" t="str">
        <f t="shared" si="1795"/>
        <v>Lima Puluh Empat</v>
      </c>
    </row>
    <row r="18572" spans="10:12">
      <c r="J18572" s="31">
        <v>55</v>
      </c>
      <c r="K18572" s="33" t="s">
        <v>128</v>
      </c>
      <c r="L18572" s="31" t="str">
        <f t="shared" si="1795"/>
        <v>Lima Puluh Lima</v>
      </c>
    </row>
    <row r="18573" spans="10:12">
      <c r="J18573" s="31">
        <v>56</v>
      </c>
      <c r="K18573" s="33" t="s">
        <v>129</v>
      </c>
      <c r="L18573" s="31" t="str">
        <f t="shared" si="1795"/>
        <v>Lima Puluh Enam</v>
      </c>
    </row>
    <row r="18574" spans="10:12">
      <c r="J18574" s="31">
        <v>57</v>
      </c>
      <c r="K18574" s="33" t="s">
        <v>130</v>
      </c>
      <c r="L18574" s="31" t="str">
        <f t="shared" si="1795"/>
        <v>Lima Puluh Tujuh</v>
      </c>
    </row>
    <row r="18575" spans="10:12">
      <c r="J18575" s="31">
        <v>58</v>
      </c>
      <c r="K18575" s="33" t="s">
        <v>131</v>
      </c>
      <c r="L18575" s="31" t="str">
        <f t="shared" si="1795"/>
        <v>Lima Puluh Delapan</v>
      </c>
    </row>
    <row r="18576" spans="10:12">
      <c r="J18576" s="31">
        <v>59</v>
      </c>
      <c r="K18576" s="33" t="s">
        <v>132</v>
      </c>
      <c r="L18576" s="31" t="str">
        <f t="shared" si="1795"/>
        <v>Lima Puluh Sembilan</v>
      </c>
    </row>
    <row r="18577" spans="10:12">
      <c r="J18577" s="31">
        <v>60</v>
      </c>
      <c r="K18577" s="33" t="s">
        <v>133</v>
      </c>
      <c r="L18577" s="31" t="s">
        <v>134</v>
      </c>
    </row>
    <row r="18578" spans="10:12">
      <c r="J18578" s="31">
        <v>61</v>
      </c>
      <c r="K18578" s="33" t="s">
        <v>135</v>
      </c>
      <c r="L18578" s="31" t="str">
        <f t="shared" ref="L18578:L18586" si="1796">$L$63&amp;" "&amp;L18518</f>
        <v>Enam Puluh Satu</v>
      </c>
    </row>
    <row r="18579" spans="10:12">
      <c r="J18579" s="31">
        <v>62</v>
      </c>
      <c r="K18579" s="33" t="s">
        <v>136</v>
      </c>
      <c r="L18579" s="31" t="str">
        <f t="shared" si="1796"/>
        <v>Enam Puluh Dua</v>
      </c>
    </row>
    <row r="18580" spans="10:12">
      <c r="J18580" s="31">
        <v>63</v>
      </c>
      <c r="K18580" s="33" t="s">
        <v>137</v>
      </c>
      <c r="L18580" s="31" t="str">
        <f t="shared" si="1796"/>
        <v>Enam Puluh Tiga</v>
      </c>
    </row>
    <row r="18581" spans="10:12">
      <c r="J18581" s="31">
        <v>64</v>
      </c>
      <c r="K18581" s="33" t="s">
        <v>138</v>
      </c>
      <c r="L18581" s="31" t="str">
        <f t="shared" si="1796"/>
        <v>Enam Puluh Empat</v>
      </c>
    </row>
    <row r="18582" spans="10:12">
      <c r="J18582" s="31">
        <v>65</v>
      </c>
      <c r="K18582" s="33" t="s">
        <v>139</v>
      </c>
      <c r="L18582" s="31" t="str">
        <f t="shared" si="1796"/>
        <v>Enam Puluh Lima</v>
      </c>
    </row>
    <row r="18583" spans="10:12">
      <c r="J18583" s="31">
        <v>66</v>
      </c>
      <c r="K18583" s="33" t="s">
        <v>140</v>
      </c>
      <c r="L18583" s="31" t="str">
        <f t="shared" si="1796"/>
        <v>Enam Puluh Enam</v>
      </c>
    </row>
    <row r="18584" spans="10:12">
      <c r="J18584" s="31">
        <v>67</v>
      </c>
      <c r="K18584" s="33" t="s">
        <v>141</v>
      </c>
      <c r="L18584" s="31" t="str">
        <f t="shared" si="1796"/>
        <v>Enam Puluh Tujuh</v>
      </c>
    </row>
    <row r="18585" spans="10:12">
      <c r="J18585" s="31">
        <v>68</v>
      </c>
      <c r="K18585" s="33" t="s">
        <v>142</v>
      </c>
      <c r="L18585" s="31" t="str">
        <f t="shared" si="1796"/>
        <v>Enam Puluh Delapan</v>
      </c>
    </row>
    <row r="18586" spans="10:12">
      <c r="J18586" s="31">
        <v>69</v>
      </c>
      <c r="K18586" s="33" t="s">
        <v>143</v>
      </c>
      <c r="L18586" s="31" t="str">
        <f t="shared" si="1796"/>
        <v>Enam Puluh Sembilan</v>
      </c>
    </row>
    <row r="18587" spans="10:12">
      <c r="J18587" s="31">
        <v>70</v>
      </c>
      <c r="K18587" s="33" t="s">
        <v>144</v>
      </c>
      <c r="L18587" s="31" t="s">
        <v>145</v>
      </c>
    </row>
    <row r="18588" spans="10:12">
      <c r="J18588" s="31">
        <v>71</v>
      </c>
      <c r="K18588" s="33" t="s">
        <v>146</v>
      </c>
      <c r="L18588" s="31" t="str">
        <f t="shared" ref="L18588:L18596" si="1797">$L$73&amp;" "&amp;L18518</f>
        <v>Tujuh Puluh Satu</v>
      </c>
    </row>
    <row r="18589" spans="10:12">
      <c r="J18589" s="31">
        <v>72</v>
      </c>
      <c r="K18589" s="33" t="s">
        <v>147</v>
      </c>
      <c r="L18589" s="31" t="str">
        <f t="shared" si="1797"/>
        <v>Tujuh Puluh Dua</v>
      </c>
    </row>
    <row r="18590" spans="10:12">
      <c r="J18590" s="31">
        <v>73</v>
      </c>
      <c r="K18590" s="33" t="s">
        <v>148</v>
      </c>
      <c r="L18590" s="31" t="str">
        <f t="shared" si="1797"/>
        <v>Tujuh Puluh Tiga</v>
      </c>
    </row>
    <row r="18591" spans="10:12">
      <c r="J18591" s="31">
        <v>74</v>
      </c>
      <c r="K18591" s="33" t="s">
        <v>149</v>
      </c>
      <c r="L18591" s="31" t="str">
        <f t="shared" si="1797"/>
        <v>Tujuh Puluh Empat</v>
      </c>
    </row>
    <row r="18592" spans="10:12">
      <c r="J18592" s="31">
        <v>75</v>
      </c>
      <c r="K18592" s="33" t="s">
        <v>150</v>
      </c>
      <c r="L18592" s="31" t="str">
        <f t="shared" si="1797"/>
        <v>Tujuh Puluh Lima</v>
      </c>
    </row>
    <row r="18593" spans="10:12">
      <c r="J18593" s="31">
        <v>76</v>
      </c>
      <c r="K18593" s="33" t="s">
        <v>151</v>
      </c>
      <c r="L18593" s="31" t="str">
        <f t="shared" si="1797"/>
        <v>Tujuh Puluh Enam</v>
      </c>
    </row>
    <row r="18594" spans="10:12">
      <c r="J18594" s="31">
        <v>77</v>
      </c>
      <c r="K18594" s="33" t="s">
        <v>152</v>
      </c>
      <c r="L18594" s="31" t="str">
        <f t="shared" si="1797"/>
        <v>Tujuh Puluh Tujuh</v>
      </c>
    </row>
    <row r="18595" spans="10:12">
      <c r="J18595" s="31">
        <v>78</v>
      </c>
      <c r="K18595" s="33" t="s">
        <v>153</v>
      </c>
      <c r="L18595" s="31" t="str">
        <f t="shared" si="1797"/>
        <v>Tujuh Puluh Delapan</v>
      </c>
    </row>
    <row r="18596" spans="10:12">
      <c r="J18596" s="31">
        <v>79</v>
      </c>
      <c r="K18596" s="33" t="s">
        <v>154</v>
      </c>
      <c r="L18596" s="31" t="str">
        <f t="shared" si="1797"/>
        <v>Tujuh Puluh Sembilan</v>
      </c>
    </row>
    <row r="18597" spans="10:12">
      <c r="J18597" s="31">
        <v>80</v>
      </c>
      <c r="K18597" s="33" t="s">
        <v>155</v>
      </c>
      <c r="L18597" s="31" t="s">
        <v>156</v>
      </c>
    </row>
    <row r="18598" spans="10:12">
      <c r="J18598" s="31">
        <v>81</v>
      </c>
      <c r="K18598" s="33" t="s">
        <v>157</v>
      </c>
      <c r="L18598" s="31" t="str">
        <f t="shared" ref="L18598:L18606" si="1798">$L$83&amp;" "&amp;L18518</f>
        <v>Delapan Puluh Satu</v>
      </c>
    </row>
    <row r="18599" spans="10:12">
      <c r="J18599" s="31">
        <v>82</v>
      </c>
      <c r="K18599" s="33" t="s">
        <v>158</v>
      </c>
      <c r="L18599" s="31" t="str">
        <f t="shared" si="1798"/>
        <v>Delapan Puluh Dua</v>
      </c>
    </row>
    <row r="18600" spans="10:12">
      <c r="J18600" s="31">
        <v>83</v>
      </c>
      <c r="K18600" s="33" t="s">
        <v>159</v>
      </c>
      <c r="L18600" s="31" t="str">
        <f t="shared" si="1798"/>
        <v>Delapan Puluh Tiga</v>
      </c>
    </row>
    <row r="18601" spans="10:12">
      <c r="J18601" s="31">
        <v>84</v>
      </c>
      <c r="K18601" s="33" t="s">
        <v>160</v>
      </c>
      <c r="L18601" s="31" t="str">
        <f t="shared" si="1798"/>
        <v>Delapan Puluh Empat</v>
      </c>
    </row>
    <row r="18602" spans="10:12">
      <c r="J18602" s="31">
        <v>85</v>
      </c>
      <c r="K18602" s="33" t="s">
        <v>161</v>
      </c>
      <c r="L18602" s="31" t="str">
        <f t="shared" si="1798"/>
        <v>Delapan Puluh Lima</v>
      </c>
    </row>
    <row r="18603" spans="10:12">
      <c r="J18603" s="31">
        <v>86</v>
      </c>
      <c r="K18603" s="33" t="s">
        <v>162</v>
      </c>
      <c r="L18603" s="31" t="str">
        <f t="shared" si="1798"/>
        <v>Delapan Puluh Enam</v>
      </c>
    </row>
    <row r="18604" spans="10:12">
      <c r="J18604" s="31">
        <v>87</v>
      </c>
      <c r="K18604" s="33" t="s">
        <v>163</v>
      </c>
      <c r="L18604" s="31" t="str">
        <f t="shared" si="1798"/>
        <v>Delapan Puluh Tujuh</v>
      </c>
    </row>
    <row r="18605" spans="10:12">
      <c r="J18605" s="31">
        <v>88</v>
      </c>
      <c r="K18605" s="33" t="s">
        <v>164</v>
      </c>
      <c r="L18605" s="31" t="str">
        <f t="shared" si="1798"/>
        <v>Delapan Puluh Delapan</v>
      </c>
    </row>
    <row r="18606" spans="10:12">
      <c r="J18606" s="31">
        <v>89</v>
      </c>
      <c r="K18606" s="33" t="s">
        <v>165</v>
      </c>
      <c r="L18606" s="31" t="str">
        <f t="shared" si="1798"/>
        <v>Delapan Puluh Sembilan</v>
      </c>
    </row>
    <row r="18607" spans="10:12">
      <c r="J18607" s="31">
        <v>90</v>
      </c>
      <c r="K18607" s="33" t="s">
        <v>166</v>
      </c>
      <c r="L18607" s="31" t="s">
        <v>167</v>
      </c>
    </row>
    <row r="18608" spans="10:12">
      <c r="J18608" s="31">
        <v>91</v>
      </c>
      <c r="K18608" s="33" t="s">
        <v>168</v>
      </c>
      <c r="L18608" s="31" t="str">
        <f t="shared" ref="L18608:L18615" si="1799">$L$93&amp;" "&amp;L18518</f>
        <v>Sembilan Puluh Satu</v>
      </c>
    </row>
    <row r="18609" spans="1:12">
      <c r="J18609" s="31">
        <v>92</v>
      </c>
      <c r="K18609" s="33" t="s">
        <v>169</v>
      </c>
      <c r="L18609" s="31" t="str">
        <f t="shared" si="1799"/>
        <v>Sembilan Puluh Dua</v>
      </c>
    </row>
    <row r="18610" spans="1:12">
      <c r="J18610" s="31">
        <v>93</v>
      </c>
      <c r="K18610" s="33" t="s">
        <v>170</v>
      </c>
      <c r="L18610" s="31" t="str">
        <f t="shared" si="1799"/>
        <v>Sembilan Puluh Tiga</v>
      </c>
    </row>
    <row r="18611" spans="1:12">
      <c r="J18611" s="31">
        <v>94</v>
      </c>
      <c r="K18611" s="33" t="s">
        <v>171</v>
      </c>
      <c r="L18611" s="31" t="str">
        <f t="shared" si="1799"/>
        <v>Sembilan Puluh Empat</v>
      </c>
    </row>
    <row r="18612" spans="1:12">
      <c r="J18612" s="31">
        <v>95</v>
      </c>
      <c r="K18612" s="33" t="s">
        <v>172</v>
      </c>
      <c r="L18612" s="31" t="str">
        <f t="shared" si="1799"/>
        <v>Sembilan Puluh Lima</v>
      </c>
    </row>
    <row r="18613" spans="1:12">
      <c r="J18613" s="31">
        <v>96</v>
      </c>
      <c r="K18613" s="33" t="s">
        <v>173</v>
      </c>
      <c r="L18613" s="31" t="str">
        <f t="shared" si="1799"/>
        <v>Sembilan Puluh Enam</v>
      </c>
    </row>
    <row r="18614" spans="1:12">
      <c r="J18614" s="31">
        <v>97</v>
      </c>
      <c r="K18614" s="33" t="s">
        <v>174</v>
      </c>
      <c r="L18614" s="31" t="str">
        <f t="shared" si="1799"/>
        <v>Sembilan Puluh Tujuh</v>
      </c>
    </row>
    <row r="18615" spans="1:12">
      <c r="J18615" s="31">
        <v>98</v>
      </c>
      <c r="K18615" s="33" t="s">
        <v>175</v>
      </c>
      <c r="L18615" s="31" t="str">
        <f t="shared" si="1799"/>
        <v>Sembilan Puluh Delapan</v>
      </c>
    </row>
    <row r="18617" spans="1:12">
      <c r="A18617" s="30" t="e">
        <f>#REF!</f>
        <v>#REF!</v>
      </c>
      <c r="C18617" s="31" t="s">
        <v>439</v>
      </c>
    </row>
    <row r="18618" spans="1:12">
      <c r="A18618" s="32"/>
    </row>
    <row r="18619" spans="1:12">
      <c r="J18619" s="31">
        <v>0</v>
      </c>
      <c r="K18619" s="33" t="s">
        <v>48</v>
      </c>
      <c r="L18619" s="31" t="s">
        <v>49</v>
      </c>
    </row>
    <row r="18620" spans="1:12">
      <c r="A18620" s="34"/>
      <c r="J18620" s="31">
        <v>1</v>
      </c>
      <c r="K18620" s="33" t="s">
        <v>50</v>
      </c>
      <c r="L18620" s="31" t="s">
        <v>51</v>
      </c>
    </row>
    <row r="18621" spans="1:12">
      <c r="A18621" s="255" t="e">
        <f>TRIM(D18629&amp;E18629&amp;D18630&amp;E18630&amp;D18631&amp;E18631&amp;D18632&amp;E18632&amp;D18633&amp;E18633&amp;D18634&amp;E18634&amp;E18635&amp;D18635&amp;" Only")</f>
        <v>#REF!</v>
      </c>
      <c r="B18621" s="255"/>
      <c r="C18621" s="255"/>
      <c r="D18621" s="255"/>
      <c r="E18621" s="35"/>
      <c r="F18621" s="36"/>
      <c r="J18621" s="31">
        <v>2</v>
      </c>
      <c r="K18621" s="33" t="s">
        <v>52</v>
      </c>
      <c r="L18621" s="31" t="s">
        <v>53</v>
      </c>
    </row>
    <row r="18622" spans="1:12">
      <c r="A18622" s="138"/>
      <c r="B18622" s="138"/>
      <c r="C18622" s="138"/>
      <c r="D18622" s="138"/>
      <c r="E18622" s="35"/>
      <c r="F18622" s="36"/>
      <c r="J18622" s="31">
        <v>3</v>
      </c>
      <c r="K18622" s="33" t="s">
        <v>54</v>
      </c>
      <c r="L18622" s="31" t="s">
        <v>55</v>
      </c>
    </row>
    <row r="18623" spans="1:12">
      <c r="A18623" s="138"/>
      <c r="B18623" s="138"/>
      <c r="C18623" s="138"/>
      <c r="D18623" s="138"/>
      <c r="J18623" s="31">
        <v>4</v>
      </c>
      <c r="K18623" s="33" t="s">
        <v>56</v>
      </c>
      <c r="L18623" s="31" t="s">
        <v>57</v>
      </c>
    </row>
    <row r="18624" spans="1:12">
      <c r="A18624" s="255" t="e">
        <f>TRIM(D18639&amp;E18639&amp;D18640&amp;E18640&amp;D18641&amp;E18641&amp;D18642&amp;E18642&amp;D18643&amp;E18643&amp;D18644&amp;E18644&amp;D18645&amp;E18645&amp;" Rupiah")</f>
        <v>#REF!</v>
      </c>
      <c r="B18624" s="255"/>
      <c r="C18624" s="255"/>
      <c r="D18624" s="255"/>
      <c r="E18624" s="35"/>
      <c r="F18624" s="36"/>
      <c r="J18624" s="31">
        <v>5</v>
      </c>
      <c r="K18624" s="33" t="s">
        <v>58</v>
      </c>
      <c r="L18624" s="31" t="s">
        <v>59</v>
      </c>
    </row>
    <row r="18625" spans="1:12">
      <c r="A18625" s="35"/>
      <c r="B18625" s="35"/>
      <c r="C18625" s="35"/>
      <c r="D18625" s="35"/>
      <c r="E18625" s="35"/>
      <c r="F18625" s="36"/>
      <c r="J18625" s="31">
        <v>6</v>
      </c>
      <c r="K18625" s="33" t="s">
        <v>60</v>
      </c>
      <c r="L18625" s="31" t="s">
        <v>61</v>
      </c>
    </row>
    <row r="18626" spans="1:12">
      <c r="J18626" s="31">
        <v>7</v>
      </c>
      <c r="K18626" s="33" t="s">
        <v>62</v>
      </c>
      <c r="L18626" s="31" t="s">
        <v>63</v>
      </c>
    </row>
    <row r="18627" spans="1:12">
      <c r="J18627" s="31">
        <v>8</v>
      </c>
      <c r="K18627" s="33" t="s">
        <v>64</v>
      </c>
      <c r="L18627" s="31" t="s">
        <v>65</v>
      </c>
    </row>
    <row r="18628" spans="1:12">
      <c r="A18628" s="38" t="s">
        <v>66</v>
      </c>
      <c r="J18628" s="31">
        <v>9</v>
      </c>
      <c r="K18628" s="33" t="s">
        <v>67</v>
      </c>
      <c r="L18628" s="31" t="s">
        <v>68</v>
      </c>
    </row>
    <row r="18629" spans="1:12">
      <c r="A18629" s="31" t="s">
        <v>69</v>
      </c>
      <c r="B18629" s="39" t="e">
        <f>TRUNC(A18617/100000000)</f>
        <v>#REF!</v>
      </c>
      <c r="C18629" s="31" t="e">
        <f>B18629*100000000</f>
        <v>#REF!</v>
      </c>
      <c r="D18629" s="31" t="e">
        <f t="shared" ref="D18629:D18635" si="1800">IF(B18629&lt;1,"",VLOOKUP(B18629,$J$3:$K$102,2))</f>
        <v>#REF!</v>
      </c>
      <c r="E18629" s="31" t="e">
        <f>IF(B18629&lt;1,"",IF(B18629&gt;1," Hundreds "," Hundred "))</f>
        <v>#REF!</v>
      </c>
      <c r="J18629" s="31">
        <v>10</v>
      </c>
      <c r="K18629" s="33" t="s">
        <v>70</v>
      </c>
      <c r="L18629" s="31" t="s">
        <v>71</v>
      </c>
    </row>
    <row r="18630" spans="1:12">
      <c r="A18630" s="31" t="s">
        <v>72</v>
      </c>
      <c r="B18630" s="39" t="e">
        <f>TRUNC((A18617-C18629)/1000000)</f>
        <v>#REF!</v>
      </c>
      <c r="C18630" s="31" t="e">
        <f>B18630*1000000</f>
        <v>#REF!</v>
      </c>
      <c r="D18630" s="31" t="e">
        <f t="shared" si="1800"/>
        <v>#REF!</v>
      </c>
      <c r="E18630" s="31" t="e">
        <f>IF(B18629+B18630=0,"",IF(B18630=1," Million "," Millions "))</f>
        <v>#REF!</v>
      </c>
      <c r="J18630" s="31">
        <v>11</v>
      </c>
      <c r="K18630" s="33" t="s">
        <v>73</v>
      </c>
      <c r="L18630" s="31" t="s">
        <v>74</v>
      </c>
    </row>
    <row r="18631" spans="1:12">
      <c r="A18631" s="31" t="s">
        <v>75</v>
      </c>
      <c r="B18631" s="39" t="e">
        <f>TRUNC((A18617-SUM(C18629:C18630))/100000)</f>
        <v>#REF!</v>
      </c>
      <c r="C18631" s="31" t="e">
        <f>B18631*100000</f>
        <v>#REF!</v>
      </c>
      <c r="D18631" s="31" t="e">
        <f t="shared" si="1800"/>
        <v>#REF!</v>
      </c>
      <c r="E18631" s="31" t="e">
        <f>IF(B18631&lt;1,"",IF(B18631&gt;1," Hundreds "," Hundred "))</f>
        <v>#REF!</v>
      </c>
      <c r="J18631" s="31">
        <v>12</v>
      </c>
      <c r="K18631" s="33" t="s">
        <v>76</v>
      </c>
      <c r="L18631" s="31" t="str">
        <f t="shared" ref="L18631:L18638" si="1801">L18621&amp;" Belas"</f>
        <v>Dua Belas</v>
      </c>
    </row>
    <row r="18632" spans="1:12">
      <c r="A18632" s="33" t="s">
        <v>77</v>
      </c>
      <c r="B18632" s="40" t="e">
        <f>TRUNC((A18617-SUM(C18629:C18631))/1000)</f>
        <v>#REF!</v>
      </c>
      <c r="C18632" s="31" t="e">
        <f>B18632*1000</f>
        <v>#REF!</v>
      </c>
      <c r="D18632" s="31" t="e">
        <f t="shared" si="1800"/>
        <v>#REF!</v>
      </c>
      <c r="E18632" s="31" t="e">
        <f>IF(B18631+B18632=0,"",IF(B18632=1," Thousand "," Thousands "))</f>
        <v>#REF!</v>
      </c>
      <c r="J18632" s="31">
        <v>13</v>
      </c>
      <c r="K18632" s="33" t="s">
        <v>78</v>
      </c>
      <c r="L18632" s="31" t="str">
        <f t="shared" si="1801"/>
        <v>Tiga Belas</v>
      </c>
    </row>
    <row r="18633" spans="1:12">
      <c r="A18633" s="33" t="s">
        <v>79</v>
      </c>
      <c r="B18633" s="40" t="e">
        <f>TRUNC((A18617-SUM(C18629:C18632))/100)</f>
        <v>#REF!</v>
      </c>
      <c r="C18633" s="31" t="e">
        <f>B18633*100</f>
        <v>#REF!</v>
      </c>
      <c r="D18633" s="31" t="e">
        <f t="shared" si="1800"/>
        <v>#REF!</v>
      </c>
      <c r="E18633" s="31" t="e">
        <f>IF(B18633&lt;1,"",IF(B18633&gt;1," Hundreds "," Hundred "))</f>
        <v>#REF!</v>
      </c>
      <c r="J18633" s="31">
        <v>14</v>
      </c>
      <c r="K18633" s="33" t="s">
        <v>80</v>
      </c>
      <c r="L18633" s="31" t="str">
        <f t="shared" si="1801"/>
        <v>Empat Belas</v>
      </c>
    </row>
    <row r="18634" spans="1:12">
      <c r="A18634" s="33" t="s">
        <v>81</v>
      </c>
      <c r="B18634" s="41" t="e">
        <f>TRUNC((A18617-SUM(C18629:C18633)))</f>
        <v>#REF!</v>
      </c>
      <c r="C18634" s="42" t="e">
        <f>B18634</f>
        <v>#REF!</v>
      </c>
      <c r="D18634" s="31" t="e">
        <f t="shared" si="1800"/>
        <v>#REF!</v>
      </c>
      <c r="E18634" s="31" t="e">
        <f>IF(SUM(C18629:C18634)&lt;1,"",IF(B18635&lt;1,""," And "))</f>
        <v>#REF!</v>
      </c>
      <c r="J18634" s="31">
        <v>15</v>
      </c>
      <c r="K18634" s="33" t="s">
        <v>82</v>
      </c>
      <c r="L18634" s="31" t="str">
        <f t="shared" si="1801"/>
        <v>Lima Belas</v>
      </c>
    </row>
    <row r="18635" spans="1:12">
      <c r="A18635" s="33" t="s">
        <v>83</v>
      </c>
      <c r="B18635" s="40" t="e">
        <f>ROUND(A18617-SUM(C18629:C18634),2)*100</f>
        <v>#REF!</v>
      </c>
      <c r="D18635" s="43" t="e">
        <f t="shared" si="1800"/>
        <v>#REF!</v>
      </c>
      <c r="E18635" s="31" t="e">
        <f>IF(B18635&lt;1,"",IF(B18635=1," Cent "," Cents "))</f>
        <v>#REF!</v>
      </c>
      <c r="J18635" s="31">
        <v>16</v>
      </c>
      <c r="K18635" s="33" t="s">
        <v>84</v>
      </c>
      <c r="L18635" s="31" t="str">
        <f t="shared" si="1801"/>
        <v>Enam Belas</v>
      </c>
    </row>
    <row r="18636" spans="1:12">
      <c r="J18636" s="31">
        <v>17</v>
      </c>
      <c r="K18636" s="33" t="s">
        <v>85</v>
      </c>
      <c r="L18636" s="31" t="str">
        <f t="shared" si="1801"/>
        <v>Tujuh Belas</v>
      </c>
    </row>
    <row r="18637" spans="1:12">
      <c r="A18637" s="44"/>
      <c r="J18637" s="31">
        <v>18</v>
      </c>
      <c r="K18637" s="33" t="s">
        <v>86</v>
      </c>
      <c r="L18637" s="31" t="str">
        <f t="shared" si="1801"/>
        <v>Delapan Belas</v>
      </c>
    </row>
    <row r="18638" spans="1:12">
      <c r="A18638" s="38" t="s">
        <v>87</v>
      </c>
      <c r="J18638" s="31">
        <v>19</v>
      </c>
      <c r="K18638" s="33" t="s">
        <v>88</v>
      </c>
      <c r="L18638" s="31" t="str">
        <f t="shared" si="1801"/>
        <v>Sembilan Belas</v>
      </c>
    </row>
    <row r="18639" spans="1:12">
      <c r="A18639" s="31" t="s">
        <v>69</v>
      </c>
      <c r="B18639" s="39" t="e">
        <f>TRUNC(A18617/100000000)</f>
        <v>#REF!</v>
      </c>
      <c r="C18639" s="31" t="e">
        <f>B18639*100000000</f>
        <v>#REF!</v>
      </c>
      <c r="D18639" s="31" t="e">
        <f>IF(B18639&lt;1,"",IF(B18639=1,"",VLOOKUP(B18639,$J$3:$L$102,3)))</f>
        <v>#REF!</v>
      </c>
      <c r="E18639" s="31" t="e">
        <f>IF(B18639&lt;1,"",IF(B18639=1,"Seratus "," Ratus "))</f>
        <v>#REF!</v>
      </c>
      <c r="J18639" s="31">
        <v>20</v>
      </c>
      <c r="K18639" s="33" t="s">
        <v>89</v>
      </c>
      <c r="L18639" s="31" t="s">
        <v>90</v>
      </c>
    </row>
    <row r="18640" spans="1:12">
      <c r="A18640" s="31" t="s">
        <v>72</v>
      </c>
      <c r="B18640" s="39" t="e">
        <f>TRUNC((A18617-C18639)/1000000)</f>
        <v>#REF!</v>
      </c>
      <c r="C18640" s="31" t="e">
        <f>B18640*1000000</f>
        <v>#REF!</v>
      </c>
      <c r="D18640" s="31" t="e">
        <f>IF(B18640&lt;1,"",VLOOKUP(B18640,$J$3:$L$102,3))</f>
        <v>#REF!</v>
      </c>
      <c r="E18640" s="31" t="e">
        <f>IF(B18639+B18640=0,""," Juta ")</f>
        <v>#REF!</v>
      </c>
      <c r="J18640" s="31">
        <v>21</v>
      </c>
      <c r="K18640" s="33" t="s">
        <v>91</v>
      </c>
      <c r="L18640" s="31" t="str">
        <f t="shared" ref="L18640:L18648" si="1802">$L$23&amp;" "&amp;L18620</f>
        <v>Dua Puluh Satu</v>
      </c>
    </row>
    <row r="18641" spans="1:12">
      <c r="A18641" s="31" t="s">
        <v>75</v>
      </c>
      <c r="B18641" s="39" t="e">
        <f>TRUNC((A18617-SUM(C18639:C18640))/100000)</f>
        <v>#REF!</v>
      </c>
      <c r="C18641" s="31" t="e">
        <f>B18641*100000</f>
        <v>#REF!</v>
      </c>
      <c r="D18641" s="31" t="e">
        <f>IF(B18641&lt;1,"",IF(B18641=1,"",VLOOKUP(B18641,$J$3:$L$102,3)))</f>
        <v>#REF!</v>
      </c>
      <c r="E18641" s="31" t="e">
        <f>IF(B18641&lt;1,"",IF(B18641=1," Seratus "," Ratus "))</f>
        <v>#REF!</v>
      </c>
      <c r="J18641" s="31">
        <v>22</v>
      </c>
      <c r="K18641" s="33" t="s">
        <v>92</v>
      </c>
      <c r="L18641" s="31" t="str">
        <f t="shared" si="1802"/>
        <v>Dua Puluh Dua</v>
      </c>
    </row>
    <row r="18642" spans="1:12">
      <c r="A18642" s="33" t="s">
        <v>77</v>
      </c>
      <c r="B18642" s="40" t="e">
        <f>TRUNC((A18617-SUM(C18639:C18641))/1000)</f>
        <v>#REF!</v>
      </c>
      <c r="C18642" s="31" t="e">
        <f>B18642*1000</f>
        <v>#REF!</v>
      </c>
      <c r="D18642" s="31" t="e">
        <f>IF(B18642&lt;1,"",IF(B18642=1,"",VLOOKUP(B18642,$J$3:$L$102,3)))</f>
        <v>#REF!</v>
      </c>
      <c r="E18642" s="31" t="e">
        <f>IF(B18641+B18642&lt;1,"",IF(B18642=1," Seribu "," Ribu "))</f>
        <v>#REF!</v>
      </c>
      <c r="J18642" s="31">
        <v>23</v>
      </c>
      <c r="K18642" s="33" t="s">
        <v>93</v>
      </c>
      <c r="L18642" s="31" t="str">
        <f t="shared" si="1802"/>
        <v>Dua Puluh Tiga</v>
      </c>
    </row>
    <row r="18643" spans="1:12">
      <c r="A18643" s="33" t="s">
        <v>79</v>
      </c>
      <c r="B18643" s="40" t="e">
        <f>TRUNC((A18617-SUM(C18639:C18642))/100)</f>
        <v>#REF!</v>
      </c>
      <c r="C18643" s="31" t="e">
        <f>B18643*100</f>
        <v>#REF!</v>
      </c>
      <c r="D18643" s="31" t="e">
        <f>IF(B18643&lt;1,"",IF(B18643=1,"",VLOOKUP(B18643,$J$3:$L$102,3)))</f>
        <v>#REF!</v>
      </c>
      <c r="E18643" s="31" t="e">
        <f>IF(B18643&lt;1,"",IF(B18643=1," Seratus "," Ratus "))</f>
        <v>#REF!</v>
      </c>
      <c r="J18643" s="31">
        <v>24</v>
      </c>
      <c r="K18643" s="33" t="s">
        <v>94</v>
      </c>
      <c r="L18643" s="31" t="str">
        <f t="shared" si="1802"/>
        <v>Dua Puluh Empat</v>
      </c>
    </row>
    <row r="18644" spans="1:12">
      <c r="A18644" s="33" t="s">
        <v>81</v>
      </c>
      <c r="B18644" s="41" t="e">
        <f>TRUNC((A18617-SUM(C18639:C18643)))</f>
        <v>#REF!</v>
      </c>
      <c r="C18644" s="42" t="e">
        <f>B18644</f>
        <v>#REF!</v>
      </c>
      <c r="D18644" s="31" t="e">
        <f>IF(B18644&lt;1,"",VLOOKUP(B18644,$J$3:$L$102,3))</f>
        <v>#REF!</v>
      </c>
      <c r="E18644" s="31" t="e">
        <f>IF(SUM(C18639:C18644)&lt;1,"",IF(B18645&lt;1,""," Dan "))</f>
        <v>#REF!</v>
      </c>
      <c r="J18644" s="31">
        <v>25</v>
      </c>
      <c r="K18644" s="33" t="s">
        <v>95</v>
      </c>
      <c r="L18644" s="31" t="str">
        <f t="shared" si="1802"/>
        <v>Dua Puluh Lima</v>
      </c>
    </row>
    <row r="18645" spans="1:12">
      <c r="A18645" s="33" t="s">
        <v>83</v>
      </c>
      <c r="B18645" s="40" t="e">
        <f>ROUND(A18617-SUM(C18639:C18644),2)*100</f>
        <v>#REF!</v>
      </c>
      <c r="D18645" s="31" t="e">
        <f>IF(B18645&lt;1,"",VLOOKUP(B18645,$J$3:$L$102,3))</f>
        <v>#REF!</v>
      </c>
      <c r="E18645" s="31" t="e">
        <f>IF(B18645&lt;1,""," Sen ")</f>
        <v>#REF!</v>
      </c>
      <c r="J18645" s="31">
        <v>26</v>
      </c>
      <c r="K18645" s="33" t="s">
        <v>96</v>
      </c>
      <c r="L18645" s="31" t="str">
        <f t="shared" si="1802"/>
        <v>Dua Puluh Enam</v>
      </c>
    </row>
    <row r="18646" spans="1:12">
      <c r="J18646" s="31">
        <v>27</v>
      </c>
      <c r="K18646" s="33" t="s">
        <v>97</v>
      </c>
      <c r="L18646" s="31" t="str">
        <f t="shared" si="1802"/>
        <v>Dua Puluh Tujuh</v>
      </c>
    </row>
    <row r="18647" spans="1:12">
      <c r="J18647" s="31">
        <v>28</v>
      </c>
      <c r="K18647" s="33" t="s">
        <v>98</v>
      </c>
      <c r="L18647" s="31" t="str">
        <f t="shared" si="1802"/>
        <v>Dua Puluh Delapan</v>
      </c>
    </row>
    <row r="18648" spans="1:12">
      <c r="J18648" s="31">
        <v>29</v>
      </c>
      <c r="K18648" s="33" t="s">
        <v>99</v>
      </c>
      <c r="L18648" s="31" t="str">
        <f t="shared" si="1802"/>
        <v>Dua Puluh Sembilan</v>
      </c>
    </row>
    <row r="18649" spans="1:12">
      <c r="J18649" s="31">
        <v>30</v>
      </c>
      <c r="K18649" s="33" t="s">
        <v>100</v>
      </c>
      <c r="L18649" s="31" t="s">
        <v>101</v>
      </c>
    </row>
    <row r="18650" spans="1:12">
      <c r="J18650" s="31">
        <v>31</v>
      </c>
      <c r="K18650" s="33" t="s">
        <v>102</v>
      </c>
      <c r="L18650" s="31" t="str">
        <f t="shared" ref="L18650:L18658" si="1803">$L$33&amp;" "&amp;L18620</f>
        <v>Tiga Puluh Satu</v>
      </c>
    </row>
    <row r="18651" spans="1:12">
      <c r="J18651" s="31">
        <v>32</v>
      </c>
      <c r="K18651" s="33" t="s">
        <v>103</v>
      </c>
      <c r="L18651" s="31" t="str">
        <f t="shared" si="1803"/>
        <v>Tiga Puluh Dua</v>
      </c>
    </row>
    <row r="18652" spans="1:12">
      <c r="J18652" s="31">
        <v>33</v>
      </c>
      <c r="K18652" s="33" t="s">
        <v>104</v>
      </c>
      <c r="L18652" s="31" t="str">
        <f t="shared" si="1803"/>
        <v>Tiga Puluh Tiga</v>
      </c>
    </row>
    <row r="18653" spans="1:12">
      <c r="J18653" s="31">
        <v>34</v>
      </c>
      <c r="K18653" s="33" t="s">
        <v>105</v>
      </c>
      <c r="L18653" s="31" t="str">
        <f t="shared" si="1803"/>
        <v>Tiga Puluh Empat</v>
      </c>
    </row>
    <row r="18654" spans="1:12">
      <c r="J18654" s="31">
        <v>35</v>
      </c>
      <c r="K18654" s="33" t="s">
        <v>106</v>
      </c>
      <c r="L18654" s="31" t="str">
        <f t="shared" si="1803"/>
        <v>Tiga Puluh Lima</v>
      </c>
    </row>
    <row r="18655" spans="1:12">
      <c r="J18655" s="31">
        <v>36</v>
      </c>
      <c r="K18655" s="33" t="s">
        <v>107</v>
      </c>
      <c r="L18655" s="31" t="str">
        <f t="shared" si="1803"/>
        <v>Tiga Puluh Enam</v>
      </c>
    </row>
    <row r="18656" spans="1:12">
      <c r="J18656" s="31">
        <v>37</v>
      </c>
      <c r="K18656" s="33" t="s">
        <v>108</v>
      </c>
      <c r="L18656" s="31" t="str">
        <f t="shared" si="1803"/>
        <v>Tiga Puluh Tujuh</v>
      </c>
    </row>
    <row r="18657" spans="1:12">
      <c r="J18657" s="31">
        <v>38</v>
      </c>
      <c r="K18657" s="33" t="s">
        <v>109</v>
      </c>
      <c r="L18657" s="31" t="str">
        <f t="shared" si="1803"/>
        <v>Tiga Puluh Delapan</v>
      </c>
    </row>
    <row r="18658" spans="1:12">
      <c r="J18658" s="31">
        <v>39</v>
      </c>
      <c r="K18658" s="33" t="s">
        <v>110</v>
      </c>
      <c r="L18658" s="31" t="str">
        <f t="shared" si="1803"/>
        <v>Tiga Puluh Sembilan</v>
      </c>
    </row>
    <row r="18659" spans="1:12">
      <c r="B18659" s="35"/>
      <c r="C18659" s="35"/>
      <c r="D18659" s="35"/>
      <c r="J18659" s="31">
        <v>40</v>
      </c>
      <c r="K18659" s="33" t="s">
        <v>111</v>
      </c>
      <c r="L18659" s="31" t="s">
        <v>112</v>
      </c>
    </row>
    <row r="18660" spans="1:12">
      <c r="A18660" s="35"/>
      <c r="B18660" s="35"/>
      <c r="C18660" s="35"/>
      <c r="D18660" s="35"/>
      <c r="J18660" s="31">
        <v>41</v>
      </c>
      <c r="K18660" s="33" t="s">
        <v>113</v>
      </c>
      <c r="L18660" s="31" t="str">
        <f t="shared" ref="L18660:L18668" si="1804">$L$43&amp;" "&amp;L18620</f>
        <v>Empat Puluh Satu</v>
      </c>
    </row>
    <row r="18661" spans="1:12">
      <c r="J18661" s="31">
        <v>42</v>
      </c>
      <c r="K18661" s="33" t="s">
        <v>114</v>
      </c>
      <c r="L18661" s="31" t="str">
        <f t="shared" si="1804"/>
        <v>Empat Puluh Dua</v>
      </c>
    </row>
    <row r="18662" spans="1:12">
      <c r="A18662" s="38"/>
      <c r="J18662" s="31">
        <v>43</v>
      </c>
      <c r="K18662" s="33" t="s">
        <v>115</v>
      </c>
      <c r="L18662" s="31" t="str">
        <f t="shared" si="1804"/>
        <v>Empat Puluh Tiga</v>
      </c>
    </row>
    <row r="18663" spans="1:12">
      <c r="J18663" s="31">
        <v>44</v>
      </c>
      <c r="K18663" s="33" t="s">
        <v>116</v>
      </c>
      <c r="L18663" s="31" t="str">
        <f t="shared" si="1804"/>
        <v>Empat Puluh Empat</v>
      </c>
    </row>
    <row r="18664" spans="1:12">
      <c r="J18664" s="31">
        <v>45</v>
      </c>
      <c r="K18664" s="33" t="s">
        <v>117</v>
      </c>
      <c r="L18664" s="31" t="str">
        <f t="shared" si="1804"/>
        <v>Empat Puluh Lima</v>
      </c>
    </row>
    <row r="18665" spans="1:12">
      <c r="J18665" s="31">
        <v>46</v>
      </c>
      <c r="K18665" s="33" t="s">
        <v>118</v>
      </c>
      <c r="L18665" s="31" t="str">
        <f t="shared" si="1804"/>
        <v>Empat Puluh Enam</v>
      </c>
    </row>
    <row r="18666" spans="1:12">
      <c r="J18666" s="31">
        <v>47</v>
      </c>
      <c r="K18666" s="33" t="s">
        <v>119</v>
      </c>
      <c r="L18666" s="31" t="str">
        <f t="shared" si="1804"/>
        <v>Empat Puluh Tujuh</v>
      </c>
    </row>
    <row r="18667" spans="1:12">
      <c r="J18667" s="31">
        <v>48</v>
      </c>
      <c r="K18667" s="33" t="s">
        <v>120</v>
      </c>
      <c r="L18667" s="31" t="str">
        <f t="shared" si="1804"/>
        <v>Empat Puluh Delapan</v>
      </c>
    </row>
    <row r="18668" spans="1:12">
      <c r="J18668" s="31">
        <v>49</v>
      </c>
      <c r="K18668" s="33" t="s">
        <v>121</v>
      </c>
      <c r="L18668" s="31" t="str">
        <f t="shared" si="1804"/>
        <v>Empat Puluh Sembilan</v>
      </c>
    </row>
    <row r="18669" spans="1:12">
      <c r="J18669" s="31">
        <v>50</v>
      </c>
      <c r="K18669" s="33" t="s">
        <v>122</v>
      </c>
      <c r="L18669" s="31" t="s">
        <v>123</v>
      </c>
    </row>
    <row r="18670" spans="1:12">
      <c r="J18670" s="31">
        <v>51</v>
      </c>
      <c r="K18670" s="33" t="s">
        <v>124</v>
      </c>
      <c r="L18670" s="31" t="str">
        <f t="shared" ref="L18670:L18678" si="1805">$L$53&amp;" "&amp;L18620</f>
        <v>Lima Puluh Satu</v>
      </c>
    </row>
    <row r="18671" spans="1:12">
      <c r="J18671" s="31">
        <v>52</v>
      </c>
      <c r="K18671" s="33" t="s">
        <v>125</v>
      </c>
      <c r="L18671" s="31" t="str">
        <f t="shared" si="1805"/>
        <v>Lima Puluh Dua</v>
      </c>
    </row>
    <row r="18672" spans="1:12">
      <c r="J18672" s="31">
        <v>53</v>
      </c>
      <c r="K18672" s="33" t="s">
        <v>126</v>
      </c>
      <c r="L18672" s="31" t="str">
        <f t="shared" si="1805"/>
        <v>Lima Puluh Tiga</v>
      </c>
    </row>
    <row r="18673" spans="10:12">
      <c r="J18673" s="31">
        <v>54</v>
      </c>
      <c r="K18673" s="33" t="s">
        <v>127</v>
      </c>
      <c r="L18673" s="31" t="str">
        <f t="shared" si="1805"/>
        <v>Lima Puluh Empat</v>
      </c>
    </row>
    <row r="18674" spans="10:12">
      <c r="J18674" s="31">
        <v>55</v>
      </c>
      <c r="K18674" s="33" t="s">
        <v>128</v>
      </c>
      <c r="L18674" s="31" t="str">
        <f t="shared" si="1805"/>
        <v>Lima Puluh Lima</v>
      </c>
    </row>
    <row r="18675" spans="10:12">
      <c r="J18675" s="31">
        <v>56</v>
      </c>
      <c r="K18675" s="33" t="s">
        <v>129</v>
      </c>
      <c r="L18675" s="31" t="str">
        <f t="shared" si="1805"/>
        <v>Lima Puluh Enam</v>
      </c>
    </row>
    <row r="18676" spans="10:12">
      <c r="J18676" s="31">
        <v>57</v>
      </c>
      <c r="K18676" s="33" t="s">
        <v>130</v>
      </c>
      <c r="L18676" s="31" t="str">
        <f t="shared" si="1805"/>
        <v>Lima Puluh Tujuh</v>
      </c>
    </row>
    <row r="18677" spans="10:12">
      <c r="J18677" s="31">
        <v>58</v>
      </c>
      <c r="K18677" s="33" t="s">
        <v>131</v>
      </c>
      <c r="L18677" s="31" t="str">
        <f t="shared" si="1805"/>
        <v>Lima Puluh Delapan</v>
      </c>
    </row>
    <row r="18678" spans="10:12">
      <c r="J18678" s="31">
        <v>59</v>
      </c>
      <c r="K18678" s="33" t="s">
        <v>132</v>
      </c>
      <c r="L18678" s="31" t="str">
        <f t="shared" si="1805"/>
        <v>Lima Puluh Sembilan</v>
      </c>
    </row>
    <row r="18679" spans="10:12">
      <c r="J18679" s="31">
        <v>60</v>
      </c>
      <c r="K18679" s="33" t="s">
        <v>133</v>
      </c>
      <c r="L18679" s="31" t="s">
        <v>134</v>
      </c>
    </row>
    <row r="18680" spans="10:12">
      <c r="J18680" s="31">
        <v>61</v>
      </c>
      <c r="K18680" s="33" t="s">
        <v>135</v>
      </c>
      <c r="L18680" s="31" t="str">
        <f t="shared" ref="L18680:L18688" si="1806">$L$63&amp;" "&amp;L18620</f>
        <v>Enam Puluh Satu</v>
      </c>
    </row>
    <row r="18681" spans="10:12">
      <c r="J18681" s="31">
        <v>62</v>
      </c>
      <c r="K18681" s="33" t="s">
        <v>136</v>
      </c>
      <c r="L18681" s="31" t="str">
        <f t="shared" si="1806"/>
        <v>Enam Puluh Dua</v>
      </c>
    </row>
    <row r="18682" spans="10:12">
      <c r="J18682" s="31">
        <v>63</v>
      </c>
      <c r="K18682" s="33" t="s">
        <v>137</v>
      </c>
      <c r="L18682" s="31" t="str">
        <f t="shared" si="1806"/>
        <v>Enam Puluh Tiga</v>
      </c>
    </row>
    <row r="18683" spans="10:12">
      <c r="J18683" s="31">
        <v>64</v>
      </c>
      <c r="K18683" s="33" t="s">
        <v>138</v>
      </c>
      <c r="L18683" s="31" t="str">
        <f t="shared" si="1806"/>
        <v>Enam Puluh Empat</v>
      </c>
    </row>
    <row r="18684" spans="10:12">
      <c r="J18684" s="31">
        <v>65</v>
      </c>
      <c r="K18684" s="33" t="s">
        <v>139</v>
      </c>
      <c r="L18684" s="31" t="str">
        <f t="shared" si="1806"/>
        <v>Enam Puluh Lima</v>
      </c>
    </row>
    <row r="18685" spans="10:12">
      <c r="J18685" s="31">
        <v>66</v>
      </c>
      <c r="K18685" s="33" t="s">
        <v>140</v>
      </c>
      <c r="L18685" s="31" t="str">
        <f t="shared" si="1806"/>
        <v>Enam Puluh Enam</v>
      </c>
    </row>
    <row r="18686" spans="10:12">
      <c r="J18686" s="31">
        <v>67</v>
      </c>
      <c r="K18686" s="33" t="s">
        <v>141</v>
      </c>
      <c r="L18686" s="31" t="str">
        <f t="shared" si="1806"/>
        <v>Enam Puluh Tujuh</v>
      </c>
    </row>
    <row r="18687" spans="10:12">
      <c r="J18687" s="31">
        <v>68</v>
      </c>
      <c r="K18687" s="33" t="s">
        <v>142</v>
      </c>
      <c r="L18687" s="31" t="str">
        <f t="shared" si="1806"/>
        <v>Enam Puluh Delapan</v>
      </c>
    </row>
    <row r="18688" spans="10:12">
      <c r="J18688" s="31">
        <v>69</v>
      </c>
      <c r="K18688" s="33" t="s">
        <v>143</v>
      </c>
      <c r="L18688" s="31" t="str">
        <f t="shared" si="1806"/>
        <v>Enam Puluh Sembilan</v>
      </c>
    </row>
    <row r="18689" spans="10:12">
      <c r="J18689" s="31">
        <v>70</v>
      </c>
      <c r="K18689" s="33" t="s">
        <v>144</v>
      </c>
      <c r="L18689" s="31" t="s">
        <v>145</v>
      </c>
    </row>
    <row r="18690" spans="10:12">
      <c r="J18690" s="31">
        <v>71</v>
      </c>
      <c r="K18690" s="33" t="s">
        <v>146</v>
      </c>
      <c r="L18690" s="31" t="str">
        <f t="shared" ref="L18690:L18698" si="1807">$L$73&amp;" "&amp;L18620</f>
        <v>Tujuh Puluh Satu</v>
      </c>
    </row>
    <row r="18691" spans="10:12">
      <c r="J18691" s="31">
        <v>72</v>
      </c>
      <c r="K18691" s="33" t="s">
        <v>147</v>
      </c>
      <c r="L18691" s="31" t="str">
        <f t="shared" si="1807"/>
        <v>Tujuh Puluh Dua</v>
      </c>
    </row>
    <row r="18692" spans="10:12">
      <c r="J18692" s="31">
        <v>73</v>
      </c>
      <c r="K18692" s="33" t="s">
        <v>148</v>
      </c>
      <c r="L18692" s="31" t="str">
        <f t="shared" si="1807"/>
        <v>Tujuh Puluh Tiga</v>
      </c>
    </row>
    <row r="18693" spans="10:12">
      <c r="J18693" s="31">
        <v>74</v>
      </c>
      <c r="K18693" s="33" t="s">
        <v>149</v>
      </c>
      <c r="L18693" s="31" t="str">
        <f t="shared" si="1807"/>
        <v>Tujuh Puluh Empat</v>
      </c>
    </row>
    <row r="18694" spans="10:12">
      <c r="J18694" s="31">
        <v>75</v>
      </c>
      <c r="K18694" s="33" t="s">
        <v>150</v>
      </c>
      <c r="L18694" s="31" t="str">
        <f t="shared" si="1807"/>
        <v>Tujuh Puluh Lima</v>
      </c>
    </row>
    <row r="18695" spans="10:12">
      <c r="J18695" s="31">
        <v>76</v>
      </c>
      <c r="K18695" s="33" t="s">
        <v>151</v>
      </c>
      <c r="L18695" s="31" t="str">
        <f t="shared" si="1807"/>
        <v>Tujuh Puluh Enam</v>
      </c>
    </row>
    <row r="18696" spans="10:12">
      <c r="J18696" s="31">
        <v>77</v>
      </c>
      <c r="K18696" s="33" t="s">
        <v>152</v>
      </c>
      <c r="L18696" s="31" t="str">
        <f t="shared" si="1807"/>
        <v>Tujuh Puluh Tujuh</v>
      </c>
    </row>
    <row r="18697" spans="10:12">
      <c r="J18697" s="31">
        <v>78</v>
      </c>
      <c r="K18697" s="33" t="s">
        <v>153</v>
      </c>
      <c r="L18697" s="31" t="str">
        <f t="shared" si="1807"/>
        <v>Tujuh Puluh Delapan</v>
      </c>
    </row>
    <row r="18698" spans="10:12">
      <c r="J18698" s="31">
        <v>79</v>
      </c>
      <c r="K18698" s="33" t="s">
        <v>154</v>
      </c>
      <c r="L18698" s="31" t="str">
        <f t="shared" si="1807"/>
        <v>Tujuh Puluh Sembilan</v>
      </c>
    </row>
    <row r="18699" spans="10:12">
      <c r="J18699" s="31">
        <v>80</v>
      </c>
      <c r="K18699" s="33" t="s">
        <v>155</v>
      </c>
      <c r="L18699" s="31" t="s">
        <v>156</v>
      </c>
    </row>
    <row r="18700" spans="10:12">
      <c r="J18700" s="31">
        <v>81</v>
      </c>
      <c r="K18700" s="33" t="s">
        <v>157</v>
      </c>
      <c r="L18700" s="31" t="str">
        <f t="shared" ref="L18700:L18708" si="1808">$L$83&amp;" "&amp;L18620</f>
        <v>Delapan Puluh Satu</v>
      </c>
    </row>
    <row r="18701" spans="10:12">
      <c r="J18701" s="31">
        <v>82</v>
      </c>
      <c r="K18701" s="33" t="s">
        <v>158</v>
      </c>
      <c r="L18701" s="31" t="str">
        <f t="shared" si="1808"/>
        <v>Delapan Puluh Dua</v>
      </c>
    </row>
    <row r="18702" spans="10:12">
      <c r="J18702" s="31">
        <v>83</v>
      </c>
      <c r="K18702" s="33" t="s">
        <v>159</v>
      </c>
      <c r="L18702" s="31" t="str">
        <f t="shared" si="1808"/>
        <v>Delapan Puluh Tiga</v>
      </c>
    </row>
    <row r="18703" spans="10:12">
      <c r="J18703" s="31">
        <v>84</v>
      </c>
      <c r="K18703" s="33" t="s">
        <v>160</v>
      </c>
      <c r="L18703" s="31" t="str">
        <f t="shared" si="1808"/>
        <v>Delapan Puluh Empat</v>
      </c>
    </row>
    <row r="18704" spans="10:12">
      <c r="J18704" s="31">
        <v>85</v>
      </c>
      <c r="K18704" s="33" t="s">
        <v>161</v>
      </c>
      <c r="L18704" s="31" t="str">
        <f t="shared" si="1808"/>
        <v>Delapan Puluh Lima</v>
      </c>
    </row>
    <row r="18705" spans="1:12">
      <c r="J18705" s="31">
        <v>86</v>
      </c>
      <c r="K18705" s="33" t="s">
        <v>162</v>
      </c>
      <c r="L18705" s="31" t="str">
        <f t="shared" si="1808"/>
        <v>Delapan Puluh Enam</v>
      </c>
    </row>
    <row r="18706" spans="1:12">
      <c r="J18706" s="31">
        <v>87</v>
      </c>
      <c r="K18706" s="33" t="s">
        <v>163</v>
      </c>
      <c r="L18706" s="31" t="str">
        <f t="shared" si="1808"/>
        <v>Delapan Puluh Tujuh</v>
      </c>
    </row>
    <row r="18707" spans="1:12">
      <c r="J18707" s="31">
        <v>88</v>
      </c>
      <c r="K18707" s="33" t="s">
        <v>164</v>
      </c>
      <c r="L18707" s="31" t="str">
        <f t="shared" si="1808"/>
        <v>Delapan Puluh Delapan</v>
      </c>
    </row>
    <row r="18708" spans="1:12">
      <c r="J18708" s="31">
        <v>89</v>
      </c>
      <c r="K18708" s="33" t="s">
        <v>165</v>
      </c>
      <c r="L18708" s="31" t="str">
        <f t="shared" si="1808"/>
        <v>Delapan Puluh Sembilan</v>
      </c>
    </row>
    <row r="18709" spans="1:12">
      <c r="J18709" s="31">
        <v>90</v>
      </c>
      <c r="K18709" s="33" t="s">
        <v>166</v>
      </c>
      <c r="L18709" s="31" t="s">
        <v>167</v>
      </c>
    </row>
    <row r="18710" spans="1:12">
      <c r="J18710" s="31">
        <v>91</v>
      </c>
      <c r="K18710" s="33" t="s">
        <v>168</v>
      </c>
      <c r="L18710" s="31" t="str">
        <f t="shared" ref="L18710:L18717" si="1809">$L$93&amp;" "&amp;L18620</f>
        <v>Sembilan Puluh Satu</v>
      </c>
    </row>
    <row r="18711" spans="1:12">
      <c r="J18711" s="31">
        <v>92</v>
      </c>
      <c r="K18711" s="33" t="s">
        <v>169</v>
      </c>
      <c r="L18711" s="31" t="str">
        <f t="shared" si="1809"/>
        <v>Sembilan Puluh Dua</v>
      </c>
    </row>
    <row r="18712" spans="1:12">
      <c r="J18712" s="31">
        <v>93</v>
      </c>
      <c r="K18712" s="33" t="s">
        <v>170</v>
      </c>
      <c r="L18712" s="31" t="str">
        <f t="shared" si="1809"/>
        <v>Sembilan Puluh Tiga</v>
      </c>
    </row>
    <row r="18713" spans="1:12">
      <c r="J18713" s="31">
        <v>94</v>
      </c>
      <c r="K18713" s="33" t="s">
        <v>171</v>
      </c>
      <c r="L18713" s="31" t="str">
        <f t="shared" si="1809"/>
        <v>Sembilan Puluh Empat</v>
      </c>
    </row>
    <row r="18714" spans="1:12">
      <c r="J18714" s="31">
        <v>95</v>
      </c>
      <c r="K18714" s="33" t="s">
        <v>172</v>
      </c>
      <c r="L18714" s="31" t="str">
        <f t="shared" si="1809"/>
        <v>Sembilan Puluh Lima</v>
      </c>
    </row>
    <row r="18715" spans="1:12">
      <c r="J18715" s="31">
        <v>96</v>
      </c>
      <c r="K18715" s="33" t="s">
        <v>173</v>
      </c>
      <c r="L18715" s="31" t="str">
        <f t="shared" si="1809"/>
        <v>Sembilan Puluh Enam</v>
      </c>
    </row>
    <row r="18716" spans="1:12">
      <c r="J18716" s="31">
        <v>97</v>
      </c>
      <c r="K18716" s="33" t="s">
        <v>174</v>
      </c>
      <c r="L18716" s="31" t="str">
        <f t="shared" si="1809"/>
        <v>Sembilan Puluh Tujuh</v>
      </c>
    </row>
    <row r="18717" spans="1:12">
      <c r="J18717" s="31">
        <v>98</v>
      </c>
      <c r="K18717" s="33" t="s">
        <v>175</v>
      </c>
      <c r="L18717" s="31" t="str">
        <f t="shared" si="1809"/>
        <v>Sembilan Puluh Delapan</v>
      </c>
    </row>
    <row r="18718" spans="1:12">
      <c r="A18718" s="30" t="e">
        <f>#REF!</f>
        <v>#REF!</v>
      </c>
      <c r="C18718" s="31" t="s">
        <v>440</v>
      </c>
    </row>
    <row r="18719" spans="1:12">
      <c r="A18719" s="32"/>
    </row>
    <row r="18720" spans="1:12">
      <c r="J18720" s="31">
        <v>0</v>
      </c>
      <c r="K18720" s="33" t="s">
        <v>48</v>
      </c>
      <c r="L18720" s="31" t="s">
        <v>49</v>
      </c>
    </row>
    <row r="18721" spans="1:12">
      <c r="A18721" s="34"/>
      <c r="J18721" s="31">
        <v>1</v>
      </c>
      <c r="K18721" s="33" t="s">
        <v>50</v>
      </c>
      <c r="L18721" s="31" t="s">
        <v>51</v>
      </c>
    </row>
    <row r="18722" spans="1:12">
      <c r="A18722" s="255" t="e">
        <f>TRIM(D18730&amp;E18730&amp;D18731&amp;E18731&amp;D18732&amp;E18732&amp;D18733&amp;E18733&amp;D18734&amp;E18734&amp;D18735&amp;E18735&amp;E18736&amp;D18736&amp;" Only")</f>
        <v>#REF!</v>
      </c>
      <c r="B18722" s="255"/>
      <c r="C18722" s="255"/>
      <c r="D18722" s="255"/>
      <c r="E18722" s="35"/>
      <c r="F18722" s="36"/>
      <c r="J18722" s="31">
        <v>2</v>
      </c>
      <c r="K18722" s="33" t="s">
        <v>52</v>
      </c>
      <c r="L18722" s="31" t="s">
        <v>53</v>
      </c>
    </row>
    <row r="18723" spans="1:12">
      <c r="A18723" s="138"/>
      <c r="B18723" s="138"/>
      <c r="C18723" s="138"/>
      <c r="D18723" s="138"/>
      <c r="E18723" s="35"/>
      <c r="F18723" s="36"/>
      <c r="J18723" s="31">
        <v>3</v>
      </c>
      <c r="K18723" s="33" t="s">
        <v>54</v>
      </c>
      <c r="L18723" s="31" t="s">
        <v>55</v>
      </c>
    </row>
    <row r="18724" spans="1:12">
      <c r="A18724" s="138"/>
      <c r="B18724" s="138"/>
      <c r="C18724" s="138"/>
      <c r="D18724" s="138"/>
      <c r="J18724" s="31">
        <v>4</v>
      </c>
      <c r="K18724" s="33" t="s">
        <v>56</v>
      </c>
      <c r="L18724" s="31" t="s">
        <v>57</v>
      </c>
    </row>
    <row r="18725" spans="1:12">
      <c r="A18725" s="255" t="e">
        <f>TRIM(D18740&amp;E18740&amp;D18741&amp;E18741&amp;D18742&amp;E18742&amp;D18743&amp;E18743&amp;D18744&amp;E18744&amp;D18745&amp;E18745&amp;D18746&amp;E18746&amp;" Rupiah")</f>
        <v>#REF!</v>
      </c>
      <c r="B18725" s="255"/>
      <c r="C18725" s="255"/>
      <c r="D18725" s="255"/>
      <c r="E18725" s="35"/>
      <c r="F18725" s="36"/>
      <c r="J18725" s="31">
        <v>5</v>
      </c>
      <c r="K18725" s="33" t="s">
        <v>58</v>
      </c>
      <c r="L18725" s="31" t="s">
        <v>59</v>
      </c>
    </row>
    <row r="18726" spans="1:12">
      <c r="A18726" s="35"/>
      <c r="B18726" s="35"/>
      <c r="C18726" s="35"/>
      <c r="D18726" s="35"/>
      <c r="E18726" s="35"/>
      <c r="F18726" s="36"/>
      <c r="J18726" s="31">
        <v>6</v>
      </c>
      <c r="K18726" s="33" t="s">
        <v>60</v>
      </c>
      <c r="L18726" s="31" t="s">
        <v>61</v>
      </c>
    </row>
    <row r="18727" spans="1:12">
      <c r="J18727" s="31">
        <v>7</v>
      </c>
      <c r="K18727" s="33" t="s">
        <v>62</v>
      </c>
      <c r="L18727" s="31" t="s">
        <v>63</v>
      </c>
    </row>
    <row r="18728" spans="1:12">
      <c r="J18728" s="31">
        <v>8</v>
      </c>
      <c r="K18728" s="33" t="s">
        <v>64</v>
      </c>
      <c r="L18728" s="31" t="s">
        <v>65</v>
      </c>
    </row>
    <row r="18729" spans="1:12">
      <c r="A18729" s="38" t="s">
        <v>66</v>
      </c>
      <c r="J18729" s="31">
        <v>9</v>
      </c>
      <c r="K18729" s="33" t="s">
        <v>67</v>
      </c>
      <c r="L18729" s="31" t="s">
        <v>68</v>
      </c>
    </row>
    <row r="18730" spans="1:12">
      <c r="A18730" s="31" t="s">
        <v>69</v>
      </c>
      <c r="B18730" s="39" t="e">
        <f>TRUNC(A18718/100000000)</f>
        <v>#REF!</v>
      </c>
      <c r="C18730" s="31" t="e">
        <f>B18730*100000000</f>
        <v>#REF!</v>
      </c>
      <c r="D18730" s="31" t="e">
        <f t="shared" ref="D18730:D18736" si="1810">IF(B18730&lt;1,"",VLOOKUP(B18730,$J$3:$K$102,2))</f>
        <v>#REF!</v>
      </c>
      <c r="E18730" s="31" t="e">
        <f>IF(B18730&lt;1,"",IF(B18730&gt;1," Hundreds "," Hundred "))</f>
        <v>#REF!</v>
      </c>
      <c r="J18730" s="31">
        <v>10</v>
      </c>
      <c r="K18730" s="33" t="s">
        <v>70</v>
      </c>
      <c r="L18730" s="31" t="s">
        <v>71</v>
      </c>
    </row>
    <row r="18731" spans="1:12">
      <c r="A18731" s="31" t="s">
        <v>72</v>
      </c>
      <c r="B18731" s="39" t="e">
        <f>TRUNC((A18718-C18730)/1000000)</f>
        <v>#REF!</v>
      </c>
      <c r="C18731" s="31" t="e">
        <f>B18731*1000000</f>
        <v>#REF!</v>
      </c>
      <c r="D18731" s="31" t="e">
        <f t="shared" si="1810"/>
        <v>#REF!</v>
      </c>
      <c r="E18731" s="31" t="e">
        <f>IF(B18730+B18731=0,"",IF(B18731=1," Million "," Millions "))</f>
        <v>#REF!</v>
      </c>
      <c r="J18731" s="31">
        <v>11</v>
      </c>
      <c r="K18731" s="33" t="s">
        <v>73</v>
      </c>
      <c r="L18731" s="31" t="s">
        <v>74</v>
      </c>
    </row>
    <row r="18732" spans="1:12">
      <c r="A18732" s="31" t="s">
        <v>75</v>
      </c>
      <c r="B18732" s="39" t="e">
        <f>TRUNC((A18718-SUM(C18730:C18731))/100000)</f>
        <v>#REF!</v>
      </c>
      <c r="C18732" s="31" t="e">
        <f>B18732*100000</f>
        <v>#REF!</v>
      </c>
      <c r="D18732" s="31" t="e">
        <f t="shared" si="1810"/>
        <v>#REF!</v>
      </c>
      <c r="E18732" s="31" t="e">
        <f>IF(B18732&lt;1,"",IF(B18732&gt;1," Hundreds "," Hundred "))</f>
        <v>#REF!</v>
      </c>
      <c r="J18732" s="31">
        <v>12</v>
      </c>
      <c r="K18732" s="33" t="s">
        <v>76</v>
      </c>
      <c r="L18732" s="31" t="str">
        <f t="shared" ref="L18732:L18739" si="1811">L18722&amp;" Belas"</f>
        <v>Dua Belas</v>
      </c>
    </row>
    <row r="18733" spans="1:12">
      <c r="A18733" s="33" t="s">
        <v>77</v>
      </c>
      <c r="B18733" s="40" t="e">
        <f>TRUNC((A18718-SUM(C18730:C18732))/1000)</f>
        <v>#REF!</v>
      </c>
      <c r="C18733" s="31" t="e">
        <f>B18733*1000</f>
        <v>#REF!</v>
      </c>
      <c r="D18733" s="31" t="e">
        <f t="shared" si="1810"/>
        <v>#REF!</v>
      </c>
      <c r="E18733" s="31" t="e">
        <f>IF(B18732+B18733=0,"",IF(B18733=1," Thousand "," Thousands "))</f>
        <v>#REF!</v>
      </c>
      <c r="J18733" s="31">
        <v>13</v>
      </c>
      <c r="K18733" s="33" t="s">
        <v>78</v>
      </c>
      <c r="L18733" s="31" t="str">
        <f t="shared" si="1811"/>
        <v>Tiga Belas</v>
      </c>
    </row>
    <row r="18734" spans="1:12">
      <c r="A18734" s="33" t="s">
        <v>79</v>
      </c>
      <c r="B18734" s="40" t="e">
        <f>TRUNC((A18718-SUM(C18730:C18733))/100)</f>
        <v>#REF!</v>
      </c>
      <c r="C18734" s="31" t="e">
        <f>B18734*100</f>
        <v>#REF!</v>
      </c>
      <c r="D18734" s="31" t="e">
        <f t="shared" si="1810"/>
        <v>#REF!</v>
      </c>
      <c r="E18734" s="31" t="e">
        <f>IF(B18734&lt;1,"",IF(B18734&gt;1," Hundreds "," Hundred "))</f>
        <v>#REF!</v>
      </c>
      <c r="J18734" s="31">
        <v>14</v>
      </c>
      <c r="K18734" s="33" t="s">
        <v>80</v>
      </c>
      <c r="L18734" s="31" t="str">
        <f t="shared" si="1811"/>
        <v>Empat Belas</v>
      </c>
    </row>
    <row r="18735" spans="1:12">
      <c r="A18735" s="33" t="s">
        <v>81</v>
      </c>
      <c r="B18735" s="41" t="e">
        <f>TRUNC((A18718-SUM(C18730:C18734)))</f>
        <v>#REF!</v>
      </c>
      <c r="C18735" s="42" t="e">
        <f>B18735</f>
        <v>#REF!</v>
      </c>
      <c r="D18735" s="31" t="e">
        <f t="shared" si="1810"/>
        <v>#REF!</v>
      </c>
      <c r="E18735" s="31" t="e">
        <f>IF(SUM(C18730:C18735)&lt;1,"",IF(B18736&lt;1,""," And "))</f>
        <v>#REF!</v>
      </c>
      <c r="J18735" s="31">
        <v>15</v>
      </c>
      <c r="K18735" s="33" t="s">
        <v>82</v>
      </c>
      <c r="L18735" s="31" t="str">
        <f t="shared" si="1811"/>
        <v>Lima Belas</v>
      </c>
    </row>
    <row r="18736" spans="1:12">
      <c r="A18736" s="33" t="s">
        <v>83</v>
      </c>
      <c r="B18736" s="40" t="e">
        <f>ROUND(A18718-SUM(C18730:C18735),2)*100</f>
        <v>#REF!</v>
      </c>
      <c r="D18736" s="43" t="e">
        <f t="shared" si="1810"/>
        <v>#REF!</v>
      </c>
      <c r="E18736" s="31" t="e">
        <f>IF(B18736&lt;1,"",IF(B18736=1," Cent "," Cents "))</f>
        <v>#REF!</v>
      </c>
      <c r="J18736" s="31">
        <v>16</v>
      </c>
      <c r="K18736" s="33" t="s">
        <v>84</v>
      </c>
      <c r="L18736" s="31" t="str">
        <f t="shared" si="1811"/>
        <v>Enam Belas</v>
      </c>
    </row>
    <row r="18737" spans="1:12">
      <c r="J18737" s="31">
        <v>17</v>
      </c>
      <c r="K18737" s="33" t="s">
        <v>85</v>
      </c>
      <c r="L18737" s="31" t="str">
        <f t="shared" si="1811"/>
        <v>Tujuh Belas</v>
      </c>
    </row>
    <row r="18738" spans="1:12">
      <c r="A18738" s="44"/>
      <c r="J18738" s="31">
        <v>18</v>
      </c>
      <c r="K18738" s="33" t="s">
        <v>86</v>
      </c>
      <c r="L18738" s="31" t="str">
        <f t="shared" si="1811"/>
        <v>Delapan Belas</v>
      </c>
    </row>
    <row r="18739" spans="1:12">
      <c r="A18739" s="38" t="s">
        <v>87</v>
      </c>
      <c r="J18739" s="31">
        <v>19</v>
      </c>
      <c r="K18739" s="33" t="s">
        <v>88</v>
      </c>
      <c r="L18739" s="31" t="str">
        <f t="shared" si="1811"/>
        <v>Sembilan Belas</v>
      </c>
    </row>
    <row r="18740" spans="1:12">
      <c r="A18740" s="31" t="s">
        <v>69</v>
      </c>
      <c r="B18740" s="39" t="e">
        <f>TRUNC(A18718/100000000)</f>
        <v>#REF!</v>
      </c>
      <c r="C18740" s="31" t="e">
        <f>B18740*100000000</f>
        <v>#REF!</v>
      </c>
      <c r="D18740" s="31" t="e">
        <f>IF(B18740&lt;1,"",IF(B18740=1,"",VLOOKUP(B18740,$J$3:$L$102,3)))</f>
        <v>#REF!</v>
      </c>
      <c r="E18740" s="31" t="e">
        <f>IF(B18740&lt;1,"",IF(B18740=1,"Seratus "," Ratus "))</f>
        <v>#REF!</v>
      </c>
      <c r="J18740" s="31">
        <v>20</v>
      </c>
      <c r="K18740" s="33" t="s">
        <v>89</v>
      </c>
      <c r="L18740" s="31" t="s">
        <v>90</v>
      </c>
    </row>
    <row r="18741" spans="1:12">
      <c r="A18741" s="31" t="s">
        <v>72</v>
      </c>
      <c r="B18741" s="39" t="e">
        <f>TRUNC((A18718-C18740)/1000000)</f>
        <v>#REF!</v>
      </c>
      <c r="C18741" s="31" t="e">
        <f>B18741*1000000</f>
        <v>#REF!</v>
      </c>
      <c r="D18741" s="31" t="e">
        <f>IF(B18741&lt;1,"",VLOOKUP(B18741,$J$3:$L$102,3))</f>
        <v>#REF!</v>
      </c>
      <c r="E18741" s="31" t="e">
        <f>IF(B18740+B18741=0,""," Juta ")</f>
        <v>#REF!</v>
      </c>
      <c r="J18741" s="31">
        <v>21</v>
      </c>
      <c r="K18741" s="33" t="s">
        <v>91</v>
      </c>
      <c r="L18741" s="31" t="str">
        <f t="shared" ref="L18741:L18749" si="1812">$L$23&amp;" "&amp;L18721</f>
        <v>Dua Puluh Satu</v>
      </c>
    </row>
    <row r="18742" spans="1:12">
      <c r="A18742" s="31" t="s">
        <v>75</v>
      </c>
      <c r="B18742" s="39" t="e">
        <f>TRUNC((A18718-SUM(C18740:C18741))/100000)</f>
        <v>#REF!</v>
      </c>
      <c r="C18742" s="31" t="e">
        <f>B18742*100000</f>
        <v>#REF!</v>
      </c>
      <c r="D18742" s="31" t="e">
        <f>IF(B18742&lt;1,"",IF(B18742=1,"",VLOOKUP(B18742,$J$3:$L$102,3)))</f>
        <v>#REF!</v>
      </c>
      <c r="E18742" s="31" t="e">
        <f>IF(B18742&lt;1,"",IF(B18742=1," Seratus "," Ratus "))</f>
        <v>#REF!</v>
      </c>
      <c r="J18742" s="31">
        <v>22</v>
      </c>
      <c r="K18742" s="33" t="s">
        <v>92</v>
      </c>
      <c r="L18742" s="31" t="str">
        <f t="shared" si="1812"/>
        <v>Dua Puluh Dua</v>
      </c>
    </row>
    <row r="18743" spans="1:12">
      <c r="A18743" s="33" t="s">
        <v>77</v>
      </c>
      <c r="B18743" s="40" t="e">
        <f>TRUNC((A18718-SUM(C18740:C18742))/1000)</f>
        <v>#REF!</v>
      </c>
      <c r="C18743" s="31" t="e">
        <f>B18743*1000</f>
        <v>#REF!</v>
      </c>
      <c r="D18743" s="31" t="e">
        <f>IF(B18743&lt;1,"",IF(B18743=1,"",VLOOKUP(B18743,$J$3:$L$102,3)))</f>
        <v>#REF!</v>
      </c>
      <c r="E18743" s="31" t="e">
        <f>IF(B18742+B18743&lt;1,"",IF(B18743=1," Seribu "," Ribu "))</f>
        <v>#REF!</v>
      </c>
      <c r="J18743" s="31">
        <v>23</v>
      </c>
      <c r="K18743" s="33" t="s">
        <v>93</v>
      </c>
      <c r="L18743" s="31" t="str">
        <f t="shared" si="1812"/>
        <v>Dua Puluh Tiga</v>
      </c>
    </row>
    <row r="18744" spans="1:12">
      <c r="A18744" s="33" t="s">
        <v>79</v>
      </c>
      <c r="B18744" s="40" t="e">
        <f>TRUNC((A18718-SUM(C18740:C18743))/100)</f>
        <v>#REF!</v>
      </c>
      <c r="C18744" s="31" t="e">
        <f>B18744*100</f>
        <v>#REF!</v>
      </c>
      <c r="D18744" s="31" t="e">
        <f>IF(B18744&lt;1,"",IF(B18744=1,"",VLOOKUP(B18744,$J$3:$L$102,3)))</f>
        <v>#REF!</v>
      </c>
      <c r="E18744" s="31" t="e">
        <f>IF(B18744&lt;1,"",IF(B18744=1," Seratus "," Ratus "))</f>
        <v>#REF!</v>
      </c>
      <c r="J18744" s="31">
        <v>24</v>
      </c>
      <c r="K18744" s="33" t="s">
        <v>94</v>
      </c>
      <c r="L18744" s="31" t="str">
        <f t="shared" si="1812"/>
        <v>Dua Puluh Empat</v>
      </c>
    </row>
    <row r="18745" spans="1:12">
      <c r="A18745" s="33" t="s">
        <v>81</v>
      </c>
      <c r="B18745" s="41" t="e">
        <f>TRUNC((A18718-SUM(C18740:C18744)))</f>
        <v>#REF!</v>
      </c>
      <c r="C18745" s="42" t="e">
        <f>B18745</f>
        <v>#REF!</v>
      </c>
      <c r="D18745" s="31" t="e">
        <f>IF(B18745&lt;1,"",VLOOKUP(B18745,$J$3:$L$102,3))</f>
        <v>#REF!</v>
      </c>
      <c r="E18745" s="31" t="e">
        <f>IF(SUM(C18740:C18745)&lt;1,"",IF(B18746&lt;1,""," Dan "))</f>
        <v>#REF!</v>
      </c>
      <c r="J18745" s="31">
        <v>25</v>
      </c>
      <c r="K18745" s="33" t="s">
        <v>95</v>
      </c>
      <c r="L18745" s="31" t="str">
        <f t="shared" si="1812"/>
        <v>Dua Puluh Lima</v>
      </c>
    </row>
    <row r="18746" spans="1:12">
      <c r="A18746" s="33" t="s">
        <v>83</v>
      </c>
      <c r="B18746" s="40" t="e">
        <f>ROUND(A18718-SUM(C18740:C18745),2)*100</f>
        <v>#REF!</v>
      </c>
      <c r="D18746" s="31" t="e">
        <f>IF(B18746&lt;1,"",VLOOKUP(B18746,$J$3:$L$102,3))</f>
        <v>#REF!</v>
      </c>
      <c r="E18746" s="31" t="e">
        <f>IF(B18746&lt;1,""," Sen ")</f>
        <v>#REF!</v>
      </c>
      <c r="J18746" s="31">
        <v>26</v>
      </c>
      <c r="K18746" s="33" t="s">
        <v>96</v>
      </c>
      <c r="L18746" s="31" t="str">
        <f t="shared" si="1812"/>
        <v>Dua Puluh Enam</v>
      </c>
    </row>
    <row r="18747" spans="1:12">
      <c r="J18747" s="31">
        <v>27</v>
      </c>
      <c r="K18747" s="33" t="s">
        <v>97</v>
      </c>
      <c r="L18747" s="31" t="str">
        <f t="shared" si="1812"/>
        <v>Dua Puluh Tujuh</v>
      </c>
    </row>
    <row r="18748" spans="1:12">
      <c r="J18748" s="31">
        <v>28</v>
      </c>
      <c r="K18748" s="33" t="s">
        <v>98</v>
      </c>
      <c r="L18748" s="31" t="str">
        <f t="shared" si="1812"/>
        <v>Dua Puluh Delapan</v>
      </c>
    </row>
    <row r="18749" spans="1:12">
      <c r="J18749" s="31">
        <v>29</v>
      </c>
      <c r="K18749" s="33" t="s">
        <v>99</v>
      </c>
      <c r="L18749" s="31" t="str">
        <f t="shared" si="1812"/>
        <v>Dua Puluh Sembilan</v>
      </c>
    </row>
    <row r="18750" spans="1:12">
      <c r="J18750" s="31">
        <v>30</v>
      </c>
      <c r="K18750" s="33" t="s">
        <v>100</v>
      </c>
      <c r="L18750" s="31" t="s">
        <v>101</v>
      </c>
    </row>
    <row r="18751" spans="1:12">
      <c r="J18751" s="31">
        <v>31</v>
      </c>
      <c r="K18751" s="33" t="s">
        <v>102</v>
      </c>
      <c r="L18751" s="31" t="str">
        <f t="shared" ref="L18751:L18759" si="1813">$L$33&amp;" "&amp;L18721</f>
        <v>Tiga Puluh Satu</v>
      </c>
    </row>
    <row r="18752" spans="1:12">
      <c r="J18752" s="31">
        <v>32</v>
      </c>
      <c r="K18752" s="33" t="s">
        <v>103</v>
      </c>
      <c r="L18752" s="31" t="str">
        <f t="shared" si="1813"/>
        <v>Tiga Puluh Dua</v>
      </c>
    </row>
    <row r="18753" spans="1:12">
      <c r="J18753" s="31">
        <v>33</v>
      </c>
      <c r="K18753" s="33" t="s">
        <v>104</v>
      </c>
      <c r="L18753" s="31" t="str">
        <f t="shared" si="1813"/>
        <v>Tiga Puluh Tiga</v>
      </c>
    </row>
    <row r="18754" spans="1:12">
      <c r="J18754" s="31">
        <v>34</v>
      </c>
      <c r="K18754" s="33" t="s">
        <v>105</v>
      </c>
      <c r="L18754" s="31" t="str">
        <f t="shared" si="1813"/>
        <v>Tiga Puluh Empat</v>
      </c>
    </row>
    <row r="18755" spans="1:12">
      <c r="J18755" s="31">
        <v>35</v>
      </c>
      <c r="K18755" s="33" t="s">
        <v>106</v>
      </c>
      <c r="L18755" s="31" t="str">
        <f t="shared" si="1813"/>
        <v>Tiga Puluh Lima</v>
      </c>
    </row>
    <row r="18756" spans="1:12">
      <c r="J18756" s="31">
        <v>36</v>
      </c>
      <c r="K18756" s="33" t="s">
        <v>107</v>
      </c>
      <c r="L18756" s="31" t="str">
        <f t="shared" si="1813"/>
        <v>Tiga Puluh Enam</v>
      </c>
    </row>
    <row r="18757" spans="1:12">
      <c r="J18757" s="31">
        <v>37</v>
      </c>
      <c r="K18757" s="33" t="s">
        <v>108</v>
      </c>
      <c r="L18757" s="31" t="str">
        <f t="shared" si="1813"/>
        <v>Tiga Puluh Tujuh</v>
      </c>
    </row>
    <row r="18758" spans="1:12">
      <c r="J18758" s="31">
        <v>38</v>
      </c>
      <c r="K18758" s="33" t="s">
        <v>109</v>
      </c>
      <c r="L18758" s="31" t="str">
        <f t="shared" si="1813"/>
        <v>Tiga Puluh Delapan</v>
      </c>
    </row>
    <row r="18759" spans="1:12">
      <c r="J18759" s="31">
        <v>39</v>
      </c>
      <c r="K18759" s="33" t="s">
        <v>110</v>
      </c>
      <c r="L18759" s="31" t="str">
        <f t="shared" si="1813"/>
        <v>Tiga Puluh Sembilan</v>
      </c>
    </row>
    <row r="18760" spans="1:12">
      <c r="B18760" s="35"/>
      <c r="C18760" s="35"/>
      <c r="D18760" s="35"/>
      <c r="J18760" s="31">
        <v>40</v>
      </c>
      <c r="K18760" s="33" t="s">
        <v>111</v>
      </c>
      <c r="L18760" s="31" t="s">
        <v>112</v>
      </c>
    </row>
    <row r="18761" spans="1:12">
      <c r="A18761" s="35"/>
      <c r="B18761" s="35"/>
      <c r="C18761" s="35"/>
      <c r="D18761" s="35"/>
      <c r="J18761" s="31">
        <v>41</v>
      </c>
      <c r="K18761" s="33" t="s">
        <v>113</v>
      </c>
      <c r="L18761" s="31" t="str">
        <f t="shared" ref="L18761:L18769" si="1814">$L$43&amp;" "&amp;L18721</f>
        <v>Empat Puluh Satu</v>
      </c>
    </row>
    <row r="18762" spans="1:12">
      <c r="J18762" s="31">
        <v>42</v>
      </c>
      <c r="K18762" s="33" t="s">
        <v>114</v>
      </c>
      <c r="L18762" s="31" t="str">
        <f t="shared" si="1814"/>
        <v>Empat Puluh Dua</v>
      </c>
    </row>
    <row r="18763" spans="1:12">
      <c r="A18763" s="38"/>
      <c r="J18763" s="31">
        <v>43</v>
      </c>
      <c r="K18763" s="33" t="s">
        <v>115</v>
      </c>
      <c r="L18763" s="31" t="str">
        <f t="shared" si="1814"/>
        <v>Empat Puluh Tiga</v>
      </c>
    </row>
    <row r="18764" spans="1:12">
      <c r="J18764" s="31">
        <v>44</v>
      </c>
      <c r="K18764" s="33" t="s">
        <v>116</v>
      </c>
      <c r="L18764" s="31" t="str">
        <f t="shared" si="1814"/>
        <v>Empat Puluh Empat</v>
      </c>
    </row>
    <row r="18765" spans="1:12">
      <c r="J18765" s="31">
        <v>45</v>
      </c>
      <c r="K18765" s="33" t="s">
        <v>117</v>
      </c>
      <c r="L18765" s="31" t="str">
        <f t="shared" si="1814"/>
        <v>Empat Puluh Lima</v>
      </c>
    </row>
    <row r="18766" spans="1:12">
      <c r="J18766" s="31">
        <v>46</v>
      </c>
      <c r="K18766" s="33" t="s">
        <v>118</v>
      </c>
      <c r="L18766" s="31" t="str">
        <f t="shared" si="1814"/>
        <v>Empat Puluh Enam</v>
      </c>
    </row>
    <row r="18767" spans="1:12">
      <c r="J18767" s="31">
        <v>47</v>
      </c>
      <c r="K18767" s="33" t="s">
        <v>119</v>
      </c>
      <c r="L18767" s="31" t="str">
        <f t="shared" si="1814"/>
        <v>Empat Puluh Tujuh</v>
      </c>
    </row>
    <row r="18768" spans="1:12">
      <c r="J18768" s="31">
        <v>48</v>
      </c>
      <c r="K18768" s="33" t="s">
        <v>120</v>
      </c>
      <c r="L18768" s="31" t="str">
        <f t="shared" si="1814"/>
        <v>Empat Puluh Delapan</v>
      </c>
    </row>
    <row r="18769" spans="10:12">
      <c r="J18769" s="31">
        <v>49</v>
      </c>
      <c r="K18769" s="33" t="s">
        <v>121</v>
      </c>
      <c r="L18769" s="31" t="str">
        <f t="shared" si="1814"/>
        <v>Empat Puluh Sembilan</v>
      </c>
    </row>
    <row r="18770" spans="10:12">
      <c r="J18770" s="31">
        <v>50</v>
      </c>
      <c r="K18770" s="33" t="s">
        <v>122</v>
      </c>
      <c r="L18770" s="31" t="s">
        <v>123</v>
      </c>
    </row>
    <row r="18771" spans="10:12">
      <c r="J18771" s="31">
        <v>51</v>
      </c>
      <c r="K18771" s="33" t="s">
        <v>124</v>
      </c>
      <c r="L18771" s="31" t="str">
        <f t="shared" ref="L18771:L18779" si="1815">$L$53&amp;" "&amp;L18721</f>
        <v>Lima Puluh Satu</v>
      </c>
    </row>
    <row r="18772" spans="10:12">
      <c r="J18772" s="31">
        <v>52</v>
      </c>
      <c r="K18772" s="33" t="s">
        <v>125</v>
      </c>
      <c r="L18772" s="31" t="str">
        <f t="shared" si="1815"/>
        <v>Lima Puluh Dua</v>
      </c>
    </row>
    <row r="18773" spans="10:12">
      <c r="J18773" s="31">
        <v>53</v>
      </c>
      <c r="K18773" s="33" t="s">
        <v>126</v>
      </c>
      <c r="L18773" s="31" t="str">
        <f t="shared" si="1815"/>
        <v>Lima Puluh Tiga</v>
      </c>
    </row>
    <row r="18774" spans="10:12">
      <c r="J18774" s="31">
        <v>54</v>
      </c>
      <c r="K18774" s="33" t="s">
        <v>127</v>
      </c>
      <c r="L18774" s="31" t="str">
        <f t="shared" si="1815"/>
        <v>Lima Puluh Empat</v>
      </c>
    </row>
    <row r="18775" spans="10:12">
      <c r="J18775" s="31">
        <v>55</v>
      </c>
      <c r="K18775" s="33" t="s">
        <v>128</v>
      </c>
      <c r="L18775" s="31" t="str">
        <f t="shared" si="1815"/>
        <v>Lima Puluh Lima</v>
      </c>
    </row>
    <row r="18776" spans="10:12">
      <c r="J18776" s="31">
        <v>56</v>
      </c>
      <c r="K18776" s="33" t="s">
        <v>129</v>
      </c>
      <c r="L18776" s="31" t="str">
        <f t="shared" si="1815"/>
        <v>Lima Puluh Enam</v>
      </c>
    </row>
    <row r="18777" spans="10:12">
      <c r="J18777" s="31">
        <v>57</v>
      </c>
      <c r="K18777" s="33" t="s">
        <v>130</v>
      </c>
      <c r="L18777" s="31" t="str">
        <f t="shared" si="1815"/>
        <v>Lima Puluh Tujuh</v>
      </c>
    </row>
    <row r="18778" spans="10:12">
      <c r="J18778" s="31">
        <v>58</v>
      </c>
      <c r="K18778" s="33" t="s">
        <v>131</v>
      </c>
      <c r="L18778" s="31" t="str">
        <f t="shared" si="1815"/>
        <v>Lima Puluh Delapan</v>
      </c>
    </row>
    <row r="18779" spans="10:12">
      <c r="J18779" s="31">
        <v>59</v>
      </c>
      <c r="K18779" s="33" t="s">
        <v>132</v>
      </c>
      <c r="L18779" s="31" t="str">
        <f t="shared" si="1815"/>
        <v>Lima Puluh Sembilan</v>
      </c>
    </row>
    <row r="18780" spans="10:12">
      <c r="J18780" s="31">
        <v>60</v>
      </c>
      <c r="K18780" s="33" t="s">
        <v>133</v>
      </c>
      <c r="L18780" s="31" t="s">
        <v>134</v>
      </c>
    </row>
    <row r="18781" spans="10:12">
      <c r="J18781" s="31">
        <v>61</v>
      </c>
      <c r="K18781" s="33" t="s">
        <v>135</v>
      </c>
      <c r="L18781" s="31" t="str">
        <f t="shared" ref="L18781:L18789" si="1816">$L$63&amp;" "&amp;L18721</f>
        <v>Enam Puluh Satu</v>
      </c>
    </row>
    <row r="18782" spans="10:12">
      <c r="J18782" s="31">
        <v>62</v>
      </c>
      <c r="K18782" s="33" t="s">
        <v>136</v>
      </c>
      <c r="L18782" s="31" t="str">
        <f t="shared" si="1816"/>
        <v>Enam Puluh Dua</v>
      </c>
    </row>
    <row r="18783" spans="10:12">
      <c r="J18783" s="31">
        <v>63</v>
      </c>
      <c r="K18783" s="33" t="s">
        <v>137</v>
      </c>
      <c r="L18783" s="31" t="str">
        <f t="shared" si="1816"/>
        <v>Enam Puluh Tiga</v>
      </c>
    </row>
    <row r="18784" spans="10:12">
      <c r="J18784" s="31">
        <v>64</v>
      </c>
      <c r="K18784" s="33" t="s">
        <v>138</v>
      </c>
      <c r="L18784" s="31" t="str">
        <f t="shared" si="1816"/>
        <v>Enam Puluh Empat</v>
      </c>
    </row>
    <row r="18785" spans="10:12">
      <c r="J18785" s="31">
        <v>65</v>
      </c>
      <c r="K18785" s="33" t="s">
        <v>139</v>
      </c>
      <c r="L18785" s="31" t="str">
        <f t="shared" si="1816"/>
        <v>Enam Puluh Lima</v>
      </c>
    </row>
    <row r="18786" spans="10:12">
      <c r="J18786" s="31">
        <v>66</v>
      </c>
      <c r="K18786" s="33" t="s">
        <v>140</v>
      </c>
      <c r="L18786" s="31" t="str">
        <f t="shared" si="1816"/>
        <v>Enam Puluh Enam</v>
      </c>
    </row>
    <row r="18787" spans="10:12">
      <c r="J18787" s="31">
        <v>67</v>
      </c>
      <c r="K18787" s="33" t="s">
        <v>141</v>
      </c>
      <c r="L18787" s="31" t="str">
        <f t="shared" si="1816"/>
        <v>Enam Puluh Tujuh</v>
      </c>
    </row>
    <row r="18788" spans="10:12">
      <c r="J18788" s="31">
        <v>68</v>
      </c>
      <c r="K18788" s="33" t="s">
        <v>142</v>
      </c>
      <c r="L18788" s="31" t="str">
        <f t="shared" si="1816"/>
        <v>Enam Puluh Delapan</v>
      </c>
    </row>
    <row r="18789" spans="10:12">
      <c r="J18789" s="31">
        <v>69</v>
      </c>
      <c r="K18789" s="33" t="s">
        <v>143</v>
      </c>
      <c r="L18789" s="31" t="str">
        <f t="shared" si="1816"/>
        <v>Enam Puluh Sembilan</v>
      </c>
    </row>
    <row r="18790" spans="10:12">
      <c r="J18790" s="31">
        <v>70</v>
      </c>
      <c r="K18790" s="33" t="s">
        <v>144</v>
      </c>
      <c r="L18790" s="31" t="s">
        <v>145</v>
      </c>
    </row>
    <row r="18791" spans="10:12">
      <c r="J18791" s="31">
        <v>71</v>
      </c>
      <c r="K18791" s="33" t="s">
        <v>146</v>
      </c>
      <c r="L18791" s="31" t="str">
        <f t="shared" ref="L18791:L18799" si="1817">$L$73&amp;" "&amp;L18721</f>
        <v>Tujuh Puluh Satu</v>
      </c>
    </row>
    <row r="18792" spans="10:12">
      <c r="J18792" s="31">
        <v>72</v>
      </c>
      <c r="K18792" s="33" t="s">
        <v>147</v>
      </c>
      <c r="L18792" s="31" t="str">
        <f t="shared" si="1817"/>
        <v>Tujuh Puluh Dua</v>
      </c>
    </row>
    <row r="18793" spans="10:12">
      <c r="J18793" s="31">
        <v>73</v>
      </c>
      <c r="K18793" s="33" t="s">
        <v>148</v>
      </c>
      <c r="L18793" s="31" t="str">
        <f t="shared" si="1817"/>
        <v>Tujuh Puluh Tiga</v>
      </c>
    </row>
    <row r="18794" spans="10:12">
      <c r="J18794" s="31">
        <v>74</v>
      </c>
      <c r="K18794" s="33" t="s">
        <v>149</v>
      </c>
      <c r="L18794" s="31" t="str">
        <f t="shared" si="1817"/>
        <v>Tujuh Puluh Empat</v>
      </c>
    </row>
    <row r="18795" spans="10:12">
      <c r="J18795" s="31">
        <v>75</v>
      </c>
      <c r="K18795" s="33" t="s">
        <v>150</v>
      </c>
      <c r="L18795" s="31" t="str">
        <f t="shared" si="1817"/>
        <v>Tujuh Puluh Lima</v>
      </c>
    </row>
    <row r="18796" spans="10:12">
      <c r="J18796" s="31">
        <v>76</v>
      </c>
      <c r="K18796" s="33" t="s">
        <v>151</v>
      </c>
      <c r="L18796" s="31" t="str">
        <f t="shared" si="1817"/>
        <v>Tujuh Puluh Enam</v>
      </c>
    </row>
    <row r="18797" spans="10:12">
      <c r="J18797" s="31">
        <v>77</v>
      </c>
      <c r="K18797" s="33" t="s">
        <v>152</v>
      </c>
      <c r="L18797" s="31" t="str">
        <f t="shared" si="1817"/>
        <v>Tujuh Puluh Tujuh</v>
      </c>
    </row>
    <row r="18798" spans="10:12">
      <c r="J18798" s="31">
        <v>78</v>
      </c>
      <c r="K18798" s="33" t="s">
        <v>153</v>
      </c>
      <c r="L18798" s="31" t="str">
        <f t="shared" si="1817"/>
        <v>Tujuh Puluh Delapan</v>
      </c>
    </row>
    <row r="18799" spans="10:12">
      <c r="J18799" s="31">
        <v>79</v>
      </c>
      <c r="K18799" s="33" t="s">
        <v>154</v>
      </c>
      <c r="L18799" s="31" t="str">
        <f t="shared" si="1817"/>
        <v>Tujuh Puluh Sembilan</v>
      </c>
    </row>
    <row r="18800" spans="10:12">
      <c r="J18800" s="31">
        <v>80</v>
      </c>
      <c r="K18800" s="33" t="s">
        <v>155</v>
      </c>
      <c r="L18800" s="31" t="s">
        <v>156</v>
      </c>
    </row>
    <row r="18801" spans="10:12">
      <c r="J18801" s="31">
        <v>81</v>
      </c>
      <c r="K18801" s="33" t="s">
        <v>157</v>
      </c>
      <c r="L18801" s="31" t="str">
        <f t="shared" ref="L18801:L18809" si="1818">$L$83&amp;" "&amp;L18721</f>
        <v>Delapan Puluh Satu</v>
      </c>
    </row>
    <row r="18802" spans="10:12">
      <c r="J18802" s="31">
        <v>82</v>
      </c>
      <c r="K18802" s="33" t="s">
        <v>158</v>
      </c>
      <c r="L18802" s="31" t="str">
        <f t="shared" si="1818"/>
        <v>Delapan Puluh Dua</v>
      </c>
    </row>
    <row r="18803" spans="10:12">
      <c r="J18803" s="31">
        <v>83</v>
      </c>
      <c r="K18803" s="33" t="s">
        <v>159</v>
      </c>
      <c r="L18803" s="31" t="str">
        <f t="shared" si="1818"/>
        <v>Delapan Puluh Tiga</v>
      </c>
    </row>
    <row r="18804" spans="10:12">
      <c r="J18804" s="31">
        <v>84</v>
      </c>
      <c r="K18804" s="33" t="s">
        <v>160</v>
      </c>
      <c r="L18804" s="31" t="str">
        <f t="shared" si="1818"/>
        <v>Delapan Puluh Empat</v>
      </c>
    </row>
    <row r="18805" spans="10:12">
      <c r="J18805" s="31">
        <v>85</v>
      </c>
      <c r="K18805" s="33" t="s">
        <v>161</v>
      </c>
      <c r="L18805" s="31" t="str">
        <f t="shared" si="1818"/>
        <v>Delapan Puluh Lima</v>
      </c>
    </row>
    <row r="18806" spans="10:12">
      <c r="J18806" s="31">
        <v>86</v>
      </c>
      <c r="K18806" s="33" t="s">
        <v>162</v>
      </c>
      <c r="L18806" s="31" t="str">
        <f t="shared" si="1818"/>
        <v>Delapan Puluh Enam</v>
      </c>
    </row>
    <row r="18807" spans="10:12">
      <c r="J18807" s="31">
        <v>87</v>
      </c>
      <c r="K18807" s="33" t="s">
        <v>163</v>
      </c>
      <c r="L18807" s="31" t="str">
        <f t="shared" si="1818"/>
        <v>Delapan Puluh Tujuh</v>
      </c>
    </row>
    <row r="18808" spans="10:12">
      <c r="J18808" s="31">
        <v>88</v>
      </c>
      <c r="K18808" s="33" t="s">
        <v>164</v>
      </c>
      <c r="L18808" s="31" t="str">
        <f t="shared" si="1818"/>
        <v>Delapan Puluh Delapan</v>
      </c>
    </row>
    <row r="18809" spans="10:12">
      <c r="J18809" s="31">
        <v>89</v>
      </c>
      <c r="K18809" s="33" t="s">
        <v>165</v>
      </c>
      <c r="L18809" s="31" t="str">
        <f t="shared" si="1818"/>
        <v>Delapan Puluh Sembilan</v>
      </c>
    </row>
    <row r="18810" spans="10:12">
      <c r="J18810" s="31">
        <v>90</v>
      </c>
      <c r="K18810" s="33" t="s">
        <v>166</v>
      </c>
      <c r="L18810" s="31" t="s">
        <v>167</v>
      </c>
    </row>
    <row r="18811" spans="10:12">
      <c r="J18811" s="31">
        <v>91</v>
      </c>
      <c r="K18811" s="33" t="s">
        <v>168</v>
      </c>
      <c r="L18811" s="31" t="str">
        <f t="shared" ref="L18811:L18817" si="1819">$L$93&amp;" "&amp;L18721</f>
        <v>Sembilan Puluh Satu</v>
      </c>
    </row>
    <row r="18812" spans="10:12">
      <c r="J18812" s="31">
        <v>92</v>
      </c>
      <c r="K18812" s="33" t="s">
        <v>169</v>
      </c>
      <c r="L18812" s="31" t="str">
        <f t="shared" si="1819"/>
        <v>Sembilan Puluh Dua</v>
      </c>
    </row>
    <row r="18813" spans="10:12">
      <c r="J18813" s="31">
        <v>93</v>
      </c>
      <c r="K18813" s="33" t="s">
        <v>170</v>
      </c>
      <c r="L18813" s="31" t="str">
        <f t="shared" si="1819"/>
        <v>Sembilan Puluh Tiga</v>
      </c>
    </row>
    <row r="18814" spans="10:12">
      <c r="J18814" s="31">
        <v>94</v>
      </c>
      <c r="K18814" s="33" t="s">
        <v>171</v>
      </c>
      <c r="L18814" s="31" t="str">
        <f t="shared" si="1819"/>
        <v>Sembilan Puluh Empat</v>
      </c>
    </row>
    <row r="18815" spans="10:12">
      <c r="J18815" s="31">
        <v>95</v>
      </c>
      <c r="K18815" s="33" t="s">
        <v>172</v>
      </c>
      <c r="L18815" s="31" t="str">
        <f t="shared" si="1819"/>
        <v>Sembilan Puluh Lima</v>
      </c>
    </row>
    <row r="18816" spans="10:12">
      <c r="J18816" s="31">
        <v>96</v>
      </c>
      <c r="K18816" s="33" t="s">
        <v>173</v>
      </c>
      <c r="L18816" s="31" t="str">
        <f t="shared" si="1819"/>
        <v>Sembilan Puluh Enam</v>
      </c>
    </row>
    <row r="18817" spans="1:12">
      <c r="J18817" s="31">
        <v>97</v>
      </c>
      <c r="K18817" s="33" t="s">
        <v>174</v>
      </c>
      <c r="L18817" s="31" t="str">
        <f t="shared" si="1819"/>
        <v>Sembilan Puluh Tujuh</v>
      </c>
    </row>
    <row r="18819" spans="1:12">
      <c r="A18819" s="30" t="e">
        <f>#REF!</f>
        <v>#REF!</v>
      </c>
      <c r="C18819" s="31" t="s">
        <v>441</v>
      </c>
    </row>
    <row r="18820" spans="1:12">
      <c r="A18820" s="32"/>
    </row>
    <row r="18821" spans="1:12">
      <c r="J18821" s="31">
        <v>0</v>
      </c>
      <c r="K18821" s="33" t="s">
        <v>48</v>
      </c>
      <c r="L18821" s="31" t="s">
        <v>49</v>
      </c>
    </row>
    <row r="18822" spans="1:12">
      <c r="A18822" s="34"/>
      <c r="J18822" s="31">
        <v>1</v>
      </c>
      <c r="K18822" s="33" t="s">
        <v>50</v>
      </c>
      <c r="L18822" s="31" t="s">
        <v>51</v>
      </c>
    </row>
    <row r="18823" spans="1:12">
      <c r="A18823" s="255" t="e">
        <f>TRIM(D18831&amp;E18831&amp;D18832&amp;E18832&amp;D18833&amp;E18833&amp;D18834&amp;E18834&amp;D18835&amp;E18835&amp;D18836&amp;E18836&amp;E18837&amp;D18837&amp;" Only")</f>
        <v>#REF!</v>
      </c>
      <c r="B18823" s="255"/>
      <c r="C18823" s="255"/>
      <c r="D18823" s="255"/>
      <c r="E18823" s="35"/>
      <c r="F18823" s="36"/>
      <c r="J18823" s="31">
        <v>2</v>
      </c>
      <c r="K18823" s="33" t="s">
        <v>52</v>
      </c>
      <c r="L18823" s="31" t="s">
        <v>53</v>
      </c>
    </row>
    <row r="18824" spans="1:12">
      <c r="A18824" s="153"/>
      <c r="B18824" s="153"/>
      <c r="C18824" s="153"/>
      <c r="D18824" s="153"/>
      <c r="E18824" s="35"/>
      <c r="F18824" s="36"/>
      <c r="J18824" s="31">
        <v>3</v>
      </c>
      <c r="K18824" s="33" t="s">
        <v>54</v>
      </c>
      <c r="L18824" s="31" t="s">
        <v>55</v>
      </c>
    </row>
    <row r="18825" spans="1:12">
      <c r="A18825" s="153"/>
      <c r="B18825" s="153"/>
      <c r="C18825" s="153"/>
      <c r="D18825" s="153"/>
      <c r="J18825" s="31">
        <v>4</v>
      </c>
      <c r="K18825" s="33" t="s">
        <v>56</v>
      </c>
      <c r="L18825" s="31" t="s">
        <v>57</v>
      </c>
    </row>
    <row r="18826" spans="1:12">
      <c r="A18826" s="255" t="e">
        <f>TRIM(D18841&amp;E18841&amp;D18842&amp;E18842&amp;D18843&amp;E18843&amp;D18844&amp;E18844&amp;D18845&amp;E18845&amp;D18846&amp;E18846&amp;D18847&amp;E18847&amp;" Rupiah")</f>
        <v>#REF!</v>
      </c>
      <c r="B18826" s="255"/>
      <c r="C18826" s="255"/>
      <c r="D18826" s="255"/>
      <c r="E18826" s="35"/>
      <c r="F18826" s="36"/>
      <c r="J18826" s="31">
        <v>5</v>
      </c>
      <c r="K18826" s="33" t="s">
        <v>58</v>
      </c>
      <c r="L18826" s="31" t="s">
        <v>59</v>
      </c>
    </row>
    <row r="18827" spans="1:12">
      <c r="A18827" s="35"/>
      <c r="B18827" s="35"/>
      <c r="C18827" s="35"/>
      <c r="D18827" s="35"/>
      <c r="E18827" s="35"/>
      <c r="F18827" s="36"/>
      <c r="J18827" s="31">
        <v>6</v>
      </c>
      <c r="K18827" s="33" t="s">
        <v>60</v>
      </c>
      <c r="L18827" s="31" t="s">
        <v>61</v>
      </c>
    </row>
    <row r="18828" spans="1:12">
      <c r="J18828" s="31">
        <v>7</v>
      </c>
      <c r="K18828" s="33" t="s">
        <v>62</v>
      </c>
      <c r="L18828" s="31" t="s">
        <v>63</v>
      </c>
    </row>
    <row r="18829" spans="1:12">
      <c r="J18829" s="31">
        <v>8</v>
      </c>
      <c r="K18829" s="33" t="s">
        <v>64</v>
      </c>
      <c r="L18829" s="31" t="s">
        <v>65</v>
      </c>
    </row>
    <row r="18830" spans="1:12">
      <c r="A18830" s="38" t="s">
        <v>66</v>
      </c>
      <c r="J18830" s="31">
        <v>9</v>
      </c>
      <c r="K18830" s="33" t="s">
        <v>67</v>
      </c>
      <c r="L18830" s="31" t="s">
        <v>68</v>
      </c>
    </row>
    <row r="18831" spans="1:12">
      <c r="A18831" s="31" t="s">
        <v>69</v>
      </c>
      <c r="B18831" s="39" t="e">
        <f>TRUNC(A18819/100000000)</f>
        <v>#REF!</v>
      </c>
      <c r="C18831" s="31" t="e">
        <f>B18831*100000000</f>
        <v>#REF!</v>
      </c>
      <c r="D18831" s="31" t="e">
        <f t="shared" ref="D18831:D18837" si="1820">IF(B18831&lt;1,"",VLOOKUP(B18831,$J$3:$K$102,2))</f>
        <v>#REF!</v>
      </c>
      <c r="E18831" s="31" t="e">
        <f>IF(B18831&lt;1,"",IF(B18831&gt;1," Hundreds "," Hundred "))</f>
        <v>#REF!</v>
      </c>
      <c r="J18831" s="31">
        <v>10</v>
      </c>
      <c r="K18831" s="33" t="s">
        <v>70</v>
      </c>
      <c r="L18831" s="31" t="s">
        <v>71</v>
      </c>
    </row>
    <row r="18832" spans="1:12">
      <c r="A18832" s="31" t="s">
        <v>72</v>
      </c>
      <c r="B18832" s="39" t="e">
        <f>TRUNC((A18819-C18831)/1000000)</f>
        <v>#REF!</v>
      </c>
      <c r="C18832" s="31" t="e">
        <f>B18832*1000000</f>
        <v>#REF!</v>
      </c>
      <c r="D18832" s="31" t="e">
        <f t="shared" si="1820"/>
        <v>#REF!</v>
      </c>
      <c r="E18832" s="31" t="e">
        <f>IF(B18831+B18832=0,"",IF(B18832=1," Million "," Millions "))</f>
        <v>#REF!</v>
      </c>
      <c r="J18832" s="31">
        <v>11</v>
      </c>
      <c r="K18832" s="33" t="s">
        <v>73</v>
      </c>
      <c r="L18832" s="31" t="s">
        <v>74</v>
      </c>
    </row>
    <row r="18833" spans="1:12">
      <c r="A18833" s="31" t="s">
        <v>75</v>
      </c>
      <c r="B18833" s="39" t="e">
        <f>TRUNC((A18819-SUM(C18831:C18832))/100000)</f>
        <v>#REF!</v>
      </c>
      <c r="C18833" s="31" t="e">
        <f>B18833*100000</f>
        <v>#REF!</v>
      </c>
      <c r="D18833" s="31" t="e">
        <f t="shared" si="1820"/>
        <v>#REF!</v>
      </c>
      <c r="E18833" s="31" t="e">
        <f>IF(B18833&lt;1,"",IF(B18833&gt;1," Hundreds "," Hundred "))</f>
        <v>#REF!</v>
      </c>
      <c r="J18833" s="31">
        <v>12</v>
      </c>
      <c r="K18833" s="33" t="s">
        <v>76</v>
      </c>
      <c r="L18833" s="31" t="str">
        <f t="shared" ref="L18833:L18840" si="1821">L18823&amp;" Belas"</f>
        <v>Dua Belas</v>
      </c>
    </row>
    <row r="18834" spans="1:12">
      <c r="A18834" s="33" t="s">
        <v>77</v>
      </c>
      <c r="B18834" s="40" t="e">
        <f>TRUNC((A18819-SUM(C18831:C18833))/1000)</f>
        <v>#REF!</v>
      </c>
      <c r="C18834" s="31" t="e">
        <f>B18834*1000</f>
        <v>#REF!</v>
      </c>
      <c r="D18834" s="31" t="e">
        <f t="shared" si="1820"/>
        <v>#REF!</v>
      </c>
      <c r="E18834" s="31" t="e">
        <f>IF(B18833+B18834=0,"",IF(B18834=1," Thousand "," Thousands "))</f>
        <v>#REF!</v>
      </c>
      <c r="J18834" s="31">
        <v>13</v>
      </c>
      <c r="K18834" s="33" t="s">
        <v>78</v>
      </c>
      <c r="L18834" s="31" t="str">
        <f t="shared" si="1821"/>
        <v>Tiga Belas</v>
      </c>
    </row>
    <row r="18835" spans="1:12">
      <c r="A18835" s="33" t="s">
        <v>79</v>
      </c>
      <c r="B18835" s="40" t="e">
        <f>TRUNC((A18819-SUM(C18831:C18834))/100)</f>
        <v>#REF!</v>
      </c>
      <c r="C18835" s="31" t="e">
        <f>B18835*100</f>
        <v>#REF!</v>
      </c>
      <c r="D18835" s="31" t="e">
        <f t="shared" si="1820"/>
        <v>#REF!</v>
      </c>
      <c r="E18835" s="31" t="e">
        <f>IF(B18835&lt;1,"",IF(B18835&gt;1," Hundreds "," Hundred "))</f>
        <v>#REF!</v>
      </c>
      <c r="J18835" s="31">
        <v>14</v>
      </c>
      <c r="K18835" s="33" t="s">
        <v>80</v>
      </c>
      <c r="L18835" s="31" t="str">
        <f t="shared" si="1821"/>
        <v>Empat Belas</v>
      </c>
    </row>
    <row r="18836" spans="1:12">
      <c r="A18836" s="33" t="s">
        <v>81</v>
      </c>
      <c r="B18836" s="41" t="e">
        <f>TRUNC((A18819-SUM(C18831:C18835)))</f>
        <v>#REF!</v>
      </c>
      <c r="C18836" s="42" t="e">
        <f>B18836</f>
        <v>#REF!</v>
      </c>
      <c r="D18836" s="31" t="e">
        <f t="shared" si="1820"/>
        <v>#REF!</v>
      </c>
      <c r="E18836" s="31" t="e">
        <f>IF(SUM(C18831:C18836)&lt;1,"",IF(B18837&lt;1,""," And "))</f>
        <v>#REF!</v>
      </c>
      <c r="J18836" s="31">
        <v>15</v>
      </c>
      <c r="K18836" s="33" t="s">
        <v>82</v>
      </c>
      <c r="L18836" s="31" t="str">
        <f t="shared" si="1821"/>
        <v>Lima Belas</v>
      </c>
    </row>
    <row r="18837" spans="1:12">
      <c r="A18837" s="33" t="s">
        <v>83</v>
      </c>
      <c r="B18837" s="40" t="e">
        <f>ROUND(A18819-SUM(C18831:C18836),2)*100</f>
        <v>#REF!</v>
      </c>
      <c r="D18837" s="43" t="e">
        <f t="shared" si="1820"/>
        <v>#REF!</v>
      </c>
      <c r="E18837" s="31" t="e">
        <f>IF(B18837&lt;1,"",IF(B18837=1," Cent "," Cents "))</f>
        <v>#REF!</v>
      </c>
      <c r="J18837" s="31">
        <v>16</v>
      </c>
      <c r="K18837" s="33" t="s">
        <v>84</v>
      </c>
      <c r="L18837" s="31" t="str">
        <f t="shared" si="1821"/>
        <v>Enam Belas</v>
      </c>
    </row>
    <row r="18838" spans="1:12">
      <c r="J18838" s="31">
        <v>17</v>
      </c>
      <c r="K18838" s="33" t="s">
        <v>85</v>
      </c>
      <c r="L18838" s="31" t="str">
        <f t="shared" si="1821"/>
        <v>Tujuh Belas</v>
      </c>
    </row>
    <row r="18839" spans="1:12">
      <c r="A18839" s="44"/>
      <c r="J18839" s="31">
        <v>18</v>
      </c>
      <c r="K18839" s="33" t="s">
        <v>86</v>
      </c>
      <c r="L18839" s="31" t="str">
        <f t="shared" si="1821"/>
        <v>Delapan Belas</v>
      </c>
    </row>
    <row r="18840" spans="1:12">
      <c r="A18840" s="38" t="s">
        <v>87</v>
      </c>
      <c r="J18840" s="31">
        <v>19</v>
      </c>
      <c r="K18840" s="33" t="s">
        <v>88</v>
      </c>
      <c r="L18840" s="31" t="str">
        <f t="shared" si="1821"/>
        <v>Sembilan Belas</v>
      </c>
    </row>
    <row r="18841" spans="1:12">
      <c r="A18841" s="31" t="s">
        <v>69</v>
      </c>
      <c r="B18841" s="39" t="e">
        <f>TRUNC(A18819/100000000)</f>
        <v>#REF!</v>
      </c>
      <c r="C18841" s="31" t="e">
        <f>B18841*100000000</f>
        <v>#REF!</v>
      </c>
      <c r="D18841" s="31" t="e">
        <f>IF(B18841&lt;1,"",IF(B18841=1,"",VLOOKUP(B18841,$J$3:$L$102,3)))</f>
        <v>#REF!</v>
      </c>
      <c r="E18841" s="31" t="e">
        <f>IF(B18841&lt;1,"",IF(B18841=1,"Seratus "," Ratus "))</f>
        <v>#REF!</v>
      </c>
      <c r="J18841" s="31">
        <v>20</v>
      </c>
      <c r="K18841" s="33" t="s">
        <v>89</v>
      </c>
      <c r="L18841" s="31" t="s">
        <v>90</v>
      </c>
    </row>
    <row r="18842" spans="1:12">
      <c r="A18842" s="31" t="s">
        <v>72</v>
      </c>
      <c r="B18842" s="39" t="e">
        <f>TRUNC((A18819-C18841)/1000000)</f>
        <v>#REF!</v>
      </c>
      <c r="C18842" s="31" t="e">
        <f>B18842*1000000</f>
        <v>#REF!</v>
      </c>
      <c r="D18842" s="31" t="e">
        <f>IF(B18842&lt;1,"",VLOOKUP(B18842,$J$3:$L$102,3))</f>
        <v>#REF!</v>
      </c>
      <c r="E18842" s="31" t="e">
        <f>IF(B18841+B18842=0,""," Juta ")</f>
        <v>#REF!</v>
      </c>
      <c r="J18842" s="31">
        <v>21</v>
      </c>
      <c r="K18842" s="33" t="s">
        <v>91</v>
      </c>
      <c r="L18842" s="31" t="str">
        <f t="shared" ref="L18842:L18850" si="1822">$L$23&amp;" "&amp;L18822</f>
        <v>Dua Puluh Satu</v>
      </c>
    </row>
    <row r="18843" spans="1:12">
      <c r="A18843" s="31" t="s">
        <v>75</v>
      </c>
      <c r="B18843" s="39" t="e">
        <f>TRUNC((A18819-SUM(C18841:C18842))/100000)</f>
        <v>#REF!</v>
      </c>
      <c r="C18843" s="31" t="e">
        <f>B18843*100000</f>
        <v>#REF!</v>
      </c>
      <c r="D18843" s="31" t="e">
        <f>IF(B18843&lt;1,"",IF(B18843=1,"",VLOOKUP(B18843,$J$3:$L$102,3)))</f>
        <v>#REF!</v>
      </c>
      <c r="E18843" s="31" t="e">
        <f>IF(B18843&lt;1,"",IF(B18843=1," Seratus "," Ratus "))</f>
        <v>#REF!</v>
      </c>
      <c r="J18843" s="31">
        <v>22</v>
      </c>
      <c r="K18843" s="33" t="s">
        <v>92</v>
      </c>
      <c r="L18843" s="31" t="str">
        <f t="shared" si="1822"/>
        <v>Dua Puluh Dua</v>
      </c>
    </row>
    <row r="18844" spans="1:12">
      <c r="A18844" s="33" t="s">
        <v>77</v>
      </c>
      <c r="B18844" s="40" t="e">
        <f>TRUNC((A18819-SUM(C18841:C18843))/1000)</f>
        <v>#REF!</v>
      </c>
      <c r="C18844" s="31" t="e">
        <f>B18844*1000</f>
        <v>#REF!</v>
      </c>
      <c r="D18844" s="31" t="e">
        <f>IF(B18844&lt;1,"",IF(B18844=1,"",VLOOKUP(B18844,$J$3:$L$102,3)))</f>
        <v>#REF!</v>
      </c>
      <c r="E18844" s="31" t="e">
        <f>IF(B18843+B18844&lt;1,"",IF(B18844=1," Seribu "," Ribu "))</f>
        <v>#REF!</v>
      </c>
      <c r="J18844" s="31">
        <v>23</v>
      </c>
      <c r="K18844" s="33" t="s">
        <v>93</v>
      </c>
      <c r="L18844" s="31" t="str">
        <f t="shared" si="1822"/>
        <v>Dua Puluh Tiga</v>
      </c>
    </row>
    <row r="18845" spans="1:12">
      <c r="A18845" s="33" t="s">
        <v>79</v>
      </c>
      <c r="B18845" s="40" t="e">
        <f>TRUNC((A18819-SUM(C18841:C18844))/100)</f>
        <v>#REF!</v>
      </c>
      <c r="C18845" s="31" t="e">
        <f>B18845*100</f>
        <v>#REF!</v>
      </c>
      <c r="D18845" s="31" t="e">
        <f>IF(B18845&lt;1,"",IF(B18845=1,"",VLOOKUP(B18845,$J$3:$L$102,3)))</f>
        <v>#REF!</v>
      </c>
      <c r="E18845" s="31" t="e">
        <f>IF(B18845&lt;1,"",IF(B18845=1," Seratus "," Ratus "))</f>
        <v>#REF!</v>
      </c>
      <c r="J18845" s="31">
        <v>24</v>
      </c>
      <c r="K18845" s="33" t="s">
        <v>94</v>
      </c>
      <c r="L18845" s="31" t="str">
        <f t="shared" si="1822"/>
        <v>Dua Puluh Empat</v>
      </c>
    </row>
    <row r="18846" spans="1:12">
      <c r="A18846" s="33" t="s">
        <v>81</v>
      </c>
      <c r="B18846" s="41" t="e">
        <f>TRUNC((A18819-SUM(C18841:C18845)))</f>
        <v>#REF!</v>
      </c>
      <c r="C18846" s="42" t="e">
        <f>B18846</f>
        <v>#REF!</v>
      </c>
      <c r="D18846" s="31" t="e">
        <f>IF(B18846&lt;1,"",VLOOKUP(B18846,$J$3:$L$102,3))</f>
        <v>#REF!</v>
      </c>
      <c r="E18846" s="31" t="e">
        <f>IF(SUM(C18841:C18846)&lt;1,"",IF(B18847&lt;1,""," Dan "))</f>
        <v>#REF!</v>
      </c>
      <c r="J18846" s="31">
        <v>25</v>
      </c>
      <c r="K18846" s="33" t="s">
        <v>95</v>
      </c>
      <c r="L18846" s="31" t="str">
        <f t="shared" si="1822"/>
        <v>Dua Puluh Lima</v>
      </c>
    </row>
    <row r="18847" spans="1:12">
      <c r="A18847" s="33" t="s">
        <v>83</v>
      </c>
      <c r="B18847" s="40" t="e">
        <f>ROUND(A18819-SUM(C18841:C18846),2)*100</f>
        <v>#REF!</v>
      </c>
      <c r="D18847" s="31" t="e">
        <f>IF(B18847&lt;1,"",VLOOKUP(B18847,$J$3:$L$102,3))</f>
        <v>#REF!</v>
      </c>
      <c r="E18847" s="31" t="e">
        <f>IF(B18847&lt;1,""," Sen ")</f>
        <v>#REF!</v>
      </c>
      <c r="J18847" s="31">
        <v>26</v>
      </c>
      <c r="K18847" s="33" t="s">
        <v>96</v>
      </c>
      <c r="L18847" s="31" t="str">
        <f t="shared" si="1822"/>
        <v>Dua Puluh Enam</v>
      </c>
    </row>
    <row r="18848" spans="1:12">
      <c r="J18848" s="31">
        <v>27</v>
      </c>
      <c r="K18848" s="33" t="s">
        <v>97</v>
      </c>
      <c r="L18848" s="31" t="str">
        <f t="shared" si="1822"/>
        <v>Dua Puluh Tujuh</v>
      </c>
    </row>
    <row r="18849" spans="1:12">
      <c r="J18849" s="31">
        <v>28</v>
      </c>
      <c r="K18849" s="33" t="s">
        <v>98</v>
      </c>
      <c r="L18849" s="31" t="str">
        <f t="shared" si="1822"/>
        <v>Dua Puluh Delapan</v>
      </c>
    </row>
    <row r="18850" spans="1:12">
      <c r="J18850" s="31">
        <v>29</v>
      </c>
      <c r="K18850" s="33" t="s">
        <v>99</v>
      </c>
      <c r="L18850" s="31" t="str">
        <f t="shared" si="1822"/>
        <v>Dua Puluh Sembilan</v>
      </c>
    </row>
    <row r="18851" spans="1:12">
      <c r="J18851" s="31">
        <v>30</v>
      </c>
      <c r="K18851" s="33" t="s">
        <v>100</v>
      </c>
      <c r="L18851" s="31" t="s">
        <v>101</v>
      </c>
    </row>
    <row r="18852" spans="1:12">
      <c r="J18852" s="31">
        <v>31</v>
      </c>
      <c r="K18852" s="33" t="s">
        <v>102</v>
      </c>
      <c r="L18852" s="31" t="str">
        <f t="shared" ref="L18852:L18860" si="1823">$L$33&amp;" "&amp;L18822</f>
        <v>Tiga Puluh Satu</v>
      </c>
    </row>
    <row r="18853" spans="1:12">
      <c r="J18853" s="31">
        <v>32</v>
      </c>
      <c r="K18853" s="33" t="s">
        <v>103</v>
      </c>
      <c r="L18853" s="31" t="str">
        <f t="shared" si="1823"/>
        <v>Tiga Puluh Dua</v>
      </c>
    </row>
    <row r="18854" spans="1:12">
      <c r="J18854" s="31">
        <v>33</v>
      </c>
      <c r="K18854" s="33" t="s">
        <v>104</v>
      </c>
      <c r="L18854" s="31" t="str">
        <f t="shared" si="1823"/>
        <v>Tiga Puluh Tiga</v>
      </c>
    </row>
    <row r="18855" spans="1:12">
      <c r="J18855" s="31">
        <v>34</v>
      </c>
      <c r="K18855" s="33" t="s">
        <v>105</v>
      </c>
      <c r="L18855" s="31" t="str">
        <f t="shared" si="1823"/>
        <v>Tiga Puluh Empat</v>
      </c>
    </row>
    <row r="18856" spans="1:12">
      <c r="J18856" s="31">
        <v>35</v>
      </c>
      <c r="K18856" s="33" t="s">
        <v>106</v>
      </c>
      <c r="L18856" s="31" t="str">
        <f t="shared" si="1823"/>
        <v>Tiga Puluh Lima</v>
      </c>
    </row>
    <row r="18857" spans="1:12">
      <c r="J18857" s="31">
        <v>36</v>
      </c>
      <c r="K18857" s="33" t="s">
        <v>107</v>
      </c>
      <c r="L18857" s="31" t="str">
        <f t="shared" si="1823"/>
        <v>Tiga Puluh Enam</v>
      </c>
    </row>
    <row r="18858" spans="1:12">
      <c r="J18858" s="31">
        <v>37</v>
      </c>
      <c r="K18858" s="33" t="s">
        <v>108</v>
      </c>
      <c r="L18858" s="31" t="str">
        <f t="shared" si="1823"/>
        <v>Tiga Puluh Tujuh</v>
      </c>
    </row>
    <row r="18859" spans="1:12">
      <c r="J18859" s="31">
        <v>38</v>
      </c>
      <c r="K18859" s="33" t="s">
        <v>109</v>
      </c>
      <c r="L18859" s="31" t="str">
        <f t="shared" si="1823"/>
        <v>Tiga Puluh Delapan</v>
      </c>
    </row>
    <row r="18860" spans="1:12">
      <c r="J18860" s="31">
        <v>39</v>
      </c>
      <c r="K18860" s="33" t="s">
        <v>110</v>
      </c>
      <c r="L18860" s="31" t="str">
        <f t="shared" si="1823"/>
        <v>Tiga Puluh Sembilan</v>
      </c>
    </row>
    <row r="18861" spans="1:12">
      <c r="B18861" s="35"/>
      <c r="C18861" s="35"/>
      <c r="D18861" s="35"/>
      <c r="J18861" s="31">
        <v>40</v>
      </c>
      <c r="K18861" s="33" t="s">
        <v>111</v>
      </c>
      <c r="L18861" s="31" t="s">
        <v>112</v>
      </c>
    </row>
    <row r="18862" spans="1:12">
      <c r="A18862" s="35"/>
      <c r="B18862" s="35"/>
      <c r="C18862" s="35"/>
      <c r="D18862" s="35"/>
      <c r="J18862" s="31">
        <v>41</v>
      </c>
      <c r="K18862" s="33" t="s">
        <v>113</v>
      </c>
      <c r="L18862" s="31" t="str">
        <f t="shared" ref="L18862:L18870" si="1824">$L$43&amp;" "&amp;L18822</f>
        <v>Empat Puluh Satu</v>
      </c>
    </row>
    <row r="18863" spans="1:12">
      <c r="J18863" s="31">
        <v>42</v>
      </c>
      <c r="K18863" s="33" t="s">
        <v>114</v>
      </c>
      <c r="L18863" s="31" t="str">
        <f t="shared" si="1824"/>
        <v>Empat Puluh Dua</v>
      </c>
    </row>
    <row r="18864" spans="1:12">
      <c r="A18864" s="38"/>
      <c r="J18864" s="31">
        <v>43</v>
      </c>
      <c r="K18864" s="33" t="s">
        <v>115</v>
      </c>
      <c r="L18864" s="31" t="str">
        <f t="shared" si="1824"/>
        <v>Empat Puluh Tiga</v>
      </c>
    </row>
    <row r="18865" spans="10:12">
      <c r="J18865" s="31">
        <v>44</v>
      </c>
      <c r="K18865" s="33" t="s">
        <v>116</v>
      </c>
      <c r="L18865" s="31" t="str">
        <f t="shared" si="1824"/>
        <v>Empat Puluh Empat</v>
      </c>
    </row>
    <row r="18866" spans="10:12">
      <c r="J18866" s="31">
        <v>45</v>
      </c>
      <c r="K18866" s="33" t="s">
        <v>117</v>
      </c>
      <c r="L18866" s="31" t="str">
        <f t="shared" si="1824"/>
        <v>Empat Puluh Lima</v>
      </c>
    </row>
    <row r="18867" spans="10:12">
      <c r="J18867" s="31">
        <v>46</v>
      </c>
      <c r="K18867" s="33" t="s">
        <v>118</v>
      </c>
      <c r="L18867" s="31" t="str">
        <f t="shared" si="1824"/>
        <v>Empat Puluh Enam</v>
      </c>
    </row>
    <row r="18868" spans="10:12">
      <c r="J18868" s="31">
        <v>47</v>
      </c>
      <c r="K18868" s="33" t="s">
        <v>119</v>
      </c>
      <c r="L18868" s="31" t="str">
        <f t="shared" si="1824"/>
        <v>Empat Puluh Tujuh</v>
      </c>
    </row>
    <row r="18869" spans="10:12">
      <c r="J18869" s="31">
        <v>48</v>
      </c>
      <c r="K18869" s="33" t="s">
        <v>120</v>
      </c>
      <c r="L18869" s="31" t="str">
        <f t="shared" si="1824"/>
        <v>Empat Puluh Delapan</v>
      </c>
    </row>
    <row r="18870" spans="10:12">
      <c r="J18870" s="31">
        <v>49</v>
      </c>
      <c r="K18870" s="33" t="s">
        <v>121</v>
      </c>
      <c r="L18870" s="31" t="str">
        <f t="shared" si="1824"/>
        <v>Empat Puluh Sembilan</v>
      </c>
    </row>
    <row r="18871" spans="10:12">
      <c r="J18871" s="31">
        <v>50</v>
      </c>
      <c r="K18871" s="33" t="s">
        <v>122</v>
      </c>
      <c r="L18871" s="31" t="s">
        <v>123</v>
      </c>
    </row>
    <row r="18872" spans="10:12">
      <c r="J18872" s="31">
        <v>51</v>
      </c>
      <c r="K18872" s="33" t="s">
        <v>124</v>
      </c>
      <c r="L18872" s="31" t="str">
        <f t="shared" ref="L18872:L18880" si="1825">$L$53&amp;" "&amp;L18822</f>
        <v>Lima Puluh Satu</v>
      </c>
    </row>
    <row r="18873" spans="10:12">
      <c r="J18873" s="31">
        <v>52</v>
      </c>
      <c r="K18873" s="33" t="s">
        <v>125</v>
      </c>
      <c r="L18873" s="31" t="str">
        <f t="shared" si="1825"/>
        <v>Lima Puluh Dua</v>
      </c>
    </row>
    <row r="18874" spans="10:12">
      <c r="J18874" s="31">
        <v>53</v>
      </c>
      <c r="K18874" s="33" t="s">
        <v>126</v>
      </c>
      <c r="L18874" s="31" t="str">
        <f t="shared" si="1825"/>
        <v>Lima Puluh Tiga</v>
      </c>
    </row>
    <row r="18875" spans="10:12">
      <c r="J18875" s="31">
        <v>54</v>
      </c>
      <c r="K18875" s="33" t="s">
        <v>127</v>
      </c>
      <c r="L18875" s="31" t="str">
        <f t="shared" si="1825"/>
        <v>Lima Puluh Empat</v>
      </c>
    </row>
    <row r="18876" spans="10:12">
      <c r="J18876" s="31">
        <v>55</v>
      </c>
      <c r="K18876" s="33" t="s">
        <v>128</v>
      </c>
      <c r="L18876" s="31" t="str">
        <f t="shared" si="1825"/>
        <v>Lima Puluh Lima</v>
      </c>
    </row>
    <row r="18877" spans="10:12">
      <c r="J18877" s="31">
        <v>56</v>
      </c>
      <c r="K18877" s="33" t="s">
        <v>129</v>
      </c>
      <c r="L18877" s="31" t="str">
        <f t="shared" si="1825"/>
        <v>Lima Puluh Enam</v>
      </c>
    </row>
    <row r="18878" spans="10:12">
      <c r="J18878" s="31">
        <v>57</v>
      </c>
      <c r="K18878" s="33" t="s">
        <v>130</v>
      </c>
      <c r="L18878" s="31" t="str">
        <f t="shared" si="1825"/>
        <v>Lima Puluh Tujuh</v>
      </c>
    </row>
    <row r="18879" spans="10:12">
      <c r="J18879" s="31">
        <v>58</v>
      </c>
      <c r="K18879" s="33" t="s">
        <v>131</v>
      </c>
      <c r="L18879" s="31" t="str">
        <f t="shared" si="1825"/>
        <v>Lima Puluh Delapan</v>
      </c>
    </row>
    <row r="18880" spans="10:12">
      <c r="J18880" s="31">
        <v>59</v>
      </c>
      <c r="K18880" s="33" t="s">
        <v>132</v>
      </c>
      <c r="L18880" s="31" t="str">
        <f t="shared" si="1825"/>
        <v>Lima Puluh Sembilan</v>
      </c>
    </row>
    <row r="18881" spans="10:12">
      <c r="J18881" s="31">
        <v>60</v>
      </c>
      <c r="K18881" s="33" t="s">
        <v>133</v>
      </c>
      <c r="L18881" s="31" t="s">
        <v>134</v>
      </c>
    </row>
    <row r="18882" spans="10:12">
      <c r="J18882" s="31">
        <v>61</v>
      </c>
      <c r="K18882" s="33" t="s">
        <v>135</v>
      </c>
      <c r="L18882" s="31" t="str">
        <f t="shared" ref="L18882:L18890" si="1826">$L$63&amp;" "&amp;L18822</f>
        <v>Enam Puluh Satu</v>
      </c>
    </row>
    <row r="18883" spans="10:12">
      <c r="J18883" s="31">
        <v>62</v>
      </c>
      <c r="K18883" s="33" t="s">
        <v>136</v>
      </c>
      <c r="L18883" s="31" t="str">
        <f t="shared" si="1826"/>
        <v>Enam Puluh Dua</v>
      </c>
    </row>
    <row r="18884" spans="10:12">
      <c r="J18884" s="31">
        <v>63</v>
      </c>
      <c r="K18884" s="33" t="s">
        <v>137</v>
      </c>
      <c r="L18884" s="31" t="str">
        <f t="shared" si="1826"/>
        <v>Enam Puluh Tiga</v>
      </c>
    </row>
    <row r="18885" spans="10:12">
      <c r="J18885" s="31">
        <v>64</v>
      </c>
      <c r="K18885" s="33" t="s">
        <v>138</v>
      </c>
      <c r="L18885" s="31" t="str">
        <f t="shared" si="1826"/>
        <v>Enam Puluh Empat</v>
      </c>
    </row>
    <row r="18886" spans="10:12">
      <c r="J18886" s="31">
        <v>65</v>
      </c>
      <c r="K18886" s="33" t="s">
        <v>139</v>
      </c>
      <c r="L18886" s="31" t="str">
        <f t="shared" si="1826"/>
        <v>Enam Puluh Lima</v>
      </c>
    </row>
    <row r="18887" spans="10:12">
      <c r="J18887" s="31">
        <v>66</v>
      </c>
      <c r="K18887" s="33" t="s">
        <v>140</v>
      </c>
      <c r="L18887" s="31" t="str">
        <f t="shared" si="1826"/>
        <v>Enam Puluh Enam</v>
      </c>
    </row>
    <row r="18888" spans="10:12">
      <c r="J18888" s="31">
        <v>67</v>
      </c>
      <c r="K18888" s="33" t="s">
        <v>141</v>
      </c>
      <c r="L18888" s="31" t="str">
        <f t="shared" si="1826"/>
        <v>Enam Puluh Tujuh</v>
      </c>
    </row>
    <row r="18889" spans="10:12">
      <c r="J18889" s="31">
        <v>68</v>
      </c>
      <c r="K18889" s="33" t="s">
        <v>142</v>
      </c>
      <c r="L18889" s="31" t="str">
        <f t="shared" si="1826"/>
        <v>Enam Puluh Delapan</v>
      </c>
    </row>
    <row r="18890" spans="10:12">
      <c r="J18890" s="31">
        <v>69</v>
      </c>
      <c r="K18890" s="33" t="s">
        <v>143</v>
      </c>
      <c r="L18890" s="31" t="str">
        <f t="shared" si="1826"/>
        <v>Enam Puluh Sembilan</v>
      </c>
    </row>
    <row r="18891" spans="10:12">
      <c r="J18891" s="31">
        <v>70</v>
      </c>
      <c r="K18891" s="33" t="s">
        <v>144</v>
      </c>
      <c r="L18891" s="31" t="s">
        <v>145</v>
      </c>
    </row>
    <row r="18892" spans="10:12">
      <c r="J18892" s="31">
        <v>71</v>
      </c>
      <c r="K18892" s="33" t="s">
        <v>146</v>
      </c>
      <c r="L18892" s="31" t="str">
        <f t="shared" ref="L18892:L18900" si="1827">$L$73&amp;" "&amp;L18822</f>
        <v>Tujuh Puluh Satu</v>
      </c>
    </row>
    <row r="18893" spans="10:12">
      <c r="J18893" s="31">
        <v>72</v>
      </c>
      <c r="K18893" s="33" t="s">
        <v>147</v>
      </c>
      <c r="L18893" s="31" t="str">
        <f t="shared" si="1827"/>
        <v>Tujuh Puluh Dua</v>
      </c>
    </row>
    <row r="18894" spans="10:12">
      <c r="J18894" s="31">
        <v>73</v>
      </c>
      <c r="K18894" s="33" t="s">
        <v>148</v>
      </c>
      <c r="L18894" s="31" t="str">
        <f t="shared" si="1827"/>
        <v>Tujuh Puluh Tiga</v>
      </c>
    </row>
    <row r="18895" spans="10:12">
      <c r="J18895" s="31">
        <v>74</v>
      </c>
      <c r="K18895" s="33" t="s">
        <v>149</v>
      </c>
      <c r="L18895" s="31" t="str">
        <f t="shared" si="1827"/>
        <v>Tujuh Puluh Empat</v>
      </c>
    </row>
    <row r="18896" spans="10:12">
      <c r="J18896" s="31">
        <v>75</v>
      </c>
      <c r="K18896" s="33" t="s">
        <v>150</v>
      </c>
      <c r="L18896" s="31" t="str">
        <f t="shared" si="1827"/>
        <v>Tujuh Puluh Lima</v>
      </c>
    </row>
    <row r="18897" spans="10:12">
      <c r="J18897" s="31">
        <v>76</v>
      </c>
      <c r="K18897" s="33" t="s">
        <v>151</v>
      </c>
      <c r="L18897" s="31" t="str">
        <f t="shared" si="1827"/>
        <v>Tujuh Puluh Enam</v>
      </c>
    </row>
    <row r="18898" spans="10:12">
      <c r="J18898" s="31">
        <v>77</v>
      </c>
      <c r="K18898" s="33" t="s">
        <v>152</v>
      </c>
      <c r="L18898" s="31" t="str">
        <f t="shared" si="1827"/>
        <v>Tujuh Puluh Tujuh</v>
      </c>
    </row>
    <row r="18899" spans="10:12">
      <c r="J18899" s="31">
        <v>78</v>
      </c>
      <c r="K18899" s="33" t="s">
        <v>153</v>
      </c>
      <c r="L18899" s="31" t="str">
        <f t="shared" si="1827"/>
        <v>Tujuh Puluh Delapan</v>
      </c>
    </row>
    <row r="18900" spans="10:12">
      <c r="J18900" s="31">
        <v>79</v>
      </c>
      <c r="K18900" s="33" t="s">
        <v>154</v>
      </c>
      <c r="L18900" s="31" t="str">
        <f t="shared" si="1827"/>
        <v>Tujuh Puluh Sembilan</v>
      </c>
    </row>
    <row r="18901" spans="10:12">
      <c r="J18901" s="31">
        <v>80</v>
      </c>
      <c r="K18901" s="33" t="s">
        <v>155</v>
      </c>
      <c r="L18901" s="31" t="s">
        <v>156</v>
      </c>
    </row>
    <row r="18902" spans="10:12">
      <c r="J18902" s="31">
        <v>81</v>
      </c>
      <c r="K18902" s="33" t="s">
        <v>157</v>
      </c>
      <c r="L18902" s="31" t="str">
        <f t="shared" ref="L18902:L18910" si="1828">$L$83&amp;" "&amp;L18822</f>
        <v>Delapan Puluh Satu</v>
      </c>
    </row>
    <row r="18903" spans="10:12">
      <c r="J18903" s="31">
        <v>82</v>
      </c>
      <c r="K18903" s="33" t="s">
        <v>158</v>
      </c>
      <c r="L18903" s="31" t="str">
        <f t="shared" si="1828"/>
        <v>Delapan Puluh Dua</v>
      </c>
    </row>
    <row r="18904" spans="10:12">
      <c r="J18904" s="31">
        <v>83</v>
      </c>
      <c r="K18904" s="33" t="s">
        <v>159</v>
      </c>
      <c r="L18904" s="31" t="str">
        <f t="shared" si="1828"/>
        <v>Delapan Puluh Tiga</v>
      </c>
    </row>
    <row r="18905" spans="10:12">
      <c r="J18905" s="31">
        <v>84</v>
      </c>
      <c r="K18905" s="33" t="s">
        <v>160</v>
      </c>
      <c r="L18905" s="31" t="str">
        <f t="shared" si="1828"/>
        <v>Delapan Puluh Empat</v>
      </c>
    </row>
    <row r="18906" spans="10:12">
      <c r="J18906" s="31">
        <v>85</v>
      </c>
      <c r="K18906" s="33" t="s">
        <v>161</v>
      </c>
      <c r="L18906" s="31" t="str">
        <f t="shared" si="1828"/>
        <v>Delapan Puluh Lima</v>
      </c>
    </row>
    <row r="18907" spans="10:12">
      <c r="J18907" s="31">
        <v>86</v>
      </c>
      <c r="K18907" s="33" t="s">
        <v>162</v>
      </c>
      <c r="L18907" s="31" t="str">
        <f t="shared" si="1828"/>
        <v>Delapan Puluh Enam</v>
      </c>
    </row>
    <row r="18908" spans="10:12">
      <c r="J18908" s="31">
        <v>87</v>
      </c>
      <c r="K18908" s="33" t="s">
        <v>163</v>
      </c>
      <c r="L18908" s="31" t="str">
        <f t="shared" si="1828"/>
        <v>Delapan Puluh Tujuh</v>
      </c>
    </row>
    <row r="18909" spans="10:12">
      <c r="J18909" s="31">
        <v>88</v>
      </c>
      <c r="K18909" s="33" t="s">
        <v>164</v>
      </c>
      <c r="L18909" s="31" t="str">
        <f t="shared" si="1828"/>
        <v>Delapan Puluh Delapan</v>
      </c>
    </row>
    <row r="18910" spans="10:12">
      <c r="J18910" s="31">
        <v>89</v>
      </c>
      <c r="K18910" s="33" t="s">
        <v>165</v>
      </c>
      <c r="L18910" s="31" t="str">
        <f t="shared" si="1828"/>
        <v>Delapan Puluh Sembilan</v>
      </c>
    </row>
    <row r="18911" spans="10:12">
      <c r="J18911" s="31">
        <v>90</v>
      </c>
      <c r="K18911" s="33" t="s">
        <v>166</v>
      </c>
      <c r="L18911" s="31" t="s">
        <v>167</v>
      </c>
    </row>
    <row r="18912" spans="10:12">
      <c r="J18912" s="31">
        <v>91</v>
      </c>
      <c r="K18912" s="33" t="s">
        <v>168</v>
      </c>
      <c r="L18912" s="31" t="str">
        <f t="shared" ref="L18912:L18920" si="1829">$L$93&amp;" "&amp;L18822</f>
        <v>Sembilan Puluh Satu</v>
      </c>
    </row>
    <row r="18913" spans="1:12">
      <c r="J18913" s="31">
        <v>92</v>
      </c>
      <c r="K18913" s="33" t="s">
        <v>169</v>
      </c>
      <c r="L18913" s="31" t="str">
        <f t="shared" si="1829"/>
        <v>Sembilan Puluh Dua</v>
      </c>
    </row>
    <row r="18914" spans="1:12">
      <c r="J18914" s="31">
        <v>93</v>
      </c>
      <c r="K18914" s="33" t="s">
        <v>170</v>
      </c>
      <c r="L18914" s="31" t="str">
        <f t="shared" si="1829"/>
        <v>Sembilan Puluh Tiga</v>
      </c>
    </row>
    <row r="18915" spans="1:12">
      <c r="J18915" s="31">
        <v>94</v>
      </c>
      <c r="K18915" s="33" t="s">
        <v>171</v>
      </c>
      <c r="L18915" s="31" t="str">
        <f t="shared" si="1829"/>
        <v>Sembilan Puluh Empat</v>
      </c>
    </row>
    <row r="18916" spans="1:12">
      <c r="J18916" s="31">
        <v>95</v>
      </c>
      <c r="K18916" s="33" t="s">
        <v>172</v>
      </c>
      <c r="L18916" s="31" t="str">
        <f t="shared" si="1829"/>
        <v>Sembilan Puluh Lima</v>
      </c>
    </row>
    <row r="18917" spans="1:12">
      <c r="J18917" s="31">
        <v>96</v>
      </c>
      <c r="K18917" s="33" t="s">
        <v>173</v>
      </c>
      <c r="L18917" s="31" t="str">
        <f t="shared" si="1829"/>
        <v>Sembilan Puluh Enam</v>
      </c>
    </row>
    <row r="18918" spans="1:12">
      <c r="J18918" s="31">
        <v>97</v>
      </c>
      <c r="K18918" s="33" t="s">
        <v>174</v>
      </c>
      <c r="L18918" s="31" t="str">
        <f t="shared" si="1829"/>
        <v>Sembilan Puluh Tujuh</v>
      </c>
    </row>
    <row r="18919" spans="1:12">
      <c r="J18919" s="31">
        <v>98</v>
      </c>
      <c r="K18919" s="33" t="s">
        <v>175</v>
      </c>
      <c r="L18919" s="31" t="str">
        <f t="shared" si="1829"/>
        <v>Sembilan Puluh Delapan</v>
      </c>
    </row>
    <row r="18920" spans="1:12">
      <c r="J18920" s="31">
        <v>99</v>
      </c>
      <c r="K18920" s="33" t="s">
        <v>176</v>
      </c>
      <c r="L18920" s="31" t="str">
        <f t="shared" si="1829"/>
        <v>Sembilan Puluh Sembilan</v>
      </c>
    </row>
    <row r="18922" spans="1:12">
      <c r="A18922" s="30" t="e">
        <f>#REF!</f>
        <v>#REF!</v>
      </c>
      <c r="C18922" s="31" t="s">
        <v>444</v>
      </c>
    </row>
    <row r="18923" spans="1:12">
      <c r="A18923" s="32"/>
    </row>
    <row r="18924" spans="1:12">
      <c r="J18924" s="31">
        <v>0</v>
      </c>
      <c r="K18924" s="33" t="s">
        <v>48</v>
      </c>
      <c r="L18924" s="31" t="s">
        <v>49</v>
      </c>
    </row>
    <row r="18925" spans="1:12">
      <c r="A18925" s="34"/>
      <c r="J18925" s="31">
        <v>1</v>
      </c>
      <c r="K18925" s="33" t="s">
        <v>50</v>
      </c>
      <c r="L18925" s="31" t="s">
        <v>51</v>
      </c>
    </row>
    <row r="18926" spans="1:12">
      <c r="A18926" s="255" t="e">
        <f>TRIM(D18934&amp;E18934&amp;D18935&amp;E18935&amp;D18936&amp;E18936&amp;D18937&amp;E18937&amp;D18938&amp;E18938&amp;D18939&amp;E18939&amp;E18940&amp;D18940&amp;" Only")</f>
        <v>#REF!</v>
      </c>
      <c r="B18926" s="255"/>
      <c r="C18926" s="255"/>
      <c r="D18926" s="255"/>
      <c r="E18926" s="35"/>
      <c r="F18926" s="36"/>
      <c r="J18926" s="31">
        <v>2</v>
      </c>
      <c r="K18926" s="33" t="s">
        <v>52</v>
      </c>
      <c r="L18926" s="31" t="s">
        <v>53</v>
      </c>
    </row>
    <row r="18927" spans="1:12">
      <c r="A18927" s="170"/>
      <c r="B18927" s="170"/>
      <c r="C18927" s="170"/>
      <c r="D18927" s="170"/>
      <c r="E18927" s="35"/>
      <c r="F18927" s="36"/>
      <c r="J18927" s="31">
        <v>3</v>
      </c>
      <c r="K18927" s="33" t="s">
        <v>54</v>
      </c>
      <c r="L18927" s="31" t="s">
        <v>55</v>
      </c>
    </row>
    <row r="18928" spans="1:12">
      <c r="A18928" s="170"/>
      <c r="B18928" s="170"/>
      <c r="C18928" s="170"/>
      <c r="D18928" s="170"/>
      <c r="J18928" s="31">
        <v>4</v>
      </c>
      <c r="K18928" s="33" t="s">
        <v>56</v>
      </c>
      <c r="L18928" s="31" t="s">
        <v>57</v>
      </c>
    </row>
    <row r="18929" spans="1:12">
      <c r="A18929" s="255" t="e">
        <f>TRIM(D18944&amp;E18944&amp;D18945&amp;E18945&amp;D18946&amp;E18946&amp;D18947&amp;E18947&amp;D18948&amp;E18948&amp;D18949&amp;E18949&amp;D18950&amp;E18950&amp;" Rupiah")</f>
        <v>#REF!</v>
      </c>
      <c r="B18929" s="255"/>
      <c r="C18929" s="255"/>
      <c r="D18929" s="255"/>
      <c r="E18929" s="35"/>
      <c r="F18929" s="36"/>
      <c r="J18929" s="31">
        <v>5</v>
      </c>
      <c r="K18929" s="33" t="s">
        <v>58</v>
      </c>
      <c r="L18929" s="31" t="s">
        <v>59</v>
      </c>
    </row>
    <row r="18930" spans="1:12">
      <c r="A18930" s="35"/>
      <c r="B18930" s="35"/>
      <c r="C18930" s="35"/>
      <c r="D18930" s="35"/>
      <c r="E18930" s="35"/>
      <c r="F18930" s="36"/>
      <c r="J18930" s="31">
        <v>6</v>
      </c>
      <c r="K18930" s="33" t="s">
        <v>60</v>
      </c>
      <c r="L18930" s="31" t="s">
        <v>61</v>
      </c>
    </row>
    <row r="18931" spans="1:12">
      <c r="J18931" s="31">
        <v>7</v>
      </c>
      <c r="K18931" s="33" t="s">
        <v>62</v>
      </c>
      <c r="L18931" s="31" t="s">
        <v>63</v>
      </c>
    </row>
    <row r="18932" spans="1:12">
      <c r="J18932" s="31">
        <v>8</v>
      </c>
      <c r="K18932" s="33" t="s">
        <v>64</v>
      </c>
      <c r="L18932" s="31" t="s">
        <v>65</v>
      </c>
    </row>
    <row r="18933" spans="1:12">
      <c r="A18933" s="38" t="s">
        <v>66</v>
      </c>
      <c r="J18933" s="31">
        <v>9</v>
      </c>
      <c r="K18933" s="33" t="s">
        <v>67</v>
      </c>
      <c r="L18933" s="31" t="s">
        <v>68</v>
      </c>
    </row>
    <row r="18934" spans="1:12">
      <c r="A18934" s="31" t="s">
        <v>69</v>
      </c>
      <c r="B18934" s="39" t="e">
        <f>TRUNC(A18922/100000000)</f>
        <v>#REF!</v>
      </c>
      <c r="C18934" s="31" t="e">
        <f>B18934*100000000</f>
        <v>#REF!</v>
      </c>
      <c r="D18934" s="31" t="e">
        <f t="shared" ref="D18934:D18940" si="1830">IF(B18934&lt;1,"",VLOOKUP(B18934,$J$3:$K$102,2))</f>
        <v>#REF!</v>
      </c>
      <c r="E18934" s="31" t="e">
        <f>IF(B18934&lt;1,"",IF(B18934&gt;1," Hundreds "," Hundred "))</f>
        <v>#REF!</v>
      </c>
      <c r="J18934" s="31">
        <v>10</v>
      </c>
      <c r="K18934" s="33" t="s">
        <v>70</v>
      </c>
      <c r="L18934" s="31" t="s">
        <v>71</v>
      </c>
    </row>
    <row r="18935" spans="1:12">
      <c r="A18935" s="31" t="s">
        <v>72</v>
      </c>
      <c r="B18935" s="39" t="e">
        <f>TRUNC((A18922-C18934)/1000000)</f>
        <v>#REF!</v>
      </c>
      <c r="C18935" s="31" t="e">
        <f>B18935*1000000</f>
        <v>#REF!</v>
      </c>
      <c r="D18935" s="31" t="e">
        <f t="shared" si="1830"/>
        <v>#REF!</v>
      </c>
      <c r="E18935" s="31" t="e">
        <f>IF(B18934+B18935=0,"",IF(B18935=1," Million "," Millions "))</f>
        <v>#REF!</v>
      </c>
      <c r="J18935" s="31">
        <v>11</v>
      </c>
      <c r="K18935" s="33" t="s">
        <v>73</v>
      </c>
      <c r="L18935" s="31" t="s">
        <v>74</v>
      </c>
    </row>
    <row r="18936" spans="1:12">
      <c r="A18936" s="31" t="s">
        <v>75</v>
      </c>
      <c r="B18936" s="39" t="e">
        <f>TRUNC((A18922-SUM(C18934:C18935))/100000)</f>
        <v>#REF!</v>
      </c>
      <c r="C18936" s="31" t="e">
        <f>B18936*100000</f>
        <v>#REF!</v>
      </c>
      <c r="D18936" s="31" t="e">
        <f t="shared" si="1830"/>
        <v>#REF!</v>
      </c>
      <c r="E18936" s="31" t="e">
        <f>IF(B18936&lt;1,"",IF(B18936&gt;1," Hundreds "," Hundred "))</f>
        <v>#REF!</v>
      </c>
      <c r="J18936" s="31">
        <v>12</v>
      </c>
      <c r="K18936" s="33" t="s">
        <v>76</v>
      </c>
      <c r="L18936" s="31" t="str">
        <f t="shared" ref="L18936:L18943" si="1831">L18926&amp;" Belas"</f>
        <v>Dua Belas</v>
      </c>
    </row>
    <row r="18937" spans="1:12">
      <c r="A18937" s="33" t="s">
        <v>77</v>
      </c>
      <c r="B18937" s="40" t="e">
        <f>TRUNC((A18922-SUM(C18934:C18936))/1000)</f>
        <v>#REF!</v>
      </c>
      <c r="C18937" s="31" t="e">
        <f>B18937*1000</f>
        <v>#REF!</v>
      </c>
      <c r="D18937" s="31" t="e">
        <f t="shared" si="1830"/>
        <v>#REF!</v>
      </c>
      <c r="E18937" s="31" t="e">
        <f>IF(B18936+B18937=0,"",IF(B18937=1," Thousand "," Thousands "))</f>
        <v>#REF!</v>
      </c>
      <c r="J18937" s="31">
        <v>13</v>
      </c>
      <c r="K18937" s="33" t="s">
        <v>78</v>
      </c>
      <c r="L18937" s="31" t="str">
        <f t="shared" si="1831"/>
        <v>Tiga Belas</v>
      </c>
    </row>
    <row r="18938" spans="1:12">
      <c r="A18938" s="33" t="s">
        <v>79</v>
      </c>
      <c r="B18938" s="40" t="e">
        <f>TRUNC((A18922-SUM(C18934:C18937))/100)</f>
        <v>#REF!</v>
      </c>
      <c r="C18938" s="31" t="e">
        <f>B18938*100</f>
        <v>#REF!</v>
      </c>
      <c r="D18938" s="31" t="e">
        <f t="shared" si="1830"/>
        <v>#REF!</v>
      </c>
      <c r="E18938" s="31" t="e">
        <f>IF(B18938&lt;1,"",IF(B18938&gt;1," Hundreds "," Hundred "))</f>
        <v>#REF!</v>
      </c>
      <c r="J18938" s="31">
        <v>14</v>
      </c>
      <c r="K18938" s="33" t="s">
        <v>80</v>
      </c>
      <c r="L18938" s="31" t="str">
        <f t="shared" si="1831"/>
        <v>Empat Belas</v>
      </c>
    </row>
    <row r="18939" spans="1:12">
      <c r="A18939" s="33" t="s">
        <v>81</v>
      </c>
      <c r="B18939" s="41" t="e">
        <f>TRUNC((A18922-SUM(C18934:C18938)))</f>
        <v>#REF!</v>
      </c>
      <c r="C18939" s="42" t="e">
        <f>B18939</f>
        <v>#REF!</v>
      </c>
      <c r="D18939" s="31" t="e">
        <f t="shared" si="1830"/>
        <v>#REF!</v>
      </c>
      <c r="E18939" s="31" t="e">
        <f>IF(SUM(C18934:C18939)&lt;1,"",IF(B18940&lt;1,""," And "))</f>
        <v>#REF!</v>
      </c>
      <c r="J18939" s="31">
        <v>15</v>
      </c>
      <c r="K18939" s="33" t="s">
        <v>82</v>
      </c>
      <c r="L18939" s="31" t="str">
        <f t="shared" si="1831"/>
        <v>Lima Belas</v>
      </c>
    </row>
    <row r="18940" spans="1:12">
      <c r="A18940" s="33" t="s">
        <v>83</v>
      </c>
      <c r="B18940" s="40" t="e">
        <f>ROUND(A18922-SUM(C18934:C18939),2)*100</f>
        <v>#REF!</v>
      </c>
      <c r="D18940" s="43" t="e">
        <f t="shared" si="1830"/>
        <v>#REF!</v>
      </c>
      <c r="E18940" s="31" t="e">
        <f>IF(B18940&lt;1,"",IF(B18940=1," Cent "," Cents "))</f>
        <v>#REF!</v>
      </c>
      <c r="J18940" s="31">
        <v>16</v>
      </c>
      <c r="K18940" s="33" t="s">
        <v>84</v>
      </c>
      <c r="L18940" s="31" t="str">
        <f t="shared" si="1831"/>
        <v>Enam Belas</v>
      </c>
    </row>
    <row r="18941" spans="1:12">
      <c r="J18941" s="31">
        <v>17</v>
      </c>
      <c r="K18941" s="33" t="s">
        <v>85</v>
      </c>
      <c r="L18941" s="31" t="str">
        <f t="shared" si="1831"/>
        <v>Tujuh Belas</v>
      </c>
    </row>
    <row r="18942" spans="1:12">
      <c r="A18942" s="44"/>
      <c r="J18942" s="31">
        <v>18</v>
      </c>
      <c r="K18942" s="33" t="s">
        <v>86</v>
      </c>
      <c r="L18942" s="31" t="str">
        <f t="shared" si="1831"/>
        <v>Delapan Belas</v>
      </c>
    </row>
    <row r="18943" spans="1:12">
      <c r="A18943" s="38" t="s">
        <v>87</v>
      </c>
      <c r="J18943" s="31">
        <v>19</v>
      </c>
      <c r="K18943" s="33" t="s">
        <v>88</v>
      </c>
      <c r="L18943" s="31" t="str">
        <f t="shared" si="1831"/>
        <v>Sembilan Belas</v>
      </c>
    </row>
    <row r="18944" spans="1:12">
      <c r="A18944" s="31" t="s">
        <v>69</v>
      </c>
      <c r="B18944" s="39" t="e">
        <f>TRUNC(A18922/100000000)</f>
        <v>#REF!</v>
      </c>
      <c r="C18944" s="31" t="e">
        <f>B18944*100000000</f>
        <v>#REF!</v>
      </c>
      <c r="D18944" s="31" t="e">
        <f>IF(B18944&lt;1,"",IF(B18944=1,"",VLOOKUP(B18944,$J$3:$L$102,3)))</f>
        <v>#REF!</v>
      </c>
      <c r="E18944" s="31" t="e">
        <f>IF(B18944&lt;1,"",IF(B18944=1,"Seratus "," Ratus "))</f>
        <v>#REF!</v>
      </c>
      <c r="J18944" s="31">
        <v>20</v>
      </c>
      <c r="K18944" s="33" t="s">
        <v>89</v>
      </c>
      <c r="L18944" s="31" t="s">
        <v>90</v>
      </c>
    </row>
    <row r="18945" spans="1:12">
      <c r="A18945" s="31" t="s">
        <v>72</v>
      </c>
      <c r="B18945" s="39" t="e">
        <f>TRUNC((A18922-C18944)/1000000)</f>
        <v>#REF!</v>
      </c>
      <c r="C18945" s="31" t="e">
        <f>B18945*1000000</f>
        <v>#REF!</v>
      </c>
      <c r="D18945" s="31" t="e">
        <f>IF(B18945&lt;1,"",VLOOKUP(B18945,$J$3:$L$102,3))</f>
        <v>#REF!</v>
      </c>
      <c r="E18945" s="31" t="e">
        <f>IF(B18944+B18945=0,""," Juta ")</f>
        <v>#REF!</v>
      </c>
      <c r="J18945" s="31">
        <v>21</v>
      </c>
      <c r="K18945" s="33" t="s">
        <v>91</v>
      </c>
      <c r="L18945" s="31" t="str">
        <f t="shared" ref="L18945:L18953" si="1832">$L$23&amp;" "&amp;L18925</f>
        <v>Dua Puluh Satu</v>
      </c>
    </row>
    <row r="18946" spans="1:12">
      <c r="A18946" s="31" t="s">
        <v>75</v>
      </c>
      <c r="B18946" s="39" t="e">
        <f>TRUNC((A18922-SUM(C18944:C18945))/100000)</f>
        <v>#REF!</v>
      </c>
      <c r="C18946" s="31" t="e">
        <f>B18946*100000</f>
        <v>#REF!</v>
      </c>
      <c r="D18946" s="31" t="e">
        <f>IF(B18946&lt;1,"",IF(B18946=1,"",VLOOKUP(B18946,$J$3:$L$102,3)))</f>
        <v>#REF!</v>
      </c>
      <c r="E18946" s="31" t="e">
        <f>IF(B18946&lt;1,"",IF(B18946=1," Seratus "," Ratus "))</f>
        <v>#REF!</v>
      </c>
      <c r="J18946" s="31">
        <v>22</v>
      </c>
      <c r="K18946" s="33" t="s">
        <v>92</v>
      </c>
      <c r="L18946" s="31" t="str">
        <f t="shared" si="1832"/>
        <v>Dua Puluh Dua</v>
      </c>
    </row>
    <row r="18947" spans="1:12">
      <c r="A18947" s="33" t="s">
        <v>77</v>
      </c>
      <c r="B18947" s="40" t="e">
        <f>TRUNC((A18922-SUM(C18944:C18946))/1000)</f>
        <v>#REF!</v>
      </c>
      <c r="C18947" s="31" t="e">
        <f>B18947*1000</f>
        <v>#REF!</v>
      </c>
      <c r="D18947" s="31" t="e">
        <f>IF(B18947&lt;1,"",IF(B18947=1,"",VLOOKUP(B18947,$J$3:$L$102,3)))</f>
        <v>#REF!</v>
      </c>
      <c r="E18947" s="31" t="e">
        <f>IF(B18946+B18947&lt;1,"",IF(B18947=1," Seribu "," Ribu "))</f>
        <v>#REF!</v>
      </c>
      <c r="J18947" s="31">
        <v>23</v>
      </c>
      <c r="K18947" s="33" t="s">
        <v>93</v>
      </c>
      <c r="L18947" s="31" t="str">
        <f t="shared" si="1832"/>
        <v>Dua Puluh Tiga</v>
      </c>
    </row>
    <row r="18948" spans="1:12">
      <c r="A18948" s="33" t="s">
        <v>79</v>
      </c>
      <c r="B18948" s="40" t="e">
        <f>TRUNC((A18922-SUM(C18944:C18947))/100)</f>
        <v>#REF!</v>
      </c>
      <c r="C18948" s="31" t="e">
        <f>B18948*100</f>
        <v>#REF!</v>
      </c>
      <c r="D18948" s="31" t="e">
        <f>IF(B18948&lt;1,"",IF(B18948=1,"",VLOOKUP(B18948,$J$3:$L$102,3)))</f>
        <v>#REF!</v>
      </c>
      <c r="E18948" s="31" t="e">
        <f>IF(B18948&lt;1,"",IF(B18948=1," Seratus "," Ratus "))</f>
        <v>#REF!</v>
      </c>
      <c r="J18948" s="31">
        <v>24</v>
      </c>
      <c r="K18948" s="33" t="s">
        <v>94</v>
      </c>
      <c r="L18948" s="31" t="str">
        <f t="shared" si="1832"/>
        <v>Dua Puluh Empat</v>
      </c>
    </row>
    <row r="18949" spans="1:12">
      <c r="A18949" s="33" t="s">
        <v>81</v>
      </c>
      <c r="B18949" s="41" t="e">
        <f>TRUNC((A18922-SUM(C18944:C18948)))</f>
        <v>#REF!</v>
      </c>
      <c r="C18949" s="42" t="e">
        <f>B18949</f>
        <v>#REF!</v>
      </c>
      <c r="D18949" s="31" t="e">
        <f>IF(B18949&lt;1,"",VLOOKUP(B18949,$J$3:$L$102,3))</f>
        <v>#REF!</v>
      </c>
      <c r="E18949" s="31" t="e">
        <f>IF(SUM(C18944:C18949)&lt;1,"",IF(B18950&lt;1,""," Dan "))</f>
        <v>#REF!</v>
      </c>
      <c r="J18949" s="31">
        <v>25</v>
      </c>
      <c r="K18949" s="33" t="s">
        <v>95</v>
      </c>
      <c r="L18949" s="31" t="str">
        <f t="shared" si="1832"/>
        <v>Dua Puluh Lima</v>
      </c>
    </row>
    <row r="18950" spans="1:12">
      <c r="A18950" s="33" t="s">
        <v>83</v>
      </c>
      <c r="B18950" s="40" t="e">
        <f>ROUND(A18922-SUM(C18944:C18949),2)*100</f>
        <v>#REF!</v>
      </c>
      <c r="D18950" s="31" t="e">
        <f>IF(B18950&lt;1,"",VLOOKUP(B18950,$J$3:$L$102,3))</f>
        <v>#REF!</v>
      </c>
      <c r="E18950" s="31" t="e">
        <f>IF(B18950&lt;1,""," Sen ")</f>
        <v>#REF!</v>
      </c>
      <c r="J18950" s="31">
        <v>26</v>
      </c>
      <c r="K18950" s="33" t="s">
        <v>96</v>
      </c>
      <c r="L18950" s="31" t="str">
        <f t="shared" si="1832"/>
        <v>Dua Puluh Enam</v>
      </c>
    </row>
    <row r="18951" spans="1:12">
      <c r="J18951" s="31">
        <v>27</v>
      </c>
      <c r="K18951" s="33" t="s">
        <v>97</v>
      </c>
      <c r="L18951" s="31" t="str">
        <f t="shared" si="1832"/>
        <v>Dua Puluh Tujuh</v>
      </c>
    </row>
    <row r="18952" spans="1:12">
      <c r="J18952" s="31">
        <v>28</v>
      </c>
      <c r="K18952" s="33" t="s">
        <v>98</v>
      </c>
      <c r="L18952" s="31" t="str">
        <f t="shared" si="1832"/>
        <v>Dua Puluh Delapan</v>
      </c>
    </row>
    <row r="18953" spans="1:12">
      <c r="J18953" s="31">
        <v>29</v>
      </c>
      <c r="K18953" s="33" t="s">
        <v>99</v>
      </c>
      <c r="L18953" s="31" t="str">
        <f t="shared" si="1832"/>
        <v>Dua Puluh Sembilan</v>
      </c>
    </row>
    <row r="18954" spans="1:12">
      <c r="J18954" s="31">
        <v>30</v>
      </c>
      <c r="K18954" s="33" t="s">
        <v>100</v>
      </c>
      <c r="L18954" s="31" t="s">
        <v>101</v>
      </c>
    </row>
    <row r="18955" spans="1:12">
      <c r="J18955" s="31">
        <v>31</v>
      </c>
      <c r="K18955" s="33" t="s">
        <v>102</v>
      </c>
      <c r="L18955" s="31" t="str">
        <f t="shared" ref="L18955:L18963" si="1833">$L$33&amp;" "&amp;L18925</f>
        <v>Tiga Puluh Satu</v>
      </c>
    </row>
    <row r="18956" spans="1:12">
      <c r="J18956" s="31">
        <v>32</v>
      </c>
      <c r="K18956" s="33" t="s">
        <v>103</v>
      </c>
      <c r="L18956" s="31" t="str">
        <f t="shared" si="1833"/>
        <v>Tiga Puluh Dua</v>
      </c>
    </row>
    <row r="18957" spans="1:12">
      <c r="J18957" s="31">
        <v>33</v>
      </c>
      <c r="K18957" s="33" t="s">
        <v>104</v>
      </c>
      <c r="L18957" s="31" t="str">
        <f t="shared" si="1833"/>
        <v>Tiga Puluh Tiga</v>
      </c>
    </row>
    <row r="18958" spans="1:12">
      <c r="J18958" s="31">
        <v>34</v>
      </c>
      <c r="K18958" s="33" t="s">
        <v>105</v>
      </c>
      <c r="L18958" s="31" t="str">
        <f t="shared" si="1833"/>
        <v>Tiga Puluh Empat</v>
      </c>
    </row>
    <row r="18959" spans="1:12">
      <c r="J18959" s="31">
        <v>35</v>
      </c>
      <c r="K18959" s="33" t="s">
        <v>106</v>
      </c>
      <c r="L18959" s="31" t="str">
        <f t="shared" si="1833"/>
        <v>Tiga Puluh Lima</v>
      </c>
    </row>
    <row r="18960" spans="1:12">
      <c r="J18960" s="31">
        <v>36</v>
      </c>
      <c r="K18960" s="33" t="s">
        <v>107</v>
      </c>
      <c r="L18960" s="31" t="str">
        <f t="shared" si="1833"/>
        <v>Tiga Puluh Enam</v>
      </c>
    </row>
    <row r="18961" spans="1:12">
      <c r="J18961" s="31">
        <v>37</v>
      </c>
      <c r="K18961" s="33" t="s">
        <v>108</v>
      </c>
      <c r="L18961" s="31" t="str">
        <f t="shared" si="1833"/>
        <v>Tiga Puluh Tujuh</v>
      </c>
    </row>
    <row r="18962" spans="1:12">
      <c r="J18962" s="31">
        <v>38</v>
      </c>
      <c r="K18962" s="33" t="s">
        <v>109</v>
      </c>
      <c r="L18962" s="31" t="str">
        <f t="shared" si="1833"/>
        <v>Tiga Puluh Delapan</v>
      </c>
    </row>
    <row r="18963" spans="1:12">
      <c r="J18963" s="31">
        <v>39</v>
      </c>
      <c r="K18963" s="33" t="s">
        <v>110</v>
      </c>
      <c r="L18963" s="31" t="str">
        <f t="shared" si="1833"/>
        <v>Tiga Puluh Sembilan</v>
      </c>
    </row>
    <row r="18964" spans="1:12">
      <c r="B18964" s="35"/>
      <c r="C18964" s="35"/>
      <c r="D18964" s="35"/>
      <c r="J18964" s="31">
        <v>40</v>
      </c>
      <c r="K18964" s="33" t="s">
        <v>111</v>
      </c>
      <c r="L18964" s="31" t="s">
        <v>112</v>
      </c>
    </row>
    <row r="18965" spans="1:12">
      <c r="A18965" s="35"/>
      <c r="B18965" s="35"/>
      <c r="C18965" s="35"/>
      <c r="D18965" s="35"/>
      <c r="J18965" s="31">
        <v>41</v>
      </c>
      <c r="K18965" s="33" t="s">
        <v>113</v>
      </c>
      <c r="L18965" s="31" t="str">
        <f t="shared" ref="L18965:L18973" si="1834">$L$43&amp;" "&amp;L18925</f>
        <v>Empat Puluh Satu</v>
      </c>
    </row>
    <row r="18966" spans="1:12">
      <c r="J18966" s="31">
        <v>42</v>
      </c>
      <c r="K18966" s="33" t="s">
        <v>114</v>
      </c>
      <c r="L18966" s="31" t="str">
        <f t="shared" si="1834"/>
        <v>Empat Puluh Dua</v>
      </c>
    </row>
    <row r="18967" spans="1:12">
      <c r="A18967" s="38"/>
      <c r="J18967" s="31">
        <v>43</v>
      </c>
      <c r="K18967" s="33" t="s">
        <v>115</v>
      </c>
      <c r="L18967" s="31" t="str">
        <f t="shared" si="1834"/>
        <v>Empat Puluh Tiga</v>
      </c>
    </row>
    <row r="18968" spans="1:12">
      <c r="J18968" s="31">
        <v>44</v>
      </c>
      <c r="K18968" s="33" t="s">
        <v>116</v>
      </c>
      <c r="L18968" s="31" t="str">
        <f t="shared" si="1834"/>
        <v>Empat Puluh Empat</v>
      </c>
    </row>
    <row r="18969" spans="1:12">
      <c r="J18969" s="31">
        <v>45</v>
      </c>
      <c r="K18969" s="33" t="s">
        <v>117</v>
      </c>
      <c r="L18969" s="31" t="str">
        <f t="shared" si="1834"/>
        <v>Empat Puluh Lima</v>
      </c>
    </row>
    <row r="18970" spans="1:12">
      <c r="J18970" s="31">
        <v>46</v>
      </c>
      <c r="K18970" s="33" t="s">
        <v>118</v>
      </c>
      <c r="L18970" s="31" t="str">
        <f t="shared" si="1834"/>
        <v>Empat Puluh Enam</v>
      </c>
    </row>
    <row r="18971" spans="1:12">
      <c r="J18971" s="31">
        <v>47</v>
      </c>
      <c r="K18971" s="33" t="s">
        <v>119</v>
      </c>
      <c r="L18971" s="31" t="str">
        <f t="shared" si="1834"/>
        <v>Empat Puluh Tujuh</v>
      </c>
    </row>
    <row r="18972" spans="1:12">
      <c r="J18972" s="31">
        <v>48</v>
      </c>
      <c r="K18972" s="33" t="s">
        <v>120</v>
      </c>
      <c r="L18972" s="31" t="str">
        <f t="shared" si="1834"/>
        <v>Empat Puluh Delapan</v>
      </c>
    </row>
    <row r="18973" spans="1:12">
      <c r="J18973" s="31">
        <v>49</v>
      </c>
      <c r="K18973" s="33" t="s">
        <v>121</v>
      </c>
      <c r="L18973" s="31" t="str">
        <f t="shared" si="1834"/>
        <v>Empat Puluh Sembilan</v>
      </c>
    </row>
    <row r="18974" spans="1:12">
      <c r="J18974" s="31">
        <v>50</v>
      </c>
      <c r="K18974" s="33" t="s">
        <v>122</v>
      </c>
      <c r="L18974" s="31" t="s">
        <v>123</v>
      </c>
    </row>
    <row r="18975" spans="1:12">
      <c r="J18975" s="31">
        <v>51</v>
      </c>
      <c r="K18975" s="33" t="s">
        <v>124</v>
      </c>
      <c r="L18975" s="31" t="str">
        <f t="shared" ref="L18975:L18983" si="1835">$L$53&amp;" "&amp;L18925</f>
        <v>Lima Puluh Satu</v>
      </c>
    </row>
    <row r="18976" spans="1:12">
      <c r="J18976" s="31">
        <v>52</v>
      </c>
      <c r="K18976" s="33" t="s">
        <v>125</v>
      </c>
      <c r="L18976" s="31" t="str">
        <f t="shared" si="1835"/>
        <v>Lima Puluh Dua</v>
      </c>
    </row>
    <row r="18977" spans="10:12">
      <c r="J18977" s="31">
        <v>53</v>
      </c>
      <c r="K18977" s="33" t="s">
        <v>126</v>
      </c>
      <c r="L18977" s="31" t="str">
        <f t="shared" si="1835"/>
        <v>Lima Puluh Tiga</v>
      </c>
    </row>
    <row r="18978" spans="10:12">
      <c r="J18978" s="31">
        <v>54</v>
      </c>
      <c r="K18978" s="33" t="s">
        <v>127</v>
      </c>
      <c r="L18978" s="31" t="str">
        <f t="shared" si="1835"/>
        <v>Lima Puluh Empat</v>
      </c>
    </row>
    <row r="18979" spans="10:12">
      <c r="J18979" s="31">
        <v>55</v>
      </c>
      <c r="K18979" s="33" t="s">
        <v>128</v>
      </c>
      <c r="L18979" s="31" t="str">
        <f t="shared" si="1835"/>
        <v>Lima Puluh Lima</v>
      </c>
    </row>
    <row r="18980" spans="10:12">
      <c r="J18980" s="31">
        <v>56</v>
      </c>
      <c r="K18980" s="33" t="s">
        <v>129</v>
      </c>
      <c r="L18980" s="31" t="str">
        <f t="shared" si="1835"/>
        <v>Lima Puluh Enam</v>
      </c>
    </row>
    <row r="18981" spans="10:12">
      <c r="J18981" s="31">
        <v>57</v>
      </c>
      <c r="K18981" s="33" t="s">
        <v>130</v>
      </c>
      <c r="L18981" s="31" t="str">
        <f t="shared" si="1835"/>
        <v>Lima Puluh Tujuh</v>
      </c>
    </row>
    <row r="18982" spans="10:12">
      <c r="J18982" s="31">
        <v>58</v>
      </c>
      <c r="K18982" s="33" t="s">
        <v>131</v>
      </c>
      <c r="L18982" s="31" t="str">
        <f t="shared" si="1835"/>
        <v>Lima Puluh Delapan</v>
      </c>
    </row>
    <row r="18983" spans="10:12">
      <c r="J18983" s="31">
        <v>59</v>
      </c>
      <c r="K18983" s="33" t="s">
        <v>132</v>
      </c>
      <c r="L18983" s="31" t="str">
        <f t="shared" si="1835"/>
        <v>Lima Puluh Sembilan</v>
      </c>
    </row>
    <row r="18984" spans="10:12">
      <c r="J18984" s="31">
        <v>60</v>
      </c>
      <c r="K18984" s="33" t="s">
        <v>133</v>
      </c>
      <c r="L18984" s="31" t="s">
        <v>134</v>
      </c>
    </row>
    <row r="18985" spans="10:12">
      <c r="J18985" s="31">
        <v>61</v>
      </c>
      <c r="K18985" s="33" t="s">
        <v>135</v>
      </c>
      <c r="L18985" s="31" t="str">
        <f t="shared" ref="L18985:L18993" si="1836">$L$63&amp;" "&amp;L18925</f>
        <v>Enam Puluh Satu</v>
      </c>
    </row>
    <row r="18986" spans="10:12">
      <c r="J18986" s="31">
        <v>62</v>
      </c>
      <c r="K18986" s="33" t="s">
        <v>136</v>
      </c>
      <c r="L18986" s="31" t="str">
        <f t="shared" si="1836"/>
        <v>Enam Puluh Dua</v>
      </c>
    </row>
    <row r="18987" spans="10:12">
      <c r="J18987" s="31">
        <v>63</v>
      </c>
      <c r="K18987" s="33" t="s">
        <v>137</v>
      </c>
      <c r="L18987" s="31" t="str">
        <f t="shared" si="1836"/>
        <v>Enam Puluh Tiga</v>
      </c>
    </row>
    <row r="18988" spans="10:12">
      <c r="J18988" s="31">
        <v>64</v>
      </c>
      <c r="K18988" s="33" t="s">
        <v>138</v>
      </c>
      <c r="L18988" s="31" t="str">
        <f t="shared" si="1836"/>
        <v>Enam Puluh Empat</v>
      </c>
    </row>
    <row r="18989" spans="10:12">
      <c r="J18989" s="31">
        <v>65</v>
      </c>
      <c r="K18989" s="33" t="s">
        <v>139</v>
      </c>
      <c r="L18989" s="31" t="str">
        <f t="shared" si="1836"/>
        <v>Enam Puluh Lima</v>
      </c>
    </row>
    <row r="18990" spans="10:12">
      <c r="J18990" s="31">
        <v>66</v>
      </c>
      <c r="K18990" s="33" t="s">
        <v>140</v>
      </c>
      <c r="L18990" s="31" t="str">
        <f t="shared" si="1836"/>
        <v>Enam Puluh Enam</v>
      </c>
    </row>
    <row r="18991" spans="10:12">
      <c r="J18991" s="31">
        <v>67</v>
      </c>
      <c r="K18991" s="33" t="s">
        <v>141</v>
      </c>
      <c r="L18991" s="31" t="str">
        <f t="shared" si="1836"/>
        <v>Enam Puluh Tujuh</v>
      </c>
    </row>
    <row r="18992" spans="10:12">
      <c r="J18992" s="31">
        <v>68</v>
      </c>
      <c r="K18992" s="33" t="s">
        <v>142</v>
      </c>
      <c r="L18992" s="31" t="str">
        <f t="shared" si="1836"/>
        <v>Enam Puluh Delapan</v>
      </c>
    </row>
    <row r="18993" spans="10:12">
      <c r="J18993" s="31">
        <v>69</v>
      </c>
      <c r="K18993" s="33" t="s">
        <v>143</v>
      </c>
      <c r="L18993" s="31" t="str">
        <f t="shared" si="1836"/>
        <v>Enam Puluh Sembilan</v>
      </c>
    </row>
    <row r="18994" spans="10:12">
      <c r="J18994" s="31">
        <v>70</v>
      </c>
      <c r="K18994" s="33" t="s">
        <v>144</v>
      </c>
      <c r="L18994" s="31" t="s">
        <v>145</v>
      </c>
    </row>
    <row r="18995" spans="10:12">
      <c r="J18995" s="31">
        <v>71</v>
      </c>
      <c r="K18995" s="33" t="s">
        <v>146</v>
      </c>
      <c r="L18995" s="31" t="str">
        <f t="shared" ref="L18995:L19003" si="1837">$L$73&amp;" "&amp;L18925</f>
        <v>Tujuh Puluh Satu</v>
      </c>
    </row>
    <row r="18996" spans="10:12">
      <c r="J18996" s="31">
        <v>72</v>
      </c>
      <c r="K18996" s="33" t="s">
        <v>147</v>
      </c>
      <c r="L18996" s="31" t="str">
        <f t="shared" si="1837"/>
        <v>Tujuh Puluh Dua</v>
      </c>
    </row>
    <row r="18997" spans="10:12">
      <c r="J18997" s="31">
        <v>73</v>
      </c>
      <c r="K18997" s="33" t="s">
        <v>148</v>
      </c>
      <c r="L18997" s="31" t="str">
        <f t="shared" si="1837"/>
        <v>Tujuh Puluh Tiga</v>
      </c>
    </row>
    <row r="18998" spans="10:12">
      <c r="J18998" s="31">
        <v>74</v>
      </c>
      <c r="K18998" s="33" t="s">
        <v>149</v>
      </c>
      <c r="L18998" s="31" t="str">
        <f t="shared" si="1837"/>
        <v>Tujuh Puluh Empat</v>
      </c>
    </row>
    <row r="18999" spans="10:12">
      <c r="J18999" s="31">
        <v>75</v>
      </c>
      <c r="K18999" s="33" t="s">
        <v>150</v>
      </c>
      <c r="L18999" s="31" t="str">
        <f t="shared" si="1837"/>
        <v>Tujuh Puluh Lima</v>
      </c>
    </row>
    <row r="19000" spans="10:12">
      <c r="J19000" s="31">
        <v>76</v>
      </c>
      <c r="K19000" s="33" t="s">
        <v>151</v>
      </c>
      <c r="L19000" s="31" t="str">
        <f t="shared" si="1837"/>
        <v>Tujuh Puluh Enam</v>
      </c>
    </row>
    <row r="19001" spans="10:12">
      <c r="J19001" s="31">
        <v>77</v>
      </c>
      <c r="K19001" s="33" t="s">
        <v>152</v>
      </c>
      <c r="L19001" s="31" t="str">
        <f t="shared" si="1837"/>
        <v>Tujuh Puluh Tujuh</v>
      </c>
    </row>
    <row r="19002" spans="10:12">
      <c r="J19002" s="31">
        <v>78</v>
      </c>
      <c r="K19002" s="33" t="s">
        <v>153</v>
      </c>
      <c r="L19002" s="31" t="str">
        <f t="shared" si="1837"/>
        <v>Tujuh Puluh Delapan</v>
      </c>
    </row>
    <row r="19003" spans="10:12">
      <c r="J19003" s="31">
        <v>79</v>
      </c>
      <c r="K19003" s="33" t="s">
        <v>154</v>
      </c>
      <c r="L19003" s="31" t="str">
        <f t="shared" si="1837"/>
        <v>Tujuh Puluh Sembilan</v>
      </c>
    </row>
    <row r="19004" spans="10:12">
      <c r="J19004" s="31">
        <v>80</v>
      </c>
      <c r="K19004" s="33" t="s">
        <v>155</v>
      </c>
      <c r="L19004" s="31" t="s">
        <v>156</v>
      </c>
    </row>
    <row r="19005" spans="10:12">
      <c r="J19005" s="31">
        <v>81</v>
      </c>
      <c r="K19005" s="33" t="s">
        <v>157</v>
      </c>
      <c r="L19005" s="31" t="str">
        <f t="shared" ref="L19005:L19013" si="1838">$L$83&amp;" "&amp;L18925</f>
        <v>Delapan Puluh Satu</v>
      </c>
    </row>
    <row r="19006" spans="10:12">
      <c r="J19006" s="31">
        <v>82</v>
      </c>
      <c r="K19006" s="33" t="s">
        <v>158</v>
      </c>
      <c r="L19006" s="31" t="str">
        <f t="shared" si="1838"/>
        <v>Delapan Puluh Dua</v>
      </c>
    </row>
    <row r="19007" spans="10:12">
      <c r="J19007" s="31">
        <v>83</v>
      </c>
      <c r="K19007" s="33" t="s">
        <v>159</v>
      </c>
      <c r="L19007" s="31" t="str">
        <f t="shared" si="1838"/>
        <v>Delapan Puluh Tiga</v>
      </c>
    </row>
    <row r="19008" spans="10:12">
      <c r="J19008" s="31">
        <v>84</v>
      </c>
      <c r="K19008" s="33" t="s">
        <v>160</v>
      </c>
      <c r="L19008" s="31" t="str">
        <f t="shared" si="1838"/>
        <v>Delapan Puluh Empat</v>
      </c>
    </row>
    <row r="19009" spans="10:12">
      <c r="J19009" s="31">
        <v>85</v>
      </c>
      <c r="K19009" s="33" t="s">
        <v>161</v>
      </c>
      <c r="L19009" s="31" t="str">
        <f t="shared" si="1838"/>
        <v>Delapan Puluh Lima</v>
      </c>
    </row>
    <row r="19010" spans="10:12">
      <c r="J19010" s="31">
        <v>86</v>
      </c>
      <c r="K19010" s="33" t="s">
        <v>162</v>
      </c>
      <c r="L19010" s="31" t="str">
        <f t="shared" si="1838"/>
        <v>Delapan Puluh Enam</v>
      </c>
    </row>
    <row r="19011" spans="10:12">
      <c r="J19011" s="31">
        <v>87</v>
      </c>
      <c r="K19011" s="33" t="s">
        <v>163</v>
      </c>
      <c r="L19011" s="31" t="str">
        <f t="shared" si="1838"/>
        <v>Delapan Puluh Tujuh</v>
      </c>
    </row>
    <row r="19012" spans="10:12">
      <c r="J19012" s="31">
        <v>88</v>
      </c>
      <c r="K19012" s="33" t="s">
        <v>164</v>
      </c>
      <c r="L19012" s="31" t="str">
        <f t="shared" si="1838"/>
        <v>Delapan Puluh Delapan</v>
      </c>
    </row>
    <row r="19013" spans="10:12">
      <c r="J19013" s="31">
        <v>89</v>
      </c>
      <c r="K19013" s="33" t="s">
        <v>165</v>
      </c>
      <c r="L19013" s="31" t="str">
        <f t="shared" si="1838"/>
        <v>Delapan Puluh Sembilan</v>
      </c>
    </row>
    <row r="19014" spans="10:12">
      <c r="J19014" s="31">
        <v>90</v>
      </c>
      <c r="K19014" s="33" t="s">
        <v>166</v>
      </c>
      <c r="L19014" s="31" t="s">
        <v>167</v>
      </c>
    </row>
    <row r="19015" spans="10:12">
      <c r="J19015" s="31">
        <v>91</v>
      </c>
      <c r="K19015" s="33" t="s">
        <v>168</v>
      </c>
      <c r="L19015" s="31" t="str">
        <f t="shared" ref="L19015:L19023" si="1839">$L$93&amp;" "&amp;L18925</f>
        <v>Sembilan Puluh Satu</v>
      </c>
    </row>
    <row r="19016" spans="10:12">
      <c r="J19016" s="31">
        <v>92</v>
      </c>
      <c r="K19016" s="33" t="s">
        <v>169</v>
      </c>
      <c r="L19016" s="31" t="str">
        <f t="shared" si="1839"/>
        <v>Sembilan Puluh Dua</v>
      </c>
    </row>
    <row r="19017" spans="10:12">
      <c r="J19017" s="31">
        <v>93</v>
      </c>
      <c r="K19017" s="33" t="s">
        <v>170</v>
      </c>
      <c r="L19017" s="31" t="str">
        <f t="shared" si="1839"/>
        <v>Sembilan Puluh Tiga</v>
      </c>
    </row>
    <row r="19018" spans="10:12">
      <c r="J19018" s="31">
        <v>94</v>
      </c>
      <c r="K19018" s="33" t="s">
        <v>171</v>
      </c>
      <c r="L19018" s="31" t="str">
        <f t="shared" si="1839"/>
        <v>Sembilan Puluh Empat</v>
      </c>
    </row>
    <row r="19019" spans="10:12">
      <c r="J19019" s="31">
        <v>95</v>
      </c>
      <c r="K19019" s="33" t="s">
        <v>172</v>
      </c>
      <c r="L19019" s="31" t="str">
        <f t="shared" si="1839"/>
        <v>Sembilan Puluh Lima</v>
      </c>
    </row>
    <row r="19020" spans="10:12">
      <c r="J19020" s="31">
        <v>96</v>
      </c>
      <c r="K19020" s="33" t="s">
        <v>173</v>
      </c>
      <c r="L19020" s="31" t="str">
        <f t="shared" si="1839"/>
        <v>Sembilan Puluh Enam</v>
      </c>
    </row>
    <row r="19021" spans="10:12">
      <c r="J19021" s="31">
        <v>97</v>
      </c>
      <c r="K19021" s="33" t="s">
        <v>174</v>
      </c>
      <c r="L19021" s="31" t="str">
        <f t="shared" si="1839"/>
        <v>Sembilan Puluh Tujuh</v>
      </c>
    </row>
    <row r="19022" spans="10:12">
      <c r="J19022" s="31">
        <v>98</v>
      </c>
      <c r="K19022" s="33" t="s">
        <v>175</v>
      </c>
      <c r="L19022" s="31" t="str">
        <f t="shared" si="1839"/>
        <v>Sembilan Puluh Delapan</v>
      </c>
    </row>
    <row r="19023" spans="10:12">
      <c r="J19023" s="31">
        <v>99</v>
      </c>
      <c r="K19023" s="33" t="s">
        <v>176</v>
      </c>
      <c r="L19023" s="31" t="str">
        <f t="shared" si="1839"/>
        <v>Sembilan Puluh Sembilan</v>
      </c>
    </row>
    <row r="19025" spans="1:12">
      <c r="A19025" s="30" t="e">
        <f>#REF!</f>
        <v>#REF!</v>
      </c>
      <c r="C19025" s="31" t="s">
        <v>445</v>
      </c>
    </row>
    <row r="19026" spans="1:12">
      <c r="A19026" s="32"/>
    </row>
    <row r="19027" spans="1:12">
      <c r="J19027" s="31">
        <v>0</v>
      </c>
      <c r="K19027" s="33" t="s">
        <v>48</v>
      </c>
      <c r="L19027" s="31" t="s">
        <v>49</v>
      </c>
    </row>
    <row r="19028" spans="1:12">
      <c r="A19028" s="34"/>
      <c r="J19028" s="31">
        <v>1</v>
      </c>
      <c r="K19028" s="33" t="s">
        <v>50</v>
      </c>
      <c r="L19028" s="31" t="s">
        <v>51</v>
      </c>
    </row>
    <row r="19029" spans="1:12">
      <c r="A19029" s="255" t="e">
        <f>TRIM(D19037&amp;E19037&amp;D19038&amp;E19038&amp;D19039&amp;E19039&amp;D19040&amp;E19040&amp;D19041&amp;E19041&amp;D19042&amp;E19042&amp;E19043&amp;D19043&amp;" Only")</f>
        <v>#REF!</v>
      </c>
      <c r="B19029" s="255"/>
      <c r="C19029" s="255"/>
      <c r="D19029" s="255"/>
      <c r="E19029" s="35"/>
      <c r="F19029" s="36"/>
      <c r="J19029" s="31">
        <v>2</v>
      </c>
      <c r="K19029" s="33" t="s">
        <v>52</v>
      </c>
      <c r="L19029" s="31" t="s">
        <v>53</v>
      </c>
    </row>
    <row r="19030" spans="1:12">
      <c r="A19030" s="170"/>
      <c r="B19030" s="170"/>
      <c r="C19030" s="170"/>
      <c r="D19030" s="170"/>
      <c r="E19030" s="35"/>
      <c r="F19030" s="36"/>
      <c r="J19030" s="31">
        <v>3</v>
      </c>
      <c r="K19030" s="33" t="s">
        <v>54</v>
      </c>
      <c r="L19030" s="31" t="s">
        <v>55</v>
      </c>
    </row>
    <row r="19031" spans="1:12">
      <c r="A19031" s="170"/>
      <c r="B19031" s="170"/>
      <c r="C19031" s="170"/>
      <c r="D19031" s="170"/>
      <c r="J19031" s="31">
        <v>4</v>
      </c>
      <c r="K19031" s="33" t="s">
        <v>56</v>
      </c>
      <c r="L19031" s="31" t="s">
        <v>57</v>
      </c>
    </row>
    <row r="19032" spans="1:12">
      <c r="A19032" s="255" t="e">
        <f>TRIM(D19047&amp;E19047&amp;D19048&amp;E19048&amp;D19049&amp;E19049&amp;D19050&amp;E19050&amp;D19051&amp;E19051&amp;D19052&amp;E19052&amp;D19053&amp;E19053&amp;" Rupiah")</f>
        <v>#REF!</v>
      </c>
      <c r="B19032" s="255"/>
      <c r="C19032" s="255"/>
      <c r="D19032" s="255"/>
      <c r="E19032" s="35"/>
      <c r="F19032" s="36"/>
      <c r="J19032" s="31">
        <v>5</v>
      </c>
      <c r="K19032" s="33" t="s">
        <v>58</v>
      </c>
      <c r="L19032" s="31" t="s">
        <v>59</v>
      </c>
    </row>
    <row r="19033" spans="1:12">
      <c r="A19033" s="35"/>
      <c r="B19033" s="35"/>
      <c r="C19033" s="35"/>
      <c r="D19033" s="35"/>
      <c r="E19033" s="35"/>
      <c r="F19033" s="36"/>
      <c r="J19033" s="31">
        <v>6</v>
      </c>
      <c r="K19033" s="33" t="s">
        <v>60</v>
      </c>
      <c r="L19033" s="31" t="s">
        <v>61</v>
      </c>
    </row>
    <row r="19034" spans="1:12">
      <c r="J19034" s="31">
        <v>7</v>
      </c>
      <c r="K19034" s="33" t="s">
        <v>62</v>
      </c>
      <c r="L19034" s="31" t="s">
        <v>63</v>
      </c>
    </row>
    <row r="19035" spans="1:12">
      <c r="J19035" s="31">
        <v>8</v>
      </c>
      <c r="K19035" s="33" t="s">
        <v>64</v>
      </c>
      <c r="L19035" s="31" t="s">
        <v>65</v>
      </c>
    </row>
    <row r="19036" spans="1:12">
      <c r="A19036" s="38" t="s">
        <v>66</v>
      </c>
      <c r="J19036" s="31">
        <v>9</v>
      </c>
      <c r="K19036" s="33" t="s">
        <v>67</v>
      </c>
      <c r="L19036" s="31" t="s">
        <v>68</v>
      </c>
    </row>
    <row r="19037" spans="1:12">
      <c r="A19037" s="31" t="s">
        <v>69</v>
      </c>
      <c r="B19037" s="39" t="e">
        <f>TRUNC(A19025/100000000)</f>
        <v>#REF!</v>
      </c>
      <c r="C19037" s="31" t="e">
        <f>B19037*100000000</f>
        <v>#REF!</v>
      </c>
      <c r="D19037" s="31" t="e">
        <f t="shared" ref="D19037:D19043" si="1840">IF(B19037&lt;1,"",VLOOKUP(B19037,$J$3:$K$102,2))</f>
        <v>#REF!</v>
      </c>
      <c r="E19037" s="31" t="e">
        <f>IF(B19037&lt;1,"",IF(B19037&gt;1," Hundreds "," Hundred "))</f>
        <v>#REF!</v>
      </c>
      <c r="J19037" s="31">
        <v>10</v>
      </c>
      <c r="K19037" s="33" t="s">
        <v>70</v>
      </c>
      <c r="L19037" s="31" t="s">
        <v>71</v>
      </c>
    </row>
    <row r="19038" spans="1:12">
      <c r="A19038" s="31" t="s">
        <v>72</v>
      </c>
      <c r="B19038" s="39" t="e">
        <f>TRUNC((A19025-C19037)/1000000)</f>
        <v>#REF!</v>
      </c>
      <c r="C19038" s="31" t="e">
        <f>B19038*1000000</f>
        <v>#REF!</v>
      </c>
      <c r="D19038" s="31" t="e">
        <f t="shared" si="1840"/>
        <v>#REF!</v>
      </c>
      <c r="E19038" s="31" t="e">
        <f>IF(B19037+B19038=0,"",IF(B19038=1," Million "," Millions "))</f>
        <v>#REF!</v>
      </c>
      <c r="J19038" s="31">
        <v>11</v>
      </c>
      <c r="K19038" s="33" t="s">
        <v>73</v>
      </c>
      <c r="L19038" s="31" t="s">
        <v>74</v>
      </c>
    </row>
    <row r="19039" spans="1:12">
      <c r="A19039" s="31" t="s">
        <v>75</v>
      </c>
      <c r="B19039" s="39" t="e">
        <f>TRUNC((A19025-SUM(C19037:C19038))/100000)</f>
        <v>#REF!</v>
      </c>
      <c r="C19039" s="31" t="e">
        <f>B19039*100000</f>
        <v>#REF!</v>
      </c>
      <c r="D19039" s="31" t="e">
        <f t="shared" si="1840"/>
        <v>#REF!</v>
      </c>
      <c r="E19039" s="31" t="e">
        <f>IF(B19039&lt;1,"",IF(B19039&gt;1," Hundreds "," Hundred "))</f>
        <v>#REF!</v>
      </c>
      <c r="J19039" s="31">
        <v>12</v>
      </c>
      <c r="K19039" s="33" t="s">
        <v>76</v>
      </c>
      <c r="L19039" s="31" t="str">
        <f t="shared" ref="L19039:L19046" si="1841">L19029&amp;" Belas"</f>
        <v>Dua Belas</v>
      </c>
    </row>
    <row r="19040" spans="1:12">
      <c r="A19040" s="33" t="s">
        <v>77</v>
      </c>
      <c r="B19040" s="40" t="e">
        <f>TRUNC((A19025-SUM(C19037:C19039))/1000)</f>
        <v>#REF!</v>
      </c>
      <c r="C19040" s="31" t="e">
        <f>B19040*1000</f>
        <v>#REF!</v>
      </c>
      <c r="D19040" s="31" t="e">
        <f t="shared" si="1840"/>
        <v>#REF!</v>
      </c>
      <c r="E19040" s="31" t="e">
        <f>IF(B19039+B19040=0,"",IF(B19040=1," Thousand "," Thousands "))</f>
        <v>#REF!</v>
      </c>
      <c r="J19040" s="31">
        <v>13</v>
      </c>
      <c r="K19040" s="33" t="s">
        <v>78</v>
      </c>
      <c r="L19040" s="31" t="str">
        <f t="shared" si="1841"/>
        <v>Tiga Belas</v>
      </c>
    </row>
    <row r="19041" spans="1:12">
      <c r="A19041" s="33" t="s">
        <v>79</v>
      </c>
      <c r="B19041" s="40" t="e">
        <f>TRUNC((A19025-SUM(C19037:C19040))/100)</f>
        <v>#REF!</v>
      </c>
      <c r="C19041" s="31" t="e">
        <f>B19041*100</f>
        <v>#REF!</v>
      </c>
      <c r="D19041" s="31" t="e">
        <f t="shared" si="1840"/>
        <v>#REF!</v>
      </c>
      <c r="E19041" s="31" t="e">
        <f>IF(B19041&lt;1,"",IF(B19041&gt;1," Hundreds "," Hundred "))</f>
        <v>#REF!</v>
      </c>
      <c r="J19041" s="31">
        <v>14</v>
      </c>
      <c r="K19041" s="33" t="s">
        <v>80</v>
      </c>
      <c r="L19041" s="31" t="str">
        <f t="shared" si="1841"/>
        <v>Empat Belas</v>
      </c>
    </row>
    <row r="19042" spans="1:12">
      <c r="A19042" s="33" t="s">
        <v>81</v>
      </c>
      <c r="B19042" s="41" t="e">
        <f>TRUNC((A19025-SUM(C19037:C19041)))</f>
        <v>#REF!</v>
      </c>
      <c r="C19042" s="42" t="e">
        <f>B19042</f>
        <v>#REF!</v>
      </c>
      <c r="D19042" s="31" t="e">
        <f t="shared" si="1840"/>
        <v>#REF!</v>
      </c>
      <c r="E19042" s="31" t="e">
        <f>IF(SUM(C19037:C19042)&lt;1,"",IF(B19043&lt;1,""," And "))</f>
        <v>#REF!</v>
      </c>
      <c r="J19042" s="31">
        <v>15</v>
      </c>
      <c r="K19042" s="33" t="s">
        <v>82</v>
      </c>
      <c r="L19042" s="31" t="str">
        <f t="shared" si="1841"/>
        <v>Lima Belas</v>
      </c>
    </row>
    <row r="19043" spans="1:12">
      <c r="A19043" s="33" t="s">
        <v>83</v>
      </c>
      <c r="B19043" s="40" t="e">
        <f>ROUND(A19025-SUM(C19037:C19042),2)*100</f>
        <v>#REF!</v>
      </c>
      <c r="D19043" s="43" t="e">
        <f t="shared" si="1840"/>
        <v>#REF!</v>
      </c>
      <c r="E19043" s="31" t="e">
        <f>IF(B19043&lt;1,"",IF(B19043=1," Cent "," Cents "))</f>
        <v>#REF!</v>
      </c>
      <c r="J19043" s="31">
        <v>16</v>
      </c>
      <c r="K19043" s="33" t="s">
        <v>84</v>
      </c>
      <c r="L19043" s="31" t="str">
        <f t="shared" si="1841"/>
        <v>Enam Belas</v>
      </c>
    </row>
    <row r="19044" spans="1:12">
      <c r="J19044" s="31">
        <v>17</v>
      </c>
      <c r="K19044" s="33" t="s">
        <v>85</v>
      </c>
      <c r="L19044" s="31" t="str">
        <f t="shared" si="1841"/>
        <v>Tujuh Belas</v>
      </c>
    </row>
    <row r="19045" spans="1:12">
      <c r="A19045" s="44"/>
      <c r="J19045" s="31">
        <v>18</v>
      </c>
      <c r="K19045" s="33" t="s">
        <v>86</v>
      </c>
      <c r="L19045" s="31" t="str">
        <f t="shared" si="1841"/>
        <v>Delapan Belas</v>
      </c>
    </row>
    <row r="19046" spans="1:12">
      <c r="A19046" s="38" t="s">
        <v>87</v>
      </c>
      <c r="J19046" s="31">
        <v>19</v>
      </c>
      <c r="K19046" s="33" t="s">
        <v>88</v>
      </c>
      <c r="L19046" s="31" t="str">
        <f t="shared" si="1841"/>
        <v>Sembilan Belas</v>
      </c>
    </row>
    <row r="19047" spans="1:12">
      <c r="A19047" s="31" t="s">
        <v>69</v>
      </c>
      <c r="B19047" s="39" t="e">
        <f>TRUNC(A19025/100000000)</f>
        <v>#REF!</v>
      </c>
      <c r="C19047" s="31" t="e">
        <f>B19047*100000000</f>
        <v>#REF!</v>
      </c>
      <c r="D19047" s="31" t="e">
        <f>IF(B19047&lt;1,"",IF(B19047=1,"",VLOOKUP(B19047,$J$3:$L$102,3)))</f>
        <v>#REF!</v>
      </c>
      <c r="E19047" s="31" t="e">
        <f>IF(B19047&lt;1,"",IF(B19047=1,"Seratus "," Ratus "))</f>
        <v>#REF!</v>
      </c>
      <c r="J19047" s="31">
        <v>20</v>
      </c>
      <c r="K19047" s="33" t="s">
        <v>89</v>
      </c>
      <c r="L19047" s="31" t="s">
        <v>90</v>
      </c>
    </row>
    <row r="19048" spans="1:12">
      <c r="A19048" s="31" t="s">
        <v>72</v>
      </c>
      <c r="B19048" s="39" t="e">
        <f>TRUNC((A19025-C19047)/1000000)</f>
        <v>#REF!</v>
      </c>
      <c r="C19048" s="31" t="e">
        <f>B19048*1000000</f>
        <v>#REF!</v>
      </c>
      <c r="D19048" s="31" t="e">
        <f>IF(B19048&lt;1,"",VLOOKUP(B19048,$J$3:$L$102,3))</f>
        <v>#REF!</v>
      </c>
      <c r="E19048" s="31" t="e">
        <f>IF(B19047+B19048=0,""," Juta ")</f>
        <v>#REF!</v>
      </c>
      <c r="J19048" s="31">
        <v>21</v>
      </c>
      <c r="K19048" s="33" t="s">
        <v>91</v>
      </c>
      <c r="L19048" s="31" t="str">
        <f t="shared" ref="L19048:L19056" si="1842">$L$23&amp;" "&amp;L19028</f>
        <v>Dua Puluh Satu</v>
      </c>
    </row>
    <row r="19049" spans="1:12">
      <c r="A19049" s="31" t="s">
        <v>75</v>
      </c>
      <c r="B19049" s="39" t="e">
        <f>TRUNC((A19025-SUM(C19047:C19048))/100000)</f>
        <v>#REF!</v>
      </c>
      <c r="C19049" s="31" t="e">
        <f>B19049*100000</f>
        <v>#REF!</v>
      </c>
      <c r="D19049" s="31" t="e">
        <f>IF(B19049&lt;1,"",IF(B19049=1,"",VLOOKUP(B19049,$J$3:$L$102,3)))</f>
        <v>#REF!</v>
      </c>
      <c r="E19049" s="31" t="e">
        <f>IF(B19049&lt;1,"",IF(B19049=1," Seratus "," Ratus "))</f>
        <v>#REF!</v>
      </c>
      <c r="J19049" s="31">
        <v>22</v>
      </c>
      <c r="K19049" s="33" t="s">
        <v>92</v>
      </c>
      <c r="L19049" s="31" t="str">
        <f t="shared" si="1842"/>
        <v>Dua Puluh Dua</v>
      </c>
    </row>
    <row r="19050" spans="1:12">
      <c r="A19050" s="33" t="s">
        <v>77</v>
      </c>
      <c r="B19050" s="40" t="e">
        <f>TRUNC((A19025-SUM(C19047:C19049))/1000)</f>
        <v>#REF!</v>
      </c>
      <c r="C19050" s="31" t="e">
        <f>B19050*1000</f>
        <v>#REF!</v>
      </c>
      <c r="D19050" s="31" t="e">
        <f>IF(B19050&lt;1,"",IF(B19050=1,"",VLOOKUP(B19050,$J$3:$L$102,3)))</f>
        <v>#REF!</v>
      </c>
      <c r="E19050" s="31" t="e">
        <f>IF(B19049+B19050&lt;1,"",IF(B19050=1," Seribu "," Ribu "))</f>
        <v>#REF!</v>
      </c>
      <c r="J19050" s="31">
        <v>23</v>
      </c>
      <c r="K19050" s="33" t="s">
        <v>93</v>
      </c>
      <c r="L19050" s="31" t="str">
        <f t="shared" si="1842"/>
        <v>Dua Puluh Tiga</v>
      </c>
    </row>
    <row r="19051" spans="1:12">
      <c r="A19051" s="33" t="s">
        <v>79</v>
      </c>
      <c r="B19051" s="40" t="e">
        <f>TRUNC((A19025-SUM(C19047:C19050))/100)</f>
        <v>#REF!</v>
      </c>
      <c r="C19051" s="31" t="e">
        <f>B19051*100</f>
        <v>#REF!</v>
      </c>
      <c r="D19051" s="31" t="e">
        <f>IF(B19051&lt;1,"",IF(B19051=1,"",VLOOKUP(B19051,$J$3:$L$102,3)))</f>
        <v>#REF!</v>
      </c>
      <c r="E19051" s="31" t="e">
        <f>IF(B19051&lt;1,"",IF(B19051=1," Seratus "," Ratus "))</f>
        <v>#REF!</v>
      </c>
      <c r="J19051" s="31">
        <v>24</v>
      </c>
      <c r="K19051" s="33" t="s">
        <v>94</v>
      </c>
      <c r="L19051" s="31" t="str">
        <f t="shared" si="1842"/>
        <v>Dua Puluh Empat</v>
      </c>
    </row>
    <row r="19052" spans="1:12">
      <c r="A19052" s="33" t="s">
        <v>81</v>
      </c>
      <c r="B19052" s="41" t="e">
        <f>TRUNC((A19025-SUM(C19047:C19051)))</f>
        <v>#REF!</v>
      </c>
      <c r="C19052" s="42" t="e">
        <f>B19052</f>
        <v>#REF!</v>
      </c>
      <c r="D19052" s="31" t="e">
        <f>IF(B19052&lt;1,"",VLOOKUP(B19052,$J$3:$L$102,3))</f>
        <v>#REF!</v>
      </c>
      <c r="E19052" s="31" t="e">
        <f>IF(SUM(C19047:C19052)&lt;1,"",IF(B19053&lt;1,""," Dan "))</f>
        <v>#REF!</v>
      </c>
      <c r="J19052" s="31">
        <v>25</v>
      </c>
      <c r="K19052" s="33" t="s">
        <v>95</v>
      </c>
      <c r="L19052" s="31" t="str">
        <f t="shared" si="1842"/>
        <v>Dua Puluh Lima</v>
      </c>
    </row>
    <row r="19053" spans="1:12">
      <c r="A19053" s="33" t="s">
        <v>83</v>
      </c>
      <c r="B19053" s="40" t="e">
        <f>ROUND(A19025-SUM(C19047:C19052),2)*100</f>
        <v>#REF!</v>
      </c>
      <c r="D19053" s="31" t="e">
        <f>IF(B19053&lt;1,"",VLOOKUP(B19053,$J$3:$L$102,3))</f>
        <v>#REF!</v>
      </c>
      <c r="E19053" s="31" t="e">
        <f>IF(B19053&lt;1,""," Sen ")</f>
        <v>#REF!</v>
      </c>
      <c r="J19053" s="31">
        <v>26</v>
      </c>
      <c r="K19053" s="33" t="s">
        <v>96</v>
      </c>
      <c r="L19053" s="31" t="str">
        <f t="shared" si="1842"/>
        <v>Dua Puluh Enam</v>
      </c>
    </row>
    <row r="19054" spans="1:12">
      <c r="J19054" s="31">
        <v>27</v>
      </c>
      <c r="K19054" s="33" t="s">
        <v>97</v>
      </c>
      <c r="L19054" s="31" t="str">
        <f t="shared" si="1842"/>
        <v>Dua Puluh Tujuh</v>
      </c>
    </row>
    <row r="19055" spans="1:12">
      <c r="J19055" s="31">
        <v>28</v>
      </c>
      <c r="K19055" s="33" t="s">
        <v>98</v>
      </c>
      <c r="L19055" s="31" t="str">
        <f t="shared" si="1842"/>
        <v>Dua Puluh Delapan</v>
      </c>
    </row>
    <row r="19056" spans="1:12">
      <c r="J19056" s="31">
        <v>29</v>
      </c>
      <c r="K19056" s="33" t="s">
        <v>99</v>
      </c>
      <c r="L19056" s="31" t="str">
        <f t="shared" si="1842"/>
        <v>Dua Puluh Sembilan</v>
      </c>
    </row>
    <row r="19057" spans="1:12">
      <c r="J19057" s="31">
        <v>30</v>
      </c>
      <c r="K19057" s="33" t="s">
        <v>100</v>
      </c>
      <c r="L19057" s="31" t="s">
        <v>101</v>
      </c>
    </row>
    <row r="19058" spans="1:12">
      <c r="J19058" s="31">
        <v>31</v>
      </c>
      <c r="K19058" s="33" t="s">
        <v>102</v>
      </c>
      <c r="L19058" s="31" t="str">
        <f t="shared" ref="L19058:L19066" si="1843">$L$33&amp;" "&amp;L19028</f>
        <v>Tiga Puluh Satu</v>
      </c>
    </row>
    <row r="19059" spans="1:12">
      <c r="J19059" s="31">
        <v>32</v>
      </c>
      <c r="K19059" s="33" t="s">
        <v>103</v>
      </c>
      <c r="L19059" s="31" t="str">
        <f t="shared" si="1843"/>
        <v>Tiga Puluh Dua</v>
      </c>
    </row>
    <row r="19060" spans="1:12">
      <c r="J19060" s="31">
        <v>33</v>
      </c>
      <c r="K19060" s="33" t="s">
        <v>104</v>
      </c>
      <c r="L19060" s="31" t="str">
        <f t="shared" si="1843"/>
        <v>Tiga Puluh Tiga</v>
      </c>
    </row>
    <row r="19061" spans="1:12">
      <c r="J19061" s="31">
        <v>34</v>
      </c>
      <c r="K19061" s="33" t="s">
        <v>105</v>
      </c>
      <c r="L19061" s="31" t="str">
        <f t="shared" si="1843"/>
        <v>Tiga Puluh Empat</v>
      </c>
    </row>
    <row r="19062" spans="1:12">
      <c r="J19062" s="31">
        <v>35</v>
      </c>
      <c r="K19062" s="33" t="s">
        <v>106</v>
      </c>
      <c r="L19062" s="31" t="str">
        <f t="shared" si="1843"/>
        <v>Tiga Puluh Lima</v>
      </c>
    </row>
    <row r="19063" spans="1:12">
      <c r="J19063" s="31">
        <v>36</v>
      </c>
      <c r="K19063" s="33" t="s">
        <v>107</v>
      </c>
      <c r="L19063" s="31" t="str">
        <f t="shared" si="1843"/>
        <v>Tiga Puluh Enam</v>
      </c>
    </row>
    <row r="19064" spans="1:12">
      <c r="J19064" s="31">
        <v>37</v>
      </c>
      <c r="K19064" s="33" t="s">
        <v>108</v>
      </c>
      <c r="L19064" s="31" t="str">
        <f t="shared" si="1843"/>
        <v>Tiga Puluh Tujuh</v>
      </c>
    </row>
    <row r="19065" spans="1:12">
      <c r="J19065" s="31">
        <v>38</v>
      </c>
      <c r="K19065" s="33" t="s">
        <v>109</v>
      </c>
      <c r="L19065" s="31" t="str">
        <f t="shared" si="1843"/>
        <v>Tiga Puluh Delapan</v>
      </c>
    </row>
    <row r="19066" spans="1:12">
      <c r="J19066" s="31">
        <v>39</v>
      </c>
      <c r="K19066" s="33" t="s">
        <v>110</v>
      </c>
      <c r="L19066" s="31" t="str">
        <f t="shared" si="1843"/>
        <v>Tiga Puluh Sembilan</v>
      </c>
    </row>
    <row r="19067" spans="1:12">
      <c r="B19067" s="35"/>
      <c r="C19067" s="35"/>
      <c r="D19067" s="35"/>
      <c r="J19067" s="31">
        <v>40</v>
      </c>
      <c r="K19067" s="33" t="s">
        <v>111</v>
      </c>
      <c r="L19067" s="31" t="s">
        <v>112</v>
      </c>
    </row>
    <row r="19068" spans="1:12">
      <c r="A19068" s="35"/>
      <c r="B19068" s="35"/>
      <c r="C19068" s="35"/>
      <c r="D19068" s="35"/>
      <c r="J19068" s="31">
        <v>41</v>
      </c>
      <c r="K19068" s="33" t="s">
        <v>113</v>
      </c>
      <c r="L19068" s="31" t="str">
        <f t="shared" ref="L19068:L19076" si="1844">$L$43&amp;" "&amp;L19028</f>
        <v>Empat Puluh Satu</v>
      </c>
    </row>
    <row r="19069" spans="1:12">
      <c r="J19069" s="31">
        <v>42</v>
      </c>
      <c r="K19069" s="33" t="s">
        <v>114</v>
      </c>
      <c r="L19069" s="31" t="str">
        <f t="shared" si="1844"/>
        <v>Empat Puluh Dua</v>
      </c>
    </row>
    <row r="19070" spans="1:12">
      <c r="A19070" s="38"/>
      <c r="J19070" s="31">
        <v>43</v>
      </c>
      <c r="K19070" s="33" t="s">
        <v>115</v>
      </c>
      <c r="L19070" s="31" t="str">
        <f t="shared" si="1844"/>
        <v>Empat Puluh Tiga</v>
      </c>
    </row>
    <row r="19071" spans="1:12">
      <c r="J19071" s="31">
        <v>44</v>
      </c>
      <c r="K19071" s="33" t="s">
        <v>116</v>
      </c>
      <c r="L19071" s="31" t="str">
        <f t="shared" si="1844"/>
        <v>Empat Puluh Empat</v>
      </c>
    </row>
    <row r="19072" spans="1:12">
      <c r="J19072" s="31">
        <v>45</v>
      </c>
      <c r="K19072" s="33" t="s">
        <v>117</v>
      </c>
      <c r="L19072" s="31" t="str">
        <f t="shared" si="1844"/>
        <v>Empat Puluh Lima</v>
      </c>
    </row>
    <row r="19073" spans="10:12">
      <c r="J19073" s="31">
        <v>46</v>
      </c>
      <c r="K19073" s="33" t="s">
        <v>118</v>
      </c>
      <c r="L19073" s="31" t="str">
        <f t="shared" si="1844"/>
        <v>Empat Puluh Enam</v>
      </c>
    </row>
    <row r="19074" spans="10:12">
      <c r="J19074" s="31">
        <v>47</v>
      </c>
      <c r="K19074" s="33" t="s">
        <v>119</v>
      </c>
      <c r="L19074" s="31" t="str">
        <f t="shared" si="1844"/>
        <v>Empat Puluh Tujuh</v>
      </c>
    </row>
    <row r="19075" spans="10:12">
      <c r="J19075" s="31">
        <v>48</v>
      </c>
      <c r="K19075" s="33" t="s">
        <v>120</v>
      </c>
      <c r="L19075" s="31" t="str">
        <f t="shared" si="1844"/>
        <v>Empat Puluh Delapan</v>
      </c>
    </row>
    <row r="19076" spans="10:12">
      <c r="J19076" s="31">
        <v>49</v>
      </c>
      <c r="K19076" s="33" t="s">
        <v>121</v>
      </c>
      <c r="L19076" s="31" t="str">
        <f t="shared" si="1844"/>
        <v>Empat Puluh Sembilan</v>
      </c>
    </row>
    <row r="19077" spans="10:12">
      <c r="J19077" s="31">
        <v>50</v>
      </c>
      <c r="K19077" s="33" t="s">
        <v>122</v>
      </c>
      <c r="L19077" s="31" t="s">
        <v>123</v>
      </c>
    </row>
    <row r="19078" spans="10:12">
      <c r="J19078" s="31">
        <v>51</v>
      </c>
      <c r="K19078" s="33" t="s">
        <v>124</v>
      </c>
      <c r="L19078" s="31" t="str">
        <f t="shared" ref="L19078:L19086" si="1845">$L$53&amp;" "&amp;L19028</f>
        <v>Lima Puluh Satu</v>
      </c>
    </row>
    <row r="19079" spans="10:12">
      <c r="J19079" s="31">
        <v>52</v>
      </c>
      <c r="K19079" s="33" t="s">
        <v>125</v>
      </c>
      <c r="L19079" s="31" t="str">
        <f t="shared" si="1845"/>
        <v>Lima Puluh Dua</v>
      </c>
    </row>
    <row r="19080" spans="10:12">
      <c r="J19080" s="31">
        <v>53</v>
      </c>
      <c r="K19080" s="33" t="s">
        <v>126</v>
      </c>
      <c r="L19080" s="31" t="str">
        <f t="shared" si="1845"/>
        <v>Lima Puluh Tiga</v>
      </c>
    </row>
    <row r="19081" spans="10:12">
      <c r="J19081" s="31">
        <v>54</v>
      </c>
      <c r="K19081" s="33" t="s">
        <v>127</v>
      </c>
      <c r="L19081" s="31" t="str">
        <f t="shared" si="1845"/>
        <v>Lima Puluh Empat</v>
      </c>
    </row>
    <row r="19082" spans="10:12">
      <c r="J19082" s="31">
        <v>55</v>
      </c>
      <c r="K19082" s="33" t="s">
        <v>128</v>
      </c>
      <c r="L19082" s="31" t="str">
        <f t="shared" si="1845"/>
        <v>Lima Puluh Lima</v>
      </c>
    </row>
    <row r="19083" spans="10:12">
      <c r="J19083" s="31">
        <v>56</v>
      </c>
      <c r="K19083" s="33" t="s">
        <v>129</v>
      </c>
      <c r="L19083" s="31" t="str">
        <f t="shared" si="1845"/>
        <v>Lima Puluh Enam</v>
      </c>
    </row>
    <row r="19084" spans="10:12">
      <c r="J19084" s="31">
        <v>57</v>
      </c>
      <c r="K19084" s="33" t="s">
        <v>130</v>
      </c>
      <c r="L19084" s="31" t="str">
        <f t="shared" si="1845"/>
        <v>Lima Puluh Tujuh</v>
      </c>
    </row>
    <row r="19085" spans="10:12">
      <c r="J19085" s="31">
        <v>58</v>
      </c>
      <c r="K19085" s="33" t="s">
        <v>131</v>
      </c>
      <c r="L19085" s="31" t="str">
        <f t="shared" si="1845"/>
        <v>Lima Puluh Delapan</v>
      </c>
    </row>
    <row r="19086" spans="10:12">
      <c r="J19086" s="31">
        <v>59</v>
      </c>
      <c r="K19086" s="33" t="s">
        <v>132</v>
      </c>
      <c r="L19086" s="31" t="str">
        <f t="shared" si="1845"/>
        <v>Lima Puluh Sembilan</v>
      </c>
    </row>
    <row r="19087" spans="10:12">
      <c r="J19087" s="31">
        <v>60</v>
      </c>
      <c r="K19087" s="33" t="s">
        <v>133</v>
      </c>
      <c r="L19087" s="31" t="s">
        <v>134</v>
      </c>
    </row>
    <row r="19088" spans="10:12">
      <c r="J19088" s="31">
        <v>61</v>
      </c>
      <c r="K19088" s="33" t="s">
        <v>135</v>
      </c>
      <c r="L19088" s="31" t="str">
        <f t="shared" ref="L19088:L19096" si="1846">$L$63&amp;" "&amp;L19028</f>
        <v>Enam Puluh Satu</v>
      </c>
    </row>
    <row r="19089" spans="10:12">
      <c r="J19089" s="31">
        <v>62</v>
      </c>
      <c r="K19089" s="33" t="s">
        <v>136</v>
      </c>
      <c r="L19089" s="31" t="str">
        <f t="shared" si="1846"/>
        <v>Enam Puluh Dua</v>
      </c>
    </row>
    <row r="19090" spans="10:12">
      <c r="J19090" s="31">
        <v>63</v>
      </c>
      <c r="K19090" s="33" t="s">
        <v>137</v>
      </c>
      <c r="L19090" s="31" t="str">
        <f t="shared" si="1846"/>
        <v>Enam Puluh Tiga</v>
      </c>
    </row>
    <row r="19091" spans="10:12">
      <c r="J19091" s="31">
        <v>64</v>
      </c>
      <c r="K19091" s="33" t="s">
        <v>138</v>
      </c>
      <c r="L19091" s="31" t="str">
        <f t="shared" si="1846"/>
        <v>Enam Puluh Empat</v>
      </c>
    </row>
    <row r="19092" spans="10:12">
      <c r="J19092" s="31">
        <v>65</v>
      </c>
      <c r="K19092" s="33" t="s">
        <v>139</v>
      </c>
      <c r="L19092" s="31" t="str">
        <f t="shared" si="1846"/>
        <v>Enam Puluh Lima</v>
      </c>
    </row>
    <row r="19093" spans="10:12">
      <c r="J19093" s="31">
        <v>66</v>
      </c>
      <c r="K19093" s="33" t="s">
        <v>140</v>
      </c>
      <c r="L19093" s="31" t="str">
        <f t="shared" si="1846"/>
        <v>Enam Puluh Enam</v>
      </c>
    </row>
    <row r="19094" spans="10:12">
      <c r="J19094" s="31">
        <v>67</v>
      </c>
      <c r="K19094" s="33" t="s">
        <v>141</v>
      </c>
      <c r="L19094" s="31" t="str">
        <f t="shared" si="1846"/>
        <v>Enam Puluh Tujuh</v>
      </c>
    </row>
    <row r="19095" spans="10:12">
      <c r="J19095" s="31">
        <v>68</v>
      </c>
      <c r="K19095" s="33" t="s">
        <v>142</v>
      </c>
      <c r="L19095" s="31" t="str">
        <f t="shared" si="1846"/>
        <v>Enam Puluh Delapan</v>
      </c>
    </row>
    <row r="19096" spans="10:12">
      <c r="J19096" s="31">
        <v>69</v>
      </c>
      <c r="K19096" s="33" t="s">
        <v>143</v>
      </c>
      <c r="L19096" s="31" t="str">
        <f t="shared" si="1846"/>
        <v>Enam Puluh Sembilan</v>
      </c>
    </row>
    <row r="19097" spans="10:12">
      <c r="J19097" s="31">
        <v>70</v>
      </c>
      <c r="K19097" s="33" t="s">
        <v>144</v>
      </c>
      <c r="L19097" s="31" t="s">
        <v>145</v>
      </c>
    </row>
    <row r="19098" spans="10:12">
      <c r="J19098" s="31">
        <v>71</v>
      </c>
      <c r="K19098" s="33" t="s">
        <v>146</v>
      </c>
      <c r="L19098" s="31" t="str">
        <f t="shared" ref="L19098:L19106" si="1847">$L$73&amp;" "&amp;L19028</f>
        <v>Tujuh Puluh Satu</v>
      </c>
    </row>
    <row r="19099" spans="10:12">
      <c r="J19099" s="31">
        <v>72</v>
      </c>
      <c r="K19099" s="33" t="s">
        <v>147</v>
      </c>
      <c r="L19099" s="31" t="str">
        <f t="shared" si="1847"/>
        <v>Tujuh Puluh Dua</v>
      </c>
    </row>
    <row r="19100" spans="10:12">
      <c r="J19100" s="31">
        <v>73</v>
      </c>
      <c r="K19100" s="33" t="s">
        <v>148</v>
      </c>
      <c r="L19100" s="31" t="str">
        <f t="shared" si="1847"/>
        <v>Tujuh Puluh Tiga</v>
      </c>
    </row>
    <row r="19101" spans="10:12">
      <c r="J19101" s="31">
        <v>74</v>
      </c>
      <c r="K19101" s="33" t="s">
        <v>149</v>
      </c>
      <c r="L19101" s="31" t="str">
        <f t="shared" si="1847"/>
        <v>Tujuh Puluh Empat</v>
      </c>
    </row>
    <row r="19102" spans="10:12">
      <c r="J19102" s="31">
        <v>75</v>
      </c>
      <c r="K19102" s="33" t="s">
        <v>150</v>
      </c>
      <c r="L19102" s="31" t="str">
        <f t="shared" si="1847"/>
        <v>Tujuh Puluh Lima</v>
      </c>
    </row>
    <row r="19103" spans="10:12">
      <c r="J19103" s="31">
        <v>76</v>
      </c>
      <c r="K19103" s="33" t="s">
        <v>151</v>
      </c>
      <c r="L19103" s="31" t="str">
        <f t="shared" si="1847"/>
        <v>Tujuh Puluh Enam</v>
      </c>
    </row>
    <row r="19104" spans="10:12">
      <c r="J19104" s="31">
        <v>77</v>
      </c>
      <c r="K19104" s="33" t="s">
        <v>152</v>
      </c>
      <c r="L19104" s="31" t="str">
        <f t="shared" si="1847"/>
        <v>Tujuh Puluh Tujuh</v>
      </c>
    </row>
    <row r="19105" spans="10:12">
      <c r="J19105" s="31">
        <v>78</v>
      </c>
      <c r="K19105" s="33" t="s">
        <v>153</v>
      </c>
      <c r="L19105" s="31" t="str">
        <f t="shared" si="1847"/>
        <v>Tujuh Puluh Delapan</v>
      </c>
    </row>
    <row r="19106" spans="10:12">
      <c r="J19106" s="31">
        <v>79</v>
      </c>
      <c r="K19106" s="33" t="s">
        <v>154</v>
      </c>
      <c r="L19106" s="31" t="str">
        <f t="shared" si="1847"/>
        <v>Tujuh Puluh Sembilan</v>
      </c>
    </row>
    <row r="19107" spans="10:12">
      <c r="J19107" s="31">
        <v>80</v>
      </c>
      <c r="K19107" s="33" t="s">
        <v>155</v>
      </c>
      <c r="L19107" s="31" t="s">
        <v>156</v>
      </c>
    </row>
    <row r="19108" spans="10:12">
      <c r="J19108" s="31">
        <v>81</v>
      </c>
      <c r="K19108" s="33" t="s">
        <v>157</v>
      </c>
      <c r="L19108" s="31" t="str">
        <f t="shared" ref="L19108:L19116" si="1848">$L$83&amp;" "&amp;L19028</f>
        <v>Delapan Puluh Satu</v>
      </c>
    </row>
    <row r="19109" spans="10:12">
      <c r="J19109" s="31">
        <v>82</v>
      </c>
      <c r="K19109" s="33" t="s">
        <v>158</v>
      </c>
      <c r="L19109" s="31" t="str">
        <f t="shared" si="1848"/>
        <v>Delapan Puluh Dua</v>
      </c>
    </row>
    <row r="19110" spans="10:12">
      <c r="J19110" s="31">
        <v>83</v>
      </c>
      <c r="K19110" s="33" t="s">
        <v>159</v>
      </c>
      <c r="L19110" s="31" t="str">
        <f t="shared" si="1848"/>
        <v>Delapan Puluh Tiga</v>
      </c>
    </row>
    <row r="19111" spans="10:12">
      <c r="J19111" s="31">
        <v>84</v>
      </c>
      <c r="K19111" s="33" t="s">
        <v>160</v>
      </c>
      <c r="L19111" s="31" t="str">
        <f t="shared" si="1848"/>
        <v>Delapan Puluh Empat</v>
      </c>
    </row>
    <row r="19112" spans="10:12">
      <c r="J19112" s="31">
        <v>85</v>
      </c>
      <c r="K19112" s="33" t="s">
        <v>161</v>
      </c>
      <c r="L19112" s="31" t="str">
        <f t="shared" si="1848"/>
        <v>Delapan Puluh Lima</v>
      </c>
    </row>
    <row r="19113" spans="10:12">
      <c r="J19113" s="31">
        <v>86</v>
      </c>
      <c r="K19113" s="33" t="s">
        <v>162</v>
      </c>
      <c r="L19113" s="31" t="str">
        <f t="shared" si="1848"/>
        <v>Delapan Puluh Enam</v>
      </c>
    </row>
    <row r="19114" spans="10:12">
      <c r="J19114" s="31">
        <v>87</v>
      </c>
      <c r="K19114" s="33" t="s">
        <v>163</v>
      </c>
      <c r="L19114" s="31" t="str">
        <f t="shared" si="1848"/>
        <v>Delapan Puluh Tujuh</v>
      </c>
    </row>
    <row r="19115" spans="10:12">
      <c r="J19115" s="31">
        <v>88</v>
      </c>
      <c r="K19115" s="33" t="s">
        <v>164</v>
      </c>
      <c r="L19115" s="31" t="str">
        <f t="shared" si="1848"/>
        <v>Delapan Puluh Delapan</v>
      </c>
    </row>
    <row r="19116" spans="10:12">
      <c r="J19116" s="31">
        <v>89</v>
      </c>
      <c r="K19116" s="33" t="s">
        <v>165</v>
      </c>
      <c r="L19116" s="31" t="str">
        <f t="shared" si="1848"/>
        <v>Delapan Puluh Sembilan</v>
      </c>
    </row>
    <row r="19117" spans="10:12">
      <c r="J19117" s="31">
        <v>90</v>
      </c>
      <c r="K19117" s="33" t="s">
        <v>166</v>
      </c>
      <c r="L19117" s="31" t="s">
        <v>167</v>
      </c>
    </row>
    <row r="19118" spans="10:12">
      <c r="J19118" s="31">
        <v>91</v>
      </c>
      <c r="K19118" s="33" t="s">
        <v>168</v>
      </c>
      <c r="L19118" s="31" t="str">
        <f t="shared" ref="L19118:L19126" si="1849">$L$93&amp;" "&amp;L19028</f>
        <v>Sembilan Puluh Satu</v>
      </c>
    </row>
    <row r="19119" spans="10:12">
      <c r="J19119" s="31">
        <v>92</v>
      </c>
      <c r="K19119" s="33" t="s">
        <v>169</v>
      </c>
      <c r="L19119" s="31" t="str">
        <f t="shared" si="1849"/>
        <v>Sembilan Puluh Dua</v>
      </c>
    </row>
    <row r="19120" spans="10:12">
      <c r="J19120" s="31">
        <v>93</v>
      </c>
      <c r="K19120" s="33" t="s">
        <v>170</v>
      </c>
      <c r="L19120" s="31" t="str">
        <f t="shared" si="1849"/>
        <v>Sembilan Puluh Tiga</v>
      </c>
    </row>
    <row r="19121" spans="1:12">
      <c r="J19121" s="31">
        <v>94</v>
      </c>
      <c r="K19121" s="33" t="s">
        <v>171</v>
      </c>
      <c r="L19121" s="31" t="str">
        <f t="shared" si="1849"/>
        <v>Sembilan Puluh Empat</v>
      </c>
    </row>
    <row r="19122" spans="1:12">
      <c r="J19122" s="31">
        <v>95</v>
      </c>
      <c r="K19122" s="33" t="s">
        <v>172</v>
      </c>
      <c r="L19122" s="31" t="str">
        <f t="shared" si="1849"/>
        <v>Sembilan Puluh Lima</v>
      </c>
    </row>
    <row r="19123" spans="1:12">
      <c r="J19123" s="31">
        <v>96</v>
      </c>
      <c r="K19123" s="33" t="s">
        <v>173</v>
      </c>
      <c r="L19123" s="31" t="str">
        <f t="shared" si="1849"/>
        <v>Sembilan Puluh Enam</v>
      </c>
    </row>
    <row r="19124" spans="1:12">
      <c r="J19124" s="31">
        <v>97</v>
      </c>
      <c r="K19124" s="33" t="s">
        <v>174</v>
      </c>
      <c r="L19124" s="31" t="str">
        <f t="shared" si="1849"/>
        <v>Sembilan Puluh Tujuh</v>
      </c>
    </row>
    <row r="19125" spans="1:12">
      <c r="J19125" s="31">
        <v>98</v>
      </c>
      <c r="K19125" s="33" t="s">
        <v>175</v>
      </c>
      <c r="L19125" s="31" t="str">
        <f t="shared" si="1849"/>
        <v>Sembilan Puluh Delapan</v>
      </c>
    </row>
    <row r="19126" spans="1:12">
      <c r="J19126" s="31">
        <v>99</v>
      </c>
      <c r="K19126" s="33" t="s">
        <v>176</v>
      </c>
      <c r="L19126" s="31" t="str">
        <f t="shared" si="1849"/>
        <v>Sembilan Puluh Sembilan</v>
      </c>
    </row>
    <row r="19128" spans="1:12">
      <c r="A19128" s="30" t="e">
        <f>#REF!</f>
        <v>#REF!</v>
      </c>
      <c r="C19128" s="31" t="s">
        <v>446</v>
      </c>
    </row>
    <row r="19129" spans="1:12">
      <c r="A19129" s="32"/>
    </row>
    <row r="19130" spans="1:12">
      <c r="J19130" s="31">
        <v>0</v>
      </c>
      <c r="K19130" s="33" t="s">
        <v>48</v>
      </c>
      <c r="L19130" s="31" t="s">
        <v>49</v>
      </c>
    </row>
    <row r="19131" spans="1:12">
      <c r="A19131" s="34"/>
      <c r="J19131" s="31">
        <v>1</v>
      </c>
      <c r="K19131" s="33" t="s">
        <v>50</v>
      </c>
      <c r="L19131" s="31" t="s">
        <v>51</v>
      </c>
    </row>
    <row r="19132" spans="1:12">
      <c r="A19132" s="255" t="e">
        <f>TRIM(D19140&amp;E19140&amp;D19141&amp;E19141&amp;D19142&amp;E19142&amp;D19143&amp;E19143&amp;D19144&amp;E19144&amp;D19145&amp;E19145&amp;E19146&amp;D19146&amp;" Only")</f>
        <v>#REF!</v>
      </c>
      <c r="B19132" s="255"/>
      <c r="C19132" s="255"/>
      <c r="D19132" s="255"/>
      <c r="E19132" s="35"/>
      <c r="F19132" s="36"/>
      <c r="J19132" s="31">
        <v>2</v>
      </c>
      <c r="K19132" s="33" t="s">
        <v>52</v>
      </c>
      <c r="L19132" s="31" t="s">
        <v>53</v>
      </c>
    </row>
    <row r="19133" spans="1:12">
      <c r="A19133" s="170"/>
      <c r="B19133" s="170"/>
      <c r="C19133" s="170"/>
      <c r="D19133" s="170"/>
      <c r="E19133" s="35"/>
      <c r="F19133" s="36"/>
      <c r="J19133" s="31">
        <v>3</v>
      </c>
      <c r="K19133" s="33" t="s">
        <v>54</v>
      </c>
      <c r="L19133" s="31" t="s">
        <v>55</v>
      </c>
    </row>
    <row r="19134" spans="1:12">
      <c r="A19134" s="170"/>
      <c r="B19134" s="170"/>
      <c r="C19134" s="170"/>
      <c r="D19134" s="170"/>
      <c r="J19134" s="31">
        <v>4</v>
      </c>
      <c r="K19134" s="33" t="s">
        <v>56</v>
      </c>
      <c r="L19134" s="31" t="s">
        <v>57</v>
      </c>
    </row>
    <row r="19135" spans="1:12">
      <c r="A19135" s="255" t="e">
        <f>TRIM(D19150&amp;E19150&amp;D19151&amp;E19151&amp;D19152&amp;E19152&amp;D19153&amp;E19153&amp;D19154&amp;E19154&amp;D19155&amp;E19155&amp;D19156&amp;E19156&amp;" Rupiah")</f>
        <v>#REF!</v>
      </c>
      <c r="B19135" s="255"/>
      <c r="C19135" s="255"/>
      <c r="D19135" s="255"/>
      <c r="E19135" s="35"/>
      <c r="F19135" s="36"/>
      <c r="J19135" s="31">
        <v>5</v>
      </c>
      <c r="K19135" s="33" t="s">
        <v>58</v>
      </c>
      <c r="L19135" s="31" t="s">
        <v>59</v>
      </c>
    </row>
    <row r="19136" spans="1:12">
      <c r="A19136" s="35"/>
      <c r="B19136" s="35"/>
      <c r="C19136" s="35"/>
      <c r="D19136" s="35"/>
      <c r="E19136" s="35"/>
      <c r="F19136" s="36"/>
      <c r="J19136" s="31">
        <v>6</v>
      </c>
      <c r="K19136" s="33" t="s">
        <v>60</v>
      </c>
      <c r="L19136" s="31" t="s">
        <v>61</v>
      </c>
    </row>
    <row r="19137" spans="1:12">
      <c r="J19137" s="31">
        <v>7</v>
      </c>
      <c r="K19137" s="33" t="s">
        <v>62</v>
      </c>
      <c r="L19137" s="31" t="s">
        <v>63</v>
      </c>
    </row>
    <row r="19138" spans="1:12">
      <c r="J19138" s="31">
        <v>8</v>
      </c>
      <c r="K19138" s="33" t="s">
        <v>64</v>
      </c>
      <c r="L19138" s="31" t="s">
        <v>65</v>
      </c>
    </row>
    <row r="19139" spans="1:12">
      <c r="A19139" s="38" t="s">
        <v>66</v>
      </c>
      <c r="J19139" s="31">
        <v>9</v>
      </c>
      <c r="K19139" s="33" t="s">
        <v>67</v>
      </c>
      <c r="L19139" s="31" t="s">
        <v>68</v>
      </c>
    </row>
    <row r="19140" spans="1:12">
      <c r="A19140" s="31" t="s">
        <v>69</v>
      </c>
      <c r="B19140" s="39" t="e">
        <f>TRUNC(A19128/100000000)</f>
        <v>#REF!</v>
      </c>
      <c r="C19140" s="31" t="e">
        <f>B19140*100000000</f>
        <v>#REF!</v>
      </c>
      <c r="D19140" s="31" t="e">
        <f t="shared" ref="D19140:D19146" si="1850">IF(B19140&lt;1,"",VLOOKUP(B19140,$J$3:$K$102,2))</f>
        <v>#REF!</v>
      </c>
      <c r="E19140" s="31" t="e">
        <f>IF(B19140&lt;1,"",IF(B19140&gt;1," Hundreds "," Hundred "))</f>
        <v>#REF!</v>
      </c>
      <c r="J19140" s="31">
        <v>10</v>
      </c>
      <c r="K19140" s="33" t="s">
        <v>70</v>
      </c>
      <c r="L19140" s="31" t="s">
        <v>71</v>
      </c>
    </row>
    <row r="19141" spans="1:12">
      <c r="A19141" s="31" t="s">
        <v>72</v>
      </c>
      <c r="B19141" s="39" t="e">
        <f>TRUNC((A19128-C19140)/1000000)</f>
        <v>#REF!</v>
      </c>
      <c r="C19141" s="31" t="e">
        <f>B19141*1000000</f>
        <v>#REF!</v>
      </c>
      <c r="D19141" s="31" t="e">
        <f t="shared" si="1850"/>
        <v>#REF!</v>
      </c>
      <c r="E19141" s="31" t="e">
        <f>IF(B19140+B19141=0,"",IF(B19141=1," Million "," Millions "))</f>
        <v>#REF!</v>
      </c>
      <c r="J19141" s="31">
        <v>11</v>
      </c>
      <c r="K19141" s="33" t="s">
        <v>73</v>
      </c>
      <c r="L19141" s="31" t="s">
        <v>74</v>
      </c>
    </row>
    <row r="19142" spans="1:12">
      <c r="A19142" s="31" t="s">
        <v>75</v>
      </c>
      <c r="B19142" s="39" t="e">
        <f>TRUNC((A19128-SUM(C19140:C19141))/100000)</f>
        <v>#REF!</v>
      </c>
      <c r="C19142" s="31" t="e">
        <f>B19142*100000</f>
        <v>#REF!</v>
      </c>
      <c r="D19142" s="31" t="e">
        <f t="shared" si="1850"/>
        <v>#REF!</v>
      </c>
      <c r="E19142" s="31" t="e">
        <f>IF(B19142&lt;1,"",IF(B19142&gt;1," Hundreds "," Hundred "))</f>
        <v>#REF!</v>
      </c>
      <c r="J19142" s="31">
        <v>12</v>
      </c>
      <c r="K19142" s="33" t="s">
        <v>76</v>
      </c>
      <c r="L19142" s="31" t="str">
        <f t="shared" ref="L19142:L19149" si="1851">L19132&amp;" Belas"</f>
        <v>Dua Belas</v>
      </c>
    </row>
    <row r="19143" spans="1:12">
      <c r="A19143" s="33" t="s">
        <v>77</v>
      </c>
      <c r="B19143" s="40" t="e">
        <f>TRUNC((A19128-SUM(C19140:C19142))/1000)</f>
        <v>#REF!</v>
      </c>
      <c r="C19143" s="31" t="e">
        <f>B19143*1000</f>
        <v>#REF!</v>
      </c>
      <c r="D19143" s="31" t="e">
        <f t="shared" si="1850"/>
        <v>#REF!</v>
      </c>
      <c r="E19143" s="31" t="e">
        <f>IF(B19142+B19143=0,"",IF(B19143=1," Thousand "," Thousands "))</f>
        <v>#REF!</v>
      </c>
      <c r="J19143" s="31">
        <v>13</v>
      </c>
      <c r="K19143" s="33" t="s">
        <v>78</v>
      </c>
      <c r="L19143" s="31" t="str">
        <f t="shared" si="1851"/>
        <v>Tiga Belas</v>
      </c>
    </row>
    <row r="19144" spans="1:12">
      <c r="A19144" s="33" t="s">
        <v>79</v>
      </c>
      <c r="B19144" s="40" t="e">
        <f>TRUNC((A19128-SUM(C19140:C19143))/100)</f>
        <v>#REF!</v>
      </c>
      <c r="C19144" s="31" t="e">
        <f>B19144*100</f>
        <v>#REF!</v>
      </c>
      <c r="D19144" s="31" t="e">
        <f t="shared" si="1850"/>
        <v>#REF!</v>
      </c>
      <c r="E19144" s="31" t="e">
        <f>IF(B19144&lt;1,"",IF(B19144&gt;1," Hundreds "," Hundred "))</f>
        <v>#REF!</v>
      </c>
      <c r="J19144" s="31">
        <v>14</v>
      </c>
      <c r="K19144" s="33" t="s">
        <v>80</v>
      </c>
      <c r="L19144" s="31" t="str">
        <f t="shared" si="1851"/>
        <v>Empat Belas</v>
      </c>
    </row>
    <row r="19145" spans="1:12">
      <c r="A19145" s="33" t="s">
        <v>81</v>
      </c>
      <c r="B19145" s="41" t="e">
        <f>TRUNC((A19128-SUM(C19140:C19144)))</f>
        <v>#REF!</v>
      </c>
      <c r="C19145" s="42" t="e">
        <f>B19145</f>
        <v>#REF!</v>
      </c>
      <c r="D19145" s="31" t="e">
        <f t="shared" si="1850"/>
        <v>#REF!</v>
      </c>
      <c r="E19145" s="31" t="e">
        <f>IF(SUM(C19140:C19145)&lt;1,"",IF(B19146&lt;1,""," And "))</f>
        <v>#REF!</v>
      </c>
      <c r="J19145" s="31">
        <v>15</v>
      </c>
      <c r="K19145" s="33" t="s">
        <v>82</v>
      </c>
      <c r="L19145" s="31" t="str">
        <f t="shared" si="1851"/>
        <v>Lima Belas</v>
      </c>
    </row>
    <row r="19146" spans="1:12">
      <c r="A19146" s="33" t="s">
        <v>83</v>
      </c>
      <c r="B19146" s="40" t="e">
        <f>ROUND(A19128-SUM(C19140:C19145),2)*100</f>
        <v>#REF!</v>
      </c>
      <c r="D19146" s="43" t="e">
        <f t="shared" si="1850"/>
        <v>#REF!</v>
      </c>
      <c r="E19146" s="31" t="e">
        <f>IF(B19146&lt;1,"",IF(B19146=1," Cent "," Cents "))</f>
        <v>#REF!</v>
      </c>
      <c r="J19146" s="31">
        <v>16</v>
      </c>
      <c r="K19146" s="33" t="s">
        <v>84</v>
      </c>
      <c r="L19146" s="31" t="str">
        <f t="shared" si="1851"/>
        <v>Enam Belas</v>
      </c>
    </row>
    <row r="19147" spans="1:12">
      <c r="J19147" s="31">
        <v>17</v>
      </c>
      <c r="K19147" s="33" t="s">
        <v>85</v>
      </c>
      <c r="L19147" s="31" t="str">
        <f t="shared" si="1851"/>
        <v>Tujuh Belas</v>
      </c>
    </row>
    <row r="19148" spans="1:12">
      <c r="A19148" s="44"/>
      <c r="J19148" s="31">
        <v>18</v>
      </c>
      <c r="K19148" s="33" t="s">
        <v>86</v>
      </c>
      <c r="L19148" s="31" t="str">
        <f t="shared" si="1851"/>
        <v>Delapan Belas</v>
      </c>
    </row>
    <row r="19149" spans="1:12">
      <c r="A19149" s="38" t="s">
        <v>87</v>
      </c>
      <c r="J19149" s="31">
        <v>19</v>
      </c>
      <c r="K19149" s="33" t="s">
        <v>88</v>
      </c>
      <c r="L19149" s="31" t="str">
        <f t="shared" si="1851"/>
        <v>Sembilan Belas</v>
      </c>
    </row>
    <row r="19150" spans="1:12">
      <c r="A19150" s="31" t="s">
        <v>69</v>
      </c>
      <c r="B19150" s="39" t="e">
        <f>TRUNC(A19128/100000000)</f>
        <v>#REF!</v>
      </c>
      <c r="C19150" s="31" t="e">
        <f>B19150*100000000</f>
        <v>#REF!</v>
      </c>
      <c r="D19150" s="31" t="e">
        <f>IF(B19150&lt;1,"",IF(B19150=1,"",VLOOKUP(B19150,$J$3:$L$102,3)))</f>
        <v>#REF!</v>
      </c>
      <c r="E19150" s="31" t="e">
        <f>IF(B19150&lt;1,"",IF(B19150=1,"Seratus "," Ratus "))</f>
        <v>#REF!</v>
      </c>
      <c r="J19150" s="31">
        <v>20</v>
      </c>
      <c r="K19150" s="33" t="s">
        <v>89</v>
      </c>
      <c r="L19150" s="31" t="s">
        <v>90</v>
      </c>
    </row>
    <row r="19151" spans="1:12">
      <c r="A19151" s="31" t="s">
        <v>72</v>
      </c>
      <c r="B19151" s="39" t="e">
        <f>TRUNC((A19128-C19150)/1000000)</f>
        <v>#REF!</v>
      </c>
      <c r="C19151" s="31" t="e">
        <f>B19151*1000000</f>
        <v>#REF!</v>
      </c>
      <c r="D19151" s="31" t="e">
        <f>IF(B19151&lt;1,"",VLOOKUP(B19151,$J$3:$L$102,3))</f>
        <v>#REF!</v>
      </c>
      <c r="E19151" s="31" t="e">
        <f>IF(B19150+B19151=0,""," Juta ")</f>
        <v>#REF!</v>
      </c>
      <c r="J19151" s="31">
        <v>21</v>
      </c>
      <c r="K19151" s="33" t="s">
        <v>91</v>
      </c>
      <c r="L19151" s="31" t="str">
        <f t="shared" ref="L19151:L19159" si="1852">$L$23&amp;" "&amp;L19131</f>
        <v>Dua Puluh Satu</v>
      </c>
    </row>
    <row r="19152" spans="1:12">
      <c r="A19152" s="31" t="s">
        <v>75</v>
      </c>
      <c r="B19152" s="39" t="e">
        <f>TRUNC((A19128-SUM(C19150:C19151))/100000)</f>
        <v>#REF!</v>
      </c>
      <c r="C19152" s="31" t="e">
        <f>B19152*100000</f>
        <v>#REF!</v>
      </c>
      <c r="D19152" s="31" t="e">
        <f>IF(B19152&lt;1,"",IF(B19152=1,"",VLOOKUP(B19152,$J$3:$L$102,3)))</f>
        <v>#REF!</v>
      </c>
      <c r="E19152" s="31" t="e">
        <f>IF(B19152&lt;1,"",IF(B19152=1," Seratus "," Ratus "))</f>
        <v>#REF!</v>
      </c>
      <c r="J19152" s="31">
        <v>22</v>
      </c>
      <c r="K19152" s="33" t="s">
        <v>92</v>
      </c>
      <c r="L19152" s="31" t="str">
        <f t="shared" si="1852"/>
        <v>Dua Puluh Dua</v>
      </c>
    </row>
    <row r="19153" spans="1:12">
      <c r="A19153" s="33" t="s">
        <v>77</v>
      </c>
      <c r="B19153" s="40" t="e">
        <f>TRUNC((A19128-SUM(C19150:C19152))/1000)</f>
        <v>#REF!</v>
      </c>
      <c r="C19153" s="31" t="e">
        <f>B19153*1000</f>
        <v>#REF!</v>
      </c>
      <c r="D19153" s="31" t="e">
        <f>IF(B19153&lt;1,"",IF(B19153=1,"",VLOOKUP(B19153,$J$3:$L$102,3)))</f>
        <v>#REF!</v>
      </c>
      <c r="E19153" s="31" t="e">
        <f>IF(B19152+B19153&lt;1,"",IF(B19153=1," Seribu "," Ribu "))</f>
        <v>#REF!</v>
      </c>
      <c r="J19153" s="31">
        <v>23</v>
      </c>
      <c r="K19153" s="33" t="s">
        <v>93</v>
      </c>
      <c r="L19153" s="31" t="str">
        <f t="shared" si="1852"/>
        <v>Dua Puluh Tiga</v>
      </c>
    </row>
    <row r="19154" spans="1:12">
      <c r="A19154" s="33" t="s">
        <v>79</v>
      </c>
      <c r="B19154" s="40" t="e">
        <f>TRUNC((A19128-SUM(C19150:C19153))/100)</f>
        <v>#REF!</v>
      </c>
      <c r="C19154" s="31" t="e">
        <f>B19154*100</f>
        <v>#REF!</v>
      </c>
      <c r="D19154" s="31" t="e">
        <f>IF(B19154&lt;1,"",IF(B19154=1,"",VLOOKUP(B19154,$J$3:$L$102,3)))</f>
        <v>#REF!</v>
      </c>
      <c r="E19154" s="31" t="e">
        <f>IF(B19154&lt;1,"",IF(B19154=1," Seratus "," Ratus "))</f>
        <v>#REF!</v>
      </c>
      <c r="J19154" s="31">
        <v>24</v>
      </c>
      <c r="K19154" s="33" t="s">
        <v>94</v>
      </c>
      <c r="L19154" s="31" t="str">
        <f t="shared" si="1852"/>
        <v>Dua Puluh Empat</v>
      </c>
    </row>
    <row r="19155" spans="1:12">
      <c r="A19155" s="33" t="s">
        <v>81</v>
      </c>
      <c r="B19155" s="41" t="e">
        <f>TRUNC((A19128-SUM(C19150:C19154)))</f>
        <v>#REF!</v>
      </c>
      <c r="C19155" s="42" t="e">
        <f>B19155</f>
        <v>#REF!</v>
      </c>
      <c r="D19155" s="31" t="e">
        <f>IF(B19155&lt;1,"",VLOOKUP(B19155,$J$3:$L$102,3))</f>
        <v>#REF!</v>
      </c>
      <c r="E19155" s="31" t="e">
        <f>IF(SUM(C19150:C19155)&lt;1,"",IF(B19156&lt;1,""," Dan "))</f>
        <v>#REF!</v>
      </c>
      <c r="J19155" s="31">
        <v>25</v>
      </c>
      <c r="K19155" s="33" t="s">
        <v>95</v>
      </c>
      <c r="L19155" s="31" t="str">
        <f t="shared" si="1852"/>
        <v>Dua Puluh Lima</v>
      </c>
    </row>
    <row r="19156" spans="1:12">
      <c r="A19156" s="33" t="s">
        <v>83</v>
      </c>
      <c r="B19156" s="40" t="e">
        <f>ROUND(A19128-SUM(C19150:C19155),2)*100</f>
        <v>#REF!</v>
      </c>
      <c r="D19156" s="31" t="e">
        <f>IF(B19156&lt;1,"",VLOOKUP(B19156,$J$3:$L$102,3))</f>
        <v>#REF!</v>
      </c>
      <c r="E19156" s="31" t="e">
        <f>IF(B19156&lt;1,""," Sen ")</f>
        <v>#REF!</v>
      </c>
      <c r="J19156" s="31">
        <v>26</v>
      </c>
      <c r="K19156" s="33" t="s">
        <v>96</v>
      </c>
      <c r="L19156" s="31" t="str">
        <f t="shared" si="1852"/>
        <v>Dua Puluh Enam</v>
      </c>
    </row>
    <row r="19157" spans="1:12">
      <c r="J19157" s="31">
        <v>27</v>
      </c>
      <c r="K19157" s="33" t="s">
        <v>97</v>
      </c>
      <c r="L19157" s="31" t="str">
        <f t="shared" si="1852"/>
        <v>Dua Puluh Tujuh</v>
      </c>
    </row>
    <row r="19158" spans="1:12">
      <c r="J19158" s="31">
        <v>28</v>
      </c>
      <c r="K19158" s="33" t="s">
        <v>98</v>
      </c>
      <c r="L19158" s="31" t="str">
        <f t="shared" si="1852"/>
        <v>Dua Puluh Delapan</v>
      </c>
    </row>
    <row r="19159" spans="1:12">
      <c r="J19159" s="31">
        <v>29</v>
      </c>
      <c r="K19159" s="33" t="s">
        <v>99</v>
      </c>
      <c r="L19159" s="31" t="str">
        <f t="shared" si="1852"/>
        <v>Dua Puluh Sembilan</v>
      </c>
    </row>
    <row r="19160" spans="1:12">
      <c r="J19160" s="31">
        <v>30</v>
      </c>
      <c r="K19160" s="33" t="s">
        <v>100</v>
      </c>
      <c r="L19160" s="31" t="s">
        <v>101</v>
      </c>
    </row>
    <row r="19161" spans="1:12">
      <c r="J19161" s="31">
        <v>31</v>
      </c>
      <c r="K19161" s="33" t="s">
        <v>102</v>
      </c>
      <c r="L19161" s="31" t="str">
        <f t="shared" ref="L19161:L19169" si="1853">$L$33&amp;" "&amp;L19131</f>
        <v>Tiga Puluh Satu</v>
      </c>
    </row>
    <row r="19162" spans="1:12">
      <c r="J19162" s="31">
        <v>32</v>
      </c>
      <c r="K19162" s="33" t="s">
        <v>103</v>
      </c>
      <c r="L19162" s="31" t="str">
        <f t="shared" si="1853"/>
        <v>Tiga Puluh Dua</v>
      </c>
    </row>
    <row r="19163" spans="1:12">
      <c r="J19163" s="31">
        <v>33</v>
      </c>
      <c r="K19163" s="33" t="s">
        <v>104</v>
      </c>
      <c r="L19163" s="31" t="str">
        <f t="shared" si="1853"/>
        <v>Tiga Puluh Tiga</v>
      </c>
    </row>
    <row r="19164" spans="1:12">
      <c r="J19164" s="31">
        <v>34</v>
      </c>
      <c r="K19164" s="33" t="s">
        <v>105</v>
      </c>
      <c r="L19164" s="31" t="str">
        <f t="shared" si="1853"/>
        <v>Tiga Puluh Empat</v>
      </c>
    </row>
    <row r="19165" spans="1:12">
      <c r="J19165" s="31">
        <v>35</v>
      </c>
      <c r="K19165" s="33" t="s">
        <v>106</v>
      </c>
      <c r="L19165" s="31" t="str">
        <f t="shared" si="1853"/>
        <v>Tiga Puluh Lima</v>
      </c>
    </row>
    <row r="19166" spans="1:12">
      <c r="J19166" s="31">
        <v>36</v>
      </c>
      <c r="K19166" s="33" t="s">
        <v>107</v>
      </c>
      <c r="L19166" s="31" t="str">
        <f t="shared" si="1853"/>
        <v>Tiga Puluh Enam</v>
      </c>
    </row>
    <row r="19167" spans="1:12">
      <c r="J19167" s="31">
        <v>37</v>
      </c>
      <c r="K19167" s="33" t="s">
        <v>108</v>
      </c>
      <c r="L19167" s="31" t="str">
        <f t="shared" si="1853"/>
        <v>Tiga Puluh Tujuh</v>
      </c>
    </row>
    <row r="19168" spans="1:12">
      <c r="J19168" s="31">
        <v>38</v>
      </c>
      <c r="K19168" s="33" t="s">
        <v>109</v>
      </c>
      <c r="L19168" s="31" t="str">
        <f t="shared" si="1853"/>
        <v>Tiga Puluh Delapan</v>
      </c>
    </row>
    <row r="19169" spans="1:12">
      <c r="J19169" s="31">
        <v>39</v>
      </c>
      <c r="K19169" s="33" t="s">
        <v>110</v>
      </c>
      <c r="L19169" s="31" t="str">
        <f t="shared" si="1853"/>
        <v>Tiga Puluh Sembilan</v>
      </c>
    </row>
    <row r="19170" spans="1:12">
      <c r="B19170" s="35"/>
      <c r="C19170" s="35"/>
      <c r="D19170" s="35"/>
      <c r="J19170" s="31">
        <v>40</v>
      </c>
      <c r="K19170" s="33" t="s">
        <v>111</v>
      </c>
      <c r="L19170" s="31" t="s">
        <v>112</v>
      </c>
    </row>
    <row r="19171" spans="1:12">
      <c r="A19171" s="35"/>
      <c r="B19171" s="35"/>
      <c r="C19171" s="35"/>
      <c r="D19171" s="35"/>
      <c r="J19171" s="31">
        <v>41</v>
      </c>
      <c r="K19171" s="33" t="s">
        <v>113</v>
      </c>
      <c r="L19171" s="31" t="str">
        <f t="shared" ref="L19171:L19179" si="1854">$L$43&amp;" "&amp;L19131</f>
        <v>Empat Puluh Satu</v>
      </c>
    </row>
    <row r="19172" spans="1:12">
      <c r="J19172" s="31">
        <v>42</v>
      </c>
      <c r="K19172" s="33" t="s">
        <v>114</v>
      </c>
      <c r="L19172" s="31" t="str">
        <f t="shared" si="1854"/>
        <v>Empat Puluh Dua</v>
      </c>
    </row>
    <row r="19173" spans="1:12">
      <c r="A19173" s="38"/>
      <c r="J19173" s="31">
        <v>43</v>
      </c>
      <c r="K19173" s="33" t="s">
        <v>115</v>
      </c>
      <c r="L19173" s="31" t="str">
        <f t="shared" si="1854"/>
        <v>Empat Puluh Tiga</v>
      </c>
    </row>
    <row r="19174" spans="1:12">
      <c r="J19174" s="31">
        <v>44</v>
      </c>
      <c r="K19174" s="33" t="s">
        <v>116</v>
      </c>
      <c r="L19174" s="31" t="str">
        <f t="shared" si="1854"/>
        <v>Empat Puluh Empat</v>
      </c>
    </row>
    <row r="19175" spans="1:12">
      <c r="J19175" s="31">
        <v>45</v>
      </c>
      <c r="K19175" s="33" t="s">
        <v>117</v>
      </c>
      <c r="L19175" s="31" t="str">
        <f t="shared" si="1854"/>
        <v>Empat Puluh Lima</v>
      </c>
    </row>
    <row r="19176" spans="1:12">
      <c r="J19176" s="31">
        <v>46</v>
      </c>
      <c r="K19176" s="33" t="s">
        <v>118</v>
      </c>
      <c r="L19176" s="31" t="str">
        <f t="shared" si="1854"/>
        <v>Empat Puluh Enam</v>
      </c>
    </row>
    <row r="19177" spans="1:12">
      <c r="J19177" s="31">
        <v>47</v>
      </c>
      <c r="K19177" s="33" t="s">
        <v>119</v>
      </c>
      <c r="L19177" s="31" t="str">
        <f t="shared" si="1854"/>
        <v>Empat Puluh Tujuh</v>
      </c>
    </row>
    <row r="19178" spans="1:12">
      <c r="J19178" s="31">
        <v>48</v>
      </c>
      <c r="K19178" s="33" t="s">
        <v>120</v>
      </c>
      <c r="L19178" s="31" t="str">
        <f t="shared" si="1854"/>
        <v>Empat Puluh Delapan</v>
      </c>
    </row>
    <row r="19179" spans="1:12">
      <c r="J19179" s="31">
        <v>49</v>
      </c>
      <c r="K19179" s="33" t="s">
        <v>121</v>
      </c>
      <c r="L19179" s="31" t="str">
        <f t="shared" si="1854"/>
        <v>Empat Puluh Sembilan</v>
      </c>
    </row>
    <row r="19180" spans="1:12">
      <c r="J19180" s="31">
        <v>50</v>
      </c>
      <c r="K19180" s="33" t="s">
        <v>122</v>
      </c>
      <c r="L19180" s="31" t="s">
        <v>123</v>
      </c>
    </row>
    <row r="19181" spans="1:12">
      <c r="J19181" s="31">
        <v>51</v>
      </c>
      <c r="K19181" s="33" t="s">
        <v>124</v>
      </c>
      <c r="L19181" s="31" t="str">
        <f t="shared" ref="L19181:L19189" si="1855">$L$53&amp;" "&amp;L19131</f>
        <v>Lima Puluh Satu</v>
      </c>
    </row>
    <row r="19182" spans="1:12">
      <c r="J19182" s="31">
        <v>52</v>
      </c>
      <c r="K19182" s="33" t="s">
        <v>125</v>
      </c>
      <c r="L19182" s="31" t="str">
        <f t="shared" si="1855"/>
        <v>Lima Puluh Dua</v>
      </c>
    </row>
    <row r="19183" spans="1:12">
      <c r="J19183" s="31">
        <v>53</v>
      </c>
      <c r="K19183" s="33" t="s">
        <v>126</v>
      </c>
      <c r="L19183" s="31" t="str">
        <f t="shared" si="1855"/>
        <v>Lima Puluh Tiga</v>
      </c>
    </row>
    <row r="19184" spans="1:12">
      <c r="J19184" s="31">
        <v>54</v>
      </c>
      <c r="K19184" s="33" t="s">
        <v>127</v>
      </c>
      <c r="L19184" s="31" t="str">
        <f t="shared" si="1855"/>
        <v>Lima Puluh Empat</v>
      </c>
    </row>
    <row r="19185" spans="10:12">
      <c r="J19185" s="31">
        <v>55</v>
      </c>
      <c r="K19185" s="33" t="s">
        <v>128</v>
      </c>
      <c r="L19185" s="31" t="str">
        <f t="shared" si="1855"/>
        <v>Lima Puluh Lima</v>
      </c>
    </row>
    <row r="19186" spans="10:12">
      <c r="J19186" s="31">
        <v>56</v>
      </c>
      <c r="K19186" s="33" t="s">
        <v>129</v>
      </c>
      <c r="L19186" s="31" t="str">
        <f t="shared" si="1855"/>
        <v>Lima Puluh Enam</v>
      </c>
    </row>
    <row r="19187" spans="10:12">
      <c r="J19187" s="31">
        <v>57</v>
      </c>
      <c r="K19187" s="33" t="s">
        <v>130</v>
      </c>
      <c r="L19187" s="31" t="str">
        <f t="shared" si="1855"/>
        <v>Lima Puluh Tujuh</v>
      </c>
    </row>
    <row r="19188" spans="10:12">
      <c r="J19188" s="31">
        <v>58</v>
      </c>
      <c r="K19188" s="33" t="s">
        <v>131</v>
      </c>
      <c r="L19188" s="31" t="str">
        <f t="shared" si="1855"/>
        <v>Lima Puluh Delapan</v>
      </c>
    </row>
    <row r="19189" spans="10:12">
      <c r="J19189" s="31">
        <v>59</v>
      </c>
      <c r="K19189" s="33" t="s">
        <v>132</v>
      </c>
      <c r="L19189" s="31" t="str">
        <f t="shared" si="1855"/>
        <v>Lima Puluh Sembilan</v>
      </c>
    </row>
    <row r="19190" spans="10:12">
      <c r="J19190" s="31">
        <v>60</v>
      </c>
      <c r="K19190" s="33" t="s">
        <v>133</v>
      </c>
      <c r="L19190" s="31" t="s">
        <v>134</v>
      </c>
    </row>
    <row r="19191" spans="10:12">
      <c r="J19191" s="31">
        <v>61</v>
      </c>
      <c r="K19191" s="33" t="s">
        <v>135</v>
      </c>
      <c r="L19191" s="31" t="str">
        <f t="shared" ref="L19191:L19199" si="1856">$L$63&amp;" "&amp;L19131</f>
        <v>Enam Puluh Satu</v>
      </c>
    </row>
    <row r="19192" spans="10:12">
      <c r="J19192" s="31">
        <v>62</v>
      </c>
      <c r="K19192" s="33" t="s">
        <v>136</v>
      </c>
      <c r="L19192" s="31" t="str">
        <f t="shared" si="1856"/>
        <v>Enam Puluh Dua</v>
      </c>
    </row>
    <row r="19193" spans="10:12">
      <c r="J19193" s="31">
        <v>63</v>
      </c>
      <c r="K19193" s="33" t="s">
        <v>137</v>
      </c>
      <c r="L19193" s="31" t="str">
        <f t="shared" si="1856"/>
        <v>Enam Puluh Tiga</v>
      </c>
    </row>
    <row r="19194" spans="10:12">
      <c r="J19194" s="31">
        <v>64</v>
      </c>
      <c r="K19194" s="33" t="s">
        <v>138</v>
      </c>
      <c r="L19194" s="31" t="str">
        <f t="shared" si="1856"/>
        <v>Enam Puluh Empat</v>
      </c>
    </row>
    <row r="19195" spans="10:12">
      <c r="J19195" s="31">
        <v>65</v>
      </c>
      <c r="K19195" s="33" t="s">
        <v>139</v>
      </c>
      <c r="L19195" s="31" t="str">
        <f t="shared" si="1856"/>
        <v>Enam Puluh Lima</v>
      </c>
    </row>
    <row r="19196" spans="10:12">
      <c r="J19196" s="31">
        <v>66</v>
      </c>
      <c r="K19196" s="33" t="s">
        <v>140</v>
      </c>
      <c r="L19196" s="31" t="str">
        <f t="shared" si="1856"/>
        <v>Enam Puluh Enam</v>
      </c>
    </row>
    <row r="19197" spans="10:12">
      <c r="J19197" s="31">
        <v>67</v>
      </c>
      <c r="K19197" s="33" t="s">
        <v>141</v>
      </c>
      <c r="L19197" s="31" t="str">
        <f t="shared" si="1856"/>
        <v>Enam Puluh Tujuh</v>
      </c>
    </row>
    <row r="19198" spans="10:12">
      <c r="J19198" s="31">
        <v>68</v>
      </c>
      <c r="K19198" s="33" t="s">
        <v>142</v>
      </c>
      <c r="L19198" s="31" t="str">
        <f t="shared" si="1856"/>
        <v>Enam Puluh Delapan</v>
      </c>
    </row>
    <row r="19199" spans="10:12">
      <c r="J19199" s="31">
        <v>69</v>
      </c>
      <c r="K19199" s="33" t="s">
        <v>143</v>
      </c>
      <c r="L19199" s="31" t="str">
        <f t="shared" si="1856"/>
        <v>Enam Puluh Sembilan</v>
      </c>
    </row>
    <row r="19200" spans="10:12">
      <c r="J19200" s="31">
        <v>70</v>
      </c>
      <c r="K19200" s="33" t="s">
        <v>144</v>
      </c>
      <c r="L19200" s="31" t="s">
        <v>145</v>
      </c>
    </row>
    <row r="19201" spans="10:12">
      <c r="J19201" s="31">
        <v>71</v>
      </c>
      <c r="K19201" s="33" t="s">
        <v>146</v>
      </c>
      <c r="L19201" s="31" t="str">
        <f t="shared" ref="L19201:L19209" si="1857">$L$73&amp;" "&amp;L19131</f>
        <v>Tujuh Puluh Satu</v>
      </c>
    </row>
    <row r="19202" spans="10:12">
      <c r="J19202" s="31">
        <v>72</v>
      </c>
      <c r="K19202" s="33" t="s">
        <v>147</v>
      </c>
      <c r="L19202" s="31" t="str">
        <f t="shared" si="1857"/>
        <v>Tujuh Puluh Dua</v>
      </c>
    </row>
    <row r="19203" spans="10:12">
      <c r="J19203" s="31">
        <v>73</v>
      </c>
      <c r="K19203" s="33" t="s">
        <v>148</v>
      </c>
      <c r="L19203" s="31" t="str">
        <f t="shared" si="1857"/>
        <v>Tujuh Puluh Tiga</v>
      </c>
    </row>
    <row r="19204" spans="10:12">
      <c r="J19204" s="31">
        <v>74</v>
      </c>
      <c r="K19204" s="33" t="s">
        <v>149</v>
      </c>
      <c r="L19204" s="31" t="str">
        <f t="shared" si="1857"/>
        <v>Tujuh Puluh Empat</v>
      </c>
    </row>
    <row r="19205" spans="10:12">
      <c r="J19205" s="31">
        <v>75</v>
      </c>
      <c r="K19205" s="33" t="s">
        <v>150</v>
      </c>
      <c r="L19205" s="31" t="str">
        <f t="shared" si="1857"/>
        <v>Tujuh Puluh Lima</v>
      </c>
    </row>
    <row r="19206" spans="10:12">
      <c r="J19206" s="31">
        <v>76</v>
      </c>
      <c r="K19206" s="33" t="s">
        <v>151</v>
      </c>
      <c r="L19206" s="31" t="str">
        <f t="shared" si="1857"/>
        <v>Tujuh Puluh Enam</v>
      </c>
    </row>
    <row r="19207" spans="10:12">
      <c r="J19207" s="31">
        <v>77</v>
      </c>
      <c r="K19207" s="33" t="s">
        <v>152</v>
      </c>
      <c r="L19207" s="31" t="str">
        <f t="shared" si="1857"/>
        <v>Tujuh Puluh Tujuh</v>
      </c>
    </row>
    <row r="19208" spans="10:12">
      <c r="J19208" s="31">
        <v>78</v>
      </c>
      <c r="K19208" s="33" t="s">
        <v>153</v>
      </c>
      <c r="L19208" s="31" t="str">
        <f t="shared" si="1857"/>
        <v>Tujuh Puluh Delapan</v>
      </c>
    </row>
    <row r="19209" spans="10:12">
      <c r="J19209" s="31">
        <v>79</v>
      </c>
      <c r="K19209" s="33" t="s">
        <v>154</v>
      </c>
      <c r="L19209" s="31" t="str">
        <f t="shared" si="1857"/>
        <v>Tujuh Puluh Sembilan</v>
      </c>
    </row>
    <row r="19210" spans="10:12">
      <c r="J19210" s="31">
        <v>80</v>
      </c>
      <c r="K19210" s="33" t="s">
        <v>155</v>
      </c>
      <c r="L19210" s="31" t="s">
        <v>156</v>
      </c>
    </row>
    <row r="19211" spans="10:12">
      <c r="J19211" s="31">
        <v>81</v>
      </c>
      <c r="K19211" s="33" t="s">
        <v>157</v>
      </c>
      <c r="L19211" s="31" t="str">
        <f t="shared" ref="L19211:L19219" si="1858">$L$83&amp;" "&amp;L19131</f>
        <v>Delapan Puluh Satu</v>
      </c>
    </row>
    <row r="19212" spans="10:12">
      <c r="J19212" s="31">
        <v>82</v>
      </c>
      <c r="K19212" s="33" t="s">
        <v>158</v>
      </c>
      <c r="L19212" s="31" t="str">
        <f t="shared" si="1858"/>
        <v>Delapan Puluh Dua</v>
      </c>
    </row>
    <row r="19213" spans="10:12">
      <c r="J19213" s="31">
        <v>83</v>
      </c>
      <c r="K19213" s="33" t="s">
        <v>159</v>
      </c>
      <c r="L19213" s="31" t="str">
        <f t="shared" si="1858"/>
        <v>Delapan Puluh Tiga</v>
      </c>
    </row>
    <row r="19214" spans="10:12">
      <c r="J19214" s="31">
        <v>84</v>
      </c>
      <c r="K19214" s="33" t="s">
        <v>160</v>
      </c>
      <c r="L19214" s="31" t="str">
        <f t="shared" si="1858"/>
        <v>Delapan Puluh Empat</v>
      </c>
    </row>
    <row r="19215" spans="10:12">
      <c r="J19215" s="31">
        <v>85</v>
      </c>
      <c r="K19215" s="33" t="s">
        <v>161</v>
      </c>
      <c r="L19215" s="31" t="str">
        <f t="shared" si="1858"/>
        <v>Delapan Puluh Lima</v>
      </c>
    </row>
    <row r="19216" spans="10:12">
      <c r="J19216" s="31">
        <v>86</v>
      </c>
      <c r="K19216" s="33" t="s">
        <v>162</v>
      </c>
      <c r="L19216" s="31" t="str">
        <f t="shared" si="1858"/>
        <v>Delapan Puluh Enam</v>
      </c>
    </row>
    <row r="19217" spans="1:12">
      <c r="J19217" s="31">
        <v>87</v>
      </c>
      <c r="K19217" s="33" t="s">
        <v>163</v>
      </c>
      <c r="L19217" s="31" t="str">
        <f t="shared" si="1858"/>
        <v>Delapan Puluh Tujuh</v>
      </c>
    </row>
    <row r="19218" spans="1:12">
      <c r="J19218" s="31">
        <v>88</v>
      </c>
      <c r="K19218" s="33" t="s">
        <v>164</v>
      </c>
      <c r="L19218" s="31" t="str">
        <f t="shared" si="1858"/>
        <v>Delapan Puluh Delapan</v>
      </c>
    </row>
    <row r="19219" spans="1:12">
      <c r="J19219" s="31">
        <v>89</v>
      </c>
      <c r="K19219" s="33" t="s">
        <v>165</v>
      </c>
      <c r="L19219" s="31" t="str">
        <f t="shared" si="1858"/>
        <v>Delapan Puluh Sembilan</v>
      </c>
    </row>
    <row r="19220" spans="1:12">
      <c r="J19220" s="31">
        <v>90</v>
      </c>
      <c r="K19220" s="33" t="s">
        <v>166</v>
      </c>
      <c r="L19220" s="31" t="s">
        <v>167</v>
      </c>
    </row>
    <row r="19221" spans="1:12">
      <c r="J19221" s="31">
        <v>91</v>
      </c>
      <c r="K19221" s="33" t="s">
        <v>168</v>
      </c>
      <c r="L19221" s="31" t="str">
        <f t="shared" ref="L19221:L19229" si="1859">$L$93&amp;" "&amp;L19131</f>
        <v>Sembilan Puluh Satu</v>
      </c>
    </row>
    <row r="19222" spans="1:12">
      <c r="J19222" s="31">
        <v>92</v>
      </c>
      <c r="K19222" s="33" t="s">
        <v>169</v>
      </c>
      <c r="L19222" s="31" t="str">
        <f t="shared" si="1859"/>
        <v>Sembilan Puluh Dua</v>
      </c>
    </row>
    <row r="19223" spans="1:12">
      <c r="J19223" s="31">
        <v>93</v>
      </c>
      <c r="K19223" s="33" t="s">
        <v>170</v>
      </c>
      <c r="L19223" s="31" t="str">
        <f t="shared" si="1859"/>
        <v>Sembilan Puluh Tiga</v>
      </c>
    </row>
    <row r="19224" spans="1:12">
      <c r="J19224" s="31">
        <v>94</v>
      </c>
      <c r="K19224" s="33" t="s">
        <v>171</v>
      </c>
      <c r="L19224" s="31" t="str">
        <f t="shared" si="1859"/>
        <v>Sembilan Puluh Empat</v>
      </c>
    </row>
    <row r="19225" spans="1:12">
      <c r="J19225" s="31">
        <v>95</v>
      </c>
      <c r="K19225" s="33" t="s">
        <v>172</v>
      </c>
      <c r="L19225" s="31" t="str">
        <f t="shared" si="1859"/>
        <v>Sembilan Puluh Lima</v>
      </c>
    </row>
    <row r="19226" spans="1:12">
      <c r="J19226" s="31">
        <v>96</v>
      </c>
      <c r="K19226" s="33" t="s">
        <v>173</v>
      </c>
      <c r="L19226" s="31" t="str">
        <f t="shared" si="1859"/>
        <v>Sembilan Puluh Enam</v>
      </c>
    </row>
    <row r="19227" spans="1:12">
      <c r="J19227" s="31">
        <v>97</v>
      </c>
      <c r="K19227" s="33" t="s">
        <v>174</v>
      </c>
      <c r="L19227" s="31" t="str">
        <f t="shared" si="1859"/>
        <v>Sembilan Puluh Tujuh</v>
      </c>
    </row>
    <row r="19228" spans="1:12">
      <c r="J19228" s="31">
        <v>98</v>
      </c>
      <c r="K19228" s="33" t="s">
        <v>175</v>
      </c>
      <c r="L19228" s="31" t="str">
        <f t="shared" si="1859"/>
        <v>Sembilan Puluh Delapan</v>
      </c>
    </row>
    <row r="19229" spans="1:12">
      <c r="J19229" s="31">
        <v>99</v>
      </c>
      <c r="K19229" s="33" t="s">
        <v>176</v>
      </c>
      <c r="L19229" s="31" t="str">
        <f t="shared" si="1859"/>
        <v>Sembilan Puluh Sembilan</v>
      </c>
    </row>
    <row r="19231" spans="1:12">
      <c r="A19231" s="30" t="e">
        <f>#REF!</f>
        <v>#REF!</v>
      </c>
      <c r="C19231" s="31" t="s">
        <v>447</v>
      </c>
    </row>
    <row r="19232" spans="1:12">
      <c r="A19232" s="32"/>
    </row>
    <row r="19233" spans="1:12">
      <c r="J19233" s="31">
        <v>0</v>
      </c>
      <c r="K19233" s="33" t="s">
        <v>48</v>
      </c>
      <c r="L19233" s="31" t="s">
        <v>49</v>
      </c>
    </row>
    <row r="19234" spans="1:12">
      <c r="A19234" s="34"/>
      <c r="J19234" s="31">
        <v>1</v>
      </c>
      <c r="K19234" s="33" t="s">
        <v>50</v>
      </c>
      <c r="L19234" s="31" t="s">
        <v>51</v>
      </c>
    </row>
    <row r="19235" spans="1:12">
      <c r="A19235" s="255" t="e">
        <f>TRIM(D19243&amp;E19243&amp;D19244&amp;E19244&amp;D19245&amp;E19245&amp;D19246&amp;E19246&amp;D19247&amp;E19247&amp;D19248&amp;E19248&amp;E19249&amp;D19249&amp;" Only")</f>
        <v>#REF!</v>
      </c>
      <c r="B19235" s="255"/>
      <c r="C19235" s="255"/>
      <c r="D19235" s="255"/>
      <c r="E19235" s="35"/>
      <c r="F19235" s="36"/>
      <c r="J19235" s="31">
        <v>2</v>
      </c>
      <c r="K19235" s="33" t="s">
        <v>52</v>
      </c>
      <c r="L19235" s="31" t="s">
        <v>53</v>
      </c>
    </row>
    <row r="19236" spans="1:12">
      <c r="A19236" s="170"/>
      <c r="B19236" s="170"/>
      <c r="C19236" s="170"/>
      <c r="D19236" s="170"/>
      <c r="E19236" s="35"/>
      <c r="F19236" s="36"/>
      <c r="J19236" s="31">
        <v>3</v>
      </c>
      <c r="K19236" s="33" t="s">
        <v>54</v>
      </c>
      <c r="L19236" s="31" t="s">
        <v>55</v>
      </c>
    </row>
    <row r="19237" spans="1:12">
      <c r="A19237" s="170"/>
      <c r="B19237" s="170"/>
      <c r="C19237" s="170"/>
      <c r="D19237" s="170"/>
      <c r="J19237" s="31">
        <v>4</v>
      </c>
      <c r="K19237" s="33" t="s">
        <v>56</v>
      </c>
      <c r="L19237" s="31" t="s">
        <v>57</v>
      </c>
    </row>
    <row r="19238" spans="1:12">
      <c r="A19238" s="255" t="e">
        <f>TRIM(D19253&amp;E19253&amp;D19254&amp;E19254&amp;D19255&amp;E19255&amp;D19256&amp;E19256&amp;D19257&amp;E19257&amp;D19258&amp;E19258&amp;D19259&amp;E19259&amp;" Rupiah")</f>
        <v>#REF!</v>
      </c>
      <c r="B19238" s="255"/>
      <c r="C19238" s="255"/>
      <c r="D19238" s="255"/>
      <c r="E19238" s="35"/>
      <c r="F19238" s="36"/>
      <c r="J19238" s="31">
        <v>5</v>
      </c>
      <c r="K19238" s="33" t="s">
        <v>58</v>
      </c>
      <c r="L19238" s="31" t="s">
        <v>59</v>
      </c>
    </row>
    <row r="19239" spans="1:12">
      <c r="A19239" s="35"/>
      <c r="B19239" s="35"/>
      <c r="C19239" s="35"/>
      <c r="D19239" s="35"/>
      <c r="E19239" s="35"/>
      <c r="F19239" s="36"/>
      <c r="J19239" s="31">
        <v>6</v>
      </c>
      <c r="K19239" s="33" t="s">
        <v>60</v>
      </c>
      <c r="L19239" s="31" t="s">
        <v>61</v>
      </c>
    </row>
    <row r="19240" spans="1:12">
      <c r="J19240" s="31">
        <v>7</v>
      </c>
      <c r="K19240" s="33" t="s">
        <v>62</v>
      </c>
      <c r="L19240" s="31" t="s">
        <v>63</v>
      </c>
    </row>
    <row r="19241" spans="1:12">
      <c r="J19241" s="31">
        <v>8</v>
      </c>
      <c r="K19241" s="33" t="s">
        <v>64</v>
      </c>
      <c r="L19241" s="31" t="s">
        <v>65</v>
      </c>
    </row>
    <row r="19242" spans="1:12">
      <c r="A19242" s="38" t="s">
        <v>66</v>
      </c>
      <c r="J19242" s="31">
        <v>9</v>
      </c>
      <c r="K19242" s="33" t="s">
        <v>67</v>
      </c>
      <c r="L19242" s="31" t="s">
        <v>68</v>
      </c>
    </row>
    <row r="19243" spans="1:12">
      <c r="A19243" s="31" t="s">
        <v>69</v>
      </c>
      <c r="B19243" s="39" t="e">
        <f>TRUNC(A19231/100000000)</f>
        <v>#REF!</v>
      </c>
      <c r="C19243" s="31" t="e">
        <f>B19243*100000000</f>
        <v>#REF!</v>
      </c>
      <c r="D19243" s="31" t="e">
        <f t="shared" ref="D19243:D19249" si="1860">IF(B19243&lt;1,"",VLOOKUP(B19243,$J$3:$K$102,2))</f>
        <v>#REF!</v>
      </c>
      <c r="E19243" s="31" t="e">
        <f>IF(B19243&lt;1,"",IF(B19243&gt;1," Hundreds "," Hundred "))</f>
        <v>#REF!</v>
      </c>
      <c r="J19243" s="31">
        <v>10</v>
      </c>
      <c r="K19243" s="33" t="s">
        <v>70</v>
      </c>
      <c r="L19243" s="31" t="s">
        <v>71</v>
      </c>
    </row>
    <row r="19244" spans="1:12">
      <c r="A19244" s="31" t="s">
        <v>72</v>
      </c>
      <c r="B19244" s="39" t="e">
        <f>TRUNC((A19231-C19243)/1000000)</f>
        <v>#REF!</v>
      </c>
      <c r="C19244" s="31" t="e">
        <f>B19244*1000000</f>
        <v>#REF!</v>
      </c>
      <c r="D19244" s="31" t="e">
        <f t="shared" si="1860"/>
        <v>#REF!</v>
      </c>
      <c r="E19244" s="31" t="e">
        <f>IF(B19243+B19244=0,"",IF(B19244=1," Million "," Millions "))</f>
        <v>#REF!</v>
      </c>
      <c r="J19244" s="31">
        <v>11</v>
      </c>
      <c r="K19244" s="33" t="s">
        <v>73</v>
      </c>
      <c r="L19244" s="31" t="s">
        <v>74</v>
      </c>
    </row>
    <row r="19245" spans="1:12">
      <c r="A19245" s="31" t="s">
        <v>75</v>
      </c>
      <c r="B19245" s="39" t="e">
        <f>TRUNC((A19231-SUM(C19243:C19244))/100000)</f>
        <v>#REF!</v>
      </c>
      <c r="C19245" s="31" t="e">
        <f>B19245*100000</f>
        <v>#REF!</v>
      </c>
      <c r="D19245" s="31" t="e">
        <f t="shared" si="1860"/>
        <v>#REF!</v>
      </c>
      <c r="E19245" s="31" t="e">
        <f>IF(B19245&lt;1,"",IF(B19245&gt;1," Hundreds "," Hundred "))</f>
        <v>#REF!</v>
      </c>
      <c r="J19245" s="31">
        <v>12</v>
      </c>
      <c r="K19245" s="33" t="s">
        <v>76</v>
      </c>
      <c r="L19245" s="31" t="str">
        <f t="shared" ref="L19245:L19252" si="1861">L19235&amp;" Belas"</f>
        <v>Dua Belas</v>
      </c>
    </row>
    <row r="19246" spans="1:12">
      <c r="A19246" s="33" t="s">
        <v>77</v>
      </c>
      <c r="B19246" s="40" t="e">
        <f>TRUNC((A19231-SUM(C19243:C19245))/1000)</f>
        <v>#REF!</v>
      </c>
      <c r="C19246" s="31" t="e">
        <f>B19246*1000</f>
        <v>#REF!</v>
      </c>
      <c r="D19246" s="31" t="e">
        <f t="shared" si="1860"/>
        <v>#REF!</v>
      </c>
      <c r="E19246" s="31" t="e">
        <f>IF(B19245+B19246=0,"",IF(B19246=1," Thousand "," Thousands "))</f>
        <v>#REF!</v>
      </c>
      <c r="J19246" s="31">
        <v>13</v>
      </c>
      <c r="K19246" s="33" t="s">
        <v>78</v>
      </c>
      <c r="L19246" s="31" t="str">
        <f t="shared" si="1861"/>
        <v>Tiga Belas</v>
      </c>
    </row>
    <row r="19247" spans="1:12">
      <c r="A19247" s="33" t="s">
        <v>79</v>
      </c>
      <c r="B19247" s="40" t="e">
        <f>TRUNC((A19231-SUM(C19243:C19246))/100)</f>
        <v>#REF!</v>
      </c>
      <c r="C19247" s="31" t="e">
        <f>B19247*100</f>
        <v>#REF!</v>
      </c>
      <c r="D19247" s="31" t="e">
        <f t="shared" si="1860"/>
        <v>#REF!</v>
      </c>
      <c r="E19247" s="31" t="e">
        <f>IF(B19247&lt;1,"",IF(B19247&gt;1," Hundreds "," Hundred "))</f>
        <v>#REF!</v>
      </c>
      <c r="J19247" s="31">
        <v>14</v>
      </c>
      <c r="K19247" s="33" t="s">
        <v>80</v>
      </c>
      <c r="L19247" s="31" t="str">
        <f t="shared" si="1861"/>
        <v>Empat Belas</v>
      </c>
    </row>
    <row r="19248" spans="1:12">
      <c r="A19248" s="33" t="s">
        <v>81</v>
      </c>
      <c r="B19248" s="41" t="e">
        <f>TRUNC((A19231-SUM(C19243:C19247)))</f>
        <v>#REF!</v>
      </c>
      <c r="C19248" s="42" t="e">
        <f>B19248</f>
        <v>#REF!</v>
      </c>
      <c r="D19248" s="31" t="e">
        <f t="shared" si="1860"/>
        <v>#REF!</v>
      </c>
      <c r="E19248" s="31" t="e">
        <f>IF(SUM(C19243:C19248)&lt;1,"",IF(B19249&lt;1,""," And "))</f>
        <v>#REF!</v>
      </c>
      <c r="J19248" s="31">
        <v>15</v>
      </c>
      <c r="K19248" s="33" t="s">
        <v>82</v>
      </c>
      <c r="L19248" s="31" t="str">
        <f t="shared" si="1861"/>
        <v>Lima Belas</v>
      </c>
    </row>
    <row r="19249" spans="1:12">
      <c r="A19249" s="33" t="s">
        <v>83</v>
      </c>
      <c r="B19249" s="40" t="e">
        <f>ROUND(A19231-SUM(C19243:C19248),2)*100</f>
        <v>#REF!</v>
      </c>
      <c r="D19249" s="43" t="e">
        <f t="shared" si="1860"/>
        <v>#REF!</v>
      </c>
      <c r="E19249" s="31" t="e">
        <f>IF(B19249&lt;1,"",IF(B19249=1," Cent "," Cents "))</f>
        <v>#REF!</v>
      </c>
      <c r="J19249" s="31">
        <v>16</v>
      </c>
      <c r="K19249" s="33" t="s">
        <v>84</v>
      </c>
      <c r="L19249" s="31" t="str">
        <f t="shared" si="1861"/>
        <v>Enam Belas</v>
      </c>
    </row>
    <row r="19250" spans="1:12">
      <c r="J19250" s="31">
        <v>17</v>
      </c>
      <c r="K19250" s="33" t="s">
        <v>85</v>
      </c>
      <c r="L19250" s="31" t="str">
        <f t="shared" si="1861"/>
        <v>Tujuh Belas</v>
      </c>
    </row>
    <row r="19251" spans="1:12">
      <c r="A19251" s="44"/>
      <c r="J19251" s="31">
        <v>18</v>
      </c>
      <c r="K19251" s="33" t="s">
        <v>86</v>
      </c>
      <c r="L19251" s="31" t="str">
        <f t="shared" si="1861"/>
        <v>Delapan Belas</v>
      </c>
    </row>
    <row r="19252" spans="1:12">
      <c r="A19252" s="38" t="s">
        <v>87</v>
      </c>
      <c r="J19252" s="31">
        <v>19</v>
      </c>
      <c r="K19252" s="33" t="s">
        <v>88</v>
      </c>
      <c r="L19252" s="31" t="str">
        <f t="shared" si="1861"/>
        <v>Sembilan Belas</v>
      </c>
    </row>
    <row r="19253" spans="1:12">
      <c r="A19253" s="31" t="s">
        <v>69</v>
      </c>
      <c r="B19253" s="39" t="e">
        <f>TRUNC(A19231/100000000)</f>
        <v>#REF!</v>
      </c>
      <c r="C19253" s="31" t="e">
        <f>B19253*100000000</f>
        <v>#REF!</v>
      </c>
      <c r="D19253" s="31" t="e">
        <f>IF(B19253&lt;1,"",IF(B19253=1,"",VLOOKUP(B19253,$J$3:$L$102,3)))</f>
        <v>#REF!</v>
      </c>
      <c r="E19253" s="31" t="e">
        <f>IF(B19253&lt;1,"",IF(B19253=1,"Seratus "," Ratus "))</f>
        <v>#REF!</v>
      </c>
      <c r="J19253" s="31">
        <v>20</v>
      </c>
      <c r="K19253" s="33" t="s">
        <v>89</v>
      </c>
      <c r="L19253" s="31" t="s">
        <v>90</v>
      </c>
    </row>
    <row r="19254" spans="1:12">
      <c r="A19254" s="31" t="s">
        <v>72</v>
      </c>
      <c r="B19254" s="39" t="e">
        <f>TRUNC((A19231-C19253)/1000000)</f>
        <v>#REF!</v>
      </c>
      <c r="C19254" s="31" t="e">
        <f>B19254*1000000</f>
        <v>#REF!</v>
      </c>
      <c r="D19254" s="31" t="e">
        <f>IF(B19254&lt;1,"",VLOOKUP(B19254,$J$3:$L$102,3))</f>
        <v>#REF!</v>
      </c>
      <c r="E19254" s="31" t="e">
        <f>IF(B19253+B19254=0,""," Juta ")</f>
        <v>#REF!</v>
      </c>
      <c r="J19254" s="31">
        <v>21</v>
      </c>
      <c r="K19254" s="33" t="s">
        <v>91</v>
      </c>
      <c r="L19254" s="31" t="str">
        <f t="shared" ref="L19254:L19262" si="1862">$L$23&amp;" "&amp;L19234</f>
        <v>Dua Puluh Satu</v>
      </c>
    </row>
    <row r="19255" spans="1:12">
      <c r="A19255" s="31" t="s">
        <v>75</v>
      </c>
      <c r="B19255" s="39" t="e">
        <f>TRUNC((A19231-SUM(C19253:C19254))/100000)</f>
        <v>#REF!</v>
      </c>
      <c r="C19255" s="31" t="e">
        <f>B19255*100000</f>
        <v>#REF!</v>
      </c>
      <c r="D19255" s="31" t="e">
        <f>IF(B19255&lt;1,"",IF(B19255=1,"",VLOOKUP(B19255,$J$3:$L$102,3)))</f>
        <v>#REF!</v>
      </c>
      <c r="E19255" s="31" t="e">
        <f>IF(B19255&lt;1,"",IF(B19255=1," Seratus "," Ratus "))</f>
        <v>#REF!</v>
      </c>
      <c r="J19255" s="31">
        <v>22</v>
      </c>
      <c r="K19255" s="33" t="s">
        <v>92</v>
      </c>
      <c r="L19255" s="31" t="str">
        <f t="shared" si="1862"/>
        <v>Dua Puluh Dua</v>
      </c>
    </row>
    <row r="19256" spans="1:12">
      <c r="A19256" s="33" t="s">
        <v>77</v>
      </c>
      <c r="B19256" s="40" t="e">
        <f>TRUNC((A19231-SUM(C19253:C19255))/1000)</f>
        <v>#REF!</v>
      </c>
      <c r="C19256" s="31" t="e">
        <f>B19256*1000</f>
        <v>#REF!</v>
      </c>
      <c r="D19256" s="31" t="e">
        <f>IF(B19256&lt;1,"",IF(B19256=1,"",VLOOKUP(B19256,$J$3:$L$102,3)))</f>
        <v>#REF!</v>
      </c>
      <c r="E19256" s="31" t="e">
        <f>IF(B19255+B19256&lt;1,"",IF(B19256=1," Seribu "," Ribu "))</f>
        <v>#REF!</v>
      </c>
      <c r="J19256" s="31">
        <v>23</v>
      </c>
      <c r="K19256" s="33" t="s">
        <v>93</v>
      </c>
      <c r="L19256" s="31" t="str">
        <f t="shared" si="1862"/>
        <v>Dua Puluh Tiga</v>
      </c>
    </row>
    <row r="19257" spans="1:12">
      <c r="A19257" s="33" t="s">
        <v>79</v>
      </c>
      <c r="B19257" s="40" t="e">
        <f>TRUNC((A19231-SUM(C19253:C19256))/100)</f>
        <v>#REF!</v>
      </c>
      <c r="C19257" s="31" t="e">
        <f>B19257*100</f>
        <v>#REF!</v>
      </c>
      <c r="D19257" s="31" t="e">
        <f>IF(B19257&lt;1,"",IF(B19257=1,"",VLOOKUP(B19257,$J$3:$L$102,3)))</f>
        <v>#REF!</v>
      </c>
      <c r="E19257" s="31" t="e">
        <f>IF(B19257&lt;1,"",IF(B19257=1," Seratus "," Ratus "))</f>
        <v>#REF!</v>
      </c>
      <c r="J19257" s="31">
        <v>24</v>
      </c>
      <c r="K19257" s="33" t="s">
        <v>94</v>
      </c>
      <c r="L19257" s="31" t="str">
        <f t="shared" si="1862"/>
        <v>Dua Puluh Empat</v>
      </c>
    </row>
    <row r="19258" spans="1:12">
      <c r="A19258" s="33" t="s">
        <v>81</v>
      </c>
      <c r="B19258" s="41" t="e">
        <f>TRUNC((A19231-SUM(C19253:C19257)))</f>
        <v>#REF!</v>
      </c>
      <c r="C19258" s="42" t="e">
        <f>B19258</f>
        <v>#REF!</v>
      </c>
      <c r="D19258" s="31" t="e">
        <f>IF(B19258&lt;1,"",VLOOKUP(B19258,$J$3:$L$102,3))</f>
        <v>#REF!</v>
      </c>
      <c r="E19258" s="31" t="e">
        <f>IF(SUM(C19253:C19258)&lt;1,"",IF(B19259&lt;1,""," Dan "))</f>
        <v>#REF!</v>
      </c>
      <c r="J19258" s="31">
        <v>25</v>
      </c>
      <c r="K19258" s="33" t="s">
        <v>95</v>
      </c>
      <c r="L19258" s="31" t="str">
        <f t="shared" si="1862"/>
        <v>Dua Puluh Lima</v>
      </c>
    </row>
    <row r="19259" spans="1:12">
      <c r="A19259" s="33" t="s">
        <v>83</v>
      </c>
      <c r="B19259" s="40" t="e">
        <f>ROUND(A19231-SUM(C19253:C19258),2)*100</f>
        <v>#REF!</v>
      </c>
      <c r="D19259" s="31" t="e">
        <f>IF(B19259&lt;1,"",VLOOKUP(B19259,$J$3:$L$102,3))</f>
        <v>#REF!</v>
      </c>
      <c r="E19259" s="31" t="e">
        <f>IF(B19259&lt;1,""," Sen ")</f>
        <v>#REF!</v>
      </c>
      <c r="J19259" s="31">
        <v>26</v>
      </c>
      <c r="K19259" s="33" t="s">
        <v>96</v>
      </c>
      <c r="L19259" s="31" t="str">
        <f t="shared" si="1862"/>
        <v>Dua Puluh Enam</v>
      </c>
    </row>
    <row r="19260" spans="1:12">
      <c r="J19260" s="31">
        <v>27</v>
      </c>
      <c r="K19260" s="33" t="s">
        <v>97</v>
      </c>
      <c r="L19260" s="31" t="str">
        <f t="shared" si="1862"/>
        <v>Dua Puluh Tujuh</v>
      </c>
    </row>
    <row r="19261" spans="1:12">
      <c r="J19261" s="31">
        <v>28</v>
      </c>
      <c r="K19261" s="33" t="s">
        <v>98</v>
      </c>
      <c r="L19261" s="31" t="str">
        <f t="shared" si="1862"/>
        <v>Dua Puluh Delapan</v>
      </c>
    </row>
    <row r="19262" spans="1:12">
      <c r="J19262" s="31">
        <v>29</v>
      </c>
      <c r="K19262" s="33" t="s">
        <v>99</v>
      </c>
      <c r="L19262" s="31" t="str">
        <f t="shared" si="1862"/>
        <v>Dua Puluh Sembilan</v>
      </c>
    </row>
    <row r="19263" spans="1:12">
      <c r="J19263" s="31">
        <v>30</v>
      </c>
      <c r="K19263" s="33" t="s">
        <v>100</v>
      </c>
      <c r="L19263" s="31" t="s">
        <v>101</v>
      </c>
    </row>
    <row r="19264" spans="1:12">
      <c r="J19264" s="31">
        <v>31</v>
      </c>
      <c r="K19264" s="33" t="s">
        <v>102</v>
      </c>
      <c r="L19264" s="31" t="str">
        <f t="shared" ref="L19264:L19272" si="1863">$L$33&amp;" "&amp;L19234</f>
        <v>Tiga Puluh Satu</v>
      </c>
    </row>
    <row r="19265" spans="1:12">
      <c r="J19265" s="31">
        <v>32</v>
      </c>
      <c r="K19265" s="33" t="s">
        <v>103</v>
      </c>
      <c r="L19265" s="31" t="str">
        <f t="shared" si="1863"/>
        <v>Tiga Puluh Dua</v>
      </c>
    </row>
    <row r="19266" spans="1:12">
      <c r="J19266" s="31">
        <v>33</v>
      </c>
      <c r="K19266" s="33" t="s">
        <v>104</v>
      </c>
      <c r="L19266" s="31" t="str">
        <f t="shared" si="1863"/>
        <v>Tiga Puluh Tiga</v>
      </c>
    </row>
    <row r="19267" spans="1:12">
      <c r="J19267" s="31">
        <v>34</v>
      </c>
      <c r="K19267" s="33" t="s">
        <v>105</v>
      </c>
      <c r="L19267" s="31" t="str">
        <f t="shared" si="1863"/>
        <v>Tiga Puluh Empat</v>
      </c>
    </row>
    <row r="19268" spans="1:12">
      <c r="J19268" s="31">
        <v>35</v>
      </c>
      <c r="K19268" s="33" t="s">
        <v>106</v>
      </c>
      <c r="L19268" s="31" t="str">
        <f t="shared" si="1863"/>
        <v>Tiga Puluh Lima</v>
      </c>
    </row>
    <row r="19269" spans="1:12">
      <c r="J19269" s="31">
        <v>36</v>
      </c>
      <c r="K19269" s="33" t="s">
        <v>107</v>
      </c>
      <c r="L19269" s="31" t="str">
        <f t="shared" si="1863"/>
        <v>Tiga Puluh Enam</v>
      </c>
    </row>
    <row r="19270" spans="1:12">
      <c r="J19270" s="31">
        <v>37</v>
      </c>
      <c r="K19270" s="33" t="s">
        <v>108</v>
      </c>
      <c r="L19270" s="31" t="str">
        <f t="shared" si="1863"/>
        <v>Tiga Puluh Tujuh</v>
      </c>
    </row>
    <row r="19271" spans="1:12">
      <c r="J19271" s="31">
        <v>38</v>
      </c>
      <c r="K19271" s="33" t="s">
        <v>109</v>
      </c>
      <c r="L19271" s="31" t="str">
        <f t="shared" si="1863"/>
        <v>Tiga Puluh Delapan</v>
      </c>
    </row>
    <row r="19272" spans="1:12">
      <c r="J19272" s="31">
        <v>39</v>
      </c>
      <c r="K19272" s="33" t="s">
        <v>110</v>
      </c>
      <c r="L19272" s="31" t="str">
        <f t="shared" si="1863"/>
        <v>Tiga Puluh Sembilan</v>
      </c>
    </row>
    <row r="19273" spans="1:12">
      <c r="B19273" s="35"/>
      <c r="C19273" s="35"/>
      <c r="D19273" s="35"/>
      <c r="J19273" s="31">
        <v>40</v>
      </c>
      <c r="K19273" s="33" t="s">
        <v>111</v>
      </c>
      <c r="L19273" s="31" t="s">
        <v>112</v>
      </c>
    </row>
    <row r="19274" spans="1:12">
      <c r="A19274" s="35"/>
      <c r="B19274" s="35"/>
      <c r="C19274" s="35"/>
      <c r="D19274" s="35"/>
      <c r="J19274" s="31">
        <v>41</v>
      </c>
      <c r="K19274" s="33" t="s">
        <v>113</v>
      </c>
      <c r="L19274" s="31" t="str">
        <f t="shared" ref="L19274:L19282" si="1864">$L$43&amp;" "&amp;L19234</f>
        <v>Empat Puluh Satu</v>
      </c>
    </row>
    <row r="19275" spans="1:12">
      <c r="J19275" s="31">
        <v>42</v>
      </c>
      <c r="K19275" s="33" t="s">
        <v>114</v>
      </c>
      <c r="L19275" s="31" t="str">
        <f t="shared" si="1864"/>
        <v>Empat Puluh Dua</v>
      </c>
    </row>
    <row r="19276" spans="1:12">
      <c r="A19276" s="38"/>
      <c r="J19276" s="31">
        <v>43</v>
      </c>
      <c r="K19276" s="33" t="s">
        <v>115</v>
      </c>
      <c r="L19276" s="31" t="str">
        <f t="shared" si="1864"/>
        <v>Empat Puluh Tiga</v>
      </c>
    </row>
    <row r="19277" spans="1:12">
      <c r="J19277" s="31">
        <v>44</v>
      </c>
      <c r="K19277" s="33" t="s">
        <v>116</v>
      </c>
      <c r="L19277" s="31" t="str">
        <f t="shared" si="1864"/>
        <v>Empat Puluh Empat</v>
      </c>
    </row>
    <row r="19278" spans="1:12">
      <c r="J19278" s="31">
        <v>45</v>
      </c>
      <c r="K19278" s="33" t="s">
        <v>117</v>
      </c>
      <c r="L19278" s="31" t="str">
        <f t="shared" si="1864"/>
        <v>Empat Puluh Lima</v>
      </c>
    </row>
    <row r="19279" spans="1:12">
      <c r="J19279" s="31">
        <v>46</v>
      </c>
      <c r="K19279" s="33" t="s">
        <v>118</v>
      </c>
      <c r="L19279" s="31" t="str">
        <f t="shared" si="1864"/>
        <v>Empat Puluh Enam</v>
      </c>
    </row>
    <row r="19280" spans="1:12">
      <c r="J19280" s="31">
        <v>47</v>
      </c>
      <c r="K19280" s="33" t="s">
        <v>119</v>
      </c>
      <c r="L19280" s="31" t="str">
        <f t="shared" si="1864"/>
        <v>Empat Puluh Tujuh</v>
      </c>
    </row>
    <row r="19281" spans="10:12">
      <c r="J19281" s="31">
        <v>48</v>
      </c>
      <c r="K19281" s="33" t="s">
        <v>120</v>
      </c>
      <c r="L19281" s="31" t="str">
        <f t="shared" si="1864"/>
        <v>Empat Puluh Delapan</v>
      </c>
    </row>
    <row r="19282" spans="10:12">
      <c r="J19282" s="31">
        <v>49</v>
      </c>
      <c r="K19282" s="33" t="s">
        <v>121</v>
      </c>
      <c r="L19282" s="31" t="str">
        <f t="shared" si="1864"/>
        <v>Empat Puluh Sembilan</v>
      </c>
    </row>
    <row r="19283" spans="10:12">
      <c r="J19283" s="31">
        <v>50</v>
      </c>
      <c r="K19283" s="33" t="s">
        <v>122</v>
      </c>
      <c r="L19283" s="31" t="s">
        <v>123</v>
      </c>
    </row>
    <row r="19284" spans="10:12">
      <c r="J19284" s="31">
        <v>51</v>
      </c>
      <c r="K19284" s="33" t="s">
        <v>124</v>
      </c>
      <c r="L19284" s="31" t="str">
        <f t="shared" ref="L19284:L19292" si="1865">$L$53&amp;" "&amp;L19234</f>
        <v>Lima Puluh Satu</v>
      </c>
    </row>
    <row r="19285" spans="10:12">
      <c r="J19285" s="31">
        <v>52</v>
      </c>
      <c r="K19285" s="33" t="s">
        <v>125</v>
      </c>
      <c r="L19285" s="31" t="str">
        <f t="shared" si="1865"/>
        <v>Lima Puluh Dua</v>
      </c>
    </row>
    <row r="19286" spans="10:12">
      <c r="J19286" s="31">
        <v>53</v>
      </c>
      <c r="K19286" s="33" t="s">
        <v>126</v>
      </c>
      <c r="L19286" s="31" t="str">
        <f t="shared" si="1865"/>
        <v>Lima Puluh Tiga</v>
      </c>
    </row>
    <row r="19287" spans="10:12">
      <c r="J19287" s="31">
        <v>54</v>
      </c>
      <c r="K19287" s="33" t="s">
        <v>127</v>
      </c>
      <c r="L19287" s="31" t="str">
        <f t="shared" si="1865"/>
        <v>Lima Puluh Empat</v>
      </c>
    </row>
    <row r="19288" spans="10:12">
      <c r="J19288" s="31">
        <v>55</v>
      </c>
      <c r="K19288" s="33" t="s">
        <v>128</v>
      </c>
      <c r="L19288" s="31" t="str">
        <f t="shared" si="1865"/>
        <v>Lima Puluh Lima</v>
      </c>
    </row>
    <row r="19289" spans="10:12">
      <c r="J19289" s="31">
        <v>56</v>
      </c>
      <c r="K19289" s="33" t="s">
        <v>129</v>
      </c>
      <c r="L19289" s="31" t="str">
        <f t="shared" si="1865"/>
        <v>Lima Puluh Enam</v>
      </c>
    </row>
    <row r="19290" spans="10:12">
      <c r="J19290" s="31">
        <v>57</v>
      </c>
      <c r="K19290" s="33" t="s">
        <v>130</v>
      </c>
      <c r="L19290" s="31" t="str">
        <f t="shared" si="1865"/>
        <v>Lima Puluh Tujuh</v>
      </c>
    </row>
    <row r="19291" spans="10:12">
      <c r="J19291" s="31">
        <v>58</v>
      </c>
      <c r="K19291" s="33" t="s">
        <v>131</v>
      </c>
      <c r="L19291" s="31" t="str">
        <f t="shared" si="1865"/>
        <v>Lima Puluh Delapan</v>
      </c>
    </row>
    <row r="19292" spans="10:12">
      <c r="J19292" s="31">
        <v>59</v>
      </c>
      <c r="K19292" s="33" t="s">
        <v>132</v>
      </c>
      <c r="L19292" s="31" t="str">
        <f t="shared" si="1865"/>
        <v>Lima Puluh Sembilan</v>
      </c>
    </row>
    <row r="19293" spans="10:12">
      <c r="J19293" s="31">
        <v>60</v>
      </c>
      <c r="K19293" s="33" t="s">
        <v>133</v>
      </c>
      <c r="L19293" s="31" t="s">
        <v>134</v>
      </c>
    </row>
    <row r="19294" spans="10:12">
      <c r="J19294" s="31">
        <v>61</v>
      </c>
      <c r="K19294" s="33" t="s">
        <v>135</v>
      </c>
      <c r="L19294" s="31" t="str">
        <f t="shared" ref="L19294:L19302" si="1866">$L$63&amp;" "&amp;L19234</f>
        <v>Enam Puluh Satu</v>
      </c>
    </row>
    <row r="19295" spans="10:12">
      <c r="J19295" s="31">
        <v>62</v>
      </c>
      <c r="K19295" s="33" t="s">
        <v>136</v>
      </c>
      <c r="L19295" s="31" t="str">
        <f t="shared" si="1866"/>
        <v>Enam Puluh Dua</v>
      </c>
    </row>
    <row r="19296" spans="10:12">
      <c r="J19296" s="31">
        <v>63</v>
      </c>
      <c r="K19296" s="33" t="s">
        <v>137</v>
      </c>
      <c r="L19296" s="31" t="str">
        <f t="shared" si="1866"/>
        <v>Enam Puluh Tiga</v>
      </c>
    </row>
    <row r="19297" spans="10:12">
      <c r="J19297" s="31">
        <v>64</v>
      </c>
      <c r="K19297" s="33" t="s">
        <v>138</v>
      </c>
      <c r="L19297" s="31" t="str">
        <f t="shared" si="1866"/>
        <v>Enam Puluh Empat</v>
      </c>
    </row>
    <row r="19298" spans="10:12">
      <c r="J19298" s="31">
        <v>65</v>
      </c>
      <c r="K19298" s="33" t="s">
        <v>139</v>
      </c>
      <c r="L19298" s="31" t="str">
        <f t="shared" si="1866"/>
        <v>Enam Puluh Lima</v>
      </c>
    </row>
    <row r="19299" spans="10:12">
      <c r="J19299" s="31">
        <v>66</v>
      </c>
      <c r="K19299" s="33" t="s">
        <v>140</v>
      </c>
      <c r="L19299" s="31" t="str">
        <f t="shared" si="1866"/>
        <v>Enam Puluh Enam</v>
      </c>
    </row>
    <row r="19300" spans="10:12">
      <c r="J19300" s="31">
        <v>67</v>
      </c>
      <c r="K19300" s="33" t="s">
        <v>141</v>
      </c>
      <c r="L19300" s="31" t="str">
        <f t="shared" si="1866"/>
        <v>Enam Puluh Tujuh</v>
      </c>
    </row>
    <row r="19301" spans="10:12">
      <c r="J19301" s="31">
        <v>68</v>
      </c>
      <c r="K19301" s="33" t="s">
        <v>142</v>
      </c>
      <c r="L19301" s="31" t="str">
        <f t="shared" si="1866"/>
        <v>Enam Puluh Delapan</v>
      </c>
    </row>
    <row r="19302" spans="10:12">
      <c r="J19302" s="31">
        <v>69</v>
      </c>
      <c r="K19302" s="33" t="s">
        <v>143</v>
      </c>
      <c r="L19302" s="31" t="str">
        <f t="shared" si="1866"/>
        <v>Enam Puluh Sembilan</v>
      </c>
    </row>
    <row r="19303" spans="10:12">
      <c r="J19303" s="31">
        <v>70</v>
      </c>
      <c r="K19303" s="33" t="s">
        <v>144</v>
      </c>
      <c r="L19303" s="31" t="s">
        <v>145</v>
      </c>
    </row>
    <row r="19304" spans="10:12">
      <c r="J19304" s="31">
        <v>71</v>
      </c>
      <c r="K19304" s="33" t="s">
        <v>146</v>
      </c>
      <c r="L19304" s="31" t="str">
        <f t="shared" ref="L19304:L19312" si="1867">$L$73&amp;" "&amp;L19234</f>
        <v>Tujuh Puluh Satu</v>
      </c>
    </row>
    <row r="19305" spans="10:12">
      <c r="J19305" s="31">
        <v>72</v>
      </c>
      <c r="K19305" s="33" t="s">
        <v>147</v>
      </c>
      <c r="L19305" s="31" t="str">
        <f t="shared" si="1867"/>
        <v>Tujuh Puluh Dua</v>
      </c>
    </row>
    <row r="19306" spans="10:12">
      <c r="J19306" s="31">
        <v>73</v>
      </c>
      <c r="K19306" s="33" t="s">
        <v>148</v>
      </c>
      <c r="L19306" s="31" t="str">
        <f t="shared" si="1867"/>
        <v>Tujuh Puluh Tiga</v>
      </c>
    </row>
    <row r="19307" spans="10:12">
      <c r="J19307" s="31">
        <v>74</v>
      </c>
      <c r="K19307" s="33" t="s">
        <v>149</v>
      </c>
      <c r="L19307" s="31" t="str">
        <f t="shared" si="1867"/>
        <v>Tujuh Puluh Empat</v>
      </c>
    </row>
    <row r="19308" spans="10:12">
      <c r="J19308" s="31">
        <v>75</v>
      </c>
      <c r="K19308" s="33" t="s">
        <v>150</v>
      </c>
      <c r="L19308" s="31" t="str">
        <f t="shared" si="1867"/>
        <v>Tujuh Puluh Lima</v>
      </c>
    </row>
    <row r="19309" spans="10:12">
      <c r="J19309" s="31">
        <v>76</v>
      </c>
      <c r="K19309" s="33" t="s">
        <v>151</v>
      </c>
      <c r="L19309" s="31" t="str">
        <f t="shared" si="1867"/>
        <v>Tujuh Puluh Enam</v>
      </c>
    </row>
    <row r="19310" spans="10:12">
      <c r="J19310" s="31">
        <v>77</v>
      </c>
      <c r="K19310" s="33" t="s">
        <v>152</v>
      </c>
      <c r="L19310" s="31" t="str">
        <f t="shared" si="1867"/>
        <v>Tujuh Puluh Tujuh</v>
      </c>
    </row>
    <row r="19311" spans="10:12">
      <c r="J19311" s="31">
        <v>78</v>
      </c>
      <c r="K19311" s="33" t="s">
        <v>153</v>
      </c>
      <c r="L19311" s="31" t="str">
        <f t="shared" si="1867"/>
        <v>Tujuh Puluh Delapan</v>
      </c>
    </row>
    <row r="19312" spans="10:12">
      <c r="J19312" s="31">
        <v>79</v>
      </c>
      <c r="K19312" s="33" t="s">
        <v>154</v>
      </c>
      <c r="L19312" s="31" t="str">
        <f t="shared" si="1867"/>
        <v>Tujuh Puluh Sembilan</v>
      </c>
    </row>
    <row r="19313" spans="10:12">
      <c r="J19313" s="31">
        <v>80</v>
      </c>
      <c r="K19313" s="33" t="s">
        <v>155</v>
      </c>
      <c r="L19313" s="31" t="s">
        <v>156</v>
      </c>
    </row>
    <row r="19314" spans="10:12">
      <c r="J19314" s="31">
        <v>81</v>
      </c>
      <c r="K19314" s="33" t="s">
        <v>157</v>
      </c>
      <c r="L19314" s="31" t="str">
        <f t="shared" ref="L19314:L19322" si="1868">$L$83&amp;" "&amp;L19234</f>
        <v>Delapan Puluh Satu</v>
      </c>
    </row>
    <row r="19315" spans="10:12">
      <c r="J19315" s="31">
        <v>82</v>
      </c>
      <c r="K19315" s="33" t="s">
        <v>158</v>
      </c>
      <c r="L19315" s="31" t="str">
        <f t="shared" si="1868"/>
        <v>Delapan Puluh Dua</v>
      </c>
    </row>
    <row r="19316" spans="10:12">
      <c r="J19316" s="31">
        <v>83</v>
      </c>
      <c r="K19316" s="33" t="s">
        <v>159</v>
      </c>
      <c r="L19316" s="31" t="str">
        <f t="shared" si="1868"/>
        <v>Delapan Puluh Tiga</v>
      </c>
    </row>
    <row r="19317" spans="10:12">
      <c r="J19317" s="31">
        <v>84</v>
      </c>
      <c r="K19317" s="33" t="s">
        <v>160</v>
      </c>
      <c r="L19317" s="31" t="str">
        <f t="shared" si="1868"/>
        <v>Delapan Puluh Empat</v>
      </c>
    </row>
    <row r="19318" spans="10:12">
      <c r="J19318" s="31">
        <v>85</v>
      </c>
      <c r="K19318" s="33" t="s">
        <v>161</v>
      </c>
      <c r="L19318" s="31" t="str">
        <f t="shared" si="1868"/>
        <v>Delapan Puluh Lima</v>
      </c>
    </row>
    <row r="19319" spans="10:12">
      <c r="J19319" s="31">
        <v>86</v>
      </c>
      <c r="K19319" s="33" t="s">
        <v>162</v>
      </c>
      <c r="L19319" s="31" t="str">
        <f t="shared" si="1868"/>
        <v>Delapan Puluh Enam</v>
      </c>
    </row>
    <row r="19320" spans="10:12">
      <c r="J19320" s="31">
        <v>87</v>
      </c>
      <c r="K19320" s="33" t="s">
        <v>163</v>
      </c>
      <c r="L19320" s="31" t="str">
        <f t="shared" si="1868"/>
        <v>Delapan Puluh Tujuh</v>
      </c>
    </row>
    <row r="19321" spans="10:12">
      <c r="J19321" s="31">
        <v>88</v>
      </c>
      <c r="K19321" s="33" t="s">
        <v>164</v>
      </c>
      <c r="L19321" s="31" t="str">
        <f t="shared" si="1868"/>
        <v>Delapan Puluh Delapan</v>
      </c>
    </row>
    <row r="19322" spans="10:12">
      <c r="J19322" s="31">
        <v>89</v>
      </c>
      <c r="K19322" s="33" t="s">
        <v>165</v>
      </c>
      <c r="L19322" s="31" t="str">
        <f t="shared" si="1868"/>
        <v>Delapan Puluh Sembilan</v>
      </c>
    </row>
    <row r="19323" spans="10:12">
      <c r="J19323" s="31">
        <v>90</v>
      </c>
      <c r="K19323" s="33" t="s">
        <v>166</v>
      </c>
      <c r="L19323" s="31" t="s">
        <v>167</v>
      </c>
    </row>
    <row r="19324" spans="10:12">
      <c r="J19324" s="31">
        <v>91</v>
      </c>
      <c r="K19324" s="33" t="s">
        <v>168</v>
      </c>
      <c r="L19324" s="31" t="str">
        <f t="shared" ref="L19324:L19332" si="1869">$L$93&amp;" "&amp;L19234</f>
        <v>Sembilan Puluh Satu</v>
      </c>
    </row>
    <row r="19325" spans="10:12">
      <c r="J19325" s="31">
        <v>92</v>
      </c>
      <c r="K19325" s="33" t="s">
        <v>169</v>
      </c>
      <c r="L19325" s="31" t="str">
        <f t="shared" si="1869"/>
        <v>Sembilan Puluh Dua</v>
      </c>
    </row>
    <row r="19326" spans="10:12">
      <c r="J19326" s="31">
        <v>93</v>
      </c>
      <c r="K19326" s="33" t="s">
        <v>170</v>
      </c>
      <c r="L19326" s="31" t="str">
        <f t="shared" si="1869"/>
        <v>Sembilan Puluh Tiga</v>
      </c>
    </row>
    <row r="19327" spans="10:12">
      <c r="J19327" s="31">
        <v>94</v>
      </c>
      <c r="K19327" s="33" t="s">
        <v>171</v>
      </c>
      <c r="L19327" s="31" t="str">
        <f t="shared" si="1869"/>
        <v>Sembilan Puluh Empat</v>
      </c>
    </row>
    <row r="19328" spans="10:12">
      <c r="J19328" s="31">
        <v>95</v>
      </c>
      <c r="K19328" s="33" t="s">
        <v>172</v>
      </c>
      <c r="L19328" s="31" t="str">
        <f t="shared" si="1869"/>
        <v>Sembilan Puluh Lima</v>
      </c>
    </row>
    <row r="19329" spans="1:12">
      <c r="J19329" s="31">
        <v>96</v>
      </c>
      <c r="K19329" s="33" t="s">
        <v>173</v>
      </c>
      <c r="L19329" s="31" t="str">
        <f t="shared" si="1869"/>
        <v>Sembilan Puluh Enam</v>
      </c>
    </row>
    <row r="19330" spans="1:12">
      <c r="J19330" s="31">
        <v>97</v>
      </c>
      <c r="K19330" s="33" t="s">
        <v>174</v>
      </c>
      <c r="L19330" s="31" t="str">
        <f t="shared" si="1869"/>
        <v>Sembilan Puluh Tujuh</v>
      </c>
    </row>
    <row r="19331" spans="1:12">
      <c r="J19331" s="31">
        <v>98</v>
      </c>
      <c r="K19331" s="33" t="s">
        <v>175</v>
      </c>
      <c r="L19331" s="31" t="str">
        <f t="shared" si="1869"/>
        <v>Sembilan Puluh Delapan</v>
      </c>
    </row>
    <row r="19332" spans="1:12">
      <c r="J19332" s="31">
        <v>99</v>
      </c>
      <c r="K19332" s="33" t="s">
        <v>176</v>
      </c>
      <c r="L19332" s="31" t="str">
        <f t="shared" si="1869"/>
        <v>Sembilan Puluh Sembilan</v>
      </c>
    </row>
    <row r="19334" spans="1:12">
      <c r="A19334" s="30" t="e">
        <f>#REF!</f>
        <v>#REF!</v>
      </c>
      <c r="C19334" s="31" t="s">
        <v>448</v>
      </c>
    </row>
    <row r="19335" spans="1:12">
      <c r="A19335" s="32"/>
    </row>
    <row r="19336" spans="1:12">
      <c r="J19336" s="31">
        <v>0</v>
      </c>
      <c r="K19336" s="33" t="s">
        <v>48</v>
      </c>
      <c r="L19336" s="31" t="s">
        <v>49</v>
      </c>
    </row>
    <row r="19337" spans="1:12">
      <c r="A19337" s="34"/>
      <c r="J19337" s="31">
        <v>1</v>
      </c>
      <c r="K19337" s="33" t="s">
        <v>50</v>
      </c>
      <c r="L19337" s="31" t="s">
        <v>51</v>
      </c>
    </row>
    <row r="19338" spans="1:12">
      <c r="A19338" s="255" t="e">
        <f>TRIM(D19346&amp;E19346&amp;D19347&amp;E19347&amp;D19348&amp;E19348&amp;D19349&amp;E19349&amp;D19350&amp;E19350&amp;D19351&amp;E19351&amp;E19352&amp;D19352&amp;" Only")</f>
        <v>#REF!</v>
      </c>
      <c r="B19338" s="255"/>
      <c r="C19338" s="255"/>
      <c r="D19338" s="255"/>
      <c r="E19338" s="35"/>
      <c r="F19338" s="36"/>
      <c r="J19338" s="31">
        <v>2</v>
      </c>
      <c r="K19338" s="33" t="s">
        <v>52</v>
      </c>
      <c r="L19338" s="31" t="s">
        <v>53</v>
      </c>
    </row>
    <row r="19339" spans="1:12">
      <c r="A19339" s="170"/>
      <c r="B19339" s="170"/>
      <c r="C19339" s="170"/>
      <c r="D19339" s="170"/>
      <c r="E19339" s="35"/>
      <c r="F19339" s="36"/>
      <c r="J19339" s="31">
        <v>3</v>
      </c>
      <c r="K19339" s="33" t="s">
        <v>54</v>
      </c>
      <c r="L19339" s="31" t="s">
        <v>55</v>
      </c>
    </row>
    <row r="19340" spans="1:12">
      <c r="A19340" s="170"/>
      <c r="B19340" s="170"/>
      <c r="C19340" s="170"/>
      <c r="D19340" s="170"/>
      <c r="J19340" s="31">
        <v>4</v>
      </c>
      <c r="K19340" s="33" t="s">
        <v>56</v>
      </c>
      <c r="L19340" s="31" t="s">
        <v>57</v>
      </c>
    </row>
    <row r="19341" spans="1:12">
      <c r="A19341" s="255" t="e">
        <f>TRIM(D19356&amp;E19356&amp;D19357&amp;E19357&amp;D19358&amp;E19358&amp;D19359&amp;E19359&amp;D19360&amp;E19360&amp;D19361&amp;E19361&amp;D19362&amp;E19362&amp;" Rupiah")</f>
        <v>#REF!</v>
      </c>
      <c r="B19341" s="255"/>
      <c r="C19341" s="255"/>
      <c r="D19341" s="255"/>
      <c r="E19341" s="35"/>
      <c r="F19341" s="36"/>
      <c r="J19341" s="31">
        <v>5</v>
      </c>
      <c r="K19341" s="33" t="s">
        <v>58</v>
      </c>
      <c r="L19341" s="31" t="s">
        <v>59</v>
      </c>
    </row>
    <row r="19342" spans="1:12">
      <c r="A19342" s="35"/>
      <c r="B19342" s="35"/>
      <c r="C19342" s="35"/>
      <c r="D19342" s="35"/>
      <c r="E19342" s="35"/>
      <c r="F19342" s="36"/>
      <c r="J19342" s="31">
        <v>6</v>
      </c>
      <c r="K19342" s="33" t="s">
        <v>60</v>
      </c>
      <c r="L19342" s="31" t="s">
        <v>61</v>
      </c>
    </row>
    <row r="19343" spans="1:12">
      <c r="J19343" s="31">
        <v>7</v>
      </c>
      <c r="K19343" s="33" t="s">
        <v>62</v>
      </c>
      <c r="L19343" s="31" t="s">
        <v>63</v>
      </c>
    </row>
    <row r="19344" spans="1:12">
      <c r="J19344" s="31">
        <v>8</v>
      </c>
      <c r="K19344" s="33" t="s">
        <v>64</v>
      </c>
      <c r="L19344" s="31" t="s">
        <v>65</v>
      </c>
    </row>
    <row r="19345" spans="1:12">
      <c r="A19345" s="38" t="s">
        <v>66</v>
      </c>
      <c r="J19345" s="31">
        <v>9</v>
      </c>
      <c r="K19345" s="33" t="s">
        <v>67</v>
      </c>
      <c r="L19345" s="31" t="s">
        <v>68</v>
      </c>
    </row>
    <row r="19346" spans="1:12">
      <c r="A19346" s="31" t="s">
        <v>69</v>
      </c>
      <c r="B19346" s="39" t="e">
        <f>TRUNC(A19334/100000000)</f>
        <v>#REF!</v>
      </c>
      <c r="C19346" s="31" t="e">
        <f>B19346*100000000</f>
        <v>#REF!</v>
      </c>
      <c r="D19346" s="31" t="e">
        <f t="shared" ref="D19346:D19352" si="1870">IF(B19346&lt;1,"",VLOOKUP(B19346,$J$3:$K$102,2))</f>
        <v>#REF!</v>
      </c>
      <c r="E19346" s="31" t="e">
        <f>IF(B19346&lt;1,"",IF(B19346&gt;1," Hundreds "," Hundred "))</f>
        <v>#REF!</v>
      </c>
      <c r="J19346" s="31">
        <v>10</v>
      </c>
      <c r="K19346" s="33" t="s">
        <v>70</v>
      </c>
      <c r="L19346" s="31" t="s">
        <v>71</v>
      </c>
    </row>
    <row r="19347" spans="1:12">
      <c r="A19347" s="31" t="s">
        <v>72</v>
      </c>
      <c r="B19347" s="39" t="e">
        <f>TRUNC((A19334-C19346)/1000000)</f>
        <v>#REF!</v>
      </c>
      <c r="C19347" s="31" t="e">
        <f>B19347*1000000</f>
        <v>#REF!</v>
      </c>
      <c r="D19347" s="31" t="e">
        <f t="shared" si="1870"/>
        <v>#REF!</v>
      </c>
      <c r="E19347" s="31" t="e">
        <f>IF(B19346+B19347=0,"",IF(B19347=1," Million "," Millions "))</f>
        <v>#REF!</v>
      </c>
      <c r="J19347" s="31">
        <v>11</v>
      </c>
      <c r="K19347" s="33" t="s">
        <v>73</v>
      </c>
      <c r="L19347" s="31" t="s">
        <v>74</v>
      </c>
    </row>
    <row r="19348" spans="1:12">
      <c r="A19348" s="31" t="s">
        <v>75</v>
      </c>
      <c r="B19348" s="39" t="e">
        <f>TRUNC((A19334-SUM(C19346:C19347))/100000)</f>
        <v>#REF!</v>
      </c>
      <c r="C19348" s="31" t="e">
        <f>B19348*100000</f>
        <v>#REF!</v>
      </c>
      <c r="D19348" s="31" t="e">
        <f t="shared" si="1870"/>
        <v>#REF!</v>
      </c>
      <c r="E19348" s="31" t="e">
        <f>IF(B19348&lt;1,"",IF(B19348&gt;1," Hundreds "," Hundred "))</f>
        <v>#REF!</v>
      </c>
      <c r="J19348" s="31">
        <v>12</v>
      </c>
      <c r="K19348" s="33" t="s">
        <v>76</v>
      </c>
      <c r="L19348" s="31" t="str">
        <f t="shared" ref="L19348:L19355" si="1871">L19338&amp;" Belas"</f>
        <v>Dua Belas</v>
      </c>
    </row>
    <row r="19349" spans="1:12">
      <c r="A19349" s="33" t="s">
        <v>77</v>
      </c>
      <c r="B19349" s="40" t="e">
        <f>TRUNC((A19334-SUM(C19346:C19348))/1000)</f>
        <v>#REF!</v>
      </c>
      <c r="C19349" s="31" t="e">
        <f>B19349*1000</f>
        <v>#REF!</v>
      </c>
      <c r="D19349" s="31" t="e">
        <f t="shared" si="1870"/>
        <v>#REF!</v>
      </c>
      <c r="E19349" s="31" t="e">
        <f>IF(B19348+B19349=0,"",IF(B19349=1," Thousand "," Thousands "))</f>
        <v>#REF!</v>
      </c>
      <c r="J19349" s="31">
        <v>13</v>
      </c>
      <c r="K19349" s="33" t="s">
        <v>78</v>
      </c>
      <c r="L19349" s="31" t="str">
        <f t="shared" si="1871"/>
        <v>Tiga Belas</v>
      </c>
    </row>
    <row r="19350" spans="1:12">
      <c r="A19350" s="33" t="s">
        <v>79</v>
      </c>
      <c r="B19350" s="40" t="e">
        <f>TRUNC((A19334-SUM(C19346:C19349))/100)</f>
        <v>#REF!</v>
      </c>
      <c r="C19350" s="31" t="e">
        <f>B19350*100</f>
        <v>#REF!</v>
      </c>
      <c r="D19350" s="31" t="e">
        <f t="shared" si="1870"/>
        <v>#REF!</v>
      </c>
      <c r="E19350" s="31" t="e">
        <f>IF(B19350&lt;1,"",IF(B19350&gt;1," Hundreds "," Hundred "))</f>
        <v>#REF!</v>
      </c>
      <c r="J19350" s="31">
        <v>14</v>
      </c>
      <c r="K19350" s="33" t="s">
        <v>80</v>
      </c>
      <c r="L19350" s="31" t="str">
        <f t="shared" si="1871"/>
        <v>Empat Belas</v>
      </c>
    </row>
    <row r="19351" spans="1:12">
      <c r="A19351" s="33" t="s">
        <v>81</v>
      </c>
      <c r="B19351" s="41" t="e">
        <f>TRUNC((A19334-SUM(C19346:C19350)))</f>
        <v>#REF!</v>
      </c>
      <c r="C19351" s="42" t="e">
        <f>B19351</f>
        <v>#REF!</v>
      </c>
      <c r="D19351" s="31" t="e">
        <f t="shared" si="1870"/>
        <v>#REF!</v>
      </c>
      <c r="E19351" s="31" t="e">
        <f>IF(SUM(C19346:C19351)&lt;1,"",IF(B19352&lt;1,""," And "))</f>
        <v>#REF!</v>
      </c>
      <c r="J19351" s="31">
        <v>15</v>
      </c>
      <c r="K19351" s="33" t="s">
        <v>82</v>
      </c>
      <c r="L19351" s="31" t="str">
        <f t="shared" si="1871"/>
        <v>Lima Belas</v>
      </c>
    </row>
    <row r="19352" spans="1:12">
      <c r="A19352" s="33" t="s">
        <v>83</v>
      </c>
      <c r="B19352" s="40" t="e">
        <f>ROUND(A19334-SUM(C19346:C19351),2)*100</f>
        <v>#REF!</v>
      </c>
      <c r="D19352" s="43" t="e">
        <f t="shared" si="1870"/>
        <v>#REF!</v>
      </c>
      <c r="E19352" s="31" t="e">
        <f>IF(B19352&lt;1,"",IF(B19352=1," Cent "," Cents "))</f>
        <v>#REF!</v>
      </c>
      <c r="J19352" s="31">
        <v>16</v>
      </c>
      <c r="K19352" s="33" t="s">
        <v>84</v>
      </c>
      <c r="L19352" s="31" t="str">
        <f t="shared" si="1871"/>
        <v>Enam Belas</v>
      </c>
    </row>
    <row r="19353" spans="1:12">
      <c r="J19353" s="31">
        <v>17</v>
      </c>
      <c r="K19353" s="33" t="s">
        <v>85</v>
      </c>
      <c r="L19353" s="31" t="str">
        <f t="shared" si="1871"/>
        <v>Tujuh Belas</v>
      </c>
    </row>
    <row r="19354" spans="1:12">
      <c r="A19354" s="44"/>
      <c r="J19354" s="31">
        <v>18</v>
      </c>
      <c r="K19354" s="33" t="s">
        <v>86</v>
      </c>
      <c r="L19354" s="31" t="str">
        <f t="shared" si="1871"/>
        <v>Delapan Belas</v>
      </c>
    </row>
    <row r="19355" spans="1:12">
      <c r="A19355" s="38" t="s">
        <v>87</v>
      </c>
      <c r="J19355" s="31">
        <v>19</v>
      </c>
      <c r="K19355" s="33" t="s">
        <v>88</v>
      </c>
      <c r="L19355" s="31" t="str">
        <f t="shared" si="1871"/>
        <v>Sembilan Belas</v>
      </c>
    </row>
    <row r="19356" spans="1:12">
      <c r="A19356" s="31" t="s">
        <v>69</v>
      </c>
      <c r="B19356" s="39" t="e">
        <f>TRUNC(A19334/100000000)</f>
        <v>#REF!</v>
      </c>
      <c r="C19356" s="31" t="e">
        <f>B19356*100000000</f>
        <v>#REF!</v>
      </c>
      <c r="D19356" s="31" t="e">
        <f>IF(B19356&lt;1,"",IF(B19356=1,"",VLOOKUP(B19356,$J$3:$L$102,3)))</f>
        <v>#REF!</v>
      </c>
      <c r="E19356" s="31" t="e">
        <f>IF(B19356&lt;1,"",IF(B19356=1,"Seratus "," Ratus "))</f>
        <v>#REF!</v>
      </c>
      <c r="J19356" s="31">
        <v>20</v>
      </c>
      <c r="K19356" s="33" t="s">
        <v>89</v>
      </c>
      <c r="L19356" s="31" t="s">
        <v>90</v>
      </c>
    </row>
    <row r="19357" spans="1:12">
      <c r="A19357" s="31" t="s">
        <v>72</v>
      </c>
      <c r="B19357" s="39" t="e">
        <f>TRUNC((A19334-C19356)/1000000)</f>
        <v>#REF!</v>
      </c>
      <c r="C19357" s="31" t="e">
        <f>B19357*1000000</f>
        <v>#REF!</v>
      </c>
      <c r="D19357" s="31" t="e">
        <f>IF(B19357&lt;1,"",VLOOKUP(B19357,$J$3:$L$102,3))</f>
        <v>#REF!</v>
      </c>
      <c r="E19357" s="31" t="e">
        <f>IF(B19356+B19357=0,""," Juta ")</f>
        <v>#REF!</v>
      </c>
      <c r="J19357" s="31">
        <v>21</v>
      </c>
      <c r="K19357" s="33" t="s">
        <v>91</v>
      </c>
      <c r="L19357" s="31" t="str">
        <f t="shared" ref="L19357:L19365" si="1872">$L$23&amp;" "&amp;L19337</f>
        <v>Dua Puluh Satu</v>
      </c>
    </row>
    <row r="19358" spans="1:12">
      <c r="A19358" s="31" t="s">
        <v>75</v>
      </c>
      <c r="B19358" s="39" t="e">
        <f>TRUNC((A19334-SUM(C19356:C19357))/100000)</f>
        <v>#REF!</v>
      </c>
      <c r="C19358" s="31" t="e">
        <f>B19358*100000</f>
        <v>#REF!</v>
      </c>
      <c r="D19358" s="31" t="e">
        <f>IF(B19358&lt;1,"",IF(B19358=1,"",VLOOKUP(B19358,$J$3:$L$102,3)))</f>
        <v>#REF!</v>
      </c>
      <c r="E19358" s="31" t="e">
        <f>IF(B19358&lt;1,"",IF(B19358=1," Seratus "," Ratus "))</f>
        <v>#REF!</v>
      </c>
      <c r="J19358" s="31">
        <v>22</v>
      </c>
      <c r="K19358" s="33" t="s">
        <v>92</v>
      </c>
      <c r="L19358" s="31" t="str">
        <f t="shared" si="1872"/>
        <v>Dua Puluh Dua</v>
      </c>
    </row>
    <row r="19359" spans="1:12">
      <c r="A19359" s="33" t="s">
        <v>77</v>
      </c>
      <c r="B19359" s="40" t="e">
        <f>TRUNC((A19334-SUM(C19356:C19358))/1000)</f>
        <v>#REF!</v>
      </c>
      <c r="C19359" s="31" t="e">
        <f>B19359*1000</f>
        <v>#REF!</v>
      </c>
      <c r="D19359" s="31" t="e">
        <f>IF(B19359&lt;1,"",IF(B19359=1,"",VLOOKUP(B19359,$J$3:$L$102,3)))</f>
        <v>#REF!</v>
      </c>
      <c r="E19359" s="31" t="e">
        <f>IF(B19358+B19359&lt;1,"",IF(B19359=1," Seribu "," Ribu "))</f>
        <v>#REF!</v>
      </c>
      <c r="J19359" s="31">
        <v>23</v>
      </c>
      <c r="K19359" s="33" t="s">
        <v>93</v>
      </c>
      <c r="L19359" s="31" t="str">
        <f t="shared" si="1872"/>
        <v>Dua Puluh Tiga</v>
      </c>
    </row>
    <row r="19360" spans="1:12">
      <c r="A19360" s="33" t="s">
        <v>79</v>
      </c>
      <c r="B19360" s="40" t="e">
        <f>TRUNC((A19334-SUM(C19356:C19359))/100)</f>
        <v>#REF!</v>
      </c>
      <c r="C19360" s="31" t="e">
        <f>B19360*100</f>
        <v>#REF!</v>
      </c>
      <c r="D19360" s="31" t="e">
        <f>IF(B19360&lt;1,"",IF(B19360=1,"",VLOOKUP(B19360,$J$3:$L$102,3)))</f>
        <v>#REF!</v>
      </c>
      <c r="E19360" s="31" t="e">
        <f>IF(B19360&lt;1,"",IF(B19360=1," Seratus "," Ratus "))</f>
        <v>#REF!</v>
      </c>
      <c r="J19360" s="31">
        <v>24</v>
      </c>
      <c r="K19360" s="33" t="s">
        <v>94</v>
      </c>
      <c r="L19360" s="31" t="str">
        <f t="shared" si="1872"/>
        <v>Dua Puluh Empat</v>
      </c>
    </row>
    <row r="19361" spans="1:12">
      <c r="A19361" s="33" t="s">
        <v>81</v>
      </c>
      <c r="B19361" s="41" t="e">
        <f>TRUNC((A19334-SUM(C19356:C19360)))</f>
        <v>#REF!</v>
      </c>
      <c r="C19361" s="42" t="e">
        <f>B19361</f>
        <v>#REF!</v>
      </c>
      <c r="D19361" s="31" t="e">
        <f>IF(B19361&lt;1,"",VLOOKUP(B19361,$J$3:$L$102,3))</f>
        <v>#REF!</v>
      </c>
      <c r="E19361" s="31" t="e">
        <f>IF(SUM(C19356:C19361)&lt;1,"",IF(B19362&lt;1,""," Dan "))</f>
        <v>#REF!</v>
      </c>
      <c r="J19361" s="31">
        <v>25</v>
      </c>
      <c r="K19361" s="33" t="s">
        <v>95</v>
      </c>
      <c r="L19361" s="31" t="str">
        <f t="shared" si="1872"/>
        <v>Dua Puluh Lima</v>
      </c>
    </row>
    <row r="19362" spans="1:12">
      <c r="A19362" s="33" t="s">
        <v>83</v>
      </c>
      <c r="B19362" s="40" t="e">
        <f>ROUND(A19334-SUM(C19356:C19361),2)*100</f>
        <v>#REF!</v>
      </c>
      <c r="D19362" s="31" t="e">
        <f>IF(B19362&lt;1,"",VLOOKUP(B19362,$J$3:$L$102,3))</f>
        <v>#REF!</v>
      </c>
      <c r="E19362" s="31" t="e">
        <f>IF(B19362&lt;1,""," Sen ")</f>
        <v>#REF!</v>
      </c>
      <c r="J19362" s="31">
        <v>26</v>
      </c>
      <c r="K19362" s="33" t="s">
        <v>96</v>
      </c>
      <c r="L19362" s="31" t="str">
        <f t="shared" si="1872"/>
        <v>Dua Puluh Enam</v>
      </c>
    </row>
    <row r="19363" spans="1:12">
      <c r="J19363" s="31">
        <v>27</v>
      </c>
      <c r="K19363" s="33" t="s">
        <v>97</v>
      </c>
      <c r="L19363" s="31" t="str">
        <f t="shared" si="1872"/>
        <v>Dua Puluh Tujuh</v>
      </c>
    </row>
    <row r="19364" spans="1:12">
      <c r="J19364" s="31">
        <v>28</v>
      </c>
      <c r="K19364" s="33" t="s">
        <v>98</v>
      </c>
      <c r="L19364" s="31" t="str">
        <f t="shared" si="1872"/>
        <v>Dua Puluh Delapan</v>
      </c>
    </row>
    <row r="19365" spans="1:12">
      <c r="J19365" s="31">
        <v>29</v>
      </c>
      <c r="K19365" s="33" t="s">
        <v>99</v>
      </c>
      <c r="L19365" s="31" t="str">
        <f t="shared" si="1872"/>
        <v>Dua Puluh Sembilan</v>
      </c>
    </row>
    <row r="19366" spans="1:12">
      <c r="J19366" s="31">
        <v>30</v>
      </c>
      <c r="K19366" s="33" t="s">
        <v>100</v>
      </c>
      <c r="L19366" s="31" t="s">
        <v>101</v>
      </c>
    </row>
    <row r="19367" spans="1:12">
      <c r="J19367" s="31">
        <v>31</v>
      </c>
      <c r="K19367" s="33" t="s">
        <v>102</v>
      </c>
      <c r="L19367" s="31" t="str">
        <f t="shared" ref="L19367:L19375" si="1873">$L$33&amp;" "&amp;L19337</f>
        <v>Tiga Puluh Satu</v>
      </c>
    </row>
    <row r="19368" spans="1:12">
      <c r="J19368" s="31">
        <v>32</v>
      </c>
      <c r="K19368" s="33" t="s">
        <v>103</v>
      </c>
      <c r="L19368" s="31" t="str">
        <f t="shared" si="1873"/>
        <v>Tiga Puluh Dua</v>
      </c>
    </row>
    <row r="19369" spans="1:12">
      <c r="J19369" s="31">
        <v>33</v>
      </c>
      <c r="K19369" s="33" t="s">
        <v>104</v>
      </c>
      <c r="L19369" s="31" t="str">
        <f t="shared" si="1873"/>
        <v>Tiga Puluh Tiga</v>
      </c>
    </row>
    <row r="19370" spans="1:12">
      <c r="J19370" s="31">
        <v>34</v>
      </c>
      <c r="K19370" s="33" t="s">
        <v>105</v>
      </c>
      <c r="L19370" s="31" t="str">
        <f t="shared" si="1873"/>
        <v>Tiga Puluh Empat</v>
      </c>
    </row>
    <row r="19371" spans="1:12">
      <c r="J19371" s="31">
        <v>35</v>
      </c>
      <c r="K19371" s="33" t="s">
        <v>106</v>
      </c>
      <c r="L19371" s="31" t="str">
        <f t="shared" si="1873"/>
        <v>Tiga Puluh Lima</v>
      </c>
    </row>
    <row r="19372" spans="1:12">
      <c r="J19372" s="31">
        <v>36</v>
      </c>
      <c r="K19372" s="33" t="s">
        <v>107</v>
      </c>
      <c r="L19372" s="31" t="str">
        <f t="shared" si="1873"/>
        <v>Tiga Puluh Enam</v>
      </c>
    </row>
    <row r="19373" spans="1:12">
      <c r="J19373" s="31">
        <v>37</v>
      </c>
      <c r="K19373" s="33" t="s">
        <v>108</v>
      </c>
      <c r="L19373" s="31" t="str">
        <f t="shared" si="1873"/>
        <v>Tiga Puluh Tujuh</v>
      </c>
    </row>
    <row r="19374" spans="1:12">
      <c r="J19374" s="31">
        <v>38</v>
      </c>
      <c r="K19374" s="33" t="s">
        <v>109</v>
      </c>
      <c r="L19374" s="31" t="str">
        <f t="shared" si="1873"/>
        <v>Tiga Puluh Delapan</v>
      </c>
    </row>
    <row r="19375" spans="1:12">
      <c r="J19375" s="31">
        <v>39</v>
      </c>
      <c r="K19375" s="33" t="s">
        <v>110</v>
      </c>
      <c r="L19375" s="31" t="str">
        <f t="shared" si="1873"/>
        <v>Tiga Puluh Sembilan</v>
      </c>
    </row>
    <row r="19376" spans="1:12">
      <c r="B19376" s="35"/>
      <c r="C19376" s="35"/>
      <c r="D19376" s="35"/>
      <c r="J19376" s="31">
        <v>40</v>
      </c>
      <c r="K19376" s="33" t="s">
        <v>111</v>
      </c>
      <c r="L19376" s="31" t="s">
        <v>112</v>
      </c>
    </row>
    <row r="19377" spans="1:12">
      <c r="A19377" s="35"/>
      <c r="B19377" s="35"/>
      <c r="C19377" s="35"/>
      <c r="D19377" s="35"/>
      <c r="J19377" s="31">
        <v>41</v>
      </c>
      <c r="K19377" s="33" t="s">
        <v>113</v>
      </c>
      <c r="L19377" s="31" t="str">
        <f t="shared" ref="L19377:L19385" si="1874">$L$43&amp;" "&amp;L19337</f>
        <v>Empat Puluh Satu</v>
      </c>
    </row>
    <row r="19378" spans="1:12">
      <c r="J19378" s="31">
        <v>42</v>
      </c>
      <c r="K19378" s="33" t="s">
        <v>114</v>
      </c>
      <c r="L19378" s="31" t="str">
        <f t="shared" si="1874"/>
        <v>Empat Puluh Dua</v>
      </c>
    </row>
    <row r="19379" spans="1:12">
      <c r="A19379" s="38"/>
      <c r="J19379" s="31">
        <v>43</v>
      </c>
      <c r="K19379" s="33" t="s">
        <v>115</v>
      </c>
      <c r="L19379" s="31" t="str">
        <f t="shared" si="1874"/>
        <v>Empat Puluh Tiga</v>
      </c>
    </row>
    <row r="19380" spans="1:12">
      <c r="J19380" s="31">
        <v>44</v>
      </c>
      <c r="K19380" s="33" t="s">
        <v>116</v>
      </c>
      <c r="L19380" s="31" t="str">
        <f t="shared" si="1874"/>
        <v>Empat Puluh Empat</v>
      </c>
    </row>
    <row r="19381" spans="1:12">
      <c r="J19381" s="31">
        <v>45</v>
      </c>
      <c r="K19381" s="33" t="s">
        <v>117</v>
      </c>
      <c r="L19381" s="31" t="str">
        <f t="shared" si="1874"/>
        <v>Empat Puluh Lima</v>
      </c>
    </row>
    <row r="19382" spans="1:12">
      <c r="J19382" s="31">
        <v>46</v>
      </c>
      <c r="K19382" s="33" t="s">
        <v>118</v>
      </c>
      <c r="L19382" s="31" t="str">
        <f t="shared" si="1874"/>
        <v>Empat Puluh Enam</v>
      </c>
    </row>
    <row r="19383" spans="1:12">
      <c r="J19383" s="31">
        <v>47</v>
      </c>
      <c r="K19383" s="33" t="s">
        <v>119</v>
      </c>
      <c r="L19383" s="31" t="str">
        <f t="shared" si="1874"/>
        <v>Empat Puluh Tujuh</v>
      </c>
    </row>
    <row r="19384" spans="1:12">
      <c r="J19384" s="31">
        <v>48</v>
      </c>
      <c r="K19384" s="33" t="s">
        <v>120</v>
      </c>
      <c r="L19384" s="31" t="str">
        <f t="shared" si="1874"/>
        <v>Empat Puluh Delapan</v>
      </c>
    </row>
    <row r="19385" spans="1:12">
      <c r="J19385" s="31">
        <v>49</v>
      </c>
      <c r="K19385" s="33" t="s">
        <v>121</v>
      </c>
      <c r="L19385" s="31" t="str">
        <f t="shared" si="1874"/>
        <v>Empat Puluh Sembilan</v>
      </c>
    </row>
    <row r="19386" spans="1:12">
      <c r="J19386" s="31">
        <v>50</v>
      </c>
      <c r="K19386" s="33" t="s">
        <v>122</v>
      </c>
      <c r="L19386" s="31" t="s">
        <v>123</v>
      </c>
    </row>
    <row r="19387" spans="1:12">
      <c r="J19387" s="31">
        <v>51</v>
      </c>
      <c r="K19387" s="33" t="s">
        <v>124</v>
      </c>
      <c r="L19387" s="31" t="str">
        <f t="shared" ref="L19387:L19395" si="1875">$L$53&amp;" "&amp;L19337</f>
        <v>Lima Puluh Satu</v>
      </c>
    </row>
    <row r="19388" spans="1:12">
      <c r="J19388" s="31">
        <v>52</v>
      </c>
      <c r="K19388" s="33" t="s">
        <v>125</v>
      </c>
      <c r="L19388" s="31" t="str">
        <f t="shared" si="1875"/>
        <v>Lima Puluh Dua</v>
      </c>
    </row>
    <row r="19389" spans="1:12">
      <c r="J19389" s="31">
        <v>53</v>
      </c>
      <c r="K19389" s="33" t="s">
        <v>126</v>
      </c>
      <c r="L19389" s="31" t="str">
        <f t="shared" si="1875"/>
        <v>Lima Puluh Tiga</v>
      </c>
    </row>
    <row r="19390" spans="1:12">
      <c r="J19390" s="31">
        <v>54</v>
      </c>
      <c r="K19390" s="33" t="s">
        <v>127</v>
      </c>
      <c r="L19390" s="31" t="str">
        <f t="shared" si="1875"/>
        <v>Lima Puluh Empat</v>
      </c>
    </row>
    <row r="19391" spans="1:12">
      <c r="J19391" s="31">
        <v>55</v>
      </c>
      <c r="K19391" s="33" t="s">
        <v>128</v>
      </c>
      <c r="L19391" s="31" t="str">
        <f t="shared" si="1875"/>
        <v>Lima Puluh Lima</v>
      </c>
    </row>
    <row r="19392" spans="1:12">
      <c r="J19392" s="31">
        <v>56</v>
      </c>
      <c r="K19392" s="33" t="s">
        <v>129</v>
      </c>
      <c r="L19392" s="31" t="str">
        <f t="shared" si="1875"/>
        <v>Lima Puluh Enam</v>
      </c>
    </row>
    <row r="19393" spans="10:12">
      <c r="J19393" s="31">
        <v>57</v>
      </c>
      <c r="K19393" s="33" t="s">
        <v>130</v>
      </c>
      <c r="L19393" s="31" t="str">
        <f t="shared" si="1875"/>
        <v>Lima Puluh Tujuh</v>
      </c>
    </row>
    <row r="19394" spans="10:12">
      <c r="J19394" s="31">
        <v>58</v>
      </c>
      <c r="K19394" s="33" t="s">
        <v>131</v>
      </c>
      <c r="L19394" s="31" t="str">
        <f t="shared" si="1875"/>
        <v>Lima Puluh Delapan</v>
      </c>
    </row>
    <row r="19395" spans="10:12">
      <c r="J19395" s="31">
        <v>59</v>
      </c>
      <c r="K19395" s="33" t="s">
        <v>132</v>
      </c>
      <c r="L19395" s="31" t="str">
        <f t="shared" si="1875"/>
        <v>Lima Puluh Sembilan</v>
      </c>
    </row>
    <row r="19396" spans="10:12">
      <c r="J19396" s="31">
        <v>60</v>
      </c>
      <c r="K19396" s="33" t="s">
        <v>133</v>
      </c>
      <c r="L19396" s="31" t="s">
        <v>134</v>
      </c>
    </row>
    <row r="19397" spans="10:12">
      <c r="J19397" s="31">
        <v>61</v>
      </c>
      <c r="K19397" s="33" t="s">
        <v>135</v>
      </c>
      <c r="L19397" s="31" t="str">
        <f t="shared" ref="L19397:L19405" si="1876">$L$63&amp;" "&amp;L19337</f>
        <v>Enam Puluh Satu</v>
      </c>
    </row>
    <row r="19398" spans="10:12">
      <c r="J19398" s="31">
        <v>62</v>
      </c>
      <c r="K19398" s="33" t="s">
        <v>136</v>
      </c>
      <c r="L19398" s="31" t="str">
        <f t="shared" si="1876"/>
        <v>Enam Puluh Dua</v>
      </c>
    </row>
    <row r="19399" spans="10:12">
      <c r="J19399" s="31">
        <v>63</v>
      </c>
      <c r="K19399" s="33" t="s">
        <v>137</v>
      </c>
      <c r="L19399" s="31" t="str">
        <f t="shared" si="1876"/>
        <v>Enam Puluh Tiga</v>
      </c>
    </row>
    <row r="19400" spans="10:12">
      <c r="J19400" s="31">
        <v>64</v>
      </c>
      <c r="K19400" s="33" t="s">
        <v>138</v>
      </c>
      <c r="L19400" s="31" t="str">
        <f t="shared" si="1876"/>
        <v>Enam Puluh Empat</v>
      </c>
    </row>
    <row r="19401" spans="10:12">
      <c r="J19401" s="31">
        <v>65</v>
      </c>
      <c r="K19401" s="33" t="s">
        <v>139</v>
      </c>
      <c r="L19401" s="31" t="str">
        <f t="shared" si="1876"/>
        <v>Enam Puluh Lima</v>
      </c>
    </row>
    <row r="19402" spans="10:12">
      <c r="J19402" s="31">
        <v>66</v>
      </c>
      <c r="K19402" s="33" t="s">
        <v>140</v>
      </c>
      <c r="L19402" s="31" t="str">
        <f t="shared" si="1876"/>
        <v>Enam Puluh Enam</v>
      </c>
    </row>
    <row r="19403" spans="10:12">
      <c r="J19403" s="31">
        <v>67</v>
      </c>
      <c r="K19403" s="33" t="s">
        <v>141</v>
      </c>
      <c r="L19403" s="31" t="str">
        <f t="shared" si="1876"/>
        <v>Enam Puluh Tujuh</v>
      </c>
    </row>
    <row r="19404" spans="10:12">
      <c r="J19404" s="31">
        <v>68</v>
      </c>
      <c r="K19404" s="33" t="s">
        <v>142</v>
      </c>
      <c r="L19404" s="31" t="str">
        <f t="shared" si="1876"/>
        <v>Enam Puluh Delapan</v>
      </c>
    </row>
    <row r="19405" spans="10:12">
      <c r="J19405" s="31">
        <v>69</v>
      </c>
      <c r="K19405" s="33" t="s">
        <v>143</v>
      </c>
      <c r="L19405" s="31" t="str">
        <f t="shared" si="1876"/>
        <v>Enam Puluh Sembilan</v>
      </c>
    </row>
    <row r="19406" spans="10:12">
      <c r="J19406" s="31">
        <v>70</v>
      </c>
      <c r="K19406" s="33" t="s">
        <v>144</v>
      </c>
      <c r="L19406" s="31" t="s">
        <v>145</v>
      </c>
    </row>
    <row r="19407" spans="10:12">
      <c r="J19407" s="31">
        <v>71</v>
      </c>
      <c r="K19407" s="33" t="s">
        <v>146</v>
      </c>
      <c r="L19407" s="31" t="str">
        <f t="shared" ref="L19407:L19415" si="1877">$L$73&amp;" "&amp;L19337</f>
        <v>Tujuh Puluh Satu</v>
      </c>
    </row>
    <row r="19408" spans="10:12">
      <c r="J19408" s="31">
        <v>72</v>
      </c>
      <c r="K19408" s="33" t="s">
        <v>147</v>
      </c>
      <c r="L19408" s="31" t="str">
        <f t="shared" si="1877"/>
        <v>Tujuh Puluh Dua</v>
      </c>
    </row>
    <row r="19409" spans="10:12">
      <c r="J19409" s="31">
        <v>73</v>
      </c>
      <c r="K19409" s="33" t="s">
        <v>148</v>
      </c>
      <c r="L19409" s="31" t="str">
        <f t="shared" si="1877"/>
        <v>Tujuh Puluh Tiga</v>
      </c>
    </row>
    <row r="19410" spans="10:12">
      <c r="J19410" s="31">
        <v>74</v>
      </c>
      <c r="K19410" s="33" t="s">
        <v>149</v>
      </c>
      <c r="L19410" s="31" t="str">
        <f t="shared" si="1877"/>
        <v>Tujuh Puluh Empat</v>
      </c>
    </row>
    <row r="19411" spans="10:12">
      <c r="J19411" s="31">
        <v>75</v>
      </c>
      <c r="K19411" s="33" t="s">
        <v>150</v>
      </c>
      <c r="L19411" s="31" t="str">
        <f t="shared" si="1877"/>
        <v>Tujuh Puluh Lima</v>
      </c>
    </row>
    <row r="19412" spans="10:12">
      <c r="J19412" s="31">
        <v>76</v>
      </c>
      <c r="K19412" s="33" t="s">
        <v>151</v>
      </c>
      <c r="L19412" s="31" t="str">
        <f t="shared" si="1877"/>
        <v>Tujuh Puluh Enam</v>
      </c>
    </row>
    <row r="19413" spans="10:12">
      <c r="J19413" s="31">
        <v>77</v>
      </c>
      <c r="K19413" s="33" t="s">
        <v>152</v>
      </c>
      <c r="L19413" s="31" t="str">
        <f t="shared" si="1877"/>
        <v>Tujuh Puluh Tujuh</v>
      </c>
    </row>
    <row r="19414" spans="10:12">
      <c r="J19414" s="31">
        <v>78</v>
      </c>
      <c r="K19414" s="33" t="s">
        <v>153</v>
      </c>
      <c r="L19414" s="31" t="str">
        <f t="shared" si="1877"/>
        <v>Tujuh Puluh Delapan</v>
      </c>
    </row>
    <row r="19415" spans="10:12">
      <c r="J19415" s="31">
        <v>79</v>
      </c>
      <c r="K19415" s="33" t="s">
        <v>154</v>
      </c>
      <c r="L19415" s="31" t="str">
        <f t="shared" si="1877"/>
        <v>Tujuh Puluh Sembilan</v>
      </c>
    </row>
    <row r="19416" spans="10:12">
      <c r="J19416" s="31">
        <v>80</v>
      </c>
      <c r="K19416" s="33" t="s">
        <v>155</v>
      </c>
      <c r="L19416" s="31" t="s">
        <v>156</v>
      </c>
    </row>
    <row r="19417" spans="10:12">
      <c r="J19417" s="31">
        <v>81</v>
      </c>
      <c r="K19417" s="33" t="s">
        <v>157</v>
      </c>
      <c r="L19417" s="31" t="str">
        <f t="shared" ref="L19417:L19425" si="1878">$L$83&amp;" "&amp;L19337</f>
        <v>Delapan Puluh Satu</v>
      </c>
    </row>
    <row r="19418" spans="10:12">
      <c r="J19418" s="31">
        <v>82</v>
      </c>
      <c r="K19418" s="33" t="s">
        <v>158</v>
      </c>
      <c r="L19418" s="31" t="str">
        <f t="shared" si="1878"/>
        <v>Delapan Puluh Dua</v>
      </c>
    </row>
    <row r="19419" spans="10:12">
      <c r="J19419" s="31">
        <v>83</v>
      </c>
      <c r="K19419" s="33" t="s">
        <v>159</v>
      </c>
      <c r="L19419" s="31" t="str">
        <f t="shared" si="1878"/>
        <v>Delapan Puluh Tiga</v>
      </c>
    </row>
    <row r="19420" spans="10:12">
      <c r="J19420" s="31">
        <v>84</v>
      </c>
      <c r="K19420" s="33" t="s">
        <v>160</v>
      </c>
      <c r="L19420" s="31" t="str">
        <f t="shared" si="1878"/>
        <v>Delapan Puluh Empat</v>
      </c>
    </row>
    <row r="19421" spans="10:12">
      <c r="J19421" s="31">
        <v>85</v>
      </c>
      <c r="K19421" s="33" t="s">
        <v>161</v>
      </c>
      <c r="L19421" s="31" t="str">
        <f t="shared" si="1878"/>
        <v>Delapan Puluh Lima</v>
      </c>
    </row>
    <row r="19422" spans="10:12">
      <c r="J19422" s="31">
        <v>86</v>
      </c>
      <c r="K19422" s="33" t="s">
        <v>162</v>
      </c>
      <c r="L19422" s="31" t="str">
        <f t="shared" si="1878"/>
        <v>Delapan Puluh Enam</v>
      </c>
    </row>
    <row r="19423" spans="10:12">
      <c r="J19423" s="31">
        <v>87</v>
      </c>
      <c r="K19423" s="33" t="s">
        <v>163</v>
      </c>
      <c r="L19423" s="31" t="str">
        <f t="shared" si="1878"/>
        <v>Delapan Puluh Tujuh</v>
      </c>
    </row>
    <row r="19424" spans="10:12">
      <c r="J19424" s="31">
        <v>88</v>
      </c>
      <c r="K19424" s="33" t="s">
        <v>164</v>
      </c>
      <c r="L19424" s="31" t="str">
        <f t="shared" si="1878"/>
        <v>Delapan Puluh Delapan</v>
      </c>
    </row>
    <row r="19425" spans="1:12">
      <c r="J19425" s="31">
        <v>89</v>
      </c>
      <c r="K19425" s="33" t="s">
        <v>165</v>
      </c>
      <c r="L19425" s="31" t="str">
        <f t="shared" si="1878"/>
        <v>Delapan Puluh Sembilan</v>
      </c>
    </row>
    <row r="19426" spans="1:12">
      <c r="J19426" s="31">
        <v>90</v>
      </c>
      <c r="K19426" s="33" t="s">
        <v>166</v>
      </c>
      <c r="L19426" s="31" t="s">
        <v>167</v>
      </c>
    </row>
    <row r="19427" spans="1:12">
      <c r="J19427" s="31">
        <v>91</v>
      </c>
      <c r="K19427" s="33" t="s">
        <v>168</v>
      </c>
      <c r="L19427" s="31" t="str">
        <f t="shared" ref="L19427:L19435" si="1879">$L$93&amp;" "&amp;L19337</f>
        <v>Sembilan Puluh Satu</v>
      </c>
    </row>
    <row r="19428" spans="1:12">
      <c r="J19428" s="31">
        <v>92</v>
      </c>
      <c r="K19428" s="33" t="s">
        <v>169</v>
      </c>
      <c r="L19428" s="31" t="str">
        <f t="shared" si="1879"/>
        <v>Sembilan Puluh Dua</v>
      </c>
    </row>
    <row r="19429" spans="1:12">
      <c r="J19429" s="31">
        <v>93</v>
      </c>
      <c r="K19429" s="33" t="s">
        <v>170</v>
      </c>
      <c r="L19429" s="31" t="str">
        <f t="shared" si="1879"/>
        <v>Sembilan Puluh Tiga</v>
      </c>
    </row>
    <row r="19430" spans="1:12">
      <c r="J19430" s="31">
        <v>94</v>
      </c>
      <c r="K19430" s="33" t="s">
        <v>171</v>
      </c>
      <c r="L19430" s="31" t="str">
        <f t="shared" si="1879"/>
        <v>Sembilan Puluh Empat</v>
      </c>
    </row>
    <row r="19431" spans="1:12">
      <c r="J19431" s="31">
        <v>95</v>
      </c>
      <c r="K19431" s="33" t="s">
        <v>172</v>
      </c>
      <c r="L19431" s="31" t="str">
        <f t="shared" si="1879"/>
        <v>Sembilan Puluh Lima</v>
      </c>
    </row>
    <row r="19432" spans="1:12">
      <c r="J19432" s="31">
        <v>96</v>
      </c>
      <c r="K19432" s="33" t="s">
        <v>173</v>
      </c>
      <c r="L19432" s="31" t="str">
        <f t="shared" si="1879"/>
        <v>Sembilan Puluh Enam</v>
      </c>
    </row>
    <row r="19433" spans="1:12">
      <c r="J19433" s="31">
        <v>97</v>
      </c>
      <c r="K19433" s="33" t="s">
        <v>174</v>
      </c>
      <c r="L19433" s="31" t="str">
        <f t="shared" si="1879"/>
        <v>Sembilan Puluh Tujuh</v>
      </c>
    </row>
    <row r="19434" spans="1:12">
      <c r="J19434" s="31">
        <v>98</v>
      </c>
      <c r="K19434" s="33" t="s">
        <v>175</v>
      </c>
      <c r="L19434" s="31" t="str">
        <f t="shared" si="1879"/>
        <v>Sembilan Puluh Delapan</v>
      </c>
    </row>
    <row r="19435" spans="1:12">
      <c r="J19435" s="31">
        <v>99</v>
      </c>
      <c r="K19435" s="33" t="s">
        <v>176</v>
      </c>
      <c r="L19435" s="31" t="str">
        <f t="shared" si="1879"/>
        <v>Sembilan Puluh Sembilan</v>
      </c>
    </row>
    <row r="19437" spans="1:12">
      <c r="A19437" s="30" t="e">
        <f>#REF!</f>
        <v>#REF!</v>
      </c>
      <c r="C19437" s="31" t="s">
        <v>449</v>
      </c>
    </row>
    <row r="19438" spans="1:12">
      <c r="A19438" s="32"/>
    </row>
    <row r="19439" spans="1:12">
      <c r="J19439" s="31">
        <v>0</v>
      </c>
      <c r="K19439" s="33" t="s">
        <v>48</v>
      </c>
      <c r="L19439" s="31" t="s">
        <v>49</v>
      </c>
    </row>
    <row r="19440" spans="1:12">
      <c r="A19440" s="34"/>
      <c r="J19440" s="31">
        <v>1</v>
      </c>
      <c r="K19440" s="33" t="s">
        <v>50</v>
      </c>
      <c r="L19440" s="31" t="s">
        <v>51</v>
      </c>
    </row>
    <row r="19441" spans="1:12">
      <c r="A19441" s="255" t="e">
        <f>TRIM(D19449&amp;E19449&amp;D19450&amp;E19450&amp;D19451&amp;E19451&amp;D19452&amp;E19452&amp;D19453&amp;E19453&amp;D19454&amp;E19454&amp;E19455&amp;D19455&amp;" Only")</f>
        <v>#REF!</v>
      </c>
      <c r="B19441" s="255"/>
      <c r="C19441" s="255"/>
      <c r="D19441" s="255"/>
      <c r="E19441" s="35"/>
      <c r="F19441" s="36"/>
      <c r="J19441" s="31">
        <v>2</v>
      </c>
      <c r="K19441" s="33" t="s">
        <v>52</v>
      </c>
      <c r="L19441" s="31" t="s">
        <v>53</v>
      </c>
    </row>
    <row r="19442" spans="1:12">
      <c r="A19442" s="170"/>
      <c r="B19442" s="170"/>
      <c r="C19442" s="170"/>
      <c r="D19442" s="170"/>
      <c r="E19442" s="35"/>
      <c r="F19442" s="36"/>
      <c r="J19442" s="31">
        <v>3</v>
      </c>
      <c r="K19442" s="33" t="s">
        <v>54</v>
      </c>
      <c r="L19442" s="31" t="s">
        <v>55</v>
      </c>
    </row>
    <row r="19443" spans="1:12">
      <c r="A19443" s="170"/>
      <c r="B19443" s="170"/>
      <c r="C19443" s="170"/>
      <c r="D19443" s="170"/>
      <c r="J19443" s="31">
        <v>4</v>
      </c>
      <c r="K19443" s="33" t="s">
        <v>56</v>
      </c>
      <c r="L19443" s="31" t="s">
        <v>57</v>
      </c>
    </row>
    <row r="19444" spans="1:12">
      <c r="A19444" s="255" t="e">
        <f>TRIM(D19459&amp;E19459&amp;D19460&amp;E19460&amp;D19461&amp;E19461&amp;D19462&amp;E19462&amp;D19463&amp;E19463&amp;D19464&amp;E19464&amp;D19465&amp;E19465&amp;" Rupiah")</f>
        <v>#REF!</v>
      </c>
      <c r="B19444" s="255"/>
      <c r="C19444" s="255"/>
      <c r="D19444" s="255"/>
      <c r="E19444" s="35"/>
      <c r="F19444" s="36"/>
      <c r="J19444" s="31">
        <v>5</v>
      </c>
      <c r="K19444" s="33" t="s">
        <v>58</v>
      </c>
      <c r="L19444" s="31" t="s">
        <v>59</v>
      </c>
    </row>
    <row r="19445" spans="1:12">
      <c r="A19445" s="35"/>
      <c r="B19445" s="35"/>
      <c r="C19445" s="35"/>
      <c r="D19445" s="35"/>
      <c r="E19445" s="35"/>
      <c r="F19445" s="36"/>
      <c r="J19445" s="31">
        <v>6</v>
      </c>
      <c r="K19445" s="33" t="s">
        <v>60</v>
      </c>
      <c r="L19445" s="31" t="s">
        <v>61</v>
      </c>
    </row>
    <row r="19446" spans="1:12">
      <c r="J19446" s="31">
        <v>7</v>
      </c>
      <c r="K19446" s="33" t="s">
        <v>62</v>
      </c>
      <c r="L19446" s="31" t="s">
        <v>63</v>
      </c>
    </row>
    <row r="19447" spans="1:12">
      <c r="J19447" s="31">
        <v>8</v>
      </c>
      <c r="K19447" s="33" t="s">
        <v>64</v>
      </c>
      <c r="L19447" s="31" t="s">
        <v>65</v>
      </c>
    </row>
    <row r="19448" spans="1:12">
      <c r="A19448" s="38" t="s">
        <v>66</v>
      </c>
      <c r="J19448" s="31">
        <v>9</v>
      </c>
      <c r="K19448" s="33" t="s">
        <v>67</v>
      </c>
      <c r="L19448" s="31" t="s">
        <v>68</v>
      </c>
    </row>
    <row r="19449" spans="1:12">
      <c r="A19449" s="31" t="s">
        <v>69</v>
      </c>
      <c r="B19449" s="39" t="e">
        <f>TRUNC(A19437/100000000)</f>
        <v>#REF!</v>
      </c>
      <c r="C19449" s="31" t="e">
        <f>B19449*100000000</f>
        <v>#REF!</v>
      </c>
      <c r="D19449" s="31" t="e">
        <f t="shared" ref="D19449:D19455" si="1880">IF(B19449&lt;1,"",VLOOKUP(B19449,$J$3:$K$102,2))</f>
        <v>#REF!</v>
      </c>
      <c r="E19449" s="31" t="e">
        <f>IF(B19449&lt;1,"",IF(B19449&gt;1," Hundreds "," Hundred "))</f>
        <v>#REF!</v>
      </c>
      <c r="J19449" s="31">
        <v>10</v>
      </c>
      <c r="K19449" s="33" t="s">
        <v>70</v>
      </c>
      <c r="L19449" s="31" t="s">
        <v>71</v>
      </c>
    </row>
    <row r="19450" spans="1:12">
      <c r="A19450" s="31" t="s">
        <v>72</v>
      </c>
      <c r="B19450" s="39" t="e">
        <f>TRUNC((A19437-C19449)/1000000)</f>
        <v>#REF!</v>
      </c>
      <c r="C19450" s="31" t="e">
        <f>B19450*1000000</f>
        <v>#REF!</v>
      </c>
      <c r="D19450" s="31" t="e">
        <f t="shared" si="1880"/>
        <v>#REF!</v>
      </c>
      <c r="E19450" s="31" t="e">
        <f>IF(B19449+B19450=0,"",IF(B19450=1," Million "," Millions "))</f>
        <v>#REF!</v>
      </c>
      <c r="J19450" s="31">
        <v>11</v>
      </c>
      <c r="K19450" s="33" t="s">
        <v>73</v>
      </c>
      <c r="L19450" s="31" t="s">
        <v>74</v>
      </c>
    </row>
    <row r="19451" spans="1:12">
      <c r="A19451" s="31" t="s">
        <v>75</v>
      </c>
      <c r="B19451" s="39" t="e">
        <f>TRUNC((A19437-SUM(C19449:C19450))/100000)</f>
        <v>#REF!</v>
      </c>
      <c r="C19451" s="31" t="e">
        <f>B19451*100000</f>
        <v>#REF!</v>
      </c>
      <c r="D19451" s="31" t="e">
        <f t="shared" si="1880"/>
        <v>#REF!</v>
      </c>
      <c r="E19451" s="31" t="e">
        <f>IF(B19451&lt;1,"",IF(B19451&gt;1," Hundreds "," Hundred "))</f>
        <v>#REF!</v>
      </c>
      <c r="J19451" s="31">
        <v>12</v>
      </c>
      <c r="K19451" s="33" t="s">
        <v>76</v>
      </c>
      <c r="L19451" s="31" t="str">
        <f t="shared" ref="L19451:L19458" si="1881">L19441&amp;" Belas"</f>
        <v>Dua Belas</v>
      </c>
    </row>
    <row r="19452" spans="1:12">
      <c r="A19452" s="33" t="s">
        <v>77</v>
      </c>
      <c r="B19452" s="40" t="e">
        <f>TRUNC((A19437-SUM(C19449:C19451))/1000)</f>
        <v>#REF!</v>
      </c>
      <c r="C19452" s="31" t="e">
        <f>B19452*1000</f>
        <v>#REF!</v>
      </c>
      <c r="D19452" s="31" t="e">
        <f t="shared" si="1880"/>
        <v>#REF!</v>
      </c>
      <c r="E19452" s="31" t="e">
        <f>IF(B19451+B19452=0,"",IF(B19452=1," Thousand "," Thousands "))</f>
        <v>#REF!</v>
      </c>
      <c r="J19452" s="31">
        <v>13</v>
      </c>
      <c r="K19452" s="33" t="s">
        <v>78</v>
      </c>
      <c r="L19452" s="31" t="str">
        <f t="shared" si="1881"/>
        <v>Tiga Belas</v>
      </c>
    </row>
    <row r="19453" spans="1:12">
      <c r="A19453" s="33" t="s">
        <v>79</v>
      </c>
      <c r="B19453" s="40" t="e">
        <f>TRUNC((A19437-SUM(C19449:C19452))/100)</f>
        <v>#REF!</v>
      </c>
      <c r="C19453" s="31" t="e">
        <f>B19453*100</f>
        <v>#REF!</v>
      </c>
      <c r="D19453" s="31" t="e">
        <f t="shared" si="1880"/>
        <v>#REF!</v>
      </c>
      <c r="E19453" s="31" t="e">
        <f>IF(B19453&lt;1,"",IF(B19453&gt;1," Hundreds "," Hundred "))</f>
        <v>#REF!</v>
      </c>
      <c r="J19453" s="31">
        <v>14</v>
      </c>
      <c r="K19453" s="33" t="s">
        <v>80</v>
      </c>
      <c r="L19453" s="31" t="str">
        <f t="shared" si="1881"/>
        <v>Empat Belas</v>
      </c>
    </row>
    <row r="19454" spans="1:12">
      <c r="A19454" s="33" t="s">
        <v>81</v>
      </c>
      <c r="B19454" s="41" t="e">
        <f>TRUNC((A19437-SUM(C19449:C19453)))</f>
        <v>#REF!</v>
      </c>
      <c r="C19454" s="42" t="e">
        <f>B19454</f>
        <v>#REF!</v>
      </c>
      <c r="D19454" s="31" t="e">
        <f t="shared" si="1880"/>
        <v>#REF!</v>
      </c>
      <c r="E19454" s="31" t="e">
        <f>IF(SUM(C19449:C19454)&lt;1,"",IF(B19455&lt;1,""," And "))</f>
        <v>#REF!</v>
      </c>
      <c r="J19454" s="31">
        <v>15</v>
      </c>
      <c r="K19454" s="33" t="s">
        <v>82</v>
      </c>
      <c r="L19454" s="31" t="str">
        <f t="shared" si="1881"/>
        <v>Lima Belas</v>
      </c>
    </row>
    <row r="19455" spans="1:12">
      <c r="A19455" s="33" t="s">
        <v>83</v>
      </c>
      <c r="B19455" s="40" t="e">
        <f>ROUND(A19437-SUM(C19449:C19454),2)*100</f>
        <v>#REF!</v>
      </c>
      <c r="D19455" s="43" t="e">
        <f t="shared" si="1880"/>
        <v>#REF!</v>
      </c>
      <c r="E19455" s="31" t="e">
        <f>IF(B19455&lt;1,"",IF(B19455=1," Cent "," Cents "))</f>
        <v>#REF!</v>
      </c>
      <c r="J19455" s="31">
        <v>16</v>
      </c>
      <c r="K19455" s="33" t="s">
        <v>84</v>
      </c>
      <c r="L19455" s="31" t="str">
        <f t="shared" si="1881"/>
        <v>Enam Belas</v>
      </c>
    </row>
    <row r="19456" spans="1:12">
      <c r="J19456" s="31">
        <v>17</v>
      </c>
      <c r="K19456" s="33" t="s">
        <v>85</v>
      </c>
      <c r="L19456" s="31" t="str">
        <f t="shared" si="1881"/>
        <v>Tujuh Belas</v>
      </c>
    </row>
    <row r="19457" spans="1:12">
      <c r="A19457" s="44"/>
      <c r="J19457" s="31">
        <v>18</v>
      </c>
      <c r="K19457" s="33" t="s">
        <v>86</v>
      </c>
      <c r="L19457" s="31" t="str">
        <f t="shared" si="1881"/>
        <v>Delapan Belas</v>
      </c>
    </row>
    <row r="19458" spans="1:12">
      <c r="A19458" s="38" t="s">
        <v>87</v>
      </c>
      <c r="J19458" s="31">
        <v>19</v>
      </c>
      <c r="K19458" s="33" t="s">
        <v>88</v>
      </c>
      <c r="L19458" s="31" t="str">
        <f t="shared" si="1881"/>
        <v>Sembilan Belas</v>
      </c>
    </row>
    <row r="19459" spans="1:12">
      <c r="A19459" s="31" t="s">
        <v>69</v>
      </c>
      <c r="B19459" s="39" t="e">
        <f>TRUNC(A19437/100000000)</f>
        <v>#REF!</v>
      </c>
      <c r="C19459" s="31" t="e">
        <f>B19459*100000000</f>
        <v>#REF!</v>
      </c>
      <c r="D19459" s="31" t="e">
        <f>IF(B19459&lt;1,"",IF(B19459=1,"",VLOOKUP(B19459,$J$3:$L$102,3)))</f>
        <v>#REF!</v>
      </c>
      <c r="E19459" s="31" t="e">
        <f>IF(B19459&lt;1,"",IF(B19459=1,"Seratus "," Ratus "))</f>
        <v>#REF!</v>
      </c>
      <c r="J19459" s="31">
        <v>20</v>
      </c>
      <c r="K19459" s="33" t="s">
        <v>89</v>
      </c>
      <c r="L19459" s="31" t="s">
        <v>90</v>
      </c>
    </row>
    <row r="19460" spans="1:12">
      <c r="A19460" s="31" t="s">
        <v>72</v>
      </c>
      <c r="B19460" s="39" t="e">
        <f>TRUNC((A19437-C19459)/1000000)</f>
        <v>#REF!</v>
      </c>
      <c r="C19460" s="31" t="e">
        <f>B19460*1000000</f>
        <v>#REF!</v>
      </c>
      <c r="D19460" s="31" t="e">
        <f>IF(B19460&lt;1,"",VLOOKUP(B19460,$J$3:$L$102,3))</f>
        <v>#REF!</v>
      </c>
      <c r="E19460" s="31" t="e">
        <f>IF(B19459+B19460=0,""," Juta ")</f>
        <v>#REF!</v>
      </c>
      <c r="J19460" s="31">
        <v>21</v>
      </c>
      <c r="K19460" s="33" t="s">
        <v>91</v>
      </c>
      <c r="L19460" s="31" t="str">
        <f t="shared" ref="L19460:L19468" si="1882">$L$23&amp;" "&amp;L19440</f>
        <v>Dua Puluh Satu</v>
      </c>
    </row>
    <row r="19461" spans="1:12">
      <c r="A19461" s="31" t="s">
        <v>75</v>
      </c>
      <c r="B19461" s="39" t="e">
        <f>TRUNC((A19437-SUM(C19459:C19460))/100000)</f>
        <v>#REF!</v>
      </c>
      <c r="C19461" s="31" t="e">
        <f>B19461*100000</f>
        <v>#REF!</v>
      </c>
      <c r="D19461" s="31" t="e">
        <f>IF(B19461&lt;1,"",IF(B19461=1,"",VLOOKUP(B19461,$J$3:$L$102,3)))</f>
        <v>#REF!</v>
      </c>
      <c r="E19461" s="31" t="e">
        <f>IF(B19461&lt;1,"",IF(B19461=1," Seratus "," Ratus "))</f>
        <v>#REF!</v>
      </c>
      <c r="J19461" s="31">
        <v>22</v>
      </c>
      <c r="K19461" s="33" t="s">
        <v>92</v>
      </c>
      <c r="L19461" s="31" t="str">
        <f t="shared" si="1882"/>
        <v>Dua Puluh Dua</v>
      </c>
    </row>
    <row r="19462" spans="1:12">
      <c r="A19462" s="33" t="s">
        <v>77</v>
      </c>
      <c r="B19462" s="40" t="e">
        <f>TRUNC((A19437-SUM(C19459:C19461))/1000)</f>
        <v>#REF!</v>
      </c>
      <c r="C19462" s="31" t="e">
        <f>B19462*1000</f>
        <v>#REF!</v>
      </c>
      <c r="D19462" s="31" t="e">
        <f>IF(B19462&lt;1,"",IF(B19462=1,"",VLOOKUP(B19462,$J$3:$L$102,3)))</f>
        <v>#REF!</v>
      </c>
      <c r="E19462" s="31" t="e">
        <f>IF(B19461+B19462&lt;1,"",IF(B19462=1," Seribu "," Ribu "))</f>
        <v>#REF!</v>
      </c>
      <c r="J19462" s="31">
        <v>23</v>
      </c>
      <c r="K19462" s="33" t="s">
        <v>93</v>
      </c>
      <c r="L19462" s="31" t="str">
        <f t="shared" si="1882"/>
        <v>Dua Puluh Tiga</v>
      </c>
    </row>
    <row r="19463" spans="1:12">
      <c r="A19463" s="33" t="s">
        <v>79</v>
      </c>
      <c r="B19463" s="40" t="e">
        <f>TRUNC((A19437-SUM(C19459:C19462))/100)</f>
        <v>#REF!</v>
      </c>
      <c r="C19463" s="31" t="e">
        <f>B19463*100</f>
        <v>#REF!</v>
      </c>
      <c r="D19463" s="31" t="e">
        <f>IF(B19463&lt;1,"",IF(B19463=1,"",VLOOKUP(B19463,$J$3:$L$102,3)))</f>
        <v>#REF!</v>
      </c>
      <c r="E19463" s="31" t="e">
        <f>IF(B19463&lt;1,"",IF(B19463=1," Seratus "," Ratus "))</f>
        <v>#REF!</v>
      </c>
      <c r="J19463" s="31">
        <v>24</v>
      </c>
      <c r="K19463" s="33" t="s">
        <v>94</v>
      </c>
      <c r="L19463" s="31" t="str">
        <f t="shared" si="1882"/>
        <v>Dua Puluh Empat</v>
      </c>
    </row>
    <row r="19464" spans="1:12">
      <c r="A19464" s="33" t="s">
        <v>81</v>
      </c>
      <c r="B19464" s="41" t="e">
        <f>TRUNC((A19437-SUM(C19459:C19463)))</f>
        <v>#REF!</v>
      </c>
      <c r="C19464" s="42" t="e">
        <f>B19464</f>
        <v>#REF!</v>
      </c>
      <c r="D19464" s="31" t="e">
        <f>IF(B19464&lt;1,"",VLOOKUP(B19464,$J$3:$L$102,3))</f>
        <v>#REF!</v>
      </c>
      <c r="E19464" s="31" t="e">
        <f>IF(SUM(C19459:C19464)&lt;1,"",IF(B19465&lt;1,""," Dan "))</f>
        <v>#REF!</v>
      </c>
      <c r="J19464" s="31">
        <v>25</v>
      </c>
      <c r="K19464" s="33" t="s">
        <v>95</v>
      </c>
      <c r="L19464" s="31" t="str">
        <f t="shared" si="1882"/>
        <v>Dua Puluh Lima</v>
      </c>
    </row>
    <row r="19465" spans="1:12">
      <c r="A19465" s="33" t="s">
        <v>83</v>
      </c>
      <c r="B19465" s="40" t="e">
        <f>ROUND(A19437-SUM(C19459:C19464),2)*100</f>
        <v>#REF!</v>
      </c>
      <c r="D19465" s="31" t="e">
        <f>IF(B19465&lt;1,"",VLOOKUP(B19465,$J$3:$L$102,3))</f>
        <v>#REF!</v>
      </c>
      <c r="E19465" s="31" t="e">
        <f>IF(B19465&lt;1,""," Sen ")</f>
        <v>#REF!</v>
      </c>
      <c r="J19465" s="31">
        <v>26</v>
      </c>
      <c r="K19465" s="33" t="s">
        <v>96</v>
      </c>
      <c r="L19465" s="31" t="str">
        <f t="shared" si="1882"/>
        <v>Dua Puluh Enam</v>
      </c>
    </row>
    <row r="19466" spans="1:12">
      <c r="J19466" s="31">
        <v>27</v>
      </c>
      <c r="K19466" s="33" t="s">
        <v>97</v>
      </c>
      <c r="L19466" s="31" t="str">
        <f t="shared" si="1882"/>
        <v>Dua Puluh Tujuh</v>
      </c>
    </row>
    <row r="19467" spans="1:12">
      <c r="J19467" s="31">
        <v>28</v>
      </c>
      <c r="K19467" s="33" t="s">
        <v>98</v>
      </c>
      <c r="L19467" s="31" t="str">
        <f t="shared" si="1882"/>
        <v>Dua Puluh Delapan</v>
      </c>
    </row>
    <row r="19468" spans="1:12">
      <c r="J19468" s="31">
        <v>29</v>
      </c>
      <c r="K19468" s="33" t="s">
        <v>99</v>
      </c>
      <c r="L19468" s="31" t="str">
        <f t="shared" si="1882"/>
        <v>Dua Puluh Sembilan</v>
      </c>
    </row>
    <row r="19469" spans="1:12">
      <c r="J19469" s="31">
        <v>30</v>
      </c>
      <c r="K19469" s="33" t="s">
        <v>100</v>
      </c>
      <c r="L19469" s="31" t="s">
        <v>101</v>
      </c>
    </row>
    <row r="19470" spans="1:12">
      <c r="J19470" s="31">
        <v>31</v>
      </c>
      <c r="K19470" s="33" t="s">
        <v>102</v>
      </c>
      <c r="L19470" s="31" t="str">
        <f t="shared" ref="L19470:L19478" si="1883">$L$33&amp;" "&amp;L19440</f>
        <v>Tiga Puluh Satu</v>
      </c>
    </row>
    <row r="19471" spans="1:12">
      <c r="J19471" s="31">
        <v>32</v>
      </c>
      <c r="K19471" s="33" t="s">
        <v>103</v>
      </c>
      <c r="L19471" s="31" t="str">
        <f t="shared" si="1883"/>
        <v>Tiga Puluh Dua</v>
      </c>
    </row>
    <row r="19472" spans="1:12">
      <c r="J19472" s="31">
        <v>33</v>
      </c>
      <c r="K19472" s="33" t="s">
        <v>104</v>
      </c>
      <c r="L19472" s="31" t="str">
        <f t="shared" si="1883"/>
        <v>Tiga Puluh Tiga</v>
      </c>
    </row>
    <row r="19473" spans="1:12">
      <c r="J19473" s="31">
        <v>34</v>
      </c>
      <c r="K19473" s="33" t="s">
        <v>105</v>
      </c>
      <c r="L19473" s="31" t="str">
        <f t="shared" si="1883"/>
        <v>Tiga Puluh Empat</v>
      </c>
    </row>
    <row r="19474" spans="1:12">
      <c r="J19474" s="31">
        <v>35</v>
      </c>
      <c r="K19474" s="33" t="s">
        <v>106</v>
      </c>
      <c r="L19474" s="31" t="str">
        <f t="shared" si="1883"/>
        <v>Tiga Puluh Lima</v>
      </c>
    </row>
    <row r="19475" spans="1:12">
      <c r="J19475" s="31">
        <v>36</v>
      </c>
      <c r="K19475" s="33" t="s">
        <v>107</v>
      </c>
      <c r="L19475" s="31" t="str">
        <f t="shared" si="1883"/>
        <v>Tiga Puluh Enam</v>
      </c>
    </row>
    <row r="19476" spans="1:12">
      <c r="J19476" s="31">
        <v>37</v>
      </c>
      <c r="K19476" s="33" t="s">
        <v>108</v>
      </c>
      <c r="L19476" s="31" t="str">
        <f t="shared" si="1883"/>
        <v>Tiga Puluh Tujuh</v>
      </c>
    </row>
    <row r="19477" spans="1:12">
      <c r="J19477" s="31">
        <v>38</v>
      </c>
      <c r="K19477" s="33" t="s">
        <v>109</v>
      </c>
      <c r="L19477" s="31" t="str">
        <f t="shared" si="1883"/>
        <v>Tiga Puluh Delapan</v>
      </c>
    </row>
    <row r="19478" spans="1:12">
      <c r="J19478" s="31">
        <v>39</v>
      </c>
      <c r="K19478" s="33" t="s">
        <v>110</v>
      </c>
      <c r="L19478" s="31" t="str">
        <f t="shared" si="1883"/>
        <v>Tiga Puluh Sembilan</v>
      </c>
    </row>
    <row r="19479" spans="1:12">
      <c r="B19479" s="35"/>
      <c r="C19479" s="35"/>
      <c r="D19479" s="35"/>
      <c r="J19479" s="31">
        <v>40</v>
      </c>
      <c r="K19479" s="33" t="s">
        <v>111</v>
      </c>
      <c r="L19479" s="31" t="s">
        <v>112</v>
      </c>
    </row>
    <row r="19480" spans="1:12">
      <c r="A19480" s="35"/>
      <c r="B19480" s="35"/>
      <c r="C19480" s="35"/>
      <c r="D19480" s="35"/>
      <c r="J19480" s="31">
        <v>41</v>
      </c>
      <c r="K19480" s="33" t="s">
        <v>113</v>
      </c>
      <c r="L19480" s="31" t="str">
        <f t="shared" ref="L19480:L19488" si="1884">$L$43&amp;" "&amp;L19440</f>
        <v>Empat Puluh Satu</v>
      </c>
    </row>
    <row r="19481" spans="1:12">
      <c r="J19481" s="31">
        <v>42</v>
      </c>
      <c r="K19481" s="33" t="s">
        <v>114</v>
      </c>
      <c r="L19481" s="31" t="str">
        <f t="shared" si="1884"/>
        <v>Empat Puluh Dua</v>
      </c>
    </row>
    <row r="19482" spans="1:12">
      <c r="A19482" s="38"/>
      <c r="J19482" s="31">
        <v>43</v>
      </c>
      <c r="K19482" s="33" t="s">
        <v>115</v>
      </c>
      <c r="L19482" s="31" t="str">
        <f t="shared" si="1884"/>
        <v>Empat Puluh Tiga</v>
      </c>
    </row>
    <row r="19483" spans="1:12">
      <c r="J19483" s="31">
        <v>44</v>
      </c>
      <c r="K19483" s="33" t="s">
        <v>116</v>
      </c>
      <c r="L19483" s="31" t="str">
        <f t="shared" si="1884"/>
        <v>Empat Puluh Empat</v>
      </c>
    </row>
    <row r="19484" spans="1:12">
      <c r="J19484" s="31">
        <v>45</v>
      </c>
      <c r="K19484" s="33" t="s">
        <v>117</v>
      </c>
      <c r="L19484" s="31" t="str">
        <f t="shared" si="1884"/>
        <v>Empat Puluh Lima</v>
      </c>
    </row>
    <row r="19485" spans="1:12">
      <c r="J19485" s="31">
        <v>46</v>
      </c>
      <c r="K19485" s="33" t="s">
        <v>118</v>
      </c>
      <c r="L19485" s="31" t="str">
        <f t="shared" si="1884"/>
        <v>Empat Puluh Enam</v>
      </c>
    </row>
    <row r="19486" spans="1:12">
      <c r="J19486" s="31">
        <v>47</v>
      </c>
      <c r="K19486" s="33" t="s">
        <v>119</v>
      </c>
      <c r="L19486" s="31" t="str">
        <f t="shared" si="1884"/>
        <v>Empat Puluh Tujuh</v>
      </c>
    </row>
    <row r="19487" spans="1:12">
      <c r="J19487" s="31">
        <v>48</v>
      </c>
      <c r="K19487" s="33" t="s">
        <v>120</v>
      </c>
      <c r="L19487" s="31" t="str">
        <f t="shared" si="1884"/>
        <v>Empat Puluh Delapan</v>
      </c>
    </row>
    <row r="19488" spans="1:12">
      <c r="J19488" s="31">
        <v>49</v>
      </c>
      <c r="K19488" s="33" t="s">
        <v>121</v>
      </c>
      <c r="L19488" s="31" t="str">
        <f t="shared" si="1884"/>
        <v>Empat Puluh Sembilan</v>
      </c>
    </row>
    <row r="19489" spans="10:12">
      <c r="J19489" s="31">
        <v>50</v>
      </c>
      <c r="K19489" s="33" t="s">
        <v>122</v>
      </c>
      <c r="L19489" s="31" t="s">
        <v>123</v>
      </c>
    </row>
    <row r="19490" spans="10:12">
      <c r="J19490" s="31">
        <v>51</v>
      </c>
      <c r="K19490" s="33" t="s">
        <v>124</v>
      </c>
      <c r="L19490" s="31" t="str">
        <f t="shared" ref="L19490:L19498" si="1885">$L$53&amp;" "&amp;L19440</f>
        <v>Lima Puluh Satu</v>
      </c>
    </row>
    <row r="19491" spans="10:12">
      <c r="J19491" s="31">
        <v>52</v>
      </c>
      <c r="K19491" s="33" t="s">
        <v>125</v>
      </c>
      <c r="L19491" s="31" t="str">
        <f t="shared" si="1885"/>
        <v>Lima Puluh Dua</v>
      </c>
    </row>
    <row r="19492" spans="10:12">
      <c r="J19492" s="31">
        <v>53</v>
      </c>
      <c r="K19492" s="33" t="s">
        <v>126</v>
      </c>
      <c r="L19492" s="31" t="str">
        <f t="shared" si="1885"/>
        <v>Lima Puluh Tiga</v>
      </c>
    </row>
    <row r="19493" spans="10:12">
      <c r="J19493" s="31">
        <v>54</v>
      </c>
      <c r="K19493" s="33" t="s">
        <v>127</v>
      </c>
      <c r="L19493" s="31" t="str">
        <f t="shared" si="1885"/>
        <v>Lima Puluh Empat</v>
      </c>
    </row>
    <row r="19494" spans="10:12">
      <c r="J19494" s="31">
        <v>55</v>
      </c>
      <c r="K19494" s="33" t="s">
        <v>128</v>
      </c>
      <c r="L19494" s="31" t="str">
        <f t="shared" si="1885"/>
        <v>Lima Puluh Lima</v>
      </c>
    </row>
    <row r="19495" spans="10:12">
      <c r="J19495" s="31">
        <v>56</v>
      </c>
      <c r="K19495" s="33" t="s">
        <v>129</v>
      </c>
      <c r="L19495" s="31" t="str">
        <f t="shared" si="1885"/>
        <v>Lima Puluh Enam</v>
      </c>
    </row>
    <row r="19496" spans="10:12">
      <c r="J19496" s="31">
        <v>57</v>
      </c>
      <c r="K19496" s="33" t="s">
        <v>130</v>
      </c>
      <c r="L19496" s="31" t="str">
        <f t="shared" si="1885"/>
        <v>Lima Puluh Tujuh</v>
      </c>
    </row>
    <row r="19497" spans="10:12">
      <c r="J19497" s="31">
        <v>58</v>
      </c>
      <c r="K19497" s="33" t="s">
        <v>131</v>
      </c>
      <c r="L19497" s="31" t="str">
        <f t="shared" si="1885"/>
        <v>Lima Puluh Delapan</v>
      </c>
    </row>
    <row r="19498" spans="10:12">
      <c r="J19498" s="31">
        <v>59</v>
      </c>
      <c r="K19498" s="33" t="s">
        <v>132</v>
      </c>
      <c r="L19498" s="31" t="str">
        <f t="shared" si="1885"/>
        <v>Lima Puluh Sembilan</v>
      </c>
    </row>
    <row r="19499" spans="10:12">
      <c r="J19499" s="31">
        <v>60</v>
      </c>
      <c r="K19499" s="33" t="s">
        <v>133</v>
      </c>
      <c r="L19499" s="31" t="s">
        <v>134</v>
      </c>
    </row>
    <row r="19500" spans="10:12">
      <c r="J19500" s="31">
        <v>61</v>
      </c>
      <c r="K19500" s="33" t="s">
        <v>135</v>
      </c>
      <c r="L19500" s="31" t="str">
        <f t="shared" ref="L19500:L19508" si="1886">$L$63&amp;" "&amp;L19440</f>
        <v>Enam Puluh Satu</v>
      </c>
    </row>
    <row r="19501" spans="10:12">
      <c r="J19501" s="31">
        <v>62</v>
      </c>
      <c r="K19501" s="33" t="s">
        <v>136</v>
      </c>
      <c r="L19501" s="31" t="str">
        <f t="shared" si="1886"/>
        <v>Enam Puluh Dua</v>
      </c>
    </row>
    <row r="19502" spans="10:12">
      <c r="J19502" s="31">
        <v>63</v>
      </c>
      <c r="K19502" s="33" t="s">
        <v>137</v>
      </c>
      <c r="L19502" s="31" t="str">
        <f t="shared" si="1886"/>
        <v>Enam Puluh Tiga</v>
      </c>
    </row>
    <row r="19503" spans="10:12">
      <c r="J19503" s="31">
        <v>64</v>
      </c>
      <c r="K19503" s="33" t="s">
        <v>138</v>
      </c>
      <c r="L19503" s="31" t="str">
        <f t="shared" si="1886"/>
        <v>Enam Puluh Empat</v>
      </c>
    </row>
    <row r="19504" spans="10:12">
      <c r="J19504" s="31">
        <v>65</v>
      </c>
      <c r="K19504" s="33" t="s">
        <v>139</v>
      </c>
      <c r="L19504" s="31" t="str">
        <f t="shared" si="1886"/>
        <v>Enam Puluh Lima</v>
      </c>
    </row>
    <row r="19505" spans="10:12">
      <c r="J19505" s="31">
        <v>66</v>
      </c>
      <c r="K19505" s="33" t="s">
        <v>140</v>
      </c>
      <c r="L19505" s="31" t="str">
        <f t="shared" si="1886"/>
        <v>Enam Puluh Enam</v>
      </c>
    </row>
    <row r="19506" spans="10:12">
      <c r="J19506" s="31">
        <v>67</v>
      </c>
      <c r="K19506" s="33" t="s">
        <v>141</v>
      </c>
      <c r="L19506" s="31" t="str">
        <f t="shared" si="1886"/>
        <v>Enam Puluh Tujuh</v>
      </c>
    </row>
    <row r="19507" spans="10:12">
      <c r="J19507" s="31">
        <v>68</v>
      </c>
      <c r="K19507" s="33" t="s">
        <v>142</v>
      </c>
      <c r="L19507" s="31" t="str">
        <f t="shared" si="1886"/>
        <v>Enam Puluh Delapan</v>
      </c>
    </row>
    <row r="19508" spans="10:12">
      <c r="J19508" s="31">
        <v>69</v>
      </c>
      <c r="K19508" s="33" t="s">
        <v>143</v>
      </c>
      <c r="L19508" s="31" t="str">
        <f t="shared" si="1886"/>
        <v>Enam Puluh Sembilan</v>
      </c>
    </row>
    <row r="19509" spans="10:12">
      <c r="J19509" s="31">
        <v>70</v>
      </c>
      <c r="K19509" s="33" t="s">
        <v>144</v>
      </c>
      <c r="L19509" s="31" t="s">
        <v>145</v>
      </c>
    </row>
    <row r="19510" spans="10:12">
      <c r="J19510" s="31">
        <v>71</v>
      </c>
      <c r="K19510" s="33" t="s">
        <v>146</v>
      </c>
      <c r="L19510" s="31" t="str">
        <f t="shared" ref="L19510:L19518" si="1887">$L$73&amp;" "&amp;L19440</f>
        <v>Tujuh Puluh Satu</v>
      </c>
    </row>
    <row r="19511" spans="10:12">
      <c r="J19511" s="31">
        <v>72</v>
      </c>
      <c r="K19511" s="33" t="s">
        <v>147</v>
      </c>
      <c r="L19511" s="31" t="str">
        <f t="shared" si="1887"/>
        <v>Tujuh Puluh Dua</v>
      </c>
    </row>
    <row r="19512" spans="10:12">
      <c r="J19512" s="31">
        <v>73</v>
      </c>
      <c r="K19512" s="33" t="s">
        <v>148</v>
      </c>
      <c r="L19512" s="31" t="str">
        <f t="shared" si="1887"/>
        <v>Tujuh Puluh Tiga</v>
      </c>
    </row>
    <row r="19513" spans="10:12">
      <c r="J19513" s="31">
        <v>74</v>
      </c>
      <c r="K19513" s="33" t="s">
        <v>149</v>
      </c>
      <c r="L19513" s="31" t="str">
        <f t="shared" si="1887"/>
        <v>Tujuh Puluh Empat</v>
      </c>
    </row>
    <row r="19514" spans="10:12">
      <c r="J19514" s="31">
        <v>75</v>
      </c>
      <c r="K19514" s="33" t="s">
        <v>150</v>
      </c>
      <c r="L19514" s="31" t="str">
        <f t="shared" si="1887"/>
        <v>Tujuh Puluh Lima</v>
      </c>
    </row>
    <row r="19515" spans="10:12">
      <c r="J19515" s="31">
        <v>76</v>
      </c>
      <c r="K19515" s="33" t="s">
        <v>151</v>
      </c>
      <c r="L19515" s="31" t="str">
        <f t="shared" si="1887"/>
        <v>Tujuh Puluh Enam</v>
      </c>
    </row>
    <row r="19516" spans="10:12">
      <c r="J19516" s="31">
        <v>77</v>
      </c>
      <c r="K19516" s="33" t="s">
        <v>152</v>
      </c>
      <c r="L19516" s="31" t="str">
        <f t="shared" si="1887"/>
        <v>Tujuh Puluh Tujuh</v>
      </c>
    </row>
    <row r="19517" spans="10:12">
      <c r="J19517" s="31">
        <v>78</v>
      </c>
      <c r="K19517" s="33" t="s">
        <v>153</v>
      </c>
      <c r="L19517" s="31" t="str">
        <f t="shared" si="1887"/>
        <v>Tujuh Puluh Delapan</v>
      </c>
    </row>
    <row r="19518" spans="10:12">
      <c r="J19518" s="31">
        <v>79</v>
      </c>
      <c r="K19518" s="33" t="s">
        <v>154</v>
      </c>
      <c r="L19518" s="31" t="str">
        <f t="shared" si="1887"/>
        <v>Tujuh Puluh Sembilan</v>
      </c>
    </row>
    <row r="19519" spans="10:12">
      <c r="J19519" s="31">
        <v>80</v>
      </c>
      <c r="K19519" s="33" t="s">
        <v>155</v>
      </c>
      <c r="L19519" s="31" t="s">
        <v>156</v>
      </c>
    </row>
    <row r="19520" spans="10:12">
      <c r="J19520" s="31">
        <v>81</v>
      </c>
      <c r="K19520" s="33" t="s">
        <v>157</v>
      </c>
      <c r="L19520" s="31" t="str">
        <f t="shared" ref="L19520:L19528" si="1888">$L$83&amp;" "&amp;L19440</f>
        <v>Delapan Puluh Satu</v>
      </c>
    </row>
    <row r="19521" spans="10:12">
      <c r="J19521" s="31">
        <v>82</v>
      </c>
      <c r="K19521" s="33" t="s">
        <v>158</v>
      </c>
      <c r="L19521" s="31" t="str">
        <f t="shared" si="1888"/>
        <v>Delapan Puluh Dua</v>
      </c>
    </row>
    <row r="19522" spans="10:12">
      <c r="J19522" s="31">
        <v>83</v>
      </c>
      <c r="K19522" s="33" t="s">
        <v>159</v>
      </c>
      <c r="L19522" s="31" t="str">
        <f t="shared" si="1888"/>
        <v>Delapan Puluh Tiga</v>
      </c>
    </row>
    <row r="19523" spans="10:12">
      <c r="J19523" s="31">
        <v>84</v>
      </c>
      <c r="K19523" s="33" t="s">
        <v>160</v>
      </c>
      <c r="L19523" s="31" t="str">
        <f t="shared" si="1888"/>
        <v>Delapan Puluh Empat</v>
      </c>
    </row>
    <row r="19524" spans="10:12">
      <c r="J19524" s="31">
        <v>85</v>
      </c>
      <c r="K19524" s="33" t="s">
        <v>161</v>
      </c>
      <c r="L19524" s="31" t="str">
        <f t="shared" si="1888"/>
        <v>Delapan Puluh Lima</v>
      </c>
    </row>
    <row r="19525" spans="10:12">
      <c r="J19525" s="31">
        <v>86</v>
      </c>
      <c r="K19525" s="33" t="s">
        <v>162</v>
      </c>
      <c r="L19525" s="31" t="str">
        <f t="shared" si="1888"/>
        <v>Delapan Puluh Enam</v>
      </c>
    </row>
    <row r="19526" spans="10:12">
      <c r="J19526" s="31">
        <v>87</v>
      </c>
      <c r="K19526" s="33" t="s">
        <v>163</v>
      </c>
      <c r="L19526" s="31" t="str">
        <f t="shared" si="1888"/>
        <v>Delapan Puluh Tujuh</v>
      </c>
    </row>
    <row r="19527" spans="10:12">
      <c r="J19527" s="31">
        <v>88</v>
      </c>
      <c r="K19527" s="33" t="s">
        <v>164</v>
      </c>
      <c r="L19527" s="31" t="str">
        <f t="shared" si="1888"/>
        <v>Delapan Puluh Delapan</v>
      </c>
    </row>
    <row r="19528" spans="10:12">
      <c r="J19528" s="31">
        <v>89</v>
      </c>
      <c r="K19528" s="33" t="s">
        <v>165</v>
      </c>
      <c r="L19528" s="31" t="str">
        <f t="shared" si="1888"/>
        <v>Delapan Puluh Sembilan</v>
      </c>
    </row>
    <row r="19529" spans="10:12">
      <c r="J19529" s="31">
        <v>90</v>
      </c>
      <c r="K19529" s="33" t="s">
        <v>166</v>
      </c>
      <c r="L19529" s="31" t="s">
        <v>167</v>
      </c>
    </row>
    <row r="19530" spans="10:12">
      <c r="J19530" s="31">
        <v>91</v>
      </c>
      <c r="K19530" s="33" t="s">
        <v>168</v>
      </c>
      <c r="L19530" s="31" t="str">
        <f t="shared" ref="L19530:L19538" si="1889">$L$93&amp;" "&amp;L19440</f>
        <v>Sembilan Puluh Satu</v>
      </c>
    </row>
    <row r="19531" spans="10:12">
      <c r="J19531" s="31">
        <v>92</v>
      </c>
      <c r="K19531" s="33" t="s">
        <v>169</v>
      </c>
      <c r="L19531" s="31" t="str">
        <f t="shared" si="1889"/>
        <v>Sembilan Puluh Dua</v>
      </c>
    </row>
    <row r="19532" spans="10:12">
      <c r="J19532" s="31">
        <v>93</v>
      </c>
      <c r="K19532" s="33" t="s">
        <v>170</v>
      </c>
      <c r="L19532" s="31" t="str">
        <f t="shared" si="1889"/>
        <v>Sembilan Puluh Tiga</v>
      </c>
    </row>
    <row r="19533" spans="10:12">
      <c r="J19533" s="31">
        <v>94</v>
      </c>
      <c r="K19533" s="33" t="s">
        <v>171</v>
      </c>
      <c r="L19533" s="31" t="str">
        <f t="shared" si="1889"/>
        <v>Sembilan Puluh Empat</v>
      </c>
    </row>
    <row r="19534" spans="10:12">
      <c r="J19534" s="31">
        <v>95</v>
      </c>
      <c r="K19534" s="33" t="s">
        <v>172</v>
      </c>
      <c r="L19534" s="31" t="str">
        <f t="shared" si="1889"/>
        <v>Sembilan Puluh Lima</v>
      </c>
    </row>
    <row r="19535" spans="10:12">
      <c r="J19535" s="31">
        <v>96</v>
      </c>
      <c r="K19535" s="33" t="s">
        <v>173</v>
      </c>
      <c r="L19535" s="31" t="str">
        <f t="shared" si="1889"/>
        <v>Sembilan Puluh Enam</v>
      </c>
    </row>
    <row r="19536" spans="10:12">
      <c r="J19536" s="31">
        <v>97</v>
      </c>
      <c r="K19536" s="33" t="s">
        <v>174</v>
      </c>
      <c r="L19536" s="31" t="str">
        <f t="shared" si="1889"/>
        <v>Sembilan Puluh Tujuh</v>
      </c>
    </row>
    <row r="19537" spans="1:12">
      <c r="J19537" s="31">
        <v>98</v>
      </c>
      <c r="K19537" s="33" t="s">
        <v>175</v>
      </c>
      <c r="L19537" s="31" t="str">
        <f t="shared" si="1889"/>
        <v>Sembilan Puluh Delapan</v>
      </c>
    </row>
    <row r="19538" spans="1:12">
      <c r="J19538" s="31">
        <v>99</v>
      </c>
      <c r="K19538" s="33" t="s">
        <v>176</v>
      </c>
      <c r="L19538" s="31" t="str">
        <f t="shared" si="1889"/>
        <v>Sembilan Puluh Sembilan</v>
      </c>
    </row>
    <row r="19540" spans="1:12">
      <c r="A19540" s="30" t="e">
        <f>#REF!</f>
        <v>#REF!</v>
      </c>
      <c r="C19540" s="31" t="s">
        <v>450</v>
      </c>
    </row>
    <row r="19541" spans="1:12">
      <c r="A19541" s="32"/>
    </row>
    <row r="19542" spans="1:12">
      <c r="J19542" s="31">
        <v>0</v>
      </c>
      <c r="K19542" s="33" t="s">
        <v>48</v>
      </c>
      <c r="L19542" s="31" t="s">
        <v>49</v>
      </c>
    </row>
    <row r="19543" spans="1:12">
      <c r="A19543" s="34"/>
      <c r="J19543" s="31">
        <v>1</v>
      </c>
      <c r="K19543" s="33" t="s">
        <v>50</v>
      </c>
      <c r="L19543" s="31" t="s">
        <v>51</v>
      </c>
    </row>
    <row r="19544" spans="1:12">
      <c r="A19544" s="255" t="e">
        <f>TRIM(D19552&amp;E19552&amp;D19553&amp;E19553&amp;D19554&amp;E19554&amp;D19555&amp;E19555&amp;D19556&amp;E19556&amp;D19557&amp;E19557&amp;E19558&amp;D19558&amp;" Only")</f>
        <v>#REF!</v>
      </c>
      <c r="B19544" s="255"/>
      <c r="C19544" s="255"/>
      <c r="D19544" s="255"/>
      <c r="E19544" s="35"/>
      <c r="F19544" s="36"/>
      <c r="J19544" s="31">
        <v>2</v>
      </c>
      <c r="K19544" s="33" t="s">
        <v>52</v>
      </c>
      <c r="L19544" s="31" t="s">
        <v>53</v>
      </c>
    </row>
    <row r="19545" spans="1:12">
      <c r="A19545" s="170"/>
      <c r="B19545" s="170"/>
      <c r="C19545" s="170"/>
      <c r="D19545" s="170"/>
      <c r="E19545" s="35"/>
      <c r="F19545" s="36"/>
      <c r="J19545" s="31">
        <v>3</v>
      </c>
      <c r="K19545" s="33" t="s">
        <v>54</v>
      </c>
      <c r="L19545" s="31" t="s">
        <v>55</v>
      </c>
    </row>
    <row r="19546" spans="1:12">
      <c r="A19546" s="170"/>
      <c r="B19546" s="170"/>
      <c r="C19546" s="170"/>
      <c r="D19546" s="170"/>
      <c r="J19546" s="31">
        <v>4</v>
      </c>
      <c r="K19546" s="33" t="s">
        <v>56</v>
      </c>
      <c r="L19546" s="31" t="s">
        <v>57</v>
      </c>
    </row>
    <row r="19547" spans="1:12">
      <c r="A19547" s="255" t="e">
        <f>TRIM(D19562&amp;E19562&amp;D19563&amp;E19563&amp;D19564&amp;E19564&amp;D19565&amp;E19565&amp;D19566&amp;E19566&amp;D19567&amp;E19567&amp;D19568&amp;E19568&amp;" Rupiah")</f>
        <v>#REF!</v>
      </c>
      <c r="B19547" s="255"/>
      <c r="C19547" s="255"/>
      <c r="D19547" s="255"/>
      <c r="E19547" s="35"/>
      <c r="F19547" s="36"/>
      <c r="J19547" s="31">
        <v>5</v>
      </c>
      <c r="K19547" s="33" t="s">
        <v>58</v>
      </c>
      <c r="L19547" s="31" t="s">
        <v>59</v>
      </c>
    </row>
    <row r="19548" spans="1:12">
      <c r="A19548" s="35"/>
      <c r="B19548" s="35"/>
      <c r="C19548" s="35"/>
      <c r="D19548" s="35"/>
      <c r="E19548" s="35"/>
      <c r="F19548" s="36"/>
      <c r="J19548" s="31">
        <v>6</v>
      </c>
      <c r="K19548" s="33" t="s">
        <v>60</v>
      </c>
      <c r="L19548" s="31" t="s">
        <v>61</v>
      </c>
    </row>
    <row r="19549" spans="1:12">
      <c r="J19549" s="31">
        <v>7</v>
      </c>
      <c r="K19549" s="33" t="s">
        <v>62</v>
      </c>
      <c r="L19549" s="31" t="s">
        <v>63</v>
      </c>
    </row>
    <row r="19550" spans="1:12">
      <c r="J19550" s="31">
        <v>8</v>
      </c>
      <c r="K19550" s="33" t="s">
        <v>64</v>
      </c>
      <c r="L19550" s="31" t="s">
        <v>65</v>
      </c>
    </row>
    <row r="19551" spans="1:12">
      <c r="A19551" s="38" t="s">
        <v>66</v>
      </c>
      <c r="J19551" s="31">
        <v>9</v>
      </c>
      <c r="K19551" s="33" t="s">
        <v>67</v>
      </c>
      <c r="L19551" s="31" t="s">
        <v>68</v>
      </c>
    </row>
    <row r="19552" spans="1:12">
      <c r="A19552" s="31" t="s">
        <v>69</v>
      </c>
      <c r="B19552" s="39" t="e">
        <f>TRUNC(A19540/100000000)</f>
        <v>#REF!</v>
      </c>
      <c r="C19552" s="31" t="e">
        <f>B19552*100000000</f>
        <v>#REF!</v>
      </c>
      <c r="D19552" s="31" t="e">
        <f t="shared" ref="D19552:D19558" si="1890">IF(B19552&lt;1,"",VLOOKUP(B19552,$J$3:$K$102,2))</f>
        <v>#REF!</v>
      </c>
      <c r="E19552" s="31" t="e">
        <f>IF(B19552&lt;1,"",IF(B19552&gt;1," Hundreds "," Hundred "))</f>
        <v>#REF!</v>
      </c>
      <c r="J19552" s="31">
        <v>10</v>
      </c>
      <c r="K19552" s="33" t="s">
        <v>70</v>
      </c>
      <c r="L19552" s="31" t="s">
        <v>71</v>
      </c>
    </row>
    <row r="19553" spans="1:12">
      <c r="A19553" s="31" t="s">
        <v>72</v>
      </c>
      <c r="B19553" s="39" t="e">
        <f>TRUNC((A19540-C19552)/1000000)</f>
        <v>#REF!</v>
      </c>
      <c r="C19553" s="31" t="e">
        <f>B19553*1000000</f>
        <v>#REF!</v>
      </c>
      <c r="D19553" s="31" t="e">
        <f t="shared" si="1890"/>
        <v>#REF!</v>
      </c>
      <c r="E19553" s="31" t="e">
        <f>IF(B19552+B19553=0,"",IF(B19553=1," Million "," Millions "))</f>
        <v>#REF!</v>
      </c>
      <c r="J19553" s="31">
        <v>11</v>
      </c>
      <c r="K19553" s="33" t="s">
        <v>73</v>
      </c>
      <c r="L19553" s="31" t="s">
        <v>74</v>
      </c>
    </row>
    <row r="19554" spans="1:12">
      <c r="A19554" s="31" t="s">
        <v>75</v>
      </c>
      <c r="B19554" s="39" t="e">
        <f>TRUNC((A19540-SUM(C19552:C19553))/100000)</f>
        <v>#REF!</v>
      </c>
      <c r="C19554" s="31" t="e">
        <f>B19554*100000</f>
        <v>#REF!</v>
      </c>
      <c r="D19554" s="31" t="e">
        <f t="shared" si="1890"/>
        <v>#REF!</v>
      </c>
      <c r="E19554" s="31" t="e">
        <f>IF(B19554&lt;1,"",IF(B19554&gt;1," Hundreds "," Hundred "))</f>
        <v>#REF!</v>
      </c>
      <c r="J19554" s="31">
        <v>12</v>
      </c>
      <c r="K19554" s="33" t="s">
        <v>76</v>
      </c>
      <c r="L19554" s="31" t="str">
        <f t="shared" ref="L19554:L19561" si="1891">L19544&amp;" Belas"</f>
        <v>Dua Belas</v>
      </c>
    </row>
    <row r="19555" spans="1:12">
      <c r="A19555" s="33" t="s">
        <v>77</v>
      </c>
      <c r="B19555" s="40" t="e">
        <f>TRUNC((A19540-SUM(C19552:C19554))/1000)</f>
        <v>#REF!</v>
      </c>
      <c r="C19555" s="31" t="e">
        <f>B19555*1000</f>
        <v>#REF!</v>
      </c>
      <c r="D19555" s="31" t="e">
        <f t="shared" si="1890"/>
        <v>#REF!</v>
      </c>
      <c r="E19555" s="31" t="e">
        <f>IF(B19554+B19555=0,"",IF(B19555=1," Thousand "," Thousands "))</f>
        <v>#REF!</v>
      </c>
      <c r="J19555" s="31">
        <v>13</v>
      </c>
      <c r="K19555" s="33" t="s">
        <v>78</v>
      </c>
      <c r="L19555" s="31" t="str">
        <f t="shared" si="1891"/>
        <v>Tiga Belas</v>
      </c>
    </row>
    <row r="19556" spans="1:12">
      <c r="A19556" s="33" t="s">
        <v>79</v>
      </c>
      <c r="B19556" s="40" t="e">
        <f>TRUNC((A19540-SUM(C19552:C19555))/100)</f>
        <v>#REF!</v>
      </c>
      <c r="C19556" s="31" t="e">
        <f>B19556*100</f>
        <v>#REF!</v>
      </c>
      <c r="D19556" s="31" t="e">
        <f t="shared" si="1890"/>
        <v>#REF!</v>
      </c>
      <c r="E19556" s="31" t="e">
        <f>IF(B19556&lt;1,"",IF(B19556&gt;1," Hundreds "," Hundred "))</f>
        <v>#REF!</v>
      </c>
      <c r="J19556" s="31">
        <v>14</v>
      </c>
      <c r="K19556" s="33" t="s">
        <v>80</v>
      </c>
      <c r="L19556" s="31" t="str">
        <f t="shared" si="1891"/>
        <v>Empat Belas</v>
      </c>
    </row>
    <row r="19557" spans="1:12">
      <c r="A19557" s="33" t="s">
        <v>81</v>
      </c>
      <c r="B19557" s="41" t="e">
        <f>TRUNC((A19540-SUM(C19552:C19556)))</f>
        <v>#REF!</v>
      </c>
      <c r="C19557" s="42" t="e">
        <f>B19557</f>
        <v>#REF!</v>
      </c>
      <c r="D19557" s="31" t="e">
        <f t="shared" si="1890"/>
        <v>#REF!</v>
      </c>
      <c r="E19557" s="31" t="e">
        <f>IF(SUM(C19552:C19557)&lt;1,"",IF(B19558&lt;1,""," And "))</f>
        <v>#REF!</v>
      </c>
      <c r="J19557" s="31">
        <v>15</v>
      </c>
      <c r="K19557" s="33" t="s">
        <v>82</v>
      </c>
      <c r="L19557" s="31" t="str">
        <f t="shared" si="1891"/>
        <v>Lima Belas</v>
      </c>
    </row>
    <row r="19558" spans="1:12">
      <c r="A19558" s="33" t="s">
        <v>83</v>
      </c>
      <c r="B19558" s="40" t="e">
        <f>ROUND(A19540-SUM(C19552:C19557),2)*100</f>
        <v>#REF!</v>
      </c>
      <c r="D19558" s="43" t="e">
        <f t="shared" si="1890"/>
        <v>#REF!</v>
      </c>
      <c r="E19558" s="31" t="e">
        <f>IF(B19558&lt;1,"",IF(B19558=1," Cent "," Cents "))</f>
        <v>#REF!</v>
      </c>
      <c r="J19558" s="31">
        <v>16</v>
      </c>
      <c r="K19558" s="33" t="s">
        <v>84</v>
      </c>
      <c r="L19558" s="31" t="str">
        <f t="shared" si="1891"/>
        <v>Enam Belas</v>
      </c>
    </row>
    <row r="19559" spans="1:12">
      <c r="J19559" s="31">
        <v>17</v>
      </c>
      <c r="K19559" s="33" t="s">
        <v>85</v>
      </c>
      <c r="L19559" s="31" t="str">
        <f t="shared" si="1891"/>
        <v>Tujuh Belas</v>
      </c>
    </row>
    <row r="19560" spans="1:12">
      <c r="A19560" s="44"/>
      <c r="J19560" s="31">
        <v>18</v>
      </c>
      <c r="K19560" s="33" t="s">
        <v>86</v>
      </c>
      <c r="L19560" s="31" t="str">
        <f t="shared" si="1891"/>
        <v>Delapan Belas</v>
      </c>
    </row>
    <row r="19561" spans="1:12">
      <c r="A19561" s="38" t="s">
        <v>87</v>
      </c>
      <c r="J19561" s="31">
        <v>19</v>
      </c>
      <c r="K19561" s="33" t="s">
        <v>88</v>
      </c>
      <c r="L19561" s="31" t="str">
        <f t="shared" si="1891"/>
        <v>Sembilan Belas</v>
      </c>
    </row>
    <row r="19562" spans="1:12">
      <c r="A19562" s="31" t="s">
        <v>69</v>
      </c>
      <c r="B19562" s="39" t="e">
        <f>TRUNC(A19540/100000000)</f>
        <v>#REF!</v>
      </c>
      <c r="C19562" s="31" t="e">
        <f>B19562*100000000</f>
        <v>#REF!</v>
      </c>
      <c r="D19562" s="31" t="e">
        <f>IF(B19562&lt;1,"",IF(B19562=1,"",VLOOKUP(B19562,$J$3:$L$102,3)))</f>
        <v>#REF!</v>
      </c>
      <c r="E19562" s="31" t="e">
        <f>IF(B19562&lt;1,"",IF(B19562=1,"Seratus "," Ratus "))</f>
        <v>#REF!</v>
      </c>
      <c r="J19562" s="31">
        <v>20</v>
      </c>
      <c r="K19562" s="33" t="s">
        <v>89</v>
      </c>
      <c r="L19562" s="31" t="s">
        <v>90</v>
      </c>
    </row>
    <row r="19563" spans="1:12">
      <c r="A19563" s="31" t="s">
        <v>72</v>
      </c>
      <c r="B19563" s="39" t="e">
        <f>TRUNC((A19540-C19562)/1000000)</f>
        <v>#REF!</v>
      </c>
      <c r="C19563" s="31" t="e">
        <f>B19563*1000000</f>
        <v>#REF!</v>
      </c>
      <c r="D19563" s="31" t="e">
        <f>IF(B19563&lt;1,"",VLOOKUP(B19563,$J$3:$L$102,3))</f>
        <v>#REF!</v>
      </c>
      <c r="E19563" s="31" t="e">
        <f>IF(B19562+B19563=0,""," Juta ")</f>
        <v>#REF!</v>
      </c>
      <c r="J19563" s="31">
        <v>21</v>
      </c>
      <c r="K19563" s="33" t="s">
        <v>91</v>
      </c>
      <c r="L19563" s="31" t="str">
        <f t="shared" ref="L19563:L19571" si="1892">$L$23&amp;" "&amp;L19543</f>
        <v>Dua Puluh Satu</v>
      </c>
    </row>
    <row r="19564" spans="1:12">
      <c r="A19564" s="31" t="s">
        <v>75</v>
      </c>
      <c r="B19564" s="39" t="e">
        <f>TRUNC((A19540-SUM(C19562:C19563))/100000)</f>
        <v>#REF!</v>
      </c>
      <c r="C19564" s="31" t="e">
        <f>B19564*100000</f>
        <v>#REF!</v>
      </c>
      <c r="D19564" s="31" t="e">
        <f>IF(B19564&lt;1,"",IF(B19564=1,"",VLOOKUP(B19564,$J$3:$L$102,3)))</f>
        <v>#REF!</v>
      </c>
      <c r="E19564" s="31" t="e">
        <f>IF(B19564&lt;1,"",IF(B19564=1," Seratus "," Ratus "))</f>
        <v>#REF!</v>
      </c>
      <c r="J19564" s="31">
        <v>22</v>
      </c>
      <c r="K19564" s="33" t="s">
        <v>92</v>
      </c>
      <c r="L19564" s="31" t="str">
        <f t="shared" si="1892"/>
        <v>Dua Puluh Dua</v>
      </c>
    </row>
    <row r="19565" spans="1:12">
      <c r="A19565" s="33" t="s">
        <v>77</v>
      </c>
      <c r="B19565" s="40" t="e">
        <f>TRUNC((A19540-SUM(C19562:C19564))/1000)</f>
        <v>#REF!</v>
      </c>
      <c r="C19565" s="31" t="e">
        <f>B19565*1000</f>
        <v>#REF!</v>
      </c>
      <c r="D19565" s="31" t="e">
        <f>IF(B19565&lt;1,"",IF(B19565=1,"",VLOOKUP(B19565,$J$3:$L$102,3)))</f>
        <v>#REF!</v>
      </c>
      <c r="E19565" s="31" t="e">
        <f>IF(B19564+B19565&lt;1,"",IF(B19565=1," Seribu "," Ribu "))</f>
        <v>#REF!</v>
      </c>
      <c r="J19565" s="31">
        <v>23</v>
      </c>
      <c r="K19565" s="33" t="s">
        <v>93</v>
      </c>
      <c r="L19565" s="31" t="str">
        <f t="shared" si="1892"/>
        <v>Dua Puluh Tiga</v>
      </c>
    </row>
    <row r="19566" spans="1:12">
      <c r="A19566" s="33" t="s">
        <v>79</v>
      </c>
      <c r="B19566" s="40" t="e">
        <f>TRUNC((A19540-SUM(C19562:C19565))/100)</f>
        <v>#REF!</v>
      </c>
      <c r="C19566" s="31" t="e">
        <f>B19566*100</f>
        <v>#REF!</v>
      </c>
      <c r="D19566" s="31" t="e">
        <f>IF(B19566&lt;1,"",IF(B19566=1,"",VLOOKUP(B19566,$J$3:$L$102,3)))</f>
        <v>#REF!</v>
      </c>
      <c r="E19566" s="31" t="e">
        <f>IF(B19566&lt;1,"",IF(B19566=1," Seratus "," Ratus "))</f>
        <v>#REF!</v>
      </c>
      <c r="J19566" s="31">
        <v>24</v>
      </c>
      <c r="K19566" s="33" t="s">
        <v>94</v>
      </c>
      <c r="L19566" s="31" t="str">
        <f t="shared" si="1892"/>
        <v>Dua Puluh Empat</v>
      </c>
    </row>
    <row r="19567" spans="1:12">
      <c r="A19567" s="33" t="s">
        <v>81</v>
      </c>
      <c r="B19567" s="41" t="e">
        <f>TRUNC((A19540-SUM(C19562:C19566)))</f>
        <v>#REF!</v>
      </c>
      <c r="C19567" s="42" t="e">
        <f>B19567</f>
        <v>#REF!</v>
      </c>
      <c r="D19567" s="31" t="e">
        <f>IF(B19567&lt;1,"",VLOOKUP(B19567,$J$3:$L$102,3))</f>
        <v>#REF!</v>
      </c>
      <c r="E19567" s="31" t="e">
        <f>IF(SUM(C19562:C19567)&lt;1,"",IF(B19568&lt;1,""," Dan "))</f>
        <v>#REF!</v>
      </c>
      <c r="J19567" s="31">
        <v>25</v>
      </c>
      <c r="K19567" s="33" t="s">
        <v>95</v>
      </c>
      <c r="L19567" s="31" t="str">
        <f t="shared" si="1892"/>
        <v>Dua Puluh Lima</v>
      </c>
    </row>
    <row r="19568" spans="1:12">
      <c r="A19568" s="33" t="s">
        <v>83</v>
      </c>
      <c r="B19568" s="40" t="e">
        <f>ROUND(A19540-SUM(C19562:C19567),2)*100</f>
        <v>#REF!</v>
      </c>
      <c r="D19568" s="31" t="e">
        <f>IF(B19568&lt;1,"",VLOOKUP(B19568,$J$3:$L$102,3))</f>
        <v>#REF!</v>
      </c>
      <c r="E19568" s="31" t="e">
        <f>IF(B19568&lt;1,""," Sen ")</f>
        <v>#REF!</v>
      </c>
      <c r="J19568" s="31">
        <v>26</v>
      </c>
      <c r="K19568" s="33" t="s">
        <v>96</v>
      </c>
      <c r="L19568" s="31" t="str">
        <f t="shared" si="1892"/>
        <v>Dua Puluh Enam</v>
      </c>
    </row>
    <row r="19569" spans="1:12">
      <c r="J19569" s="31">
        <v>27</v>
      </c>
      <c r="K19569" s="33" t="s">
        <v>97</v>
      </c>
      <c r="L19569" s="31" t="str">
        <f t="shared" si="1892"/>
        <v>Dua Puluh Tujuh</v>
      </c>
    </row>
    <row r="19570" spans="1:12">
      <c r="J19570" s="31">
        <v>28</v>
      </c>
      <c r="K19570" s="33" t="s">
        <v>98</v>
      </c>
      <c r="L19570" s="31" t="str">
        <f t="shared" si="1892"/>
        <v>Dua Puluh Delapan</v>
      </c>
    </row>
    <row r="19571" spans="1:12">
      <c r="J19571" s="31">
        <v>29</v>
      </c>
      <c r="K19571" s="33" t="s">
        <v>99</v>
      </c>
      <c r="L19571" s="31" t="str">
        <f t="shared" si="1892"/>
        <v>Dua Puluh Sembilan</v>
      </c>
    </row>
    <row r="19572" spans="1:12">
      <c r="J19572" s="31">
        <v>30</v>
      </c>
      <c r="K19572" s="33" t="s">
        <v>100</v>
      </c>
      <c r="L19572" s="31" t="s">
        <v>101</v>
      </c>
    </row>
    <row r="19573" spans="1:12">
      <c r="J19573" s="31">
        <v>31</v>
      </c>
      <c r="K19573" s="33" t="s">
        <v>102</v>
      </c>
      <c r="L19573" s="31" t="str">
        <f t="shared" ref="L19573:L19581" si="1893">$L$33&amp;" "&amp;L19543</f>
        <v>Tiga Puluh Satu</v>
      </c>
    </row>
    <row r="19574" spans="1:12">
      <c r="J19574" s="31">
        <v>32</v>
      </c>
      <c r="K19574" s="33" t="s">
        <v>103</v>
      </c>
      <c r="L19574" s="31" t="str">
        <f t="shared" si="1893"/>
        <v>Tiga Puluh Dua</v>
      </c>
    </row>
    <row r="19575" spans="1:12">
      <c r="J19575" s="31">
        <v>33</v>
      </c>
      <c r="K19575" s="33" t="s">
        <v>104</v>
      </c>
      <c r="L19575" s="31" t="str">
        <f t="shared" si="1893"/>
        <v>Tiga Puluh Tiga</v>
      </c>
    </row>
    <row r="19576" spans="1:12">
      <c r="J19576" s="31">
        <v>34</v>
      </c>
      <c r="K19576" s="33" t="s">
        <v>105</v>
      </c>
      <c r="L19576" s="31" t="str">
        <f t="shared" si="1893"/>
        <v>Tiga Puluh Empat</v>
      </c>
    </row>
    <row r="19577" spans="1:12">
      <c r="J19577" s="31">
        <v>35</v>
      </c>
      <c r="K19577" s="33" t="s">
        <v>106</v>
      </c>
      <c r="L19577" s="31" t="str">
        <f t="shared" si="1893"/>
        <v>Tiga Puluh Lima</v>
      </c>
    </row>
    <row r="19578" spans="1:12">
      <c r="J19578" s="31">
        <v>36</v>
      </c>
      <c r="K19578" s="33" t="s">
        <v>107</v>
      </c>
      <c r="L19578" s="31" t="str">
        <f t="shared" si="1893"/>
        <v>Tiga Puluh Enam</v>
      </c>
    </row>
    <row r="19579" spans="1:12">
      <c r="J19579" s="31">
        <v>37</v>
      </c>
      <c r="K19579" s="33" t="s">
        <v>108</v>
      </c>
      <c r="L19579" s="31" t="str">
        <f t="shared" si="1893"/>
        <v>Tiga Puluh Tujuh</v>
      </c>
    </row>
    <row r="19580" spans="1:12">
      <c r="J19580" s="31">
        <v>38</v>
      </c>
      <c r="K19580" s="33" t="s">
        <v>109</v>
      </c>
      <c r="L19580" s="31" t="str">
        <f t="shared" si="1893"/>
        <v>Tiga Puluh Delapan</v>
      </c>
    </row>
    <row r="19581" spans="1:12">
      <c r="J19581" s="31">
        <v>39</v>
      </c>
      <c r="K19581" s="33" t="s">
        <v>110</v>
      </c>
      <c r="L19581" s="31" t="str">
        <f t="shared" si="1893"/>
        <v>Tiga Puluh Sembilan</v>
      </c>
    </row>
    <row r="19582" spans="1:12">
      <c r="B19582" s="35"/>
      <c r="C19582" s="35"/>
      <c r="D19582" s="35"/>
      <c r="J19582" s="31">
        <v>40</v>
      </c>
      <c r="K19582" s="33" t="s">
        <v>111</v>
      </c>
      <c r="L19582" s="31" t="s">
        <v>112</v>
      </c>
    </row>
    <row r="19583" spans="1:12">
      <c r="A19583" s="35"/>
      <c r="B19583" s="35"/>
      <c r="C19583" s="35"/>
      <c r="D19583" s="35"/>
      <c r="J19583" s="31">
        <v>41</v>
      </c>
      <c r="K19583" s="33" t="s">
        <v>113</v>
      </c>
      <c r="L19583" s="31" t="str">
        <f t="shared" ref="L19583:L19591" si="1894">$L$43&amp;" "&amp;L19543</f>
        <v>Empat Puluh Satu</v>
      </c>
    </row>
    <row r="19584" spans="1:12">
      <c r="J19584" s="31">
        <v>42</v>
      </c>
      <c r="K19584" s="33" t="s">
        <v>114</v>
      </c>
      <c r="L19584" s="31" t="str">
        <f t="shared" si="1894"/>
        <v>Empat Puluh Dua</v>
      </c>
    </row>
    <row r="19585" spans="1:12">
      <c r="A19585" s="38"/>
      <c r="J19585" s="31">
        <v>43</v>
      </c>
      <c r="K19585" s="33" t="s">
        <v>115</v>
      </c>
      <c r="L19585" s="31" t="str">
        <f t="shared" si="1894"/>
        <v>Empat Puluh Tiga</v>
      </c>
    </row>
    <row r="19586" spans="1:12">
      <c r="J19586" s="31">
        <v>44</v>
      </c>
      <c r="K19586" s="33" t="s">
        <v>116</v>
      </c>
      <c r="L19586" s="31" t="str">
        <f t="shared" si="1894"/>
        <v>Empat Puluh Empat</v>
      </c>
    </row>
    <row r="19587" spans="1:12">
      <c r="J19587" s="31">
        <v>45</v>
      </c>
      <c r="K19587" s="33" t="s">
        <v>117</v>
      </c>
      <c r="L19587" s="31" t="str">
        <f t="shared" si="1894"/>
        <v>Empat Puluh Lima</v>
      </c>
    </row>
    <row r="19588" spans="1:12">
      <c r="J19588" s="31">
        <v>46</v>
      </c>
      <c r="K19588" s="33" t="s">
        <v>118</v>
      </c>
      <c r="L19588" s="31" t="str">
        <f t="shared" si="1894"/>
        <v>Empat Puluh Enam</v>
      </c>
    </row>
    <row r="19589" spans="1:12">
      <c r="J19589" s="31">
        <v>47</v>
      </c>
      <c r="K19589" s="33" t="s">
        <v>119</v>
      </c>
      <c r="L19589" s="31" t="str">
        <f t="shared" si="1894"/>
        <v>Empat Puluh Tujuh</v>
      </c>
    </row>
    <row r="19590" spans="1:12">
      <c r="J19590" s="31">
        <v>48</v>
      </c>
      <c r="K19590" s="33" t="s">
        <v>120</v>
      </c>
      <c r="L19590" s="31" t="str">
        <f t="shared" si="1894"/>
        <v>Empat Puluh Delapan</v>
      </c>
    </row>
    <row r="19591" spans="1:12">
      <c r="J19591" s="31">
        <v>49</v>
      </c>
      <c r="K19591" s="33" t="s">
        <v>121</v>
      </c>
      <c r="L19591" s="31" t="str">
        <f t="shared" si="1894"/>
        <v>Empat Puluh Sembilan</v>
      </c>
    </row>
    <row r="19592" spans="1:12">
      <c r="J19592" s="31">
        <v>50</v>
      </c>
      <c r="K19592" s="33" t="s">
        <v>122</v>
      </c>
      <c r="L19592" s="31" t="s">
        <v>123</v>
      </c>
    </row>
    <row r="19593" spans="1:12">
      <c r="J19593" s="31">
        <v>51</v>
      </c>
      <c r="K19593" s="33" t="s">
        <v>124</v>
      </c>
      <c r="L19593" s="31" t="str">
        <f t="shared" ref="L19593:L19601" si="1895">$L$53&amp;" "&amp;L19543</f>
        <v>Lima Puluh Satu</v>
      </c>
    </row>
    <row r="19594" spans="1:12">
      <c r="J19594" s="31">
        <v>52</v>
      </c>
      <c r="K19594" s="33" t="s">
        <v>125</v>
      </c>
      <c r="L19594" s="31" t="str">
        <f t="shared" si="1895"/>
        <v>Lima Puluh Dua</v>
      </c>
    </row>
    <row r="19595" spans="1:12">
      <c r="J19595" s="31">
        <v>53</v>
      </c>
      <c r="K19595" s="33" t="s">
        <v>126</v>
      </c>
      <c r="L19595" s="31" t="str">
        <f t="shared" si="1895"/>
        <v>Lima Puluh Tiga</v>
      </c>
    </row>
    <row r="19596" spans="1:12">
      <c r="J19596" s="31">
        <v>54</v>
      </c>
      <c r="K19596" s="33" t="s">
        <v>127</v>
      </c>
      <c r="L19596" s="31" t="str">
        <f t="shared" si="1895"/>
        <v>Lima Puluh Empat</v>
      </c>
    </row>
    <row r="19597" spans="1:12">
      <c r="J19597" s="31">
        <v>55</v>
      </c>
      <c r="K19597" s="33" t="s">
        <v>128</v>
      </c>
      <c r="L19597" s="31" t="str">
        <f t="shared" si="1895"/>
        <v>Lima Puluh Lima</v>
      </c>
    </row>
    <row r="19598" spans="1:12">
      <c r="J19598" s="31">
        <v>56</v>
      </c>
      <c r="K19598" s="33" t="s">
        <v>129</v>
      </c>
      <c r="L19598" s="31" t="str">
        <f t="shared" si="1895"/>
        <v>Lima Puluh Enam</v>
      </c>
    </row>
    <row r="19599" spans="1:12">
      <c r="J19599" s="31">
        <v>57</v>
      </c>
      <c r="K19599" s="33" t="s">
        <v>130</v>
      </c>
      <c r="L19599" s="31" t="str">
        <f t="shared" si="1895"/>
        <v>Lima Puluh Tujuh</v>
      </c>
    </row>
    <row r="19600" spans="1:12">
      <c r="J19600" s="31">
        <v>58</v>
      </c>
      <c r="K19600" s="33" t="s">
        <v>131</v>
      </c>
      <c r="L19600" s="31" t="str">
        <f t="shared" si="1895"/>
        <v>Lima Puluh Delapan</v>
      </c>
    </row>
    <row r="19601" spans="10:12">
      <c r="J19601" s="31">
        <v>59</v>
      </c>
      <c r="K19601" s="33" t="s">
        <v>132</v>
      </c>
      <c r="L19601" s="31" t="str">
        <f t="shared" si="1895"/>
        <v>Lima Puluh Sembilan</v>
      </c>
    </row>
    <row r="19602" spans="10:12">
      <c r="J19602" s="31">
        <v>60</v>
      </c>
      <c r="K19602" s="33" t="s">
        <v>133</v>
      </c>
      <c r="L19602" s="31" t="s">
        <v>134</v>
      </c>
    </row>
    <row r="19603" spans="10:12">
      <c r="J19603" s="31">
        <v>61</v>
      </c>
      <c r="K19603" s="33" t="s">
        <v>135</v>
      </c>
      <c r="L19603" s="31" t="str">
        <f t="shared" ref="L19603:L19611" si="1896">$L$63&amp;" "&amp;L19543</f>
        <v>Enam Puluh Satu</v>
      </c>
    </row>
    <row r="19604" spans="10:12">
      <c r="J19604" s="31">
        <v>62</v>
      </c>
      <c r="K19604" s="33" t="s">
        <v>136</v>
      </c>
      <c r="L19604" s="31" t="str">
        <f t="shared" si="1896"/>
        <v>Enam Puluh Dua</v>
      </c>
    </row>
    <row r="19605" spans="10:12">
      <c r="J19605" s="31">
        <v>63</v>
      </c>
      <c r="K19605" s="33" t="s">
        <v>137</v>
      </c>
      <c r="L19605" s="31" t="str">
        <f t="shared" si="1896"/>
        <v>Enam Puluh Tiga</v>
      </c>
    </row>
    <row r="19606" spans="10:12">
      <c r="J19606" s="31">
        <v>64</v>
      </c>
      <c r="K19606" s="33" t="s">
        <v>138</v>
      </c>
      <c r="L19606" s="31" t="str">
        <f t="shared" si="1896"/>
        <v>Enam Puluh Empat</v>
      </c>
    </row>
    <row r="19607" spans="10:12">
      <c r="J19607" s="31">
        <v>65</v>
      </c>
      <c r="K19607" s="33" t="s">
        <v>139</v>
      </c>
      <c r="L19607" s="31" t="str">
        <f t="shared" si="1896"/>
        <v>Enam Puluh Lima</v>
      </c>
    </row>
    <row r="19608" spans="10:12">
      <c r="J19608" s="31">
        <v>66</v>
      </c>
      <c r="K19608" s="33" t="s">
        <v>140</v>
      </c>
      <c r="L19608" s="31" t="str">
        <f t="shared" si="1896"/>
        <v>Enam Puluh Enam</v>
      </c>
    </row>
    <row r="19609" spans="10:12">
      <c r="J19609" s="31">
        <v>67</v>
      </c>
      <c r="K19609" s="33" t="s">
        <v>141</v>
      </c>
      <c r="L19609" s="31" t="str">
        <f t="shared" si="1896"/>
        <v>Enam Puluh Tujuh</v>
      </c>
    </row>
    <row r="19610" spans="10:12">
      <c r="J19610" s="31">
        <v>68</v>
      </c>
      <c r="K19610" s="33" t="s">
        <v>142</v>
      </c>
      <c r="L19610" s="31" t="str">
        <f t="shared" si="1896"/>
        <v>Enam Puluh Delapan</v>
      </c>
    </row>
    <row r="19611" spans="10:12">
      <c r="J19611" s="31">
        <v>69</v>
      </c>
      <c r="K19611" s="33" t="s">
        <v>143</v>
      </c>
      <c r="L19611" s="31" t="str">
        <f t="shared" si="1896"/>
        <v>Enam Puluh Sembilan</v>
      </c>
    </row>
    <row r="19612" spans="10:12">
      <c r="J19612" s="31">
        <v>70</v>
      </c>
      <c r="K19612" s="33" t="s">
        <v>144</v>
      </c>
      <c r="L19612" s="31" t="s">
        <v>145</v>
      </c>
    </row>
    <row r="19613" spans="10:12">
      <c r="J19613" s="31">
        <v>71</v>
      </c>
      <c r="K19613" s="33" t="s">
        <v>146</v>
      </c>
      <c r="L19613" s="31" t="str">
        <f t="shared" ref="L19613:L19621" si="1897">$L$73&amp;" "&amp;L19543</f>
        <v>Tujuh Puluh Satu</v>
      </c>
    </row>
    <row r="19614" spans="10:12">
      <c r="J19614" s="31">
        <v>72</v>
      </c>
      <c r="K19614" s="33" t="s">
        <v>147</v>
      </c>
      <c r="L19614" s="31" t="str">
        <f t="shared" si="1897"/>
        <v>Tujuh Puluh Dua</v>
      </c>
    </row>
    <row r="19615" spans="10:12">
      <c r="J19615" s="31">
        <v>73</v>
      </c>
      <c r="K19615" s="33" t="s">
        <v>148</v>
      </c>
      <c r="L19615" s="31" t="str">
        <f t="shared" si="1897"/>
        <v>Tujuh Puluh Tiga</v>
      </c>
    </row>
    <row r="19616" spans="10:12">
      <c r="J19616" s="31">
        <v>74</v>
      </c>
      <c r="K19616" s="33" t="s">
        <v>149</v>
      </c>
      <c r="L19616" s="31" t="str">
        <f t="shared" si="1897"/>
        <v>Tujuh Puluh Empat</v>
      </c>
    </row>
    <row r="19617" spans="10:12">
      <c r="J19617" s="31">
        <v>75</v>
      </c>
      <c r="K19617" s="33" t="s">
        <v>150</v>
      </c>
      <c r="L19617" s="31" t="str">
        <f t="shared" si="1897"/>
        <v>Tujuh Puluh Lima</v>
      </c>
    </row>
    <row r="19618" spans="10:12">
      <c r="J19618" s="31">
        <v>76</v>
      </c>
      <c r="K19618" s="33" t="s">
        <v>151</v>
      </c>
      <c r="L19618" s="31" t="str">
        <f t="shared" si="1897"/>
        <v>Tujuh Puluh Enam</v>
      </c>
    </row>
    <row r="19619" spans="10:12">
      <c r="J19619" s="31">
        <v>77</v>
      </c>
      <c r="K19619" s="33" t="s">
        <v>152</v>
      </c>
      <c r="L19619" s="31" t="str">
        <f t="shared" si="1897"/>
        <v>Tujuh Puluh Tujuh</v>
      </c>
    </row>
    <row r="19620" spans="10:12">
      <c r="J19620" s="31">
        <v>78</v>
      </c>
      <c r="K19620" s="33" t="s">
        <v>153</v>
      </c>
      <c r="L19620" s="31" t="str">
        <f t="shared" si="1897"/>
        <v>Tujuh Puluh Delapan</v>
      </c>
    </row>
    <row r="19621" spans="10:12">
      <c r="J19621" s="31">
        <v>79</v>
      </c>
      <c r="K19621" s="33" t="s">
        <v>154</v>
      </c>
      <c r="L19621" s="31" t="str">
        <f t="shared" si="1897"/>
        <v>Tujuh Puluh Sembilan</v>
      </c>
    </row>
    <row r="19622" spans="10:12">
      <c r="J19622" s="31">
        <v>80</v>
      </c>
      <c r="K19622" s="33" t="s">
        <v>155</v>
      </c>
      <c r="L19622" s="31" t="s">
        <v>156</v>
      </c>
    </row>
    <row r="19623" spans="10:12">
      <c r="J19623" s="31">
        <v>81</v>
      </c>
      <c r="K19623" s="33" t="s">
        <v>157</v>
      </c>
      <c r="L19623" s="31" t="str">
        <f t="shared" ref="L19623:L19631" si="1898">$L$83&amp;" "&amp;L19543</f>
        <v>Delapan Puluh Satu</v>
      </c>
    </row>
    <row r="19624" spans="10:12">
      <c r="J19624" s="31">
        <v>82</v>
      </c>
      <c r="K19624" s="33" t="s">
        <v>158</v>
      </c>
      <c r="L19624" s="31" t="str">
        <f t="shared" si="1898"/>
        <v>Delapan Puluh Dua</v>
      </c>
    </row>
    <row r="19625" spans="10:12">
      <c r="J19625" s="31">
        <v>83</v>
      </c>
      <c r="K19625" s="33" t="s">
        <v>159</v>
      </c>
      <c r="L19625" s="31" t="str">
        <f t="shared" si="1898"/>
        <v>Delapan Puluh Tiga</v>
      </c>
    </row>
    <row r="19626" spans="10:12">
      <c r="J19626" s="31">
        <v>84</v>
      </c>
      <c r="K19626" s="33" t="s">
        <v>160</v>
      </c>
      <c r="L19626" s="31" t="str">
        <f t="shared" si="1898"/>
        <v>Delapan Puluh Empat</v>
      </c>
    </row>
    <row r="19627" spans="10:12">
      <c r="J19627" s="31">
        <v>85</v>
      </c>
      <c r="K19627" s="33" t="s">
        <v>161</v>
      </c>
      <c r="L19627" s="31" t="str">
        <f t="shared" si="1898"/>
        <v>Delapan Puluh Lima</v>
      </c>
    </row>
    <row r="19628" spans="10:12">
      <c r="J19628" s="31">
        <v>86</v>
      </c>
      <c r="K19628" s="33" t="s">
        <v>162</v>
      </c>
      <c r="L19628" s="31" t="str">
        <f t="shared" si="1898"/>
        <v>Delapan Puluh Enam</v>
      </c>
    </row>
    <row r="19629" spans="10:12">
      <c r="J19629" s="31">
        <v>87</v>
      </c>
      <c r="K19629" s="33" t="s">
        <v>163</v>
      </c>
      <c r="L19629" s="31" t="str">
        <f t="shared" si="1898"/>
        <v>Delapan Puluh Tujuh</v>
      </c>
    </row>
    <row r="19630" spans="10:12">
      <c r="J19630" s="31">
        <v>88</v>
      </c>
      <c r="K19630" s="33" t="s">
        <v>164</v>
      </c>
      <c r="L19630" s="31" t="str">
        <f t="shared" si="1898"/>
        <v>Delapan Puluh Delapan</v>
      </c>
    </row>
    <row r="19631" spans="10:12">
      <c r="J19631" s="31">
        <v>89</v>
      </c>
      <c r="K19631" s="33" t="s">
        <v>165</v>
      </c>
      <c r="L19631" s="31" t="str">
        <f t="shared" si="1898"/>
        <v>Delapan Puluh Sembilan</v>
      </c>
    </row>
    <row r="19632" spans="10:12">
      <c r="J19632" s="31">
        <v>90</v>
      </c>
      <c r="K19632" s="33" t="s">
        <v>166</v>
      </c>
      <c r="L19632" s="31" t="s">
        <v>167</v>
      </c>
    </row>
    <row r="19633" spans="1:12">
      <c r="J19633" s="31">
        <v>91</v>
      </c>
      <c r="K19633" s="33" t="s">
        <v>168</v>
      </c>
      <c r="L19633" s="31" t="str">
        <f t="shared" ref="L19633:L19641" si="1899">$L$93&amp;" "&amp;L19543</f>
        <v>Sembilan Puluh Satu</v>
      </c>
    </row>
    <row r="19634" spans="1:12">
      <c r="J19634" s="31">
        <v>92</v>
      </c>
      <c r="K19634" s="33" t="s">
        <v>169</v>
      </c>
      <c r="L19634" s="31" t="str">
        <f t="shared" si="1899"/>
        <v>Sembilan Puluh Dua</v>
      </c>
    </row>
    <row r="19635" spans="1:12">
      <c r="J19635" s="31">
        <v>93</v>
      </c>
      <c r="K19635" s="33" t="s">
        <v>170</v>
      </c>
      <c r="L19635" s="31" t="str">
        <f t="shared" si="1899"/>
        <v>Sembilan Puluh Tiga</v>
      </c>
    </row>
    <row r="19636" spans="1:12">
      <c r="J19636" s="31">
        <v>94</v>
      </c>
      <c r="K19636" s="33" t="s">
        <v>171</v>
      </c>
      <c r="L19636" s="31" t="str">
        <f t="shared" si="1899"/>
        <v>Sembilan Puluh Empat</v>
      </c>
    </row>
    <row r="19637" spans="1:12">
      <c r="J19637" s="31">
        <v>95</v>
      </c>
      <c r="K19637" s="33" t="s">
        <v>172</v>
      </c>
      <c r="L19637" s="31" t="str">
        <f t="shared" si="1899"/>
        <v>Sembilan Puluh Lima</v>
      </c>
    </row>
    <row r="19638" spans="1:12">
      <c r="J19638" s="31">
        <v>96</v>
      </c>
      <c r="K19638" s="33" t="s">
        <v>173</v>
      </c>
      <c r="L19638" s="31" t="str">
        <f t="shared" si="1899"/>
        <v>Sembilan Puluh Enam</v>
      </c>
    </row>
    <row r="19639" spans="1:12">
      <c r="J19639" s="31">
        <v>97</v>
      </c>
      <c r="K19639" s="33" t="s">
        <v>174</v>
      </c>
      <c r="L19639" s="31" t="str">
        <f t="shared" si="1899"/>
        <v>Sembilan Puluh Tujuh</v>
      </c>
    </row>
    <row r="19640" spans="1:12">
      <c r="J19640" s="31">
        <v>98</v>
      </c>
      <c r="K19640" s="33" t="s">
        <v>175</v>
      </c>
      <c r="L19640" s="31" t="str">
        <f t="shared" si="1899"/>
        <v>Sembilan Puluh Delapan</v>
      </c>
    </row>
    <row r="19641" spans="1:12">
      <c r="J19641" s="31">
        <v>99</v>
      </c>
      <c r="K19641" s="33" t="s">
        <v>176</v>
      </c>
      <c r="L19641" s="31" t="str">
        <f t="shared" si="1899"/>
        <v>Sembilan Puluh Sembilan</v>
      </c>
    </row>
    <row r="19643" spans="1:12">
      <c r="A19643" s="30" t="e">
        <f>#REF!</f>
        <v>#REF!</v>
      </c>
      <c r="C19643" s="31" t="s">
        <v>436</v>
      </c>
    </row>
    <row r="19644" spans="1:12">
      <c r="A19644" s="32"/>
    </row>
    <row r="19645" spans="1:12">
      <c r="J19645" s="31">
        <v>0</v>
      </c>
      <c r="K19645" s="33" t="s">
        <v>48</v>
      </c>
      <c r="L19645" s="31" t="s">
        <v>49</v>
      </c>
    </row>
    <row r="19646" spans="1:12">
      <c r="A19646" s="34"/>
      <c r="J19646" s="31">
        <v>1</v>
      </c>
      <c r="K19646" s="33" t="s">
        <v>50</v>
      </c>
      <c r="L19646" s="31" t="s">
        <v>51</v>
      </c>
    </row>
    <row r="19647" spans="1:12">
      <c r="A19647" s="255" t="e">
        <f>TRIM(D19655&amp;E19655&amp;D19656&amp;E19656&amp;D19657&amp;E19657&amp;D19658&amp;E19658&amp;D19659&amp;E19659&amp;D19660&amp;E19660&amp;E19661&amp;D19661&amp;" Only")</f>
        <v>#REF!</v>
      </c>
      <c r="B19647" s="255"/>
      <c r="C19647" s="255"/>
      <c r="D19647" s="255"/>
      <c r="E19647" s="35"/>
      <c r="F19647" s="36"/>
      <c r="J19647" s="31">
        <v>2</v>
      </c>
      <c r="K19647" s="33" t="s">
        <v>52</v>
      </c>
      <c r="L19647" s="31" t="s">
        <v>53</v>
      </c>
    </row>
    <row r="19648" spans="1:12">
      <c r="A19648" s="170"/>
      <c r="B19648" s="170"/>
      <c r="C19648" s="170"/>
      <c r="D19648" s="170"/>
      <c r="E19648" s="35"/>
      <c r="F19648" s="36"/>
      <c r="J19648" s="31">
        <v>3</v>
      </c>
      <c r="K19648" s="33" t="s">
        <v>54</v>
      </c>
      <c r="L19648" s="31" t="s">
        <v>55</v>
      </c>
    </row>
    <row r="19649" spans="1:12">
      <c r="A19649" s="170"/>
      <c r="B19649" s="170"/>
      <c r="C19649" s="170"/>
      <c r="D19649" s="170"/>
      <c r="J19649" s="31">
        <v>4</v>
      </c>
      <c r="K19649" s="33" t="s">
        <v>56</v>
      </c>
      <c r="L19649" s="31" t="s">
        <v>57</v>
      </c>
    </row>
    <row r="19650" spans="1:12">
      <c r="A19650" s="255" t="e">
        <f>TRIM(D19665&amp;E19665&amp;D19666&amp;E19666&amp;D19667&amp;E19667&amp;D19668&amp;E19668&amp;D19669&amp;E19669&amp;D19670&amp;E19670&amp;D19671&amp;E19671&amp;" Rupiah")</f>
        <v>#REF!</v>
      </c>
      <c r="B19650" s="255"/>
      <c r="C19650" s="255"/>
      <c r="D19650" s="255"/>
      <c r="E19650" s="35"/>
      <c r="F19650" s="36"/>
      <c r="J19650" s="31">
        <v>5</v>
      </c>
      <c r="K19650" s="33" t="s">
        <v>58</v>
      </c>
      <c r="L19650" s="31" t="s">
        <v>59</v>
      </c>
    </row>
    <row r="19651" spans="1:12">
      <c r="A19651" s="35"/>
      <c r="B19651" s="35"/>
      <c r="C19651" s="35"/>
      <c r="D19651" s="35"/>
      <c r="E19651" s="35"/>
      <c r="F19651" s="36"/>
      <c r="J19651" s="31">
        <v>6</v>
      </c>
      <c r="K19651" s="33" t="s">
        <v>60</v>
      </c>
      <c r="L19651" s="31" t="s">
        <v>61</v>
      </c>
    </row>
    <row r="19652" spans="1:12">
      <c r="J19652" s="31">
        <v>7</v>
      </c>
      <c r="K19652" s="33" t="s">
        <v>62</v>
      </c>
      <c r="L19652" s="31" t="s">
        <v>63</v>
      </c>
    </row>
    <row r="19653" spans="1:12">
      <c r="J19653" s="31">
        <v>8</v>
      </c>
      <c r="K19653" s="33" t="s">
        <v>64</v>
      </c>
      <c r="L19653" s="31" t="s">
        <v>65</v>
      </c>
    </row>
    <row r="19654" spans="1:12">
      <c r="A19654" s="38" t="s">
        <v>66</v>
      </c>
      <c r="J19654" s="31">
        <v>9</v>
      </c>
      <c r="K19654" s="33" t="s">
        <v>67</v>
      </c>
      <c r="L19654" s="31" t="s">
        <v>68</v>
      </c>
    </row>
    <row r="19655" spans="1:12">
      <c r="A19655" s="31" t="s">
        <v>69</v>
      </c>
      <c r="B19655" s="39" t="e">
        <f>TRUNC(A19643/100000000)</f>
        <v>#REF!</v>
      </c>
      <c r="C19655" s="31" t="e">
        <f>B19655*100000000</f>
        <v>#REF!</v>
      </c>
      <c r="D19655" s="31" t="e">
        <f t="shared" ref="D19655:D19661" si="1900">IF(B19655&lt;1,"",VLOOKUP(B19655,$J$3:$K$102,2))</f>
        <v>#REF!</v>
      </c>
      <c r="E19655" s="31" t="e">
        <f>IF(B19655&lt;1,"",IF(B19655&gt;1," Hundreds "," Hundred "))</f>
        <v>#REF!</v>
      </c>
      <c r="J19655" s="31">
        <v>10</v>
      </c>
      <c r="K19655" s="33" t="s">
        <v>70</v>
      </c>
      <c r="L19655" s="31" t="s">
        <v>71</v>
      </c>
    </row>
    <row r="19656" spans="1:12">
      <c r="A19656" s="31" t="s">
        <v>72</v>
      </c>
      <c r="B19656" s="39" t="e">
        <f>TRUNC((A19643-C19655)/1000000)</f>
        <v>#REF!</v>
      </c>
      <c r="C19656" s="31" t="e">
        <f>B19656*1000000</f>
        <v>#REF!</v>
      </c>
      <c r="D19656" s="31" t="e">
        <f t="shared" si="1900"/>
        <v>#REF!</v>
      </c>
      <c r="E19656" s="31" t="e">
        <f>IF(B19655+B19656=0,"",IF(B19656=1," Million "," Millions "))</f>
        <v>#REF!</v>
      </c>
      <c r="J19656" s="31">
        <v>11</v>
      </c>
      <c r="K19656" s="33" t="s">
        <v>73</v>
      </c>
      <c r="L19656" s="31" t="s">
        <v>74</v>
      </c>
    </row>
    <row r="19657" spans="1:12">
      <c r="A19657" s="31" t="s">
        <v>75</v>
      </c>
      <c r="B19657" s="39" t="e">
        <f>TRUNC((A19643-SUM(C19655:C19656))/100000)</f>
        <v>#REF!</v>
      </c>
      <c r="C19657" s="31" t="e">
        <f>B19657*100000</f>
        <v>#REF!</v>
      </c>
      <c r="D19657" s="31" t="e">
        <f t="shared" si="1900"/>
        <v>#REF!</v>
      </c>
      <c r="E19657" s="31" t="e">
        <f>IF(B19657&lt;1,"",IF(B19657&gt;1," Hundreds "," Hundred "))</f>
        <v>#REF!</v>
      </c>
      <c r="J19657" s="31">
        <v>12</v>
      </c>
      <c r="K19657" s="33" t="s">
        <v>76</v>
      </c>
      <c r="L19657" s="31" t="str">
        <f t="shared" ref="L19657:L19664" si="1901">L19647&amp;" Belas"</f>
        <v>Dua Belas</v>
      </c>
    </row>
    <row r="19658" spans="1:12">
      <c r="A19658" s="33" t="s">
        <v>77</v>
      </c>
      <c r="B19658" s="40" t="e">
        <f>TRUNC((A19643-SUM(C19655:C19657))/1000)</f>
        <v>#REF!</v>
      </c>
      <c r="C19658" s="31" t="e">
        <f>B19658*1000</f>
        <v>#REF!</v>
      </c>
      <c r="D19658" s="31" t="e">
        <f t="shared" si="1900"/>
        <v>#REF!</v>
      </c>
      <c r="E19658" s="31" t="e">
        <f>IF(B19657+B19658=0,"",IF(B19658=1," Thousand "," Thousands "))</f>
        <v>#REF!</v>
      </c>
      <c r="J19658" s="31">
        <v>13</v>
      </c>
      <c r="K19658" s="33" t="s">
        <v>78</v>
      </c>
      <c r="L19658" s="31" t="str">
        <f t="shared" si="1901"/>
        <v>Tiga Belas</v>
      </c>
    </row>
    <row r="19659" spans="1:12">
      <c r="A19659" s="33" t="s">
        <v>79</v>
      </c>
      <c r="B19659" s="40" t="e">
        <f>TRUNC((A19643-SUM(C19655:C19658))/100)</f>
        <v>#REF!</v>
      </c>
      <c r="C19659" s="31" t="e">
        <f>B19659*100</f>
        <v>#REF!</v>
      </c>
      <c r="D19659" s="31" t="e">
        <f t="shared" si="1900"/>
        <v>#REF!</v>
      </c>
      <c r="E19659" s="31" t="e">
        <f>IF(B19659&lt;1,"",IF(B19659&gt;1," Hundreds "," Hundred "))</f>
        <v>#REF!</v>
      </c>
      <c r="J19659" s="31">
        <v>14</v>
      </c>
      <c r="K19659" s="33" t="s">
        <v>80</v>
      </c>
      <c r="L19659" s="31" t="str">
        <f t="shared" si="1901"/>
        <v>Empat Belas</v>
      </c>
    </row>
    <row r="19660" spans="1:12">
      <c r="A19660" s="33" t="s">
        <v>81</v>
      </c>
      <c r="B19660" s="41" t="e">
        <f>TRUNC((A19643-SUM(C19655:C19659)))</f>
        <v>#REF!</v>
      </c>
      <c r="C19660" s="42" t="e">
        <f>B19660</f>
        <v>#REF!</v>
      </c>
      <c r="D19660" s="31" t="e">
        <f t="shared" si="1900"/>
        <v>#REF!</v>
      </c>
      <c r="E19660" s="31" t="e">
        <f>IF(SUM(C19655:C19660)&lt;1,"",IF(B19661&lt;1,""," And "))</f>
        <v>#REF!</v>
      </c>
      <c r="J19660" s="31">
        <v>15</v>
      </c>
      <c r="K19660" s="33" t="s">
        <v>82</v>
      </c>
      <c r="L19660" s="31" t="str">
        <f t="shared" si="1901"/>
        <v>Lima Belas</v>
      </c>
    </row>
    <row r="19661" spans="1:12">
      <c r="A19661" s="33" t="s">
        <v>83</v>
      </c>
      <c r="B19661" s="40" t="e">
        <f>ROUND(A19643-SUM(C19655:C19660),2)*100</f>
        <v>#REF!</v>
      </c>
      <c r="D19661" s="43" t="e">
        <f t="shared" si="1900"/>
        <v>#REF!</v>
      </c>
      <c r="E19661" s="31" t="e">
        <f>IF(B19661&lt;1,"",IF(B19661=1," Cent "," Cents "))</f>
        <v>#REF!</v>
      </c>
      <c r="J19661" s="31">
        <v>16</v>
      </c>
      <c r="K19661" s="33" t="s">
        <v>84</v>
      </c>
      <c r="L19661" s="31" t="str">
        <f t="shared" si="1901"/>
        <v>Enam Belas</v>
      </c>
    </row>
    <row r="19662" spans="1:12">
      <c r="J19662" s="31">
        <v>17</v>
      </c>
      <c r="K19662" s="33" t="s">
        <v>85</v>
      </c>
      <c r="L19662" s="31" t="str">
        <f t="shared" si="1901"/>
        <v>Tujuh Belas</v>
      </c>
    </row>
    <row r="19663" spans="1:12">
      <c r="A19663" s="44"/>
      <c r="J19663" s="31">
        <v>18</v>
      </c>
      <c r="K19663" s="33" t="s">
        <v>86</v>
      </c>
      <c r="L19663" s="31" t="str">
        <f t="shared" si="1901"/>
        <v>Delapan Belas</v>
      </c>
    </row>
    <row r="19664" spans="1:12">
      <c r="A19664" s="38" t="s">
        <v>87</v>
      </c>
      <c r="J19664" s="31">
        <v>19</v>
      </c>
      <c r="K19664" s="33" t="s">
        <v>88</v>
      </c>
      <c r="L19664" s="31" t="str">
        <f t="shared" si="1901"/>
        <v>Sembilan Belas</v>
      </c>
    </row>
    <row r="19665" spans="1:12">
      <c r="A19665" s="31" t="s">
        <v>69</v>
      </c>
      <c r="B19665" s="39" t="e">
        <f>TRUNC(A19643/100000000)</f>
        <v>#REF!</v>
      </c>
      <c r="C19665" s="31" t="e">
        <f>B19665*100000000</f>
        <v>#REF!</v>
      </c>
      <c r="D19665" s="31" t="e">
        <f>IF(B19665&lt;1,"",IF(B19665=1,"",VLOOKUP(B19665,$J$3:$L$102,3)))</f>
        <v>#REF!</v>
      </c>
      <c r="E19665" s="31" t="e">
        <f>IF(B19665&lt;1,"",IF(B19665=1,"Seratus "," Ratus "))</f>
        <v>#REF!</v>
      </c>
      <c r="J19665" s="31">
        <v>20</v>
      </c>
      <c r="K19665" s="33" t="s">
        <v>89</v>
      </c>
      <c r="L19665" s="31" t="s">
        <v>90</v>
      </c>
    </row>
    <row r="19666" spans="1:12">
      <c r="A19666" s="31" t="s">
        <v>72</v>
      </c>
      <c r="B19666" s="39" t="e">
        <f>TRUNC((A19643-C19665)/1000000)</f>
        <v>#REF!</v>
      </c>
      <c r="C19666" s="31" t="e">
        <f>B19666*1000000</f>
        <v>#REF!</v>
      </c>
      <c r="D19666" s="31" t="e">
        <f>IF(B19666&lt;1,"",VLOOKUP(B19666,$J$3:$L$102,3))</f>
        <v>#REF!</v>
      </c>
      <c r="E19666" s="31" t="e">
        <f>IF(B19665+B19666=0,""," Juta ")</f>
        <v>#REF!</v>
      </c>
      <c r="J19666" s="31">
        <v>21</v>
      </c>
      <c r="K19666" s="33" t="s">
        <v>91</v>
      </c>
      <c r="L19666" s="31" t="str">
        <f t="shared" ref="L19666:L19674" si="1902">$L$23&amp;" "&amp;L19646</f>
        <v>Dua Puluh Satu</v>
      </c>
    </row>
    <row r="19667" spans="1:12">
      <c r="A19667" s="31" t="s">
        <v>75</v>
      </c>
      <c r="B19667" s="39" t="e">
        <f>TRUNC((A19643-SUM(C19665:C19666))/100000)</f>
        <v>#REF!</v>
      </c>
      <c r="C19667" s="31" t="e">
        <f>B19667*100000</f>
        <v>#REF!</v>
      </c>
      <c r="D19667" s="31" t="e">
        <f>IF(B19667&lt;1,"",IF(B19667=1,"",VLOOKUP(B19667,$J$3:$L$102,3)))</f>
        <v>#REF!</v>
      </c>
      <c r="E19667" s="31" t="e">
        <f>IF(B19667&lt;1,"",IF(B19667=1," Seratus "," Ratus "))</f>
        <v>#REF!</v>
      </c>
      <c r="J19667" s="31">
        <v>22</v>
      </c>
      <c r="K19667" s="33" t="s">
        <v>92</v>
      </c>
      <c r="L19667" s="31" t="str">
        <f t="shared" si="1902"/>
        <v>Dua Puluh Dua</v>
      </c>
    </row>
    <row r="19668" spans="1:12">
      <c r="A19668" s="33" t="s">
        <v>77</v>
      </c>
      <c r="B19668" s="40" t="e">
        <f>TRUNC((A19643-SUM(C19665:C19667))/1000)</f>
        <v>#REF!</v>
      </c>
      <c r="C19668" s="31" t="e">
        <f>B19668*1000</f>
        <v>#REF!</v>
      </c>
      <c r="D19668" s="31" t="e">
        <f>IF(B19668&lt;1,"",IF(B19668=1,"",VLOOKUP(B19668,$J$3:$L$102,3)))</f>
        <v>#REF!</v>
      </c>
      <c r="E19668" s="31" t="e">
        <f>IF(B19667+B19668&lt;1,"",IF(B19668=1," Seribu "," Ribu "))</f>
        <v>#REF!</v>
      </c>
      <c r="J19668" s="31">
        <v>23</v>
      </c>
      <c r="K19668" s="33" t="s">
        <v>93</v>
      </c>
      <c r="L19668" s="31" t="str">
        <f t="shared" si="1902"/>
        <v>Dua Puluh Tiga</v>
      </c>
    </row>
    <row r="19669" spans="1:12">
      <c r="A19669" s="33" t="s">
        <v>79</v>
      </c>
      <c r="B19669" s="40" t="e">
        <f>TRUNC((A19643-SUM(C19665:C19668))/100)</f>
        <v>#REF!</v>
      </c>
      <c r="C19669" s="31" t="e">
        <f>B19669*100</f>
        <v>#REF!</v>
      </c>
      <c r="D19669" s="31" t="e">
        <f>IF(B19669&lt;1,"",IF(B19669=1,"",VLOOKUP(B19669,$J$3:$L$102,3)))</f>
        <v>#REF!</v>
      </c>
      <c r="E19669" s="31" t="e">
        <f>IF(B19669&lt;1,"",IF(B19669=1," Seratus "," Ratus "))</f>
        <v>#REF!</v>
      </c>
      <c r="J19669" s="31">
        <v>24</v>
      </c>
      <c r="K19669" s="33" t="s">
        <v>94</v>
      </c>
      <c r="L19669" s="31" t="str">
        <f t="shared" si="1902"/>
        <v>Dua Puluh Empat</v>
      </c>
    </row>
    <row r="19670" spans="1:12">
      <c r="A19670" s="33" t="s">
        <v>81</v>
      </c>
      <c r="B19670" s="41" t="e">
        <f>TRUNC((A19643-SUM(C19665:C19669)))</f>
        <v>#REF!</v>
      </c>
      <c r="C19670" s="42" t="e">
        <f>B19670</f>
        <v>#REF!</v>
      </c>
      <c r="D19670" s="31" t="e">
        <f>IF(B19670&lt;1,"",VLOOKUP(B19670,$J$3:$L$102,3))</f>
        <v>#REF!</v>
      </c>
      <c r="E19670" s="31" t="e">
        <f>IF(SUM(C19665:C19670)&lt;1,"",IF(B19671&lt;1,""," Dan "))</f>
        <v>#REF!</v>
      </c>
      <c r="J19670" s="31">
        <v>25</v>
      </c>
      <c r="K19670" s="33" t="s">
        <v>95</v>
      </c>
      <c r="L19670" s="31" t="str">
        <f t="shared" si="1902"/>
        <v>Dua Puluh Lima</v>
      </c>
    </row>
    <row r="19671" spans="1:12">
      <c r="A19671" s="33" t="s">
        <v>83</v>
      </c>
      <c r="B19671" s="40" t="e">
        <f>ROUND(A19643-SUM(C19665:C19670),2)*100</f>
        <v>#REF!</v>
      </c>
      <c r="D19671" s="31" t="e">
        <f>IF(B19671&lt;1,"",VLOOKUP(B19671,$J$3:$L$102,3))</f>
        <v>#REF!</v>
      </c>
      <c r="E19671" s="31" t="e">
        <f>IF(B19671&lt;1,""," Sen ")</f>
        <v>#REF!</v>
      </c>
      <c r="J19671" s="31">
        <v>26</v>
      </c>
      <c r="K19671" s="33" t="s">
        <v>96</v>
      </c>
      <c r="L19671" s="31" t="str">
        <f t="shared" si="1902"/>
        <v>Dua Puluh Enam</v>
      </c>
    </row>
    <row r="19672" spans="1:12">
      <c r="J19672" s="31">
        <v>27</v>
      </c>
      <c r="K19672" s="33" t="s">
        <v>97</v>
      </c>
      <c r="L19672" s="31" t="str">
        <f t="shared" si="1902"/>
        <v>Dua Puluh Tujuh</v>
      </c>
    </row>
    <row r="19673" spans="1:12">
      <c r="J19673" s="31">
        <v>28</v>
      </c>
      <c r="K19673" s="33" t="s">
        <v>98</v>
      </c>
      <c r="L19673" s="31" t="str">
        <f t="shared" si="1902"/>
        <v>Dua Puluh Delapan</v>
      </c>
    </row>
    <row r="19674" spans="1:12">
      <c r="J19674" s="31">
        <v>29</v>
      </c>
      <c r="K19674" s="33" t="s">
        <v>99</v>
      </c>
      <c r="L19674" s="31" t="str">
        <f t="shared" si="1902"/>
        <v>Dua Puluh Sembilan</v>
      </c>
    </row>
    <row r="19675" spans="1:12">
      <c r="J19675" s="31">
        <v>30</v>
      </c>
      <c r="K19675" s="33" t="s">
        <v>100</v>
      </c>
      <c r="L19675" s="31" t="s">
        <v>101</v>
      </c>
    </row>
    <row r="19676" spans="1:12">
      <c r="J19676" s="31">
        <v>31</v>
      </c>
      <c r="K19676" s="33" t="s">
        <v>102</v>
      </c>
      <c r="L19676" s="31" t="str">
        <f t="shared" ref="L19676:L19684" si="1903">$L$33&amp;" "&amp;L19646</f>
        <v>Tiga Puluh Satu</v>
      </c>
    </row>
    <row r="19677" spans="1:12">
      <c r="J19677" s="31">
        <v>32</v>
      </c>
      <c r="K19677" s="33" t="s">
        <v>103</v>
      </c>
      <c r="L19677" s="31" t="str">
        <f t="shared" si="1903"/>
        <v>Tiga Puluh Dua</v>
      </c>
    </row>
    <row r="19678" spans="1:12">
      <c r="J19678" s="31">
        <v>33</v>
      </c>
      <c r="K19678" s="33" t="s">
        <v>104</v>
      </c>
      <c r="L19678" s="31" t="str">
        <f t="shared" si="1903"/>
        <v>Tiga Puluh Tiga</v>
      </c>
    </row>
    <row r="19679" spans="1:12">
      <c r="J19679" s="31">
        <v>34</v>
      </c>
      <c r="K19679" s="33" t="s">
        <v>105</v>
      </c>
      <c r="L19679" s="31" t="str">
        <f t="shared" si="1903"/>
        <v>Tiga Puluh Empat</v>
      </c>
    </row>
    <row r="19680" spans="1:12">
      <c r="J19680" s="31">
        <v>35</v>
      </c>
      <c r="K19680" s="33" t="s">
        <v>106</v>
      </c>
      <c r="L19680" s="31" t="str">
        <f t="shared" si="1903"/>
        <v>Tiga Puluh Lima</v>
      </c>
    </row>
    <row r="19681" spans="1:12">
      <c r="J19681" s="31">
        <v>36</v>
      </c>
      <c r="K19681" s="33" t="s">
        <v>107</v>
      </c>
      <c r="L19681" s="31" t="str">
        <f t="shared" si="1903"/>
        <v>Tiga Puluh Enam</v>
      </c>
    </row>
    <row r="19682" spans="1:12">
      <c r="J19682" s="31">
        <v>37</v>
      </c>
      <c r="K19682" s="33" t="s">
        <v>108</v>
      </c>
      <c r="L19682" s="31" t="str">
        <f t="shared" si="1903"/>
        <v>Tiga Puluh Tujuh</v>
      </c>
    </row>
    <row r="19683" spans="1:12">
      <c r="J19683" s="31">
        <v>38</v>
      </c>
      <c r="K19683" s="33" t="s">
        <v>109</v>
      </c>
      <c r="L19683" s="31" t="str">
        <f t="shared" si="1903"/>
        <v>Tiga Puluh Delapan</v>
      </c>
    </row>
    <row r="19684" spans="1:12">
      <c r="J19684" s="31">
        <v>39</v>
      </c>
      <c r="K19684" s="33" t="s">
        <v>110</v>
      </c>
      <c r="L19684" s="31" t="str">
        <f t="shared" si="1903"/>
        <v>Tiga Puluh Sembilan</v>
      </c>
    </row>
    <row r="19685" spans="1:12">
      <c r="B19685" s="35"/>
      <c r="C19685" s="35"/>
      <c r="D19685" s="35"/>
      <c r="J19685" s="31">
        <v>40</v>
      </c>
      <c r="K19685" s="33" t="s">
        <v>111</v>
      </c>
      <c r="L19685" s="31" t="s">
        <v>112</v>
      </c>
    </row>
    <row r="19686" spans="1:12">
      <c r="A19686" s="35"/>
      <c r="B19686" s="35"/>
      <c r="C19686" s="35"/>
      <c r="D19686" s="35"/>
      <c r="J19686" s="31">
        <v>41</v>
      </c>
      <c r="K19686" s="33" t="s">
        <v>113</v>
      </c>
      <c r="L19686" s="31" t="str">
        <f t="shared" ref="L19686:L19694" si="1904">$L$43&amp;" "&amp;L19646</f>
        <v>Empat Puluh Satu</v>
      </c>
    </row>
    <row r="19687" spans="1:12">
      <c r="J19687" s="31">
        <v>42</v>
      </c>
      <c r="K19687" s="33" t="s">
        <v>114</v>
      </c>
      <c r="L19687" s="31" t="str">
        <f t="shared" si="1904"/>
        <v>Empat Puluh Dua</v>
      </c>
    </row>
    <row r="19688" spans="1:12">
      <c r="A19688" s="38"/>
      <c r="J19688" s="31">
        <v>43</v>
      </c>
      <c r="K19688" s="33" t="s">
        <v>115</v>
      </c>
      <c r="L19688" s="31" t="str">
        <f t="shared" si="1904"/>
        <v>Empat Puluh Tiga</v>
      </c>
    </row>
    <row r="19689" spans="1:12">
      <c r="J19689" s="31">
        <v>44</v>
      </c>
      <c r="K19689" s="33" t="s">
        <v>116</v>
      </c>
      <c r="L19689" s="31" t="str">
        <f t="shared" si="1904"/>
        <v>Empat Puluh Empat</v>
      </c>
    </row>
    <row r="19690" spans="1:12">
      <c r="J19690" s="31">
        <v>45</v>
      </c>
      <c r="K19690" s="33" t="s">
        <v>117</v>
      </c>
      <c r="L19690" s="31" t="str">
        <f t="shared" si="1904"/>
        <v>Empat Puluh Lima</v>
      </c>
    </row>
    <row r="19691" spans="1:12">
      <c r="J19691" s="31">
        <v>46</v>
      </c>
      <c r="K19691" s="33" t="s">
        <v>118</v>
      </c>
      <c r="L19691" s="31" t="str">
        <f t="shared" si="1904"/>
        <v>Empat Puluh Enam</v>
      </c>
    </row>
    <row r="19692" spans="1:12">
      <c r="J19692" s="31">
        <v>47</v>
      </c>
      <c r="K19692" s="33" t="s">
        <v>119</v>
      </c>
      <c r="L19692" s="31" t="str">
        <f t="shared" si="1904"/>
        <v>Empat Puluh Tujuh</v>
      </c>
    </row>
    <row r="19693" spans="1:12">
      <c r="J19693" s="31">
        <v>48</v>
      </c>
      <c r="K19693" s="33" t="s">
        <v>120</v>
      </c>
      <c r="L19693" s="31" t="str">
        <f t="shared" si="1904"/>
        <v>Empat Puluh Delapan</v>
      </c>
    </row>
    <row r="19694" spans="1:12">
      <c r="J19694" s="31">
        <v>49</v>
      </c>
      <c r="K19694" s="33" t="s">
        <v>121</v>
      </c>
      <c r="L19694" s="31" t="str">
        <f t="shared" si="1904"/>
        <v>Empat Puluh Sembilan</v>
      </c>
    </row>
    <row r="19695" spans="1:12">
      <c r="J19695" s="31">
        <v>50</v>
      </c>
      <c r="K19695" s="33" t="s">
        <v>122</v>
      </c>
      <c r="L19695" s="31" t="s">
        <v>123</v>
      </c>
    </row>
    <row r="19696" spans="1:12">
      <c r="J19696" s="31">
        <v>51</v>
      </c>
      <c r="K19696" s="33" t="s">
        <v>124</v>
      </c>
      <c r="L19696" s="31" t="str">
        <f t="shared" ref="L19696:L19704" si="1905">$L$53&amp;" "&amp;L19646</f>
        <v>Lima Puluh Satu</v>
      </c>
    </row>
    <row r="19697" spans="10:12">
      <c r="J19697" s="31">
        <v>52</v>
      </c>
      <c r="K19697" s="33" t="s">
        <v>125</v>
      </c>
      <c r="L19697" s="31" t="str">
        <f t="shared" si="1905"/>
        <v>Lima Puluh Dua</v>
      </c>
    </row>
    <row r="19698" spans="10:12">
      <c r="J19698" s="31">
        <v>53</v>
      </c>
      <c r="K19698" s="33" t="s">
        <v>126</v>
      </c>
      <c r="L19698" s="31" t="str">
        <f t="shared" si="1905"/>
        <v>Lima Puluh Tiga</v>
      </c>
    </row>
    <row r="19699" spans="10:12">
      <c r="J19699" s="31">
        <v>54</v>
      </c>
      <c r="K19699" s="33" t="s">
        <v>127</v>
      </c>
      <c r="L19699" s="31" t="str">
        <f t="shared" si="1905"/>
        <v>Lima Puluh Empat</v>
      </c>
    </row>
    <row r="19700" spans="10:12">
      <c r="J19700" s="31">
        <v>55</v>
      </c>
      <c r="K19700" s="33" t="s">
        <v>128</v>
      </c>
      <c r="L19700" s="31" t="str">
        <f t="shared" si="1905"/>
        <v>Lima Puluh Lima</v>
      </c>
    </row>
    <row r="19701" spans="10:12">
      <c r="J19701" s="31">
        <v>56</v>
      </c>
      <c r="K19701" s="33" t="s">
        <v>129</v>
      </c>
      <c r="L19701" s="31" t="str">
        <f t="shared" si="1905"/>
        <v>Lima Puluh Enam</v>
      </c>
    </row>
    <row r="19702" spans="10:12">
      <c r="J19702" s="31">
        <v>57</v>
      </c>
      <c r="K19702" s="33" t="s">
        <v>130</v>
      </c>
      <c r="L19702" s="31" t="str">
        <f t="shared" si="1905"/>
        <v>Lima Puluh Tujuh</v>
      </c>
    </row>
    <row r="19703" spans="10:12">
      <c r="J19703" s="31">
        <v>58</v>
      </c>
      <c r="K19703" s="33" t="s">
        <v>131</v>
      </c>
      <c r="L19703" s="31" t="str">
        <f t="shared" si="1905"/>
        <v>Lima Puluh Delapan</v>
      </c>
    </row>
    <row r="19704" spans="10:12">
      <c r="J19704" s="31">
        <v>59</v>
      </c>
      <c r="K19704" s="33" t="s">
        <v>132</v>
      </c>
      <c r="L19704" s="31" t="str">
        <f t="shared" si="1905"/>
        <v>Lima Puluh Sembilan</v>
      </c>
    </row>
    <row r="19705" spans="10:12">
      <c r="J19705" s="31">
        <v>60</v>
      </c>
      <c r="K19705" s="33" t="s">
        <v>133</v>
      </c>
      <c r="L19705" s="31" t="s">
        <v>134</v>
      </c>
    </row>
    <row r="19706" spans="10:12">
      <c r="J19706" s="31">
        <v>61</v>
      </c>
      <c r="K19706" s="33" t="s">
        <v>135</v>
      </c>
      <c r="L19706" s="31" t="str">
        <f t="shared" ref="L19706:L19714" si="1906">$L$63&amp;" "&amp;L19646</f>
        <v>Enam Puluh Satu</v>
      </c>
    </row>
    <row r="19707" spans="10:12">
      <c r="J19707" s="31">
        <v>62</v>
      </c>
      <c r="K19707" s="33" t="s">
        <v>136</v>
      </c>
      <c r="L19707" s="31" t="str">
        <f t="shared" si="1906"/>
        <v>Enam Puluh Dua</v>
      </c>
    </row>
    <row r="19708" spans="10:12">
      <c r="J19708" s="31">
        <v>63</v>
      </c>
      <c r="K19708" s="33" t="s">
        <v>137</v>
      </c>
      <c r="L19708" s="31" t="str">
        <f t="shared" si="1906"/>
        <v>Enam Puluh Tiga</v>
      </c>
    </row>
    <row r="19709" spans="10:12">
      <c r="J19709" s="31">
        <v>64</v>
      </c>
      <c r="K19709" s="33" t="s">
        <v>138</v>
      </c>
      <c r="L19709" s="31" t="str">
        <f t="shared" si="1906"/>
        <v>Enam Puluh Empat</v>
      </c>
    </row>
    <row r="19710" spans="10:12">
      <c r="J19710" s="31">
        <v>65</v>
      </c>
      <c r="K19710" s="33" t="s">
        <v>139</v>
      </c>
      <c r="L19710" s="31" t="str">
        <f t="shared" si="1906"/>
        <v>Enam Puluh Lima</v>
      </c>
    </row>
    <row r="19711" spans="10:12">
      <c r="J19711" s="31">
        <v>66</v>
      </c>
      <c r="K19711" s="33" t="s">
        <v>140</v>
      </c>
      <c r="L19711" s="31" t="str">
        <f t="shared" si="1906"/>
        <v>Enam Puluh Enam</v>
      </c>
    </row>
    <row r="19712" spans="10:12">
      <c r="J19712" s="31">
        <v>67</v>
      </c>
      <c r="K19712" s="33" t="s">
        <v>141</v>
      </c>
      <c r="L19712" s="31" t="str">
        <f t="shared" si="1906"/>
        <v>Enam Puluh Tujuh</v>
      </c>
    </row>
    <row r="19713" spans="10:12">
      <c r="J19713" s="31">
        <v>68</v>
      </c>
      <c r="K19713" s="33" t="s">
        <v>142</v>
      </c>
      <c r="L19713" s="31" t="str">
        <f t="shared" si="1906"/>
        <v>Enam Puluh Delapan</v>
      </c>
    </row>
    <row r="19714" spans="10:12">
      <c r="J19714" s="31">
        <v>69</v>
      </c>
      <c r="K19714" s="33" t="s">
        <v>143</v>
      </c>
      <c r="L19714" s="31" t="str">
        <f t="shared" si="1906"/>
        <v>Enam Puluh Sembilan</v>
      </c>
    </row>
    <row r="19715" spans="10:12">
      <c r="J19715" s="31">
        <v>70</v>
      </c>
      <c r="K19715" s="33" t="s">
        <v>144</v>
      </c>
      <c r="L19715" s="31" t="s">
        <v>145</v>
      </c>
    </row>
    <row r="19716" spans="10:12">
      <c r="J19716" s="31">
        <v>71</v>
      </c>
      <c r="K19716" s="33" t="s">
        <v>146</v>
      </c>
      <c r="L19716" s="31" t="str">
        <f t="shared" ref="L19716:L19724" si="1907">$L$73&amp;" "&amp;L19646</f>
        <v>Tujuh Puluh Satu</v>
      </c>
    </row>
    <row r="19717" spans="10:12">
      <c r="J19717" s="31">
        <v>72</v>
      </c>
      <c r="K19717" s="33" t="s">
        <v>147</v>
      </c>
      <c r="L19717" s="31" t="str">
        <f t="shared" si="1907"/>
        <v>Tujuh Puluh Dua</v>
      </c>
    </row>
    <row r="19718" spans="10:12">
      <c r="J19718" s="31">
        <v>73</v>
      </c>
      <c r="K19718" s="33" t="s">
        <v>148</v>
      </c>
      <c r="L19718" s="31" t="str">
        <f t="shared" si="1907"/>
        <v>Tujuh Puluh Tiga</v>
      </c>
    </row>
    <row r="19719" spans="10:12">
      <c r="J19719" s="31">
        <v>74</v>
      </c>
      <c r="K19719" s="33" t="s">
        <v>149</v>
      </c>
      <c r="L19719" s="31" t="str">
        <f t="shared" si="1907"/>
        <v>Tujuh Puluh Empat</v>
      </c>
    </row>
    <row r="19720" spans="10:12">
      <c r="J19720" s="31">
        <v>75</v>
      </c>
      <c r="K19720" s="33" t="s">
        <v>150</v>
      </c>
      <c r="L19720" s="31" t="str">
        <f t="shared" si="1907"/>
        <v>Tujuh Puluh Lima</v>
      </c>
    </row>
    <row r="19721" spans="10:12">
      <c r="J19721" s="31">
        <v>76</v>
      </c>
      <c r="K19721" s="33" t="s">
        <v>151</v>
      </c>
      <c r="L19721" s="31" t="str">
        <f t="shared" si="1907"/>
        <v>Tujuh Puluh Enam</v>
      </c>
    </row>
    <row r="19722" spans="10:12">
      <c r="J19722" s="31">
        <v>77</v>
      </c>
      <c r="K19722" s="33" t="s">
        <v>152</v>
      </c>
      <c r="L19722" s="31" t="str">
        <f t="shared" si="1907"/>
        <v>Tujuh Puluh Tujuh</v>
      </c>
    </row>
    <row r="19723" spans="10:12">
      <c r="J19723" s="31">
        <v>78</v>
      </c>
      <c r="K19723" s="33" t="s">
        <v>153</v>
      </c>
      <c r="L19723" s="31" t="str">
        <f t="shared" si="1907"/>
        <v>Tujuh Puluh Delapan</v>
      </c>
    </row>
    <row r="19724" spans="10:12">
      <c r="J19724" s="31">
        <v>79</v>
      </c>
      <c r="K19724" s="33" t="s">
        <v>154</v>
      </c>
      <c r="L19724" s="31" t="str">
        <f t="shared" si="1907"/>
        <v>Tujuh Puluh Sembilan</v>
      </c>
    </row>
    <row r="19725" spans="10:12">
      <c r="J19725" s="31">
        <v>80</v>
      </c>
      <c r="K19725" s="33" t="s">
        <v>155</v>
      </c>
      <c r="L19725" s="31" t="s">
        <v>156</v>
      </c>
    </row>
    <row r="19726" spans="10:12">
      <c r="J19726" s="31">
        <v>81</v>
      </c>
      <c r="K19726" s="33" t="s">
        <v>157</v>
      </c>
      <c r="L19726" s="31" t="str">
        <f t="shared" ref="L19726:L19734" si="1908">$L$83&amp;" "&amp;L19646</f>
        <v>Delapan Puluh Satu</v>
      </c>
    </row>
    <row r="19727" spans="10:12">
      <c r="J19727" s="31">
        <v>82</v>
      </c>
      <c r="K19727" s="33" t="s">
        <v>158</v>
      </c>
      <c r="L19727" s="31" t="str">
        <f t="shared" si="1908"/>
        <v>Delapan Puluh Dua</v>
      </c>
    </row>
    <row r="19728" spans="10:12">
      <c r="J19728" s="31">
        <v>83</v>
      </c>
      <c r="K19728" s="33" t="s">
        <v>159</v>
      </c>
      <c r="L19728" s="31" t="str">
        <f t="shared" si="1908"/>
        <v>Delapan Puluh Tiga</v>
      </c>
    </row>
    <row r="19729" spans="10:12">
      <c r="J19729" s="31">
        <v>84</v>
      </c>
      <c r="K19729" s="33" t="s">
        <v>160</v>
      </c>
      <c r="L19729" s="31" t="str">
        <f t="shared" si="1908"/>
        <v>Delapan Puluh Empat</v>
      </c>
    </row>
    <row r="19730" spans="10:12">
      <c r="J19730" s="31">
        <v>85</v>
      </c>
      <c r="K19730" s="33" t="s">
        <v>161</v>
      </c>
      <c r="L19730" s="31" t="str">
        <f t="shared" si="1908"/>
        <v>Delapan Puluh Lima</v>
      </c>
    </row>
    <row r="19731" spans="10:12">
      <c r="J19731" s="31">
        <v>86</v>
      </c>
      <c r="K19731" s="33" t="s">
        <v>162</v>
      </c>
      <c r="L19731" s="31" t="str">
        <f t="shared" si="1908"/>
        <v>Delapan Puluh Enam</v>
      </c>
    </row>
    <row r="19732" spans="10:12">
      <c r="J19732" s="31">
        <v>87</v>
      </c>
      <c r="K19732" s="33" t="s">
        <v>163</v>
      </c>
      <c r="L19732" s="31" t="str">
        <f t="shared" si="1908"/>
        <v>Delapan Puluh Tujuh</v>
      </c>
    </row>
    <row r="19733" spans="10:12">
      <c r="J19733" s="31">
        <v>88</v>
      </c>
      <c r="K19733" s="33" t="s">
        <v>164</v>
      </c>
      <c r="L19733" s="31" t="str">
        <f t="shared" si="1908"/>
        <v>Delapan Puluh Delapan</v>
      </c>
    </row>
    <row r="19734" spans="10:12">
      <c r="J19734" s="31">
        <v>89</v>
      </c>
      <c r="K19734" s="33" t="s">
        <v>165</v>
      </c>
      <c r="L19734" s="31" t="str">
        <f t="shared" si="1908"/>
        <v>Delapan Puluh Sembilan</v>
      </c>
    </row>
    <row r="19735" spans="10:12">
      <c r="J19735" s="31">
        <v>90</v>
      </c>
      <c r="K19735" s="33" t="s">
        <v>166</v>
      </c>
      <c r="L19735" s="31" t="s">
        <v>167</v>
      </c>
    </row>
    <row r="19736" spans="10:12">
      <c r="J19736" s="31">
        <v>91</v>
      </c>
      <c r="K19736" s="33" t="s">
        <v>168</v>
      </c>
      <c r="L19736" s="31" t="str">
        <f t="shared" ref="L19736:L19744" si="1909">$L$93&amp;" "&amp;L19646</f>
        <v>Sembilan Puluh Satu</v>
      </c>
    </row>
    <row r="19737" spans="10:12">
      <c r="J19737" s="31">
        <v>92</v>
      </c>
      <c r="K19737" s="33" t="s">
        <v>169</v>
      </c>
      <c r="L19737" s="31" t="str">
        <f t="shared" si="1909"/>
        <v>Sembilan Puluh Dua</v>
      </c>
    </row>
    <row r="19738" spans="10:12">
      <c r="J19738" s="31">
        <v>93</v>
      </c>
      <c r="K19738" s="33" t="s">
        <v>170</v>
      </c>
      <c r="L19738" s="31" t="str">
        <f t="shared" si="1909"/>
        <v>Sembilan Puluh Tiga</v>
      </c>
    </row>
    <row r="19739" spans="10:12">
      <c r="J19739" s="31">
        <v>94</v>
      </c>
      <c r="K19739" s="33" t="s">
        <v>171</v>
      </c>
      <c r="L19739" s="31" t="str">
        <f t="shared" si="1909"/>
        <v>Sembilan Puluh Empat</v>
      </c>
    </row>
    <row r="19740" spans="10:12">
      <c r="J19740" s="31">
        <v>95</v>
      </c>
      <c r="K19740" s="33" t="s">
        <v>172</v>
      </c>
      <c r="L19740" s="31" t="str">
        <f t="shared" si="1909"/>
        <v>Sembilan Puluh Lima</v>
      </c>
    </row>
    <row r="19741" spans="10:12">
      <c r="J19741" s="31">
        <v>96</v>
      </c>
      <c r="K19741" s="33" t="s">
        <v>173</v>
      </c>
      <c r="L19741" s="31" t="str">
        <f t="shared" si="1909"/>
        <v>Sembilan Puluh Enam</v>
      </c>
    </row>
    <row r="19742" spans="10:12">
      <c r="J19742" s="31">
        <v>97</v>
      </c>
      <c r="K19742" s="33" t="s">
        <v>174</v>
      </c>
      <c r="L19742" s="31" t="str">
        <f t="shared" si="1909"/>
        <v>Sembilan Puluh Tujuh</v>
      </c>
    </row>
    <row r="19743" spans="10:12">
      <c r="J19743" s="31">
        <v>98</v>
      </c>
      <c r="K19743" s="33" t="s">
        <v>175</v>
      </c>
      <c r="L19743" s="31" t="str">
        <f t="shared" si="1909"/>
        <v>Sembilan Puluh Delapan</v>
      </c>
    </row>
    <row r="19744" spans="10:12">
      <c r="J19744" s="31">
        <v>99</v>
      </c>
      <c r="K19744" s="33" t="s">
        <v>176</v>
      </c>
      <c r="L19744" s="31" t="str">
        <f t="shared" si="1909"/>
        <v>Sembilan Puluh Sembilan</v>
      </c>
    </row>
    <row r="19746" spans="1:12">
      <c r="A19746" s="30" t="e">
        <f>#REF!</f>
        <v>#REF!</v>
      </c>
      <c r="C19746" s="31" t="s">
        <v>451</v>
      </c>
    </row>
    <row r="19747" spans="1:12">
      <c r="A19747" s="32"/>
    </row>
    <row r="19748" spans="1:12">
      <c r="J19748" s="31">
        <v>0</v>
      </c>
      <c r="K19748" s="33" t="s">
        <v>48</v>
      </c>
      <c r="L19748" s="31" t="s">
        <v>49</v>
      </c>
    </row>
    <row r="19749" spans="1:12">
      <c r="A19749" s="34"/>
      <c r="J19749" s="31">
        <v>1</v>
      </c>
      <c r="K19749" s="33" t="s">
        <v>50</v>
      </c>
      <c r="L19749" s="31" t="s">
        <v>51</v>
      </c>
    </row>
    <row r="19750" spans="1:12">
      <c r="A19750" s="255" t="e">
        <f>TRIM(D19758&amp;E19758&amp;D19759&amp;E19759&amp;D19760&amp;E19760&amp;D19761&amp;E19761&amp;D19762&amp;E19762&amp;D19763&amp;E19763&amp;E19764&amp;D19764&amp;" Only")</f>
        <v>#REF!</v>
      </c>
      <c r="B19750" s="255"/>
      <c r="C19750" s="255"/>
      <c r="D19750" s="255"/>
      <c r="E19750" s="35"/>
      <c r="F19750" s="36"/>
      <c r="J19750" s="31">
        <v>2</v>
      </c>
      <c r="K19750" s="33" t="s">
        <v>52</v>
      </c>
      <c r="L19750" s="31" t="s">
        <v>53</v>
      </c>
    </row>
    <row r="19751" spans="1:12">
      <c r="A19751" s="182"/>
      <c r="B19751" s="182"/>
      <c r="C19751" s="182"/>
      <c r="D19751" s="182"/>
      <c r="E19751" s="35"/>
      <c r="F19751" s="36"/>
      <c r="J19751" s="31">
        <v>3</v>
      </c>
      <c r="K19751" s="33" t="s">
        <v>54</v>
      </c>
      <c r="L19751" s="31" t="s">
        <v>55</v>
      </c>
    </row>
    <row r="19752" spans="1:12">
      <c r="A19752" s="182"/>
      <c r="B19752" s="182"/>
      <c r="C19752" s="182"/>
      <c r="D19752" s="182"/>
      <c r="J19752" s="31">
        <v>4</v>
      </c>
      <c r="K19752" s="33" t="s">
        <v>56</v>
      </c>
      <c r="L19752" s="31" t="s">
        <v>57</v>
      </c>
    </row>
    <row r="19753" spans="1:12">
      <c r="A19753" s="255" t="e">
        <f>TRIM(D19768&amp;E19768&amp;D19769&amp;E19769&amp;D19770&amp;E19770&amp;D19771&amp;E19771&amp;D19772&amp;E19772&amp;D19773&amp;E19773&amp;D19774&amp;E19774&amp;" Rupiah")</f>
        <v>#REF!</v>
      </c>
      <c r="B19753" s="255"/>
      <c r="C19753" s="255"/>
      <c r="D19753" s="255"/>
      <c r="E19753" s="35"/>
      <c r="F19753" s="36"/>
      <c r="J19753" s="31">
        <v>5</v>
      </c>
      <c r="K19753" s="33" t="s">
        <v>58</v>
      </c>
      <c r="L19753" s="31" t="s">
        <v>59</v>
      </c>
    </row>
    <row r="19754" spans="1:12">
      <c r="A19754" s="35"/>
      <c r="B19754" s="35"/>
      <c r="C19754" s="35"/>
      <c r="D19754" s="35"/>
      <c r="E19754" s="35"/>
      <c r="F19754" s="36"/>
      <c r="J19754" s="31">
        <v>6</v>
      </c>
      <c r="K19754" s="33" t="s">
        <v>60</v>
      </c>
      <c r="L19754" s="31" t="s">
        <v>61</v>
      </c>
    </row>
    <row r="19755" spans="1:12">
      <c r="J19755" s="31">
        <v>7</v>
      </c>
      <c r="K19755" s="33" t="s">
        <v>62</v>
      </c>
      <c r="L19755" s="31" t="s">
        <v>63</v>
      </c>
    </row>
    <row r="19756" spans="1:12">
      <c r="J19756" s="31">
        <v>8</v>
      </c>
      <c r="K19756" s="33" t="s">
        <v>64</v>
      </c>
      <c r="L19756" s="31" t="s">
        <v>65</v>
      </c>
    </row>
    <row r="19757" spans="1:12">
      <c r="A19757" s="38" t="s">
        <v>66</v>
      </c>
      <c r="J19757" s="31">
        <v>9</v>
      </c>
      <c r="K19757" s="33" t="s">
        <v>67</v>
      </c>
      <c r="L19757" s="31" t="s">
        <v>68</v>
      </c>
    </row>
    <row r="19758" spans="1:12">
      <c r="A19758" s="31" t="s">
        <v>69</v>
      </c>
      <c r="B19758" s="39" t="e">
        <f>TRUNC(A19746/100000000)</f>
        <v>#REF!</v>
      </c>
      <c r="C19758" s="31" t="e">
        <f>B19758*100000000</f>
        <v>#REF!</v>
      </c>
      <c r="D19758" s="31" t="e">
        <f t="shared" ref="D19758:D19764" si="1910">IF(B19758&lt;1,"",VLOOKUP(B19758,$J$3:$K$102,2))</f>
        <v>#REF!</v>
      </c>
      <c r="E19758" s="31" t="e">
        <f>IF(B19758&lt;1,"",IF(B19758&gt;1," Hundreds "," Hundred "))</f>
        <v>#REF!</v>
      </c>
      <c r="J19758" s="31">
        <v>10</v>
      </c>
      <c r="K19758" s="33" t="s">
        <v>70</v>
      </c>
      <c r="L19758" s="31" t="s">
        <v>71</v>
      </c>
    </row>
    <row r="19759" spans="1:12">
      <c r="A19759" s="31" t="s">
        <v>72</v>
      </c>
      <c r="B19759" s="39" t="e">
        <f>TRUNC((A19746-C19758)/1000000)</f>
        <v>#REF!</v>
      </c>
      <c r="C19759" s="31" t="e">
        <f>B19759*1000000</f>
        <v>#REF!</v>
      </c>
      <c r="D19759" s="31" t="e">
        <f t="shared" si="1910"/>
        <v>#REF!</v>
      </c>
      <c r="E19759" s="31" t="e">
        <f>IF(B19758+B19759=0,"",IF(B19759=1," Million "," Millions "))</f>
        <v>#REF!</v>
      </c>
      <c r="J19759" s="31">
        <v>11</v>
      </c>
      <c r="K19759" s="33" t="s">
        <v>73</v>
      </c>
      <c r="L19759" s="31" t="s">
        <v>74</v>
      </c>
    </row>
    <row r="19760" spans="1:12">
      <c r="A19760" s="31" t="s">
        <v>75</v>
      </c>
      <c r="B19760" s="39" t="e">
        <f>TRUNC((A19746-SUM(C19758:C19759))/100000)</f>
        <v>#REF!</v>
      </c>
      <c r="C19760" s="31" t="e">
        <f>B19760*100000</f>
        <v>#REF!</v>
      </c>
      <c r="D19760" s="31" t="e">
        <f t="shared" si="1910"/>
        <v>#REF!</v>
      </c>
      <c r="E19760" s="31" t="e">
        <f>IF(B19760&lt;1,"",IF(B19760&gt;1," Hundreds "," Hundred "))</f>
        <v>#REF!</v>
      </c>
      <c r="J19760" s="31">
        <v>12</v>
      </c>
      <c r="K19760" s="33" t="s">
        <v>76</v>
      </c>
      <c r="L19760" s="31" t="str">
        <f t="shared" ref="L19760:L19767" si="1911">L19750&amp;" Belas"</f>
        <v>Dua Belas</v>
      </c>
    </row>
    <row r="19761" spans="1:12">
      <c r="A19761" s="33" t="s">
        <v>77</v>
      </c>
      <c r="B19761" s="40" t="e">
        <f>TRUNC((A19746-SUM(C19758:C19760))/1000)</f>
        <v>#REF!</v>
      </c>
      <c r="C19761" s="31" t="e">
        <f>B19761*1000</f>
        <v>#REF!</v>
      </c>
      <c r="D19761" s="31" t="e">
        <f t="shared" si="1910"/>
        <v>#REF!</v>
      </c>
      <c r="E19761" s="31" t="e">
        <f>IF(B19760+B19761=0,"",IF(B19761=1," Thousand "," Thousands "))</f>
        <v>#REF!</v>
      </c>
      <c r="J19761" s="31">
        <v>13</v>
      </c>
      <c r="K19761" s="33" t="s">
        <v>78</v>
      </c>
      <c r="L19761" s="31" t="str">
        <f t="shared" si="1911"/>
        <v>Tiga Belas</v>
      </c>
    </row>
    <row r="19762" spans="1:12">
      <c r="A19762" s="33" t="s">
        <v>79</v>
      </c>
      <c r="B19762" s="40" t="e">
        <f>TRUNC((A19746-SUM(C19758:C19761))/100)</f>
        <v>#REF!</v>
      </c>
      <c r="C19762" s="31" t="e">
        <f>B19762*100</f>
        <v>#REF!</v>
      </c>
      <c r="D19762" s="31" t="e">
        <f t="shared" si="1910"/>
        <v>#REF!</v>
      </c>
      <c r="E19762" s="31" t="e">
        <f>IF(B19762&lt;1,"",IF(B19762&gt;1," Hundreds "," Hundred "))</f>
        <v>#REF!</v>
      </c>
      <c r="J19762" s="31">
        <v>14</v>
      </c>
      <c r="K19762" s="33" t="s">
        <v>80</v>
      </c>
      <c r="L19762" s="31" t="str">
        <f t="shared" si="1911"/>
        <v>Empat Belas</v>
      </c>
    </row>
    <row r="19763" spans="1:12">
      <c r="A19763" s="33" t="s">
        <v>81</v>
      </c>
      <c r="B19763" s="41" t="e">
        <f>TRUNC((A19746-SUM(C19758:C19762)))</f>
        <v>#REF!</v>
      </c>
      <c r="C19763" s="42" t="e">
        <f>B19763</f>
        <v>#REF!</v>
      </c>
      <c r="D19763" s="31" t="e">
        <f t="shared" si="1910"/>
        <v>#REF!</v>
      </c>
      <c r="E19763" s="31" t="e">
        <f>IF(SUM(C19758:C19763)&lt;1,"",IF(B19764&lt;1,""," And "))</f>
        <v>#REF!</v>
      </c>
      <c r="J19763" s="31">
        <v>15</v>
      </c>
      <c r="K19763" s="33" t="s">
        <v>82</v>
      </c>
      <c r="L19763" s="31" t="str">
        <f t="shared" si="1911"/>
        <v>Lima Belas</v>
      </c>
    </row>
    <row r="19764" spans="1:12">
      <c r="A19764" s="33" t="s">
        <v>83</v>
      </c>
      <c r="B19764" s="40" t="e">
        <f>ROUND(A19746-SUM(C19758:C19763),2)*100</f>
        <v>#REF!</v>
      </c>
      <c r="D19764" s="43" t="e">
        <f t="shared" si="1910"/>
        <v>#REF!</v>
      </c>
      <c r="E19764" s="31" t="e">
        <f>IF(B19764&lt;1,"",IF(B19764=1," Cent "," Cents "))</f>
        <v>#REF!</v>
      </c>
      <c r="J19764" s="31">
        <v>16</v>
      </c>
      <c r="K19764" s="33" t="s">
        <v>84</v>
      </c>
      <c r="L19764" s="31" t="str">
        <f t="shared" si="1911"/>
        <v>Enam Belas</v>
      </c>
    </row>
    <row r="19765" spans="1:12">
      <c r="J19765" s="31">
        <v>17</v>
      </c>
      <c r="K19765" s="33" t="s">
        <v>85</v>
      </c>
      <c r="L19765" s="31" t="str">
        <f t="shared" si="1911"/>
        <v>Tujuh Belas</v>
      </c>
    </row>
    <row r="19766" spans="1:12">
      <c r="A19766" s="44"/>
      <c r="J19766" s="31">
        <v>18</v>
      </c>
      <c r="K19766" s="33" t="s">
        <v>86</v>
      </c>
      <c r="L19766" s="31" t="str">
        <f t="shared" si="1911"/>
        <v>Delapan Belas</v>
      </c>
    </row>
    <row r="19767" spans="1:12">
      <c r="A19767" s="38" t="s">
        <v>87</v>
      </c>
      <c r="J19767" s="31">
        <v>19</v>
      </c>
      <c r="K19767" s="33" t="s">
        <v>88</v>
      </c>
      <c r="L19767" s="31" t="str">
        <f t="shared" si="1911"/>
        <v>Sembilan Belas</v>
      </c>
    </row>
    <row r="19768" spans="1:12">
      <c r="A19768" s="31" t="s">
        <v>69</v>
      </c>
      <c r="B19768" s="39" t="e">
        <f>TRUNC(A19746/100000000)</f>
        <v>#REF!</v>
      </c>
      <c r="C19768" s="31" t="e">
        <f>B19768*100000000</f>
        <v>#REF!</v>
      </c>
      <c r="D19768" s="31" t="e">
        <f>IF(B19768&lt;1,"",IF(B19768=1,"",VLOOKUP(B19768,$J$3:$L$102,3)))</f>
        <v>#REF!</v>
      </c>
      <c r="E19768" s="31" t="e">
        <f>IF(B19768&lt;1,"",IF(B19768=1,"Seratus "," Ratus "))</f>
        <v>#REF!</v>
      </c>
      <c r="J19768" s="31">
        <v>20</v>
      </c>
      <c r="K19768" s="33" t="s">
        <v>89</v>
      </c>
      <c r="L19768" s="31" t="s">
        <v>90</v>
      </c>
    </row>
    <row r="19769" spans="1:12">
      <c r="A19769" s="31" t="s">
        <v>72</v>
      </c>
      <c r="B19769" s="39" t="e">
        <f>TRUNC((A19746-C19768)/1000000)</f>
        <v>#REF!</v>
      </c>
      <c r="C19769" s="31" t="e">
        <f>B19769*1000000</f>
        <v>#REF!</v>
      </c>
      <c r="D19769" s="31" t="e">
        <f>IF(B19769&lt;1,"",VLOOKUP(B19769,$J$3:$L$102,3))</f>
        <v>#REF!</v>
      </c>
      <c r="E19769" s="31" t="e">
        <f>IF(B19768+B19769=0,""," Juta ")</f>
        <v>#REF!</v>
      </c>
      <c r="J19769" s="31">
        <v>21</v>
      </c>
      <c r="K19769" s="33" t="s">
        <v>91</v>
      </c>
      <c r="L19769" s="31" t="str">
        <f t="shared" ref="L19769:L19777" si="1912">$L$23&amp;" "&amp;L19749</f>
        <v>Dua Puluh Satu</v>
      </c>
    </row>
    <row r="19770" spans="1:12">
      <c r="A19770" s="31" t="s">
        <v>75</v>
      </c>
      <c r="B19770" s="39" t="e">
        <f>TRUNC((A19746-SUM(C19768:C19769))/100000)</f>
        <v>#REF!</v>
      </c>
      <c r="C19770" s="31" t="e">
        <f>B19770*100000</f>
        <v>#REF!</v>
      </c>
      <c r="D19770" s="31" t="e">
        <f>IF(B19770&lt;1,"",IF(B19770=1,"",VLOOKUP(B19770,$J$3:$L$102,3)))</f>
        <v>#REF!</v>
      </c>
      <c r="E19770" s="31" t="e">
        <f>IF(B19770&lt;1,"",IF(B19770=1," Seratus "," Ratus "))</f>
        <v>#REF!</v>
      </c>
      <c r="J19770" s="31">
        <v>22</v>
      </c>
      <c r="K19770" s="33" t="s">
        <v>92</v>
      </c>
      <c r="L19770" s="31" t="str">
        <f t="shared" si="1912"/>
        <v>Dua Puluh Dua</v>
      </c>
    </row>
    <row r="19771" spans="1:12">
      <c r="A19771" s="33" t="s">
        <v>77</v>
      </c>
      <c r="B19771" s="40" t="e">
        <f>TRUNC((A19746-SUM(C19768:C19770))/1000)</f>
        <v>#REF!</v>
      </c>
      <c r="C19771" s="31" t="e">
        <f>B19771*1000</f>
        <v>#REF!</v>
      </c>
      <c r="D19771" s="31" t="e">
        <f>IF(B19771&lt;1,"",IF(B19771=1,"",VLOOKUP(B19771,$J$3:$L$102,3)))</f>
        <v>#REF!</v>
      </c>
      <c r="E19771" s="31" t="e">
        <f>IF(B19770+B19771&lt;1,"",IF(B19771=1," Seribu "," Ribu "))</f>
        <v>#REF!</v>
      </c>
      <c r="J19771" s="31">
        <v>23</v>
      </c>
      <c r="K19771" s="33" t="s">
        <v>93</v>
      </c>
      <c r="L19771" s="31" t="str">
        <f t="shared" si="1912"/>
        <v>Dua Puluh Tiga</v>
      </c>
    </row>
    <row r="19772" spans="1:12">
      <c r="A19772" s="33" t="s">
        <v>79</v>
      </c>
      <c r="B19772" s="40" t="e">
        <f>TRUNC((A19746-SUM(C19768:C19771))/100)</f>
        <v>#REF!</v>
      </c>
      <c r="C19772" s="31" t="e">
        <f>B19772*100</f>
        <v>#REF!</v>
      </c>
      <c r="D19772" s="31" t="e">
        <f>IF(B19772&lt;1,"",IF(B19772=1,"",VLOOKUP(B19772,$J$3:$L$102,3)))</f>
        <v>#REF!</v>
      </c>
      <c r="E19772" s="31" t="e">
        <f>IF(B19772&lt;1,"",IF(B19772=1," Seratus "," Ratus "))</f>
        <v>#REF!</v>
      </c>
      <c r="J19772" s="31">
        <v>24</v>
      </c>
      <c r="K19772" s="33" t="s">
        <v>94</v>
      </c>
      <c r="L19772" s="31" t="str">
        <f t="shared" si="1912"/>
        <v>Dua Puluh Empat</v>
      </c>
    </row>
    <row r="19773" spans="1:12">
      <c r="A19773" s="33" t="s">
        <v>81</v>
      </c>
      <c r="B19773" s="41" t="e">
        <f>TRUNC((A19746-SUM(C19768:C19772)))</f>
        <v>#REF!</v>
      </c>
      <c r="C19773" s="42" t="e">
        <f>B19773</f>
        <v>#REF!</v>
      </c>
      <c r="D19773" s="31" t="e">
        <f>IF(B19773&lt;1,"",VLOOKUP(B19773,$J$3:$L$102,3))</f>
        <v>#REF!</v>
      </c>
      <c r="E19773" s="31" t="e">
        <f>IF(SUM(C19768:C19773)&lt;1,"",IF(B19774&lt;1,""," Dan "))</f>
        <v>#REF!</v>
      </c>
      <c r="J19773" s="31">
        <v>25</v>
      </c>
      <c r="K19773" s="33" t="s">
        <v>95</v>
      </c>
      <c r="L19773" s="31" t="str">
        <f t="shared" si="1912"/>
        <v>Dua Puluh Lima</v>
      </c>
    </row>
    <row r="19774" spans="1:12">
      <c r="A19774" s="33" t="s">
        <v>83</v>
      </c>
      <c r="B19774" s="40" t="e">
        <f>ROUND(A19746-SUM(C19768:C19773),2)*100</f>
        <v>#REF!</v>
      </c>
      <c r="D19774" s="31" t="e">
        <f>IF(B19774&lt;1,"",VLOOKUP(B19774,$J$3:$L$102,3))</f>
        <v>#REF!</v>
      </c>
      <c r="E19774" s="31" t="e">
        <f>IF(B19774&lt;1,""," Sen ")</f>
        <v>#REF!</v>
      </c>
      <c r="J19774" s="31">
        <v>26</v>
      </c>
      <c r="K19774" s="33" t="s">
        <v>96</v>
      </c>
      <c r="L19774" s="31" t="str">
        <f t="shared" si="1912"/>
        <v>Dua Puluh Enam</v>
      </c>
    </row>
    <row r="19775" spans="1:12">
      <c r="J19775" s="31">
        <v>27</v>
      </c>
      <c r="K19775" s="33" t="s">
        <v>97</v>
      </c>
      <c r="L19775" s="31" t="str">
        <f t="shared" si="1912"/>
        <v>Dua Puluh Tujuh</v>
      </c>
    </row>
    <row r="19776" spans="1:12">
      <c r="J19776" s="31">
        <v>28</v>
      </c>
      <c r="K19776" s="33" t="s">
        <v>98</v>
      </c>
      <c r="L19776" s="31" t="str">
        <f t="shared" si="1912"/>
        <v>Dua Puluh Delapan</v>
      </c>
    </row>
    <row r="19777" spans="1:12">
      <c r="J19777" s="31">
        <v>29</v>
      </c>
      <c r="K19777" s="33" t="s">
        <v>99</v>
      </c>
      <c r="L19777" s="31" t="str">
        <f t="shared" si="1912"/>
        <v>Dua Puluh Sembilan</v>
      </c>
    </row>
    <row r="19778" spans="1:12">
      <c r="J19778" s="31">
        <v>30</v>
      </c>
      <c r="K19778" s="33" t="s">
        <v>100</v>
      </c>
      <c r="L19778" s="31" t="s">
        <v>101</v>
      </c>
    </row>
    <row r="19779" spans="1:12">
      <c r="J19779" s="31">
        <v>31</v>
      </c>
      <c r="K19779" s="33" t="s">
        <v>102</v>
      </c>
      <c r="L19779" s="31" t="str">
        <f t="shared" ref="L19779:L19787" si="1913">$L$33&amp;" "&amp;L19749</f>
        <v>Tiga Puluh Satu</v>
      </c>
    </row>
    <row r="19780" spans="1:12">
      <c r="J19780" s="31">
        <v>32</v>
      </c>
      <c r="K19780" s="33" t="s">
        <v>103</v>
      </c>
      <c r="L19780" s="31" t="str">
        <f t="shared" si="1913"/>
        <v>Tiga Puluh Dua</v>
      </c>
    </row>
    <row r="19781" spans="1:12">
      <c r="J19781" s="31">
        <v>33</v>
      </c>
      <c r="K19781" s="33" t="s">
        <v>104</v>
      </c>
      <c r="L19781" s="31" t="str">
        <f t="shared" si="1913"/>
        <v>Tiga Puluh Tiga</v>
      </c>
    </row>
    <row r="19782" spans="1:12">
      <c r="J19782" s="31">
        <v>34</v>
      </c>
      <c r="K19782" s="33" t="s">
        <v>105</v>
      </c>
      <c r="L19782" s="31" t="str">
        <f t="shared" si="1913"/>
        <v>Tiga Puluh Empat</v>
      </c>
    </row>
    <row r="19783" spans="1:12">
      <c r="J19783" s="31">
        <v>35</v>
      </c>
      <c r="K19783" s="33" t="s">
        <v>106</v>
      </c>
      <c r="L19783" s="31" t="str">
        <f t="shared" si="1913"/>
        <v>Tiga Puluh Lima</v>
      </c>
    </row>
    <row r="19784" spans="1:12">
      <c r="J19784" s="31">
        <v>36</v>
      </c>
      <c r="K19784" s="33" t="s">
        <v>107</v>
      </c>
      <c r="L19784" s="31" t="str">
        <f t="shared" si="1913"/>
        <v>Tiga Puluh Enam</v>
      </c>
    </row>
    <row r="19785" spans="1:12">
      <c r="J19785" s="31">
        <v>37</v>
      </c>
      <c r="K19785" s="33" t="s">
        <v>108</v>
      </c>
      <c r="L19785" s="31" t="str">
        <f t="shared" si="1913"/>
        <v>Tiga Puluh Tujuh</v>
      </c>
    </row>
    <row r="19786" spans="1:12">
      <c r="J19786" s="31">
        <v>38</v>
      </c>
      <c r="K19786" s="33" t="s">
        <v>109</v>
      </c>
      <c r="L19786" s="31" t="str">
        <f t="shared" si="1913"/>
        <v>Tiga Puluh Delapan</v>
      </c>
    </row>
    <row r="19787" spans="1:12">
      <c r="J19787" s="31">
        <v>39</v>
      </c>
      <c r="K19787" s="33" t="s">
        <v>110</v>
      </c>
      <c r="L19787" s="31" t="str">
        <f t="shared" si="1913"/>
        <v>Tiga Puluh Sembilan</v>
      </c>
    </row>
    <row r="19788" spans="1:12">
      <c r="B19788" s="35"/>
      <c r="C19788" s="35"/>
      <c r="D19788" s="35"/>
      <c r="J19788" s="31">
        <v>40</v>
      </c>
      <c r="K19788" s="33" t="s">
        <v>111</v>
      </c>
      <c r="L19788" s="31" t="s">
        <v>112</v>
      </c>
    </row>
    <row r="19789" spans="1:12">
      <c r="A19789" s="35"/>
      <c r="B19789" s="35"/>
      <c r="C19789" s="35"/>
      <c r="D19789" s="35"/>
      <c r="J19789" s="31">
        <v>41</v>
      </c>
      <c r="K19789" s="33" t="s">
        <v>113</v>
      </c>
      <c r="L19789" s="31" t="str">
        <f t="shared" ref="L19789:L19797" si="1914">$L$43&amp;" "&amp;L19749</f>
        <v>Empat Puluh Satu</v>
      </c>
    </row>
    <row r="19790" spans="1:12">
      <c r="J19790" s="31">
        <v>42</v>
      </c>
      <c r="K19790" s="33" t="s">
        <v>114</v>
      </c>
      <c r="L19790" s="31" t="str">
        <f t="shared" si="1914"/>
        <v>Empat Puluh Dua</v>
      </c>
    </row>
    <row r="19791" spans="1:12">
      <c r="A19791" s="38"/>
      <c r="J19791" s="31">
        <v>43</v>
      </c>
      <c r="K19791" s="33" t="s">
        <v>115</v>
      </c>
      <c r="L19791" s="31" t="str">
        <f t="shared" si="1914"/>
        <v>Empat Puluh Tiga</v>
      </c>
    </row>
    <row r="19792" spans="1:12">
      <c r="J19792" s="31">
        <v>44</v>
      </c>
      <c r="K19792" s="33" t="s">
        <v>116</v>
      </c>
      <c r="L19792" s="31" t="str">
        <f t="shared" si="1914"/>
        <v>Empat Puluh Empat</v>
      </c>
    </row>
    <row r="19793" spans="10:12">
      <c r="J19793" s="31">
        <v>45</v>
      </c>
      <c r="K19793" s="33" t="s">
        <v>117</v>
      </c>
      <c r="L19793" s="31" t="str">
        <f t="shared" si="1914"/>
        <v>Empat Puluh Lima</v>
      </c>
    </row>
    <row r="19794" spans="10:12">
      <c r="J19794" s="31">
        <v>46</v>
      </c>
      <c r="K19794" s="33" t="s">
        <v>118</v>
      </c>
      <c r="L19794" s="31" t="str">
        <f t="shared" si="1914"/>
        <v>Empat Puluh Enam</v>
      </c>
    </row>
    <row r="19795" spans="10:12">
      <c r="J19795" s="31">
        <v>47</v>
      </c>
      <c r="K19795" s="33" t="s">
        <v>119</v>
      </c>
      <c r="L19795" s="31" t="str">
        <f t="shared" si="1914"/>
        <v>Empat Puluh Tujuh</v>
      </c>
    </row>
    <row r="19796" spans="10:12">
      <c r="J19796" s="31">
        <v>48</v>
      </c>
      <c r="K19796" s="33" t="s">
        <v>120</v>
      </c>
      <c r="L19796" s="31" t="str">
        <f t="shared" si="1914"/>
        <v>Empat Puluh Delapan</v>
      </c>
    </row>
    <row r="19797" spans="10:12">
      <c r="J19797" s="31">
        <v>49</v>
      </c>
      <c r="K19797" s="33" t="s">
        <v>121</v>
      </c>
      <c r="L19797" s="31" t="str">
        <f t="shared" si="1914"/>
        <v>Empat Puluh Sembilan</v>
      </c>
    </row>
    <row r="19798" spans="10:12">
      <c r="J19798" s="31">
        <v>50</v>
      </c>
      <c r="K19798" s="33" t="s">
        <v>122</v>
      </c>
      <c r="L19798" s="31" t="s">
        <v>123</v>
      </c>
    </row>
    <row r="19799" spans="10:12">
      <c r="J19799" s="31">
        <v>51</v>
      </c>
      <c r="K19799" s="33" t="s">
        <v>124</v>
      </c>
      <c r="L19799" s="31" t="str">
        <f t="shared" ref="L19799:L19807" si="1915">$L$53&amp;" "&amp;L19749</f>
        <v>Lima Puluh Satu</v>
      </c>
    </row>
    <row r="19800" spans="10:12">
      <c r="J19800" s="31">
        <v>52</v>
      </c>
      <c r="K19800" s="33" t="s">
        <v>125</v>
      </c>
      <c r="L19800" s="31" t="str">
        <f t="shared" si="1915"/>
        <v>Lima Puluh Dua</v>
      </c>
    </row>
    <row r="19801" spans="10:12">
      <c r="J19801" s="31">
        <v>53</v>
      </c>
      <c r="K19801" s="33" t="s">
        <v>126</v>
      </c>
      <c r="L19801" s="31" t="str">
        <f t="shared" si="1915"/>
        <v>Lima Puluh Tiga</v>
      </c>
    </row>
    <row r="19802" spans="10:12">
      <c r="J19802" s="31">
        <v>54</v>
      </c>
      <c r="K19802" s="33" t="s">
        <v>127</v>
      </c>
      <c r="L19802" s="31" t="str">
        <f t="shared" si="1915"/>
        <v>Lima Puluh Empat</v>
      </c>
    </row>
    <row r="19803" spans="10:12">
      <c r="J19803" s="31">
        <v>55</v>
      </c>
      <c r="K19803" s="33" t="s">
        <v>128</v>
      </c>
      <c r="L19803" s="31" t="str">
        <f t="shared" si="1915"/>
        <v>Lima Puluh Lima</v>
      </c>
    </row>
    <row r="19804" spans="10:12">
      <c r="J19804" s="31">
        <v>56</v>
      </c>
      <c r="K19804" s="33" t="s">
        <v>129</v>
      </c>
      <c r="L19804" s="31" t="str">
        <f t="shared" si="1915"/>
        <v>Lima Puluh Enam</v>
      </c>
    </row>
    <row r="19805" spans="10:12">
      <c r="J19805" s="31">
        <v>57</v>
      </c>
      <c r="K19805" s="33" t="s">
        <v>130</v>
      </c>
      <c r="L19805" s="31" t="str">
        <f t="shared" si="1915"/>
        <v>Lima Puluh Tujuh</v>
      </c>
    </row>
    <row r="19806" spans="10:12">
      <c r="J19806" s="31">
        <v>58</v>
      </c>
      <c r="K19806" s="33" t="s">
        <v>131</v>
      </c>
      <c r="L19806" s="31" t="str">
        <f t="shared" si="1915"/>
        <v>Lima Puluh Delapan</v>
      </c>
    </row>
    <row r="19807" spans="10:12">
      <c r="J19807" s="31">
        <v>59</v>
      </c>
      <c r="K19807" s="33" t="s">
        <v>132</v>
      </c>
      <c r="L19807" s="31" t="str">
        <f t="shared" si="1915"/>
        <v>Lima Puluh Sembilan</v>
      </c>
    </row>
    <row r="19808" spans="10:12">
      <c r="J19808" s="31">
        <v>60</v>
      </c>
      <c r="K19808" s="33" t="s">
        <v>133</v>
      </c>
      <c r="L19808" s="31" t="s">
        <v>134</v>
      </c>
    </row>
    <row r="19809" spans="10:12">
      <c r="J19809" s="31">
        <v>61</v>
      </c>
      <c r="K19809" s="33" t="s">
        <v>135</v>
      </c>
      <c r="L19809" s="31" t="str">
        <f t="shared" ref="L19809:L19817" si="1916">$L$63&amp;" "&amp;L19749</f>
        <v>Enam Puluh Satu</v>
      </c>
    </row>
    <row r="19810" spans="10:12">
      <c r="J19810" s="31">
        <v>62</v>
      </c>
      <c r="K19810" s="33" t="s">
        <v>136</v>
      </c>
      <c r="L19810" s="31" t="str">
        <f t="shared" si="1916"/>
        <v>Enam Puluh Dua</v>
      </c>
    </row>
    <row r="19811" spans="10:12">
      <c r="J19811" s="31">
        <v>63</v>
      </c>
      <c r="K19811" s="33" t="s">
        <v>137</v>
      </c>
      <c r="L19811" s="31" t="str">
        <f t="shared" si="1916"/>
        <v>Enam Puluh Tiga</v>
      </c>
    </row>
    <row r="19812" spans="10:12">
      <c r="J19812" s="31">
        <v>64</v>
      </c>
      <c r="K19812" s="33" t="s">
        <v>138</v>
      </c>
      <c r="L19812" s="31" t="str">
        <f t="shared" si="1916"/>
        <v>Enam Puluh Empat</v>
      </c>
    </row>
    <row r="19813" spans="10:12">
      <c r="J19813" s="31">
        <v>65</v>
      </c>
      <c r="K19813" s="33" t="s">
        <v>139</v>
      </c>
      <c r="L19813" s="31" t="str">
        <f t="shared" si="1916"/>
        <v>Enam Puluh Lima</v>
      </c>
    </row>
    <row r="19814" spans="10:12">
      <c r="J19814" s="31">
        <v>66</v>
      </c>
      <c r="K19814" s="33" t="s">
        <v>140</v>
      </c>
      <c r="L19814" s="31" t="str">
        <f t="shared" si="1916"/>
        <v>Enam Puluh Enam</v>
      </c>
    </row>
    <row r="19815" spans="10:12">
      <c r="J19815" s="31">
        <v>67</v>
      </c>
      <c r="K19815" s="33" t="s">
        <v>141</v>
      </c>
      <c r="L19815" s="31" t="str">
        <f t="shared" si="1916"/>
        <v>Enam Puluh Tujuh</v>
      </c>
    </row>
    <row r="19816" spans="10:12">
      <c r="J19816" s="31">
        <v>68</v>
      </c>
      <c r="K19816" s="33" t="s">
        <v>142</v>
      </c>
      <c r="L19816" s="31" t="str">
        <f t="shared" si="1916"/>
        <v>Enam Puluh Delapan</v>
      </c>
    </row>
    <row r="19817" spans="10:12">
      <c r="J19817" s="31">
        <v>69</v>
      </c>
      <c r="K19817" s="33" t="s">
        <v>143</v>
      </c>
      <c r="L19817" s="31" t="str">
        <f t="shared" si="1916"/>
        <v>Enam Puluh Sembilan</v>
      </c>
    </row>
    <row r="19818" spans="10:12">
      <c r="J19818" s="31">
        <v>70</v>
      </c>
      <c r="K19818" s="33" t="s">
        <v>144</v>
      </c>
      <c r="L19818" s="31" t="s">
        <v>145</v>
      </c>
    </row>
    <row r="19819" spans="10:12">
      <c r="J19819" s="31">
        <v>71</v>
      </c>
      <c r="K19819" s="33" t="s">
        <v>146</v>
      </c>
      <c r="L19819" s="31" t="str">
        <f t="shared" ref="L19819:L19827" si="1917">$L$73&amp;" "&amp;L19749</f>
        <v>Tujuh Puluh Satu</v>
      </c>
    </row>
    <row r="19820" spans="10:12">
      <c r="J19820" s="31">
        <v>72</v>
      </c>
      <c r="K19820" s="33" t="s">
        <v>147</v>
      </c>
      <c r="L19820" s="31" t="str">
        <f t="shared" si="1917"/>
        <v>Tujuh Puluh Dua</v>
      </c>
    </row>
    <row r="19821" spans="10:12">
      <c r="J19821" s="31">
        <v>73</v>
      </c>
      <c r="K19821" s="33" t="s">
        <v>148</v>
      </c>
      <c r="L19821" s="31" t="str">
        <f t="shared" si="1917"/>
        <v>Tujuh Puluh Tiga</v>
      </c>
    </row>
    <row r="19822" spans="10:12">
      <c r="J19822" s="31">
        <v>74</v>
      </c>
      <c r="K19822" s="33" t="s">
        <v>149</v>
      </c>
      <c r="L19822" s="31" t="str">
        <f t="shared" si="1917"/>
        <v>Tujuh Puluh Empat</v>
      </c>
    </row>
    <row r="19823" spans="10:12">
      <c r="J19823" s="31">
        <v>75</v>
      </c>
      <c r="K19823" s="33" t="s">
        <v>150</v>
      </c>
      <c r="L19823" s="31" t="str">
        <f t="shared" si="1917"/>
        <v>Tujuh Puluh Lima</v>
      </c>
    </row>
    <row r="19824" spans="10:12">
      <c r="J19824" s="31">
        <v>76</v>
      </c>
      <c r="K19824" s="33" t="s">
        <v>151</v>
      </c>
      <c r="L19824" s="31" t="str">
        <f t="shared" si="1917"/>
        <v>Tujuh Puluh Enam</v>
      </c>
    </row>
    <row r="19825" spans="10:12">
      <c r="J19825" s="31">
        <v>77</v>
      </c>
      <c r="K19825" s="33" t="s">
        <v>152</v>
      </c>
      <c r="L19825" s="31" t="str">
        <f t="shared" si="1917"/>
        <v>Tujuh Puluh Tujuh</v>
      </c>
    </row>
    <row r="19826" spans="10:12">
      <c r="J19826" s="31">
        <v>78</v>
      </c>
      <c r="K19826" s="33" t="s">
        <v>153</v>
      </c>
      <c r="L19826" s="31" t="str">
        <f t="shared" si="1917"/>
        <v>Tujuh Puluh Delapan</v>
      </c>
    </row>
    <row r="19827" spans="10:12">
      <c r="J19827" s="31">
        <v>79</v>
      </c>
      <c r="K19827" s="33" t="s">
        <v>154</v>
      </c>
      <c r="L19827" s="31" t="str">
        <f t="shared" si="1917"/>
        <v>Tujuh Puluh Sembilan</v>
      </c>
    </row>
    <row r="19828" spans="10:12">
      <c r="J19828" s="31">
        <v>80</v>
      </c>
      <c r="K19828" s="33" t="s">
        <v>155</v>
      </c>
      <c r="L19828" s="31" t="s">
        <v>156</v>
      </c>
    </row>
    <row r="19829" spans="10:12">
      <c r="J19829" s="31">
        <v>81</v>
      </c>
      <c r="K19829" s="33" t="s">
        <v>157</v>
      </c>
      <c r="L19829" s="31" t="str">
        <f t="shared" ref="L19829:L19837" si="1918">$L$83&amp;" "&amp;L19749</f>
        <v>Delapan Puluh Satu</v>
      </c>
    </row>
    <row r="19830" spans="10:12">
      <c r="J19830" s="31">
        <v>82</v>
      </c>
      <c r="K19830" s="33" t="s">
        <v>158</v>
      </c>
      <c r="L19830" s="31" t="str">
        <f t="shared" si="1918"/>
        <v>Delapan Puluh Dua</v>
      </c>
    </row>
    <row r="19831" spans="10:12">
      <c r="J19831" s="31">
        <v>83</v>
      </c>
      <c r="K19831" s="33" t="s">
        <v>159</v>
      </c>
      <c r="L19831" s="31" t="str">
        <f t="shared" si="1918"/>
        <v>Delapan Puluh Tiga</v>
      </c>
    </row>
    <row r="19832" spans="10:12">
      <c r="J19832" s="31">
        <v>84</v>
      </c>
      <c r="K19832" s="33" t="s">
        <v>160</v>
      </c>
      <c r="L19832" s="31" t="str">
        <f t="shared" si="1918"/>
        <v>Delapan Puluh Empat</v>
      </c>
    </row>
    <row r="19833" spans="10:12">
      <c r="J19833" s="31">
        <v>85</v>
      </c>
      <c r="K19833" s="33" t="s">
        <v>161</v>
      </c>
      <c r="L19833" s="31" t="str">
        <f t="shared" si="1918"/>
        <v>Delapan Puluh Lima</v>
      </c>
    </row>
    <row r="19834" spans="10:12">
      <c r="J19834" s="31">
        <v>86</v>
      </c>
      <c r="K19834" s="33" t="s">
        <v>162</v>
      </c>
      <c r="L19834" s="31" t="str">
        <f t="shared" si="1918"/>
        <v>Delapan Puluh Enam</v>
      </c>
    </row>
    <row r="19835" spans="10:12">
      <c r="J19835" s="31">
        <v>87</v>
      </c>
      <c r="K19835" s="33" t="s">
        <v>163</v>
      </c>
      <c r="L19835" s="31" t="str">
        <f t="shared" si="1918"/>
        <v>Delapan Puluh Tujuh</v>
      </c>
    </row>
    <row r="19836" spans="10:12">
      <c r="J19836" s="31">
        <v>88</v>
      </c>
      <c r="K19836" s="33" t="s">
        <v>164</v>
      </c>
      <c r="L19836" s="31" t="str">
        <f t="shared" si="1918"/>
        <v>Delapan Puluh Delapan</v>
      </c>
    </row>
    <row r="19837" spans="10:12">
      <c r="J19837" s="31">
        <v>89</v>
      </c>
      <c r="K19837" s="33" t="s">
        <v>165</v>
      </c>
      <c r="L19837" s="31" t="str">
        <f t="shared" si="1918"/>
        <v>Delapan Puluh Sembilan</v>
      </c>
    </row>
    <row r="19838" spans="10:12">
      <c r="J19838" s="31">
        <v>90</v>
      </c>
      <c r="K19838" s="33" t="s">
        <v>166</v>
      </c>
      <c r="L19838" s="31" t="s">
        <v>167</v>
      </c>
    </row>
    <row r="19839" spans="10:12">
      <c r="J19839" s="31">
        <v>91</v>
      </c>
      <c r="K19839" s="33" t="s">
        <v>168</v>
      </c>
      <c r="L19839" s="31" t="str">
        <f t="shared" ref="L19839:L19847" si="1919">$L$93&amp;" "&amp;L19749</f>
        <v>Sembilan Puluh Satu</v>
      </c>
    </row>
    <row r="19840" spans="10:12">
      <c r="J19840" s="31">
        <v>92</v>
      </c>
      <c r="K19840" s="33" t="s">
        <v>169</v>
      </c>
      <c r="L19840" s="31" t="str">
        <f t="shared" si="1919"/>
        <v>Sembilan Puluh Dua</v>
      </c>
    </row>
    <row r="19841" spans="1:12">
      <c r="J19841" s="31">
        <v>93</v>
      </c>
      <c r="K19841" s="33" t="s">
        <v>170</v>
      </c>
      <c r="L19841" s="31" t="str">
        <f t="shared" si="1919"/>
        <v>Sembilan Puluh Tiga</v>
      </c>
    </row>
    <row r="19842" spans="1:12">
      <c r="J19842" s="31">
        <v>94</v>
      </c>
      <c r="K19842" s="33" t="s">
        <v>171</v>
      </c>
      <c r="L19842" s="31" t="str">
        <f t="shared" si="1919"/>
        <v>Sembilan Puluh Empat</v>
      </c>
    </row>
    <row r="19843" spans="1:12">
      <c r="J19843" s="31">
        <v>95</v>
      </c>
      <c r="K19843" s="33" t="s">
        <v>172</v>
      </c>
      <c r="L19843" s="31" t="str">
        <f t="shared" si="1919"/>
        <v>Sembilan Puluh Lima</v>
      </c>
    </row>
    <row r="19844" spans="1:12">
      <c r="J19844" s="31">
        <v>96</v>
      </c>
      <c r="K19844" s="33" t="s">
        <v>173</v>
      </c>
      <c r="L19844" s="31" t="str">
        <f t="shared" si="1919"/>
        <v>Sembilan Puluh Enam</v>
      </c>
    </row>
    <row r="19845" spans="1:12">
      <c r="J19845" s="31">
        <v>97</v>
      </c>
      <c r="K19845" s="33" t="s">
        <v>174</v>
      </c>
      <c r="L19845" s="31" t="str">
        <f t="shared" si="1919"/>
        <v>Sembilan Puluh Tujuh</v>
      </c>
    </row>
    <row r="19846" spans="1:12">
      <c r="J19846" s="31">
        <v>98</v>
      </c>
      <c r="K19846" s="33" t="s">
        <v>175</v>
      </c>
      <c r="L19846" s="31" t="str">
        <f t="shared" si="1919"/>
        <v>Sembilan Puluh Delapan</v>
      </c>
    </row>
    <row r="19847" spans="1:12">
      <c r="J19847" s="31">
        <v>99</v>
      </c>
      <c r="K19847" s="33" t="s">
        <v>176</v>
      </c>
      <c r="L19847" s="31" t="str">
        <f t="shared" si="1919"/>
        <v>Sembilan Puluh Sembilan</v>
      </c>
    </row>
    <row r="19849" spans="1:12">
      <c r="A19849" s="30" t="e">
        <f>#REF!</f>
        <v>#REF!</v>
      </c>
      <c r="C19849" s="31" t="s">
        <v>452</v>
      </c>
    </row>
    <row r="19850" spans="1:12">
      <c r="A19850" s="32"/>
    </row>
    <row r="19851" spans="1:12">
      <c r="J19851" s="31">
        <v>0</v>
      </c>
      <c r="K19851" s="33" t="s">
        <v>48</v>
      </c>
      <c r="L19851" s="31" t="s">
        <v>49</v>
      </c>
    </row>
    <row r="19852" spans="1:12">
      <c r="A19852" s="34"/>
      <c r="J19852" s="31">
        <v>1</v>
      </c>
      <c r="K19852" s="33" t="s">
        <v>50</v>
      </c>
      <c r="L19852" s="31" t="s">
        <v>51</v>
      </c>
    </row>
    <row r="19853" spans="1:12">
      <c r="A19853" s="255" t="e">
        <f>TRIM(D19861&amp;E19861&amp;D19862&amp;E19862&amp;D19863&amp;E19863&amp;D19864&amp;E19864&amp;D19865&amp;E19865&amp;D19866&amp;E19866&amp;E19867&amp;D19867&amp;" Only")</f>
        <v>#REF!</v>
      </c>
      <c r="B19853" s="255"/>
      <c r="C19853" s="255"/>
      <c r="D19853" s="255"/>
      <c r="E19853" s="35"/>
      <c r="F19853" s="36"/>
      <c r="J19853" s="31">
        <v>2</v>
      </c>
      <c r="K19853" s="33" t="s">
        <v>52</v>
      </c>
      <c r="L19853" s="31" t="s">
        <v>53</v>
      </c>
    </row>
    <row r="19854" spans="1:12">
      <c r="A19854" s="183"/>
      <c r="B19854" s="183"/>
      <c r="C19854" s="183"/>
      <c r="D19854" s="183"/>
      <c r="E19854" s="35"/>
      <c r="F19854" s="36"/>
      <c r="J19854" s="31">
        <v>3</v>
      </c>
      <c r="K19854" s="33" t="s">
        <v>54</v>
      </c>
      <c r="L19854" s="31" t="s">
        <v>55</v>
      </c>
    </row>
    <row r="19855" spans="1:12">
      <c r="A19855" s="183"/>
      <c r="B19855" s="183"/>
      <c r="C19855" s="183"/>
      <c r="D19855" s="183"/>
      <c r="J19855" s="31">
        <v>4</v>
      </c>
      <c r="K19855" s="33" t="s">
        <v>56</v>
      </c>
      <c r="L19855" s="31" t="s">
        <v>57</v>
      </c>
    </row>
    <row r="19856" spans="1:12">
      <c r="A19856" s="255" t="e">
        <f>TRIM(D19871&amp;E19871&amp;D19872&amp;E19872&amp;D19873&amp;E19873&amp;D19874&amp;E19874&amp;D19875&amp;E19875&amp;D19876&amp;E19876&amp;D19877&amp;E19877&amp;" Rupiah")</f>
        <v>#REF!</v>
      </c>
      <c r="B19856" s="255"/>
      <c r="C19856" s="255"/>
      <c r="D19856" s="255"/>
      <c r="E19856" s="35"/>
      <c r="F19856" s="36"/>
      <c r="J19856" s="31">
        <v>5</v>
      </c>
      <c r="K19856" s="33" t="s">
        <v>58</v>
      </c>
      <c r="L19856" s="31" t="s">
        <v>59</v>
      </c>
    </row>
    <row r="19857" spans="1:12">
      <c r="A19857" s="35"/>
      <c r="B19857" s="35"/>
      <c r="C19857" s="35"/>
      <c r="D19857" s="35"/>
      <c r="E19857" s="35"/>
      <c r="F19857" s="36"/>
      <c r="J19857" s="31">
        <v>6</v>
      </c>
      <c r="K19857" s="33" t="s">
        <v>60</v>
      </c>
      <c r="L19857" s="31" t="s">
        <v>61</v>
      </c>
    </row>
    <row r="19858" spans="1:12">
      <c r="J19858" s="31">
        <v>7</v>
      </c>
      <c r="K19858" s="33" t="s">
        <v>62</v>
      </c>
      <c r="L19858" s="31" t="s">
        <v>63</v>
      </c>
    </row>
    <row r="19859" spans="1:12">
      <c r="J19859" s="31">
        <v>8</v>
      </c>
      <c r="K19859" s="33" t="s">
        <v>64</v>
      </c>
      <c r="L19859" s="31" t="s">
        <v>65</v>
      </c>
    </row>
    <row r="19860" spans="1:12">
      <c r="A19860" s="38" t="s">
        <v>66</v>
      </c>
      <c r="J19860" s="31">
        <v>9</v>
      </c>
      <c r="K19860" s="33" t="s">
        <v>67</v>
      </c>
      <c r="L19860" s="31" t="s">
        <v>68</v>
      </c>
    </row>
    <row r="19861" spans="1:12">
      <c r="A19861" s="31" t="s">
        <v>69</v>
      </c>
      <c r="B19861" s="39" t="e">
        <f>TRUNC(A19849/100000000)</f>
        <v>#REF!</v>
      </c>
      <c r="C19861" s="31" t="e">
        <f>B19861*100000000</f>
        <v>#REF!</v>
      </c>
      <c r="D19861" s="31" t="e">
        <f t="shared" ref="D19861:D19867" si="1920">IF(B19861&lt;1,"",VLOOKUP(B19861,$J$3:$K$102,2))</f>
        <v>#REF!</v>
      </c>
      <c r="E19861" s="31" t="e">
        <f>IF(B19861&lt;1,"",IF(B19861&gt;1," Hundreds "," Hundred "))</f>
        <v>#REF!</v>
      </c>
      <c r="J19861" s="31">
        <v>10</v>
      </c>
      <c r="K19861" s="33" t="s">
        <v>70</v>
      </c>
      <c r="L19861" s="31" t="s">
        <v>71</v>
      </c>
    </row>
    <row r="19862" spans="1:12">
      <c r="A19862" s="31" t="s">
        <v>72</v>
      </c>
      <c r="B19862" s="39" t="e">
        <f>TRUNC((A19849-C19861)/1000000)</f>
        <v>#REF!</v>
      </c>
      <c r="C19862" s="31" t="e">
        <f>B19862*1000000</f>
        <v>#REF!</v>
      </c>
      <c r="D19862" s="31" t="e">
        <f t="shared" si="1920"/>
        <v>#REF!</v>
      </c>
      <c r="E19862" s="31" t="e">
        <f>IF(B19861+B19862=0,"",IF(B19862=1," Million "," Millions "))</f>
        <v>#REF!</v>
      </c>
      <c r="J19862" s="31">
        <v>11</v>
      </c>
      <c r="K19862" s="33" t="s">
        <v>73</v>
      </c>
      <c r="L19862" s="31" t="s">
        <v>74</v>
      </c>
    </row>
    <row r="19863" spans="1:12">
      <c r="A19863" s="31" t="s">
        <v>75</v>
      </c>
      <c r="B19863" s="39" t="e">
        <f>TRUNC((A19849-SUM(C19861:C19862))/100000)</f>
        <v>#REF!</v>
      </c>
      <c r="C19863" s="31" t="e">
        <f>B19863*100000</f>
        <v>#REF!</v>
      </c>
      <c r="D19863" s="31" t="e">
        <f t="shared" si="1920"/>
        <v>#REF!</v>
      </c>
      <c r="E19863" s="31" t="e">
        <f>IF(B19863&lt;1,"",IF(B19863&gt;1," Hundreds "," Hundred "))</f>
        <v>#REF!</v>
      </c>
      <c r="J19863" s="31">
        <v>12</v>
      </c>
      <c r="K19863" s="33" t="s">
        <v>76</v>
      </c>
      <c r="L19863" s="31" t="str">
        <f t="shared" ref="L19863:L19870" si="1921">L19853&amp;" Belas"</f>
        <v>Dua Belas</v>
      </c>
    </row>
    <row r="19864" spans="1:12">
      <c r="A19864" s="33" t="s">
        <v>77</v>
      </c>
      <c r="B19864" s="40" t="e">
        <f>TRUNC((A19849-SUM(C19861:C19863))/1000)</f>
        <v>#REF!</v>
      </c>
      <c r="C19864" s="31" t="e">
        <f>B19864*1000</f>
        <v>#REF!</v>
      </c>
      <c r="D19864" s="31" t="e">
        <f t="shared" si="1920"/>
        <v>#REF!</v>
      </c>
      <c r="E19864" s="31" t="e">
        <f>IF(B19863+B19864=0,"",IF(B19864=1," Thousand "," Thousands "))</f>
        <v>#REF!</v>
      </c>
      <c r="J19864" s="31">
        <v>13</v>
      </c>
      <c r="K19864" s="33" t="s">
        <v>78</v>
      </c>
      <c r="L19864" s="31" t="str">
        <f t="shared" si="1921"/>
        <v>Tiga Belas</v>
      </c>
    </row>
    <row r="19865" spans="1:12">
      <c r="A19865" s="33" t="s">
        <v>79</v>
      </c>
      <c r="B19865" s="40" t="e">
        <f>TRUNC((A19849-SUM(C19861:C19864))/100)</f>
        <v>#REF!</v>
      </c>
      <c r="C19865" s="31" t="e">
        <f>B19865*100</f>
        <v>#REF!</v>
      </c>
      <c r="D19865" s="31" t="e">
        <f t="shared" si="1920"/>
        <v>#REF!</v>
      </c>
      <c r="E19865" s="31" t="e">
        <f>IF(B19865&lt;1,"",IF(B19865&gt;1," Hundreds "," Hundred "))</f>
        <v>#REF!</v>
      </c>
      <c r="J19865" s="31">
        <v>14</v>
      </c>
      <c r="K19865" s="33" t="s">
        <v>80</v>
      </c>
      <c r="L19865" s="31" t="str">
        <f t="shared" si="1921"/>
        <v>Empat Belas</v>
      </c>
    </row>
    <row r="19866" spans="1:12">
      <c r="A19866" s="33" t="s">
        <v>81</v>
      </c>
      <c r="B19866" s="41" t="e">
        <f>TRUNC((A19849-SUM(C19861:C19865)))</f>
        <v>#REF!</v>
      </c>
      <c r="C19866" s="42" t="e">
        <f>B19866</f>
        <v>#REF!</v>
      </c>
      <c r="D19866" s="31" t="e">
        <f t="shared" si="1920"/>
        <v>#REF!</v>
      </c>
      <c r="E19866" s="31" t="e">
        <f>IF(SUM(C19861:C19866)&lt;1,"",IF(B19867&lt;1,""," And "))</f>
        <v>#REF!</v>
      </c>
      <c r="J19866" s="31">
        <v>15</v>
      </c>
      <c r="K19866" s="33" t="s">
        <v>82</v>
      </c>
      <c r="L19866" s="31" t="str">
        <f t="shared" si="1921"/>
        <v>Lima Belas</v>
      </c>
    </row>
    <row r="19867" spans="1:12">
      <c r="A19867" s="33" t="s">
        <v>83</v>
      </c>
      <c r="B19867" s="40" t="e">
        <f>ROUND(A19849-SUM(C19861:C19866),2)*100</f>
        <v>#REF!</v>
      </c>
      <c r="D19867" s="43" t="e">
        <f t="shared" si="1920"/>
        <v>#REF!</v>
      </c>
      <c r="E19867" s="31" t="e">
        <f>IF(B19867&lt;1,"",IF(B19867=1," Cent "," Cents "))</f>
        <v>#REF!</v>
      </c>
      <c r="J19867" s="31">
        <v>16</v>
      </c>
      <c r="K19867" s="33" t="s">
        <v>84</v>
      </c>
      <c r="L19867" s="31" t="str">
        <f t="shared" si="1921"/>
        <v>Enam Belas</v>
      </c>
    </row>
    <row r="19868" spans="1:12">
      <c r="J19868" s="31">
        <v>17</v>
      </c>
      <c r="K19868" s="33" t="s">
        <v>85</v>
      </c>
      <c r="L19868" s="31" t="str">
        <f t="shared" si="1921"/>
        <v>Tujuh Belas</v>
      </c>
    </row>
    <row r="19869" spans="1:12">
      <c r="A19869" s="44"/>
      <c r="J19869" s="31">
        <v>18</v>
      </c>
      <c r="K19869" s="33" t="s">
        <v>86</v>
      </c>
      <c r="L19869" s="31" t="str">
        <f t="shared" si="1921"/>
        <v>Delapan Belas</v>
      </c>
    </row>
    <row r="19870" spans="1:12">
      <c r="A19870" s="38" t="s">
        <v>87</v>
      </c>
      <c r="J19870" s="31">
        <v>19</v>
      </c>
      <c r="K19870" s="33" t="s">
        <v>88</v>
      </c>
      <c r="L19870" s="31" t="str">
        <f t="shared" si="1921"/>
        <v>Sembilan Belas</v>
      </c>
    </row>
    <row r="19871" spans="1:12">
      <c r="A19871" s="31" t="s">
        <v>69</v>
      </c>
      <c r="B19871" s="39" t="e">
        <f>TRUNC(A19849/100000000)</f>
        <v>#REF!</v>
      </c>
      <c r="C19871" s="31" t="e">
        <f>B19871*100000000</f>
        <v>#REF!</v>
      </c>
      <c r="D19871" s="31" t="e">
        <f>IF(B19871&lt;1,"",IF(B19871=1,"",VLOOKUP(B19871,$J$3:$L$102,3)))</f>
        <v>#REF!</v>
      </c>
      <c r="E19871" s="31" t="e">
        <f>IF(B19871&lt;1,"",IF(B19871=1,"Seratus "," Ratus "))</f>
        <v>#REF!</v>
      </c>
      <c r="J19871" s="31">
        <v>20</v>
      </c>
      <c r="K19871" s="33" t="s">
        <v>89</v>
      </c>
      <c r="L19871" s="31" t="s">
        <v>90</v>
      </c>
    </row>
    <row r="19872" spans="1:12">
      <c r="A19872" s="31" t="s">
        <v>72</v>
      </c>
      <c r="B19872" s="39" t="e">
        <f>TRUNC((A19849-C19871)/1000000)</f>
        <v>#REF!</v>
      </c>
      <c r="C19872" s="31" t="e">
        <f>B19872*1000000</f>
        <v>#REF!</v>
      </c>
      <c r="D19872" s="31" t="e">
        <f>IF(B19872&lt;1,"",VLOOKUP(B19872,$J$3:$L$102,3))</f>
        <v>#REF!</v>
      </c>
      <c r="E19872" s="31" t="e">
        <f>IF(B19871+B19872=0,""," Juta ")</f>
        <v>#REF!</v>
      </c>
      <c r="J19872" s="31">
        <v>21</v>
      </c>
      <c r="K19872" s="33" t="s">
        <v>91</v>
      </c>
      <c r="L19872" s="31" t="str">
        <f t="shared" ref="L19872:L19880" si="1922">$L$23&amp;" "&amp;L19852</f>
        <v>Dua Puluh Satu</v>
      </c>
    </row>
    <row r="19873" spans="1:12">
      <c r="A19873" s="31" t="s">
        <v>75</v>
      </c>
      <c r="B19873" s="39" t="e">
        <f>TRUNC((A19849-SUM(C19871:C19872))/100000)</f>
        <v>#REF!</v>
      </c>
      <c r="C19873" s="31" t="e">
        <f>B19873*100000</f>
        <v>#REF!</v>
      </c>
      <c r="D19873" s="31" t="e">
        <f>IF(B19873&lt;1,"",IF(B19873=1,"",VLOOKUP(B19873,$J$3:$L$102,3)))</f>
        <v>#REF!</v>
      </c>
      <c r="E19873" s="31" t="e">
        <f>IF(B19873&lt;1,"",IF(B19873=1," Seratus "," Ratus "))</f>
        <v>#REF!</v>
      </c>
      <c r="J19873" s="31">
        <v>22</v>
      </c>
      <c r="K19873" s="33" t="s">
        <v>92</v>
      </c>
      <c r="L19873" s="31" t="str">
        <f t="shared" si="1922"/>
        <v>Dua Puluh Dua</v>
      </c>
    </row>
    <row r="19874" spans="1:12">
      <c r="A19874" s="33" t="s">
        <v>77</v>
      </c>
      <c r="B19874" s="40" t="e">
        <f>TRUNC((A19849-SUM(C19871:C19873))/1000)</f>
        <v>#REF!</v>
      </c>
      <c r="C19874" s="31" t="e">
        <f>B19874*1000</f>
        <v>#REF!</v>
      </c>
      <c r="D19874" s="31" t="e">
        <f>IF(B19874&lt;1,"",IF(B19874=1,"",VLOOKUP(B19874,$J$3:$L$102,3)))</f>
        <v>#REF!</v>
      </c>
      <c r="E19874" s="31" t="e">
        <f>IF(B19873+B19874&lt;1,"",IF(B19874=1," Seribu "," Ribu "))</f>
        <v>#REF!</v>
      </c>
      <c r="J19874" s="31">
        <v>23</v>
      </c>
      <c r="K19874" s="33" t="s">
        <v>93</v>
      </c>
      <c r="L19874" s="31" t="str">
        <f t="shared" si="1922"/>
        <v>Dua Puluh Tiga</v>
      </c>
    </row>
    <row r="19875" spans="1:12">
      <c r="A19875" s="33" t="s">
        <v>79</v>
      </c>
      <c r="B19875" s="40" t="e">
        <f>TRUNC((A19849-SUM(C19871:C19874))/100)</f>
        <v>#REF!</v>
      </c>
      <c r="C19875" s="31" t="e">
        <f>B19875*100</f>
        <v>#REF!</v>
      </c>
      <c r="D19875" s="31" t="e">
        <f>IF(B19875&lt;1,"",IF(B19875=1,"",VLOOKUP(B19875,$J$3:$L$102,3)))</f>
        <v>#REF!</v>
      </c>
      <c r="E19875" s="31" t="e">
        <f>IF(B19875&lt;1,"",IF(B19875=1," Seratus "," Ratus "))</f>
        <v>#REF!</v>
      </c>
      <c r="J19875" s="31">
        <v>24</v>
      </c>
      <c r="K19875" s="33" t="s">
        <v>94</v>
      </c>
      <c r="L19875" s="31" t="str">
        <f t="shared" si="1922"/>
        <v>Dua Puluh Empat</v>
      </c>
    </row>
    <row r="19876" spans="1:12">
      <c r="A19876" s="33" t="s">
        <v>81</v>
      </c>
      <c r="B19876" s="41" t="e">
        <f>TRUNC((A19849-SUM(C19871:C19875)))</f>
        <v>#REF!</v>
      </c>
      <c r="C19876" s="42" t="e">
        <f>B19876</f>
        <v>#REF!</v>
      </c>
      <c r="D19876" s="31" t="e">
        <f>IF(B19876&lt;1,"",VLOOKUP(B19876,$J$3:$L$102,3))</f>
        <v>#REF!</v>
      </c>
      <c r="E19876" s="31" t="e">
        <f>IF(SUM(C19871:C19876)&lt;1,"",IF(B19877&lt;1,""," Dan "))</f>
        <v>#REF!</v>
      </c>
      <c r="J19876" s="31">
        <v>25</v>
      </c>
      <c r="K19876" s="33" t="s">
        <v>95</v>
      </c>
      <c r="L19876" s="31" t="str">
        <f t="shared" si="1922"/>
        <v>Dua Puluh Lima</v>
      </c>
    </row>
    <row r="19877" spans="1:12">
      <c r="A19877" s="33" t="s">
        <v>83</v>
      </c>
      <c r="B19877" s="40" t="e">
        <f>ROUND(A19849-SUM(C19871:C19876),2)*100</f>
        <v>#REF!</v>
      </c>
      <c r="D19877" s="31" t="e">
        <f>IF(B19877&lt;1,"",VLOOKUP(B19877,$J$3:$L$102,3))</f>
        <v>#REF!</v>
      </c>
      <c r="E19877" s="31" t="e">
        <f>IF(B19877&lt;1,""," Sen ")</f>
        <v>#REF!</v>
      </c>
      <c r="J19877" s="31">
        <v>26</v>
      </c>
      <c r="K19877" s="33" t="s">
        <v>96</v>
      </c>
      <c r="L19877" s="31" t="str">
        <f t="shared" si="1922"/>
        <v>Dua Puluh Enam</v>
      </c>
    </row>
    <row r="19878" spans="1:12">
      <c r="J19878" s="31">
        <v>27</v>
      </c>
      <c r="K19878" s="33" t="s">
        <v>97</v>
      </c>
      <c r="L19878" s="31" t="str">
        <f t="shared" si="1922"/>
        <v>Dua Puluh Tujuh</v>
      </c>
    </row>
    <row r="19879" spans="1:12">
      <c r="J19879" s="31">
        <v>28</v>
      </c>
      <c r="K19879" s="33" t="s">
        <v>98</v>
      </c>
      <c r="L19879" s="31" t="str">
        <f t="shared" si="1922"/>
        <v>Dua Puluh Delapan</v>
      </c>
    </row>
    <row r="19880" spans="1:12">
      <c r="J19880" s="31">
        <v>29</v>
      </c>
      <c r="K19880" s="33" t="s">
        <v>99</v>
      </c>
      <c r="L19880" s="31" t="str">
        <f t="shared" si="1922"/>
        <v>Dua Puluh Sembilan</v>
      </c>
    </row>
    <row r="19881" spans="1:12">
      <c r="J19881" s="31">
        <v>30</v>
      </c>
      <c r="K19881" s="33" t="s">
        <v>100</v>
      </c>
      <c r="L19881" s="31" t="s">
        <v>101</v>
      </c>
    </row>
    <row r="19882" spans="1:12">
      <c r="J19882" s="31">
        <v>31</v>
      </c>
      <c r="K19882" s="33" t="s">
        <v>102</v>
      </c>
      <c r="L19882" s="31" t="str">
        <f t="shared" ref="L19882:L19890" si="1923">$L$33&amp;" "&amp;L19852</f>
        <v>Tiga Puluh Satu</v>
      </c>
    </row>
    <row r="19883" spans="1:12">
      <c r="J19883" s="31">
        <v>32</v>
      </c>
      <c r="K19883" s="33" t="s">
        <v>103</v>
      </c>
      <c r="L19883" s="31" t="str">
        <f t="shared" si="1923"/>
        <v>Tiga Puluh Dua</v>
      </c>
    </row>
    <row r="19884" spans="1:12">
      <c r="J19884" s="31">
        <v>33</v>
      </c>
      <c r="K19884" s="33" t="s">
        <v>104</v>
      </c>
      <c r="L19884" s="31" t="str">
        <f t="shared" si="1923"/>
        <v>Tiga Puluh Tiga</v>
      </c>
    </row>
    <row r="19885" spans="1:12">
      <c r="J19885" s="31">
        <v>34</v>
      </c>
      <c r="K19885" s="33" t="s">
        <v>105</v>
      </c>
      <c r="L19885" s="31" t="str">
        <f t="shared" si="1923"/>
        <v>Tiga Puluh Empat</v>
      </c>
    </row>
    <row r="19886" spans="1:12">
      <c r="J19886" s="31">
        <v>35</v>
      </c>
      <c r="K19886" s="33" t="s">
        <v>106</v>
      </c>
      <c r="L19886" s="31" t="str">
        <f t="shared" si="1923"/>
        <v>Tiga Puluh Lima</v>
      </c>
    </row>
    <row r="19887" spans="1:12">
      <c r="J19887" s="31">
        <v>36</v>
      </c>
      <c r="K19887" s="33" t="s">
        <v>107</v>
      </c>
      <c r="L19887" s="31" t="str">
        <f t="shared" si="1923"/>
        <v>Tiga Puluh Enam</v>
      </c>
    </row>
    <row r="19888" spans="1:12">
      <c r="J19888" s="31">
        <v>37</v>
      </c>
      <c r="K19888" s="33" t="s">
        <v>108</v>
      </c>
      <c r="L19888" s="31" t="str">
        <f t="shared" si="1923"/>
        <v>Tiga Puluh Tujuh</v>
      </c>
    </row>
    <row r="19889" spans="1:12">
      <c r="J19889" s="31">
        <v>38</v>
      </c>
      <c r="K19889" s="33" t="s">
        <v>109</v>
      </c>
      <c r="L19889" s="31" t="str">
        <f t="shared" si="1923"/>
        <v>Tiga Puluh Delapan</v>
      </c>
    </row>
    <row r="19890" spans="1:12">
      <c r="J19890" s="31">
        <v>39</v>
      </c>
      <c r="K19890" s="33" t="s">
        <v>110</v>
      </c>
      <c r="L19890" s="31" t="str">
        <f t="shared" si="1923"/>
        <v>Tiga Puluh Sembilan</v>
      </c>
    </row>
    <row r="19891" spans="1:12">
      <c r="B19891" s="35"/>
      <c r="C19891" s="35"/>
      <c r="D19891" s="35"/>
      <c r="J19891" s="31">
        <v>40</v>
      </c>
      <c r="K19891" s="33" t="s">
        <v>111</v>
      </c>
      <c r="L19891" s="31" t="s">
        <v>112</v>
      </c>
    </row>
    <row r="19892" spans="1:12">
      <c r="A19892" s="35"/>
      <c r="B19892" s="35"/>
      <c r="C19892" s="35"/>
      <c r="D19892" s="35"/>
      <c r="J19892" s="31">
        <v>41</v>
      </c>
      <c r="K19892" s="33" t="s">
        <v>113</v>
      </c>
      <c r="L19892" s="31" t="str">
        <f t="shared" ref="L19892:L19900" si="1924">$L$43&amp;" "&amp;L19852</f>
        <v>Empat Puluh Satu</v>
      </c>
    </row>
    <row r="19893" spans="1:12">
      <c r="J19893" s="31">
        <v>42</v>
      </c>
      <c r="K19893" s="33" t="s">
        <v>114</v>
      </c>
      <c r="L19893" s="31" t="str">
        <f t="shared" si="1924"/>
        <v>Empat Puluh Dua</v>
      </c>
    </row>
    <row r="19894" spans="1:12">
      <c r="A19894" s="38"/>
      <c r="J19894" s="31">
        <v>43</v>
      </c>
      <c r="K19894" s="33" t="s">
        <v>115</v>
      </c>
      <c r="L19894" s="31" t="str">
        <f t="shared" si="1924"/>
        <v>Empat Puluh Tiga</v>
      </c>
    </row>
    <row r="19895" spans="1:12">
      <c r="J19895" s="31">
        <v>44</v>
      </c>
      <c r="K19895" s="33" t="s">
        <v>116</v>
      </c>
      <c r="L19895" s="31" t="str">
        <f t="shared" si="1924"/>
        <v>Empat Puluh Empat</v>
      </c>
    </row>
    <row r="19896" spans="1:12">
      <c r="J19896" s="31">
        <v>45</v>
      </c>
      <c r="K19896" s="33" t="s">
        <v>117</v>
      </c>
      <c r="L19896" s="31" t="str">
        <f t="shared" si="1924"/>
        <v>Empat Puluh Lima</v>
      </c>
    </row>
    <row r="19897" spans="1:12">
      <c r="J19897" s="31">
        <v>46</v>
      </c>
      <c r="K19897" s="33" t="s">
        <v>118</v>
      </c>
      <c r="L19897" s="31" t="str">
        <f t="shared" si="1924"/>
        <v>Empat Puluh Enam</v>
      </c>
    </row>
    <row r="19898" spans="1:12">
      <c r="J19898" s="31">
        <v>47</v>
      </c>
      <c r="K19898" s="33" t="s">
        <v>119</v>
      </c>
      <c r="L19898" s="31" t="str">
        <f t="shared" si="1924"/>
        <v>Empat Puluh Tujuh</v>
      </c>
    </row>
    <row r="19899" spans="1:12">
      <c r="J19899" s="31">
        <v>48</v>
      </c>
      <c r="K19899" s="33" t="s">
        <v>120</v>
      </c>
      <c r="L19899" s="31" t="str">
        <f t="shared" si="1924"/>
        <v>Empat Puluh Delapan</v>
      </c>
    </row>
    <row r="19900" spans="1:12">
      <c r="J19900" s="31">
        <v>49</v>
      </c>
      <c r="K19900" s="33" t="s">
        <v>121</v>
      </c>
      <c r="L19900" s="31" t="str">
        <f t="shared" si="1924"/>
        <v>Empat Puluh Sembilan</v>
      </c>
    </row>
    <row r="19901" spans="1:12">
      <c r="J19901" s="31">
        <v>50</v>
      </c>
      <c r="K19901" s="33" t="s">
        <v>122</v>
      </c>
      <c r="L19901" s="31" t="s">
        <v>123</v>
      </c>
    </row>
    <row r="19902" spans="1:12">
      <c r="J19902" s="31">
        <v>51</v>
      </c>
      <c r="K19902" s="33" t="s">
        <v>124</v>
      </c>
      <c r="L19902" s="31" t="str">
        <f t="shared" ref="L19902:L19910" si="1925">$L$53&amp;" "&amp;L19852</f>
        <v>Lima Puluh Satu</v>
      </c>
    </row>
    <row r="19903" spans="1:12">
      <c r="J19903" s="31">
        <v>52</v>
      </c>
      <c r="K19903" s="33" t="s">
        <v>125</v>
      </c>
      <c r="L19903" s="31" t="str">
        <f t="shared" si="1925"/>
        <v>Lima Puluh Dua</v>
      </c>
    </row>
    <row r="19904" spans="1:12">
      <c r="J19904" s="31">
        <v>53</v>
      </c>
      <c r="K19904" s="33" t="s">
        <v>126</v>
      </c>
      <c r="L19904" s="31" t="str">
        <f t="shared" si="1925"/>
        <v>Lima Puluh Tiga</v>
      </c>
    </row>
    <row r="19905" spans="10:12">
      <c r="J19905" s="31">
        <v>54</v>
      </c>
      <c r="K19905" s="33" t="s">
        <v>127</v>
      </c>
      <c r="L19905" s="31" t="str">
        <f t="shared" si="1925"/>
        <v>Lima Puluh Empat</v>
      </c>
    </row>
    <row r="19906" spans="10:12">
      <c r="J19906" s="31">
        <v>55</v>
      </c>
      <c r="K19906" s="33" t="s">
        <v>128</v>
      </c>
      <c r="L19906" s="31" t="str">
        <f t="shared" si="1925"/>
        <v>Lima Puluh Lima</v>
      </c>
    </row>
    <row r="19907" spans="10:12">
      <c r="J19907" s="31">
        <v>56</v>
      </c>
      <c r="K19907" s="33" t="s">
        <v>129</v>
      </c>
      <c r="L19907" s="31" t="str">
        <f t="shared" si="1925"/>
        <v>Lima Puluh Enam</v>
      </c>
    </row>
    <row r="19908" spans="10:12">
      <c r="J19908" s="31">
        <v>57</v>
      </c>
      <c r="K19908" s="33" t="s">
        <v>130</v>
      </c>
      <c r="L19908" s="31" t="str">
        <f t="shared" si="1925"/>
        <v>Lima Puluh Tujuh</v>
      </c>
    </row>
    <row r="19909" spans="10:12">
      <c r="J19909" s="31">
        <v>58</v>
      </c>
      <c r="K19909" s="33" t="s">
        <v>131</v>
      </c>
      <c r="L19909" s="31" t="str">
        <f t="shared" si="1925"/>
        <v>Lima Puluh Delapan</v>
      </c>
    </row>
    <row r="19910" spans="10:12">
      <c r="J19910" s="31">
        <v>59</v>
      </c>
      <c r="K19910" s="33" t="s">
        <v>132</v>
      </c>
      <c r="L19910" s="31" t="str">
        <f t="shared" si="1925"/>
        <v>Lima Puluh Sembilan</v>
      </c>
    </row>
    <row r="19911" spans="10:12">
      <c r="J19911" s="31">
        <v>60</v>
      </c>
      <c r="K19911" s="33" t="s">
        <v>133</v>
      </c>
      <c r="L19911" s="31" t="s">
        <v>134</v>
      </c>
    </row>
    <row r="19912" spans="10:12">
      <c r="J19912" s="31">
        <v>61</v>
      </c>
      <c r="K19912" s="33" t="s">
        <v>135</v>
      </c>
      <c r="L19912" s="31" t="str">
        <f t="shared" ref="L19912:L19920" si="1926">$L$63&amp;" "&amp;L19852</f>
        <v>Enam Puluh Satu</v>
      </c>
    </row>
    <row r="19913" spans="10:12">
      <c r="J19913" s="31">
        <v>62</v>
      </c>
      <c r="K19913" s="33" t="s">
        <v>136</v>
      </c>
      <c r="L19913" s="31" t="str">
        <f t="shared" si="1926"/>
        <v>Enam Puluh Dua</v>
      </c>
    </row>
    <row r="19914" spans="10:12">
      <c r="J19914" s="31">
        <v>63</v>
      </c>
      <c r="K19914" s="33" t="s">
        <v>137</v>
      </c>
      <c r="L19914" s="31" t="str">
        <f t="shared" si="1926"/>
        <v>Enam Puluh Tiga</v>
      </c>
    </row>
    <row r="19915" spans="10:12">
      <c r="J19915" s="31">
        <v>64</v>
      </c>
      <c r="K19915" s="33" t="s">
        <v>138</v>
      </c>
      <c r="L19915" s="31" t="str">
        <f t="shared" si="1926"/>
        <v>Enam Puluh Empat</v>
      </c>
    </row>
    <row r="19916" spans="10:12">
      <c r="J19916" s="31">
        <v>65</v>
      </c>
      <c r="K19916" s="33" t="s">
        <v>139</v>
      </c>
      <c r="L19916" s="31" t="str">
        <f t="shared" si="1926"/>
        <v>Enam Puluh Lima</v>
      </c>
    </row>
    <row r="19917" spans="10:12">
      <c r="J19917" s="31">
        <v>66</v>
      </c>
      <c r="K19917" s="33" t="s">
        <v>140</v>
      </c>
      <c r="L19917" s="31" t="str">
        <f t="shared" si="1926"/>
        <v>Enam Puluh Enam</v>
      </c>
    </row>
    <row r="19918" spans="10:12">
      <c r="J19918" s="31">
        <v>67</v>
      </c>
      <c r="K19918" s="33" t="s">
        <v>141</v>
      </c>
      <c r="L19918" s="31" t="str">
        <f t="shared" si="1926"/>
        <v>Enam Puluh Tujuh</v>
      </c>
    </row>
    <row r="19919" spans="10:12">
      <c r="J19919" s="31">
        <v>68</v>
      </c>
      <c r="K19919" s="33" t="s">
        <v>142</v>
      </c>
      <c r="L19919" s="31" t="str">
        <f t="shared" si="1926"/>
        <v>Enam Puluh Delapan</v>
      </c>
    </row>
    <row r="19920" spans="10:12">
      <c r="J19920" s="31">
        <v>69</v>
      </c>
      <c r="K19920" s="33" t="s">
        <v>143</v>
      </c>
      <c r="L19920" s="31" t="str">
        <f t="shared" si="1926"/>
        <v>Enam Puluh Sembilan</v>
      </c>
    </row>
    <row r="19921" spans="10:12">
      <c r="J19921" s="31">
        <v>70</v>
      </c>
      <c r="K19921" s="33" t="s">
        <v>144</v>
      </c>
      <c r="L19921" s="31" t="s">
        <v>145</v>
      </c>
    </row>
    <row r="19922" spans="10:12">
      <c r="J19922" s="31">
        <v>71</v>
      </c>
      <c r="K19922" s="33" t="s">
        <v>146</v>
      </c>
      <c r="L19922" s="31" t="str">
        <f t="shared" ref="L19922:L19930" si="1927">$L$73&amp;" "&amp;L19852</f>
        <v>Tujuh Puluh Satu</v>
      </c>
    </row>
    <row r="19923" spans="10:12">
      <c r="J19923" s="31">
        <v>72</v>
      </c>
      <c r="K19923" s="33" t="s">
        <v>147</v>
      </c>
      <c r="L19923" s="31" t="str">
        <f t="shared" si="1927"/>
        <v>Tujuh Puluh Dua</v>
      </c>
    </row>
    <row r="19924" spans="10:12">
      <c r="J19924" s="31">
        <v>73</v>
      </c>
      <c r="K19924" s="33" t="s">
        <v>148</v>
      </c>
      <c r="L19924" s="31" t="str">
        <f t="shared" si="1927"/>
        <v>Tujuh Puluh Tiga</v>
      </c>
    </row>
    <row r="19925" spans="10:12">
      <c r="J19925" s="31">
        <v>74</v>
      </c>
      <c r="K19925" s="33" t="s">
        <v>149</v>
      </c>
      <c r="L19925" s="31" t="str">
        <f t="shared" si="1927"/>
        <v>Tujuh Puluh Empat</v>
      </c>
    </row>
    <row r="19926" spans="10:12">
      <c r="J19926" s="31">
        <v>75</v>
      </c>
      <c r="K19926" s="33" t="s">
        <v>150</v>
      </c>
      <c r="L19926" s="31" t="str">
        <f t="shared" si="1927"/>
        <v>Tujuh Puluh Lima</v>
      </c>
    </row>
    <row r="19927" spans="10:12">
      <c r="J19927" s="31">
        <v>76</v>
      </c>
      <c r="K19927" s="33" t="s">
        <v>151</v>
      </c>
      <c r="L19927" s="31" t="str">
        <f t="shared" si="1927"/>
        <v>Tujuh Puluh Enam</v>
      </c>
    </row>
    <row r="19928" spans="10:12">
      <c r="J19928" s="31">
        <v>77</v>
      </c>
      <c r="K19928" s="33" t="s">
        <v>152</v>
      </c>
      <c r="L19928" s="31" t="str">
        <f t="shared" si="1927"/>
        <v>Tujuh Puluh Tujuh</v>
      </c>
    </row>
    <row r="19929" spans="10:12">
      <c r="J19929" s="31">
        <v>78</v>
      </c>
      <c r="K19929" s="33" t="s">
        <v>153</v>
      </c>
      <c r="L19929" s="31" t="str">
        <f t="shared" si="1927"/>
        <v>Tujuh Puluh Delapan</v>
      </c>
    </row>
    <row r="19930" spans="10:12">
      <c r="J19930" s="31">
        <v>79</v>
      </c>
      <c r="K19930" s="33" t="s">
        <v>154</v>
      </c>
      <c r="L19930" s="31" t="str">
        <f t="shared" si="1927"/>
        <v>Tujuh Puluh Sembilan</v>
      </c>
    </row>
    <row r="19931" spans="10:12">
      <c r="J19931" s="31">
        <v>80</v>
      </c>
      <c r="K19931" s="33" t="s">
        <v>155</v>
      </c>
      <c r="L19931" s="31" t="s">
        <v>156</v>
      </c>
    </row>
    <row r="19932" spans="10:12">
      <c r="J19932" s="31">
        <v>81</v>
      </c>
      <c r="K19932" s="33" t="s">
        <v>157</v>
      </c>
      <c r="L19932" s="31" t="str">
        <f t="shared" ref="L19932:L19940" si="1928">$L$83&amp;" "&amp;L19852</f>
        <v>Delapan Puluh Satu</v>
      </c>
    </row>
    <row r="19933" spans="10:12">
      <c r="J19933" s="31">
        <v>82</v>
      </c>
      <c r="K19933" s="33" t="s">
        <v>158</v>
      </c>
      <c r="L19933" s="31" t="str">
        <f t="shared" si="1928"/>
        <v>Delapan Puluh Dua</v>
      </c>
    </row>
    <row r="19934" spans="10:12">
      <c r="J19934" s="31">
        <v>83</v>
      </c>
      <c r="K19934" s="33" t="s">
        <v>159</v>
      </c>
      <c r="L19934" s="31" t="str">
        <f t="shared" si="1928"/>
        <v>Delapan Puluh Tiga</v>
      </c>
    </row>
    <row r="19935" spans="10:12">
      <c r="J19935" s="31">
        <v>84</v>
      </c>
      <c r="K19935" s="33" t="s">
        <v>160</v>
      </c>
      <c r="L19935" s="31" t="str">
        <f t="shared" si="1928"/>
        <v>Delapan Puluh Empat</v>
      </c>
    </row>
    <row r="19936" spans="10:12">
      <c r="J19936" s="31">
        <v>85</v>
      </c>
      <c r="K19936" s="33" t="s">
        <v>161</v>
      </c>
      <c r="L19936" s="31" t="str">
        <f t="shared" si="1928"/>
        <v>Delapan Puluh Lima</v>
      </c>
    </row>
    <row r="19937" spans="1:12">
      <c r="J19937" s="31">
        <v>86</v>
      </c>
      <c r="K19937" s="33" t="s">
        <v>162</v>
      </c>
      <c r="L19937" s="31" t="str">
        <f t="shared" si="1928"/>
        <v>Delapan Puluh Enam</v>
      </c>
    </row>
    <row r="19938" spans="1:12">
      <c r="J19938" s="31">
        <v>87</v>
      </c>
      <c r="K19938" s="33" t="s">
        <v>163</v>
      </c>
      <c r="L19938" s="31" t="str">
        <f t="shared" si="1928"/>
        <v>Delapan Puluh Tujuh</v>
      </c>
    </row>
    <row r="19939" spans="1:12">
      <c r="J19939" s="31">
        <v>88</v>
      </c>
      <c r="K19939" s="33" t="s">
        <v>164</v>
      </c>
      <c r="L19939" s="31" t="str">
        <f t="shared" si="1928"/>
        <v>Delapan Puluh Delapan</v>
      </c>
    </row>
    <row r="19940" spans="1:12">
      <c r="J19940" s="31">
        <v>89</v>
      </c>
      <c r="K19940" s="33" t="s">
        <v>165</v>
      </c>
      <c r="L19940" s="31" t="str">
        <f t="shared" si="1928"/>
        <v>Delapan Puluh Sembilan</v>
      </c>
    </row>
    <row r="19941" spans="1:12">
      <c r="J19941" s="31">
        <v>90</v>
      </c>
      <c r="K19941" s="33" t="s">
        <v>166</v>
      </c>
      <c r="L19941" s="31" t="s">
        <v>167</v>
      </c>
    </row>
    <row r="19942" spans="1:12">
      <c r="J19942" s="31">
        <v>91</v>
      </c>
      <c r="K19942" s="33" t="s">
        <v>168</v>
      </c>
      <c r="L19942" s="31" t="str">
        <f t="shared" ref="L19942:L19950" si="1929">$L$93&amp;" "&amp;L19852</f>
        <v>Sembilan Puluh Satu</v>
      </c>
    </row>
    <row r="19943" spans="1:12">
      <c r="J19943" s="31">
        <v>92</v>
      </c>
      <c r="K19943" s="33" t="s">
        <v>169</v>
      </c>
      <c r="L19943" s="31" t="str">
        <f t="shared" si="1929"/>
        <v>Sembilan Puluh Dua</v>
      </c>
    </row>
    <row r="19944" spans="1:12">
      <c r="J19944" s="31">
        <v>93</v>
      </c>
      <c r="K19944" s="33" t="s">
        <v>170</v>
      </c>
      <c r="L19944" s="31" t="str">
        <f t="shared" si="1929"/>
        <v>Sembilan Puluh Tiga</v>
      </c>
    </row>
    <row r="19945" spans="1:12">
      <c r="J19945" s="31">
        <v>94</v>
      </c>
      <c r="K19945" s="33" t="s">
        <v>171</v>
      </c>
      <c r="L19945" s="31" t="str">
        <f t="shared" si="1929"/>
        <v>Sembilan Puluh Empat</v>
      </c>
    </row>
    <row r="19946" spans="1:12">
      <c r="J19946" s="31">
        <v>95</v>
      </c>
      <c r="K19946" s="33" t="s">
        <v>172</v>
      </c>
      <c r="L19946" s="31" t="str">
        <f t="shared" si="1929"/>
        <v>Sembilan Puluh Lima</v>
      </c>
    </row>
    <row r="19947" spans="1:12">
      <c r="J19947" s="31">
        <v>96</v>
      </c>
      <c r="K19947" s="33" t="s">
        <v>173</v>
      </c>
      <c r="L19947" s="31" t="str">
        <f t="shared" si="1929"/>
        <v>Sembilan Puluh Enam</v>
      </c>
    </row>
    <row r="19948" spans="1:12">
      <c r="J19948" s="31">
        <v>97</v>
      </c>
      <c r="K19948" s="33" t="s">
        <v>174</v>
      </c>
      <c r="L19948" s="31" t="str">
        <f t="shared" si="1929"/>
        <v>Sembilan Puluh Tujuh</v>
      </c>
    </row>
    <row r="19949" spans="1:12">
      <c r="J19949" s="31">
        <v>98</v>
      </c>
      <c r="K19949" s="33" t="s">
        <v>175</v>
      </c>
      <c r="L19949" s="31" t="str">
        <f t="shared" si="1929"/>
        <v>Sembilan Puluh Delapan</v>
      </c>
    </row>
    <row r="19950" spans="1:12">
      <c r="J19950" s="31">
        <v>99</v>
      </c>
      <c r="K19950" s="33" t="s">
        <v>176</v>
      </c>
      <c r="L19950" s="31" t="str">
        <f t="shared" si="1929"/>
        <v>Sembilan Puluh Sembilan</v>
      </c>
    </row>
    <row r="19952" spans="1:12">
      <c r="A19952" s="30" t="e">
        <f>#REF!</f>
        <v>#REF!</v>
      </c>
      <c r="C19952" s="31" t="s">
        <v>453</v>
      </c>
    </row>
    <row r="19953" spans="1:12">
      <c r="A19953" s="32"/>
    </row>
    <row r="19954" spans="1:12">
      <c r="J19954" s="31">
        <v>0</v>
      </c>
      <c r="K19954" s="33" t="s">
        <v>48</v>
      </c>
      <c r="L19954" s="31" t="s">
        <v>49</v>
      </c>
    </row>
    <row r="19955" spans="1:12">
      <c r="A19955" s="34"/>
      <c r="J19955" s="31">
        <v>1</v>
      </c>
      <c r="K19955" s="33" t="s">
        <v>50</v>
      </c>
      <c r="L19955" s="31" t="s">
        <v>51</v>
      </c>
    </row>
    <row r="19956" spans="1:12">
      <c r="A19956" s="255" t="e">
        <f>TRIM(D19964&amp;E19964&amp;D19965&amp;E19965&amp;D19966&amp;E19966&amp;D19967&amp;E19967&amp;D19968&amp;E19968&amp;D19969&amp;E19969&amp;E19970&amp;D19970&amp;" Only")</f>
        <v>#REF!</v>
      </c>
      <c r="B19956" s="255"/>
      <c r="C19956" s="255"/>
      <c r="D19956" s="255"/>
      <c r="E19956" s="35"/>
      <c r="F19956" s="36"/>
      <c r="J19956" s="31">
        <v>2</v>
      </c>
      <c r="K19956" s="33" t="s">
        <v>52</v>
      </c>
      <c r="L19956" s="31" t="s">
        <v>53</v>
      </c>
    </row>
    <row r="19957" spans="1:12">
      <c r="A19957" s="183"/>
      <c r="B19957" s="183"/>
      <c r="C19957" s="183"/>
      <c r="D19957" s="183"/>
      <c r="E19957" s="35"/>
      <c r="F19957" s="36"/>
      <c r="J19957" s="31">
        <v>3</v>
      </c>
      <c r="K19957" s="33" t="s">
        <v>54</v>
      </c>
      <c r="L19957" s="31" t="s">
        <v>55</v>
      </c>
    </row>
    <row r="19958" spans="1:12">
      <c r="A19958" s="183"/>
      <c r="B19958" s="183"/>
      <c r="C19958" s="183"/>
      <c r="D19958" s="183"/>
      <c r="J19958" s="31">
        <v>4</v>
      </c>
      <c r="K19958" s="33" t="s">
        <v>56</v>
      </c>
      <c r="L19958" s="31" t="s">
        <v>57</v>
      </c>
    </row>
    <row r="19959" spans="1:12">
      <c r="A19959" s="255" t="e">
        <f>TRIM(D19974&amp;E19974&amp;D19975&amp;E19975&amp;D19976&amp;E19976&amp;D19977&amp;E19977&amp;D19978&amp;E19978&amp;D19979&amp;E19979&amp;D19980&amp;E19980&amp;" Rupiah")</f>
        <v>#REF!</v>
      </c>
      <c r="B19959" s="255"/>
      <c r="C19959" s="255"/>
      <c r="D19959" s="255"/>
      <c r="E19959" s="35"/>
      <c r="F19959" s="36"/>
      <c r="J19959" s="31">
        <v>5</v>
      </c>
      <c r="K19959" s="33" t="s">
        <v>58</v>
      </c>
      <c r="L19959" s="31" t="s">
        <v>59</v>
      </c>
    </row>
    <row r="19960" spans="1:12">
      <c r="A19960" s="35"/>
      <c r="B19960" s="35"/>
      <c r="C19960" s="35"/>
      <c r="D19960" s="35"/>
      <c r="E19960" s="35"/>
      <c r="F19960" s="36"/>
      <c r="J19960" s="31">
        <v>6</v>
      </c>
      <c r="K19960" s="33" t="s">
        <v>60</v>
      </c>
      <c r="L19960" s="31" t="s">
        <v>61</v>
      </c>
    </row>
    <row r="19961" spans="1:12">
      <c r="J19961" s="31">
        <v>7</v>
      </c>
      <c r="K19961" s="33" t="s">
        <v>62</v>
      </c>
      <c r="L19961" s="31" t="s">
        <v>63</v>
      </c>
    </row>
    <row r="19962" spans="1:12">
      <c r="J19962" s="31">
        <v>8</v>
      </c>
      <c r="K19962" s="33" t="s">
        <v>64</v>
      </c>
      <c r="L19962" s="31" t="s">
        <v>65</v>
      </c>
    </row>
    <row r="19963" spans="1:12">
      <c r="A19963" s="38" t="s">
        <v>66</v>
      </c>
      <c r="J19963" s="31">
        <v>9</v>
      </c>
      <c r="K19963" s="33" t="s">
        <v>67</v>
      </c>
      <c r="L19963" s="31" t="s">
        <v>68</v>
      </c>
    </row>
    <row r="19964" spans="1:12">
      <c r="A19964" s="31" t="s">
        <v>69</v>
      </c>
      <c r="B19964" s="39" t="e">
        <f>TRUNC(A19952/100000000)</f>
        <v>#REF!</v>
      </c>
      <c r="C19964" s="31" t="e">
        <f>B19964*100000000</f>
        <v>#REF!</v>
      </c>
      <c r="D19964" s="31" t="e">
        <f t="shared" ref="D19964:D19970" si="1930">IF(B19964&lt;1,"",VLOOKUP(B19964,$J$3:$K$102,2))</f>
        <v>#REF!</v>
      </c>
      <c r="E19964" s="31" t="e">
        <f>IF(B19964&lt;1,"",IF(B19964&gt;1," Hundreds "," Hundred "))</f>
        <v>#REF!</v>
      </c>
      <c r="J19964" s="31">
        <v>10</v>
      </c>
      <c r="K19964" s="33" t="s">
        <v>70</v>
      </c>
      <c r="L19964" s="31" t="s">
        <v>71</v>
      </c>
    </row>
    <row r="19965" spans="1:12">
      <c r="A19965" s="31" t="s">
        <v>72</v>
      </c>
      <c r="B19965" s="39" t="e">
        <f>TRUNC((A19952-C19964)/1000000)</f>
        <v>#REF!</v>
      </c>
      <c r="C19965" s="31" t="e">
        <f>B19965*1000000</f>
        <v>#REF!</v>
      </c>
      <c r="D19965" s="31" t="e">
        <f t="shared" si="1930"/>
        <v>#REF!</v>
      </c>
      <c r="E19965" s="31" t="e">
        <f>IF(B19964+B19965=0,"",IF(B19965=1," Million "," Millions "))</f>
        <v>#REF!</v>
      </c>
      <c r="J19965" s="31">
        <v>11</v>
      </c>
      <c r="K19965" s="33" t="s">
        <v>73</v>
      </c>
      <c r="L19965" s="31" t="s">
        <v>74</v>
      </c>
    </row>
    <row r="19966" spans="1:12">
      <c r="A19966" s="31" t="s">
        <v>75</v>
      </c>
      <c r="B19966" s="39" t="e">
        <f>TRUNC((A19952-SUM(C19964:C19965))/100000)</f>
        <v>#REF!</v>
      </c>
      <c r="C19966" s="31" t="e">
        <f>B19966*100000</f>
        <v>#REF!</v>
      </c>
      <c r="D19966" s="31" t="e">
        <f t="shared" si="1930"/>
        <v>#REF!</v>
      </c>
      <c r="E19966" s="31" t="e">
        <f>IF(B19966&lt;1,"",IF(B19966&gt;1," Hundreds "," Hundred "))</f>
        <v>#REF!</v>
      </c>
      <c r="J19966" s="31">
        <v>12</v>
      </c>
      <c r="K19966" s="33" t="s">
        <v>76</v>
      </c>
      <c r="L19966" s="31" t="str">
        <f t="shared" ref="L19966:L19973" si="1931">L19956&amp;" Belas"</f>
        <v>Dua Belas</v>
      </c>
    </row>
    <row r="19967" spans="1:12">
      <c r="A19967" s="33" t="s">
        <v>77</v>
      </c>
      <c r="B19967" s="40" t="e">
        <f>TRUNC((A19952-SUM(C19964:C19966))/1000)</f>
        <v>#REF!</v>
      </c>
      <c r="C19967" s="31" t="e">
        <f>B19967*1000</f>
        <v>#REF!</v>
      </c>
      <c r="D19967" s="31" t="e">
        <f t="shared" si="1930"/>
        <v>#REF!</v>
      </c>
      <c r="E19967" s="31" t="e">
        <f>IF(B19966+B19967=0,"",IF(B19967=1," Thousand "," Thousands "))</f>
        <v>#REF!</v>
      </c>
      <c r="J19967" s="31">
        <v>13</v>
      </c>
      <c r="K19967" s="33" t="s">
        <v>78</v>
      </c>
      <c r="L19967" s="31" t="str">
        <f t="shared" si="1931"/>
        <v>Tiga Belas</v>
      </c>
    </row>
    <row r="19968" spans="1:12">
      <c r="A19968" s="33" t="s">
        <v>79</v>
      </c>
      <c r="B19968" s="40" t="e">
        <f>TRUNC((A19952-SUM(C19964:C19967))/100)</f>
        <v>#REF!</v>
      </c>
      <c r="C19968" s="31" t="e">
        <f>B19968*100</f>
        <v>#REF!</v>
      </c>
      <c r="D19968" s="31" t="e">
        <f t="shared" si="1930"/>
        <v>#REF!</v>
      </c>
      <c r="E19968" s="31" t="e">
        <f>IF(B19968&lt;1,"",IF(B19968&gt;1," Hundreds "," Hundred "))</f>
        <v>#REF!</v>
      </c>
      <c r="J19968" s="31">
        <v>14</v>
      </c>
      <c r="K19968" s="33" t="s">
        <v>80</v>
      </c>
      <c r="L19968" s="31" t="str">
        <f t="shared" si="1931"/>
        <v>Empat Belas</v>
      </c>
    </row>
    <row r="19969" spans="1:12">
      <c r="A19969" s="33" t="s">
        <v>81</v>
      </c>
      <c r="B19969" s="41" t="e">
        <f>TRUNC((A19952-SUM(C19964:C19968)))</f>
        <v>#REF!</v>
      </c>
      <c r="C19969" s="42" t="e">
        <f>B19969</f>
        <v>#REF!</v>
      </c>
      <c r="D19969" s="31" t="e">
        <f t="shared" si="1930"/>
        <v>#REF!</v>
      </c>
      <c r="E19969" s="31" t="e">
        <f>IF(SUM(C19964:C19969)&lt;1,"",IF(B19970&lt;1,""," And "))</f>
        <v>#REF!</v>
      </c>
      <c r="J19969" s="31">
        <v>15</v>
      </c>
      <c r="K19969" s="33" t="s">
        <v>82</v>
      </c>
      <c r="L19969" s="31" t="str">
        <f t="shared" si="1931"/>
        <v>Lima Belas</v>
      </c>
    </row>
    <row r="19970" spans="1:12">
      <c r="A19970" s="33" t="s">
        <v>83</v>
      </c>
      <c r="B19970" s="40" t="e">
        <f>ROUND(A19952-SUM(C19964:C19969),2)*100</f>
        <v>#REF!</v>
      </c>
      <c r="D19970" s="43" t="e">
        <f t="shared" si="1930"/>
        <v>#REF!</v>
      </c>
      <c r="E19970" s="31" t="e">
        <f>IF(B19970&lt;1,"",IF(B19970=1," Cent "," Cents "))</f>
        <v>#REF!</v>
      </c>
      <c r="J19970" s="31">
        <v>16</v>
      </c>
      <c r="K19970" s="33" t="s">
        <v>84</v>
      </c>
      <c r="L19970" s="31" t="str">
        <f t="shared" si="1931"/>
        <v>Enam Belas</v>
      </c>
    </row>
    <row r="19971" spans="1:12">
      <c r="J19971" s="31">
        <v>17</v>
      </c>
      <c r="K19971" s="33" t="s">
        <v>85</v>
      </c>
      <c r="L19971" s="31" t="str">
        <f t="shared" si="1931"/>
        <v>Tujuh Belas</v>
      </c>
    </row>
    <row r="19972" spans="1:12">
      <c r="A19972" s="44"/>
      <c r="J19972" s="31">
        <v>18</v>
      </c>
      <c r="K19972" s="33" t="s">
        <v>86</v>
      </c>
      <c r="L19972" s="31" t="str">
        <f t="shared" si="1931"/>
        <v>Delapan Belas</v>
      </c>
    </row>
    <row r="19973" spans="1:12">
      <c r="A19973" s="38" t="s">
        <v>87</v>
      </c>
      <c r="J19973" s="31">
        <v>19</v>
      </c>
      <c r="K19973" s="33" t="s">
        <v>88</v>
      </c>
      <c r="L19973" s="31" t="str">
        <f t="shared" si="1931"/>
        <v>Sembilan Belas</v>
      </c>
    </row>
    <row r="19974" spans="1:12">
      <c r="A19974" s="31" t="s">
        <v>69</v>
      </c>
      <c r="B19974" s="39" t="e">
        <f>TRUNC(A19952/100000000)</f>
        <v>#REF!</v>
      </c>
      <c r="C19974" s="31" t="e">
        <f>B19974*100000000</f>
        <v>#REF!</v>
      </c>
      <c r="D19974" s="31" t="e">
        <f>IF(B19974&lt;1,"",IF(B19974=1,"",VLOOKUP(B19974,$J$3:$L$102,3)))</f>
        <v>#REF!</v>
      </c>
      <c r="E19974" s="31" t="e">
        <f>IF(B19974&lt;1,"",IF(B19974=1,"Seratus "," Ratus "))</f>
        <v>#REF!</v>
      </c>
      <c r="J19974" s="31">
        <v>20</v>
      </c>
      <c r="K19974" s="33" t="s">
        <v>89</v>
      </c>
      <c r="L19974" s="31" t="s">
        <v>90</v>
      </c>
    </row>
    <row r="19975" spans="1:12">
      <c r="A19975" s="31" t="s">
        <v>72</v>
      </c>
      <c r="B19975" s="39" t="e">
        <f>TRUNC((A19952-C19974)/1000000)</f>
        <v>#REF!</v>
      </c>
      <c r="C19975" s="31" t="e">
        <f>B19975*1000000</f>
        <v>#REF!</v>
      </c>
      <c r="D19975" s="31" t="e">
        <f>IF(B19975&lt;1,"",VLOOKUP(B19975,$J$3:$L$102,3))</f>
        <v>#REF!</v>
      </c>
      <c r="E19975" s="31" t="e">
        <f>IF(B19974+B19975=0,""," Juta ")</f>
        <v>#REF!</v>
      </c>
      <c r="J19975" s="31">
        <v>21</v>
      </c>
      <c r="K19975" s="33" t="s">
        <v>91</v>
      </c>
      <c r="L19975" s="31" t="str">
        <f t="shared" ref="L19975:L19983" si="1932">$L$23&amp;" "&amp;L19955</f>
        <v>Dua Puluh Satu</v>
      </c>
    </row>
    <row r="19976" spans="1:12">
      <c r="A19976" s="31" t="s">
        <v>75</v>
      </c>
      <c r="B19976" s="39" t="e">
        <f>TRUNC((A19952-SUM(C19974:C19975))/100000)</f>
        <v>#REF!</v>
      </c>
      <c r="C19976" s="31" t="e">
        <f>B19976*100000</f>
        <v>#REF!</v>
      </c>
      <c r="D19976" s="31" t="e">
        <f>IF(B19976&lt;1,"",IF(B19976=1,"",VLOOKUP(B19976,$J$3:$L$102,3)))</f>
        <v>#REF!</v>
      </c>
      <c r="E19976" s="31" t="e">
        <f>IF(B19976&lt;1,"",IF(B19976=1," Seratus "," Ratus "))</f>
        <v>#REF!</v>
      </c>
      <c r="J19976" s="31">
        <v>22</v>
      </c>
      <c r="K19976" s="33" t="s">
        <v>92</v>
      </c>
      <c r="L19976" s="31" t="str">
        <f t="shared" si="1932"/>
        <v>Dua Puluh Dua</v>
      </c>
    </row>
    <row r="19977" spans="1:12">
      <c r="A19977" s="33" t="s">
        <v>77</v>
      </c>
      <c r="B19977" s="40" t="e">
        <f>TRUNC((A19952-SUM(C19974:C19976))/1000)</f>
        <v>#REF!</v>
      </c>
      <c r="C19977" s="31" t="e">
        <f>B19977*1000</f>
        <v>#REF!</v>
      </c>
      <c r="D19977" s="31" t="e">
        <f>IF(B19977&lt;1,"",IF(B19977=1,"",VLOOKUP(B19977,$J$3:$L$102,3)))</f>
        <v>#REF!</v>
      </c>
      <c r="E19977" s="31" t="e">
        <f>IF(B19976+B19977&lt;1,"",IF(B19977=1," Seribu "," Ribu "))</f>
        <v>#REF!</v>
      </c>
      <c r="J19977" s="31">
        <v>23</v>
      </c>
      <c r="K19977" s="33" t="s">
        <v>93</v>
      </c>
      <c r="L19977" s="31" t="str">
        <f t="shared" si="1932"/>
        <v>Dua Puluh Tiga</v>
      </c>
    </row>
    <row r="19978" spans="1:12">
      <c r="A19978" s="33" t="s">
        <v>79</v>
      </c>
      <c r="B19978" s="40" t="e">
        <f>TRUNC((A19952-SUM(C19974:C19977))/100)</f>
        <v>#REF!</v>
      </c>
      <c r="C19978" s="31" t="e">
        <f>B19978*100</f>
        <v>#REF!</v>
      </c>
      <c r="D19978" s="31" t="e">
        <f>IF(B19978&lt;1,"",IF(B19978=1,"",VLOOKUP(B19978,$J$3:$L$102,3)))</f>
        <v>#REF!</v>
      </c>
      <c r="E19978" s="31" t="e">
        <f>IF(B19978&lt;1,"",IF(B19978=1," Seratus "," Ratus "))</f>
        <v>#REF!</v>
      </c>
      <c r="J19978" s="31">
        <v>24</v>
      </c>
      <c r="K19978" s="33" t="s">
        <v>94</v>
      </c>
      <c r="L19978" s="31" t="str">
        <f t="shared" si="1932"/>
        <v>Dua Puluh Empat</v>
      </c>
    </row>
    <row r="19979" spans="1:12">
      <c r="A19979" s="33" t="s">
        <v>81</v>
      </c>
      <c r="B19979" s="41" t="e">
        <f>TRUNC((A19952-SUM(C19974:C19978)))</f>
        <v>#REF!</v>
      </c>
      <c r="C19979" s="42" t="e">
        <f>B19979</f>
        <v>#REF!</v>
      </c>
      <c r="D19979" s="31" t="e">
        <f>IF(B19979&lt;1,"",VLOOKUP(B19979,$J$3:$L$102,3))</f>
        <v>#REF!</v>
      </c>
      <c r="E19979" s="31" t="e">
        <f>IF(SUM(C19974:C19979)&lt;1,"",IF(B19980&lt;1,""," Dan "))</f>
        <v>#REF!</v>
      </c>
      <c r="J19979" s="31">
        <v>25</v>
      </c>
      <c r="K19979" s="33" t="s">
        <v>95</v>
      </c>
      <c r="L19979" s="31" t="str">
        <f t="shared" si="1932"/>
        <v>Dua Puluh Lima</v>
      </c>
    </row>
    <row r="19980" spans="1:12">
      <c r="A19980" s="33" t="s">
        <v>83</v>
      </c>
      <c r="B19980" s="40" t="e">
        <f>ROUND(A19952-SUM(C19974:C19979),2)*100</f>
        <v>#REF!</v>
      </c>
      <c r="D19980" s="31" t="e">
        <f>IF(B19980&lt;1,"",VLOOKUP(B19980,$J$3:$L$102,3))</f>
        <v>#REF!</v>
      </c>
      <c r="E19980" s="31" t="e">
        <f>IF(B19980&lt;1,""," Sen ")</f>
        <v>#REF!</v>
      </c>
      <c r="J19980" s="31">
        <v>26</v>
      </c>
      <c r="K19980" s="33" t="s">
        <v>96</v>
      </c>
      <c r="L19980" s="31" t="str">
        <f t="shared" si="1932"/>
        <v>Dua Puluh Enam</v>
      </c>
    </row>
    <row r="19981" spans="1:12">
      <c r="J19981" s="31">
        <v>27</v>
      </c>
      <c r="K19981" s="33" t="s">
        <v>97</v>
      </c>
      <c r="L19981" s="31" t="str">
        <f t="shared" si="1932"/>
        <v>Dua Puluh Tujuh</v>
      </c>
    </row>
    <row r="19982" spans="1:12">
      <c r="J19982" s="31">
        <v>28</v>
      </c>
      <c r="K19982" s="33" t="s">
        <v>98</v>
      </c>
      <c r="L19982" s="31" t="str">
        <f t="shared" si="1932"/>
        <v>Dua Puluh Delapan</v>
      </c>
    </row>
    <row r="19983" spans="1:12">
      <c r="J19983" s="31">
        <v>29</v>
      </c>
      <c r="K19983" s="33" t="s">
        <v>99</v>
      </c>
      <c r="L19983" s="31" t="str">
        <f t="shared" si="1932"/>
        <v>Dua Puluh Sembilan</v>
      </c>
    </row>
    <row r="19984" spans="1:12">
      <c r="J19984" s="31">
        <v>30</v>
      </c>
      <c r="K19984" s="33" t="s">
        <v>100</v>
      </c>
      <c r="L19984" s="31" t="s">
        <v>101</v>
      </c>
    </row>
    <row r="19985" spans="1:12">
      <c r="J19985" s="31">
        <v>31</v>
      </c>
      <c r="K19985" s="33" t="s">
        <v>102</v>
      </c>
      <c r="L19985" s="31" t="str">
        <f t="shared" ref="L19985:L19993" si="1933">$L$33&amp;" "&amp;L19955</f>
        <v>Tiga Puluh Satu</v>
      </c>
    </row>
    <row r="19986" spans="1:12">
      <c r="J19986" s="31">
        <v>32</v>
      </c>
      <c r="K19986" s="33" t="s">
        <v>103</v>
      </c>
      <c r="L19986" s="31" t="str">
        <f t="shared" si="1933"/>
        <v>Tiga Puluh Dua</v>
      </c>
    </row>
    <row r="19987" spans="1:12">
      <c r="J19987" s="31">
        <v>33</v>
      </c>
      <c r="K19987" s="33" t="s">
        <v>104</v>
      </c>
      <c r="L19987" s="31" t="str">
        <f t="shared" si="1933"/>
        <v>Tiga Puluh Tiga</v>
      </c>
    </row>
    <row r="19988" spans="1:12">
      <c r="J19988" s="31">
        <v>34</v>
      </c>
      <c r="K19988" s="33" t="s">
        <v>105</v>
      </c>
      <c r="L19988" s="31" t="str">
        <f t="shared" si="1933"/>
        <v>Tiga Puluh Empat</v>
      </c>
    </row>
    <row r="19989" spans="1:12">
      <c r="J19989" s="31">
        <v>35</v>
      </c>
      <c r="K19989" s="33" t="s">
        <v>106</v>
      </c>
      <c r="L19989" s="31" t="str">
        <f t="shared" si="1933"/>
        <v>Tiga Puluh Lima</v>
      </c>
    </row>
    <row r="19990" spans="1:12">
      <c r="J19990" s="31">
        <v>36</v>
      </c>
      <c r="K19990" s="33" t="s">
        <v>107</v>
      </c>
      <c r="L19990" s="31" t="str">
        <f t="shared" si="1933"/>
        <v>Tiga Puluh Enam</v>
      </c>
    </row>
    <row r="19991" spans="1:12">
      <c r="J19991" s="31">
        <v>37</v>
      </c>
      <c r="K19991" s="33" t="s">
        <v>108</v>
      </c>
      <c r="L19991" s="31" t="str">
        <f t="shared" si="1933"/>
        <v>Tiga Puluh Tujuh</v>
      </c>
    </row>
    <row r="19992" spans="1:12">
      <c r="J19992" s="31">
        <v>38</v>
      </c>
      <c r="K19992" s="33" t="s">
        <v>109</v>
      </c>
      <c r="L19992" s="31" t="str">
        <f t="shared" si="1933"/>
        <v>Tiga Puluh Delapan</v>
      </c>
    </row>
    <row r="19993" spans="1:12">
      <c r="J19993" s="31">
        <v>39</v>
      </c>
      <c r="K19993" s="33" t="s">
        <v>110</v>
      </c>
      <c r="L19993" s="31" t="str">
        <f t="shared" si="1933"/>
        <v>Tiga Puluh Sembilan</v>
      </c>
    </row>
    <row r="19994" spans="1:12">
      <c r="B19994" s="35"/>
      <c r="C19994" s="35"/>
      <c r="D19994" s="35"/>
      <c r="J19994" s="31">
        <v>40</v>
      </c>
      <c r="K19994" s="33" t="s">
        <v>111</v>
      </c>
      <c r="L19994" s="31" t="s">
        <v>112</v>
      </c>
    </row>
    <row r="19995" spans="1:12">
      <c r="A19995" s="35"/>
      <c r="B19995" s="35"/>
      <c r="C19995" s="35"/>
      <c r="D19995" s="35"/>
      <c r="J19995" s="31">
        <v>41</v>
      </c>
      <c r="K19995" s="33" t="s">
        <v>113</v>
      </c>
      <c r="L19995" s="31" t="str">
        <f t="shared" ref="L19995:L20003" si="1934">$L$43&amp;" "&amp;L19955</f>
        <v>Empat Puluh Satu</v>
      </c>
    </row>
    <row r="19996" spans="1:12">
      <c r="J19996" s="31">
        <v>42</v>
      </c>
      <c r="K19996" s="33" t="s">
        <v>114</v>
      </c>
      <c r="L19996" s="31" t="str">
        <f t="shared" si="1934"/>
        <v>Empat Puluh Dua</v>
      </c>
    </row>
    <row r="19997" spans="1:12">
      <c r="A19997" s="38"/>
      <c r="J19997" s="31">
        <v>43</v>
      </c>
      <c r="K19997" s="33" t="s">
        <v>115</v>
      </c>
      <c r="L19997" s="31" t="str">
        <f t="shared" si="1934"/>
        <v>Empat Puluh Tiga</v>
      </c>
    </row>
    <row r="19998" spans="1:12">
      <c r="J19998" s="31">
        <v>44</v>
      </c>
      <c r="K19998" s="33" t="s">
        <v>116</v>
      </c>
      <c r="L19998" s="31" t="str">
        <f t="shared" si="1934"/>
        <v>Empat Puluh Empat</v>
      </c>
    </row>
    <row r="19999" spans="1:12">
      <c r="J19999" s="31">
        <v>45</v>
      </c>
      <c r="K19999" s="33" t="s">
        <v>117</v>
      </c>
      <c r="L19999" s="31" t="str">
        <f t="shared" si="1934"/>
        <v>Empat Puluh Lima</v>
      </c>
    </row>
    <row r="20000" spans="1:12">
      <c r="J20000" s="31">
        <v>46</v>
      </c>
      <c r="K20000" s="33" t="s">
        <v>118</v>
      </c>
      <c r="L20000" s="31" t="str">
        <f t="shared" si="1934"/>
        <v>Empat Puluh Enam</v>
      </c>
    </row>
    <row r="20001" spans="10:12">
      <c r="J20001" s="31">
        <v>47</v>
      </c>
      <c r="K20001" s="33" t="s">
        <v>119</v>
      </c>
      <c r="L20001" s="31" t="str">
        <f t="shared" si="1934"/>
        <v>Empat Puluh Tujuh</v>
      </c>
    </row>
    <row r="20002" spans="10:12">
      <c r="J20002" s="31">
        <v>48</v>
      </c>
      <c r="K20002" s="33" t="s">
        <v>120</v>
      </c>
      <c r="L20002" s="31" t="str">
        <f t="shared" si="1934"/>
        <v>Empat Puluh Delapan</v>
      </c>
    </row>
    <row r="20003" spans="10:12">
      <c r="J20003" s="31">
        <v>49</v>
      </c>
      <c r="K20003" s="33" t="s">
        <v>121</v>
      </c>
      <c r="L20003" s="31" t="str">
        <f t="shared" si="1934"/>
        <v>Empat Puluh Sembilan</v>
      </c>
    </row>
    <row r="20004" spans="10:12">
      <c r="J20004" s="31">
        <v>50</v>
      </c>
      <c r="K20004" s="33" t="s">
        <v>122</v>
      </c>
      <c r="L20004" s="31" t="s">
        <v>123</v>
      </c>
    </row>
    <row r="20005" spans="10:12">
      <c r="J20005" s="31">
        <v>51</v>
      </c>
      <c r="K20005" s="33" t="s">
        <v>124</v>
      </c>
      <c r="L20005" s="31" t="str">
        <f t="shared" ref="L20005:L20013" si="1935">$L$53&amp;" "&amp;L19955</f>
        <v>Lima Puluh Satu</v>
      </c>
    </row>
    <row r="20006" spans="10:12">
      <c r="J20006" s="31">
        <v>52</v>
      </c>
      <c r="K20006" s="33" t="s">
        <v>125</v>
      </c>
      <c r="L20006" s="31" t="str">
        <f t="shared" si="1935"/>
        <v>Lima Puluh Dua</v>
      </c>
    </row>
    <row r="20007" spans="10:12">
      <c r="J20007" s="31">
        <v>53</v>
      </c>
      <c r="K20007" s="33" t="s">
        <v>126</v>
      </c>
      <c r="L20007" s="31" t="str">
        <f t="shared" si="1935"/>
        <v>Lima Puluh Tiga</v>
      </c>
    </row>
    <row r="20008" spans="10:12">
      <c r="J20008" s="31">
        <v>54</v>
      </c>
      <c r="K20008" s="33" t="s">
        <v>127</v>
      </c>
      <c r="L20008" s="31" t="str">
        <f t="shared" si="1935"/>
        <v>Lima Puluh Empat</v>
      </c>
    </row>
    <row r="20009" spans="10:12">
      <c r="J20009" s="31">
        <v>55</v>
      </c>
      <c r="K20009" s="33" t="s">
        <v>128</v>
      </c>
      <c r="L20009" s="31" t="str">
        <f t="shared" si="1935"/>
        <v>Lima Puluh Lima</v>
      </c>
    </row>
    <row r="20010" spans="10:12">
      <c r="J20010" s="31">
        <v>56</v>
      </c>
      <c r="K20010" s="33" t="s">
        <v>129</v>
      </c>
      <c r="L20010" s="31" t="str">
        <f t="shared" si="1935"/>
        <v>Lima Puluh Enam</v>
      </c>
    </row>
    <row r="20011" spans="10:12">
      <c r="J20011" s="31">
        <v>57</v>
      </c>
      <c r="K20011" s="33" t="s">
        <v>130</v>
      </c>
      <c r="L20011" s="31" t="str">
        <f t="shared" si="1935"/>
        <v>Lima Puluh Tujuh</v>
      </c>
    </row>
    <row r="20012" spans="10:12">
      <c r="J20012" s="31">
        <v>58</v>
      </c>
      <c r="K20012" s="33" t="s">
        <v>131</v>
      </c>
      <c r="L20012" s="31" t="str">
        <f t="shared" si="1935"/>
        <v>Lima Puluh Delapan</v>
      </c>
    </row>
    <row r="20013" spans="10:12">
      <c r="J20013" s="31">
        <v>59</v>
      </c>
      <c r="K20013" s="33" t="s">
        <v>132</v>
      </c>
      <c r="L20013" s="31" t="str">
        <f t="shared" si="1935"/>
        <v>Lima Puluh Sembilan</v>
      </c>
    </row>
    <row r="20014" spans="10:12">
      <c r="J20014" s="31">
        <v>60</v>
      </c>
      <c r="K20014" s="33" t="s">
        <v>133</v>
      </c>
      <c r="L20014" s="31" t="s">
        <v>134</v>
      </c>
    </row>
    <row r="20015" spans="10:12">
      <c r="J20015" s="31">
        <v>61</v>
      </c>
      <c r="K20015" s="33" t="s">
        <v>135</v>
      </c>
      <c r="L20015" s="31" t="str">
        <f t="shared" ref="L20015:L20023" si="1936">$L$63&amp;" "&amp;L19955</f>
        <v>Enam Puluh Satu</v>
      </c>
    </row>
    <row r="20016" spans="10:12">
      <c r="J20016" s="31">
        <v>62</v>
      </c>
      <c r="K20016" s="33" t="s">
        <v>136</v>
      </c>
      <c r="L20016" s="31" t="str">
        <f t="shared" si="1936"/>
        <v>Enam Puluh Dua</v>
      </c>
    </row>
    <row r="20017" spans="10:12">
      <c r="J20017" s="31">
        <v>63</v>
      </c>
      <c r="K20017" s="33" t="s">
        <v>137</v>
      </c>
      <c r="L20017" s="31" t="str">
        <f t="shared" si="1936"/>
        <v>Enam Puluh Tiga</v>
      </c>
    </row>
    <row r="20018" spans="10:12">
      <c r="J20018" s="31">
        <v>64</v>
      </c>
      <c r="K20018" s="33" t="s">
        <v>138</v>
      </c>
      <c r="L20018" s="31" t="str">
        <f t="shared" si="1936"/>
        <v>Enam Puluh Empat</v>
      </c>
    </row>
    <row r="20019" spans="10:12">
      <c r="J20019" s="31">
        <v>65</v>
      </c>
      <c r="K20019" s="33" t="s">
        <v>139</v>
      </c>
      <c r="L20019" s="31" t="str">
        <f t="shared" si="1936"/>
        <v>Enam Puluh Lima</v>
      </c>
    </row>
    <row r="20020" spans="10:12">
      <c r="J20020" s="31">
        <v>66</v>
      </c>
      <c r="K20020" s="33" t="s">
        <v>140</v>
      </c>
      <c r="L20020" s="31" t="str">
        <f t="shared" si="1936"/>
        <v>Enam Puluh Enam</v>
      </c>
    </row>
    <row r="20021" spans="10:12">
      <c r="J20021" s="31">
        <v>67</v>
      </c>
      <c r="K20021" s="33" t="s">
        <v>141</v>
      </c>
      <c r="L20021" s="31" t="str">
        <f t="shared" si="1936"/>
        <v>Enam Puluh Tujuh</v>
      </c>
    </row>
    <row r="20022" spans="10:12">
      <c r="J20022" s="31">
        <v>68</v>
      </c>
      <c r="K20022" s="33" t="s">
        <v>142</v>
      </c>
      <c r="L20022" s="31" t="str">
        <f t="shared" si="1936"/>
        <v>Enam Puluh Delapan</v>
      </c>
    </row>
    <row r="20023" spans="10:12">
      <c r="J20023" s="31">
        <v>69</v>
      </c>
      <c r="K20023" s="33" t="s">
        <v>143</v>
      </c>
      <c r="L20023" s="31" t="str">
        <f t="shared" si="1936"/>
        <v>Enam Puluh Sembilan</v>
      </c>
    </row>
    <row r="20024" spans="10:12">
      <c r="J20024" s="31">
        <v>70</v>
      </c>
      <c r="K20024" s="33" t="s">
        <v>144</v>
      </c>
      <c r="L20024" s="31" t="s">
        <v>145</v>
      </c>
    </row>
    <row r="20025" spans="10:12">
      <c r="J20025" s="31">
        <v>71</v>
      </c>
      <c r="K20025" s="33" t="s">
        <v>146</v>
      </c>
      <c r="L20025" s="31" t="str">
        <f t="shared" ref="L20025:L20033" si="1937">$L$73&amp;" "&amp;L19955</f>
        <v>Tujuh Puluh Satu</v>
      </c>
    </row>
    <row r="20026" spans="10:12">
      <c r="J20026" s="31">
        <v>72</v>
      </c>
      <c r="K20026" s="33" t="s">
        <v>147</v>
      </c>
      <c r="L20026" s="31" t="str">
        <f t="shared" si="1937"/>
        <v>Tujuh Puluh Dua</v>
      </c>
    </row>
    <row r="20027" spans="10:12">
      <c r="J20027" s="31">
        <v>73</v>
      </c>
      <c r="K20027" s="33" t="s">
        <v>148</v>
      </c>
      <c r="L20027" s="31" t="str">
        <f t="shared" si="1937"/>
        <v>Tujuh Puluh Tiga</v>
      </c>
    </row>
    <row r="20028" spans="10:12">
      <c r="J20028" s="31">
        <v>74</v>
      </c>
      <c r="K20028" s="33" t="s">
        <v>149</v>
      </c>
      <c r="L20028" s="31" t="str">
        <f t="shared" si="1937"/>
        <v>Tujuh Puluh Empat</v>
      </c>
    </row>
    <row r="20029" spans="10:12">
      <c r="J20029" s="31">
        <v>75</v>
      </c>
      <c r="K20029" s="33" t="s">
        <v>150</v>
      </c>
      <c r="L20029" s="31" t="str">
        <f t="shared" si="1937"/>
        <v>Tujuh Puluh Lima</v>
      </c>
    </row>
    <row r="20030" spans="10:12">
      <c r="J20030" s="31">
        <v>76</v>
      </c>
      <c r="K20030" s="33" t="s">
        <v>151</v>
      </c>
      <c r="L20030" s="31" t="str">
        <f t="shared" si="1937"/>
        <v>Tujuh Puluh Enam</v>
      </c>
    </row>
    <row r="20031" spans="10:12">
      <c r="J20031" s="31">
        <v>77</v>
      </c>
      <c r="K20031" s="33" t="s">
        <v>152</v>
      </c>
      <c r="L20031" s="31" t="str">
        <f t="shared" si="1937"/>
        <v>Tujuh Puluh Tujuh</v>
      </c>
    </row>
    <row r="20032" spans="10:12">
      <c r="J20032" s="31">
        <v>78</v>
      </c>
      <c r="K20032" s="33" t="s">
        <v>153</v>
      </c>
      <c r="L20032" s="31" t="str">
        <f t="shared" si="1937"/>
        <v>Tujuh Puluh Delapan</v>
      </c>
    </row>
    <row r="20033" spans="10:12">
      <c r="J20033" s="31">
        <v>79</v>
      </c>
      <c r="K20033" s="33" t="s">
        <v>154</v>
      </c>
      <c r="L20033" s="31" t="str">
        <f t="shared" si="1937"/>
        <v>Tujuh Puluh Sembilan</v>
      </c>
    </row>
    <row r="20034" spans="10:12">
      <c r="J20034" s="31">
        <v>80</v>
      </c>
      <c r="K20034" s="33" t="s">
        <v>155</v>
      </c>
      <c r="L20034" s="31" t="s">
        <v>156</v>
      </c>
    </row>
    <row r="20035" spans="10:12">
      <c r="J20035" s="31">
        <v>81</v>
      </c>
      <c r="K20035" s="33" t="s">
        <v>157</v>
      </c>
      <c r="L20035" s="31" t="str">
        <f t="shared" ref="L20035:L20043" si="1938">$L$83&amp;" "&amp;L19955</f>
        <v>Delapan Puluh Satu</v>
      </c>
    </row>
    <row r="20036" spans="10:12">
      <c r="J20036" s="31">
        <v>82</v>
      </c>
      <c r="K20036" s="33" t="s">
        <v>158</v>
      </c>
      <c r="L20036" s="31" t="str">
        <f t="shared" si="1938"/>
        <v>Delapan Puluh Dua</v>
      </c>
    </row>
    <row r="20037" spans="10:12">
      <c r="J20037" s="31">
        <v>83</v>
      </c>
      <c r="K20037" s="33" t="s">
        <v>159</v>
      </c>
      <c r="L20037" s="31" t="str">
        <f t="shared" si="1938"/>
        <v>Delapan Puluh Tiga</v>
      </c>
    </row>
    <row r="20038" spans="10:12">
      <c r="J20038" s="31">
        <v>84</v>
      </c>
      <c r="K20038" s="33" t="s">
        <v>160</v>
      </c>
      <c r="L20038" s="31" t="str">
        <f t="shared" si="1938"/>
        <v>Delapan Puluh Empat</v>
      </c>
    </row>
    <row r="20039" spans="10:12">
      <c r="J20039" s="31">
        <v>85</v>
      </c>
      <c r="K20039" s="33" t="s">
        <v>161</v>
      </c>
      <c r="L20039" s="31" t="str">
        <f t="shared" si="1938"/>
        <v>Delapan Puluh Lima</v>
      </c>
    </row>
    <row r="20040" spans="10:12">
      <c r="J20040" s="31">
        <v>86</v>
      </c>
      <c r="K20040" s="33" t="s">
        <v>162</v>
      </c>
      <c r="L20040" s="31" t="str">
        <f t="shared" si="1938"/>
        <v>Delapan Puluh Enam</v>
      </c>
    </row>
    <row r="20041" spans="10:12">
      <c r="J20041" s="31">
        <v>87</v>
      </c>
      <c r="K20041" s="33" t="s">
        <v>163</v>
      </c>
      <c r="L20041" s="31" t="str">
        <f t="shared" si="1938"/>
        <v>Delapan Puluh Tujuh</v>
      </c>
    </row>
    <row r="20042" spans="10:12">
      <c r="J20042" s="31">
        <v>88</v>
      </c>
      <c r="K20042" s="33" t="s">
        <v>164</v>
      </c>
      <c r="L20042" s="31" t="str">
        <f t="shared" si="1938"/>
        <v>Delapan Puluh Delapan</v>
      </c>
    </row>
    <row r="20043" spans="10:12">
      <c r="J20043" s="31">
        <v>89</v>
      </c>
      <c r="K20043" s="33" t="s">
        <v>165</v>
      </c>
      <c r="L20043" s="31" t="str">
        <f t="shared" si="1938"/>
        <v>Delapan Puluh Sembilan</v>
      </c>
    </row>
    <row r="20044" spans="10:12">
      <c r="J20044" s="31">
        <v>90</v>
      </c>
      <c r="K20044" s="33" t="s">
        <v>166</v>
      </c>
      <c r="L20044" s="31" t="s">
        <v>167</v>
      </c>
    </row>
    <row r="20045" spans="10:12">
      <c r="J20045" s="31">
        <v>91</v>
      </c>
      <c r="K20045" s="33" t="s">
        <v>168</v>
      </c>
      <c r="L20045" s="31" t="str">
        <f t="shared" ref="L20045:L20053" si="1939">$L$93&amp;" "&amp;L19955</f>
        <v>Sembilan Puluh Satu</v>
      </c>
    </row>
    <row r="20046" spans="10:12">
      <c r="J20046" s="31">
        <v>92</v>
      </c>
      <c r="K20046" s="33" t="s">
        <v>169</v>
      </c>
      <c r="L20046" s="31" t="str">
        <f t="shared" si="1939"/>
        <v>Sembilan Puluh Dua</v>
      </c>
    </row>
    <row r="20047" spans="10:12">
      <c r="J20047" s="31">
        <v>93</v>
      </c>
      <c r="K20047" s="33" t="s">
        <v>170</v>
      </c>
      <c r="L20047" s="31" t="str">
        <f t="shared" si="1939"/>
        <v>Sembilan Puluh Tiga</v>
      </c>
    </row>
    <row r="20048" spans="10:12">
      <c r="J20048" s="31">
        <v>94</v>
      </c>
      <c r="K20048" s="33" t="s">
        <v>171</v>
      </c>
      <c r="L20048" s="31" t="str">
        <f t="shared" si="1939"/>
        <v>Sembilan Puluh Empat</v>
      </c>
    </row>
    <row r="20049" spans="1:12">
      <c r="J20049" s="31">
        <v>95</v>
      </c>
      <c r="K20049" s="33" t="s">
        <v>172</v>
      </c>
      <c r="L20049" s="31" t="str">
        <f t="shared" si="1939"/>
        <v>Sembilan Puluh Lima</v>
      </c>
    </row>
    <row r="20050" spans="1:12">
      <c r="J20050" s="31">
        <v>96</v>
      </c>
      <c r="K20050" s="33" t="s">
        <v>173</v>
      </c>
      <c r="L20050" s="31" t="str">
        <f t="shared" si="1939"/>
        <v>Sembilan Puluh Enam</v>
      </c>
    </row>
    <row r="20051" spans="1:12">
      <c r="J20051" s="31">
        <v>97</v>
      </c>
      <c r="K20051" s="33" t="s">
        <v>174</v>
      </c>
      <c r="L20051" s="31" t="str">
        <f t="shared" si="1939"/>
        <v>Sembilan Puluh Tujuh</v>
      </c>
    </row>
    <row r="20052" spans="1:12">
      <c r="J20052" s="31">
        <v>98</v>
      </c>
      <c r="K20052" s="33" t="s">
        <v>175</v>
      </c>
      <c r="L20052" s="31" t="str">
        <f t="shared" si="1939"/>
        <v>Sembilan Puluh Delapan</v>
      </c>
    </row>
    <row r="20053" spans="1:12">
      <c r="J20053" s="31">
        <v>99</v>
      </c>
      <c r="K20053" s="33" t="s">
        <v>176</v>
      </c>
      <c r="L20053" s="31" t="str">
        <f t="shared" si="1939"/>
        <v>Sembilan Puluh Sembilan</v>
      </c>
    </row>
    <row r="20055" spans="1:12">
      <c r="A20055" s="30" t="e">
        <f>#REF!</f>
        <v>#REF!</v>
      </c>
      <c r="C20055" s="31" t="s">
        <v>302</v>
      </c>
    </row>
    <row r="20056" spans="1:12">
      <c r="A20056" s="32"/>
    </row>
    <row r="20057" spans="1:12">
      <c r="J20057" s="31">
        <v>0</v>
      </c>
      <c r="K20057" s="33" t="s">
        <v>48</v>
      </c>
      <c r="L20057" s="31" t="s">
        <v>49</v>
      </c>
    </row>
    <row r="20058" spans="1:12">
      <c r="A20058" s="34"/>
      <c r="J20058" s="31">
        <v>1</v>
      </c>
      <c r="K20058" s="33" t="s">
        <v>50</v>
      </c>
      <c r="L20058" s="31" t="s">
        <v>51</v>
      </c>
    </row>
    <row r="20059" spans="1:12">
      <c r="A20059" s="255" t="e">
        <f>TRIM(D20067&amp;E20067&amp;D20068&amp;E20068&amp;D20069&amp;E20069&amp;D20070&amp;E20070&amp;D20071&amp;E20071&amp;D20072&amp;E20072&amp;E20073&amp;D20073&amp;" Only")</f>
        <v>#REF!</v>
      </c>
      <c r="B20059" s="255"/>
      <c r="C20059" s="255"/>
      <c r="D20059" s="255"/>
      <c r="E20059" s="35"/>
      <c r="F20059" s="36"/>
      <c r="J20059" s="31">
        <v>2</v>
      </c>
      <c r="K20059" s="33" t="s">
        <v>52</v>
      </c>
      <c r="L20059" s="31" t="s">
        <v>53</v>
      </c>
    </row>
    <row r="20060" spans="1:12">
      <c r="A20060" s="185"/>
      <c r="B20060" s="185"/>
      <c r="C20060" s="185"/>
      <c r="D20060" s="185"/>
      <c r="E20060" s="35"/>
      <c r="F20060" s="36"/>
      <c r="J20060" s="31">
        <v>3</v>
      </c>
      <c r="K20060" s="33" t="s">
        <v>54</v>
      </c>
      <c r="L20060" s="31" t="s">
        <v>55</v>
      </c>
    </row>
    <row r="20061" spans="1:12">
      <c r="A20061" s="185"/>
      <c r="B20061" s="185"/>
      <c r="C20061" s="185"/>
      <c r="D20061" s="185"/>
      <c r="J20061" s="31">
        <v>4</v>
      </c>
      <c r="K20061" s="33" t="s">
        <v>56</v>
      </c>
      <c r="L20061" s="31" t="s">
        <v>57</v>
      </c>
    </row>
    <row r="20062" spans="1:12">
      <c r="A20062" s="255" t="e">
        <f>TRIM(D20077&amp;E20077&amp;D20078&amp;E20078&amp;D20079&amp;E20079&amp;D20080&amp;E20080&amp;D20081&amp;E20081&amp;D20082&amp;E20082&amp;D20083&amp;E20083&amp;" Rupiah")</f>
        <v>#REF!</v>
      </c>
      <c r="B20062" s="255"/>
      <c r="C20062" s="255"/>
      <c r="D20062" s="255"/>
      <c r="E20062" s="35"/>
      <c r="F20062" s="36"/>
      <c r="J20062" s="31">
        <v>5</v>
      </c>
      <c r="K20062" s="33" t="s">
        <v>58</v>
      </c>
      <c r="L20062" s="31" t="s">
        <v>59</v>
      </c>
    </row>
    <row r="20063" spans="1:12">
      <c r="A20063" s="35"/>
      <c r="B20063" s="35"/>
      <c r="C20063" s="35"/>
      <c r="D20063" s="35"/>
      <c r="E20063" s="35"/>
      <c r="F20063" s="36"/>
      <c r="J20063" s="31">
        <v>6</v>
      </c>
      <c r="K20063" s="33" t="s">
        <v>60</v>
      </c>
      <c r="L20063" s="31" t="s">
        <v>61</v>
      </c>
    </row>
    <row r="20064" spans="1:12">
      <c r="J20064" s="31">
        <v>7</v>
      </c>
      <c r="K20064" s="33" t="s">
        <v>62</v>
      </c>
      <c r="L20064" s="31" t="s">
        <v>63</v>
      </c>
    </row>
    <row r="20065" spans="1:12">
      <c r="J20065" s="31">
        <v>8</v>
      </c>
      <c r="K20065" s="33" t="s">
        <v>64</v>
      </c>
      <c r="L20065" s="31" t="s">
        <v>65</v>
      </c>
    </row>
    <row r="20066" spans="1:12">
      <c r="A20066" s="38" t="s">
        <v>66</v>
      </c>
      <c r="J20066" s="31">
        <v>9</v>
      </c>
      <c r="K20066" s="33" t="s">
        <v>67</v>
      </c>
      <c r="L20066" s="31" t="s">
        <v>68</v>
      </c>
    </row>
    <row r="20067" spans="1:12">
      <c r="A20067" s="31" t="s">
        <v>69</v>
      </c>
      <c r="B20067" s="39" t="e">
        <f>TRUNC(A20055/100000000)</f>
        <v>#REF!</v>
      </c>
      <c r="C20067" s="31" t="e">
        <f>B20067*100000000</f>
        <v>#REF!</v>
      </c>
      <c r="D20067" s="31" t="e">
        <f t="shared" ref="D20067:D20073" si="1940">IF(B20067&lt;1,"",VLOOKUP(B20067,$J$3:$K$102,2))</f>
        <v>#REF!</v>
      </c>
      <c r="E20067" s="31" t="e">
        <f>IF(B20067&lt;1,"",IF(B20067&gt;1," Hundreds "," Hundred "))</f>
        <v>#REF!</v>
      </c>
      <c r="J20067" s="31">
        <v>10</v>
      </c>
      <c r="K20067" s="33" t="s">
        <v>70</v>
      </c>
      <c r="L20067" s="31" t="s">
        <v>71</v>
      </c>
    </row>
    <row r="20068" spans="1:12">
      <c r="A20068" s="31" t="s">
        <v>72</v>
      </c>
      <c r="B20068" s="39" t="e">
        <f>TRUNC((A20055-C20067)/1000000)</f>
        <v>#REF!</v>
      </c>
      <c r="C20068" s="31" t="e">
        <f>B20068*1000000</f>
        <v>#REF!</v>
      </c>
      <c r="D20068" s="31" t="e">
        <f t="shared" si="1940"/>
        <v>#REF!</v>
      </c>
      <c r="E20068" s="31" t="e">
        <f>IF(B20067+B20068=0,"",IF(B20068=1," Million "," Millions "))</f>
        <v>#REF!</v>
      </c>
      <c r="J20068" s="31">
        <v>11</v>
      </c>
      <c r="K20068" s="33" t="s">
        <v>73</v>
      </c>
      <c r="L20068" s="31" t="s">
        <v>74</v>
      </c>
    </row>
    <row r="20069" spans="1:12">
      <c r="A20069" s="31" t="s">
        <v>75</v>
      </c>
      <c r="B20069" s="39" t="e">
        <f>TRUNC((A20055-SUM(C20067:C20068))/100000)</f>
        <v>#REF!</v>
      </c>
      <c r="C20069" s="31" t="e">
        <f>B20069*100000</f>
        <v>#REF!</v>
      </c>
      <c r="D20069" s="31" t="e">
        <f t="shared" si="1940"/>
        <v>#REF!</v>
      </c>
      <c r="E20069" s="31" t="e">
        <f>IF(B20069&lt;1,"",IF(B20069&gt;1," Hundreds "," Hundred "))</f>
        <v>#REF!</v>
      </c>
      <c r="J20069" s="31">
        <v>12</v>
      </c>
      <c r="K20069" s="33" t="s">
        <v>76</v>
      </c>
      <c r="L20069" s="31" t="str">
        <f t="shared" ref="L20069:L20076" si="1941">L20059&amp;" Belas"</f>
        <v>Dua Belas</v>
      </c>
    </row>
    <row r="20070" spans="1:12">
      <c r="A20070" s="33" t="s">
        <v>77</v>
      </c>
      <c r="B20070" s="40" t="e">
        <f>TRUNC((A20055-SUM(C20067:C20069))/1000)</f>
        <v>#REF!</v>
      </c>
      <c r="C20070" s="31" t="e">
        <f>B20070*1000</f>
        <v>#REF!</v>
      </c>
      <c r="D20070" s="31" t="e">
        <f t="shared" si="1940"/>
        <v>#REF!</v>
      </c>
      <c r="E20070" s="31" t="e">
        <f>IF(B20069+B20070=0,"",IF(B20070=1," Thousand "," Thousands "))</f>
        <v>#REF!</v>
      </c>
      <c r="J20070" s="31">
        <v>13</v>
      </c>
      <c r="K20070" s="33" t="s">
        <v>78</v>
      </c>
      <c r="L20070" s="31" t="str">
        <f t="shared" si="1941"/>
        <v>Tiga Belas</v>
      </c>
    </row>
    <row r="20071" spans="1:12">
      <c r="A20071" s="33" t="s">
        <v>79</v>
      </c>
      <c r="B20071" s="40" t="e">
        <f>TRUNC((A20055-SUM(C20067:C20070))/100)</f>
        <v>#REF!</v>
      </c>
      <c r="C20071" s="31" t="e">
        <f>B20071*100</f>
        <v>#REF!</v>
      </c>
      <c r="D20071" s="31" t="e">
        <f t="shared" si="1940"/>
        <v>#REF!</v>
      </c>
      <c r="E20071" s="31" t="e">
        <f>IF(B20071&lt;1,"",IF(B20071&gt;1," Hundreds "," Hundred "))</f>
        <v>#REF!</v>
      </c>
      <c r="J20071" s="31">
        <v>14</v>
      </c>
      <c r="K20071" s="33" t="s">
        <v>80</v>
      </c>
      <c r="L20071" s="31" t="str">
        <f t="shared" si="1941"/>
        <v>Empat Belas</v>
      </c>
    </row>
    <row r="20072" spans="1:12">
      <c r="A20072" s="33" t="s">
        <v>81</v>
      </c>
      <c r="B20072" s="41" t="e">
        <f>TRUNC((A20055-SUM(C20067:C20071)))</f>
        <v>#REF!</v>
      </c>
      <c r="C20072" s="42" t="e">
        <f>B20072</f>
        <v>#REF!</v>
      </c>
      <c r="D20072" s="31" t="e">
        <f t="shared" si="1940"/>
        <v>#REF!</v>
      </c>
      <c r="E20072" s="31" t="e">
        <f>IF(SUM(C20067:C20072)&lt;1,"",IF(B20073&lt;1,""," And "))</f>
        <v>#REF!</v>
      </c>
      <c r="J20072" s="31">
        <v>15</v>
      </c>
      <c r="K20072" s="33" t="s">
        <v>82</v>
      </c>
      <c r="L20072" s="31" t="str">
        <f t="shared" si="1941"/>
        <v>Lima Belas</v>
      </c>
    </row>
    <row r="20073" spans="1:12">
      <c r="A20073" s="33" t="s">
        <v>83</v>
      </c>
      <c r="B20073" s="40" t="e">
        <f>ROUND(A20055-SUM(C20067:C20072),2)*100</f>
        <v>#REF!</v>
      </c>
      <c r="D20073" s="43" t="e">
        <f t="shared" si="1940"/>
        <v>#REF!</v>
      </c>
      <c r="E20073" s="31" t="e">
        <f>IF(B20073&lt;1,"",IF(B20073=1," Cent "," Cents "))</f>
        <v>#REF!</v>
      </c>
      <c r="J20073" s="31">
        <v>16</v>
      </c>
      <c r="K20073" s="33" t="s">
        <v>84</v>
      </c>
      <c r="L20073" s="31" t="str">
        <f t="shared" si="1941"/>
        <v>Enam Belas</v>
      </c>
    </row>
    <row r="20074" spans="1:12">
      <c r="J20074" s="31">
        <v>17</v>
      </c>
      <c r="K20074" s="33" t="s">
        <v>85</v>
      </c>
      <c r="L20074" s="31" t="str">
        <f t="shared" si="1941"/>
        <v>Tujuh Belas</v>
      </c>
    </row>
    <row r="20075" spans="1:12">
      <c r="A20075" s="44"/>
      <c r="J20075" s="31">
        <v>18</v>
      </c>
      <c r="K20075" s="33" t="s">
        <v>86</v>
      </c>
      <c r="L20075" s="31" t="str">
        <f t="shared" si="1941"/>
        <v>Delapan Belas</v>
      </c>
    </row>
    <row r="20076" spans="1:12">
      <c r="A20076" s="38" t="s">
        <v>87</v>
      </c>
      <c r="J20076" s="31">
        <v>19</v>
      </c>
      <c r="K20076" s="33" t="s">
        <v>88</v>
      </c>
      <c r="L20076" s="31" t="str">
        <f t="shared" si="1941"/>
        <v>Sembilan Belas</v>
      </c>
    </row>
    <row r="20077" spans="1:12">
      <c r="A20077" s="31" t="s">
        <v>69</v>
      </c>
      <c r="B20077" s="39" t="e">
        <f>TRUNC(A20055/100000000)</f>
        <v>#REF!</v>
      </c>
      <c r="C20077" s="31" t="e">
        <f>B20077*100000000</f>
        <v>#REF!</v>
      </c>
      <c r="D20077" s="31" t="e">
        <f>IF(B20077&lt;1,"",IF(B20077=1,"",VLOOKUP(B20077,$J$3:$L$102,3)))</f>
        <v>#REF!</v>
      </c>
      <c r="E20077" s="31" t="e">
        <f>IF(B20077&lt;1,"",IF(B20077=1,"Seratus "," Ratus "))</f>
        <v>#REF!</v>
      </c>
      <c r="J20077" s="31">
        <v>20</v>
      </c>
      <c r="K20077" s="33" t="s">
        <v>89</v>
      </c>
      <c r="L20077" s="31" t="s">
        <v>90</v>
      </c>
    </row>
    <row r="20078" spans="1:12">
      <c r="A20078" s="31" t="s">
        <v>72</v>
      </c>
      <c r="B20078" s="39" t="e">
        <f>TRUNC((A20055-C20077)/1000000)</f>
        <v>#REF!</v>
      </c>
      <c r="C20078" s="31" t="e">
        <f>B20078*1000000</f>
        <v>#REF!</v>
      </c>
      <c r="D20078" s="31" t="e">
        <f>IF(B20078&lt;1,"",VLOOKUP(B20078,$J$3:$L$102,3))</f>
        <v>#REF!</v>
      </c>
      <c r="E20078" s="31" t="e">
        <f>IF(B20077+B20078=0,""," Juta ")</f>
        <v>#REF!</v>
      </c>
      <c r="J20078" s="31">
        <v>21</v>
      </c>
      <c r="K20078" s="33" t="s">
        <v>91</v>
      </c>
      <c r="L20078" s="31" t="str">
        <f t="shared" ref="L20078:L20086" si="1942">$L$23&amp;" "&amp;L20058</f>
        <v>Dua Puluh Satu</v>
      </c>
    </row>
    <row r="20079" spans="1:12">
      <c r="A20079" s="31" t="s">
        <v>75</v>
      </c>
      <c r="B20079" s="39" t="e">
        <f>TRUNC((A20055-SUM(C20077:C20078))/100000)</f>
        <v>#REF!</v>
      </c>
      <c r="C20079" s="31" t="e">
        <f>B20079*100000</f>
        <v>#REF!</v>
      </c>
      <c r="D20079" s="31" t="e">
        <f>IF(B20079&lt;1,"",IF(B20079=1,"",VLOOKUP(B20079,$J$3:$L$102,3)))</f>
        <v>#REF!</v>
      </c>
      <c r="E20079" s="31" t="e">
        <f>IF(B20079&lt;1,"",IF(B20079=1," Seratus "," Ratus "))</f>
        <v>#REF!</v>
      </c>
      <c r="J20079" s="31">
        <v>22</v>
      </c>
      <c r="K20079" s="33" t="s">
        <v>92</v>
      </c>
      <c r="L20079" s="31" t="str">
        <f t="shared" si="1942"/>
        <v>Dua Puluh Dua</v>
      </c>
    </row>
    <row r="20080" spans="1:12">
      <c r="A20080" s="33" t="s">
        <v>77</v>
      </c>
      <c r="B20080" s="40" t="e">
        <f>TRUNC((A20055-SUM(C20077:C20079))/1000)</f>
        <v>#REF!</v>
      </c>
      <c r="C20080" s="31" t="e">
        <f>B20080*1000</f>
        <v>#REF!</v>
      </c>
      <c r="D20080" s="31" t="e">
        <f>IF(B20080&lt;1,"",IF(B20080=1,"",VLOOKUP(B20080,$J$3:$L$102,3)))</f>
        <v>#REF!</v>
      </c>
      <c r="E20080" s="31" t="e">
        <f>IF(B20079+B20080&lt;1,"",IF(B20080=1," Seribu "," Ribu "))</f>
        <v>#REF!</v>
      </c>
      <c r="J20080" s="31">
        <v>23</v>
      </c>
      <c r="K20080" s="33" t="s">
        <v>93</v>
      </c>
      <c r="L20080" s="31" t="str">
        <f t="shared" si="1942"/>
        <v>Dua Puluh Tiga</v>
      </c>
    </row>
    <row r="20081" spans="1:12">
      <c r="A20081" s="33" t="s">
        <v>79</v>
      </c>
      <c r="B20081" s="40" t="e">
        <f>TRUNC((A20055-SUM(C20077:C20080))/100)</f>
        <v>#REF!</v>
      </c>
      <c r="C20081" s="31" t="e">
        <f>B20081*100</f>
        <v>#REF!</v>
      </c>
      <c r="D20081" s="31" t="e">
        <f>IF(B20081&lt;1,"",IF(B20081=1,"",VLOOKUP(B20081,$J$3:$L$102,3)))</f>
        <v>#REF!</v>
      </c>
      <c r="E20081" s="31" t="e">
        <f>IF(B20081&lt;1,"",IF(B20081=1," Seratus "," Ratus "))</f>
        <v>#REF!</v>
      </c>
      <c r="J20081" s="31">
        <v>24</v>
      </c>
      <c r="K20081" s="33" t="s">
        <v>94</v>
      </c>
      <c r="L20081" s="31" t="str">
        <f t="shared" si="1942"/>
        <v>Dua Puluh Empat</v>
      </c>
    </row>
    <row r="20082" spans="1:12">
      <c r="A20082" s="33" t="s">
        <v>81</v>
      </c>
      <c r="B20082" s="41" t="e">
        <f>TRUNC((A20055-SUM(C20077:C20081)))</f>
        <v>#REF!</v>
      </c>
      <c r="C20082" s="42" t="e">
        <f>B20082</f>
        <v>#REF!</v>
      </c>
      <c r="D20082" s="31" t="e">
        <f>IF(B20082&lt;1,"",VLOOKUP(B20082,$J$3:$L$102,3))</f>
        <v>#REF!</v>
      </c>
      <c r="E20082" s="31" t="e">
        <f>IF(SUM(C20077:C20082)&lt;1,"",IF(B20083&lt;1,""," Dan "))</f>
        <v>#REF!</v>
      </c>
      <c r="J20082" s="31">
        <v>25</v>
      </c>
      <c r="K20082" s="33" t="s">
        <v>95</v>
      </c>
      <c r="L20082" s="31" t="str">
        <f t="shared" si="1942"/>
        <v>Dua Puluh Lima</v>
      </c>
    </row>
    <row r="20083" spans="1:12">
      <c r="A20083" s="33" t="s">
        <v>83</v>
      </c>
      <c r="B20083" s="40" t="e">
        <f>ROUND(A20055-SUM(C20077:C20082),2)*100</f>
        <v>#REF!</v>
      </c>
      <c r="D20083" s="31" t="e">
        <f>IF(B20083&lt;1,"",VLOOKUP(B20083,$J$3:$L$102,3))</f>
        <v>#REF!</v>
      </c>
      <c r="E20083" s="31" t="e">
        <f>IF(B20083&lt;1,""," Sen ")</f>
        <v>#REF!</v>
      </c>
      <c r="J20083" s="31">
        <v>26</v>
      </c>
      <c r="K20083" s="33" t="s">
        <v>96</v>
      </c>
      <c r="L20083" s="31" t="str">
        <f t="shared" si="1942"/>
        <v>Dua Puluh Enam</v>
      </c>
    </row>
    <row r="20084" spans="1:12">
      <c r="J20084" s="31">
        <v>27</v>
      </c>
      <c r="K20084" s="33" t="s">
        <v>97</v>
      </c>
      <c r="L20084" s="31" t="str">
        <f t="shared" si="1942"/>
        <v>Dua Puluh Tujuh</v>
      </c>
    </row>
    <row r="20085" spans="1:12">
      <c r="J20085" s="31">
        <v>28</v>
      </c>
      <c r="K20085" s="33" t="s">
        <v>98</v>
      </c>
      <c r="L20085" s="31" t="str">
        <f t="shared" si="1942"/>
        <v>Dua Puluh Delapan</v>
      </c>
    </row>
    <row r="20086" spans="1:12">
      <c r="J20086" s="31">
        <v>29</v>
      </c>
      <c r="K20086" s="33" t="s">
        <v>99</v>
      </c>
      <c r="L20086" s="31" t="str">
        <f t="shared" si="1942"/>
        <v>Dua Puluh Sembilan</v>
      </c>
    </row>
    <row r="20087" spans="1:12">
      <c r="J20087" s="31">
        <v>30</v>
      </c>
      <c r="K20087" s="33" t="s">
        <v>100</v>
      </c>
      <c r="L20087" s="31" t="s">
        <v>101</v>
      </c>
    </row>
    <row r="20088" spans="1:12">
      <c r="J20088" s="31">
        <v>31</v>
      </c>
      <c r="K20088" s="33" t="s">
        <v>102</v>
      </c>
      <c r="L20088" s="31" t="str">
        <f t="shared" ref="L20088:L20096" si="1943">$L$33&amp;" "&amp;L20058</f>
        <v>Tiga Puluh Satu</v>
      </c>
    </row>
    <row r="20089" spans="1:12">
      <c r="J20089" s="31">
        <v>32</v>
      </c>
      <c r="K20089" s="33" t="s">
        <v>103</v>
      </c>
      <c r="L20089" s="31" t="str">
        <f t="shared" si="1943"/>
        <v>Tiga Puluh Dua</v>
      </c>
    </row>
    <row r="20090" spans="1:12">
      <c r="J20090" s="31">
        <v>33</v>
      </c>
      <c r="K20090" s="33" t="s">
        <v>104</v>
      </c>
      <c r="L20090" s="31" t="str">
        <f t="shared" si="1943"/>
        <v>Tiga Puluh Tiga</v>
      </c>
    </row>
    <row r="20091" spans="1:12">
      <c r="J20091" s="31">
        <v>34</v>
      </c>
      <c r="K20091" s="33" t="s">
        <v>105</v>
      </c>
      <c r="L20091" s="31" t="str">
        <f t="shared" si="1943"/>
        <v>Tiga Puluh Empat</v>
      </c>
    </row>
    <row r="20092" spans="1:12">
      <c r="J20092" s="31">
        <v>35</v>
      </c>
      <c r="K20092" s="33" t="s">
        <v>106</v>
      </c>
      <c r="L20092" s="31" t="str">
        <f t="shared" si="1943"/>
        <v>Tiga Puluh Lima</v>
      </c>
    </row>
    <row r="20093" spans="1:12">
      <c r="J20093" s="31">
        <v>36</v>
      </c>
      <c r="K20093" s="33" t="s">
        <v>107</v>
      </c>
      <c r="L20093" s="31" t="str">
        <f t="shared" si="1943"/>
        <v>Tiga Puluh Enam</v>
      </c>
    </row>
    <row r="20094" spans="1:12">
      <c r="J20094" s="31">
        <v>37</v>
      </c>
      <c r="K20094" s="33" t="s">
        <v>108</v>
      </c>
      <c r="L20094" s="31" t="str">
        <f t="shared" si="1943"/>
        <v>Tiga Puluh Tujuh</v>
      </c>
    </row>
    <row r="20095" spans="1:12">
      <c r="J20095" s="31">
        <v>38</v>
      </c>
      <c r="K20095" s="33" t="s">
        <v>109</v>
      </c>
      <c r="L20095" s="31" t="str">
        <f t="shared" si="1943"/>
        <v>Tiga Puluh Delapan</v>
      </c>
    </row>
    <row r="20096" spans="1:12">
      <c r="J20096" s="31">
        <v>39</v>
      </c>
      <c r="K20096" s="33" t="s">
        <v>110</v>
      </c>
      <c r="L20096" s="31" t="str">
        <f t="shared" si="1943"/>
        <v>Tiga Puluh Sembilan</v>
      </c>
    </row>
    <row r="20097" spans="1:12">
      <c r="B20097" s="35"/>
      <c r="C20097" s="35"/>
      <c r="D20097" s="35"/>
      <c r="J20097" s="31">
        <v>40</v>
      </c>
      <c r="K20097" s="33" t="s">
        <v>111</v>
      </c>
      <c r="L20097" s="31" t="s">
        <v>112</v>
      </c>
    </row>
    <row r="20098" spans="1:12">
      <c r="A20098" s="35"/>
      <c r="B20098" s="35"/>
      <c r="C20098" s="35"/>
      <c r="D20098" s="35"/>
      <c r="J20098" s="31">
        <v>41</v>
      </c>
      <c r="K20098" s="33" t="s">
        <v>113</v>
      </c>
      <c r="L20098" s="31" t="str">
        <f t="shared" ref="L20098:L20106" si="1944">$L$43&amp;" "&amp;L20058</f>
        <v>Empat Puluh Satu</v>
      </c>
    </row>
    <row r="20099" spans="1:12">
      <c r="J20099" s="31">
        <v>42</v>
      </c>
      <c r="K20099" s="33" t="s">
        <v>114</v>
      </c>
      <c r="L20099" s="31" t="str">
        <f t="shared" si="1944"/>
        <v>Empat Puluh Dua</v>
      </c>
    </row>
    <row r="20100" spans="1:12">
      <c r="A20100" s="38"/>
      <c r="J20100" s="31">
        <v>43</v>
      </c>
      <c r="K20100" s="33" t="s">
        <v>115</v>
      </c>
      <c r="L20100" s="31" t="str">
        <f t="shared" si="1944"/>
        <v>Empat Puluh Tiga</v>
      </c>
    </row>
    <row r="20101" spans="1:12">
      <c r="J20101" s="31">
        <v>44</v>
      </c>
      <c r="K20101" s="33" t="s">
        <v>116</v>
      </c>
      <c r="L20101" s="31" t="str">
        <f t="shared" si="1944"/>
        <v>Empat Puluh Empat</v>
      </c>
    </row>
    <row r="20102" spans="1:12">
      <c r="J20102" s="31">
        <v>45</v>
      </c>
      <c r="K20102" s="33" t="s">
        <v>117</v>
      </c>
      <c r="L20102" s="31" t="str">
        <f t="shared" si="1944"/>
        <v>Empat Puluh Lima</v>
      </c>
    </row>
    <row r="20103" spans="1:12">
      <c r="J20103" s="31">
        <v>46</v>
      </c>
      <c r="K20103" s="33" t="s">
        <v>118</v>
      </c>
      <c r="L20103" s="31" t="str">
        <f t="shared" si="1944"/>
        <v>Empat Puluh Enam</v>
      </c>
    </row>
    <row r="20104" spans="1:12">
      <c r="J20104" s="31">
        <v>47</v>
      </c>
      <c r="K20104" s="33" t="s">
        <v>119</v>
      </c>
      <c r="L20104" s="31" t="str">
        <f t="shared" si="1944"/>
        <v>Empat Puluh Tujuh</v>
      </c>
    </row>
    <row r="20105" spans="1:12">
      <c r="J20105" s="31">
        <v>48</v>
      </c>
      <c r="K20105" s="33" t="s">
        <v>120</v>
      </c>
      <c r="L20105" s="31" t="str">
        <f t="shared" si="1944"/>
        <v>Empat Puluh Delapan</v>
      </c>
    </row>
    <row r="20106" spans="1:12">
      <c r="J20106" s="31">
        <v>49</v>
      </c>
      <c r="K20106" s="33" t="s">
        <v>121</v>
      </c>
      <c r="L20106" s="31" t="str">
        <f t="shared" si="1944"/>
        <v>Empat Puluh Sembilan</v>
      </c>
    </row>
    <row r="20107" spans="1:12">
      <c r="J20107" s="31">
        <v>50</v>
      </c>
      <c r="K20107" s="33" t="s">
        <v>122</v>
      </c>
      <c r="L20107" s="31" t="s">
        <v>123</v>
      </c>
    </row>
    <row r="20108" spans="1:12">
      <c r="J20108" s="31">
        <v>51</v>
      </c>
      <c r="K20108" s="33" t="s">
        <v>124</v>
      </c>
      <c r="L20108" s="31" t="str">
        <f t="shared" ref="L20108:L20116" si="1945">$L$53&amp;" "&amp;L20058</f>
        <v>Lima Puluh Satu</v>
      </c>
    </row>
    <row r="20109" spans="1:12">
      <c r="J20109" s="31">
        <v>52</v>
      </c>
      <c r="K20109" s="33" t="s">
        <v>125</v>
      </c>
      <c r="L20109" s="31" t="str">
        <f t="shared" si="1945"/>
        <v>Lima Puluh Dua</v>
      </c>
    </row>
    <row r="20110" spans="1:12">
      <c r="J20110" s="31">
        <v>53</v>
      </c>
      <c r="K20110" s="33" t="s">
        <v>126</v>
      </c>
      <c r="L20110" s="31" t="str">
        <f t="shared" si="1945"/>
        <v>Lima Puluh Tiga</v>
      </c>
    </row>
    <row r="20111" spans="1:12">
      <c r="J20111" s="31">
        <v>54</v>
      </c>
      <c r="K20111" s="33" t="s">
        <v>127</v>
      </c>
      <c r="L20111" s="31" t="str">
        <f t="shared" si="1945"/>
        <v>Lima Puluh Empat</v>
      </c>
    </row>
    <row r="20112" spans="1:12">
      <c r="J20112" s="31">
        <v>55</v>
      </c>
      <c r="K20112" s="33" t="s">
        <v>128</v>
      </c>
      <c r="L20112" s="31" t="str">
        <f t="shared" si="1945"/>
        <v>Lima Puluh Lima</v>
      </c>
    </row>
    <row r="20113" spans="10:12">
      <c r="J20113" s="31">
        <v>56</v>
      </c>
      <c r="K20113" s="33" t="s">
        <v>129</v>
      </c>
      <c r="L20113" s="31" t="str">
        <f t="shared" si="1945"/>
        <v>Lima Puluh Enam</v>
      </c>
    </row>
    <row r="20114" spans="10:12">
      <c r="J20114" s="31">
        <v>57</v>
      </c>
      <c r="K20114" s="33" t="s">
        <v>130</v>
      </c>
      <c r="L20114" s="31" t="str">
        <f t="shared" si="1945"/>
        <v>Lima Puluh Tujuh</v>
      </c>
    </row>
    <row r="20115" spans="10:12">
      <c r="J20115" s="31">
        <v>58</v>
      </c>
      <c r="K20115" s="33" t="s">
        <v>131</v>
      </c>
      <c r="L20115" s="31" t="str">
        <f t="shared" si="1945"/>
        <v>Lima Puluh Delapan</v>
      </c>
    </row>
    <row r="20116" spans="10:12">
      <c r="J20116" s="31">
        <v>59</v>
      </c>
      <c r="K20116" s="33" t="s">
        <v>132</v>
      </c>
      <c r="L20116" s="31" t="str">
        <f t="shared" si="1945"/>
        <v>Lima Puluh Sembilan</v>
      </c>
    </row>
    <row r="20117" spans="10:12">
      <c r="J20117" s="31">
        <v>60</v>
      </c>
      <c r="K20117" s="33" t="s">
        <v>133</v>
      </c>
      <c r="L20117" s="31" t="s">
        <v>134</v>
      </c>
    </row>
    <row r="20118" spans="10:12">
      <c r="J20118" s="31">
        <v>61</v>
      </c>
      <c r="K20118" s="33" t="s">
        <v>135</v>
      </c>
      <c r="L20118" s="31" t="str">
        <f t="shared" ref="L20118:L20126" si="1946">$L$63&amp;" "&amp;L20058</f>
        <v>Enam Puluh Satu</v>
      </c>
    </row>
    <row r="20119" spans="10:12">
      <c r="J20119" s="31">
        <v>62</v>
      </c>
      <c r="K20119" s="33" t="s">
        <v>136</v>
      </c>
      <c r="L20119" s="31" t="str">
        <f t="shared" si="1946"/>
        <v>Enam Puluh Dua</v>
      </c>
    </row>
    <row r="20120" spans="10:12">
      <c r="J20120" s="31">
        <v>63</v>
      </c>
      <c r="K20120" s="33" t="s">
        <v>137</v>
      </c>
      <c r="L20120" s="31" t="str">
        <f t="shared" si="1946"/>
        <v>Enam Puluh Tiga</v>
      </c>
    </row>
    <row r="20121" spans="10:12">
      <c r="J20121" s="31">
        <v>64</v>
      </c>
      <c r="K20121" s="33" t="s">
        <v>138</v>
      </c>
      <c r="L20121" s="31" t="str">
        <f t="shared" si="1946"/>
        <v>Enam Puluh Empat</v>
      </c>
    </row>
    <row r="20122" spans="10:12">
      <c r="J20122" s="31">
        <v>65</v>
      </c>
      <c r="K20122" s="33" t="s">
        <v>139</v>
      </c>
      <c r="L20122" s="31" t="str">
        <f t="shared" si="1946"/>
        <v>Enam Puluh Lima</v>
      </c>
    </row>
    <row r="20123" spans="10:12">
      <c r="J20123" s="31">
        <v>66</v>
      </c>
      <c r="K20123" s="33" t="s">
        <v>140</v>
      </c>
      <c r="L20123" s="31" t="str">
        <f t="shared" si="1946"/>
        <v>Enam Puluh Enam</v>
      </c>
    </row>
    <row r="20124" spans="10:12">
      <c r="J20124" s="31">
        <v>67</v>
      </c>
      <c r="K20124" s="33" t="s">
        <v>141</v>
      </c>
      <c r="L20124" s="31" t="str">
        <f t="shared" si="1946"/>
        <v>Enam Puluh Tujuh</v>
      </c>
    </row>
    <row r="20125" spans="10:12">
      <c r="J20125" s="31">
        <v>68</v>
      </c>
      <c r="K20125" s="33" t="s">
        <v>142</v>
      </c>
      <c r="L20125" s="31" t="str">
        <f t="shared" si="1946"/>
        <v>Enam Puluh Delapan</v>
      </c>
    </row>
    <row r="20126" spans="10:12">
      <c r="J20126" s="31">
        <v>69</v>
      </c>
      <c r="K20126" s="33" t="s">
        <v>143</v>
      </c>
      <c r="L20126" s="31" t="str">
        <f t="shared" si="1946"/>
        <v>Enam Puluh Sembilan</v>
      </c>
    </row>
    <row r="20127" spans="10:12">
      <c r="J20127" s="31">
        <v>70</v>
      </c>
      <c r="K20127" s="33" t="s">
        <v>144</v>
      </c>
      <c r="L20127" s="31" t="s">
        <v>145</v>
      </c>
    </row>
    <row r="20128" spans="10:12">
      <c r="J20128" s="31">
        <v>71</v>
      </c>
      <c r="K20128" s="33" t="s">
        <v>146</v>
      </c>
      <c r="L20128" s="31" t="str">
        <f t="shared" ref="L20128:L20136" si="1947">$L$73&amp;" "&amp;L20058</f>
        <v>Tujuh Puluh Satu</v>
      </c>
    </row>
    <row r="20129" spans="10:12">
      <c r="J20129" s="31">
        <v>72</v>
      </c>
      <c r="K20129" s="33" t="s">
        <v>147</v>
      </c>
      <c r="L20129" s="31" t="str">
        <f t="shared" si="1947"/>
        <v>Tujuh Puluh Dua</v>
      </c>
    </row>
    <row r="20130" spans="10:12">
      <c r="J20130" s="31">
        <v>73</v>
      </c>
      <c r="K20130" s="33" t="s">
        <v>148</v>
      </c>
      <c r="L20130" s="31" t="str">
        <f t="shared" si="1947"/>
        <v>Tujuh Puluh Tiga</v>
      </c>
    </row>
    <row r="20131" spans="10:12">
      <c r="J20131" s="31">
        <v>74</v>
      </c>
      <c r="K20131" s="33" t="s">
        <v>149</v>
      </c>
      <c r="L20131" s="31" t="str">
        <f t="shared" si="1947"/>
        <v>Tujuh Puluh Empat</v>
      </c>
    </row>
    <row r="20132" spans="10:12">
      <c r="J20132" s="31">
        <v>75</v>
      </c>
      <c r="K20132" s="33" t="s">
        <v>150</v>
      </c>
      <c r="L20132" s="31" t="str">
        <f t="shared" si="1947"/>
        <v>Tujuh Puluh Lima</v>
      </c>
    </row>
    <row r="20133" spans="10:12">
      <c r="J20133" s="31">
        <v>76</v>
      </c>
      <c r="K20133" s="33" t="s">
        <v>151</v>
      </c>
      <c r="L20133" s="31" t="str">
        <f t="shared" si="1947"/>
        <v>Tujuh Puluh Enam</v>
      </c>
    </row>
    <row r="20134" spans="10:12">
      <c r="J20134" s="31">
        <v>77</v>
      </c>
      <c r="K20134" s="33" t="s">
        <v>152</v>
      </c>
      <c r="L20134" s="31" t="str">
        <f t="shared" si="1947"/>
        <v>Tujuh Puluh Tujuh</v>
      </c>
    </row>
    <row r="20135" spans="10:12">
      <c r="J20135" s="31">
        <v>78</v>
      </c>
      <c r="K20135" s="33" t="s">
        <v>153</v>
      </c>
      <c r="L20135" s="31" t="str">
        <f t="shared" si="1947"/>
        <v>Tujuh Puluh Delapan</v>
      </c>
    </row>
    <row r="20136" spans="10:12">
      <c r="J20136" s="31">
        <v>79</v>
      </c>
      <c r="K20136" s="33" t="s">
        <v>154</v>
      </c>
      <c r="L20136" s="31" t="str">
        <f t="shared" si="1947"/>
        <v>Tujuh Puluh Sembilan</v>
      </c>
    </row>
    <row r="20137" spans="10:12">
      <c r="J20137" s="31">
        <v>80</v>
      </c>
      <c r="K20137" s="33" t="s">
        <v>155</v>
      </c>
      <c r="L20137" s="31" t="s">
        <v>156</v>
      </c>
    </row>
    <row r="20138" spans="10:12">
      <c r="J20138" s="31">
        <v>81</v>
      </c>
      <c r="K20138" s="33" t="s">
        <v>157</v>
      </c>
      <c r="L20138" s="31" t="str">
        <f t="shared" ref="L20138:L20146" si="1948">$L$83&amp;" "&amp;L20058</f>
        <v>Delapan Puluh Satu</v>
      </c>
    </row>
    <row r="20139" spans="10:12">
      <c r="J20139" s="31">
        <v>82</v>
      </c>
      <c r="K20139" s="33" t="s">
        <v>158</v>
      </c>
      <c r="L20139" s="31" t="str">
        <f t="shared" si="1948"/>
        <v>Delapan Puluh Dua</v>
      </c>
    </row>
    <row r="20140" spans="10:12">
      <c r="J20140" s="31">
        <v>83</v>
      </c>
      <c r="K20140" s="33" t="s">
        <v>159</v>
      </c>
      <c r="L20140" s="31" t="str">
        <f t="shared" si="1948"/>
        <v>Delapan Puluh Tiga</v>
      </c>
    </row>
    <row r="20141" spans="10:12">
      <c r="J20141" s="31">
        <v>84</v>
      </c>
      <c r="K20141" s="33" t="s">
        <v>160</v>
      </c>
      <c r="L20141" s="31" t="str">
        <f t="shared" si="1948"/>
        <v>Delapan Puluh Empat</v>
      </c>
    </row>
    <row r="20142" spans="10:12">
      <c r="J20142" s="31">
        <v>85</v>
      </c>
      <c r="K20142" s="33" t="s">
        <v>161</v>
      </c>
      <c r="L20142" s="31" t="str">
        <f t="shared" si="1948"/>
        <v>Delapan Puluh Lima</v>
      </c>
    </row>
    <row r="20143" spans="10:12">
      <c r="J20143" s="31">
        <v>86</v>
      </c>
      <c r="K20143" s="33" t="s">
        <v>162</v>
      </c>
      <c r="L20143" s="31" t="str">
        <f t="shared" si="1948"/>
        <v>Delapan Puluh Enam</v>
      </c>
    </row>
    <row r="20144" spans="10:12">
      <c r="J20144" s="31">
        <v>87</v>
      </c>
      <c r="K20144" s="33" t="s">
        <v>163</v>
      </c>
      <c r="L20144" s="31" t="str">
        <f t="shared" si="1948"/>
        <v>Delapan Puluh Tujuh</v>
      </c>
    </row>
    <row r="20145" spans="1:12">
      <c r="J20145" s="31">
        <v>88</v>
      </c>
      <c r="K20145" s="33" t="s">
        <v>164</v>
      </c>
      <c r="L20145" s="31" t="str">
        <f t="shared" si="1948"/>
        <v>Delapan Puluh Delapan</v>
      </c>
    </row>
    <row r="20146" spans="1:12">
      <c r="J20146" s="31">
        <v>89</v>
      </c>
      <c r="K20146" s="33" t="s">
        <v>165</v>
      </c>
      <c r="L20146" s="31" t="str">
        <f t="shared" si="1948"/>
        <v>Delapan Puluh Sembilan</v>
      </c>
    </row>
    <row r="20147" spans="1:12">
      <c r="J20147" s="31">
        <v>90</v>
      </c>
      <c r="K20147" s="33" t="s">
        <v>166</v>
      </c>
      <c r="L20147" s="31" t="s">
        <v>167</v>
      </c>
    </row>
    <row r="20148" spans="1:12">
      <c r="J20148" s="31">
        <v>91</v>
      </c>
      <c r="K20148" s="33" t="s">
        <v>168</v>
      </c>
      <c r="L20148" s="31" t="str">
        <f t="shared" ref="L20148:L20156" si="1949">$L$93&amp;" "&amp;L20058</f>
        <v>Sembilan Puluh Satu</v>
      </c>
    </row>
    <row r="20149" spans="1:12">
      <c r="J20149" s="31">
        <v>92</v>
      </c>
      <c r="K20149" s="33" t="s">
        <v>169</v>
      </c>
      <c r="L20149" s="31" t="str">
        <f t="shared" si="1949"/>
        <v>Sembilan Puluh Dua</v>
      </c>
    </row>
    <row r="20150" spans="1:12">
      <c r="J20150" s="31">
        <v>93</v>
      </c>
      <c r="K20150" s="33" t="s">
        <v>170</v>
      </c>
      <c r="L20150" s="31" t="str">
        <f t="shared" si="1949"/>
        <v>Sembilan Puluh Tiga</v>
      </c>
    </row>
    <row r="20151" spans="1:12">
      <c r="J20151" s="31">
        <v>94</v>
      </c>
      <c r="K20151" s="33" t="s">
        <v>171</v>
      </c>
      <c r="L20151" s="31" t="str">
        <f t="shared" si="1949"/>
        <v>Sembilan Puluh Empat</v>
      </c>
    </row>
    <row r="20152" spans="1:12">
      <c r="J20152" s="31">
        <v>95</v>
      </c>
      <c r="K20152" s="33" t="s">
        <v>172</v>
      </c>
      <c r="L20152" s="31" t="str">
        <f t="shared" si="1949"/>
        <v>Sembilan Puluh Lima</v>
      </c>
    </row>
    <row r="20153" spans="1:12">
      <c r="J20153" s="31">
        <v>96</v>
      </c>
      <c r="K20153" s="33" t="s">
        <v>173</v>
      </c>
      <c r="L20153" s="31" t="str">
        <f t="shared" si="1949"/>
        <v>Sembilan Puluh Enam</v>
      </c>
    </row>
    <row r="20154" spans="1:12">
      <c r="J20154" s="31">
        <v>97</v>
      </c>
      <c r="K20154" s="33" t="s">
        <v>174</v>
      </c>
      <c r="L20154" s="31" t="str">
        <f t="shared" si="1949"/>
        <v>Sembilan Puluh Tujuh</v>
      </c>
    </row>
    <row r="20155" spans="1:12">
      <c r="J20155" s="31">
        <v>98</v>
      </c>
      <c r="K20155" s="33" t="s">
        <v>175</v>
      </c>
      <c r="L20155" s="31" t="str">
        <f t="shared" si="1949"/>
        <v>Sembilan Puluh Delapan</v>
      </c>
    </row>
    <row r="20156" spans="1:12">
      <c r="J20156" s="31">
        <v>99</v>
      </c>
      <c r="K20156" s="33" t="s">
        <v>176</v>
      </c>
      <c r="L20156" s="31" t="str">
        <f t="shared" si="1949"/>
        <v>Sembilan Puluh Sembilan</v>
      </c>
    </row>
    <row r="20158" spans="1:12">
      <c r="A20158" s="30" t="e">
        <f>#REF!</f>
        <v>#REF!</v>
      </c>
      <c r="C20158" s="31" t="s">
        <v>303</v>
      </c>
    </row>
    <row r="20159" spans="1:12">
      <c r="A20159" s="32"/>
    </row>
    <row r="20160" spans="1:12">
      <c r="J20160" s="31">
        <v>0</v>
      </c>
      <c r="K20160" s="33" t="s">
        <v>48</v>
      </c>
      <c r="L20160" s="31" t="s">
        <v>49</v>
      </c>
    </row>
    <row r="20161" spans="1:12">
      <c r="A20161" s="34"/>
      <c r="J20161" s="31">
        <v>1</v>
      </c>
      <c r="K20161" s="33" t="s">
        <v>50</v>
      </c>
      <c r="L20161" s="31" t="s">
        <v>51</v>
      </c>
    </row>
    <row r="20162" spans="1:12">
      <c r="A20162" s="255" t="e">
        <f>TRIM(D20170&amp;E20170&amp;D20171&amp;E20171&amp;D20172&amp;E20172&amp;D20173&amp;E20173&amp;D20174&amp;E20174&amp;D20175&amp;E20175&amp;E20176&amp;D20176&amp;" Only")</f>
        <v>#REF!</v>
      </c>
      <c r="B20162" s="255"/>
      <c r="C20162" s="255"/>
      <c r="D20162" s="255"/>
      <c r="E20162" s="35"/>
      <c r="F20162" s="36"/>
      <c r="J20162" s="31">
        <v>2</v>
      </c>
      <c r="K20162" s="33" t="s">
        <v>52</v>
      </c>
      <c r="L20162" s="31" t="s">
        <v>53</v>
      </c>
    </row>
    <row r="20163" spans="1:12">
      <c r="A20163" s="185"/>
      <c r="B20163" s="185"/>
      <c r="C20163" s="185"/>
      <c r="D20163" s="185"/>
      <c r="E20163" s="35"/>
      <c r="F20163" s="36"/>
      <c r="J20163" s="31">
        <v>3</v>
      </c>
      <c r="K20163" s="33" t="s">
        <v>54</v>
      </c>
      <c r="L20163" s="31" t="s">
        <v>55</v>
      </c>
    </row>
    <row r="20164" spans="1:12">
      <c r="A20164" s="185"/>
      <c r="B20164" s="185"/>
      <c r="C20164" s="185"/>
      <c r="D20164" s="185"/>
      <c r="J20164" s="31">
        <v>4</v>
      </c>
      <c r="K20164" s="33" t="s">
        <v>56</v>
      </c>
      <c r="L20164" s="31" t="s">
        <v>57</v>
      </c>
    </row>
    <row r="20165" spans="1:12">
      <c r="A20165" s="255" t="e">
        <f>TRIM(D20180&amp;E20180&amp;D20181&amp;E20181&amp;D20182&amp;E20182&amp;D20183&amp;E20183&amp;D20184&amp;E20184&amp;D20185&amp;E20185&amp;D20186&amp;E20186&amp;" Rupiah")</f>
        <v>#REF!</v>
      </c>
      <c r="B20165" s="255"/>
      <c r="C20165" s="255"/>
      <c r="D20165" s="255"/>
      <c r="E20165" s="35"/>
      <c r="F20165" s="36"/>
      <c r="J20165" s="31">
        <v>5</v>
      </c>
      <c r="K20165" s="33" t="s">
        <v>58</v>
      </c>
      <c r="L20165" s="31" t="s">
        <v>59</v>
      </c>
    </row>
    <row r="20166" spans="1:12">
      <c r="A20166" s="35"/>
      <c r="B20166" s="35"/>
      <c r="C20166" s="35"/>
      <c r="D20166" s="35"/>
      <c r="E20166" s="35"/>
      <c r="F20166" s="36"/>
      <c r="J20166" s="31">
        <v>6</v>
      </c>
      <c r="K20166" s="33" t="s">
        <v>60</v>
      </c>
      <c r="L20166" s="31" t="s">
        <v>61</v>
      </c>
    </row>
    <row r="20167" spans="1:12">
      <c r="J20167" s="31">
        <v>7</v>
      </c>
      <c r="K20167" s="33" t="s">
        <v>62</v>
      </c>
      <c r="L20167" s="31" t="s">
        <v>63</v>
      </c>
    </row>
    <row r="20168" spans="1:12">
      <c r="J20168" s="31">
        <v>8</v>
      </c>
      <c r="K20168" s="33" t="s">
        <v>64</v>
      </c>
      <c r="L20168" s="31" t="s">
        <v>65</v>
      </c>
    </row>
    <row r="20169" spans="1:12">
      <c r="A20169" s="38" t="s">
        <v>66</v>
      </c>
      <c r="J20169" s="31">
        <v>9</v>
      </c>
      <c r="K20169" s="33" t="s">
        <v>67</v>
      </c>
      <c r="L20169" s="31" t="s">
        <v>68</v>
      </c>
    </row>
    <row r="20170" spans="1:12">
      <c r="A20170" s="31" t="s">
        <v>69</v>
      </c>
      <c r="B20170" s="39" t="e">
        <f>TRUNC(A20158/100000000)</f>
        <v>#REF!</v>
      </c>
      <c r="C20170" s="31" t="e">
        <f>B20170*100000000</f>
        <v>#REF!</v>
      </c>
      <c r="D20170" s="31" t="e">
        <f t="shared" ref="D20170:D20176" si="1950">IF(B20170&lt;1,"",VLOOKUP(B20170,$J$3:$K$102,2))</f>
        <v>#REF!</v>
      </c>
      <c r="E20170" s="31" t="e">
        <f>IF(B20170&lt;1,"",IF(B20170&gt;1," Hundreds "," Hundred "))</f>
        <v>#REF!</v>
      </c>
      <c r="J20170" s="31">
        <v>10</v>
      </c>
      <c r="K20170" s="33" t="s">
        <v>70</v>
      </c>
      <c r="L20170" s="31" t="s">
        <v>71</v>
      </c>
    </row>
    <row r="20171" spans="1:12">
      <c r="A20171" s="31" t="s">
        <v>72</v>
      </c>
      <c r="B20171" s="39" t="e">
        <f>TRUNC((A20158-C20170)/1000000)</f>
        <v>#REF!</v>
      </c>
      <c r="C20171" s="31" t="e">
        <f>B20171*1000000</f>
        <v>#REF!</v>
      </c>
      <c r="D20171" s="31" t="e">
        <f t="shared" si="1950"/>
        <v>#REF!</v>
      </c>
      <c r="E20171" s="31" t="e">
        <f>IF(B20170+B20171=0,"",IF(B20171=1," Million "," Millions "))</f>
        <v>#REF!</v>
      </c>
      <c r="J20171" s="31">
        <v>11</v>
      </c>
      <c r="K20171" s="33" t="s">
        <v>73</v>
      </c>
      <c r="L20171" s="31" t="s">
        <v>74</v>
      </c>
    </row>
    <row r="20172" spans="1:12">
      <c r="A20172" s="31" t="s">
        <v>75</v>
      </c>
      <c r="B20172" s="39" t="e">
        <f>TRUNC((A20158-SUM(C20170:C20171))/100000)</f>
        <v>#REF!</v>
      </c>
      <c r="C20172" s="31" t="e">
        <f>B20172*100000</f>
        <v>#REF!</v>
      </c>
      <c r="D20172" s="31" t="e">
        <f t="shared" si="1950"/>
        <v>#REF!</v>
      </c>
      <c r="E20172" s="31" t="e">
        <f>IF(B20172&lt;1,"",IF(B20172&gt;1," Hundreds "," Hundred "))</f>
        <v>#REF!</v>
      </c>
      <c r="J20172" s="31">
        <v>12</v>
      </c>
      <c r="K20172" s="33" t="s">
        <v>76</v>
      </c>
      <c r="L20172" s="31" t="str">
        <f t="shared" ref="L20172:L20179" si="1951">L20162&amp;" Belas"</f>
        <v>Dua Belas</v>
      </c>
    </row>
    <row r="20173" spans="1:12">
      <c r="A20173" s="33" t="s">
        <v>77</v>
      </c>
      <c r="B20173" s="40" t="e">
        <f>TRUNC((A20158-SUM(C20170:C20172))/1000)</f>
        <v>#REF!</v>
      </c>
      <c r="C20173" s="31" t="e">
        <f>B20173*1000</f>
        <v>#REF!</v>
      </c>
      <c r="D20173" s="31" t="e">
        <f t="shared" si="1950"/>
        <v>#REF!</v>
      </c>
      <c r="E20173" s="31" t="e">
        <f>IF(B20172+B20173=0,"",IF(B20173=1," Thousand "," Thousands "))</f>
        <v>#REF!</v>
      </c>
      <c r="J20173" s="31">
        <v>13</v>
      </c>
      <c r="K20173" s="33" t="s">
        <v>78</v>
      </c>
      <c r="L20173" s="31" t="str">
        <f t="shared" si="1951"/>
        <v>Tiga Belas</v>
      </c>
    </row>
    <row r="20174" spans="1:12">
      <c r="A20174" s="33" t="s">
        <v>79</v>
      </c>
      <c r="B20174" s="40" t="e">
        <f>TRUNC((A20158-SUM(C20170:C20173))/100)</f>
        <v>#REF!</v>
      </c>
      <c r="C20174" s="31" t="e">
        <f>B20174*100</f>
        <v>#REF!</v>
      </c>
      <c r="D20174" s="31" t="e">
        <f t="shared" si="1950"/>
        <v>#REF!</v>
      </c>
      <c r="E20174" s="31" t="e">
        <f>IF(B20174&lt;1,"",IF(B20174&gt;1," Hundreds "," Hundred "))</f>
        <v>#REF!</v>
      </c>
      <c r="J20174" s="31">
        <v>14</v>
      </c>
      <c r="K20174" s="33" t="s">
        <v>80</v>
      </c>
      <c r="L20174" s="31" t="str">
        <f t="shared" si="1951"/>
        <v>Empat Belas</v>
      </c>
    </row>
    <row r="20175" spans="1:12">
      <c r="A20175" s="33" t="s">
        <v>81</v>
      </c>
      <c r="B20175" s="41" t="e">
        <f>TRUNC((A20158-SUM(C20170:C20174)))</f>
        <v>#REF!</v>
      </c>
      <c r="C20175" s="42" t="e">
        <f>B20175</f>
        <v>#REF!</v>
      </c>
      <c r="D20175" s="31" t="e">
        <f t="shared" si="1950"/>
        <v>#REF!</v>
      </c>
      <c r="E20175" s="31" t="e">
        <f>IF(SUM(C20170:C20175)&lt;1,"",IF(B20176&lt;1,""," And "))</f>
        <v>#REF!</v>
      </c>
      <c r="J20175" s="31">
        <v>15</v>
      </c>
      <c r="K20175" s="33" t="s">
        <v>82</v>
      </c>
      <c r="L20175" s="31" t="str">
        <f t="shared" si="1951"/>
        <v>Lima Belas</v>
      </c>
    </row>
    <row r="20176" spans="1:12">
      <c r="A20176" s="33" t="s">
        <v>83</v>
      </c>
      <c r="B20176" s="40" t="e">
        <f>ROUND(A20158-SUM(C20170:C20175),2)*100</f>
        <v>#REF!</v>
      </c>
      <c r="D20176" s="43" t="e">
        <f t="shared" si="1950"/>
        <v>#REF!</v>
      </c>
      <c r="E20176" s="31" t="e">
        <f>IF(B20176&lt;1,"",IF(B20176=1," Cent "," Cents "))</f>
        <v>#REF!</v>
      </c>
      <c r="J20176" s="31">
        <v>16</v>
      </c>
      <c r="K20176" s="33" t="s">
        <v>84</v>
      </c>
      <c r="L20176" s="31" t="str">
        <f t="shared" si="1951"/>
        <v>Enam Belas</v>
      </c>
    </row>
    <row r="20177" spans="1:12">
      <c r="J20177" s="31">
        <v>17</v>
      </c>
      <c r="K20177" s="33" t="s">
        <v>85</v>
      </c>
      <c r="L20177" s="31" t="str">
        <f t="shared" si="1951"/>
        <v>Tujuh Belas</v>
      </c>
    </row>
    <row r="20178" spans="1:12">
      <c r="A20178" s="44"/>
      <c r="J20178" s="31">
        <v>18</v>
      </c>
      <c r="K20178" s="33" t="s">
        <v>86</v>
      </c>
      <c r="L20178" s="31" t="str">
        <f t="shared" si="1951"/>
        <v>Delapan Belas</v>
      </c>
    </row>
    <row r="20179" spans="1:12">
      <c r="A20179" s="38" t="s">
        <v>87</v>
      </c>
      <c r="J20179" s="31">
        <v>19</v>
      </c>
      <c r="K20179" s="33" t="s">
        <v>88</v>
      </c>
      <c r="L20179" s="31" t="str">
        <f t="shared" si="1951"/>
        <v>Sembilan Belas</v>
      </c>
    </row>
    <row r="20180" spans="1:12">
      <c r="A20180" s="31" t="s">
        <v>69</v>
      </c>
      <c r="B20180" s="39" t="e">
        <f>TRUNC(A20158/100000000)</f>
        <v>#REF!</v>
      </c>
      <c r="C20180" s="31" t="e">
        <f>B20180*100000000</f>
        <v>#REF!</v>
      </c>
      <c r="D20180" s="31" t="e">
        <f>IF(B20180&lt;1,"",IF(B20180=1,"",VLOOKUP(B20180,$J$3:$L$102,3)))</f>
        <v>#REF!</v>
      </c>
      <c r="E20180" s="31" t="e">
        <f>IF(B20180&lt;1,"",IF(B20180=1,"Seratus "," Ratus "))</f>
        <v>#REF!</v>
      </c>
      <c r="J20180" s="31">
        <v>20</v>
      </c>
      <c r="K20180" s="33" t="s">
        <v>89</v>
      </c>
      <c r="L20180" s="31" t="s">
        <v>90</v>
      </c>
    </row>
    <row r="20181" spans="1:12">
      <c r="A20181" s="31" t="s">
        <v>72</v>
      </c>
      <c r="B20181" s="39" t="e">
        <f>TRUNC((A20158-C20180)/1000000)</f>
        <v>#REF!</v>
      </c>
      <c r="C20181" s="31" t="e">
        <f>B20181*1000000</f>
        <v>#REF!</v>
      </c>
      <c r="D20181" s="31" t="e">
        <f>IF(B20181&lt;1,"",VLOOKUP(B20181,$J$3:$L$102,3))</f>
        <v>#REF!</v>
      </c>
      <c r="E20181" s="31" t="e">
        <f>IF(B20180+B20181=0,""," Juta ")</f>
        <v>#REF!</v>
      </c>
      <c r="J20181" s="31">
        <v>21</v>
      </c>
      <c r="K20181" s="33" t="s">
        <v>91</v>
      </c>
      <c r="L20181" s="31" t="str">
        <f t="shared" ref="L20181:L20189" si="1952">$L$23&amp;" "&amp;L20161</f>
        <v>Dua Puluh Satu</v>
      </c>
    </row>
    <row r="20182" spans="1:12">
      <c r="A20182" s="31" t="s">
        <v>75</v>
      </c>
      <c r="B20182" s="39" t="e">
        <f>TRUNC((A20158-SUM(C20180:C20181))/100000)</f>
        <v>#REF!</v>
      </c>
      <c r="C20182" s="31" t="e">
        <f>B20182*100000</f>
        <v>#REF!</v>
      </c>
      <c r="D20182" s="31" t="e">
        <f>IF(B20182&lt;1,"",IF(B20182=1,"",VLOOKUP(B20182,$J$3:$L$102,3)))</f>
        <v>#REF!</v>
      </c>
      <c r="E20182" s="31" t="e">
        <f>IF(B20182&lt;1,"",IF(B20182=1," Seratus "," Ratus "))</f>
        <v>#REF!</v>
      </c>
      <c r="J20182" s="31">
        <v>22</v>
      </c>
      <c r="K20182" s="33" t="s">
        <v>92</v>
      </c>
      <c r="L20182" s="31" t="str">
        <f t="shared" si="1952"/>
        <v>Dua Puluh Dua</v>
      </c>
    </row>
    <row r="20183" spans="1:12">
      <c r="A20183" s="33" t="s">
        <v>77</v>
      </c>
      <c r="B20183" s="40" t="e">
        <f>TRUNC((A20158-SUM(C20180:C20182))/1000)</f>
        <v>#REF!</v>
      </c>
      <c r="C20183" s="31" t="e">
        <f>B20183*1000</f>
        <v>#REF!</v>
      </c>
      <c r="D20183" s="31" t="e">
        <f>IF(B20183&lt;1,"",IF(B20183=1,"",VLOOKUP(B20183,$J$3:$L$102,3)))</f>
        <v>#REF!</v>
      </c>
      <c r="E20183" s="31" t="e">
        <f>IF(B20182+B20183&lt;1,"",IF(B20183=1," Seribu "," Ribu "))</f>
        <v>#REF!</v>
      </c>
      <c r="J20183" s="31">
        <v>23</v>
      </c>
      <c r="K20183" s="33" t="s">
        <v>93</v>
      </c>
      <c r="L20183" s="31" t="str">
        <f t="shared" si="1952"/>
        <v>Dua Puluh Tiga</v>
      </c>
    </row>
    <row r="20184" spans="1:12">
      <c r="A20184" s="33" t="s">
        <v>79</v>
      </c>
      <c r="B20184" s="40" t="e">
        <f>TRUNC((A20158-SUM(C20180:C20183))/100)</f>
        <v>#REF!</v>
      </c>
      <c r="C20184" s="31" t="e">
        <f>B20184*100</f>
        <v>#REF!</v>
      </c>
      <c r="D20184" s="31" t="e">
        <f>IF(B20184&lt;1,"",IF(B20184=1,"",VLOOKUP(B20184,$J$3:$L$102,3)))</f>
        <v>#REF!</v>
      </c>
      <c r="E20184" s="31" t="e">
        <f>IF(B20184&lt;1,"",IF(B20184=1," Seratus "," Ratus "))</f>
        <v>#REF!</v>
      </c>
      <c r="J20184" s="31">
        <v>24</v>
      </c>
      <c r="K20184" s="33" t="s">
        <v>94</v>
      </c>
      <c r="L20184" s="31" t="str">
        <f t="shared" si="1952"/>
        <v>Dua Puluh Empat</v>
      </c>
    </row>
    <row r="20185" spans="1:12">
      <c r="A20185" s="33" t="s">
        <v>81</v>
      </c>
      <c r="B20185" s="41" t="e">
        <f>TRUNC((A20158-SUM(C20180:C20184)))</f>
        <v>#REF!</v>
      </c>
      <c r="C20185" s="42" t="e">
        <f>B20185</f>
        <v>#REF!</v>
      </c>
      <c r="D20185" s="31" t="e">
        <f>IF(B20185&lt;1,"",VLOOKUP(B20185,$J$3:$L$102,3))</f>
        <v>#REF!</v>
      </c>
      <c r="E20185" s="31" t="e">
        <f>IF(SUM(C20180:C20185)&lt;1,"",IF(B20186&lt;1,""," Dan "))</f>
        <v>#REF!</v>
      </c>
      <c r="J20185" s="31">
        <v>25</v>
      </c>
      <c r="K20185" s="33" t="s">
        <v>95</v>
      </c>
      <c r="L20185" s="31" t="str">
        <f t="shared" si="1952"/>
        <v>Dua Puluh Lima</v>
      </c>
    </row>
    <row r="20186" spans="1:12">
      <c r="A20186" s="33" t="s">
        <v>83</v>
      </c>
      <c r="B20186" s="40" t="e">
        <f>ROUND(A20158-SUM(C20180:C20185),2)*100</f>
        <v>#REF!</v>
      </c>
      <c r="D20186" s="31" t="e">
        <f>IF(B20186&lt;1,"",VLOOKUP(B20186,$J$3:$L$102,3))</f>
        <v>#REF!</v>
      </c>
      <c r="E20186" s="31" t="e">
        <f>IF(B20186&lt;1,""," Sen ")</f>
        <v>#REF!</v>
      </c>
      <c r="J20186" s="31">
        <v>26</v>
      </c>
      <c r="K20186" s="33" t="s">
        <v>96</v>
      </c>
      <c r="L20186" s="31" t="str">
        <f t="shared" si="1952"/>
        <v>Dua Puluh Enam</v>
      </c>
    </row>
    <row r="20187" spans="1:12">
      <c r="J20187" s="31">
        <v>27</v>
      </c>
      <c r="K20187" s="33" t="s">
        <v>97</v>
      </c>
      <c r="L20187" s="31" t="str">
        <f t="shared" si="1952"/>
        <v>Dua Puluh Tujuh</v>
      </c>
    </row>
    <row r="20188" spans="1:12">
      <c r="J20188" s="31">
        <v>28</v>
      </c>
      <c r="K20188" s="33" t="s">
        <v>98</v>
      </c>
      <c r="L20188" s="31" t="str">
        <f t="shared" si="1952"/>
        <v>Dua Puluh Delapan</v>
      </c>
    </row>
    <row r="20189" spans="1:12">
      <c r="J20189" s="31">
        <v>29</v>
      </c>
      <c r="K20189" s="33" t="s">
        <v>99</v>
      </c>
      <c r="L20189" s="31" t="str">
        <f t="shared" si="1952"/>
        <v>Dua Puluh Sembilan</v>
      </c>
    </row>
    <row r="20190" spans="1:12">
      <c r="J20190" s="31">
        <v>30</v>
      </c>
      <c r="K20190" s="33" t="s">
        <v>100</v>
      </c>
      <c r="L20190" s="31" t="s">
        <v>101</v>
      </c>
    </row>
    <row r="20191" spans="1:12">
      <c r="J20191" s="31">
        <v>31</v>
      </c>
      <c r="K20191" s="33" t="s">
        <v>102</v>
      </c>
      <c r="L20191" s="31" t="str">
        <f t="shared" ref="L20191:L20199" si="1953">$L$33&amp;" "&amp;L20161</f>
        <v>Tiga Puluh Satu</v>
      </c>
    </row>
    <row r="20192" spans="1:12">
      <c r="J20192" s="31">
        <v>32</v>
      </c>
      <c r="K20192" s="33" t="s">
        <v>103</v>
      </c>
      <c r="L20192" s="31" t="str">
        <f t="shared" si="1953"/>
        <v>Tiga Puluh Dua</v>
      </c>
    </row>
    <row r="20193" spans="1:12">
      <c r="J20193" s="31">
        <v>33</v>
      </c>
      <c r="K20193" s="33" t="s">
        <v>104</v>
      </c>
      <c r="L20193" s="31" t="str">
        <f t="shared" si="1953"/>
        <v>Tiga Puluh Tiga</v>
      </c>
    </row>
    <row r="20194" spans="1:12">
      <c r="J20194" s="31">
        <v>34</v>
      </c>
      <c r="K20194" s="33" t="s">
        <v>105</v>
      </c>
      <c r="L20194" s="31" t="str">
        <f t="shared" si="1953"/>
        <v>Tiga Puluh Empat</v>
      </c>
    </row>
    <row r="20195" spans="1:12">
      <c r="J20195" s="31">
        <v>35</v>
      </c>
      <c r="K20195" s="33" t="s">
        <v>106</v>
      </c>
      <c r="L20195" s="31" t="str">
        <f t="shared" si="1953"/>
        <v>Tiga Puluh Lima</v>
      </c>
    </row>
    <row r="20196" spans="1:12">
      <c r="J20196" s="31">
        <v>36</v>
      </c>
      <c r="K20196" s="33" t="s">
        <v>107</v>
      </c>
      <c r="L20196" s="31" t="str">
        <f t="shared" si="1953"/>
        <v>Tiga Puluh Enam</v>
      </c>
    </row>
    <row r="20197" spans="1:12">
      <c r="J20197" s="31">
        <v>37</v>
      </c>
      <c r="K20197" s="33" t="s">
        <v>108</v>
      </c>
      <c r="L20197" s="31" t="str">
        <f t="shared" si="1953"/>
        <v>Tiga Puluh Tujuh</v>
      </c>
    </row>
    <row r="20198" spans="1:12">
      <c r="J20198" s="31">
        <v>38</v>
      </c>
      <c r="K20198" s="33" t="s">
        <v>109</v>
      </c>
      <c r="L20198" s="31" t="str">
        <f t="shared" si="1953"/>
        <v>Tiga Puluh Delapan</v>
      </c>
    </row>
    <row r="20199" spans="1:12">
      <c r="J20199" s="31">
        <v>39</v>
      </c>
      <c r="K20199" s="33" t="s">
        <v>110</v>
      </c>
      <c r="L20199" s="31" t="str">
        <f t="shared" si="1953"/>
        <v>Tiga Puluh Sembilan</v>
      </c>
    </row>
    <row r="20200" spans="1:12">
      <c r="B20200" s="35"/>
      <c r="C20200" s="35"/>
      <c r="D20200" s="35"/>
      <c r="J20200" s="31">
        <v>40</v>
      </c>
      <c r="K20200" s="33" t="s">
        <v>111</v>
      </c>
      <c r="L20200" s="31" t="s">
        <v>112</v>
      </c>
    </row>
    <row r="20201" spans="1:12">
      <c r="A20201" s="35"/>
      <c r="B20201" s="35"/>
      <c r="C20201" s="35"/>
      <c r="D20201" s="35"/>
      <c r="J20201" s="31">
        <v>41</v>
      </c>
      <c r="K20201" s="33" t="s">
        <v>113</v>
      </c>
      <c r="L20201" s="31" t="str">
        <f t="shared" ref="L20201:L20209" si="1954">$L$43&amp;" "&amp;L20161</f>
        <v>Empat Puluh Satu</v>
      </c>
    </row>
    <row r="20202" spans="1:12">
      <c r="J20202" s="31">
        <v>42</v>
      </c>
      <c r="K20202" s="33" t="s">
        <v>114</v>
      </c>
      <c r="L20202" s="31" t="str">
        <f t="shared" si="1954"/>
        <v>Empat Puluh Dua</v>
      </c>
    </row>
    <row r="20203" spans="1:12">
      <c r="A20203" s="38"/>
      <c r="J20203" s="31">
        <v>43</v>
      </c>
      <c r="K20203" s="33" t="s">
        <v>115</v>
      </c>
      <c r="L20203" s="31" t="str">
        <f t="shared" si="1954"/>
        <v>Empat Puluh Tiga</v>
      </c>
    </row>
    <row r="20204" spans="1:12">
      <c r="J20204" s="31">
        <v>44</v>
      </c>
      <c r="K20204" s="33" t="s">
        <v>116</v>
      </c>
      <c r="L20204" s="31" t="str">
        <f t="shared" si="1954"/>
        <v>Empat Puluh Empat</v>
      </c>
    </row>
    <row r="20205" spans="1:12">
      <c r="J20205" s="31">
        <v>45</v>
      </c>
      <c r="K20205" s="33" t="s">
        <v>117</v>
      </c>
      <c r="L20205" s="31" t="str">
        <f t="shared" si="1954"/>
        <v>Empat Puluh Lima</v>
      </c>
    </row>
    <row r="20206" spans="1:12">
      <c r="J20206" s="31">
        <v>46</v>
      </c>
      <c r="K20206" s="33" t="s">
        <v>118</v>
      </c>
      <c r="L20206" s="31" t="str">
        <f t="shared" si="1954"/>
        <v>Empat Puluh Enam</v>
      </c>
    </row>
    <row r="20207" spans="1:12">
      <c r="J20207" s="31">
        <v>47</v>
      </c>
      <c r="K20207" s="33" t="s">
        <v>119</v>
      </c>
      <c r="L20207" s="31" t="str">
        <f t="shared" si="1954"/>
        <v>Empat Puluh Tujuh</v>
      </c>
    </row>
    <row r="20208" spans="1:12">
      <c r="J20208" s="31">
        <v>48</v>
      </c>
      <c r="K20208" s="33" t="s">
        <v>120</v>
      </c>
      <c r="L20208" s="31" t="str">
        <f t="shared" si="1954"/>
        <v>Empat Puluh Delapan</v>
      </c>
    </row>
    <row r="20209" spans="10:12">
      <c r="J20209" s="31">
        <v>49</v>
      </c>
      <c r="K20209" s="33" t="s">
        <v>121</v>
      </c>
      <c r="L20209" s="31" t="str">
        <f t="shared" si="1954"/>
        <v>Empat Puluh Sembilan</v>
      </c>
    </row>
    <row r="20210" spans="10:12">
      <c r="J20210" s="31">
        <v>50</v>
      </c>
      <c r="K20210" s="33" t="s">
        <v>122</v>
      </c>
      <c r="L20210" s="31" t="s">
        <v>123</v>
      </c>
    </row>
    <row r="20211" spans="10:12">
      <c r="J20211" s="31">
        <v>51</v>
      </c>
      <c r="K20211" s="33" t="s">
        <v>124</v>
      </c>
      <c r="L20211" s="31" t="str">
        <f t="shared" ref="L20211:L20219" si="1955">$L$53&amp;" "&amp;L20161</f>
        <v>Lima Puluh Satu</v>
      </c>
    </row>
    <row r="20212" spans="10:12">
      <c r="J20212" s="31">
        <v>52</v>
      </c>
      <c r="K20212" s="33" t="s">
        <v>125</v>
      </c>
      <c r="L20212" s="31" t="str">
        <f t="shared" si="1955"/>
        <v>Lima Puluh Dua</v>
      </c>
    </row>
    <row r="20213" spans="10:12">
      <c r="J20213" s="31">
        <v>53</v>
      </c>
      <c r="K20213" s="33" t="s">
        <v>126</v>
      </c>
      <c r="L20213" s="31" t="str">
        <f t="shared" si="1955"/>
        <v>Lima Puluh Tiga</v>
      </c>
    </row>
    <row r="20214" spans="10:12">
      <c r="J20214" s="31">
        <v>54</v>
      </c>
      <c r="K20214" s="33" t="s">
        <v>127</v>
      </c>
      <c r="L20214" s="31" t="str">
        <f t="shared" si="1955"/>
        <v>Lima Puluh Empat</v>
      </c>
    </row>
    <row r="20215" spans="10:12">
      <c r="J20215" s="31">
        <v>55</v>
      </c>
      <c r="K20215" s="33" t="s">
        <v>128</v>
      </c>
      <c r="L20215" s="31" t="str">
        <f t="shared" si="1955"/>
        <v>Lima Puluh Lima</v>
      </c>
    </row>
    <row r="20216" spans="10:12">
      <c r="J20216" s="31">
        <v>56</v>
      </c>
      <c r="K20216" s="33" t="s">
        <v>129</v>
      </c>
      <c r="L20216" s="31" t="str">
        <f t="shared" si="1955"/>
        <v>Lima Puluh Enam</v>
      </c>
    </row>
    <row r="20217" spans="10:12">
      <c r="J20217" s="31">
        <v>57</v>
      </c>
      <c r="K20217" s="33" t="s">
        <v>130</v>
      </c>
      <c r="L20217" s="31" t="str">
        <f t="shared" si="1955"/>
        <v>Lima Puluh Tujuh</v>
      </c>
    </row>
    <row r="20218" spans="10:12">
      <c r="J20218" s="31">
        <v>58</v>
      </c>
      <c r="K20218" s="33" t="s">
        <v>131</v>
      </c>
      <c r="L20218" s="31" t="str">
        <f t="shared" si="1955"/>
        <v>Lima Puluh Delapan</v>
      </c>
    </row>
    <row r="20219" spans="10:12">
      <c r="J20219" s="31">
        <v>59</v>
      </c>
      <c r="K20219" s="33" t="s">
        <v>132</v>
      </c>
      <c r="L20219" s="31" t="str">
        <f t="shared" si="1955"/>
        <v>Lima Puluh Sembilan</v>
      </c>
    </row>
    <row r="20220" spans="10:12">
      <c r="J20220" s="31">
        <v>60</v>
      </c>
      <c r="K20220" s="33" t="s">
        <v>133</v>
      </c>
      <c r="L20220" s="31" t="s">
        <v>134</v>
      </c>
    </row>
    <row r="20221" spans="10:12">
      <c r="J20221" s="31">
        <v>61</v>
      </c>
      <c r="K20221" s="33" t="s">
        <v>135</v>
      </c>
      <c r="L20221" s="31" t="str">
        <f t="shared" ref="L20221:L20229" si="1956">$L$63&amp;" "&amp;L20161</f>
        <v>Enam Puluh Satu</v>
      </c>
    </row>
    <row r="20222" spans="10:12">
      <c r="J20222" s="31">
        <v>62</v>
      </c>
      <c r="K20222" s="33" t="s">
        <v>136</v>
      </c>
      <c r="L20222" s="31" t="str">
        <f t="shared" si="1956"/>
        <v>Enam Puluh Dua</v>
      </c>
    </row>
    <row r="20223" spans="10:12">
      <c r="J20223" s="31">
        <v>63</v>
      </c>
      <c r="K20223" s="33" t="s">
        <v>137</v>
      </c>
      <c r="L20223" s="31" t="str">
        <f t="shared" si="1956"/>
        <v>Enam Puluh Tiga</v>
      </c>
    </row>
    <row r="20224" spans="10:12">
      <c r="J20224" s="31">
        <v>64</v>
      </c>
      <c r="K20224" s="33" t="s">
        <v>138</v>
      </c>
      <c r="L20224" s="31" t="str">
        <f t="shared" si="1956"/>
        <v>Enam Puluh Empat</v>
      </c>
    </row>
    <row r="20225" spans="10:12">
      <c r="J20225" s="31">
        <v>65</v>
      </c>
      <c r="K20225" s="33" t="s">
        <v>139</v>
      </c>
      <c r="L20225" s="31" t="str">
        <f t="shared" si="1956"/>
        <v>Enam Puluh Lima</v>
      </c>
    </row>
    <row r="20226" spans="10:12">
      <c r="J20226" s="31">
        <v>66</v>
      </c>
      <c r="K20226" s="33" t="s">
        <v>140</v>
      </c>
      <c r="L20226" s="31" t="str">
        <f t="shared" si="1956"/>
        <v>Enam Puluh Enam</v>
      </c>
    </row>
    <row r="20227" spans="10:12">
      <c r="J20227" s="31">
        <v>67</v>
      </c>
      <c r="K20227" s="33" t="s">
        <v>141</v>
      </c>
      <c r="L20227" s="31" t="str">
        <f t="shared" si="1956"/>
        <v>Enam Puluh Tujuh</v>
      </c>
    </row>
    <row r="20228" spans="10:12">
      <c r="J20228" s="31">
        <v>68</v>
      </c>
      <c r="K20228" s="33" t="s">
        <v>142</v>
      </c>
      <c r="L20228" s="31" t="str">
        <f t="shared" si="1956"/>
        <v>Enam Puluh Delapan</v>
      </c>
    </row>
    <row r="20229" spans="10:12">
      <c r="J20229" s="31">
        <v>69</v>
      </c>
      <c r="K20229" s="33" t="s">
        <v>143</v>
      </c>
      <c r="L20229" s="31" t="str">
        <f t="shared" si="1956"/>
        <v>Enam Puluh Sembilan</v>
      </c>
    </row>
    <row r="20230" spans="10:12">
      <c r="J20230" s="31">
        <v>70</v>
      </c>
      <c r="K20230" s="33" t="s">
        <v>144</v>
      </c>
      <c r="L20230" s="31" t="s">
        <v>145</v>
      </c>
    </row>
    <row r="20231" spans="10:12">
      <c r="J20231" s="31">
        <v>71</v>
      </c>
      <c r="K20231" s="33" t="s">
        <v>146</v>
      </c>
      <c r="L20231" s="31" t="str">
        <f t="shared" ref="L20231:L20239" si="1957">$L$73&amp;" "&amp;L20161</f>
        <v>Tujuh Puluh Satu</v>
      </c>
    </row>
    <row r="20232" spans="10:12">
      <c r="J20232" s="31">
        <v>72</v>
      </c>
      <c r="K20232" s="33" t="s">
        <v>147</v>
      </c>
      <c r="L20232" s="31" t="str">
        <f t="shared" si="1957"/>
        <v>Tujuh Puluh Dua</v>
      </c>
    </row>
    <row r="20233" spans="10:12">
      <c r="J20233" s="31">
        <v>73</v>
      </c>
      <c r="K20233" s="33" t="s">
        <v>148</v>
      </c>
      <c r="L20233" s="31" t="str">
        <f t="shared" si="1957"/>
        <v>Tujuh Puluh Tiga</v>
      </c>
    </row>
    <row r="20234" spans="10:12">
      <c r="J20234" s="31">
        <v>74</v>
      </c>
      <c r="K20234" s="33" t="s">
        <v>149</v>
      </c>
      <c r="L20234" s="31" t="str">
        <f t="shared" si="1957"/>
        <v>Tujuh Puluh Empat</v>
      </c>
    </row>
    <row r="20235" spans="10:12">
      <c r="J20235" s="31">
        <v>75</v>
      </c>
      <c r="K20235" s="33" t="s">
        <v>150</v>
      </c>
      <c r="L20235" s="31" t="str">
        <f t="shared" si="1957"/>
        <v>Tujuh Puluh Lima</v>
      </c>
    </row>
    <row r="20236" spans="10:12">
      <c r="J20236" s="31">
        <v>76</v>
      </c>
      <c r="K20236" s="33" t="s">
        <v>151</v>
      </c>
      <c r="L20236" s="31" t="str">
        <f t="shared" si="1957"/>
        <v>Tujuh Puluh Enam</v>
      </c>
    </row>
    <row r="20237" spans="10:12">
      <c r="J20237" s="31">
        <v>77</v>
      </c>
      <c r="K20237" s="33" t="s">
        <v>152</v>
      </c>
      <c r="L20237" s="31" t="str">
        <f t="shared" si="1957"/>
        <v>Tujuh Puluh Tujuh</v>
      </c>
    </row>
    <row r="20238" spans="10:12">
      <c r="J20238" s="31">
        <v>78</v>
      </c>
      <c r="K20238" s="33" t="s">
        <v>153</v>
      </c>
      <c r="L20238" s="31" t="str">
        <f t="shared" si="1957"/>
        <v>Tujuh Puluh Delapan</v>
      </c>
    </row>
    <row r="20239" spans="10:12">
      <c r="J20239" s="31">
        <v>79</v>
      </c>
      <c r="K20239" s="33" t="s">
        <v>154</v>
      </c>
      <c r="L20239" s="31" t="str">
        <f t="shared" si="1957"/>
        <v>Tujuh Puluh Sembilan</v>
      </c>
    </row>
    <row r="20240" spans="10:12">
      <c r="J20240" s="31">
        <v>80</v>
      </c>
      <c r="K20240" s="33" t="s">
        <v>155</v>
      </c>
      <c r="L20240" s="31" t="s">
        <v>156</v>
      </c>
    </row>
    <row r="20241" spans="10:12">
      <c r="J20241" s="31">
        <v>81</v>
      </c>
      <c r="K20241" s="33" t="s">
        <v>157</v>
      </c>
      <c r="L20241" s="31" t="str">
        <f t="shared" ref="L20241:L20249" si="1958">$L$83&amp;" "&amp;L20161</f>
        <v>Delapan Puluh Satu</v>
      </c>
    </row>
    <row r="20242" spans="10:12">
      <c r="J20242" s="31">
        <v>82</v>
      </c>
      <c r="K20242" s="33" t="s">
        <v>158</v>
      </c>
      <c r="L20242" s="31" t="str">
        <f t="shared" si="1958"/>
        <v>Delapan Puluh Dua</v>
      </c>
    </row>
    <row r="20243" spans="10:12">
      <c r="J20243" s="31">
        <v>83</v>
      </c>
      <c r="K20243" s="33" t="s">
        <v>159</v>
      </c>
      <c r="L20243" s="31" t="str">
        <f t="shared" si="1958"/>
        <v>Delapan Puluh Tiga</v>
      </c>
    </row>
    <row r="20244" spans="10:12">
      <c r="J20244" s="31">
        <v>84</v>
      </c>
      <c r="K20244" s="33" t="s">
        <v>160</v>
      </c>
      <c r="L20244" s="31" t="str">
        <f t="shared" si="1958"/>
        <v>Delapan Puluh Empat</v>
      </c>
    </row>
    <row r="20245" spans="10:12">
      <c r="J20245" s="31">
        <v>85</v>
      </c>
      <c r="K20245" s="33" t="s">
        <v>161</v>
      </c>
      <c r="L20245" s="31" t="str">
        <f t="shared" si="1958"/>
        <v>Delapan Puluh Lima</v>
      </c>
    </row>
    <row r="20246" spans="10:12">
      <c r="J20246" s="31">
        <v>86</v>
      </c>
      <c r="K20246" s="33" t="s">
        <v>162</v>
      </c>
      <c r="L20246" s="31" t="str">
        <f t="shared" si="1958"/>
        <v>Delapan Puluh Enam</v>
      </c>
    </row>
    <row r="20247" spans="10:12">
      <c r="J20247" s="31">
        <v>87</v>
      </c>
      <c r="K20247" s="33" t="s">
        <v>163</v>
      </c>
      <c r="L20247" s="31" t="str">
        <f t="shared" si="1958"/>
        <v>Delapan Puluh Tujuh</v>
      </c>
    </row>
    <row r="20248" spans="10:12">
      <c r="J20248" s="31">
        <v>88</v>
      </c>
      <c r="K20248" s="33" t="s">
        <v>164</v>
      </c>
      <c r="L20248" s="31" t="str">
        <f t="shared" si="1958"/>
        <v>Delapan Puluh Delapan</v>
      </c>
    </row>
    <row r="20249" spans="10:12">
      <c r="J20249" s="31">
        <v>89</v>
      </c>
      <c r="K20249" s="33" t="s">
        <v>165</v>
      </c>
      <c r="L20249" s="31" t="str">
        <f t="shared" si="1958"/>
        <v>Delapan Puluh Sembilan</v>
      </c>
    </row>
    <row r="20250" spans="10:12">
      <c r="J20250" s="31">
        <v>90</v>
      </c>
      <c r="K20250" s="33" t="s">
        <v>166</v>
      </c>
      <c r="L20250" s="31" t="s">
        <v>167</v>
      </c>
    </row>
    <row r="20251" spans="10:12">
      <c r="J20251" s="31">
        <v>91</v>
      </c>
      <c r="K20251" s="33" t="s">
        <v>168</v>
      </c>
      <c r="L20251" s="31" t="str">
        <f t="shared" ref="L20251:L20259" si="1959">$L$93&amp;" "&amp;L20161</f>
        <v>Sembilan Puluh Satu</v>
      </c>
    </row>
    <row r="20252" spans="10:12">
      <c r="J20252" s="31">
        <v>92</v>
      </c>
      <c r="K20252" s="33" t="s">
        <v>169</v>
      </c>
      <c r="L20252" s="31" t="str">
        <f t="shared" si="1959"/>
        <v>Sembilan Puluh Dua</v>
      </c>
    </row>
    <row r="20253" spans="10:12">
      <c r="J20253" s="31">
        <v>93</v>
      </c>
      <c r="K20253" s="33" t="s">
        <v>170</v>
      </c>
      <c r="L20253" s="31" t="str">
        <f t="shared" si="1959"/>
        <v>Sembilan Puluh Tiga</v>
      </c>
    </row>
    <row r="20254" spans="10:12">
      <c r="J20254" s="31">
        <v>94</v>
      </c>
      <c r="K20254" s="33" t="s">
        <v>171</v>
      </c>
      <c r="L20254" s="31" t="str">
        <f t="shared" si="1959"/>
        <v>Sembilan Puluh Empat</v>
      </c>
    </row>
    <row r="20255" spans="10:12">
      <c r="J20255" s="31">
        <v>95</v>
      </c>
      <c r="K20255" s="33" t="s">
        <v>172</v>
      </c>
      <c r="L20255" s="31" t="str">
        <f t="shared" si="1959"/>
        <v>Sembilan Puluh Lima</v>
      </c>
    </row>
    <row r="20256" spans="10:12">
      <c r="J20256" s="31">
        <v>96</v>
      </c>
      <c r="K20256" s="33" t="s">
        <v>173</v>
      </c>
      <c r="L20256" s="31" t="str">
        <f t="shared" si="1959"/>
        <v>Sembilan Puluh Enam</v>
      </c>
    </row>
    <row r="20257" spans="1:12">
      <c r="J20257" s="31">
        <v>97</v>
      </c>
      <c r="K20257" s="33" t="s">
        <v>174</v>
      </c>
      <c r="L20257" s="31" t="str">
        <f t="shared" si="1959"/>
        <v>Sembilan Puluh Tujuh</v>
      </c>
    </row>
    <row r="20258" spans="1:12">
      <c r="J20258" s="31">
        <v>98</v>
      </c>
      <c r="K20258" s="33" t="s">
        <v>175</v>
      </c>
      <c r="L20258" s="31" t="str">
        <f t="shared" si="1959"/>
        <v>Sembilan Puluh Delapan</v>
      </c>
    </row>
    <row r="20259" spans="1:12">
      <c r="J20259" s="31">
        <v>99</v>
      </c>
      <c r="K20259" s="33" t="s">
        <v>176</v>
      </c>
      <c r="L20259" s="31" t="str">
        <f t="shared" si="1959"/>
        <v>Sembilan Puluh Sembilan</v>
      </c>
    </row>
    <row r="20261" spans="1:12">
      <c r="A20261" s="30" t="e">
        <f>#REF!</f>
        <v>#REF!</v>
      </c>
      <c r="C20261" s="31" t="s">
        <v>454</v>
      </c>
    </row>
    <row r="20262" spans="1:12">
      <c r="A20262" s="32"/>
    </row>
    <row r="20263" spans="1:12">
      <c r="J20263" s="31">
        <v>0</v>
      </c>
      <c r="K20263" s="33" t="s">
        <v>48</v>
      </c>
      <c r="L20263" s="31" t="s">
        <v>49</v>
      </c>
    </row>
    <row r="20264" spans="1:12">
      <c r="A20264" s="34"/>
      <c r="J20264" s="31">
        <v>1</v>
      </c>
      <c r="K20264" s="33" t="s">
        <v>50</v>
      </c>
      <c r="L20264" s="31" t="s">
        <v>51</v>
      </c>
    </row>
    <row r="20265" spans="1:12">
      <c r="A20265" s="255" t="e">
        <f>TRIM(D20273&amp;E20273&amp;D20274&amp;E20274&amp;D20275&amp;E20275&amp;D20276&amp;E20276&amp;D20277&amp;E20277&amp;D20278&amp;E20278&amp;E20279&amp;D20279&amp;" Only")</f>
        <v>#REF!</v>
      </c>
      <c r="B20265" s="255"/>
      <c r="C20265" s="255"/>
      <c r="D20265" s="255"/>
      <c r="E20265" s="35"/>
      <c r="F20265" s="36"/>
      <c r="J20265" s="31">
        <v>2</v>
      </c>
      <c r="K20265" s="33" t="s">
        <v>52</v>
      </c>
      <c r="L20265" s="31" t="s">
        <v>53</v>
      </c>
    </row>
    <row r="20266" spans="1:12">
      <c r="A20266" s="186"/>
      <c r="B20266" s="186"/>
      <c r="C20266" s="186"/>
      <c r="D20266" s="186"/>
      <c r="E20266" s="35"/>
      <c r="F20266" s="36"/>
      <c r="J20266" s="31">
        <v>3</v>
      </c>
      <c r="K20266" s="33" t="s">
        <v>54</v>
      </c>
      <c r="L20266" s="31" t="s">
        <v>55</v>
      </c>
    </row>
    <row r="20267" spans="1:12">
      <c r="A20267" s="186"/>
      <c r="B20267" s="186"/>
      <c r="C20267" s="186"/>
      <c r="D20267" s="186"/>
      <c r="J20267" s="31">
        <v>4</v>
      </c>
      <c r="K20267" s="33" t="s">
        <v>56</v>
      </c>
      <c r="L20267" s="31" t="s">
        <v>57</v>
      </c>
    </row>
    <row r="20268" spans="1:12">
      <c r="A20268" s="255" t="e">
        <f>TRIM(D20283&amp;E20283&amp;D20284&amp;E20284&amp;D20285&amp;E20285&amp;D20286&amp;E20286&amp;D20287&amp;E20287&amp;D20288&amp;E20288&amp;D20289&amp;E20289&amp;" Rupiah")</f>
        <v>#REF!</v>
      </c>
      <c r="B20268" s="255"/>
      <c r="C20268" s="255"/>
      <c r="D20268" s="255"/>
      <c r="E20268" s="35"/>
      <c r="F20268" s="36"/>
      <c r="J20268" s="31">
        <v>5</v>
      </c>
      <c r="K20268" s="33" t="s">
        <v>58</v>
      </c>
      <c r="L20268" s="31" t="s">
        <v>59</v>
      </c>
    </row>
    <row r="20269" spans="1:12">
      <c r="A20269" s="35"/>
      <c r="B20269" s="35"/>
      <c r="C20269" s="35"/>
      <c r="D20269" s="35"/>
      <c r="E20269" s="35"/>
      <c r="F20269" s="36"/>
      <c r="J20269" s="31">
        <v>6</v>
      </c>
      <c r="K20269" s="33" t="s">
        <v>60</v>
      </c>
      <c r="L20269" s="31" t="s">
        <v>61</v>
      </c>
    </row>
    <row r="20270" spans="1:12">
      <c r="J20270" s="31">
        <v>7</v>
      </c>
      <c r="K20270" s="33" t="s">
        <v>62</v>
      </c>
      <c r="L20270" s="31" t="s">
        <v>63</v>
      </c>
    </row>
    <row r="20271" spans="1:12">
      <c r="J20271" s="31">
        <v>8</v>
      </c>
      <c r="K20271" s="33" t="s">
        <v>64</v>
      </c>
      <c r="L20271" s="31" t="s">
        <v>65</v>
      </c>
    </row>
    <row r="20272" spans="1:12">
      <c r="A20272" s="38" t="s">
        <v>66</v>
      </c>
      <c r="J20272" s="31">
        <v>9</v>
      </c>
      <c r="K20272" s="33" t="s">
        <v>67</v>
      </c>
      <c r="L20272" s="31" t="s">
        <v>68</v>
      </c>
    </row>
    <row r="20273" spans="1:12">
      <c r="A20273" s="31" t="s">
        <v>69</v>
      </c>
      <c r="B20273" s="39" t="e">
        <f>TRUNC(A20261/100000000)</f>
        <v>#REF!</v>
      </c>
      <c r="C20273" s="31" t="e">
        <f>B20273*100000000</f>
        <v>#REF!</v>
      </c>
      <c r="D20273" s="31" t="e">
        <f t="shared" ref="D20273:D20279" si="1960">IF(B20273&lt;1,"",VLOOKUP(B20273,$J$3:$K$102,2))</f>
        <v>#REF!</v>
      </c>
      <c r="E20273" s="31" t="e">
        <f>IF(B20273&lt;1,"",IF(B20273&gt;1," Hundreds "," Hundred "))</f>
        <v>#REF!</v>
      </c>
      <c r="J20273" s="31">
        <v>10</v>
      </c>
      <c r="K20273" s="33" t="s">
        <v>70</v>
      </c>
      <c r="L20273" s="31" t="s">
        <v>71</v>
      </c>
    </row>
    <row r="20274" spans="1:12">
      <c r="A20274" s="31" t="s">
        <v>72</v>
      </c>
      <c r="B20274" s="39" t="e">
        <f>TRUNC((A20261-C20273)/1000000)</f>
        <v>#REF!</v>
      </c>
      <c r="C20274" s="31" t="e">
        <f>B20274*1000000</f>
        <v>#REF!</v>
      </c>
      <c r="D20274" s="31" t="e">
        <f t="shared" si="1960"/>
        <v>#REF!</v>
      </c>
      <c r="E20274" s="31" t="e">
        <f>IF(B20273+B20274=0,"",IF(B20274=1," Million "," Millions "))</f>
        <v>#REF!</v>
      </c>
      <c r="J20274" s="31">
        <v>11</v>
      </c>
      <c r="K20274" s="33" t="s">
        <v>73</v>
      </c>
      <c r="L20274" s="31" t="s">
        <v>74</v>
      </c>
    </row>
    <row r="20275" spans="1:12">
      <c r="A20275" s="31" t="s">
        <v>75</v>
      </c>
      <c r="B20275" s="39" t="e">
        <f>TRUNC((A20261-SUM(C20273:C20274))/100000)</f>
        <v>#REF!</v>
      </c>
      <c r="C20275" s="31" t="e">
        <f>B20275*100000</f>
        <v>#REF!</v>
      </c>
      <c r="D20275" s="31" t="e">
        <f t="shared" si="1960"/>
        <v>#REF!</v>
      </c>
      <c r="E20275" s="31" t="e">
        <f>IF(B20275&lt;1,"",IF(B20275&gt;1," Hundreds "," Hundred "))</f>
        <v>#REF!</v>
      </c>
      <c r="J20275" s="31">
        <v>12</v>
      </c>
      <c r="K20275" s="33" t="s">
        <v>76</v>
      </c>
      <c r="L20275" s="31" t="str">
        <f t="shared" ref="L20275:L20282" si="1961">L20265&amp;" Belas"</f>
        <v>Dua Belas</v>
      </c>
    </row>
    <row r="20276" spans="1:12">
      <c r="A20276" s="33" t="s">
        <v>77</v>
      </c>
      <c r="B20276" s="40" t="e">
        <f>TRUNC((A20261-SUM(C20273:C20275))/1000)</f>
        <v>#REF!</v>
      </c>
      <c r="C20276" s="31" t="e">
        <f>B20276*1000</f>
        <v>#REF!</v>
      </c>
      <c r="D20276" s="31" t="e">
        <f t="shared" si="1960"/>
        <v>#REF!</v>
      </c>
      <c r="E20276" s="31" t="e">
        <f>IF(B20275+B20276=0,"",IF(B20276=1," Thousand "," Thousands "))</f>
        <v>#REF!</v>
      </c>
      <c r="J20276" s="31">
        <v>13</v>
      </c>
      <c r="K20276" s="33" t="s">
        <v>78</v>
      </c>
      <c r="L20276" s="31" t="str">
        <f t="shared" si="1961"/>
        <v>Tiga Belas</v>
      </c>
    </row>
    <row r="20277" spans="1:12">
      <c r="A20277" s="33" t="s">
        <v>79</v>
      </c>
      <c r="B20277" s="40" t="e">
        <f>TRUNC((A20261-SUM(C20273:C20276))/100)</f>
        <v>#REF!</v>
      </c>
      <c r="C20277" s="31" t="e">
        <f>B20277*100</f>
        <v>#REF!</v>
      </c>
      <c r="D20277" s="31" t="e">
        <f t="shared" si="1960"/>
        <v>#REF!</v>
      </c>
      <c r="E20277" s="31" t="e">
        <f>IF(B20277&lt;1,"",IF(B20277&gt;1," Hundreds "," Hundred "))</f>
        <v>#REF!</v>
      </c>
      <c r="J20277" s="31">
        <v>14</v>
      </c>
      <c r="K20277" s="33" t="s">
        <v>80</v>
      </c>
      <c r="L20277" s="31" t="str">
        <f t="shared" si="1961"/>
        <v>Empat Belas</v>
      </c>
    </row>
    <row r="20278" spans="1:12">
      <c r="A20278" s="33" t="s">
        <v>81</v>
      </c>
      <c r="B20278" s="41" t="e">
        <f>TRUNC((A20261-SUM(C20273:C20277)))</f>
        <v>#REF!</v>
      </c>
      <c r="C20278" s="42" t="e">
        <f>B20278</f>
        <v>#REF!</v>
      </c>
      <c r="D20278" s="31" t="e">
        <f t="shared" si="1960"/>
        <v>#REF!</v>
      </c>
      <c r="E20278" s="31" t="e">
        <f>IF(SUM(C20273:C20278)&lt;1,"",IF(B20279&lt;1,""," And "))</f>
        <v>#REF!</v>
      </c>
      <c r="J20278" s="31">
        <v>15</v>
      </c>
      <c r="K20278" s="33" t="s">
        <v>82</v>
      </c>
      <c r="L20278" s="31" t="str">
        <f t="shared" si="1961"/>
        <v>Lima Belas</v>
      </c>
    </row>
    <row r="20279" spans="1:12">
      <c r="A20279" s="33" t="s">
        <v>83</v>
      </c>
      <c r="B20279" s="40" t="e">
        <f>ROUND(A20261-SUM(C20273:C20278),2)*100</f>
        <v>#REF!</v>
      </c>
      <c r="D20279" s="43" t="e">
        <f t="shared" si="1960"/>
        <v>#REF!</v>
      </c>
      <c r="E20279" s="31" t="e">
        <f>IF(B20279&lt;1,"",IF(B20279=1," Cent "," Cents "))</f>
        <v>#REF!</v>
      </c>
      <c r="J20279" s="31">
        <v>16</v>
      </c>
      <c r="K20279" s="33" t="s">
        <v>84</v>
      </c>
      <c r="L20279" s="31" t="str">
        <f t="shared" si="1961"/>
        <v>Enam Belas</v>
      </c>
    </row>
    <row r="20280" spans="1:12">
      <c r="J20280" s="31">
        <v>17</v>
      </c>
      <c r="K20280" s="33" t="s">
        <v>85</v>
      </c>
      <c r="L20280" s="31" t="str">
        <f t="shared" si="1961"/>
        <v>Tujuh Belas</v>
      </c>
    </row>
    <row r="20281" spans="1:12">
      <c r="A20281" s="44"/>
      <c r="J20281" s="31">
        <v>18</v>
      </c>
      <c r="K20281" s="33" t="s">
        <v>86</v>
      </c>
      <c r="L20281" s="31" t="str">
        <f t="shared" si="1961"/>
        <v>Delapan Belas</v>
      </c>
    </row>
    <row r="20282" spans="1:12">
      <c r="A20282" s="38" t="s">
        <v>87</v>
      </c>
      <c r="J20282" s="31">
        <v>19</v>
      </c>
      <c r="K20282" s="33" t="s">
        <v>88</v>
      </c>
      <c r="L20282" s="31" t="str">
        <f t="shared" si="1961"/>
        <v>Sembilan Belas</v>
      </c>
    </row>
    <row r="20283" spans="1:12">
      <c r="A20283" s="31" t="s">
        <v>69</v>
      </c>
      <c r="B20283" s="39" t="e">
        <f>TRUNC(A20261/100000000)</f>
        <v>#REF!</v>
      </c>
      <c r="C20283" s="31" t="e">
        <f>B20283*100000000</f>
        <v>#REF!</v>
      </c>
      <c r="D20283" s="31" t="e">
        <f>IF(B20283&lt;1,"",IF(B20283=1,"",VLOOKUP(B20283,$J$3:$L$102,3)))</f>
        <v>#REF!</v>
      </c>
      <c r="E20283" s="31" t="e">
        <f>IF(B20283&lt;1,"",IF(B20283=1,"Seratus "," Ratus "))</f>
        <v>#REF!</v>
      </c>
      <c r="J20283" s="31">
        <v>20</v>
      </c>
      <c r="K20283" s="33" t="s">
        <v>89</v>
      </c>
      <c r="L20283" s="31" t="s">
        <v>90</v>
      </c>
    </row>
    <row r="20284" spans="1:12">
      <c r="A20284" s="31" t="s">
        <v>72</v>
      </c>
      <c r="B20284" s="39" t="e">
        <f>TRUNC((A20261-C20283)/1000000)</f>
        <v>#REF!</v>
      </c>
      <c r="C20284" s="31" t="e">
        <f>B20284*1000000</f>
        <v>#REF!</v>
      </c>
      <c r="D20284" s="31" t="e">
        <f>IF(B20284&lt;1,"",VLOOKUP(B20284,$J$3:$L$102,3))</f>
        <v>#REF!</v>
      </c>
      <c r="E20284" s="31" t="e">
        <f>IF(B20283+B20284=0,""," Juta ")</f>
        <v>#REF!</v>
      </c>
      <c r="J20284" s="31">
        <v>21</v>
      </c>
      <c r="K20284" s="33" t="s">
        <v>91</v>
      </c>
      <c r="L20284" s="31" t="str">
        <f t="shared" ref="L20284:L20292" si="1962">$L$23&amp;" "&amp;L20264</f>
        <v>Dua Puluh Satu</v>
      </c>
    </row>
    <row r="20285" spans="1:12">
      <c r="A20285" s="31" t="s">
        <v>75</v>
      </c>
      <c r="B20285" s="39" t="e">
        <f>TRUNC((A20261-SUM(C20283:C20284))/100000)</f>
        <v>#REF!</v>
      </c>
      <c r="C20285" s="31" t="e">
        <f>B20285*100000</f>
        <v>#REF!</v>
      </c>
      <c r="D20285" s="31" t="e">
        <f>IF(B20285&lt;1,"",IF(B20285=1,"",VLOOKUP(B20285,$J$3:$L$102,3)))</f>
        <v>#REF!</v>
      </c>
      <c r="E20285" s="31" t="e">
        <f>IF(B20285&lt;1,"",IF(B20285=1," Seratus "," Ratus "))</f>
        <v>#REF!</v>
      </c>
      <c r="J20285" s="31">
        <v>22</v>
      </c>
      <c r="K20285" s="33" t="s">
        <v>92</v>
      </c>
      <c r="L20285" s="31" t="str">
        <f t="shared" si="1962"/>
        <v>Dua Puluh Dua</v>
      </c>
    </row>
    <row r="20286" spans="1:12">
      <c r="A20286" s="33" t="s">
        <v>77</v>
      </c>
      <c r="B20286" s="40" t="e">
        <f>TRUNC((A20261-SUM(C20283:C20285))/1000)</f>
        <v>#REF!</v>
      </c>
      <c r="C20286" s="31" t="e">
        <f>B20286*1000</f>
        <v>#REF!</v>
      </c>
      <c r="D20286" s="31" t="e">
        <f>IF(B20286&lt;1,"",IF(B20286=1,"",VLOOKUP(B20286,$J$3:$L$102,3)))</f>
        <v>#REF!</v>
      </c>
      <c r="E20286" s="31" t="e">
        <f>IF(B20285+B20286&lt;1,"",IF(B20286=1," Seribu "," Ribu "))</f>
        <v>#REF!</v>
      </c>
      <c r="J20286" s="31">
        <v>23</v>
      </c>
      <c r="K20286" s="33" t="s">
        <v>93</v>
      </c>
      <c r="L20286" s="31" t="str">
        <f t="shared" si="1962"/>
        <v>Dua Puluh Tiga</v>
      </c>
    </row>
    <row r="20287" spans="1:12">
      <c r="A20287" s="33" t="s">
        <v>79</v>
      </c>
      <c r="B20287" s="40" t="e">
        <f>TRUNC((A20261-SUM(C20283:C20286))/100)</f>
        <v>#REF!</v>
      </c>
      <c r="C20287" s="31" t="e">
        <f>B20287*100</f>
        <v>#REF!</v>
      </c>
      <c r="D20287" s="31" t="e">
        <f>IF(B20287&lt;1,"",IF(B20287=1,"",VLOOKUP(B20287,$J$3:$L$102,3)))</f>
        <v>#REF!</v>
      </c>
      <c r="E20287" s="31" t="e">
        <f>IF(B20287&lt;1,"",IF(B20287=1," Seratus "," Ratus "))</f>
        <v>#REF!</v>
      </c>
      <c r="J20287" s="31">
        <v>24</v>
      </c>
      <c r="K20287" s="33" t="s">
        <v>94</v>
      </c>
      <c r="L20287" s="31" t="str">
        <f t="shared" si="1962"/>
        <v>Dua Puluh Empat</v>
      </c>
    </row>
    <row r="20288" spans="1:12">
      <c r="A20288" s="33" t="s">
        <v>81</v>
      </c>
      <c r="B20288" s="41" t="e">
        <f>TRUNC((A20261-SUM(C20283:C20287)))</f>
        <v>#REF!</v>
      </c>
      <c r="C20288" s="42" t="e">
        <f>B20288</f>
        <v>#REF!</v>
      </c>
      <c r="D20288" s="31" t="e">
        <f>IF(B20288&lt;1,"",VLOOKUP(B20288,$J$3:$L$102,3))</f>
        <v>#REF!</v>
      </c>
      <c r="E20288" s="31" t="e">
        <f>IF(SUM(C20283:C20288)&lt;1,"",IF(B20289&lt;1,""," Dan "))</f>
        <v>#REF!</v>
      </c>
      <c r="J20288" s="31">
        <v>25</v>
      </c>
      <c r="K20288" s="33" t="s">
        <v>95</v>
      </c>
      <c r="L20288" s="31" t="str">
        <f t="shared" si="1962"/>
        <v>Dua Puluh Lima</v>
      </c>
    </row>
    <row r="20289" spans="1:12">
      <c r="A20289" s="33" t="s">
        <v>83</v>
      </c>
      <c r="B20289" s="40" t="e">
        <f>ROUND(A20261-SUM(C20283:C20288),2)*100</f>
        <v>#REF!</v>
      </c>
      <c r="D20289" s="31" t="e">
        <f>IF(B20289&lt;1,"",VLOOKUP(B20289,$J$3:$L$102,3))</f>
        <v>#REF!</v>
      </c>
      <c r="E20289" s="31" t="e">
        <f>IF(B20289&lt;1,""," Sen ")</f>
        <v>#REF!</v>
      </c>
      <c r="J20289" s="31">
        <v>26</v>
      </c>
      <c r="K20289" s="33" t="s">
        <v>96</v>
      </c>
      <c r="L20289" s="31" t="str">
        <f t="shared" si="1962"/>
        <v>Dua Puluh Enam</v>
      </c>
    </row>
    <row r="20290" spans="1:12">
      <c r="J20290" s="31">
        <v>27</v>
      </c>
      <c r="K20290" s="33" t="s">
        <v>97</v>
      </c>
      <c r="L20290" s="31" t="str">
        <f t="shared" si="1962"/>
        <v>Dua Puluh Tujuh</v>
      </c>
    </row>
    <row r="20291" spans="1:12">
      <c r="J20291" s="31">
        <v>28</v>
      </c>
      <c r="K20291" s="33" t="s">
        <v>98</v>
      </c>
      <c r="L20291" s="31" t="str">
        <f t="shared" si="1962"/>
        <v>Dua Puluh Delapan</v>
      </c>
    </row>
    <row r="20292" spans="1:12">
      <c r="J20292" s="31">
        <v>29</v>
      </c>
      <c r="K20292" s="33" t="s">
        <v>99</v>
      </c>
      <c r="L20292" s="31" t="str">
        <f t="shared" si="1962"/>
        <v>Dua Puluh Sembilan</v>
      </c>
    </row>
    <row r="20293" spans="1:12">
      <c r="J20293" s="31">
        <v>30</v>
      </c>
      <c r="K20293" s="33" t="s">
        <v>100</v>
      </c>
      <c r="L20293" s="31" t="s">
        <v>101</v>
      </c>
    </row>
    <row r="20294" spans="1:12">
      <c r="J20294" s="31">
        <v>31</v>
      </c>
      <c r="K20294" s="33" t="s">
        <v>102</v>
      </c>
      <c r="L20294" s="31" t="str">
        <f t="shared" ref="L20294:L20302" si="1963">$L$33&amp;" "&amp;L20264</f>
        <v>Tiga Puluh Satu</v>
      </c>
    </row>
    <row r="20295" spans="1:12">
      <c r="J20295" s="31">
        <v>32</v>
      </c>
      <c r="K20295" s="33" t="s">
        <v>103</v>
      </c>
      <c r="L20295" s="31" t="str">
        <f t="shared" si="1963"/>
        <v>Tiga Puluh Dua</v>
      </c>
    </row>
    <row r="20296" spans="1:12">
      <c r="J20296" s="31">
        <v>33</v>
      </c>
      <c r="K20296" s="33" t="s">
        <v>104</v>
      </c>
      <c r="L20296" s="31" t="str">
        <f t="shared" si="1963"/>
        <v>Tiga Puluh Tiga</v>
      </c>
    </row>
    <row r="20297" spans="1:12">
      <c r="J20297" s="31">
        <v>34</v>
      </c>
      <c r="K20297" s="33" t="s">
        <v>105</v>
      </c>
      <c r="L20297" s="31" t="str">
        <f t="shared" si="1963"/>
        <v>Tiga Puluh Empat</v>
      </c>
    </row>
    <row r="20298" spans="1:12">
      <c r="J20298" s="31">
        <v>35</v>
      </c>
      <c r="K20298" s="33" t="s">
        <v>106</v>
      </c>
      <c r="L20298" s="31" t="str">
        <f t="shared" si="1963"/>
        <v>Tiga Puluh Lima</v>
      </c>
    </row>
    <row r="20299" spans="1:12">
      <c r="J20299" s="31">
        <v>36</v>
      </c>
      <c r="K20299" s="33" t="s">
        <v>107</v>
      </c>
      <c r="L20299" s="31" t="str">
        <f t="shared" si="1963"/>
        <v>Tiga Puluh Enam</v>
      </c>
    </row>
    <row r="20300" spans="1:12">
      <c r="J20300" s="31">
        <v>37</v>
      </c>
      <c r="K20300" s="33" t="s">
        <v>108</v>
      </c>
      <c r="L20300" s="31" t="str">
        <f t="shared" si="1963"/>
        <v>Tiga Puluh Tujuh</v>
      </c>
    </row>
    <row r="20301" spans="1:12">
      <c r="J20301" s="31">
        <v>38</v>
      </c>
      <c r="K20301" s="33" t="s">
        <v>109</v>
      </c>
      <c r="L20301" s="31" t="str">
        <f t="shared" si="1963"/>
        <v>Tiga Puluh Delapan</v>
      </c>
    </row>
    <row r="20302" spans="1:12">
      <c r="J20302" s="31">
        <v>39</v>
      </c>
      <c r="K20302" s="33" t="s">
        <v>110</v>
      </c>
      <c r="L20302" s="31" t="str">
        <f t="shared" si="1963"/>
        <v>Tiga Puluh Sembilan</v>
      </c>
    </row>
    <row r="20303" spans="1:12">
      <c r="B20303" s="35"/>
      <c r="C20303" s="35"/>
      <c r="D20303" s="35"/>
      <c r="J20303" s="31">
        <v>40</v>
      </c>
      <c r="K20303" s="33" t="s">
        <v>111</v>
      </c>
      <c r="L20303" s="31" t="s">
        <v>112</v>
      </c>
    </row>
    <row r="20304" spans="1:12">
      <c r="A20304" s="35"/>
      <c r="B20304" s="35"/>
      <c r="C20304" s="35"/>
      <c r="D20304" s="35"/>
      <c r="J20304" s="31">
        <v>41</v>
      </c>
      <c r="K20304" s="33" t="s">
        <v>113</v>
      </c>
      <c r="L20304" s="31" t="str">
        <f t="shared" ref="L20304:L20312" si="1964">$L$43&amp;" "&amp;L20264</f>
        <v>Empat Puluh Satu</v>
      </c>
    </row>
    <row r="20305" spans="1:12">
      <c r="J20305" s="31">
        <v>42</v>
      </c>
      <c r="K20305" s="33" t="s">
        <v>114</v>
      </c>
      <c r="L20305" s="31" t="str">
        <f t="shared" si="1964"/>
        <v>Empat Puluh Dua</v>
      </c>
    </row>
    <row r="20306" spans="1:12">
      <c r="A20306" s="38"/>
      <c r="J20306" s="31">
        <v>43</v>
      </c>
      <c r="K20306" s="33" t="s">
        <v>115</v>
      </c>
      <c r="L20306" s="31" t="str">
        <f t="shared" si="1964"/>
        <v>Empat Puluh Tiga</v>
      </c>
    </row>
    <row r="20307" spans="1:12">
      <c r="J20307" s="31">
        <v>44</v>
      </c>
      <c r="K20307" s="33" t="s">
        <v>116</v>
      </c>
      <c r="L20307" s="31" t="str">
        <f t="shared" si="1964"/>
        <v>Empat Puluh Empat</v>
      </c>
    </row>
    <row r="20308" spans="1:12">
      <c r="J20308" s="31">
        <v>45</v>
      </c>
      <c r="K20308" s="33" t="s">
        <v>117</v>
      </c>
      <c r="L20308" s="31" t="str">
        <f t="shared" si="1964"/>
        <v>Empat Puluh Lima</v>
      </c>
    </row>
    <row r="20309" spans="1:12">
      <c r="J20309" s="31">
        <v>46</v>
      </c>
      <c r="K20309" s="33" t="s">
        <v>118</v>
      </c>
      <c r="L20309" s="31" t="str">
        <f t="shared" si="1964"/>
        <v>Empat Puluh Enam</v>
      </c>
    </row>
    <row r="20310" spans="1:12">
      <c r="J20310" s="31">
        <v>47</v>
      </c>
      <c r="K20310" s="33" t="s">
        <v>119</v>
      </c>
      <c r="L20310" s="31" t="str">
        <f t="shared" si="1964"/>
        <v>Empat Puluh Tujuh</v>
      </c>
    </row>
    <row r="20311" spans="1:12">
      <c r="J20311" s="31">
        <v>48</v>
      </c>
      <c r="K20311" s="33" t="s">
        <v>120</v>
      </c>
      <c r="L20311" s="31" t="str">
        <f t="shared" si="1964"/>
        <v>Empat Puluh Delapan</v>
      </c>
    </row>
    <row r="20312" spans="1:12">
      <c r="J20312" s="31">
        <v>49</v>
      </c>
      <c r="K20312" s="33" t="s">
        <v>121</v>
      </c>
      <c r="L20312" s="31" t="str">
        <f t="shared" si="1964"/>
        <v>Empat Puluh Sembilan</v>
      </c>
    </row>
    <row r="20313" spans="1:12">
      <c r="J20313" s="31">
        <v>50</v>
      </c>
      <c r="K20313" s="33" t="s">
        <v>122</v>
      </c>
      <c r="L20313" s="31" t="s">
        <v>123</v>
      </c>
    </row>
    <row r="20314" spans="1:12">
      <c r="J20314" s="31">
        <v>51</v>
      </c>
      <c r="K20314" s="33" t="s">
        <v>124</v>
      </c>
      <c r="L20314" s="31" t="str">
        <f t="shared" ref="L20314:L20322" si="1965">$L$53&amp;" "&amp;L20264</f>
        <v>Lima Puluh Satu</v>
      </c>
    </row>
    <row r="20315" spans="1:12">
      <c r="J20315" s="31">
        <v>52</v>
      </c>
      <c r="K20315" s="33" t="s">
        <v>125</v>
      </c>
      <c r="L20315" s="31" t="str">
        <f t="shared" si="1965"/>
        <v>Lima Puluh Dua</v>
      </c>
    </row>
    <row r="20316" spans="1:12">
      <c r="J20316" s="31">
        <v>53</v>
      </c>
      <c r="K20316" s="33" t="s">
        <v>126</v>
      </c>
      <c r="L20316" s="31" t="str">
        <f t="shared" si="1965"/>
        <v>Lima Puluh Tiga</v>
      </c>
    </row>
    <row r="20317" spans="1:12">
      <c r="J20317" s="31">
        <v>54</v>
      </c>
      <c r="K20317" s="33" t="s">
        <v>127</v>
      </c>
      <c r="L20317" s="31" t="str">
        <f t="shared" si="1965"/>
        <v>Lima Puluh Empat</v>
      </c>
    </row>
    <row r="20318" spans="1:12">
      <c r="J20318" s="31">
        <v>55</v>
      </c>
      <c r="K20318" s="33" t="s">
        <v>128</v>
      </c>
      <c r="L20318" s="31" t="str">
        <f t="shared" si="1965"/>
        <v>Lima Puluh Lima</v>
      </c>
    </row>
    <row r="20319" spans="1:12">
      <c r="J20319" s="31">
        <v>56</v>
      </c>
      <c r="K20319" s="33" t="s">
        <v>129</v>
      </c>
      <c r="L20319" s="31" t="str">
        <f t="shared" si="1965"/>
        <v>Lima Puluh Enam</v>
      </c>
    </row>
    <row r="20320" spans="1:12">
      <c r="J20320" s="31">
        <v>57</v>
      </c>
      <c r="K20320" s="33" t="s">
        <v>130</v>
      </c>
      <c r="L20320" s="31" t="str">
        <f t="shared" si="1965"/>
        <v>Lima Puluh Tujuh</v>
      </c>
    </row>
    <row r="20321" spans="10:12">
      <c r="J20321" s="31">
        <v>58</v>
      </c>
      <c r="K20321" s="33" t="s">
        <v>131</v>
      </c>
      <c r="L20321" s="31" t="str">
        <f t="shared" si="1965"/>
        <v>Lima Puluh Delapan</v>
      </c>
    </row>
    <row r="20322" spans="10:12">
      <c r="J20322" s="31">
        <v>59</v>
      </c>
      <c r="K20322" s="33" t="s">
        <v>132</v>
      </c>
      <c r="L20322" s="31" t="str">
        <f t="shared" si="1965"/>
        <v>Lima Puluh Sembilan</v>
      </c>
    </row>
    <row r="20323" spans="10:12">
      <c r="J20323" s="31">
        <v>60</v>
      </c>
      <c r="K20323" s="33" t="s">
        <v>133</v>
      </c>
      <c r="L20323" s="31" t="s">
        <v>134</v>
      </c>
    </row>
    <row r="20324" spans="10:12">
      <c r="J20324" s="31">
        <v>61</v>
      </c>
      <c r="K20324" s="33" t="s">
        <v>135</v>
      </c>
      <c r="L20324" s="31" t="str">
        <f t="shared" ref="L20324:L20332" si="1966">$L$63&amp;" "&amp;L20264</f>
        <v>Enam Puluh Satu</v>
      </c>
    </row>
    <row r="20325" spans="10:12">
      <c r="J20325" s="31">
        <v>62</v>
      </c>
      <c r="K20325" s="33" t="s">
        <v>136</v>
      </c>
      <c r="L20325" s="31" t="str">
        <f t="shared" si="1966"/>
        <v>Enam Puluh Dua</v>
      </c>
    </row>
    <row r="20326" spans="10:12">
      <c r="J20326" s="31">
        <v>63</v>
      </c>
      <c r="K20326" s="33" t="s">
        <v>137</v>
      </c>
      <c r="L20326" s="31" t="str">
        <f t="shared" si="1966"/>
        <v>Enam Puluh Tiga</v>
      </c>
    </row>
    <row r="20327" spans="10:12">
      <c r="J20327" s="31">
        <v>64</v>
      </c>
      <c r="K20327" s="33" t="s">
        <v>138</v>
      </c>
      <c r="L20327" s="31" t="str">
        <f t="shared" si="1966"/>
        <v>Enam Puluh Empat</v>
      </c>
    </row>
    <row r="20328" spans="10:12">
      <c r="J20328" s="31">
        <v>65</v>
      </c>
      <c r="K20328" s="33" t="s">
        <v>139</v>
      </c>
      <c r="L20328" s="31" t="str">
        <f t="shared" si="1966"/>
        <v>Enam Puluh Lima</v>
      </c>
    </row>
    <row r="20329" spans="10:12">
      <c r="J20329" s="31">
        <v>66</v>
      </c>
      <c r="K20329" s="33" t="s">
        <v>140</v>
      </c>
      <c r="L20329" s="31" t="str">
        <f t="shared" si="1966"/>
        <v>Enam Puluh Enam</v>
      </c>
    </row>
    <row r="20330" spans="10:12">
      <c r="J20330" s="31">
        <v>67</v>
      </c>
      <c r="K20330" s="33" t="s">
        <v>141</v>
      </c>
      <c r="L20330" s="31" t="str">
        <f t="shared" si="1966"/>
        <v>Enam Puluh Tujuh</v>
      </c>
    </row>
    <row r="20331" spans="10:12">
      <c r="J20331" s="31">
        <v>68</v>
      </c>
      <c r="K20331" s="33" t="s">
        <v>142</v>
      </c>
      <c r="L20331" s="31" t="str">
        <f t="shared" si="1966"/>
        <v>Enam Puluh Delapan</v>
      </c>
    </row>
    <row r="20332" spans="10:12">
      <c r="J20332" s="31">
        <v>69</v>
      </c>
      <c r="K20332" s="33" t="s">
        <v>143</v>
      </c>
      <c r="L20332" s="31" t="str">
        <f t="shared" si="1966"/>
        <v>Enam Puluh Sembilan</v>
      </c>
    </row>
    <row r="20333" spans="10:12">
      <c r="J20333" s="31">
        <v>70</v>
      </c>
      <c r="K20333" s="33" t="s">
        <v>144</v>
      </c>
      <c r="L20333" s="31" t="s">
        <v>145</v>
      </c>
    </row>
    <row r="20334" spans="10:12">
      <c r="J20334" s="31">
        <v>71</v>
      </c>
      <c r="K20334" s="33" t="s">
        <v>146</v>
      </c>
      <c r="L20334" s="31" t="str">
        <f t="shared" ref="L20334:L20342" si="1967">$L$73&amp;" "&amp;L20264</f>
        <v>Tujuh Puluh Satu</v>
      </c>
    </row>
    <row r="20335" spans="10:12">
      <c r="J20335" s="31">
        <v>72</v>
      </c>
      <c r="K20335" s="33" t="s">
        <v>147</v>
      </c>
      <c r="L20335" s="31" t="str">
        <f t="shared" si="1967"/>
        <v>Tujuh Puluh Dua</v>
      </c>
    </row>
    <row r="20336" spans="10:12">
      <c r="J20336" s="31">
        <v>73</v>
      </c>
      <c r="K20336" s="33" t="s">
        <v>148</v>
      </c>
      <c r="L20336" s="31" t="str">
        <f t="shared" si="1967"/>
        <v>Tujuh Puluh Tiga</v>
      </c>
    </row>
    <row r="20337" spans="10:12">
      <c r="J20337" s="31">
        <v>74</v>
      </c>
      <c r="K20337" s="33" t="s">
        <v>149</v>
      </c>
      <c r="L20337" s="31" t="str">
        <f t="shared" si="1967"/>
        <v>Tujuh Puluh Empat</v>
      </c>
    </row>
    <row r="20338" spans="10:12">
      <c r="J20338" s="31">
        <v>75</v>
      </c>
      <c r="K20338" s="33" t="s">
        <v>150</v>
      </c>
      <c r="L20338" s="31" t="str">
        <f t="shared" si="1967"/>
        <v>Tujuh Puluh Lima</v>
      </c>
    </row>
    <row r="20339" spans="10:12">
      <c r="J20339" s="31">
        <v>76</v>
      </c>
      <c r="K20339" s="33" t="s">
        <v>151</v>
      </c>
      <c r="L20339" s="31" t="str">
        <f t="shared" si="1967"/>
        <v>Tujuh Puluh Enam</v>
      </c>
    </row>
    <row r="20340" spans="10:12">
      <c r="J20340" s="31">
        <v>77</v>
      </c>
      <c r="K20340" s="33" t="s">
        <v>152</v>
      </c>
      <c r="L20340" s="31" t="str">
        <f t="shared" si="1967"/>
        <v>Tujuh Puluh Tujuh</v>
      </c>
    </row>
    <row r="20341" spans="10:12">
      <c r="J20341" s="31">
        <v>78</v>
      </c>
      <c r="K20341" s="33" t="s">
        <v>153</v>
      </c>
      <c r="L20341" s="31" t="str">
        <f t="shared" si="1967"/>
        <v>Tujuh Puluh Delapan</v>
      </c>
    </row>
    <row r="20342" spans="10:12">
      <c r="J20342" s="31">
        <v>79</v>
      </c>
      <c r="K20342" s="33" t="s">
        <v>154</v>
      </c>
      <c r="L20342" s="31" t="str">
        <f t="shared" si="1967"/>
        <v>Tujuh Puluh Sembilan</v>
      </c>
    </row>
    <row r="20343" spans="10:12">
      <c r="J20343" s="31">
        <v>80</v>
      </c>
      <c r="K20343" s="33" t="s">
        <v>155</v>
      </c>
      <c r="L20343" s="31" t="s">
        <v>156</v>
      </c>
    </row>
    <row r="20344" spans="10:12">
      <c r="J20344" s="31">
        <v>81</v>
      </c>
      <c r="K20344" s="33" t="s">
        <v>157</v>
      </c>
      <c r="L20344" s="31" t="str">
        <f t="shared" ref="L20344:L20352" si="1968">$L$83&amp;" "&amp;L20264</f>
        <v>Delapan Puluh Satu</v>
      </c>
    </row>
    <row r="20345" spans="10:12">
      <c r="J20345" s="31">
        <v>82</v>
      </c>
      <c r="K20345" s="33" t="s">
        <v>158</v>
      </c>
      <c r="L20345" s="31" t="str">
        <f t="shared" si="1968"/>
        <v>Delapan Puluh Dua</v>
      </c>
    </row>
    <row r="20346" spans="10:12">
      <c r="J20346" s="31">
        <v>83</v>
      </c>
      <c r="K20346" s="33" t="s">
        <v>159</v>
      </c>
      <c r="L20346" s="31" t="str">
        <f t="shared" si="1968"/>
        <v>Delapan Puluh Tiga</v>
      </c>
    </row>
    <row r="20347" spans="10:12">
      <c r="J20347" s="31">
        <v>84</v>
      </c>
      <c r="K20347" s="33" t="s">
        <v>160</v>
      </c>
      <c r="L20347" s="31" t="str">
        <f t="shared" si="1968"/>
        <v>Delapan Puluh Empat</v>
      </c>
    </row>
    <row r="20348" spans="10:12">
      <c r="J20348" s="31">
        <v>85</v>
      </c>
      <c r="K20348" s="33" t="s">
        <v>161</v>
      </c>
      <c r="L20348" s="31" t="str">
        <f t="shared" si="1968"/>
        <v>Delapan Puluh Lima</v>
      </c>
    </row>
    <row r="20349" spans="10:12">
      <c r="J20349" s="31">
        <v>86</v>
      </c>
      <c r="K20349" s="33" t="s">
        <v>162</v>
      </c>
      <c r="L20349" s="31" t="str">
        <f t="shared" si="1968"/>
        <v>Delapan Puluh Enam</v>
      </c>
    </row>
    <row r="20350" spans="10:12">
      <c r="J20350" s="31">
        <v>87</v>
      </c>
      <c r="K20350" s="33" t="s">
        <v>163</v>
      </c>
      <c r="L20350" s="31" t="str">
        <f t="shared" si="1968"/>
        <v>Delapan Puluh Tujuh</v>
      </c>
    </row>
    <row r="20351" spans="10:12">
      <c r="J20351" s="31">
        <v>88</v>
      </c>
      <c r="K20351" s="33" t="s">
        <v>164</v>
      </c>
      <c r="L20351" s="31" t="str">
        <f t="shared" si="1968"/>
        <v>Delapan Puluh Delapan</v>
      </c>
    </row>
    <row r="20352" spans="10:12">
      <c r="J20352" s="31">
        <v>89</v>
      </c>
      <c r="K20352" s="33" t="s">
        <v>165</v>
      </c>
      <c r="L20352" s="31" t="str">
        <f t="shared" si="1968"/>
        <v>Delapan Puluh Sembilan</v>
      </c>
    </row>
    <row r="20353" spans="1:12">
      <c r="J20353" s="31">
        <v>90</v>
      </c>
      <c r="K20353" s="33" t="s">
        <v>166</v>
      </c>
      <c r="L20353" s="31" t="s">
        <v>167</v>
      </c>
    </row>
    <row r="20354" spans="1:12">
      <c r="J20354" s="31">
        <v>91</v>
      </c>
      <c r="K20354" s="33" t="s">
        <v>168</v>
      </c>
      <c r="L20354" s="31" t="str">
        <f t="shared" ref="L20354:L20362" si="1969">$L$93&amp;" "&amp;L20264</f>
        <v>Sembilan Puluh Satu</v>
      </c>
    </row>
    <row r="20355" spans="1:12">
      <c r="J20355" s="31">
        <v>92</v>
      </c>
      <c r="K20355" s="33" t="s">
        <v>169</v>
      </c>
      <c r="L20355" s="31" t="str">
        <f t="shared" si="1969"/>
        <v>Sembilan Puluh Dua</v>
      </c>
    </row>
    <row r="20356" spans="1:12">
      <c r="J20356" s="31">
        <v>93</v>
      </c>
      <c r="K20356" s="33" t="s">
        <v>170</v>
      </c>
      <c r="L20356" s="31" t="str">
        <f t="shared" si="1969"/>
        <v>Sembilan Puluh Tiga</v>
      </c>
    </row>
    <row r="20357" spans="1:12">
      <c r="J20357" s="31">
        <v>94</v>
      </c>
      <c r="K20357" s="33" t="s">
        <v>171</v>
      </c>
      <c r="L20357" s="31" t="str">
        <f t="shared" si="1969"/>
        <v>Sembilan Puluh Empat</v>
      </c>
    </row>
    <row r="20358" spans="1:12">
      <c r="J20358" s="31">
        <v>95</v>
      </c>
      <c r="K20358" s="33" t="s">
        <v>172</v>
      </c>
      <c r="L20358" s="31" t="str">
        <f t="shared" si="1969"/>
        <v>Sembilan Puluh Lima</v>
      </c>
    </row>
    <row r="20359" spans="1:12">
      <c r="J20359" s="31">
        <v>96</v>
      </c>
      <c r="K20359" s="33" t="s">
        <v>173</v>
      </c>
      <c r="L20359" s="31" t="str">
        <f t="shared" si="1969"/>
        <v>Sembilan Puluh Enam</v>
      </c>
    </row>
    <row r="20360" spans="1:12">
      <c r="J20360" s="31">
        <v>97</v>
      </c>
      <c r="K20360" s="33" t="s">
        <v>174</v>
      </c>
      <c r="L20360" s="31" t="str">
        <f t="shared" si="1969"/>
        <v>Sembilan Puluh Tujuh</v>
      </c>
    </row>
    <row r="20361" spans="1:12">
      <c r="J20361" s="31">
        <v>98</v>
      </c>
      <c r="K20361" s="33" t="s">
        <v>175</v>
      </c>
      <c r="L20361" s="31" t="str">
        <f t="shared" si="1969"/>
        <v>Sembilan Puluh Delapan</v>
      </c>
    </row>
    <row r="20362" spans="1:12">
      <c r="J20362" s="31">
        <v>99</v>
      </c>
      <c r="K20362" s="33" t="s">
        <v>176</v>
      </c>
      <c r="L20362" s="31" t="str">
        <f t="shared" si="1969"/>
        <v>Sembilan Puluh Sembilan</v>
      </c>
    </row>
    <row r="20364" spans="1:12">
      <c r="A20364" s="30" t="e">
        <f>#REF!</f>
        <v>#REF!</v>
      </c>
      <c r="C20364" s="31" t="s">
        <v>457</v>
      </c>
    </row>
    <row r="20365" spans="1:12">
      <c r="A20365" s="32"/>
    </row>
    <row r="20366" spans="1:12">
      <c r="J20366" s="31">
        <v>0</v>
      </c>
      <c r="K20366" s="33" t="s">
        <v>48</v>
      </c>
      <c r="L20366" s="31" t="s">
        <v>49</v>
      </c>
    </row>
    <row r="20367" spans="1:12">
      <c r="A20367" s="34"/>
      <c r="J20367" s="31">
        <v>1</v>
      </c>
      <c r="K20367" s="33" t="s">
        <v>50</v>
      </c>
      <c r="L20367" s="31" t="s">
        <v>51</v>
      </c>
    </row>
    <row r="20368" spans="1:12">
      <c r="A20368" s="255" t="e">
        <f>TRIM(D20376&amp;E20376&amp;D20377&amp;E20377&amp;D20378&amp;E20378&amp;D20379&amp;E20379&amp;D20380&amp;E20380&amp;D20381&amp;E20381&amp;E20382&amp;D20382&amp;" Only")</f>
        <v>#REF!</v>
      </c>
      <c r="B20368" s="255"/>
      <c r="C20368" s="255"/>
      <c r="D20368" s="255"/>
      <c r="E20368" s="35"/>
      <c r="F20368" s="36"/>
      <c r="J20368" s="31">
        <v>2</v>
      </c>
      <c r="K20368" s="33" t="s">
        <v>52</v>
      </c>
      <c r="L20368" s="31" t="s">
        <v>53</v>
      </c>
    </row>
    <row r="20369" spans="1:12">
      <c r="A20369" s="186"/>
      <c r="B20369" s="186"/>
      <c r="C20369" s="186"/>
      <c r="D20369" s="186"/>
      <c r="E20369" s="35"/>
      <c r="F20369" s="36"/>
      <c r="J20369" s="31">
        <v>3</v>
      </c>
      <c r="K20369" s="33" t="s">
        <v>54</v>
      </c>
      <c r="L20369" s="31" t="s">
        <v>55</v>
      </c>
    </row>
    <row r="20370" spans="1:12">
      <c r="A20370" s="186"/>
      <c r="B20370" s="186"/>
      <c r="C20370" s="186"/>
      <c r="D20370" s="186"/>
      <c r="J20370" s="31">
        <v>4</v>
      </c>
      <c r="K20370" s="33" t="s">
        <v>56</v>
      </c>
      <c r="L20370" s="31" t="s">
        <v>57</v>
      </c>
    </row>
    <row r="20371" spans="1:12">
      <c r="A20371" s="255" t="e">
        <f>TRIM(D20386&amp;E20386&amp;D20387&amp;E20387&amp;D20388&amp;E20388&amp;D20389&amp;E20389&amp;D20390&amp;E20390&amp;D20391&amp;E20391&amp;D20392&amp;E20392&amp;" Rupiah")</f>
        <v>#REF!</v>
      </c>
      <c r="B20371" s="255"/>
      <c r="C20371" s="255"/>
      <c r="D20371" s="255"/>
      <c r="E20371" s="35"/>
      <c r="F20371" s="36"/>
      <c r="J20371" s="31">
        <v>5</v>
      </c>
      <c r="K20371" s="33" t="s">
        <v>58</v>
      </c>
      <c r="L20371" s="31" t="s">
        <v>59</v>
      </c>
    </row>
    <row r="20372" spans="1:12">
      <c r="A20372" s="35"/>
      <c r="B20372" s="35"/>
      <c r="C20372" s="35"/>
      <c r="D20372" s="35"/>
      <c r="E20372" s="35"/>
      <c r="F20372" s="36"/>
      <c r="J20372" s="31">
        <v>6</v>
      </c>
      <c r="K20372" s="33" t="s">
        <v>60</v>
      </c>
      <c r="L20372" s="31" t="s">
        <v>61</v>
      </c>
    </row>
    <row r="20373" spans="1:12">
      <c r="J20373" s="31">
        <v>7</v>
      </c>
      <c r="K20373" s="33" t="s">
        <v>62</v>
      </c>
      <c r="L20373" s="31" t="s">
        <v>63</v>
      </c>
    </row>
    <row r="20374" spans="1:12">
      <c r="J20374" s="31">
        <v>8</v>
      </c>
      <c r="K20374" s="33" t="s">
        <v>64</v>
      </c>
      <c r="L20374" s="31" t="s">
        <v>65</v>
      </c>
    </row>
    <row r="20375" spans="1:12">
      <c r="A20375" s="38" t="s">
        <v>66</v>
      </c>
      <c r="J20375" s="31">
        <v>9</v>
      </c>
      <c r="K20375" s="33" t="s">
        <v>67</v>
      </c>
      <c r="L20375" s="31" t="s">
        <v>68</v>
      </c>
    </row>
    <row r="20376" spans="1:12">
      <c r="A20376" s="31" t="s">
        <v>69</v>
      </c>
      <c r="B20376" s="39" t="e">
        <f>TRUNC(A20364/100000000)</f>
        <v>#REF!</v>
      </c>
      <c r="C20376" s="31" t="e">
        <f>B20376*100000000</f>
        <v>#REF!</v>
      </c>
      <c r="D20376" s="31" t="e">
        <f t="shared" ref="D20376:D20382" si="1970">IF(B20376&lt;1,"",VLOOKUP(B20376,$J$3:$K$102,2))</f>
        <v>#REF!</v>
      </c>
      <c r="E20376" s="31" t="e">
        <f>IF(B20376&lt;1,"",IF(B20376&gt;1," Hundreds "," Hundred "))</f>
        <v>#REF!</v>
      </c>
      <c r="J20376" s="31">
        <v>10</v>
      </c>
      <c r="K20376" s="33" t="s">
        <v>70</v>
      </c>
      <c r="L20376" s="31" t="s">
        <v>71</v>
      </c>
    </row>
    <row r="20377" spans="1:12">
      <c r="A20377" s="31" t="s">
        <v>72</v>
      </c>
      <c r="B20377" s="39" t="e">
        <f>TRUNC((A20364-C20376)/1000000)</f>
        <v>#REF!</v>
      </c>
      <c r="C20377" s="31" t="e">
        <f>B20377*1000000</f>
        <v>#REF!</v>
      </c>
      <c r="D20377" s="31" t="e">
        <f t="shared" si="1970"/>
        <v>#REF!</v>
      </c>
      <c r="E20377" s="31" t="e">
        <f>IF(B20376+B20377=0,"",IF(B20377=1," Million "," Millions "))</f>
        <v>#REF!</v>
      </c>
      <c r="J20377" s="31">
        <v>11</v>
      </c>
      <c r="K20377" s="33" t="s">
        <v>73</v>
      </c>
      <c r="L20377" s="31" t="s">
        <v>74</v>
      </c>
    </row>
    <row r="20378" spans="1:12">
      <c r="A20378" s="31" t="s">
        <v>75</v>
      </c>
      <c r="B20378" s="39" t="e">
        <f>TRUNC((A20364-SUM(C20376:C20377))/100000)</f>
        <v>#REF!</v>
      </c>
      <c r="C20378" s="31" t="e">
        <f>B20378*100000</f>
        <v>#REF!</v>
      </c>
      <c r="D20378" s="31" t="e">
        <f t="shared" si="1970"/>
        <v>#REF!</v>
      </c>
      <c r="E20378" s="31" t="e">
        <f>IF(B20378&lt;1,"",IF(B20378&gt;1," Hundreds "," Hundred "))</f>
        <v>#REF!</v>
      </c>
      <c r="J20378" s="31">
        <v>12</v>
      </c>
      <c r="K20378" s="33" t="s">
        <v>76</v>
      </c>
      <c r="L20378" s="31" t="str">
        <f t="shared" ref="L20378:L20385" si="1971">L20368&amp;" Belas"</f>
        <v>Dua Belas</v>
      </c>
    </row>
    <row r="20379" spans="1:12">
      <c r="A20379" s="33" t="s">
        <v>77</v>
      </c>
      <c r="B20379" s="40" t="e">
        <f>TRUNC((A20364-SUM(C20376:C20378))/1000)</f>
        <v>#REF!</v>
      </c>
      <c r="C20379" s="31" t="e">
        <f>B20379*1000</f>
        <v>#REF!</v>
      </c>
      <c r="D20379" s="31" t="e">
        <f t="shared" si="1970"/>
        <v>#REF!</v>
      </c>
      <c r="E20379" s="31" t="e">
        <f>IF(B20378+B20379=0,"",IF(B20379=1," Thousand "," Thousands "))</f>
        <v>#REF!</v>
      </c>
      <c r="J20379" s="31">
        <v>13</v>
      </c>
      <c r="K20379" s="33" t="s">
        <v>78</v>
      </c>
      <c r="L20379" s="31" t="str">
        <f t="shared" si="1971"/>
        <v>Tiga Belas</v>
      </c>
    </row>
    <row r="20380" spans="1:12">
      <c r="A20380" s="33" t="s">
        <v>79</v>
      </c>
      <c r="B20380" s="40" t="e">
        <f>TRUNC((A20364-SUM(C20376:C20379))/100)</f>
        <v>#REF!</v>
      </c>
      <c r="C20380" s="31" t="e">
        <f>B20380*100</f>
        <v>#REF!</v>
      </c>
      <c r="D20380" s="31" t="e">
        <f t="shared" si="1970"/>
        <v>#REF!</v>
      </c>
      <c r="E20380" s="31" t="e">
        <f>IF(B20380&lt;1,"",IF(B20380&gt;1," Hundreds "," Hundred "))</f>
        <v>#REF!</v>
      </c>
      <c r="J20380" s="31">
        <v>14</v>
      </c>
      <c r="K20380" s="33" t="s">
        <v>80</v>
      </c>
      <c r="L20380" s="31" t="str">
        <f t="shared" si="1971"/>
        <v>Empat Belas</v>
      </c>
    </row>
    <row r="20381" spans="1:12">
      <c r="A20381" s="33" t="s">
        <v>81</v>
      </c>
      <c r="B20381" s="41" t="e">
        <f>TRUNC((A20364-SUM(C20376:C20380)))</f>
        <v>#REF!</v>
      </c>
      <c r="C20381" s="42" t="e">
        <f>B20381</f>
        <v>#REF!</v>
      </c>
      <c r="D20381" s="31" t="e">
        <f t="shared" si="1970"/>
        <v>#REF!</v>
      </c>
      <c r="E20381" s="31" t="e">
        <f>IF(SUM(C20376:C20381)&lt;1,"",IF(B20382&lt;1,""," And "))</f>
        <v>#REF!</v>
      </c>
      <c r="J20381" s="31">
        <v>15</v>
      </c>
      <c r="K20381" s="33" t="s">
        <v>82</v>
      </c>
      <c r="L20381" s="31" t="str">
        <f t="shared" si="1971"/>
        <v>Lima Belas</v>
      </c>
    </row>
    <row r="20382" spans="1:12">
      <c r="A20382" s="33" t="s">
        <v>83</v>
      </c>
      <c r="B20382" s="40" t="e">
        <f>ROUND(A20364-SUM(C20376:C20381),2)*100</f>
        <v>#REF!</v>
      </c>
      <c r="D20382" s="43" t="e">
        <f t="shared" si="1970"/>
        <v>#REF!</v>
      </c>
      <c r="E20382" s="31" t="e">
        <f>IF(B20382&lt;1,"",IF(B20382=1," Cent "," Cents "))</f>
        <v>#REF!</v>
      </c>
      <c r="J20382" s="31">
        <v>16</v>
      </c>
      <c r="K20382" s="33" t="s">
        <v>84</v>
      </c>
      <c r="L20382" s="31" t="str">
        <f t="shared" si="1971"/>
        <v>Enam Belas</v>
      </c>
    </row>
    <row r="20383" spans="1:12">
      <c r="J20383" s="31">
        <v>17</v>
      </c>
      <c r="K20383" s="33" t="s">
        <v>85</v>
      </c>
      <c r="L20383" s="31" t="str">
        <f t="shared" si="1971"/>
        <v>Tujuh Belas</v>
      </c>
    </row>
    <row r="20384" spans="1:12">
      <c r="A20384" s="44"/>
      <c r="J20384" s="31">
        <v>18</v>
      </c>
      <c r="K20384" s="33" t="s">
        <v>86</v>
      </c>
      <c r="L20384" s="31" t="str">
        <f t="shared" si="1971"/>
        <v>Delapan Belas</v>
      </c>
    </row>
    <row r="20385" spans="1:12">
      <c r="A20385" s="38" t="s">
        <v>87</v>
      </c>
      <c r="J20385" s="31">
        <v>19</v>
      </c>
      <c r="K20385" s="33" t="s">
        <v>88</v>
      </c>
      <c r="L20385" s="31" t="str">
        <f t="shared" si="1971"/>
        <v>Sembilan Belas</v>
      </c>
    </row>
    <row r="20386" spans="1:12">
      <c r="A20386" s="31" t="s">
        <v>69</v>
      </c>
      <c r="B20386" s="39" t="e">
        <f>TRUNC(A20364/100000000)</f>
        <v>#REF!</v>
      </c>
      <c r="C20386" s="31" t="e">
        <f>B20386*100000000</f>
        <v>#REF!</v>
      </c>
      <c r="D20386" s="31" t="e">
        <f>IF(B20386&lt;1,"",IF(B20386=1,"",VLOOKUP(B20386,$J$3:$L$102,3)))</f>
        <v>#REF!</v>
      </c>
      <c r="E20386" s="31" t="e">
        <f>IF(B20386&lt;1,"",IF(B20386=1,"Seratus "," Ratus "))</f>
        <v>#REF!</v>
      </c>
      <c r="J20386" s="31">
        <v>20</v>
      </c>
      <c r="K20386" s="33" t="s">
        <v>89</v>
      </c>
      <c r="L20386" s="31" t="s">
        <v>90</v>
      </c>
    </row>
    <row r="20387" spans="1:12">
      <c r="A20387" s="31" t="s">
        <v>72</v>
      </c>
      <c r="B20387" s="39" t="e">
        <f>TRUNC((A20364-C20386)/1000000)</f>
        <v>#REF!</v>
      </c>
      <c r="C20387" s="31" t="e">
        <f>B20387*1000000</f>
        <v>#REF!</v>
      </c>
      <c r="D20387" s="31" t="e">
        <f>IF(B20387&lt;1,"",VLOOKUP(B20387,$J$3:$L$102,3))</f>
        <v>#REF!</v>
      </c>
      <c r="E20387" s="31" t="e">
        <f>IF(B20386+B20387=0,""," Juta ")</f>
        <v>#REF!</v>
      </c>
      <c r="J20387" s="31">
        <v>21</v>
      </c>
      <c r="K20387" s="33" t="s">
        <v>91</v>
      </c>
      <c r="L20387" s="31" t="str">
        <f t="shared" ref="L20387:L20395" si="1972">$L$23&amp;" "&amp;L20367</f>
        <v>Dua Puluh Satu</v>
      </c>
    </row>
    <row r="20388" spans="1:12">
      <c r="A20388" s="31" t="s">
        <v>75</v>
      </c>
      <c r="B20388" s="39" t="e">
        <f>TRUNC((A20364-SUM(C20386:C20387))/100000)</f>
        <v>#REF!</v>
      </c>
      <c r="C20388" s="31" t="e">
        <f>B20388*100000</f>
        <v>#REF!</v>
      </c>
      <c r="D20388" s="31" t="e">
        <f>IF(B20388&lt;1,"",IF(B20388=1,"",VLOOKUP(B20388,$J$3:$L$102,3)))</f>
        <v>#REF!</v>
      </c>
      <c r="E20388" s="31" t="e">
        <f>IF(B20388&lt;1,"",IF(B20388=1," Seratus "," Ratus "))</f>
        <v>#REF!</v>
      </c>
      <c r="J20388" s="31">
        <v>22</v>
      </c>
      <c r="K20388" s="33" t="s">
        <v>92</v>
      </c>
      <c r="L20388" s="31" t="str">
        <f t="shared" si="1972"/>
        <v>Dua Puluh Dua</v>
      </c>
    </row>
    <row r="20389" spans="1:12">
      <c r="A20389" s="33" t="s">
        <v>77</v>
      </c>
      <c r="B20389" s="40" t="e">
        <f>TRUNC((A20364-SUM(C20386:C20388))/1000)</f>
        <v>#REF!</v>
      </c>
      <c r="C20389" s="31" t="e">
        <f>B20389*1000</f>
        <v>#REF!</v>
      </c>
      <c r="D20389" s="31" t="e">
        <f>IF(B20389&lt;1,"",IF(B20389=1,"",VLOOKUP(B20389,$J$3:$L$102,3)))</f>
        <v>#REF!</v>
      </c>
      <c r="E20389" s="31" t="e">
        <f>IF(B20388+B20389&lt;1,"",IF(B20389=1," Seribu "," Ribu "))</f>
        <v>#REF!</v>
      </c>
      <c r="J20389" s="31">
        <v>23</v>
      </c>
      <c r="K20389" s="33" t="s">
        <v>93</v>
      </c>
      <c r="L20389" s="31" t="str">
        <f t="shared" si="1972"/>
        <v>Dua Puluh Tiga</v>
      </c>
    </row>
    <row r="20390" spans="1:12">
      <c r="A20390" s="33" t="s">
        <v>79</v>
      </c>
      <c r="B20390" s="40" t="e">
        <f>TRUNC((A20364-SUM(C20386:C20389))/100)</f>
        <v>#REF!</v>
      </c>
      <c r="C20390" s="31" t="e">
        <f>B20390*100</f>
        <v>#REF!</v>
      </c>
      <c r="D20390" s="31" t="e">
        <f>IF(B20390&lt;1,"",IF(B20390=1,"",VLOOKUP(B20390,$J$3:$L$102,3)))</f>
        <v>#REF!</v>
      </c>
      <c r="E20390" s="31" t="e">
        <f>IF(B20390&lt;1,"",IF(B20390=1," Seratus "," Ratus "))</f>
        <v>#REF!</v>
      </c>
      <c r="J20390" s="31">
        <v>24</v>
      </c>
      <c r="K20390" s="33" t="s">
        <v>94</v>
      </c>
      <c r="L20390" s="31" t="str">
        <f t="shared" si="1972"/>
        <v>Dua Puluh Empat</v>
      </c>
    </row>
    <row r="20391" spans="1:12">
      <c r="A20391" s="33" t="s">
        <v>81</v>
      </c>
      <c r="B20391" s="41" t="e">
        <f>TRUNC((A20364-SUM(C20386:C20390)))</f>
        <v>#REF!</v>
      </c>
      <c r="C20391" s="42" t="e">
        <f>B20391</f>
        <v>#REF!</v>
      </c>
      <c r="D20391" s="31" t="e">
        <f>IF(B20391&lt;1,"",VLOOKUP(B20391,$J$3:$L$102,3))</f>
        <v>#REF!</v>
      </c>
      <c r="E20391" s="31" t="e">
        <f>IF(SUM(C20386:C20391)&lt;1,"",IF(B20392&lt;1,""," Dan "))</f>
        <v>#REF!</v>
      </c>
      <c r="J20391" s="31">
        <v>25</v>
      </c>
      <c r="K20391" s="33" t="s">
        <v>95</v>
      </c>
      <c r="L20391" s="31" t="str">
        <f t="shared" si="1972"/>
        <v>Dua Puluh Lima</v>
      </c>
    </row>
    <row r="20392" spans="1:12">
      <c r="A20392" s="33" t="s">
        <v>83</v>
      </c>
      <c r="B20392" s="40" t="e">
        <f>ROUND(A20364-SUM(C20386:C20391),2)*100</f>
        <v>#REF!</v>
      </c>
      <c r="D20392" s="31" t="e">
        <f>IF(B20392&lt;1,"",VLOOKUP(B20392,$J$3:$L$102,3))</f>
        <v>#REF!</v>
      </c>
      <c r="E20392" s="31" t="e">
        <f>IF(B20392&lt;1,""," Sen ")</f>
        <v>#REF!</v>
      </c>
      <c r="J20392" s="31">
        <v>26</v>
      </c>
      <c r="K20392" s="33" t="s">
        <v>96</v>
      </c>
      <c r="L20392" s="31" t="str">
        <f t="shared" si="1972"/>
        <v>Dua Puluh Enam</v>
      </c>
    </row>
    <row r="20393" spans="1:12">
      <c r="J20393" s="31">
        <v>27</v>
      </c>
      <c r="K20393" s="33" t="s">
        <v>97</v>
      </c>
      <c r="L20393" s="31" t="str">
        <f t="shared" si="1972"/>
        <v>Dua Puluh Tujuh</v>
      </c>
    </row>
    <row r="20394" spans="1:12">
      <c r="J20394" s="31">
        <v>28</v>
      </c>
      <c r="K20394" s="33" t="s">
        <v>98</v>
      </c>
      <c r="L20394" s="31" t="str">
        <f t="shared" si="1972"/>
        <v>Dua Puluh Delapan</v>
      </c>
    </row>
    <row r="20395" spans="1:12">
      <c r="J20395" s="31">
        <v>29</v>
      </c>
      <c r="K20395" s="33" t="s">
        <v>99</v>
      </c>
      <c r="L20395" s="31" t="str">
        <f t="shared" si="1972"/>
        <v>Dua Puluh Sembilan</v>
      </c>
    </row>
    <row r="20396" spans="1:12">
      <c r="J20396" s="31">
        <v>30</v>
      </c>
      <c r="K20396" s="33" t="s">
        <v>100</v>
      </c>
      <c r="L20396" s="31" t="s">
        <v>101</v>
      </c>
    </row>
    <row r="20397" spans="1:12">
      <c r="J20397" s="31">
        <v>31</v>
      </c>
      <c r="K20397" s="33" t="s">
        <v>102</v>
      </c>
      <c r="L20397" s="31" t="str">
        <f t="shared" ref="L20397:L20405" si="1973">$L$33&amp;" "&amp;L20367</f>
        <v>Tiga Puluh Satu</v>
      </c>
    </row>
    <row r="20398" spans="1:12">
      <c r="J20398" s="31">
        <v>32</v>
      </c>
      <c r="K20398" s="33" t="s">
        <v>103</v>
      </c>
      <c r="L20398" s="31" t="str">
        <f t="shared" si="1973"/>
        <v>Tiga Puluh Dua</v>
      </c>
    </row>
    <row r="20399" spans="1:12">
      <c r="J20399" s="31">
        <v>33</v>
      </c>
      <c r="K20399" s="33" t="s">
        <v>104</v>
      </c>
      <c r="L20399" s="31" t="str">
        <f t="shared" si="1973"/>
        <v>Tiga Puluh Tiga</v>
      </c>
    </row>
    <row r="20400" spans="1:12">
      <c r="J20400" s="31">
        <v>34</v>
      </c>
      <c r="K20400" s="33" t="s">
        <v>105</v>
      </c>
      <c r="L20400" s="31" t="str">
        <f t="shared" si="1973"/>
        <v>Tiga Puluh Empat</v>
      </c>
    </row>
    <row r="20401" spans="1:12">
      <c r="J20401" s="31">
        <v>35</v>
      </c>
      <c r="K20401" s="33" t="s">
        <v>106</v>
      </c>
      <c r="L20401" s="31" t="str">
        <f t="shared" si="1973"/>
        <v>Tiga Puluh Lima</v>
      </c>
    </row>
    <row r="20402" spans="1:12">
      <c r="J20402" s="31">
        <v>36</v>
      </c>
      <c r="K20402" s="33" t="s">
        <v>107</v>
      </c>
      <c r="L20402" s="31" t="str">
        <f t="shared" si="1973"/>
        <v>Tiga Puluh Enam</v>
      </c>
    </row>
    <row r="20403" spans="1:12">
      <c r="J20403" s="31">
        <v>37</v>
      </c>
      <c r="K20403" s="33" t="s">
        <v>108</v>
      </c>
      <c r="L20403" s="31" t="str">
        <f t="shared" si="1973"/>
        <v>Tiga Puluh Tujuh</v>
      </c>
    </row>
    <row r="20404" spans="1:12">
      <c r="J20404" s="31">
        <v>38</v>
      </c>
      <c r="K20404" s="33" t="s">
        <v>109</v>
      </c>
      <c r="L20404" s="31" t="str">
        <f t="shared" si="1973"/>
        <v>Tiga Puluh Delapan</v>
      </c>
    </row>
    <row r="20405" spans="1:12">
      <c r="J20405" s="31">
        <v>39</v>
      </c>
      <c r="K20405" s="33" t="s">
        <v>110</v>
      </c>
      <c r="L20405" s="31" t="str">
        <f t="shared" si="1973"/>
        <v>Tiga Puluh Sembilan</v>
      </c>
    </row>
    <row r="20406" spans="1:12">
      <c r="B20406" s="35"/>
      <c r="C20406" s="35"/>
      <c r="D20406" s="35"/>
      <c r="J20406" s="31">
        <v>40</v>
      </c>
      <c r="K20406" s="33" t="s">
        <v>111</v>
      </c>
      <c r="L20406" s="31" t="s">
        <v>112</v>
      </c>
    </row>
    <row r="20407" spans="1:12">
      <c r="A20407" s="35"/>
      <c r="B20407" s="35"/>
      <c r="C20407" s="35"/>
      <c r="D20407" s="35"/>
      <c r="J20407" s="31">
        <v>41</v>
      </c>
      <c r="K20407" s="33" t="s">
        <v>113</v>
      </c>
      <c r="L20407" s="31" t="str">
        <f t="shared" ref="L20407:L20415" si="1974">$L$43&amp;" "&amp;L20367</f>
        <v>Empat Puluh Satu</v>
      </c>
    </row>
    <row r="20408" spans="1:12">
      <c r="J20408" s="31">
        <v>42</v>
      </c>
      <c r="K20408" s="33" t="s">
        <v>114</v>
      </c>
      <c r="L20408" s="31" t="str">
        <f t="shared" si="1974"/>
        <v>Empat Puluh Dua</v>
      </c>
    </row>
    <row r="20409" spans="1:12">
      <c r="A20409" s="38"/>
      <c r="J20409" s="31">
        <v>43</v>
      </c>
      <c r="K20409" s="33" t="s">
        <v>115</v>
      </c>
      <c r="L20409" s="31" t="str">
        <f t="shared" si="1974"/>
        <v>Empat Puluh Tiga</v>
      </c>
    </row>
    <row r="20410" spans="1:12">
      <c r="J20410" s="31">
        <v>44</v>
      </c>
      <c r="K20410" s="33" t="s">
        <v>116</v>
      </c>
      <c r="L20410" s="31" t="str">
        <f t="shared" si="1974"/>
        <v>Empat Puluh Empat</v>
      </c>
    </row>
    <row r="20411" spans="1:12">
      <c r="J20411" s="31">
        <v>45</v>
      </c>
      <c r="K20411" s="33" t="s">
        <v>117</v>
      </c>
      <c r="L20411" s="31" t="str">
        <f t="shared" si="1974"/>
        <v>Empat Puluh Lima</v>
      </c>
    </row>
    <row r="20412" spans="1:12">
      <c r="J20412" s="31">
        <v>46</v>
      </c>
      <c r="K20412" s="33" t="s">
        <v>118</v>
      </c>
      <c r="L20412" s="31" t="str">
        <f t="shared" si="1974"/>
        <v>Empat Puluh Enam</v>
      </c>
    </row>
    <row r="20413" spans="1:12">
      <c r="J20413" s="31">
        <v>47</v>
      </c>
      <c r="K20413" s="33" t="s">
        <v>119</v>
      </c>
      <c r="L20413" s="31" t="str">
        <f t="shared" si="1974"/>
        <v>Empat Puluh Tujuh</v>
      </c>
    </row>
    <row r="20414" spans="1:12">
      <c r="J20414" s="31">
        <v>48</v>
      </c>
      <c r="K20414" s="33" t="s">
        <v>120</v>
      </c>
      <c r="L20414" s="31" t="str">
        <f t="shared" si="1974"/>
        <v>Empat Puluh Delapan</v>
      </c>
    </row>
    <row r="20415" spans="1:12">
      <c r="J20415" s="31">
        <v>49</v>
      </c>
      <c r="K20415" s="33" t="s">
        <v>121</v>
      </c>
      <c r="L20415" s="31" t="str">
        <f t="shared" si="1974"/>
        <v>Empat Puluh Sembilan</v>
      </c>
    </row>
    <row r="20416" spans="1:12">
      <c r="J20416" s="31">
        <v>50</v>
      </c>
      <c r="K20416" s="33" t="s">
        <v>122</v>
      </c>
      <c r="L20416" s="31" t="s">
        <v>123</v>
      </c>
    </row>
    <row r="20417" spans="10:12">
      <c r="J20417" s="31">
        <v>51</v>
      </c>
      <c r="K20417" s="33" t="s">
        <v>124</v>
      </c>
      <c r="L20417" s="31" t="str">
        <f t="shared" ref="L20417:L20425" si="1975">$L$53&amp;" "&amp;L20367</f>
        <v>Lima Puluh Satu</v>
      </c>
    </row>
    <row r="20418" spans="10:12">
      <c r="J20418" s="31">
        <v>52</v>
      </c>
      <c r="K20418" s="33" t="s">
        <v>125</v>
      </c>
      <c r="L20418" s="31" t="str">
        <f t="shared" si="1975"/>
        <v>Lima Puluh Dua</v>
      </c>
    </row>
    <row r="20419" spans="10:12">
      <c r="J20419" s="31">
        <v>53</v>
      </c>
      <c r="K20419" s="33" t="s">
        <v>126</v>
      </c>
      <c r="L20419" s="31" t="str">
        <f t="shared" si="1975"/>
        <v>Lima Puluh Tiga</v>
      </c>
    </row>
    <row r="20420" spans="10:12">
      <c r="J20420" s="31">
        <v>54</v>
      </c>
      <c r="K20420" s="33" t="s">
        <v>127</v>
      </c>
      <c r="L20420" s="31" t="str">
        <f t="shared" si="1975"/>
        <v>Lima Puluh Empat</v>
      </c>
    </row>
    <row r="20421" spans="10:12">
      <c r="J20421" s="31">
        <v>55</v>
      </c>
      <c r="K20421" s="33" t="s">
        <v>128</v>
      </c>
      <c r="L20421" s="31" t="str">
        <f t="shared" si="1975"/>
        <v>Lima Puluh Lima</v>
      </c>
    </row>
    <row r="20422" spans="10:12">
      <c r="J20422" s="31">
        <v>56</v>
      </c>
      <c r="K20422" s="33" t="s">
        <v>129</v>
      </c>
      <c r="L20422" s="31" t="str">
        <f t="shared" si="1975"/>
        <v>Lima Puluh Enam</v>
      </c>
    </row>
    <row r="20423" spans="10:12">
      <c r="J20423" s="31">
        <v>57</v>
      </c>
      <c r="K20423" s="33" t="s">
        <v>130</v>
      </c>
      <c r="L20423" s="31" t="str">
        <f t="shared" si="1975"/>
        <v>Lima Puluh Tujuh</v>
      </c>
    </row>
    <row r="20424" spans="10:12">
      <c r="J20424" s="31">
        <v>58</v>
      </c>
      <c r="K20424" s="33" t="s">
        <v>131</v>
      </c>
      <c r="L20424" s="31" t="str">
        <f t="shared" si="1975"/>
        <v>Lima Puluh Delapan</v>
      </c>
    </row>
    <row r="20425" spans="10:12">
      <c r="J20425" s="31">
        <v>59</v>
      </c>
      <c r="K20425" s="33" t="s">
        <v>132</v>
      </c>
      <c r="L20425" s="31" t="str">
        <f t="shared" si="1975"/>
        <v>Lima Puluh Sembilan</v>
      </c>
    </row>
    <row r="20426" spans="10:12">
      <c r="J20426" s="31">
        <v>60</v>
      </c>
      <c r="K20426" s="33" t="s">
        <v>133</v>
      </c>
      <c r="L20426" s="31" t="s">
        <v>134</v>
      </c>
    </row>
    <row r="20427" spans="10:12">
      <c r="J20427" s="31">
        <v>61</v>
      </c>
      <c r="K20427" s="33" t="s">
        <v>135</v>
      </c>
      <c r="L20427" s="31" t="str">
        <f t="shared" ref="L20427:L20435" si="1976">$L$63&amp;" "&amp;L20367</f>
        <v>Enam Puluh Satu</v>
      </c>
    </row>
    <row r="20428" spans="10:12">
      <c r="J20428" s="31">
        <v>62</v>
      </c>
      <c r="K20428" s="33" t="s">
        <v>136</v>
      </c>
      <c r="L20428" s="31" t="str">
        <f t="shared" si="1976"/>
        <v>Enam Puluh Dua</v>
      </c>
    </row>
    <row r="20429" spans="10:12">
      <c r="J20429" s="31">
        <v>63</v>
      </c>
      <c r="K20429" s="33" t="s">
        <v>137</v>
      </c>
      <c r="L20429" s="31" t="str">
        <f t="shared" si="1976"/>
        <v>Enam Puluh Tiga</v>
      </c>
    </row>
    <row r="20430" spans="10:12">
      <c r="J20430" s="31">
        <v>64</v>
      </c>
      <c r="K20430" s="33" t="s">
        <v>138</v>
      </c>
      <c r="L20430" s="31" t="str">
        <f t="shared" si="1976"/>
        <v>Enam Puluh Empat</v>
      </c>
    </row>
    <row r="20431" spans="10:12">
      <c r="J20431" s="31">
        <v>65</v>
      </c>
      <c r="K20431" s="33" t="s">
        <v>139</v>
      </c>
      <c r="L20431" s="31" t="str">
        <f t="shared" si="1976"/>
        <v>Enam Puluh Lima</v>
      </c>
    </row>
    <row r="20432" spans="10:12">
      <c r="J20432" s="31">
        <v>66</v>
      </c>
      <c r="K20432" s="33" t="s">
        <v>140</v>
      </c>
      <c r="L20432" s="31" t="str">
        <f t="shared" si="1976"/>
        <v>Enam Puluh Enam</v>
      </c>
    </row>
    <row r="20433" spans="10:12">
      <c r="J20433" s="31">
        <v>67</v>
      </c>
      <c r="K20433" s="33" t="s">
        <v>141</v>
      </c>
      <c r="L20433" s="31" t="str">
        <f t="shared" si="1976"/>
        <v>Enam Puluh Tujuh</v>
      </c>
    </row>
    <row r="20434" spans="10:12">
      <c r="J20434" s="31">
        <v>68</v>
      </c>
      <c r="K20434" s="33" t="s">
        <v>142</v>
      </c>
      <c r="L20434" s="31" t="str">
        <f t="shared" si="1976"/>
        <v>Enam Puluh Delapan</v>
      </c>
    </row>
    <row r="20435" spans="10:12">
      <c r="J20435" s="31">
        <v>69</v>
      </c>
      <c r="K20435" s="33" t="s">
        <v>143</v>
      </c>
      <c r="L20435" s="31" t="str">
        <f t="shared" si="1976"/>
        <v>Enam Puluh Sembilan</v>
      </c>
    </row>
    <row r="20436" spans="10:12">
      <c r="J20436" s="31">
        <v>70</v>
      </c>
      <c r="K20436" s="33" t="s">
        <v>144</v>
      </c>
      <c r="L20436" s="31" t="s">
        <v>145</v>
      </c>
    </row>
    <row r="20437" spans="10:12">
      <c r="J20437" s="31">
        <v>71</v>
      </c>
      <c r="K20437" s="33" t="s">
        <v>146</v>
      </c>
      <c r="L20437" s="31" t="str">
        <f t="shared" ref="L20437:L20445" si="1977">$L$73&amp;" "&amp;L20367</f>
        <v>Tujuh Puluh Satu</v>
      </c>
    </row>
    <row r="20438" spans="10:12">
      <c r="J20438" s="31">
        <v>72</v>
      </c>
      <c r="K20438" s="33" t="s">
        <v>147</v>
      </c>
      <c r="L20438" s="31" t="str">
        <f t="shared" si="1977"/>
        <v>Tujuh Puluh Dua</v>
      </c>
    </row>
    <row r="20439" spans="10:12">
      <c r="J20439" s="31">
        <v>73</v>
      </c>
      <c r="K20439" s="33" t="s">
        <v>148</v>
      </c>
      <c r="L20439" s="31" t="str">
        <f t="shared" si="1977"/>
        <v>Tujuh Puluh Tiga</v>
      </c>
    </row>
    <row r="20440" spans="10:12">
      <c r="J20440" s="31">
        <v>74</v>
      </c>
      <c r="K20440" s="33" t="s">
        <v>149</v>
      </c>
      <c r="L20440" s="31" t="str">
        <f t="shared" si="1977"/>
        <v>Tujuh Puluh Empat</v>
      </c>
    </row>
    <row r="20441" spans="10:12">
      <c r="J20441" s="31">
        <v>75</v>
      </c>
      <c r="K20441" s="33" t="s">
        <v>150</v>
      </c>
      <c r="L20441" s="31" t="str">
        <f t="shared" si="1977"/>
        <v>Tujuh Puluh Lima</v>
      </c>
    </row>
    <row r="20442" spans="10:12">
      <c r="J20442" s="31">
        <v>76</v>
      </c>
      <c r="K20442" s="33" t="s">
        <v>151</v>
      </c>
      <c r="L20442" s="31" t="str">
        <f t="shared" si="1977"/>
        <v>Tujuh Puluh Enam</v>
      </c>
    </row>
    <row r="20443" spans="10:12">
      <c r="J20443" s="31">
        <v>77</v>
      </c>
      <c r="K20443" s="33" t="s">
        <v>152</v>
      </c>
      <c r="L20443" s="31" t="str">
        <f t="shared" si="1977"/>
        <v>Tujuh Puluh Tujuh</v>
      </c>
    </row>
    <row r="20444" spans="10:12">
      <c r="J20444" s="31">
        <v>78</v>
      </c>
      <c r="K20444" s="33" t="s">
        <v>153</v>
      </c>
      <c r="L20444" s="31" t="str">
        <f t="shared" si="1977"/>
        <v>Tujuh Puluh Delapan</v>
      </c>
    </row>
    <row r="20445" spans="10:12">
      <c r="J20445" s="31">
        <v>79</v>
      </c>
      <c r="K20445" s="33" t="s">
        <v>154</v>
      </c>
      <c r="L20445" s="31" t="str">
        <f t="shared" si="1977"/>
        <v>Tujuh Puluh Sembilan</v>
      </c>
    </row>
    <row r="20446" spans="10:12">
      <c r="J20446" s="31">
        <v>80</v>
      </c>
      <c r="K20446" s="33" t="s">
        <v>155</v>
      </c>
      <c r="L20446" s="31" t="s">
        <v>156</v>
      </c>
    </row>
    <row r="20447" spans="10:12">
      <c r="J20447" s="31">
        <v>81</v>
      </c>
      <c r="K20447" s="33" t="s">
        <v>157</v>
      </c>
      <c r="L20447" s="31" t="str">
        <f t="shared" ref="L20447:L20455" si="1978">$L$83&amp;" "&amp;L20367</f>
        <v>Delapan Puluh Satu</v>
      </c>
    </row>
    <row r="20448" spans="10:12">
      <c r="J20448" s="31">
        <v>82</v>
      </c>
      <c r="K20448" s="33" t="s">
        <v>158</v>
      </c>
      <c r="L20448" s="31" t="str">
        <f t="shared" si="1978"/>
        <v>Delapan Puluh Dua</v>
      </c>
    </row>
    <row r="20449" spans="10:12">
      <c r="J20449" s="31">
        <v>83</v>
      </c>
      <c r="K20449" s="33" t="s">
        <v>159</v>
      </c>
      <c r="L20449" s="31" t="str">
        <f t="shared" si="1978"/>
        <v>Delapan Puluh Tiga</v>
      </c>
    </row>
    <row r="20450" spans="10:12">
      <c r="J20450" s="31">
        <v>84</v>
      </c>
      <c r="K20450" s="33" t="s">
        <v>160</v>
      </c>
      <c r="L20450" s="31" t="str">
        <f t="shared" si="1978"/>
        <v>Delapan Puluh Empat</v>
      </c>
    </row>
    <row r="20451" spans="10:12">
      <c r="J20451" s="31">
        <v>85</v>
      </c>
      <c r="K20451" s="33" t="s">
        <v>161</v>
      </c>
      <c r="L20451" s="31" t="str">
        <f t="shared" si="1978"/>
        <v>Delapan Puluh Lima</v>
      </c>
    </row>
    <row r="20452" spans="10:12">
      <c r="J20452" s="31">
        <v>86</v>
      </c>
      <c r="K20452" s="33" t="s">
        <v>162</v>
      </c>
      <c r="L20452" s="31" t="str">
        <f t="shared" si="1978"/>
        <v>Delapan Puluh Enam</v>
      </c>
    </row>
    <row r="20453" spans="10:12">
      <c r="J20453" s="31">
        <v>87</v>
      </c>
      <c r="K20453" s="33" t="s">
        <v>163</v>
      </c>
      <c r="L20453" s="31" t="str">
        <f t="shared" si="1978"/>
        <v>Delapan Puluh Tujuh</v>
      </c>
    </row>
    <row r="20454" spans="10:12">
      <c r="J20454" s="31">
        <v>88</v>
      </c>
      <c r="K20454" s="33" t="s">
        <v>164</v>
      </c>
      <c r="L20454" s="31" t="str">
        <f t="shared" si="1978"/>
        <v>Delapan Puluh Delapan</v>
      </c>
    </row>
    <row r="20455" spans="10:12">
      <c r="J20455" s="31">
        <v>89</v>
      </c>
      <c r="K20455" s="33" t="s">
        <v>165</v>
      </c>
      <c r="L20455" s="31" t="str">
        <f t="shared" si="1978"/>
        <v>Delapan Puluh Sembilan</v>
      </c>
    </row>
    <row r="20456" spans="10:12">
      <c r="J20456" s="31">
        <v>90</v>
      </c>
      <c r="K20456" s="33" t="s">
        <v>166</v>
      </c>
      <c r="L20456" s="31" t="s">
        <v>167</v>
      </c>
    </row>
    <row r="20457" spans="10:12">
      <c r="J20457" s="31">
        <v>91</v>
      </c>
      <c r="K20457" s="33" t="s">
        <v>168</v>
      </c>
      <c r="L20457" s="31" t="str">
        <f t="shared" ref="L20457:L20465" si="1979">$L$93&amp;" "&amp;L20367</f>
        <v>Sembilan Puluh Satu</v>
      </c>
    </row>
    <row r="20458" spans="10:12">
      <c r="J20458" s="31">
        <v>92</v>
      </c>
      <c r="K20458" s="33" t="s">
        <v>169</v>
      </c>
      <c r="L20458" s="31" t="str">
        <f t="shared" si="1979"/>
        <v>Sembilan Puluh Dua</v>
      </c>
    </row>
    <row r="20459" spans="10:12">
      <c r="J20459" s="31">
        <v>93</v>
      </c>
      <c r="K20459" s="33" t="s">
        <v>170</v>
      </c>
      <c r="L20459" s="31" t="str">
        <f t="shared" si="1979"/>
        <v>Sembilan Puluh Tiga</v>
      </c>
    </row>
    <row r="20460" spans="10:12">
      <c r="J20460" s="31">
        <v>94</v>
      </c>
      <c r="K20460" s="33" t="s">
        <v>171</v>
      </c>
      <c r="L20460" s="31" t="str">
        <f t="shared" si="1979"/>
        <v>Sembilan Puluh Empat</v>
      </c>
    </row>
    <row r="20461" spans="10:12">
      <c r="J20461" s="31">
        <v>95</v>
      </c>
      <c r="K20461" s="33" t="s">
        <v>172</v>
      </c>
      <c r="L20461" s="31" t="str">
        <f t="shared" si="1979"/>
        <v>Sembilan Puluh Lima</v>
      </c>
    </row>
    <row r="20462" spans="10:12">
      <c r="J20462" s="31">
        <v>96</v>
      </c>
      <c r="K20462" s="33" t="s">
        <v>173</v>
      </c>
      <c r="L20462" s="31" t="str">
        <f t="shared" si="1979"/>
        <v>Sembilan Puluh Enam</v>
      </c>
    </row>
    <row r="20463" spans="10:12">
      <c r="J20463" s="31">
        <v>97</v>
      </c>
      <c r="K20463" s="33" t="s">
        <v>174</v>
      </c>
      <c r="L20463" s="31" t="str">
        <f t="shared" si="1979"/>
        <v>Sembilan Puluh Tujuh</v>
      </c>
    </row>
    <row r="20464" spans="10:12">
      <c r="J20464" s="31">
        <v>98</v>
      </c>
      <c r="K20464" s="33" t="s">
        <v>175</v>
      </c>
      <c r="L20464" s="31" t="str">
        <f t="shared" si="1979"/>
        <v>Sembilan Puluh Delapan</v>
      </c>
    </row>
    <row r="20465" spans="1:12">
      <c r="J20465" s="31">
        <v>99</v>
      </c>
      <c r="K20465" s="33" t="s">
        <v>176</v>
      </c>
      <c r="L20465" s="31" t="str">
        <f t="shared" si="1979"/>
        <v>Sembilan Puluh Sembilan</v>
      </c>
    </row>
    <row r="20467" spans="1:12">
      <c r="A20467" s="30" t="e">
        <f>#REF!</f>
        <v>#REF!</v>
      </c>
      <c r="C20467" s="31" t="s">
        <v>407</v>
      </c>
    </row>
    <row r="20468" spans="1:12">
      <c r="A20468" s="32"/>
    </row>
    <row r="20469" spans="1:12">
      <c r="J20469" s="31">
        <v>0</v>
      </c>
      <c r="K20469" s="33" t="s">
        <v>48</v>
      </c>
      <c r="L20469" s="31" t="s">
        <v>49</v>
      </c>
    </row>
    <row r="20470" spans="1:12">
      <c r="A20470" s="34"/>
      <c r="J20470" s="31">
        <v>1</v>
      </c>
      <c r="K20470" s="33" t="s">
        <v>50</v>
      </c>
      <c r="L20470" s="31" t="s">
        <v>51</v>
      </c>
    </row>
    <row r="20471" spans="1:12">
      <c r="A20471" s="255" t="e">
        <f>TRIM(D20479&amp;E20479&amp;D20480&amp;E20480&amp;D20481&amp;E20481&amp;D20482&amp;E20482&amp;D20483&amp;E20483&amp;D20484&amp;E20484&amp;E20485&amp;D20485&amp;" Only")</f>
        <v>#REF!</v>
      </c>
      <c r="B20471" s="255"/>
      <c r="C20471" s="255"/>
      <c r="D20471" s="255"/>
      <c r="E20471" s="35"/>
      <c r="F20471" s="36"/>
      <c r="J20471" s="31">
        <v>2</v>
      </c>
      <c r="K20471" s="33" t="s">
        <v>52</v>
      </c>
      <c r="L20471" s="31" t="s">
        <v>53</v>
      </c>
    </row>
    <row r="20472" spans="1:12">
      <c r="A20472" s="186"/>
      <c r="B20472" s="186"/>
      <c r="C20472" s="186"/>
      <c r="D20472" s="186"/>
      <c r="E20472" s="35"/>
      <c r="F20472" s="36"/>
      <c r="J20472" s="31">
        <v>3</v>
      </c>
      <c r="K20472" s="33" t="s">
        <v>54</v>
      </c>
      <c r="L20472" s="31" t="s">
        <v>55</v>
      </c>
    </row>
    <row r="20473" spans="1:12">
      <c r="A20473" s="186"/>
      <c r="B20473" s="186"/>
      <c r="C20473" s="186"/>
      <c r="D20473" s="186"/>
      <c r="J20473" s="31">
        <v>4</v>
      </c>
      <c r="K20473" s="33" t="s">
        <v>56</v>
      </c>
      <c r="L20473" s="31" t="s">
        <v>57</v>
      </c>
    </row>
    <row r="20474" spans="1:12">
      <c r="A20474" s="255" t="e">
        <f>TRIM(D20489&amp;E20489&amp;D20490&amp;E20490&amp;D20491&amp;E20491&amp;D20492&amp;E20492&amp;D20493&amp;E20493&amp;D20494&amp;E20494&amp;D20495&amp;E20495&amp;" Rupiah")</f>
        <v>#REF!</v>
      </c>
      <c r="B20474" s="255"/>
      <c r="C20474" s="255"/>
      <c r="D20474" s="255"/>
      <c r="E20474" s="35"/>
      <c r="F20474" s="36"/>
      <c r="J20474" s="31">
        <v>5</v>
      </c>
      <c r="K20474" s="33" t="s">
        <v>58</v>
      </c>
      <c r="L20474" s="31" t="s">
        <v>59</v>
      </c>
    </row>
    <row r="20475" spans="1:12">
      <c r="A20475" s="35"/>
      <c r="B20475" s="35"/>
      <c r="C20475" s="35"/>
      <c r="D20475" s="35"/>
      <c r="E20475" s="35"/>
      <c r="F20475" s="36"/>
      <c r="J20475" s="31">
        <v>6</v>
      </c>
      <c r="K20475" s="33" t="s">
        <v>60</v>
      </c>
      <c r="L20475" s="31" t="s">
        <v>61</v>
      </c>
    </row>
    <row r="20476" spans="1:12">
      <c r="J20476" s="31">
        <v>7</v>
      </c>
      <c r="K20476" s="33" t="s">
        <v>62</v>
      </c>
      <c r="L20476" s="31" t="s">
        <v>63</v>
      </c>
    </row>
    <row r="20477" spans="1:12">
      <c r="J20477" s="31">
        <v>8</v>
      </c>
      <c r="K20477" s="33" t="s">
        <v>64</v>
      </c>
      <c r="L20477" s="31" t="s">
        <v>65</v>
      </c>
    </row>
    <row r="20478" spans="1:12">
      <c r="A20478" s="38" t="s">
        <v>66</v>
      </c>
      <c r="J20478" s="31">
        <v>9</v>
      </c>
      <c r="K20478" s="33" t="s">
        <v>67</v>
      </c>
      <c r="L20478" s="31" t="s">
        <v>68</v>
      </c>
    </row>
    <row r="20479" spans="1:12">
      <c r="A20479" s="31" t="s">
        <v>69</v>
      </c>
      <c r="B20479" s="39" t="e">
        <f>TRUNC(A20467/100000000)</f>
        <v>#REF!</v>
      </c>
      <c r="C20479" s="31" t="e">
        <f>B20479*100000000</f>
        <v>#REF!</v>
      </c>
      <c r="D20479" s="31" t="e">
        <f t="shared" ref="D20479:D20485" si="1980">IF(B20479&lt;1,"",VLOOKUP(B20479,$J$3:$K$102,2))</f>
        <v>#REF!</v>
      </c>
      <c r="E20479" s="31" t="e">
        <f>IF(B20479&lt;1,"",IF(B20479&gt;1," Hundreds "," Hundred "))</f>
        <v>#REF!</v>
      </c>
      <c r="J20479" s="31">
        <v>10</v>
      </c>
      <c r="K20479" s="33" t="s">
        <v>70</v>
      </c>
      <c r="L20479" s="31" t="s">
        <v>71</v>
      </c>
    </row>
    <row r="20480" spans="1:12">
      <c r="A20480" s="31" t="s">
        <v>72</v>
      </c>
      <c r="B20480" s="39" t="e">
        <f>TRUNC((A20467-C20479)/1000000)</f>
        <v>#REF!</v>
      </c>
      <c r="C20480" s="31" t="e">
        <f>B20480*1000000</f>
        <v>#REF!</v>
      </c>
      <c r="D20480" s="31" t="e">
        <f t="shared" si="1980"/>
        <v>#REF!</v>
      </c>
      <c r="E20480" s="31" t="e">
        <f>IF(B20479+B20480=0,"",IF(B20480=1," Million "," Millions "))</f>
        <v>#REF!</v>
      </c>
      <c r="J20480" s="31">
        <v>11</v>
      </c>
      <c r="K20480" s="33" t="s">
        <v>73</v>
      </c>
      <c r="L20480" s="31" t="s">
        <v>74</v>
      </c>
    </row>
    <row r="20481" spans="1:12">
      <c r="A20481" s="31" t="s">
        <v>75</v>
      </c>
      <c r="B20481" s="39" t="e">
        <f>TRUNC((A20467-SUM(C20479:C20480))/100000)</f>
        <v>#REF!</v>
      </c>
      <c r="C20481" s="31" t="e">
        <f>B20481*100000</f>
        <v>#REF!</v>
      </c>
      <c r="D20481" s="31" t="e">
        <f t="shared" si="1980"/>
        <v>#REF!</v>
      </c>
      <c r="E20481" s="31" t="e">
        <f>IF(B20481&lt;1,"",IF(B20481&gt;1," Hundreds "," Hundred "))</f>
        <v>#REF!</v>
      </c>
      <c r="J20481" s="31">
        <v>12</v>
      </c>
      <c r="K20481" s="33" t="s">
        <v>76</v>
      </c>
      <c r="L20481" s="31" t="str">
        <f t="shared" ref="L20481:L20488" si="1981">L20471&amp;" Belas"</f>
        <v>Dua Belas</v>
      </c>
    </row>
    <row r="20482" spans="1:12">
      <c r="A20482" s="33" t="s">
        <v>77</v>
      </c>
      <c r="B20482" s="40" t="e">
        <f>TRUNC((A20467-SUM(C20479:C20481))/1000)</f>
        <v>#REF!</v>
      </c>
      <c r="C20482" s="31" t="e">
        <f>B20482*1000</f>
        <v>#REF!</v>
      </c>
      <c r="D20482" s="31" t="e">
        <f t="shared" si="1980"/>
        <v>#REF!</v>
      </c>
      <c r="E20482" s="31" t="e">
        <f>IF(B20481+B20482=0,"",IF(B20482=1," Thousand "," Thousands "))</f>
        <v>#REF!</v>
      </c>
      <c r="J20482" s="31">
        <v>13</v>
      </c>
      <c r="K20482" s="33" t="s">
        <v>78</v>
      </c>
      <c r="L20482" s="31" t="str">
        <f t="shared" si="1981"/>
        <v>Tiga Belas</v>
      </c>
    </row>
    <row r="20483" spans="1:12">
      <c r="A20483" s="33" t="s">
        <v>79</v>
      </c>
      <c r="B20483" s="40" t="e">
        <f>TRUNC((A20467-SUM(C20479:C20482))/100)</f>
        <v>#REF!</v>
      </c>
      <c r="C20483" s="31" t="e">
        <f>B20483*100</f>
        <v>#REF!</v>
      </c>
      <c r="D20483" s="31" t="e">
        <f t="shared" si="1980"/>
        <v>#REF!</v>
      </c>
      <c r="E20483" s="31" t="e">
        <f>IF(B20483&lt;1,"",IF(B20483&gt;1," Hundreds "," Hundred "))</f>
        <v>#REF!</v>
      </c>
      <c r="J20483" s="31">
        <v>14</v>
      </c>
      <c r="K20483" s="33" t="s">
        <v>80</v>
      </c>
      <c r="L20483" s="31" t="str">
        <f t="shared" si="1981"/>
        <v>Empat Belas</v>
      </c>
    </row>
    <row r="20484" spans="1:12">
      <c r="A20484" s="33" t="s">
        <v>81</v>
      </c>
      <c r="B20484" s="41" t="e">
        <f>TRUNC((A20467-SUM(C20479:C20483)))</f>
        <v>#REF!</v>
      </c>
      <c r="C20484" s="42" t="e">
        <f>B20484</f>
        <v>#REF!</v>
      </c>
      <c r="D20484" s="31" t="e">
        <f t="shared" si="1980"/>
        <v>#REF!</v>
      </c>
      <c r="E20484" s="31" t="e">
        <f>IF(SUM(C20479:C20484)&lt;1,"",IF(B20485&lt;1,""," And "))</f>
        <v>#REF!</v>
      </c>
      <c r="J20484" s="31">
        <v>15</v>
      </c>
      <c r="K20484" s="33" t="s">
        <v>82</v>
      </c>
      <c r="L20484" s="31" t="str">
        <f t="shared" si="1981"/>
        <v>Lima Belas</v>
      </c>
    </row>
    <row r="20485" spans="1:12">
      <c r="A20485" s="33" t="s">
        <v>83</v>
      </c>
      <c r="B20485" s="40" t="e">
        <f>ROUND(A20467-SUM(C20479:C20484),2)*100</f>
        <v>#REF!</v>
      </c>
      <c r="D20485" s="43" t="e">
        <f t="shared" si="1980"/>
        <v>#REF!</v>
      </c>
      <c r="E20485" s="31" t="e">
        <f>IF(B20485&lt;1,"",IF(B20485=1," Cent "," Cents "))</f>
        <v>#REF!</v>
      </c>
      <c r="J20485" s="31">
        <v>16</v>
      </c>
      <c r="K20485" s="33" t="s">
        <v>84</v>
      </c>
      <c r="L20485" s="31" t="str">
        <f t="shared" si="1981"/>
        <v>Enam Belas</v>
      </c>
    </row>
    <row r="20486" spans="1:12">
      <c r="J20486" s="31">
        <v>17</v>
      </c>
      <c r="K20486" s="33" t="s">
        <v>85</v>
      </c>
      <c r="L20486" s="31" t="str">
        <f t="shared" si="1981"/>
        <v>Tujuh Belas</v>
      </c>
    </row>
    <row r="20487" spans="1:12">
      <c r="A20487" s="44"/>
      <c r="J20487" s="31">
        <v>18</v>
      </c>
      <c r="K20487" s="33" t="s">
        <v>86</v>
      </c>
      <c r="L20487" s="31" t="str">
        <f t="shared" si="1981"/>
        <v>Delapan Belas</v>
      </c>
    </row>
    <row r="20488" spans="1:12">
      <c r="A20488" s="38" t="s">
        <v>87</v>
      </c>
      <c r="J20488" s="31">
        <v>19</v>
      </c>
      <c r="K20488" s="33" t="s">
        <v>88</v>
      </c>
      <c r="L20488" s="31" t="str">
        <f t="shared" si="1981"/>
        <v>Sembilan Belas</v>
      </c>
    </row>
    <row r="20489" spans="1:12">
      <c r="A20489" s="31" t="s">
        <v>69</v>
      </c>
      <c r="B20489" s="39" t="e">
        <f>TRUNC(A20467/100000000)</f>
        <v>#REF!</v>
      </c>
      <c r="C20489" s="31" t="e">
        <f>B20489*100000000</f>
        <v>#REF!</v>
      </c>
      <c r="D20489" s="31" t="e">
        <f>IF(B20489&lt;1,"",IF(B20489=1,"",VLOOKUP(B20489,$J$3:$L$102,3)))</f>
        <v>#REF!</v>
      </c>
      <c r="E20489" s="31" t="e">
        <f>IF(B20489&lt;1,"",IF(B20489=1,"Seratus "," Ratus "))</f>
        <v>#REF!</v>
      </c>
      <c r="J20489" s="31">
        <v>20</v>
      </c>
      <c r="K20489" s="33" t="s">
        <v>89</v>
      </c>
      <c r="L20489" s="31" t="s">
        <v>90</v>
      </c>
    </row>
    <row r="20490" spans="1:12">
      <c r="A20490" s="31" t="s">
        <v>72</v>
      </c>
      <c r="B20490" s="39" t="e">
        <f>TRUNC((A20467-C20489)/1000000)</f>
        <v>#REF!</v>
      </c>
      <c r="C20490" s="31" t="e">
        <f>B20490*1000000</f>
        <v>#REF!</v>
      </c>
      <c r="D20490" s="31" t="e">
        <f>IF(B20490&lt;1,"",VLOOKUP(B20490,$J$3:$L$102,3))</f>
        <v>#REF!</v>
      </c>
      <c r="E20490" s="31" t="e">
        <f>IF(B20489+B20490=0,""," Juta ")</f>
        <v>#REF!</v>
      </c>
      <c r="J20490" s="31">
        <v>21</v>
      </c>
      <c r="K20490" s="33" t="s">
        <v>91</v>
      </c>
      <c r="L20490" s="31" t="str">
        <f t="shared" ref="L20490:L20498" si="1982">$L$23&amp;" "&amp;L20470</f>
        <v>Dua Puluh Satu</v>
      </c>
    </row>
    <row r="20491" spans="1:12">
      <c r="A20491" s="31" t="s">
        <v>75</v>
      </c>
      <c r="B20491" s="39" t="e">
        <f>TRUNC((A20467-SUM(C20489:C20490))/100000)</f>
        <v>#REF!</v>
      </c>
      <c r="C20491" s="31" t="e">
        <f>B20491*100000</f>
        <v>#REF!</v>
      </c>
      <c r="D20491" s="31" t="e">
        <f>IF(B20491&lt;1,"",IF(B20491=1,"",VLOOKUP(B20491,$J$3:$L$102,3)))</f>
        <v>#REF!</v>
      </c>
      <c r="E20491" s="31" t="e">
        <f>IF(B20491&lt;1,"",IF(B20491=1," Seratus "," Ratus "))</f>
        <v>#REF!</v>
      </c>
      <c r="J20491" s="31">
        <v>22</v>
      </c>
      <c r="K20491" s="33" t="s">
        <v>92</v>
      </c>
      <c r="L20491" s="31" t="str">
        <f t="shared" si="1982"/>
        <v>Dua Puluh Dua</v>
      </c>
    </row>
    <row r="20492" spans="1:12">
      <c r="A20492" s="33" t="s">
        <v>77</v>
      </c>
      <c r="B20492" s="40" t="e">
        <f>TRUNC((A20467-SUM(C20489:C20491))/1000)</f>
        <v>#REF!</v>
      </c>
      <c r="C20492" s="31" t="e">
        <f>B20492*1000</f>
        <v>#REF!</v>
      </c>
      <c r="D20492" s="31" t="e">
        <f>IF(B20492&lt;1,"",IF(B20492=1,"",VLOOKUP(B20492,$J$3:$L$102,3)))</f>
        <v>#REF!</v>
      </c>
      <c r="E20492" s="31" t="e">
        <f>IF(B20491+B20492&lt;1,"",IF(B20492=1," Seribu "," Ribu "))</f>
        <v>#REF!</v>
      </c>
      <c r="J20492" s="31">
        <v>23</v>
      </c>
      <c r="K20492" s="33" t="s">
        <v>93</v>
      </c>
      <c r="L20492" s="31" t="str">
        <f t="shared" si="1982"/>
        <v>Dua Puluh Tiga</v>
      </c>
    </row>
    <row r="20493" spans="1:12">
      <c r="A20493" s="33" t="s">
        <v>79</v>
      </c>
      <c r="B20493" s="40" t="e">
        <f>TRUNC((A20467-SUM(C20489:C20492))/100)</f>
        <v>#REF!</v>
      </c>
      <c r="C20493" s="31" t="e">
        <f>B20493*100</f>
        <v>#REF!</v>
      </c>
      <c r="D20493" s="31" t="e">
        <f>IF(B20493&lt;1,"",IF(B20493=1,"",VLOOKUP(B20493,$J$3:$L$102,3)))</f>
        <v>#REF!</v>
      </c>
      <c r="E20493" s="31" t="e">
        <f>IF(B20493&lt;1,"",IF(B20493=1," Seratus "," Ratus "))</f>
        <v>#REF!</v>
      </c>
      <c r="J20493" s="31">
        <v>24</v>
      </c>
      <c r="K20493" s="33" t="s">
        <v>94</v>
      </c>
      <c r="L20493" s="31" t="str">
        <f t="shared" si="1982"/>
        <v>Dua Puluh Empat</v>
      </c>
    </row>
    <row r="20494" spans="1:12">
      <c r="A20494" s="33" t="s">
        <v>81</v>
      </c>
      <c r="B20494" s="41" t="e">
        <f>TRUNC((A20467-SUM(C20489:C20493)))</f>
        <v>#REF!</v>
      </c>
      <c r="C20494" s="42" t="e">
        <f>B20494</f>
        <v>#REF!</v>
      </c>
      <c r="D20494" s="31" t="e">
        <f>IF(B20494&lt;1,"",VLOOKUP(B20494,$J$3:$L$102,3))</f>
        <v>#REF!</v>
      </c>
      <c r="E20494" s="31" t="e">
        <f>IF(SUM(C20489:C20494)&lt;1,"",IF(B20495&lt;1,""," Dan "))</f>
        <v>#REF!</v>
      </c>
      <c r="J20494" s="31">
        <v>25</v>
      </c>
      <c r="K20494" s="33" t="s">
        <v>95</v>
      </c>
      <c r="L20494" s="31" t="str">
        <f t="shared" si="1982"/>
        <v>Dua Puluh Lima</v>
      </c>
    </row>
    <row r="20495" spans="1:12">
      <c r="A20495" s="33" t="s">
        <v>83</v>
      </c>
      <c r="B20495" s="40" t="e">
        <f>ROUND(A20467-SUM(C20489:C20494),2)*100</f>
        <v>#REF!</v>
      </c>
      <c r="D20495" s="31" t="e">
        <f>IF(B20495&lt;1,"",VLOOKUP(B20495,$J$3:$L$102,3))</f>
        <v>#REF!</v>
      </c>
      <c r="E20495" s="31" t="e">
        <f>IF(B20495&lt;1,""," Sen ")</f>
        <v>#REF!</v>
      </c>
      <c r="J20495" s="31">
        <v>26</v>
      </c>
      <c r="K20495" s="33" t="s">
        <v>96</v>
      </c>
      <c r="L20495" s="31" t="str">
        <f t="shared" si="1982"/>
        <v>Dua Puluh Enam</v>
      </c>
    </row>
    <row r="20496" spans="1:12">
      <c r="J20496" s="31">
        <v>27</v>
      </c>
      <c r="K20496" s="33" t="s">
        <v>97</v>
      </c>
      <c r="L20496" s="31" t="str">
        <f t="shared" si="1982"/>
        <v>Dua Puluh Tujuh</v>
      </c>
    </row>
    <row r="20497" spans="1:12">
      <c r="J20497" s="31">
        <v>28</v>
      </c>
      <c r="K20497" s="33" t="s">
        <v>98</v>
      </c>
      <c r="L20497" s="31" t="str">
        <f t="shared" si="1982"/>
        <v>Dua Puluh Delapan</v>
      </c>
    </row>
    <row r="20498" spans="1:12">
      <c r="J20498" s="31">
        <v>29</v>
      </c>
      <c r="K20498" s="33" t="s">
        <v>99</v>
      </c>
      <c r="L20498" s="31" t="str">
        <f t="shared" si="1982"/>
        <v>Dua Puluh Sembilan</v>
      </c>
    </row>
    <row r="20499" spans="1:12">
      <c r="J20499" s="31">
        <v>30</v>
      </c>
      <c r="K20499" s="33" t="s">
        <v>100</v>
      </c>
      <c r="L20499" s="31" t="s">
        <v>101</v>
      </c>
    </row>
    <row r="20500" spans="1:12">
      <c r="J20500" s="31">
        <v>31</v>
      </c>
      <c r="K20500" s="33" t="s">
        <v>102</v>
      </c>
      <c r="L20500" s="31" t="str">
        <f t="shared" ref="L20500:L20508" si="1983">$L$33&amp;" "&amp;L20470</f>
        <v>Tiga Puluh Satu</v>
      </c>
    </row>
    <row r="20501" spans="1:12">
      <c r="J20501" s="31">
        <v>32</v>
      </c>
      <c r="K20501" s="33" t="s">
        <v>103</v>
      </c>
      <c r="L20501" s="31" t="str">
        <f t="shared" si="1983"/>
        <v>Tiga Puluh Dua</v>
      </c>
    </row>
    <row r="20502" spans="1:12">
      <c r="J20502" s="31">
        <v>33</v>
      </c>
      <c r="K20502" s="33" t="s">
        <v>104</v>
      </c>
      <c r="L20502" s="31" t="str">
        <f t="shared" si="1983"/>
        <v>Tiga Puluh Tiga</v>
      </c>
    </row>
    <row r="20503" spans="1:12">
      <c r="J20503" s="31">
        <v>34</v>
      </c>
      <c r="K20503" s="33" t="s">
        <v>105</v>
      </c>
      <c r="L20503" s="31" t="str">
        <f t="shared" si="1983"/>
        <v>Tiga Puluh Empat</v>
      </c>
    </row>
    <row r="20504" spans="1:12">
      <c r="J20504" s="31">
        <v>35</v>
      </c>
      <c r="K20504" s="33" t="s">
        <v>106</v>
      </c>
      <c r="L20504" s="31" t="str">
        <f t="shared" si="1983"/>
        <v>Tiga Puluh Lima</v>
      </c>
    </row>
    <row r="20505" spans="1:12">
      <c r="J20505" s="31">
        <v>36</v>
      </c>
      <c r="K20505" s="33" t="s">
        <v>107</v>
      </c>
      <c r="L20505" s="31" t="str">
        <f t="shared" si="1983"/>
        <v>Tiga Puluh Enam</v>
      </c>
    </row>
    <row r="20506" spans="1:12">
      <c r="J20506" s="31">
        <v>37</v>
      </c>
      <c r="K20506" s="33" t="s">
        <v>108</v>
      </c>
      <c r="L20506" s="31" t="str">
        <f t="shared" si="1983"/>
        <v>Tiga Puluh Tujuh</v>
      </c>
    </row>
    <row r="20507" spans="1:12">
      <c r="J20507" s="31">
        <v>38</v>
      </c>
      <c r="K20507" s="33" t="s">
        <v>109</v>
      </c>
      <c r="L20507" s="31" t="str">
        <f t="shared" si="1983"/>
        <v>Tiga Puluh Delapan</v>
      </c>
    </row>
    <row r="20508" spans="1:12">
      <c r="J20508" s="31">
        <v>39</v>
      </c>
      <c r="K20508" s="33" t="s">
        <v>110</v>
      </c>
      <c r="L20508" s="31" t="str">
        <f t="shared" si="1983"/>
        <v>Tiga Puluh Sembilan</v>
      </c>
    </row>
    <row r="20509" spans="1:12">
      <c r="B20509" s="35"/>
      <c r="C20509" s="35"/>
      <c r="D20509" s="35"/>
      <c r="J20509" s="31">
        <v>40</v>
      </c>
      <c r="K20509" s="33" t="s">
        <v>111</v>
      </c>
      <c r="L20509" s="31" t="s">
        <v>112</v>
      </c>
    </row>
    <row r="20510" spans="1:12">
      <c r="A20510" s="35"/>
      <c r="B20510" s="35"/>
      <c r="C20510" s="35"/>
      <c r="D20510" s="35"/>
      <c r="J20510" s="31">
        <v>41</v>
      </c>
      <c r="K20510" s="33" t="s">
        <v>113</v>
      </c>
      <c r="L20510" s="31" t="str">
        <f t="shared" ref="L20510:L20518" si="1984">$L$43&amp;" "&amp;L20470</f>
        <v>Empat Puluh Satu</v>
      </c>
    </row>
    <row r="20511" spans="1:12">
      <c r="J20511" s="31">
        <v>42</v>
      </c>
      <c r="K20511" s="33" t="s">
        <v>114</v>
      </c>
      <c r="L20511" s="31" t="str">
        <f t="shared" si="1984"/>
        <v>Empat Puluh Dua</v>
      </c>
    </row>
    <row r="20512" spans="1:12">
      <c r="A20512" s="38"/>
      <c r="J20512" s="31">
        <v>43</v>
      </c>
      <c r="K20512" s="33" t="s">
        <v>115</v>
      </c>
      <c r="L20512" s="31" t="str">
        <f t="shared" si="1984"/>
        <v>Empat Puluh Tiga</v>
      </c>
    </row>
    <row r="20513" spans="10:12">
      <c r="J20513" s="31">
        <v>44</v>
      </c>
      <c r="K20513" s="33" t="s">
        <v>116</v>
      </c>
      <c r="L20513" s="31" t="str">
        <f t="shared" si="1984"/>
        <v>Empat Puluh Empat</v>
      </c>
    </row>
    <row r="20514" spans="10:12">
      <c r="J20514" s="31">
        <v>45</v>
      </c>
      <c r="K20514" s="33" t="s">
        <v>117</v>
      </c>
      <c r="L20514" s="31" t="str">
        <f t="shared" si="1984"/>
        <v>Empat Puluh Lima</v>
      </c>
    </row>
    <row r="20515" spans="10:12">
      <c r="J20515" s="31">
        <v>46</v>
      </c>
      <c r="K20515" s="33" t="s">
        <v>118</v>
      </c>
      <c r="L20515" s="31" t="str">
        <f t="shared" si="1984"/>
        <v>Empat Puluh Enam</v>
      </c>
    </row>
    <row r="20516" spans="10:12">
      <c r="J20516" s="31">
        <v>47</v>
      </c>
      <c r="K20516" s="33" t="s">
        <v>119</v>
      </c>
      <c r="L20516" s="31" t="str">
        <f t="shared" si="1984"/>
        <v>Empat Puluh Tujuh</v>
      </c>
    </row>
    <row r="20517" spans="10:12">
      <c r="J20517" s="31">
        <v>48</v>
      </c>
      <c r="K20517" s="33" t="s">
        <v>120</v>
      </c>
      <c r="L20517" s="31" t="str">
        <f t="shared" si="1984"/>
        <v>Empat Puluh Delapan</v>
      </c>
    </row>
    <row r="20518" spans="10:12">
      <c r="J20518" s="31">
        <v>49</v>
      </c>
      <c r="K20518" s="33" t="s">
        <v>121</v>
      </c>
      <c r="L20518" s="31" t="str">
        <f t="shared" si="1984"/>
        <v>Empat Puluh Sembilan</v>
      </c>
    </row>
    <row r="20519" spans="10:12">
      <c r="J20519" s="31">
        <v>50</v>
      </c>
      <c r="K20519" s="33" t="s">
        <v>122</v>
      </c>
      <c r="L20519" s="31" t="s">
        <v>123</v>
      </c>
    </row>
    <row r="20520" spans="10:12">
      <c r="J20520" s="31">
        <v>51</v>
      </c>
      <c r="K20520" s="33" t="s">
        <v>124</v>
      </c>
      <c r="L20520" s="31" t="str">
        <f t="shared" ref="L20520:L20528" si="1985">$L$53&amp;" "&amp;L20470</f>
        <v>Lima Puluh Satu</v>
      </c>
    </row>
    <row r="20521" spans="10:12">
      <c r="J20521" s="31">
        <v>52</v>
      </c>
      <c r="K20521" s="33" t="s">
        <v>125</v>
      </c>
      <c r="L20521" s="31" t="str">
        <f t="shared" si="1985"/>
        <v>Lima Puluh Dua</v>
      </c>
    </row>
    <row r="20522" spans="10:12">
      <c r="J20522" s="31">
        <v>53</v>
      </c>
      <c r="K20522" s="33" t="s">
        <v>126</v>
      </c>
      <c r="L20522" s="31" t="str">
        <f t="shared" si="1985"/>
        <v>Lima Puluh Tiga</v>
      </c>
    </row>
    <row r="20523" spans="10:12">
      <c r="J20523" s="31">
        <v>54</v>
      </c>
      <c r="K20523" s="33" t="s">
        <v>127</v>
      </c>
      <c r="L20523" s="31" t="str">
        <f t="shared" si="1985"/>
        <v>Lima Puluh Empat</v>
      </c>
    </row>
    <row r="20524" spans="10:12">
      <c r="J20524" s="31">
        <v>55</v>
      </c>
      <c r="K20524" s="33" t="s">
        <v>128</v>
      </c>
      <c r="L20524" s="31" t="str">
        <f t="shared" si="1985"/>
        <v>Lima Puluh Lima</v>
      </c>
    </row>
    <row r="20525" spans="10:12">
      <c r="J20525" s="31">
        <v>56</v>
      </c>
      <c r="K20525" s="33" t="s">
        <v>129</v>
      </c>
      <c r="L20525" s="31" t="str">
        <f t="shared" si="1985"/>
        <v>Lima Puluh Enam</v>
      </c>
    </row>
    <row r="20526" spans="10:12">
      <c r="J20526" s="31">
        <v>57</v>
      </c>
      <c r="K20526" s="33" t="s">
        <v>130</v>
      </c>
      <c r="L20526" s="31" t="str">
        <f t="shared" si="1985"/>
        <v>Lima Puluh Tujuh</v>
      </c>
    </row>
    <row r="20527" spans="10:12">
      <c r="J20527" s="31">
        <v>58</v>
      </c>
      <c r="K20527" s="33" t="s">
        <v>131</v>
      </c>
      <c r="L20527" s="31" t="str">
        <f t="shared" si="1985"/>
        <v>Lima Puluh Delapan</v>
      </c>
    </row>
    <row r="20528" spans="10:12">
      <c r="J20528" s="31">
        <v>59</v>
      </c>
      <c r="K20528" s="33" t="s">
        <v>132</v>
      </c>
      <c r="L20528" s="31" t="str">
        <f t="shared" si="1985"/>
        <v>Lima Puluh Sembilan</v>
      </c>
    </row>
    <row r="20529" spans="10:12">
      <c r="J20529" s="31">
        <v>60</v>
      </c>
      <c r="K20529" s="33" t="s">
        <v>133</v>
      </c>
      <c r="L20529" s="31" t="s">
        <v>134</v>
      </c>
    </row>
    <row r="20530" spans="10:12">
      <c r="J20530" s="31">
        <v>61</v>
      </c>
      <c r="K20530" s="33" t="s">
        <v>135</v>
      </c>
      <c r="L20530" s="31" t="str">
        <f t="shared" ref="L20530:L20538" si="1986">$L$63&amp;" "&amp;L20470</f>
        <v>Enam Puluh Satu</v>
      </c>
    </row>
    <row r="20531" spans="10:12">
      <c r="J20531" s="31">
        <v>62</v>
      </c>
      <c r="K20531" s="33" t="s">
        <v>136</v>
      </c>
      <c r="L20531" s="31" t="str">
        <f t="shared" si="1986"/>
        <v>Enam Puluh Dua</v>
      </c>
    </row>
    <row r="20532" spans="10:12">
      <c r="J20532" s="31">
        <v>63</v>
      </c>
      <c r="K20532" s="33" t="s">
        <v>137</v>
      </c>
      <c r="L20532" s="31" t="str">
        <f t="shared" si="1986"/>
        <v>Enam Puluh Tiga</v>
      </c>
    </row>
    <row r="20533" spans="10:12">
      <c r="J20533" s="31">
        <v>64</v>
      </c>
      <c r="K20533" s="33" t="s">
        <v>138</v>
      </c>
      <c r="L20533" s="31" t="str">
        <f t="shared" si="1986"/>
        <v>Enam Puluh Empat</v>
      </c>
    </row>
    <row r="20534" spans="10:12">
      <c r="J20534" s="31">
        <v>65</v>
      </c>
      <c r="K20534" s="33" t="s">
        <v>139</v>
      </c>
      <c r="L20534" s="31" t="str">
        <f t="shared" si="1986"/>
        <v>Enam Puluh Lima</v>
      </c>
    </row>
    <row r="20535" spans="10:12">
      <c r="J20535" s="31">
        <v>66</v>
      </c>
      <c r="K20535" s="33" t="s">
        <v>140</v>
      </c>
      <c r="L20535" s="31" t="str">
        <f t="shared" si="1986"/>
        <v>Enam Puluh Enam</v>
      </c>
    </row>
    <row r="20536" spans="10:12">
      <c r="J20536" s="31">
        <v>67</v>
      </c>
      <c r="K20536" s="33" t="s">
        <v>141</v>
      </c>
      <c r="L20536" s="31" t="str">
        <f t="shared" si="1986"/>
        <v>Enam Puluh Tujuh</v>
      </c>
    </row>
    <row r="20537" spans="10:12">
      <c r="J20537" s="31">
        <v>68</v>
      </c>
      <c r="K20537" s="33" t="s">
        <v>142</v>
      </c>
      <c r="L20537" s="31" t="str">
        <f t="shared" si="1986"/>
        <v>Enam Puluh Delapan</v>
      </c>
    </row>
    <row r="20538" spans="10:12">
      <c r="J20538" s="31">
        <v>69</v>
      </c>
      <c r="K20538" s="33" t="s">
        <v>143</v>
      </c>
      <c r="L20538" s="31" t="str">
        <f t="shared" si="1986"/>
        <v>Enam Puluh Sembilan</v>
      </c>
    </row>
    <row r="20539" spans="10:12">
      <c r="J20539" s="31">
        <v>70</v>
      </c>
      <c r="K20539" s="33" t="s">
        <v>144</v>
      </c>
      <c r="L20539" s="31" t="s">
        <v>145</v>
      </c>
    </row>
    <row r="20540" spans="10:12">
      <c r="J20540" s="31">
        <v>71</v>
      </c>
      <c r="K20540" s="33" t="s">
        <v>146</v>
      </c>
      <c r="L20540" s="31" t="str">
        <f t="shared" ref="L20540:L20548" si="1987">$L$73&amp;" "&amp;L20470</f>
        <v>Tujuh Puluh Satu</v>
      </c>
    </row>
    <row r="20541" spans="10:12">
      <c r="J20541" s="31">
        <v>72</v>
      </c>
      <c r="K20541" s="33" t="s">
        <v>147</v>
      </c>
      <c r="L20541" s="31" t="str">
        <f t="shared" si="1987"/>
        <v>Tujuh Puluh Dua</v>
      </c>
    </row>
    <row r="20542" spans="10:12">
      <c r="J20542" s="31">
        <v>73</v>
      </c>
      <c r="K20542" s="33" t="s">
        <v>148</v>
      </c>
      <c r="L20542" s="31" t="str">
        <f t="shared" si="1987"/>
        <v>Tujuh Puluh Tiga</v>
      </c>
    </row>
    <row r="20543" spans="10:12">
      <c r="J20543" s="31">
        <v>74</v>
      </c>
      <c r="K20543" s="33" t="s">
        <v>149</v>
      </c>
      <c r="L20543" s="31" t="str">
        <f t="shared" si="1987"/>
        <v>Tujuh Puluh Empat</v>
      </c>
    </row>
    <row r="20544" spans="10:12">
      <c r="J20544" s="31">
        <v>75</v>
      </c>
      <c r="K20544" s="33" t="s">
        <v>150</v>
      </c>
      <c r="L20544" s="31" t="str">
        <f t="shared" si="1987"/>
        <v>Tujuh Puluh Lima</v>
      </c>
    </row>
    <row r="20545" spans="10:12">
      <c r="J20545" s="31">
        <v>76</v>
      </c>
      <c r="K20545" s="33" t="s">
        <v>151</v>
      </c>
      <c r="L20545" s="31" t="str">
        <f t="shared" si="1987"/>
        <v>Tujuh Puluh Enam</v>
      </c>
    </row>
    <row r="20546" spans="10:12">
      <c r="J20546" s="31">
        <v>77</v>
      </c>
      <c r="K20546" s="33" t="s">
        <v>152</v>
      </c>
      <c r="L20546" s="31" t="str">
        <f t="shared" si="1987"/>
        <v>Tujuh Puluh Tujuh</v>
      </c>
    </row>
    <row r="20547" spans="10:12">
      <c r="J20547" s="31">
        <v>78</v>
      </c>
      <c r="K20547" s="33" t="s">
        <v>153</v>
      </c>
      <c r="L20547" s="31" t="str">
        <f t="shared" si="1987"/>
        <v>Tujuh Puluh Delapan</v>
      </c>
    </row>
    <row r="20548" spans="10:12">
      <c r="J20548" s="31">
        <v>79</v>
      </c>
      <c r="K20548" s="33" t="s">
        <v>154</v>
      </c>
      <c r="L20548" s="31" t="str">
        <f t="shared" si="1987"/>
        <v>Tujuh Puluh Sembilan</v>
      </c>
    </row>
    <row r="20549" spans="10:12">
      <c r="J20549" s="31">
        <v>80</v>
      </c>
      <c r="K20549" s="33" t="s">
        <v>155</v>
      </c>
      <c r="L20549" s="31" t="s">
        <v>156</v>
      </c>
    </row>
    <row r="20550" spans="10:12">
      <c r="J20550" s="31">
        <v>81</v>
      </c>
      <c r="K20550" s="33" t="s">
        <v>157</v>
      </c>
      <c r="L20550" s="31" t="str">
        <f t="shared" ref="L20550:L20558" si="1988">$L$83&amp;" "&amp;L20470</f>
        <v>Delapan Puluh Satu</v>
      </c>
    </row>
    <row r="20551" spans="10:12">
      <c r="J20551" s="31">
        <v>82</v>
      </c>
      <c r="K20551" s="33" t="s">
        <v>158</v>
      </c>
      <c r="L20551" s="31" t="str">
        <f t="shared" si="1988"/>
        <v>Delapan Puluh Dua</v>
      </c>
    </row>
    <row r="20552" spans="10:12">
      <c r="J20552" s="31">
        <v>83</v>
      </c>
      <c r="K20552" s="33" t="s">
        <v>159</v>
      </c>
      <c r="L20552" s="31" t="str">
        <f t="shared" si="1988"/>
        <v>Delapan Puluh Tiga</v>
      </c>
    </row>
    <row r="20553" spans="10:12">
      <c r="J20553" s="31">
        <v>84</v>
      </c>
      <c r="K20553" s="33" t="s">
        <v>160</v>
      </c>
      <c r="L20553" s="31" t="str">
        <f t="shared" si="1988"/>
        <v>Delapan Puluh Empat</v>
      </c>
    </row>
    <row r="20554" spans="10:12">
      <c r="J20554" s="31">
        <v>85</v>
      </c>
      <c r="K20554" s="33" t="s">
        <v>161</v>
      </c>
      <c r="L20554" s="31" t="str">
        <f t="shared" si="1988"/>
        <v>Delapan Puluh Lima</v>
      </c>
    </row>
    <row r="20555" spans="10:12">
      <c r="J20555" s="31">
        <v>86</v>
      </c>
      <c r="K20555" s="33" t="s">
        <v>162</v>
      </c>
      <c r="L20555" s="31" t="str">
        <f t="shared" si="1988"/>
        <v>Delapan Puluh Enam</v>
      </c>
    </row>
    <row r="20556" spans="10:12">
      <c r="J20556" s="31">
        <v>87</v>
      </c>
      <c r="K20556" s="33" t="s">
        <v>163</v>
      </c>
      <c r="L20556" s="31" t="str">
        <f t="shared" si="1988"/>
        <v>Delapan Puluh Tujuh</v>
      </c>
    </row>
    <row r="20557" spans="10:12">
      <c r="J20557" s="31">
        <v>88</v>
      </c>
      <c r="K20557" s="33" t="s">
        <v>164</v>
      </c>
      <c r="L20557" s="31" t="str">
        <f t="shared" si="1988"/>
        <v>Delapan Puluh Delapan</v>
      </c>
    </row>
    <row r="20558" spans="10:12">
      <c r="J20558" s="31">
        <v>89</v>
      </c>
      <c r="K20558" s="33" t="s">
        <v>165</v>
      </c>
      <c r="L20558" s="31" t="str">
        <f t="shared" si="1988"/>
        <v>Delapan Puluh Sembilan</v>
      </c>
    </row>
    <row r="20559" spans="10:12">
      <c r="J20559" s="31">
        <v>90</v>
      </c>
      <c r="K20559" s="33" t="s">
        <v>166</v>
      </c>
      <c r="L20559" s="31" t="s">
        <v>167</v>
      </c>
    </row>
    <row r="20560" spans="10:12">
      <c r="J20560" s="31">
        <v>91</v>
      </c>
      <c r="K20560" s="33" t="s">
        <v>168</v>
      </c>
      <c r="L20560" s="31" t="str">
        <f t="shared" ref="L20560:L20568" si="1989">$L$93&amp;" "&amp;L20470</f>
        <v>Sembilan Puluh Satu</v>
      </c>
    </row>
    <row r="20561" spans="1:12">
      <c r="J20561" s="31">
        <v>92</v>
      </c>
      <c r="K20561" s="33" t="s">
        <v>169</v>
      </c>
      <c r="L20561" s="31" t="str">
        <f t="shared" si="1989"/>
        <v>Sembilan Puluh Dua</v>
      </c>
    </row>
    <row r="20562" spans="1:12">
      <c r="J20562" s="31">
        <v>93</v>
      </c>
      <c r="K20562" s="33" t="s">
        <v>170</v>
      </c>
      <c r="L20562" s="31" t="str">
        <f t="shared" si="1989"/>
        <v>Sembilan Puluh Tiga</v>
      </c>
    </row>
    <row r="20563" spans="1:12">
      <c r="J20563" s="31">
        <v>94</v>
      </c>
      <c r="K20563" s="33" t="s">
        <v>171</v>
      </c>
      <c r="L20563" s="31" t="str">
        <f t="shared" si="1989"/>
        <v>Sembilan Puluh Empat</v>
      </c>
    </row>
    <row r="20564" spans="1:12">
      <c r="J20564" s="31">
        <v>95</v>
      </c>
      <c r="K20564" s="33" t="s">
        <v>172</v>
      </c>
      <c r="L20564" s="31" t="str">
        <f t="shared" si="1989"/>
        <v>Sembilan Puluh Lima</v>
      </c>
    </row>
    <row r="20565" spans="1:12">
      <c r="J20565" s="31">
        <v>96</v>
      </c>
      <c r="K20565" s="33" t="s">
        <v>173</v>
      </c>
      <c r="L20565" s="31" t="str">
        <f t="shared" si="1989"/>
        <v>Sembilan Puluh Enam</v>
      </c>
    </row>
    <row r="20566" spans="1:12">
      <c r="J20566" s="31">
        <v>97</v>
      </c>
      <c r="K20566" s="33" t="s">
        <v>174</v>
      </c>
      <c r="L20566" s="31" t="str">
        <f t="shared" si="1989"/>
        <v>Sembilan Puluh Tujuh</v>
      </c>
    </row>
    <row r="20567" spans="1:12">
      <c r="J20567" s="31">
        <v>98</v>
      </c>
      <c r="K20567" s="33" t="s">
        <v>175</v>
      </c>
      <c r="L20567" s="31" t="str">
        <f t="shared" si="1989"/>
        <v>Sembilan Puluh Delapan</v>
      </c>
    </row>
    <row r="20568" spans="1:12">
      <c r="J20568" s="31">
        <v>99</v>
      </c>
      <c r="K20568" s="33" t="s">
        <v>176</v>
      </c>
      <c r="L20568" s="31" t="str">
        <f t="shared" si="1989"/>
        <v>Sembilan Puluh Sembilan</v>
      </c>
    </row>
    <row r="20570" spans="1:12">
      <c r="A20570" s="30" t="e">
        <f>#REF!</f>
        <v>#REF!</v>
      </c>
      <c r="C20570" s="31" t="s">
        <v>458</v>
      </c>
    </row>
    <row r="20571" spans="1:12">
      <c r="A20571" s="32"/>
    </row>
    <row r="20572" spans="1:12">
      <c r="J20572" s="31">
        <v>0</v>
      </c>
      <c r="K20572" s="33" t="s">
        <v>48</v>
      </c>
      <c r="L20572" s="31" t="s">
        <v>49</v>
      </c>
    </row>
    <row r="20573" spans="1:12">
      <c r="A20573" s="34"/>
      <c r="J20573" s="31">
        <v>1</v>
      </c>
      <c r="K20573" s="33" t="s">
        <v>50</v>
      </c>
      <c r="L20573" s="31" t="s">
        <v>51</v>
      </c>
    </row>
    <row r="20574" spans="1:12">
      <c r="A20574" s="255" t="e">
        <f>TRIM(D20582&amp;E20582&amp;D20583&amp;E20583&amp;D20584&amp;E20584&amp;D20585&amp;E20585&amp;D20586&amp;E20586&amp;D20587&amp;E20587&amp;E20588&amp;D20588&amp;" Only")</f>
        <v>#REF!</v>
      </c>
      <c r="B20574" s="255"/>
      <c r="C20574" s="255"/>
      <c r="D20574" s="255"/>
      <c r="E20574" s="35"/>
      <c r="F20574" s="36"/>
      <c r="J20574" s="31">
        <v>2</v>
      </c>
      <c r="K20574" s="33" t="s">
        <v>52</v>
      </c>
      <c r="L20574" s="31" t="s">
        <v>53</v>
      </c>
    </row>
    <row r="20575" spans="1:12">
      <c r="A20575" s="186"/>
      <c r="B20575" s="186"/>
      <c r="C20575" s="186"/>
      <c r="D20575" s="186"/>
      <c r="E20575" s="35"/>
      <c r="F20575" s="36"/>
      <c r="J20575" s="31">
        <v>3</v>
      </c>
      <c r="K20575" s="33" t="s">
        <v>54</v>
      </c>
      <c r="L20575" s="31" t="s">
        <v>55</v>
      </c>
    </row>
    <row r="20576" spans="1:12">
      <c r="A20576" s="186"/>
      <c r="B20576" s="186"/>
      <c r="C20576" s="186"/>
      <c r="D20576" s="186"/>
      <c r="J20576" s="31">
        <v>4</v>
      </c>
      <c r="K20576" s="33" t="s">
        <v>56</v>
      </c>
      <c r="L20576" s="31" t="s">
        <v>57</v>
      </c>
    </row>
    <row r="20577" spans="1:12">
      <c r="A20577" s="255" t="e">
        <f>TRIM(D20592&amp;E20592&amp;D20593&amp;E20593&amp;D20594&amp;E20594&amp;D20595&amp;E20595&amp;D20596&amp;E20596&amp;D20597&amp;E20597&amp;D20598&amp;E20598&amp;" Rupiah")</f>
        <v>#REF!</v>
      </c>
      <c r="B20577" s="255"/>
      <c r="C20577" s="255"/>
      <c r="D20577" s="255"/>
      <c r="E20577" s="35"/>
      <c r="F20577" s="36"/>
      <c r="J20577" s="31">
        <v>5</v>
      </c>
      <c r="K20577" s="33" t="s">
        <v>58</v>
      </c>
      <c r="L20577" s="31" t="s">
        <v>59</v>
      </c>
    </row>
    <row r="20578" spans="1:12">
      <c r="A20578" s="35"/>
      <c r="B20578" s="35"/>
      <c r="C20578" s="35"/>
      <c r="D20578" s="35"/>
      <c r="E20578" s="35"/>
      <c r="F20578" s="36"/>
      <c r="J20578" s="31">
        <v>6</v>
      </c>
      <c r="K20578" s="33" t="s">
        <v>60</v>
      </c>
      <c r="L20578" s="31" t="s">
        <v>61</v>
      </c>
    </row>
    <row r="20579" spans="1:12">
      <c r="J20579" s="31">
        <v>7</v>
      </c>
      <c r="K20579" s="33" t="s">
        <v>62</v>
      </c>
      <c r="L20579" s="31" t="s">
        <v>63</v>
      </c>
    </row>
    <row r="20580" spans="1:12">
      <c r="J20580" s="31">
        <v>8</v>
      </c>
      <c r="K20580" s="33" t="s">
        <v>64</v>
      </c>
      <c r="L20580" s="31" t="s">
        <v>65</v>
      </c>
    </row>
    <row r="20581" spans="1:12">
      <c r="A20581" s="38" t="s">
        <v>66</v>
      </c>
      <c r="J20581" s="31">
        <v>9</v>
      </c>
      <c r="K20581" s="33" t="s">
        <v>67</v>
      </c>
      <c r="L20581" s="31" t="s">
        <v>68</v>
      </c>
    </row>
    <row r="20582" spans="1:12">
      <c r="A20582" s="31" t="s">
        <v>69</v>
      </c>
      <c r="B20582" s="39" t="e">
        <f>TRUNC(A20570/100000000)</f>
        <v>#REF!</v>
      </c>
      <c r="C20582" s="31" t="e">
        <f>B20582*100000000</f>
        <v>#REF!</v>
      </c>
      <c r="D20582" s="31" t="e">
        <f t="shared" ref="D20582:D20588" si="1990">IF(B20582&lt;1,"",VLOOKUP(B20582,$J$3:$K$102,2))</f>
        <v>#REF!</v>
      </c>
      <c r="E20582" s="31" t="e">
        <f>IF(B20582&lt;1,"",IF(B20582&gt;1," Hundreds "," Hundred "))</f>
        <v>#REF!</v>
      </c>
      <c r="J20582" s="31">
        <v>10</v>
      </c>
      <c r="K20582" s="33" t="s">
        <v>70</v>
      </c>
      <c r="L20582" s="31" t="s">
        <v>71</v>
      </c>
    </row>
    <row r="20583" spans="1:12">
      <c r="A20583" s="31" t="s">
        <v>72</v>
      </c>
      <c r="B20583" s="39" t="e">
        <f>TRUNC((A20570-C20582)/1000000)</f>
        <v>#REF!</v>
      </c>
      <c r="C20583" s="31" t="e">
        <f>B20583*1000000</f>
        <v>#REF!</v>
      </c>
      <c r="D20583" s="31" t="e">
        <f t="shared" si="1990"/>
        <v>#REF!</v>
      </c>
      <c r="E20583" s="31" t="e">
        <f>IF(B20582+B20583=0,"",IF(B20583=1," Million "," Millions "))</f>
        <v>#REF!</v>
      </c>
      <c r="J20583" s="31">
        <v>11</v>
      </c>
      <c r="K20583" s="33" t="s">
        <v>73</v>
      </c>
      <c r="L20583" s="31" t="s">
        <v>74</v>
      </c>
    </row>
    <row r="20584" spans="1:12">
      <c r="A20584" s="31" t="s">
        <v>75</v>
      </c>
      <c r="B20584" s="39" t="e">
        <f>TRUNC((A20570-SUM(C20582:C20583))/100000)</f>
        <v>#REF!</v>
      </c>
      <c r="C20584" s="31" t="e">
        <f>B20584*100000</f>
        <v>#REF!</v>
      </c>
      <c r="D20584" s="31" t="e">
        <f t="shared" si="1990"/>
        <v>#REF!</v>
      </c>
      <c r="E20584" s="31" t="e">
        <f>IF(B20584&lt;1,"",IF(B20584&gt;1," Hundreds "," Hundred "))</f>
        <v>#REF!</v>
      </c>
      <c r="J20584" s="31">
        <v>12</v>
      </c>
      <c r="K20584" s="33" t="s">
        <v>76</v>
      </c>
      <c r="L20584" s="31" t="str">
        <f t="shared" ref="L20584:L20591" si="1991">L20574&amp;" Belas"</f>
        <v>Dua Belas</v>
      </c>
    </row>
    <row r="20585" spans="1:12">
      <c r="A20585" s="33" t="s">
        <v>77</v>
      </c>
      <c r="B20585" s="40" t="e">
        <f>TRUNC((A20570-SUM(C20582:C20584))/1000)</f>
        <v>#REF!</v>
      </c>
      <c r="C20585" s="31" t="e">
        <f>B20585*1000</f>
        <v>#REF!</v>
      </c>
      <c r="D20585" s="31" t="e">
        <f t="shared" si="1990"/>
        <v>#REF!</v>
      </c>
      <c r="E20585" s="31" t="e">
        <f>IF(B20584+B20585=0,"",IF(B20585=1," Thousand "," Thousands "))</f>
        <v>#REF!</v>
      </c>
      <c r="J20585" s="31">
        <v>13</v>
      </c>
      <c r="K20585" s="33" t="s">
        <v>78</v>
      </c>
      <c r="L20585" s="31" t="str">
        <f t="shared" si="1991"/>
        <v>Tiga Belas</v>
      </c>
    </row>
    <row r="20586" spans="1:12">
      <c r="A20586" s="33" t="s">
        <v>79</v>
      </c>
      <c r="B20586" s="40" t="e">
        <f>TRUNC((A20570-SUM(C20582:C20585))/100)</f>
        <v>#REF!</v>
      </c>
      <c r="C20586" s="31" t="e">
        <f>B20586*100</f>
        <v>#REF!</v>
      </c>
      <c r="D20586" s="31" t="e">
        <f t="shared" si="1990"/>
        <v>#REF!</v>
      </c>
      <c r="E20586" s="31" t="e">
        <f>IF(B20586&lt;1,"",IF(B20586&gt;1," Hundreds "," Hundred "))</f>
        <v>#REF!</v>
      </c>
      <c r="J20586" s="31">
        <v>14</v>
      </c>
      <c r="K20586" s="33" t="s">
        <v>80</v>
      </c>
      <c r="L20586" s="31" t="str">
        <f t="shared" si="1991"/>
        <v>Empat Belas</v>
      </c>
    </row>
    <row r="20587" spans="1:12">
      <c r="A20587" s="33" t="s">
        <v>81</v>
      </c>
      <c r="B20587" s="41" t="e">
        <f>TRUNC((A20570-SUM(C20582:C20586)))</f>
        <v>#REF!</v>
      </c>
      <c r="C20587" s="42" t="e">
        <f>B20587</f>
        <v>#REF!</v>
      </c>
      <c r="D20587" s="31" t="e">
        <f t="shared" si="1990"/>
        <v>#REF!</v>
      </c>
      <c r="E20587" s="31" t="e">
        <f>IF(SUM(C20582:C20587)&lt;1,"",IF(B20588&lt;1,""," And "))</f>
        <v>#REF!</v>
      </c>
      <c r="J20587" s="31">
        <v>15</v>
      </c>
      <c r="K20587" s="33" t="s">
        <v>82</v>
      </c>
      <c r="L20587" s="31" t="str">
        <f t="shared" si="1991"/>
        <v>Lima Belas</v>
      </c>
    </row>
    <row r="20588" spans="1:12">
      <c r="A20588" s="33" t="s">
        <v>83</v>
      </c>
      <c r="B20588" s="40" t="e">
        <f>ROUND(A20570-SUM(C20582:C20587),2)*100</f>
        <v>#REF!</v>
      </c>
      <c r="D20588" s="43" t="e">
        <f t="shared" si="1990"/>
        <v>#REF!</v>
      </c>
      <c r="E20588" s="31" t="e">
        <f>IF(B20588&lt;1,"",IF(B20588=1," Cent "," Cents "))</f>
        <v>#REF!</v>
      </c>
      <c r="J20588" s="31">
        <v>16</v>
      </c>
      <c r="K20588" s="33" t="s">
        <v>84</v>
      </c>
      <c r="L20588" s="31" t="str">
        <f t="shared" si="1991"/>
        <v>Enam Belas</v>
      </c>
    </row>
    <row r="20589" spans="1:12">
      <c r="J20589" s="31">
        <v>17</v>
      </c>
      <c r="K20589" s="33" t="s">
        <v>85</v>
      </c>
      <c r="L20589" s="31" t="str">
        <f t="shared" si="1991"/>
        <v>Tujuh Belas</v>
      </c>
    </row>
    <row r="20590" spans="1:12">
      <c r="A20590" s="44"/>
      <c r="J20590" s="31">
        <v>18</v>
      </c>
      <c r="K20590" s="33" t="s">
        <v>86</v>
      </c>
      <c r="L20590" s="31" t="str">
        <f t="shared" si="1991"/>
        <v>Delapan Belas</v>
      </c>
    </row>
    <row r="20591" spans="1:12">
      <c r="A20591" s="38" t="s">
        <v>87</v>
      </c>
      <c r="J20591" s="31">
        <v>19</v>
      </c>
      <c r="K20591" s="33" t="s">
        <v>88</v>
      </c>
      <c r="L20591" s="31" t="str">
        <f t="shared" si="1991"/>
        <v>Sembilan Belas</v>
      </c>
    </row>
    <row r="20592" spans="1:12">
      <c r="A20592" s="31" t="s">
        <v>69</v>
      </c>
      <c r="B20592" s="39" t="e">
        <f>TRUNC(A20570/100000000)</f>
        <v>#REF!</v>
      </c>
      <c r="C20592" s="31" t="e">
        <f>B20592*100000000</f>
        <v>#REF!</v>
      </c>
      <c r="D20592" s="31" t="e">
        <f>IF(B20592&lt;1,"",IF(B20592=1,"",VLOOKUP(B20592,$J$3:$L$102,3)))</f>
        <v>#REF!</v>
      </c>
      <c r="E20592" s="31" t="e">
        <f>IF(B20592&lt;1,"",IF(B20592=1,"Seratus "," Ratus "))</f>
        <v>#REF!</v>
      </c>
      <c r="J20592" s="31">
        <v>20</v>
      </c>
      <c r="K20592" s="33" t="s">
        <v>89</v>
      </c>
      <c r="L20592" s="31" t="s">
        <v>90</v>
      </c>
    </row>
    <row r="20593" spans="1:12">
      <c r="A20593" s="31" t="s">
        <v>72</v>
      </c>
      <c r="B20593" s="39" t="e">
        <f>TRUNC((A20570-C20592)/1000000)</f>
        <v>#REF!</v>
      </c>
      <c r="C20593" s="31" t="e">
        <f>B20593*1000000</f>
        <v>#REF!</v>
      </c>
      <c r="D20593" s="31" t="e">
        <f>IF(B20593&lt;1,"",VLOOKUP(B20593,$J$3:$L$102,3))</f>
        <v>#REF!</v>
      </c>
      <c r="E20593" s="31" t="e">
        <f>IF(B20592+B20593=0,""," Juta ")</f>
        <v>#REF!</v>
      </c>
      <c r="J20593" s="31">
        <v>21</v>
      </c>
      <c r="K20593" s="33" t="s">
        <v>91</v>
      </c>
      <c r="L20593" s="31" t="str">
        <f t="shared" ref="L20593:L20601" si="1992">$L$23&amp;" "&amp;L20573</f>
        <v>Dua Puluh Satu</v>
      </c>
    </row>
    <row r="20594" spans="1:12">
      <c r="A20594" s="31" t="s">
        <v>75</v>
      </c>
      <c r="B20594" s="39" t="e">
        <f>TRUNC((A20570-SUM(C20592:C20593))/100000)</f>
        <v>#REF!</v>
      </c>
      <c r="C20594" s="31" t="e">
        <f>B20594*100000</f>
        <v>#REF!</v>
      </c>
      <c r="D20594" s="31" t="e">
        <f>IF(B20594&lt;1,"",IF(B20594=1,"",VLOOKUP(B20594,$J$3:$L$102,3)))</f>
        <v>#REF!</v>
      </c>
      <c r="E20594" s="31" t="e">
        <f>IF(B20594&lt;1,"",IF(B20594=1," Seratus "," Ratus "))</f>
        <v>#REF!</v>
      </c>
      <c r="J20594" s="31">
        <v>22</v>
      </c>
      <c r="K20594" s="33" t="s">
        <v>92</v>
      </c>
      <c r="L20594" s="31" t="str">
        <f t="shared" si="1992"/>
        <v>Dua Puluh Dua</v>
      </c>
    </row>
    <row r="20595" spans="1:12">
      <c r="A20595" s="33" t="s">
        <v>77</v>
      </c>
      <c r="B20595" s="40" t="e">
        <f>TRUNC((A20570-SUM(C20592:C20594))/1000)</f>
        <v>#REF!</v>
      </c>
      <c r="C20595" s="31" t="e">
        <f>B20595*1000</f>
        <v>#REF!</v>
      </c>
      <c r="D20595" s="31" t="e">
        <f>IF(B20595&lt;1,"",IF(B20595=1,"",VLOOKUP(B20595,$J$3:$L$102,3)))</f>
        <v>#REF!</v>
      </c>
      <c r="E20595" s="31" t="e">
        <f>IF(B20594+B20595&lt;1,"",IF(B20595=1," Seribu "," Ribu "))</f>
        <v>#REF!</v>
      </c>
      <c r="J20595" s="31">
        <v>23</v>
      </c>
      <c r="K20595" s="33" t="s">
        <v>93</v>
      </c>
      <c r="L20595" s="31" t="str">
        <f t="shared" si="1992"/>
        <v>Dua Puluh Tiga</v>
      </c>
    </row>
    <row r="20596" spans="1:12">
      <c r="A20596" s="33" t="s">
        <v>79</v>
      </c>
      <c r="B20596" s="40" t="e">
        <f>TRUNC((A20570-SUM(C20592:C20595))/100)</f>
        <v>#REF!</v>
      </c>
      <c r="C20596" s="31" t="e">
        <f>B20596*100</f>
        <v>#REF!</v>
      </c>
      <c r="D20596" s="31" t="e">
        <f>IF(B20596&lt;1,"",IF(B20596=1,"",VLOOKUP(B20596,$J$3:$L$102,3)))</f>
        <v>#REF!</v>
      </c>
      <c r="E20596" s="31" t="e">
        <f>IF(B20596&lt;1,"",IF(B20596=1," Seratus "," Ratus "))</f>
        <v>#REF!</v>
      </c>
      <c r="J20596" s="31">
        <v>24</v>
      </c>
      <c r="K20596" s="33" t="s">
        <v>94</v>
      </c>
      <c r="L20596" s="31" t="str">
        <f t="shared" si="1992"/>
        <v>Dua Puluh Empat</v>
      </c>
    </row>
    <row r="20597" spans="1:12">
      <c r="A20597" s="33" t="s">
        <v>81</v>
      </c>
      <c r="B20597" s="41" t="e">
        <f>TRUNC((A20570-SUM(C20592:C20596)))</f>
        <v>#REF!</v>
      </c>
      <c r="C20597" s="42" t="e">
        <f>B20597</f>
        <v>#REF!</v>
      </c>
      <c r="D20597" s="31" t="e">
        <f>IF(B20597&lt;1,"",VLOOKUP(B20597,$J$3:$L$102,3))</f>
        <v>#REF!</v>
      </c>
      <c r="E20597" s="31" t="e">
        <f>IF(SUM(C20592:C20597)&lt;1,"",IF(B20598&lt;1,""," Dan "))</f>
        <v>#REF!</v>
      </c>
      <c r="J20597" s="31">
        <v>25</v>
      </c>
      <c r="K20597" s="33" t="s">
        <v>95</v>
      </c>
      <c r="L20597" s="31" t="str">
        <f t="shared" si="1992"/>
        <v>Dua Puluh Lima</v>
      </c>
    </row>
    <row r="20598" spans="1:12">
      <c r="A20598" s="33" t="s">
        <v>83</v>
      </c>
      <c r="B20598" s="40" t="e">
        <f>ROUND(A20570-SUM(C20592:C20597),2)*100</f>
        <v>#REF!</v>
      </c>
      <c r="D20598" s="31" t="e">
        <f>IF(B20598&lt;1,"",VLOOKUP(B20598,$J$3:$L$102,3))</f>
        <v>#REF!</v>
      </c>
      <c r="E20598" s="31" t="e">
        <f>IF(B20598&lt;1,""," Sen ")</f>
        <v>#REF!</v>
      </c>
      <c r="J20598" s="31">
        <v>26</v>
      </c>
      <c r="K20598" s="33" t="s">
        <v>96</v>
      </c>
      <c r="L20598" s="31" t="str">
        <f t="shared" si="1992"/>
        <v>Dua Puluh Enam</v>
      </c>
    </row>
    <row r="20599" spans="1:12">
      <c r="J20599" s="31">
        <v>27</v>
      </c>
      <c r="K20599" s="33" t="s">
        <v>97</v>
      </c>
      <c r="L20599" s="31" t="str">
        <f t="shared" si="1992"/>
        <v>Dua Puluh Tujuh</v>
      </c>
    </row>
    <row r="20600" spans="1:12">
      <c r="J20600" s="31">
        <v>28</v>
      </c>
      <c r="K20600" s="33" t="s">
        <v>98</v>
      </c>
      <c r="L20600" s="31" t="str">
        <f t="shared" si="1992"/>
        <v>Dua Puluh Delapan</v>
      </c>
    </row>
    <row r="20601" spans="1:12">
      <c r="J20601" s="31">
        <v>29</v>
      </c>
      <c r="K20601" s="33" t="s">
        <v>99</v>
      </c>
      <c r="L20601" s="31" t="str">
        <f t="shared" si="1992"/>
        <v>Dua Puluh Sembilan</v>
      </c>
    </row>
    <row r="20602" spans="1:12">
      <c r="J20602" s="31">
        <v>30</v>
      </c>
      <c r="K20602" s="33" t="s">
        <v>100</v>
      </c>
      <c r="L20602" s="31" t="s">
        <v>101</v>
      </c>
    </row>
    <row r="20603" spans="1:12">
      <c r="J20603" s="31">
        <v>31</v>
      </c>
      <c r="K20603" s="33" t="s">
        <v>102</v>
      </c>
      <c r="L20603" s="31" t="str">
        <f t="shared" ref="L20603:L20611" si="1993">$L$33&amp;" "&amp;L20573</f>
        <v>Tiga Puluh Satu</v>
      </c>
    </row>
    <row r="20604" spans="1:12">
      <c r="J20604" s="31">
        <v>32</v>
      </c>
      <c r="K20604" s="33" t="s">
        <v>103</v>
      </c>
      <c r="L20604" s="31" t="str">
        <f t="shared" si="1993"/>
        <v>Tiga Puluh Dua</v>
      </c>
    </row>
    <row r="20605" spans="1:12">
      <c r="J20605" s="31">
        <v>33</v>
      </c>
      <c r="K20605" s="33" t="s">
        <v>104</v>
      </c>
      <c r="L20605" s="31" t="str">
        <f t="shared" si="1993"/>
        <v>Tiga Puluh Tiga</v>
      </c>
    </row>
    <row r="20606" spans="1:12">
      <c r="J20606" s="31">
        <v>34</v>
      </c>
      <c r="K20606" s="33" t="s">
        <v>105</v>
      </c>
      <c r="L20606" s="31" t="str">
        <f t="shared" si="1993"/>
        <v>Tiga Puluh Empat</v>
      </c>
    </row>
    <row r="20607" spans="1:12">
      <c r="J20607" s="31">
        <v>35</v>
      </c>
      <c r="K20607" s="33" t="s">
        <v>106</v>
      </c>
      <c r="L20607" s="31" t="str">
        <f t="shared" si="1993"/>
        <v>Tiga Puluh Lima</v>
      </c>
    </row>
    <row r="20608" spans="1:12">
      <c r="J20608" s="31">
        <v>36</v>
      </c>
      <c r="K20608" s="33" t="s">
        <v>107</v>
      </c>
      <c r="L20608" s="31" t="str">
        <f t="shared" si="1993"/>
        <v>Tiga Puluh Enam</v>
      </c>
    </row>
    <row r="20609" spans="1:12">
      <c r="J20609" s="31">
        <v>37</v>
      </c>
      <c r="K20609" s="33" t="s">
        <v>108</v>
      </c>
      <c r="L20609" s="31" t="str">
        <f t="shared" si="1993"/>
        <v>Tiga Puluh Tujuh</v>
      </c>
    </row>
    <row r="20610" spans="1:12">
      <c r="J20610" s="31">
        <v>38</v>
      </c>
      <c r="K20610" s="33" t="s">
        <v>109</v>
      </c>
      <c r="L20610" s="31" t="str">
        <f t="shared" si="1993"/>
        <v>Tiga Puluh Delapan</v>
      </c>
    </row>
    <row r="20611" spans="1:12">
      <c r="J20611" s="31">
        <v>39</v>
      </c>
      <c r="K20611" s="33" t="s">
        <v>110</v>
      </c>
      <c r="L20611" s="31" t="str">
        <f t="shared" si="1993"/>
        <v>Tiga Puluh Sembilan</v>
      </c>
    </row>
    <row r="20612" spans="1:12">
      <c r="B20612" s="35"/>
      <c r="C20612" s="35"/>
      <c r="D20612" s="35"/>
      <c r="J20612" s="31">
        <v>40</v>
      </c>
      <c r="K20612" s="33" t="s">
        <v>111</v>
      </c>
      <c r="L20612" s="31" t="s">
        <v>112</v>
      </c>
    </row>
    <row r="20613" spans="1:12">
      <c r="A20613" s="35"/>
      <c r="B20613" s="35"/>
      <c r="C20613" s="35"/>
      <c r="D20613" s="35"/>
      <c r="J20613" s="31">
        <v>41</v>
      </c>
      <c r="K20613" s="33" t="s">
        <v>113</v>
      </c>
      <c r="L20613" s="31" t="str">
        <f t="shared" ref="L20613:L20621" si="1994">$L$43&amp;" "&amp;L20573</f>
        <v>Empat Puluh Satu</v>
      </c>
    </row>
    <row r="20614" spans="1:12">
      <c r="J20614" s="31">
        <v>42</v>
      </c>
      <c r="K20614" s="33" t="s">
        <v>114</v>
      </c>
      <c r="L20614" s="31" t="str">
        <f t="shared" si="1994"/>
        <v>Empat Puluh Dua</v>
      </c>
    </row>
    <row r="20615" spans="1:12">
      <c r="A20615" s="38"/>
      <c r="J20615" s="31">
        <v>43</v>
      </c>
      <c r="K20615" s="33" t="s">
        <v>115</v>
      </c>
      <c r="L20615" s="31" t="str">
        <f t="shared" si="1994"/>
        <v>Empat Puluh Tiga</v>
      </c>
    </row>
    <row r="20616" spans="1:12">
      <c r="J20616" s="31">
        <v>44</v>
      </c>
      <c r="K20616" s="33" t="s">
        <v>116</v>
      </c>
      <c r="L20616" s="31" t="str">
        <f t="shared" si="1994"/>
        <v>Empat Puluh Empat</v>
      </c>
    </row>
    <row r="20617" spans="1:12">
      <c r="J20617" s="31">
        <v>45</v>
      </c>
      <c r="K20617" s="33" t="s">
        <v>117</v>
      </c>
      <c r="L20617" s="31" t="str">
        <f t="shared" si="1994"/>
        <v>Empat Puluh Lima</v>
      </c>
    </row>
    <row r="20618" spans="1:12">
      <c r="J20618" s="31">
        <v>46</v>
      </c>
      <c r="K20618" s="33" t="s">
        <v>118</v>
      </c>
      <c r="L20618" s="31" t="str">
        <f t="shared" si="1994"/>
        <v>Empat Puluh Enam</v>
      </c>
    </row>
    <row r="20619" spans="1:12">
      <c r="J20619" s="31">
        <v>47</v>
      </c>
      <c r="K20619" s="33" t="s">
        <v>119</v>
      </c>
      <c r="L20619" s="31" t="str">
        <f t="shared" si="1994"/>
        <v>Empat Puluh Tujuh</v>
      </c>
    </row>
    <row r="20620" spans="1:12">
      <c r="J20620" s="31">
        <v>48</v>
      </c>
      <c r="K20620" s="33" t="s">
        <v>120</v>
      </c>
      <c r="L20620" s="31" t="str">
        <f t="shared" si="1994"/>
        <v>Empat Puluh Delapan</v>
      </c>
    </row>
    <row r="20621" spans="1:12">
      <c r="J20621" s="31">
        <v>49</v>
      </c>
      <c r="K20621" s="33" t="s">
        <v>121</v>
      </c>
      <c r="L20621" s="31" t="str">
        <f t="shared" si="1994"/>
        <v>Empat Puluh Sembilan</v>
      </c>
    </row>
    <row r="20622" spans="1:12">
      <c r="J20622" s="31">
        <v>50</v>
      </c>
      <c r="K20622" s="33" t="s">
        <v>122</v>
      </c>
      <c r="L20622" s="31" t="s">
        <v>123</v>
      </c>
    </row>
    <row r="20623" spans="1:12">
      <c r="J20623" s="31">
        <v>51</v>
      </c>
      <c r="K20623" s="33" t="s">
        <v>124</v>
      </c>
      <c r="L20623" s="31" t="str">
        <f t="shared" ref="L20623:L20631" si="1995">$L$53&amp;" "&amp;L20573</f>
        <v>Lima Puluh Satu</v>
      </c>
    </row>
    <row r="20624" spans="1:12">
      <c r="J20624" s="31">
        <v>52</v>
      </c>
      <c r="K20624" s="33" t="s">
        <v>125</v>
      </c>
      <c r="L20624" s="31" t="str">
        <f t="shared" si="1995"/>
        <v>Lima Puluh Dua</v>
      </c>
    </row>
    <row r="20625" spans="10:12">
      <c r="J20625" s="31">
        <v>53</v>
      </c>
      <c r="K20625" s="33" t="s">
        <v>126</v>
      </c>
      <c r="L20625" s="31" t="str">
        <f t="shared" si="1995"/>
        <v>Lima Puluh Tiga</v>
      </c>
    </row>
    <row r="20626" spans="10:12">
      <c r="J20626" s="31">
        <v>54</v>
      </c>
      <c r="K20626" s="33" t="s">
        <v>127</v>
      </c>
      <c r="L20626" s="31" t="str">
        <f t="shared" si="1995"/>
        <v>Lima Puluh Empat</v>
      </c>
    </row>
    <row r="20627" spans="10:12">
      <c r="J20627" s="31">
        <v>55</v>
      </c>
      <c r="K20627" s="33" t="s">
        <v>128</v>
      </c>
      <c r="L20627" s="31" t="str">
        <f t="shared" si="1995"/>
        <v>Lima Puluh Lima</v>
      </c>
    </row>
    <row r="20628" spans="10:12">
      <c r="J20628" s="31">
        <v>56</v>
      </c>
      <c r="K20628" s="33" t="s">
        <v>129</v>
      </c>
      <c r="L20628" s="31" t="str">
        <f t="shared" si="1995"/>
        <v>Lima Puluh Enam</v>
      </c>
    </row>
    <row r="20629" spans="10:12">
      <c r="J20629" s="31">
        <v>57</v>
      </c>
      <c r="K20629" s="33" t="s">
        <v>130</v>
      </c>
      <c r="L20629" s="31" t="str">
        <f t="shared" si="1995"/>
        <v>Lima Puluh Tujuh</v>
      </c>
    </row>
    <row r="20630" spans="10:12">
      <c r="J20630" s="31">
        <v>58</v>
      </c>
      <c r="K20630" s="33" t="s">
        <v>131</v>
      </c>
      <c r="L20630" s="31" t="str">
        <f t="shared" si="1995"/>
        <v>Lima Puluh Delapan</v>
      </c>
    </row>
    <row r="20631" spans="10:12">
      <c r="J20631" s="31">
        <v>59</v>
      </c>
      <c r="K20631" s="33" t="s">
        <v>132</v>
      </c>
      <c r="L20631" s="31" t="str">
        <f t="shared" si="1995"/>
        <v>Lima Puluh Sembilan</v>
      </c>
    </row>
    <row r="20632" spans="10:12">
      <c r="J20632" s="31">
        <v>60</v>
      </c>
      <c r="K20632" s="33" t="s">
        <v>133</v>
      </c>
      <c r="L20632" s="31" t="s">
        <v>134</v>
      </c>
    </row>
    <row r="20633" spans="10:12">
      <c r="J20633" s="31">
        <v>61</v>
      </c>
      <c r="K20633" s="33" t="s">
        <v>135</v>
      </c>
      <c r="L20633" s="31" t="str">
        <f t="shared" ref="L20633:L20641" si="1996">$L$63&amp;" "&amp;L20573</f>
        <v>Enam Puluh Satu</v>
      </c>
    </row>
    <row r="20634" spans="10:12">
      <c r="J20634" s="31">
        <v>62</v>
      </c>
      <c r="K20634" s="33" t="s">
        <v>136</v>
      </c>
      <c r="L20634" s="31" t="str">
        <f t="shared" si="1996"/>
        <v>Enam Puluh Dua</v>
      </c>
    </row>
    <row r="20635" spans="10:12">
      <c r="J20635" s="31">
        <v>63</v>
      </c>
      <c r="K20635" s="33" t="s">
        <v>137</v>
      </c>
      <c r="L20635" s="31" t="str">
        <f t="shared" si="1996"/>
        <v>Enam Puluh Tiga</v>
      </c>
    </row>
    <row r="20636" spans="10:12">
      <c r="J20636" s="31">
        <v>64</v>
      </c>
      <c r="K20636" s="33" t="s">
        <v>138</v>
      </c>
      <c r="L20636" s="31" t="str">
        <f t="shared" si="1996"/>
        <v>Enam Puluh Empat</v>
      </c>
    </row>
    <row r="20637" spans="10:12">
      <c r="J20637" s="31">
        <v>65</v>
      </c>
      <c r="K20637" s="33" t="s">
        <v>139</v>
      </c>
      <c r="L20637" s="31" t="str">
        <f t="shared" si="1996"/>
        <v>Enam Puluh Lima</v>
      </c>
    </row>
    <row r="20638" spans="10:12">
      <c r="J20638" s="31">
        <v>66</v>
      </c>
      <c r="K20638" s="33" t="s">
        <v>140</v>
      </c>
      <c r="L20638" s="31" t="str">
        <f t="shared" si="1996"/>
        <v>Enam Puluh Enam</v>
      </c>
    </row>
    <row r="20639" spans="10:12">
      <c r="J20639" s="31">
        <v>67</v>
      </c>
      <c r="K20639" s="33" t="s">
        <v>141</v>
      </c>
      <c r="L20639" s="31" t="str">
        <f t="shared" si="1996"/>
        <v>Enam Puluh Tujuh</v>
      </c>
    </row>
    <row r="20640" spans="10:12">
      <c r="J20640" s="31">
        <v>68</v>
      </c>
      <c r="K20640" s="33" t="s">
        <v>142</v>
      </c>
      <c r="L20640" s="31" t="str">
        <f t="shared" si="1996"/>
        <v>Enam Puluh Delapan</v>
      </c>
    </row>
    <row r="20641" spans="10:12">
      <c r="J20641" s="31">
        <v>69</v>
      </c>
      <c r="K20641" s="33" t="s">
        <v>143</v>
      </c>
      <c r="L20641" s="31" t="str">
        <f t="shared" si="1996"/>
        <v>Enam Puluh Sembilan</v>
      </c>
    </row>
    <row r="20642" spans="10:12">
      <c r="J20642" s="31">
        <v>70</v>
      </c>
      <c r="K20642" s="33" t="s">
        <v>144</v>
      </c>
      <c r="L20642" s="31" t="s">
        <v>145</v>
      </c>
    </row>
    <row r="20643" spans="10:12">
      <c r="J20643" s="31">
        <v>71</v>
      </c>
      <c r="K20643" s="33" t="s">
        <v>146</v>
      </c>
      <c r="L20643" s="31" t="str">
        <f t="shared" ref="L20643:L20651" si="1997">$L$73&amp;" "&amp;L20573</f>
        <v>Tujuh Puluh Satu</v>
      </c>
    </row>
    <row r="20644" spans="10:12">
      <c r="J20644" s="31">
        <v>72</v>
      </c>
      <c r="K20644" s="33" t="s">
        <v>147</v>
      </c>
      <c r="L20644" s="31" t="str">
        <f t="shared" si="1997"/>
        <v>Tujuh Puluh Dua</v>
      </c>
    </row>
    <row r="20645" spans="10:12">
      <c r="J20645" s="31">
        <v>73</v>
      </c>
      <c r="K20645" s="33" t="s">
        <v>148</v>
      </c>
      <c r="L20645" s="31" t="str">
        <f t="shared" si="1997"/>
        <v>Tujuh Puluh Tiga</v>
      </c>
    </row>
    <row r="20646" spans="10:12">
      <c r="J20646" s="31">
        <v>74</v>
      </c>
      <c r="K20646" s="33" t="s">
        <v>149</v>
      </c>
      <c r="L20646" s="31" t="str">
        <f t="shared" si="1997"/>
        <v>Tujuh Puluh Empat</v>
      </c>
    </row>
    <row r="20647" spans="10:12">
      <c r="J20647" s="31">
        <v>75</v>
      </c>
      <c r="K20647" s="33" t="s">
        <v>150</v>
      </c>
      <c r="L20647" s="31" t="str">
        <f t="shared" si="1997"/>
        <v>Tujuh Puluh Lima</v>
      </c>
    </row>
    <row r="20648" spans="10:12">
      <c r="J20648" s="31">
        <v>76</v>
      </c>
      <c r="K20648" s="33" t="s">
        <v>151</v>
      </c>
      <c r="L20648" s="31" t="str">
        <f t="shared" si="1997"/>
        <v>Tujuh Puluh Enam</v>
      </c>
    </row>
    <row r="20649" spans="10:12">
      <c r="J20649" s="31">
        <v>77</v>
      </c>
      <c r="K20649" s="33" t="s">
        <v>152</v>
      </c>
      <c r="L20649" s="31" t="str">
        <f t="shared" si="1997"/>
        <v>Tujuh Puluh Tujuh</v>
      </c>
    </row>
    <row r="20650" spans="10:12">
      <c r="J20650" s="31">
        <v>78</v>
      </c>
      <c r="K20650" s="33" t="s">
        <v>153</v>
      </c>
      <c r="L20650" s="31" t="str">
        <f t="shared" si="1997"/>
        <v>Tujuh Puluh Delapan</v>
      </c>
    </row>
    <row r="20651" spans="10:12">
      <c r="J20651" s="31">
        <v>79</v>
      </c>
      <c r="K20651" s="33" t="s">
        <v>154</v>
      </c>
      <c r="L20651" s="31" t="str">
        <f t="shared" si="1997"/>
        <v>Tujuh Puluh Sembilan</v>
      </c>
    </row>
    <row r="20652" spans="10:12">
      <c r="J20652" s="31">
        <v>80</v>
      </c>
      <c r="K20652" s="33" t="s">
        <v>155</v>
      </c>
      <c r="L20652" s="31" t="s">
        <v>156</v>
      </c>
    </row>
    <row r="20653" spans="10:12">
      <c r="J20653" s="31">
        <v>81</v>
      </c>
      <c r="K20653" s="33" t="s">
        <v>157</v>
      </c>
      <c r="L20653" s="31" t="str">
        <f t="shared" ref="L20653:L20661" si="1998">$L$83&amp;" "&amp;L20573</f>
        <v>Delapan Puluh Satu</v>
      </c>
    </row>
    <row r="20654" spans="10:12">
      <c r="J20654" s="31">
        <v>82</v>
      </c>
      <c r="K20654" s="33" t="s">
        <v>158</v>
      </c>
      <c r="L20654" s="31" t="str">
        <f t="shared" si="1998"/>
        <v>Delapan Puluh Dua</v>
      </c>
    </row>
    <row r="20655" spans="10:12">
      <c r="J20655" s="31">
        <v>83</v>
      </c>
      <c r="K20655" s="33" t="s">
        <v>159</v>
      </c>
      <c r="L20655" s="31" t="str">
        <f t="shared" si="1998"/>
        <v>Delapan Puluh Tiga</v>
      </c>
    </row>
    <row r="20656" spans="10:12">
      <c r="J20656" s="31">
        <v>84</v>
      </c>
      <c r="K20656" s="33" t="s">
        <v>160</v>
      </c>
      <c r="L20656" s="31" t="str">
        <f t="shared" si="1998"/>
        <v>Delapan Puluh Empat</v>
      </c>
    </row>
    <row r="20657" spans="10:12">
      <c r="J20657" s="31">
        <v>85</v>
      </c>
      <c r="K20657" s="33" t="s">
        <v>161</v>
      </c>
      <c r="L20657" s="31" t="str">
        <f t="shared" si="1998"/>
        <v>Delapan Puluh Lima</v>
      </c>
    </row>
    <row r="20658" spans="10:12">
      <c r="J20658" s="31">
        <v>86</v>
      </c>
      <c r="K20658" s="33" t="s">
        <v>162</v>
      </c>
      <c r="L20658" s="31" t="str">
        <f t="shared" si="1998"/>
        <v>Delapan Puluh Enam</v>
      </c>
    </row>
    <row r="20659" spans="10:12">
      <c r="J20659" s="31">
        <v>87</v>
      </c>
      <c r="K20659" s="33" t="s">
        <v>163</v>
      </c>
      <c r="L20659" s="31" t="str">
        <f t="shared" si="1998"/>
        <v>Delapan Puluh Tujuh</v>
      </c>
    </row>
    <row r="20660" spans="10:12">
      <c r="J20660" s="31">
        <v>88</v>
      </c>
      <c r="K20660" s="33" t="s">
        <v>164</v>
      </c>
      <c r="L20660" s="31" t="str">
        <f t="shared" si="1998"/>
        <v>Delapan Puluh Delapan</v>
      </c>
    </row>
    <row r="20661" spans="10:12">
      <c r="J20661" s="31">
        <v>89</v>
      </c>
      <c r="K20661" s="33" t="s">
        <v>165</v>
      </c>
      <c r="L20661" s="31" t="str">
        <f t="shared" si="1998"/>
        <v>Delapan Puluh Sembilan</v>
      </c>
    </row>
    <row r="20662" spans="10:12">
      <c r="J20662" s="31">
        <v>90</v>
      </c>
      <c r="K20662" s="33" t="s">
        <v>166</v>
      </c>
      <c r="L20662" s="31" t="s">
        <v>167</v>
      </c>
    </row>
    <row r="20663" spans="10:12">
      <c r="J20663" s="31">
        <v>91</v>
      </c>
      <c r="K20663" s="33" t="s">
        <v>168</v>
      </c>
      <c r="L20663" s="31" t="str">
        <f t="shared" ref="L20663:L20671" si="1999">$L$93&amp;" "&amp;L20573</f>
        <v>Sembilan Puluh Satu</v>
      </c>
    </row>
    <row r="20664" spans="10:12">
      <c r="J20664" s="31">
        <v>92</v>
      </c>
      <c r="K20664" s="33" t="s">
        <v>169</v>
      </c>
      <c r="L20664" s="31" t="str">
        <f t="shared" si="1999"/>
        <v>Sembilan Puluh Dua</v>
      </c>
    </row>
    <row r="20665" spans="10:12">
      <c r="J20665" s="31">
        <v>93</v>
      </c>
      <c r="K20665" s="33" t="s">
        <v>170</v>
      </c>
      <c r="L20665" s="31" t="str">
        <f t="shared" si="1999"/>
        <v>Sembilan Puluh Tiga</v>
      </c>
    </row>
    <row r="20666" spans="10:12">
      <c r="J20666" s="31">
        <v>94</v>
      </c>
      <c r="K20666" s="33" t="s">
        <v>171</v>
      </c>
      <c r="L20666" s="31" t="str">
        <f t="shared" si="1999"/>
        <v>Sembilan Puluh Empat</v>
      </c>
    </row>
    <row r="20667" spans="10:12">
      <c r="J20667" s="31">
        <v>95</v>
      </c>
      <c r="K20667" s="33" t="s">
        <v>172</v>
      </c>
      <c r="L20667" s="31" t="str">
        <f t="shared" si="1999"/>
        <v>Sembilan Puluh Lima</v>
      </c>
    </row>
    <row r="20668" spans="10:12">
      <c r="J20668" s="31">
        <v>96</v>
      </c>
      <c r="K20668" s="33" t="s">
        <v>173</v>
      </c>
      <c r="L20668" s="31" t="str">
        <f t="shared" si="1999"/>
        <v>Sembilan Puluh Enam</v>
      </c>
    </row>
    <row r="20669" spans="10:12">
      <c r="J20669" s="31">
        <v>97</v>
      </c>
      <c r="K20669" s="33" t="s">
        <v>174</v>
      </c>
      <c r="L20669" s="31" t="str">
        <f t="shared" si="1999"/>
        <v>Sembilan Puluh Tujuh</v>
      </c>
    </row>
    <row r="20670" spans="10:12">
      <c r="J20670" s="31">
        <v>98</v>
      </c>
      <c r="K20670" s="33" t="s">
        <v>175</v>
      </c>
      <c r="L20670" s="31" t="str">
        <f t="shared" si="1999"/>
        <v>Sembilan Puluh Delapan</v>
      </c>
    </row>
    <row r="20671" spans="10:12">
      <c r="J20671" s="31">
        <v>99</v>
      </c>
      <c r="K20671" s="33" t="s">
        <v>176</v>
      </c>
      <c r="L20671" s="31" t="str">
        <f t="shared" si="1999"/>
        <v>Sembilan Puluh Sembilan</v>
      </c>
    </row>
    <row r="20673" spans="1:12">
      <c r="A20673" s="30" t="e">
        <f>#REF!</f>
        <v>#REF!</v>
      </c>
      <c r="C20673" s="31" t="s">
        <v>459</v>
      </c>
    </row>
    <row r="20674" spans="1:12">
      <c r="A20674" s="32"/>
    </row>
    <row r="20675" spans="1:12">
      <c r="J20675" s="31">
        <v>0</v>
      </c>
      <c r="K20675" s="33" t="s">
        <v>48</v>
      </c>
      <c r="L20675" s="31" t="s">
        <v>49</v>
      </c>
    </row>
    <row r="20676" spans="1:12">
      <c r="A20676" s="34"/>
      <c r="J20676" s="31">
        <v>1</v>
      </c>
      <c r="K20676" s="33" t="s">
        <v>50</v>
      </c>
      <c r="L20676" s="31" t="s">
        <v>51</v>
      </c>
    </row>
    <row r="20677" spans="1:12">
      <c r="A20677" s="255" t="e">
        <f>TRIM(D20685&amp;E20685&amp;D20686&amp;E20686&amp;D20687&amp;E20687&amp;D20688&amp;E20688&amp;D20689&amp;E20689&amp;D20690&amp;E20690&amp;E20691&amp;D20691&amp;" Only")</f>
        <v>#REF!</v>
      </c>
      <c r="B20677" s="255"/>
      <c r="C20677" s="255"/>
      <c r="D20677" s="255"/>
      <c r="E20677" s="35"/>
      <c r="F20677" s="36"/>
      <c r="J20677" s="31">
        <v>2</v>
      </c>
      <c r="K20677" s="33" t="s">
        <v>52</v>
      </c>
      <c r="L20677" s="31" t="s">
        <v>53</v>
      </c>
    </row>
    <row r="20678" spans="1:12">
      <c r="A20678" s="189"/>
      <c r="B20678" s="189"/>
      <c r="C20678" s="189"/>
      <c r="D20678" s="189"/>
      <c r="E20678" s="35"/>
      <c r="F20678" s="36"/>
      <c r="J20678" s="31">
        <v>3</v>
      </c>
      <c r="K20678" s="33" t="s">
        <v>54</v>
      </c>
      <c r="L20678" s="31" t="s">
        <v>55</v>
      </c>
    </row>
    <row r="20679" spans="1:12">
      <c r="A20679" s="189"/>
      <c r="B20679" s="189"/>
      <c r="C20679" s="189"/>
      <c r="D20679" s="189"/>
      <c r="J20679" s="31">
        <v>4</v>
      </c>
      <c r="K20679" s="33" t="s">
        <v>56</v>
      </c>
      <c r="L20679" s="31" t="s">
        <v>57</v>
      </c>
    </row>
    <row r="20680" spans="1:12">
      <c r="A20680" s="255" t="e">
        <f>TRIM(D20695&amp;E20695&amp;D20696&amp;E20696&amp;D20697&amp;E20697&amp;D20698&amp;E20698&amp;D20699&amp;E20699&amp;D20700&amp;E20700&amp;D20701&amp;E20701&amp;" Rupiah")</f>
        <v>#REF!</v>
      </c>
      <c r="B20680" s="255"/>
      <c r="C20680" s="255"/>
      <c r="D20680" s="255"/>
      <c r="E20680" s="35"/>
      <c r="F20680" s="36"/>
      <c r="J20680" s="31">
        <v>5</v>
      </c>
      <c r="K20680" s="33" t="s">
        <v>58</v>
      </c>
      <c r="L20680" s="31" t="s">
        <v>59</v>
      </c>
    </row>
    <row r="20681" spans="1:12">
      <c r="A20681" s="35"/>
      <c r="B20681" s="35"/>
      <c r="C20681" s="35"/>
      <c r="D20681" s="35"/>
      <c r="E20681" s="35"/>
      <c r="F20681" s="36"/>
      <c r="J20681" s="31">
        <v>6</v>
      </c>
      <c r="K20681" s="33" t="s">
        <v>60</v>
      </c>
      <c r="L20681" s="31" t="s">
        <v>61</v>
      </c>
    </row>
    <row r="20682" spans="1:12">
      <c r="J20682" s="31">
        <v>7</v>
      </c>
      <c r="K20682" s="33" t="s">
        <v>62</v>
      </c>
      <c r="L20682" s="31" t="s">
        <v>63</v>
      </c>
    </row>
    <row r="20683" spans="1:12">
      <c r="J20683" s="31">
        <v>8</v>
      </c>
      <c r="K20683" s="33" t="s">
        <v>64</v>
      </c>
      <c r="L20683" s="31" t="s">
        <v>65</v>
      </c>
    </row>
    <row r="20684" spans="1:12">
      <c r="A20684" s="38" t="s">
        <v>66</v>
      </c>
      <c r="J20684" s="31">
        <v>9</v>
      </c>
      <c r="K20684" s="33" t="s">
        <v>67</v>
      </c>
      <c r="L20684" s="31" t="s">
        <v>68</v>
      </c>
    </row>
    <row r="20685" spans="1:12">
      <c r="A20685" s="31" t="s">
        <v>69</v>
      </c>
      <c r="B20685" s="39" t="e">
        <f>TRUNC(A20673/100000000)</f>
        <v>#REF!</v>
      </c>
      <c r="C20685" s="31" t="e">
        <f>B20685*100000000</f>
        <v>#REF!</v>
      </c>
      <c r="D20685" s="31" t="e">
        <f t="shared" ref="D20685:D20691" si="2000">IF(B20685&lt;1,"",VLOOKUP(B20685,$J$3:$K$102,2))</f>
        <v>#REF!</v>
      </c>
      <c r="E20685" s="31" t="e">
        <f>IF(B20685&lt;1,"",IF(B20685&gt;1," Hundreds "," Hundred "))</f>
        <v>#REF!</v>
      </c>
      <c r="J20685" s="31">
        <v>10</v>
      </c>
      <c r="K20685" s="33" t="s">
        <v>70</v>
      </c>
      <c r="L20685" s="31" t="s">
        <v>71</v>
      </c>
    </row>
    <row r="20686" spans="1:12">
      <c r="A20686" s="31" t="s">
        <v>72</v>
      </c>
      <c r="B20686" s="39" t="e">
        <f>TRUNC((A20673-C20685)/1000000)</f>
        <v>#REF!</v>
      </c>
      <c r="C20686" s="31" t="e">
        <f>B20686*1000000</f>
        <v>#REF!</v>
      </c>
      <c r="D20686" s="31" t="e">
        <f t="shared" si="2000"/>
        <v>#REF!</v>
      </c>
      <c r="E20686" s="31" t="e">
        <f>IF(B20685+B20686=0,"",IF(B20686=1," Million "," Millions "))</f>
        <v>#REF!</v>
      </c>
      <c r="J20686" s="31">
        <v>11</v>
      </c>
      <c r="K20686" s="33" t="s">
        <v>73</v>
      </c>
      <c r="L20686" s="31" t="s">
        <v>74</v>
      </c>
    </row>
    <row r="20687" spans="1:12">
      <c r="A20687" s="31" t="s">
        <v>75</v>
      </c>
      <c r="B20687" s="39" t="e">
        <f>TRUNC((A20673-SUM(C20685:C20686))/100000)</f>
        <v>#REF!</v>
      </c>
      <c r="C20687" s="31" t="e">
        <f>B20687*100000</f>
        <v>#REF!</v>
      </c>
      <c r="D20687" s="31" t="e">
        <f t="shared" si="2000"/>
        <v>#REF!</v>
      </c>
      <c r="E20687" s="31" t="e">
        <f>IF(B20687&lt;1,"",IF(B20687&gt;1," Hundreds "," Hundred "))</f>
        <v>#REF!</v>
      </c>
      <c r="J20687" s="31">
        <v>12</v>
      </c>
      <c r="K20687" s="33" t="s">
        <v>76</v>
      </c>
      <c r="L20687" s="31" t="str">
        <f t="shared" ref="L20687:L20694" si="2001">L20677&amp;" Belas"</f>
        <v>Dua Belas</v>
      </c>
    </row>
    <row r="20688" spans="1:12">
      <c r="A20688" s="33" t="s">
        <v>77</v>
      </c>
      <c r="B20688" s="40" t="e">
        <f>TRUNC((A20673-SUM(C20685:C20687))/1000)</f>
        <v>#REF!</v>
      </c>
      <c r="C20688" s="31" t="e">
        <f>B20688*1000</f>
        <v>#REF!</v>
      </c>
      <c r="D20688" s="31" t="e">
        <f t="shared" si="2000"/>
        <v>#REF!</v>
      </c>
      <c r="E20688" s="31" t="e">
        <f>IF(B20687+B20688=0,"",IF(B20688=1," Thousand "," Thousands "))</f>
        <v>#REF!</v>
      </c>
      <c r="J20688" s="31">
        <v>13</v>
      </c>
      <c r="K20688" s="33" t="s">
        <v>78</v>
      </c>
      <c r="L20688" s="31" t="str">
        <f t="shared" si="2001"/>
        <v>Tiga Belas</v>
      </c>
    </row>
    <row r="20689" spans="1:12">
      <c r="A20689" s="33" t="s">
        <v>79</v>
      </c>
      <c r="B20689" s="40" t="e">
        <f>TRUNC((A20673-SUM(C20685:C20688))/100)</f>
        <v>#REF!</v>
      </c>
      <c r="C20689" s="31" t="e">
        <f>B20689*100</f>
        <v>#REF!</v>
      </c>
      <c r="D20689" s="31" t="e">
        <f t="shared" si="2000"/>
        <v>#REF!</v>
      </c>
      <c r="E20689" s="31" t="e">
        <f>IF(B20689&lt;1,"",IF(B20689&gt;1," Hundreds "," Hundred "))</f>
        <v>#REF!</v>
      </c>
      <c r="J20689" s="31">
        <v>14</v>
      </c>
      <c r="K20689" s="33" t="s">
        <v>80</v>
      </c>
      <c r="L20689" s="31" t="str">
        <f t="shared" si="2001"/>
        <v>Empat Belas</v>
      </c>
    </row>
    <row r="20690" spans="1:12">
      <c r="A20690" s="33" t="s">
        <v>81</v>
      </c>
      <c r="B20690" s="41" t="e">
        <f>TRUNC((A20673-SUM(C20685:C20689)))</f>
        <v>#REF!</v>
      </c>
      <c r="C20690" s="42" t="e">
        <f>B20690</f>
        <v>#REF!</v>
      </c>
      <c r="D20690" s="31" t="e">
        <f t="shared" si="2000"/>
        <v>#REF!</v>
      </c>
      <c r="E20690" s="31" t="e">
        <f>IF(SUM(C20685:C20690)&lt;1,"",IF(B20691&lt;1,""," And "))</f>
        <v>#REF!</v>
      </c>
      <c r="J20690" s="31">
        <v>15</v>
      </c>
      <c r="K20690" s="33" t="s">
        <v>82</v>
      </c>
      <c r="L20690" s="31" t="str">
        <f t="shared" si="2001"/>
        <v>Lima Belas</v>
      </c>
    </row>
    <row r="20691" spans="1:12">
      <c r="A20691" s="33" t="s">
        <v>83</v>
      </c>
      <c r="B20691" s="40" t="e">
        <f>ROUND(A20673-SUM(C20685:C20690),2)*100</f>
        <v>#REF!</v>
      </c>
      <c r="D20691" s="43" t="e">
        <f t="shared" si="2000"/>
        <v>#REF!</v>
      </c>
      <c r="E20691" s="31" t="e">
        <f>IF(B20691&lt;1,"",IF(B20691=1," Cent "," Cents "))</f>
        <v>#REF!</v>
      </c>
      <c r="J20691" s="31">
        <v>16</v>
      </c>
      <c r="K20691" s="33" t="s">
        <v>84</v>
      </c>
      <c r="L20691" s="31" t="str">
        <f t="shared" si="2001"/>
        <v>Enam Belas</v>
      </c>
    </row>
    <row r="20692" spans="1:12">
      <c r="J20692" s="31">
        <v>17</v>
      </c>
      <c r="K20692" s="33" t="s">
        <v>85</v>
      </c>
      <c r="L20692" s="31" t="str">
        <f t="shared" si="2001"/>
        <v>Tujuh Belas</v>
      </c>
    </row>
    <row r="20693" spans="1:12">
      <c r="A20693" s="44"/>
      <c r="J20693" s="31">
        <v>18</v>
      </c>
      <c r="K20693" s="33" t="s">
        <v>86</v>
      </c>
      <c r="L20693" s="31" t="str">
        <f t="shared" si="2001"/>
        <v>Delapan Belas</v>
      </c>
    </row>
    <row r="20694" spans="1:12">
      <c r="A20694" s="38" t="s">
        <v>87</v>
      </c>
      <c r="J20694" s="31">
        <v>19</v>
      </c>
      <c r="K20694" s="33" t="s">
        <v>88</v>
      </c>
      <c r="L20694" s="31" t="str">
        <f t="shared" si="2001"/>
        <v>Sembilan Belas</v>
      </c>
    </row>
    <row r="20695" spans="1:12">
      <c r="A20695" s="31" t="s">
        <v>69</v>
      </c>
      <c r="B20695" s="39" t="e">
        <f>TRUNC(A20673/100000000)</f>
        <v>#REF!</v>
      </c>
      <c r="C20695" s="31" t="e">
        <f>B20695*100000000</f>
        <v>#REF!</v>
      </c>
      <c r="D20695" s="31" t="e">
        <f>IF(B20695&lt;1,"",IF(B20695=1,"",VLOOKUP(B20695,$J$3:$L$102,3)))</f>
        <v>#REF!</v>
      </c>
      <c r="E20695" s="31" t="e">
        <f>IF(B20695&lt;1,"",IF(B20695=1,"Seratus "," Ratus "))</f>
        <v>#REF!</v>
      </c>
      <c r="J20695" s="31">
        <v>20</v>
      </c>
      <c r="K20695" s="33" t="s">
        <v>89</v>
      </c>
      <c r="L20695" s="31" t="s">
        <v>90</v>
      </c>
    </row>
    <row r="20696" spans="1:12">
      <c r="A20696" s="31" t="s">
        <v>72</v>
      </c>
      <c r="B20696" s="39" t="e">
        <f>TRUNC((A20673-C20695)/1000000)</f>
        <v>#REF!</v>
      </c>
      <c r="C20696" s="31" t="e">
        <f>B20696*1000000</f>
        <v>#REF!</v>
      </c>
      <c r="D20696" s="31" t="e">
        <f>IF(B20696&lt;1,"",VLOOKUP(B20696,$J$3:$L$102,3))</f>
        <v>#REF!</v>
      </c>
      <c r="E20696" s="31" t="e">
        <f>IF(B20695+B20696=0,""," Juta ")</f>
        <v>#REF!</v>
      </c>
      <c r="J20696" s="31">
        <v>21</v>
      </c>
      <c r="K20696" s="33" t="s">
        <v>91</v>
      </c>
      <c r="L20696" s="31" t="str">
        <f t="shared" ref="L20696:L20704" si="2002">$L$23&amp;" "&amp;L20676</f>
        <v>Dua Puluh Satu</v>
      </c>
    </row>
    <row r="20697" spans="1:12">
      <c r="A20697" s="31" t="s">
        <v>75</v>
      </c>
      <c r="B20697" s="39" t="e">
        <f>TRUNC((A20673-SUM(C20695:C20696))/100000)</f>
        <v>#REF!</v>
      </c>
      <c r="C20697" s="31" t="e">
        <f>B20697*100000</f>
        <v>#REF!</v>
      </c>
      <c r="D20697" s="31" t="e">
        <f>IF(B20697&lt;1,"",IF(B20697=1,"",VLOOKUP(B20697,$J$3:$L$102,3)))</f>
        <v>#REF!</v>
      </c>
      <c r="E20697" s="31" t="e">
        <f>IF(B20697&lt;1,"",IF(B20697=1," Seratus "," Ratus "))</f>
        <v>#REF!</v>
      </c>
      <c r="J20697" s="31">
        <v>22</v>
      </c>
      <c r="K20697" s="33" t="s">
        <v>92</v>
      </c>
      <c r="L20697" s="31" t="str">
        <f t="shared" si="2002"/>
        <v>Dua Puluh Dua</v>
      </c>
    </row>
    <row r="20698" spans="1:12">
      <c r="A20698" s="33" t="s">
        <v>77</v>
      </c>
      <c r="B20698" s="40" t="e">
        <f>TRUNC((A20673-SUM(C20695:C20697))/1000)</f>
        <v>#REF!</v>
      </c>
      <c r="C20698" s="31" t="e">
        <f>B20698*1000</f>
        <v>#REF!</v>
      </c>
      <c r="D20698" s="31" t="e">
        <f>IF(B20698&lt;1,"",IF(B20698=1,"",VLOOKUP(B20698,$J$3:$L$102,3)))</f>
        <v>#REF!</v>
      </c>
      <c r="E20698" s="31" t="e">
        <f>IF(B20697+B20698&lt;1,"",IF(B20698=1," Seribu "," Ribu "))</f>
        <v>#REF!</v>
      </c>
      <c r="J20698" s="31">
        <v>23</v>
      </c>
      <c r="K20698" s="33" t="s">
        <v>93</v>
      </c>
      <c r="L20698" s="31" t="str">
        <f t="shared" si="2002"/>
        <v>Dua Puluh Tiga</v>
      </c>
    </row>
    <row r="20699" spans="1:12">
      <c r="A20699" s="33" t="s">
        <v>79</v>
      </c>
      <c r="B20699" s="40" t="e">
        <f>TRUNC((A20673-SUM(C20695:C20698))/100)</f>
        <v>#REF!</v>
      </c>
      <c r="C20699" s="31" t="e">
        <f>B20699*100</f>
        <v>#REF!</v>
      </c>
      <c r="D20699" s="31" t="e">
        <f>IF(B20699&lt;1,"",IF(B20699=1,"",VLOOKUP(B20699,$J$3:$L$102,3)))</f>
        <v>#REF!</v>
      </c>
      <c r="E20699" s="31" t="e">
        <f>IF(B20699&lt;1,"",IF(B20699=1," Seratus "," Ratus "))</f>
        <v>#REF!</v>
      </c>
      <c r="J20699" s="31">
        <v>24</v>
      </c>
      <c r="K20699" s="33" t="s">
        <v>94</v>
      </c>
      <c r="L20699" s="31" t="str">
        <f t="shared" si="2002"/>
        <v>Dua Puluh Empat</v>
      </c>
    </row>
    <row r="20700" spans="1:12">
      <c r="A20700" s="33" t="s">
        <v>81</v>
      </c>
      <c r="B20700" s="41" t="e">
        <f>TRUNC((A20673-SUM(C20695:C20699)))</f>
        <v>#REF!</v>
      </c>
      <c r="C20700" s="42" t="e">
        <f>B20700</f>
        <v>#REF!</v>
      </c>
      <c r="D20700" s="31" t="e">
        <f>IF(B20700&lt;1,"",VLOOKUP(B20700,$J$3:$L$102,3))</f>
        <v>#REF!</v>
      </c>
      <c r="E20700" s="31" t="e">
        <f>IF(SUM(C20695:C20700)&lt;1,"",IF(B20701&lt;1,""," Dan "))</f>
        <v>#REF!</v>
      </c>
      <c r="J20700" s="31">
        <v>25</v>
      </c>
      <c r="K20700" s="33" t="s">
        <v>95</v>
      </c>
      <c r="L20700" s="31" t="str">
        <f t="shared" si="2002"/>
        <v>Dua Puluh Lima</v>
      </c>
    </row>
    <row r="20701" spans="1:12">
      <c r="A20701" s="33" t="s">
        <v>83</v>
      </c>
      <c r="B20701" s="40" t="e">
        <f>ROUND(A20673-SUM(C20695:C20700),2)*100</f>
        <v>#REF!</v>
      </c>
      <c r="D20701" s="31" t="e">
        <f>IF(B20701&lt;1,"",VLOOKUP(B20701,$J$3:$L$102,3))</f>
        <v>#REF!</v>
      </c>
      <c r="E20701" s="31" t="e">
        <f>IF(B20701&lt;1,""," Sen ")</f>
        <v>#REF!</v>
      </c>
      <c r="J20701" s="31">
        <v>26</v>
      </c>
      <c r="K20701" s="33" t="s">
        <v>96</v>
      </c>
      <c r="L20701" s="31" t="str">
        <f t="shared" si="2002"/>
        <v>Dua Puluh Enam</v>
      </c>
    </row>
    <row r="20702" spans="1:12">
      <c r="J20702" s="31">
        <v>27</v>
      </c>
      <c r="K20702" s="33" t="s">
        <v>97</v>
      </c>
      <c r="L20702" s="31" t="str">
        <f t="shared" si="2002"/>
        <v>Dua Puluh Tujuh</v>
      </c>
    </row>
    <row r="20703" spans="1:12">
      <c r="J20703" s="31">
        <v>28</v>
      </c>
      <c r="K20703" s="33" t="s">
        <v>98</v>
      </c>
      <c r="L20703" s="31" t="str">
        <f t="shared" si="2002"/>
        <v>Dua Puluh Delapan</v>
      </c>
    </row>
    <row r="20704" spans="1:12">
      <c r="J20704" s="31">
        <v>29</v>
      </c>
      <c r="K20704" s="33" t="s">
        <v>99</v>
      </c>
      <c r="L20704" s="31" t="str">
        <f t="shared" si="2002"/>
        <v>Dua Puluh Sembilan</v>
      </c>
    </row>
    <row r="20705" spans="1:12">
      <c r="J20705" s="31">
        <v>30</v>
      </c>
      <c r="K20705" s="33" t="s">
        <v>100</v>
      </c>
      <c r="L20705" s="31" t="s">
        <v>101</v>
      </c>
    </row>
    <row r="20706" spans="1:12">
      <c r="J20706" s="31">
        <v>31</v>
      </c>
      <c r="K20706" s="33" t="s">
        <v>102</v>
      </c>
      <c r="L20706" s="31" t="str">
        <f t="shared" ref="L20706:L20714" si="2003">$L$33&amp;" "&amp;L20676</f>
        <v>Tiga Puluh Satu</v>
      </c>
    </row>
    <row r="20707" spans="1:12">
      <c r="J20707" s="31">
        <v>32</v>
      </c>
      <c r="K20707" s="33" t="s">
        <v>103</v>
      </c>
      <c r="L20707" s="31" t="str">
        <f t="shared" si="2003"/>
        <v>Tiga Puluh Dua</v>
      </c>
    </row>
    <row r="20708" spans="1:12">
      <c r="J20708" s="31">
        <v>33</v>
      </c>
      <c r="K20708" s="33" t="s">
        <v>104</v>
      </c>
      <c r="L20708" s="31" t="str">
        <f t="shared" si="2003"/>
        <v>Tiga Puluh Tiga</v>
      </c>
    </row>
    <row r="20709" spans="1:12">
      <c r="J20709" s="31">
        <v>34</v>
      </c>
      <c r="K20709" s="33" t="s">
        <v>105</v>
      </c>
      <c r="L20709" s="31" t="str">
        <f t="shared" si="2003"/>
        <v>Tiga Puluh Empat</v>
      </c>
    </row>
    <row r="20710" spans="1:12">
      <c r="J20710" s="31">
        <v>35</v>
      </c>
      <c r="K20710" s="33" t="s">
        <v>106</v>
      </c>
      <c r="L20710" s="31" t="str">
        <f t="shared" si="2003"/>
        <v>Tiga Puluh Lima</v>
      </c>
    </row>
    <row r="20711" spans="1:12">
      <c r="J20711" s="31">
        <v>36</v>
      </c>
      <c r="K20711" s="33" t="s">
        <v>107</v>
      </c>
      <c r="L20711" s="31" t="str">
        <f t="shared" si="2003"/>
        <v>Tiga Puluh Enam</v>
      </c>
    </row>
    <row r="20712" spans="1:12">
      <c r="J20712" s="31">
        <v>37</v>
      </c>
      <c r="K20712" s="33" t="s">
        <v>108</v>
      </c>
      <c r="L20712" s="31" t="str">
        <f t="shared" si="2003"/>
        <v>Tiga Puluh Tujuh</v>
      </c>
    </row>
    <row r="20713" spans="1:12">
      <c r="J20713" s="31">
        <v>38</v>
      </c>
      <c r="K20713" s="33" t="s">
        <v>109</v>
      </c>
      <c r="L20713" s="31" t="str">
        <f t="shared" si="2003"/>
        <v>Tiga Puluh Delapan</v>
      </c>
    </row>
    <row r="20714" spans="1:12">
      <c r="J20714" s="31">
        <v>39</v>
      </c>
      <c r="K20714" s="33" t="s">
        <v>110</v>
      </c>
      <c r="L20714" s="31" t="str">
        <f t="shared" si="2003"/>
        <v>Tiga Puluh Sembilan</v>
      </c>
    </row>
    <row r="20715" spans="1:12">
      <c r="B20715" s="35"/>
      <c r="C20715" s="35"/>
      <c r="D20715" s="35"/>
      <c r="J20715" s="31">
        <v>40</v>
      </c>
      <c r="K20715" s="33" t="s">
        <v>111</v>
      </c>
      <c r="L20715" s="31" t="s">
        <v>112</v>
      </c>
    </row>
    <row r="20716" spans="1:12">
      <c r="A20716" s="35"/>
      <c r="B20716" s="35"/>
      <c r="C20716" s="35"/>
      <c r="D20716" s="35"/>
      <c r="J20716" s="31">
        <v>41</v>
      </c>
      <c r="K20716" s="33" t="s">
        <v>113</v>
      </c>
      <c r="L20716" s="31" t="str">
        <f t="shared" ref="L20716:L20724" si="2004">$L$43&amp;" "&amp;L20676</f>
        <v>Empat Puluh Satu</v>
      </c>
    </row>
    <row r="20717" spans="1:12">
      <c r="J20717" s="31">
        <v>42</v>
      </c>
      <c r="K20717" s="33" t="s">
        <v>114</v>
      </c>
      <c r="L20717" s="31" t="str">
        <f t="shared" si="2004"/>
        <v>Empat Puluh Dua</v>
      </c>
    </row>
    <row r="20718" spans="1:12">
      <c r="A20718" s="38"/>
      <c r="J20718" s="31">
        <v>43</v>
      </c>
      <c r="K20718" s="33" t="s">
        <v>115</v>
      </c>
      <c r="L20718" s="31" t="str">
        <f t="shared" si="2004"/>
        <v>Empat Puluh Tiga</v>
      </c>
    </row>
    <row r="20719" spans="1:12">
      <c r="J20719" s="31">
        <v>44</v>
      </c>
      <c r="K20719" s="33" t="s">
        <v>116</v>
      </c>
      <c r="L20719" s="31" t="str">
        <f t="shared" si="2004"/>
        <v>Empat Puluh Empat</v>
      </c>
    </row>
    <row r="20720" spans="1:12">
      <c r="J20720" s="31">
        <v>45</v>
      </c>
      <c r="K20720" s="33" t="s">
        <v>117</v>
      </c>
      <c r="L20720" s="31" t="str">
        <f t="shared" si="2004"/>
        <v>Empat Puluh Lima</v>
      </c>
    </row>
    <row r="20721" spans="10:12">
      <c r="J20721" s="31">
        <v>46</v>
      </c>
      <c r="K20721" s="33" t="s">
        <v>118</v>
      </c>
      <c r="L20721" s="31" t="str">
        <f t="shared" si="2004"/>
        <v>Empat Puluh Enam</v>
      </c>
    </row>
    <row r="20722" spans="10:12">
      <c r="J20722" s="31">
        <v>47</v>
      </c>
      <c r="K20722" s="33" t="s">
        <v>119</v>
      </c>
      <c r="L20722" s="31" t="str">
        <f t="shared" si="2004"/>
        <v>Empat Puluh Tujuh</v>
      </c>
    </row>
    <row r="20723" spans="10:12">
      <c r="J20723" s="31">
        <v>48</v>
      </c>
      <c r="K20723" s="33" t="s">
        <v>120</v>
      </c>
      <c r="L20723" s="31" t="str">
        <f t="shared" si="2004"/>
        <v>Empat Puluh Delapan</v>
      </c>
    </row>
    <row r="20724" spans="10:12">
      <c r="J20724" s="31">
        <v>49</v>
      </c>
      <c r="K20724" s="33" t="s">
        <v>121</v>
      </c>
      <c r="L20724" s="31" t="str">
        <f t="shared" si="2004"/>
        <v>Empat Puluh Sembilan</v>
      </c>
    </row>
    <row r="20725" spans="10:12">
      <c r="J20725" s="31">
        <v>50</v>
      </c>
      <c r="K20725" s="33" t="s">
        <v>122</v>
      </c>
      <c r="L20725" s="31" t="s">
        <v>123</v>
      </c>
    </row>
    <row r="20726" spans="10:12">
      <c r="J20726" s="31">
        <v>51</v>
      </c>
      <c r="K20726" s="33" t="s">
        <v>124</v>
      </c>
      <c r="L20726" s="31" t="str">
        <f t="shared" ref="L20726:L20734" si="2005">$L$53&amp;" "&amp;L20676</f>
        <v>Lima Puluh Satu</v>
      </c>
    </row>
    <row r="20727" spans="10:12">
      <c r="J20727" s="31">
        <v>52</v>
      </c>
      <c r="K20727" s="33" t="s">
        <v>125</v>
      </c>
      <c r="L20727" s="31" t="str">
        <f t="shared" si="2005"/>
        <v>Lima Puluh Dua</v>
      </c>
    </row>
    <row r="20728" spans="10:12">
      <c r="J20728" s="31">
        <v>53</v>
      </c>
      <c r="K20728" s="33" t="s">
        <v>126</v>
      </c>
      <c r="L20728" s="31" t="str">
        <f t="shared" si="2005"/>
        <v>Lima Puluh Tiga</v>
      </c>
    </row>
    <row r="20729" spans="10:12">
      <c r="J20729" s="31">
        <v>54</v>
      </c>
      <c r="K20729" s="33" t="s">
        <v>127</v>
      </c>
      <c r="L20729" s="31" t="str">
        <f t="shared" si="2005"/>
        <v>Lima Puluh Empat</v>
      </c>
    </row>
    <row r="20730" spans="10:12">
      <c r="J20730" s="31">
        <v>55</v>
      </c>
      <c r="K20730" s="33" t="s">
        <v>128</v>
      </c>
      <c r="L20730" s="31" t="str">
        <f t="shared" si="2005"/>
        <v>Lima Puluh Lima</v>
      </c>
    </row>
    <row r="20731" spans="10:12">
      <c r="J20731" s="31">
        <v>56</v>
      </c>
      <c r="K20731" s="33" t="s">
        <v>129</v>
      </c>
      <c r="L20731" s="31" t="str">
        <f t="shared" si="2005"/>
        <v>Lima Puluh Enam</v>
      </c>
    </row>
    <row r="20732" spans="10:12">
      <c r="J20732" s="31">
        <v>57</v>
      </c>
      <c r="K20732" s="33" t="s">
        <v>130</v>
      </c>
      <c r="L20732" s="31" t="str">
        <f t="shared" si="2005"/>
        <v>Lima Puluh Tujuh</v>
      </c>
    </row>
    <row r="20733" spans="10:12">
      <c r="J20733" s="31">
        <v>58</v>
      </c>
      <c r="K20733" s="33" t="s">
        <v>131</v>
      </c>
      <c r="L20733" s="31" t="str">
        <f t="shared" si="2005"/>
        <v>Lima Puluh Delapan</v>
      </c>
    </row>
    <row r="20734" spans="10:12">
      <c r="J20734" s="31">
        <v>59</v>
      </c>
      <c r="K20734" s="33" t="s">
        <v>132</v>
      </c>
      <c r="L20734" s="31" t="str">
        <f t="shared" si="2005"/>
        <v>Lima Puluh Sembilan</v>
      </c>
    </row>
    <row r="20735" spans="10:12">
      <c r="J20735" s="31">
        <v>60</v>
      </c>
      <c r="K20735" s="33" t="s">
        <v>133</v>
      </c>
      <c r="L20735" s="31" t="s">
        <v>134</v>
      </c>
    </row>
    <row r="20736" spans="10:12">
      <c r="J20736" s="31">
        <v>61</v>
      </c>
      <c r="K20736" s="33" t="s">
        <v>135</v>
      </c>
      <c r="L20736" s="31" t="str">
        <f t="shared" ref="L20736:L20744" si="2006">$L$63&amp;" "&amp;L20676</f>
        <v>Enam Puluh Satu</v>
      </c>
    </row>
    <row r="20737" spans="10:12">
      <c r="J20737" s="31">
        <v>62</v>
      </c>
      <c r="K20737" s="33" t="s">
        <v>136</v>
      </c>
      <c r="L20737" s="31" t="str">
        <f t="shared" si="2006"/>
        <v>Enam Puluh Dua</v>
      </c>
    </row>
    <row r="20738" spans="10:12">
      <c r="J20738" s="31">
        <v>63</v>
      </c>
      <c r="K20738" s="33" t="s">
        <v>137</v>
      </c>
      <c r="L20738" s="31" t="str">
        <f t="shared" si="2006"/>
        <v>Enam Puluh Tiga</v>
      </c>
    </row>
    <row r="20739" spans="10:12">
      <c r="J20739" s="31">
        <v>64</v>
      </c>
      <c r="K20739" s="33" t="s">
        <v>138</v>
      </c>
      <c r="L20739" s="31" t="str">
        <f t="shared" si="2006"/>
        <v>Enam Puluh Empat</v>
      </c>
    </row>
    <row r="20740" spans="10:12">
      <c r="J20740" s="31">
        <v>65</v>
      </c>
      <c r="K20740" s="33" t="s">
        <v>139</v>
      </c>
      <c r="L20740" s="31" t="str">
        <f t="shared" si="2006"/>
        <v>Enam Puluh Lima</v>
      </c>
    </row>
    <row r="20741" spans="10:12">
      <c r="J20741" s="31">
        <v>66</v>
      </c>
      <c r="K20741" s="33" t="s">
        <v>140</v>
      </c>
      <c r="L20741" s="31" t="str">
        <f t="shared" si="2006"/>
        <v>Enam Puluh Enam</v>
      </c>
    </row>
    <row r="20742" spans="10:12">
      <c r="J20742" s="31">
        <v>67</v>
      </c>
      <c r="K20742" s="33" t="s">
        <v>141</v>
      </c>
      <c r="L20742" s="31" t="str">
        <f t="shared" si="2006"/>
        <v>Enam Puluh Tujuh</v>
      </c>
    </row>
    <row r="20743" spans="10:12">
      <c r="J20743" s="31">
        <v>68</v>
      </c>
      <c r="K20743" s="33" t="s">
        <v>142</v>
      </c>
      <c r="L20743" s="31" t="str">
        <f t="shared" si="2006"/>
        <v>Enam Puluh Delapan</v>
      </c>
    </row>
    <row r="20744" spans="10:12">
      <c r="J20744" s="31">
        <v>69</v>
      </c>
      <c r="K20744" s="33" t="s">
        <v>143</v>
      </c>
      <c r="L20744" s="31" t="str">
        <f t="shared" si="2006"/>
        <v>Enam Puluh Sembilan</v>
      </c>
    </row>
    <row r="20745" spans="10:12">
      <c r="J20745" s="31">
        <v>70</v>
      </c>
      <c r="K20745" s="33" t="s">
        <v>144</v>
      </c>
      <c r="L20745" s="31" t="s">
        <v>145</v>
      </c>
    </row>
    <row r="20746" spans="10:12">
      <c r="J20746" s="31">
        <v>71</v>
      </c>
      <c r="K20746" s="33" t="s">
        <v>146</v>
      </c>
      <c r="L20746" s="31" t="str">
        <f t="shared" ref="L20746:L20754" si="2007">$L$73&amp;" "&amp;L20676</f>
        <v>Tujuh Puluh Satu</v>
      </c>
    </row>
    <row r="20747" spans="10:12">
      <c r="J20747" s="31">
        <v>72</v>
      </c>
      <c r="K20747" s="33" t="s">
        <v>147</v>
      </c>
      <c r="L20747" s="31" t="str">
        <f t="shared" si="2007"/>
        <v>Tujuh Puluh Dua</v>
      </c>
    </row>
    <row r="20748" spans="10:12">
      <c r="J20748" s="31">
        <v>73</v>
      </c>
      <c r="K20748" s="33" t="s">
        <v>148</v>
      </c>
      <c r="L20748" s="31" t="str">
        <f t="shared" si="2007"/>
        <v>Tujuh Puluh Tiga</v>
      </c>
    </row>
    <row r="20749" spans="10:12">
      <c r="J20749" s="31">
        <v>74</v>
      </c>
      <c r="K20749" s="33" t="s">
        <v>149</v>
      </c>
      <c r="L20749" s="31" t="str">
        <f t="shared" si="2007"/>
        <v>Tujuh Puluh Empat</v>
      </c>
    </row>
    <row r="20750" spans="10:12">
      <c r="J20750" s="31">
        <v>75</v>
      </c>
      <c r="K20750" s="33" t="s">
        <v>150</v>
      </c>
      <c r="L20750" s="31" t="str">
        <f t="shared" si="2007"/>
        <v>Tujuh Puluh Lima</v>
      </c>
    </row>
    <row r="20751" spans="10:12">
      <c r="J20751" s="31">
        <v>76</v>
      </c>
      <c r="K20751" s="33" t="s">
        <v>151</v>
      </c>
      <c r="L20751" s="31" t="str">
        <f t="shared" si="2007"/>
        <v>Tujuh Puluh Enam</v>
      </c>
    </row>
    <row r="20752" spans="10:12">
      <c r="J20752" s="31">
        <v>77</v>
      </c>
      <c r="K20752" s="33" t="s">
        <v>152</v>
      </c>
      <c r="L20752" s="31" t="str">
        <f t="shared" si="2007"/>
        <v>Tujuh Puluh Tujuh</v>
      </c>
    </row>
    <row r="20753" spans="10:12">
      <c r="J20753" s="31">
        <v>78</v>
      </c>
      <c r="K20753" s="33" t="s">
        <v>153</v>
      </c>
      <c r="L20753" s="31" t="str">
        <f t="shared" si="2007"/>
        <v>Tujuh Puluh Delapan</v>
      </c>
    </row>
    <row r="20754" spans="10:12">
      <c r="J20754" s="31">
        <v>79</v>
      </c>
      <c r="K20754" s="33" t="s">
        <v>154</v>
      </c>
      <c r="L20754" s="31" t="str">
        <f t="shared" si="2007"/>
        <v>Tujuh Puluh Sembilan</v>
      </c>
    </row>
    <row r="20755" spans="10:12">
      <c r="J20755" s="31">
        <v>80</v>
      </c>
      <c r="K20755" s="33" t="s">
        <v>155</v>
      </c>
      <c r="L20755" s="31" t="s">
        <v>156</v>
      </c>
    </row>
    <row r="20756" spans="10:12">
      <c r="J20756" s="31">
        <v>81</v>
      </c>
      <c r="K20756" s="33" t="s">
        <v>157</v>
      </c>
      <c r="L20756" s="31" t="str">
        <f t="shared" ref="L20756:L20764" si="2008">$L$83&amp;" "&amp;L20676</f>
        <v>Delapan Puluh Satu</v>
      </c>
    </row>
    <row r="20757" spans="10:12">
      <c r="J20757" s="31">
        <v>82</v>
      </c>
      <c r="K20757" s="33" t="s">
        <v>158</v>
      </c>
      <c r="L20757" s="31" t="str">
        <f t="shared" si="2008"/>
        <v>Delapan Puluh Dua</v>
      </c>
    </row>
    <row r="20758" spans="10:12">
      <c r="J20758" s="31">
        <v>83</v>
      </c>
      <c r="K20758" s="33" t="s">
        <v>159</v>
      </c>
      <c r="L20758" s="31" t="str">
        <f t="shared" si="2008"/>
        <v>Delapan Puluh Tiga</v>
      </c>
    </row>
    <row r="20759" spans="10:12">
      <c r="J20759" s="31">
        <v>84</v>
      </c>
      <c r="K20759" s="33" t="s">
        <v>160</v>
      </c>
      <c r="L20759" s="31" t="str">
        <f t="shared" si="2008"/>
        <v>Delapan Puluh Empat</v>
      </c>
    </row>
    <row r="20760" spans="10:12">
      <c r="J20760" s="31">
        <v>85</v>
      </c>
      <c r="K20760" s="33" t="s">
        <v>161</v>
      </c>
      <c r="L20760" s="31" t="str">
        <f t="shared" si="2008"/>
        <v>Delapan Puluh Lima</v>
      </c>
    </row>
    <row r="20761" spans="10:12">
      <c r="J20761" s="31">
        <v>86</v>
      </c>
      <c r="K20761" s="33" t="s">
        <v>162</v>
      </c>
      <c r="L20761" s="31" t="str">
        <f t="shared" si="2008"/>
        <v>Delapan Puluh Enam</v>
      </c>
    </row>
    <row r="20762" spans="10:12">
      <c r="J20762" s="31">
        <v>87</v>
      </c>
      <c r="K20762" s="33" t="s">
        <v>163</v>
      </c>
      <c r="L20762" s="31" t="str">
        <f t="shared" si="2008"/>
        <v>Delapan Puluh Tujuh</v>
      </c>
    </row>
    <row r="20763" spans="10:12">
      <c r="J20763" s="31">
        <v>88</v>
      </c>
      <c r="K20763" s="33" t="s">
        <v>164</v>
      </c>
      <c r="L20763" s="31" t="str">
        <f t="shared" si="2008"/>
        <v>Delapan Puluh Delapan</v>
      </c>
    </row>
    <row r="20764" spans="10:12">
      <c r="J20764" s="31">
        <v>89</v>
      </c>
      <c r="K20764" s="33" t="s">
        <v>165</v>
      </c>
      <c r="L20764" s="31" t="str">
        <f t="shared" si="2008"/>
        <v>Delapan Puluh Sembilan</v>
      </c>
    </row>
    <row r="20765" spans="10:12">
      <c r="J20765" s="31">
        <v>90</v>
      </c>
      <c r="K20765" s="33" t="s">
        <v>166</v>
      </c>
      <c r="L20765" s="31" t="s">
        <v>167</v>
      </c>
    </row>
    <row r="20766" spans="10:12">
      <c r="J20766" s="31">
        <v>91</v>
      </c>
      <c r="K20766" s="33" t="s">
        <v>168</v>
      </c>
      <c r="L20766" s="31" t="str">
        <f t="shared" ref="L20766:L20774" si="2009">$L$93&amp;" "&amp;L20676</f>
        <v>Sembilan Puluh Satu</v>
      </c>
    </row>
    <row r="20767" spans="10:12">
      <c r="J20767" s="31">
        <v>92</v>
      </c>
      <c r="K20767" s="33" t="s">
        <v>169</v>
      </c>
      <c r="L20767" s="31" t="str">
        <f t="shared" si="2009"/>
        <v>Sembilan Puluh Dua</v>
      </c>
    </row>
    <row r="20768" spans="10:12">
      <c r="J20768" s="31">
        <v>93</v>
      </c>
      <c r="K20768" s="33" t="s">
        <v>170</v>
      </c>
      <c r="L20768" s="31" t="str">
        <f t="shared" si="2009"/>
        <v>Sembilan Puluh Tiga</v>
      </c>
    </row>
    <row r="20769" spans="1:12">
      <c r="J20769" s="31">
        <v>94</v>
      </c>
      <c r="K20769" s="33" t="s">
        <v>171</v>
      </c>
      <c r="L20769" s="31" t="str">
        <f t="shared" si="2009"/>
        <v>Sembilan Puluh Empat</v>
      </c>
    </row>
    <row r="20770" spans="1:12">
      <c r="J20770" s="31">
        <v>95</v>
      </c>
      <c r="K20770" s="33" t="s">
        <v>172</v>
      </c>
      <c r="L20770" s="31" t="str">
        <f t="shared" si="2009"/>
        <v>Sembilan Puluh Lima</v>
      </c>
    </row>
    <row r="20771" spans="1:12">
      <c r="J20771" s="31">
        <v>96</v>
      </c>
      <c r="K20771" s="33" t="s">
        <v>173</v>
      </c>
      <c r="L20771" s="31" t="str">
        <f t="shared" si="2009"/>
        <v>Sembilan Puluh Enam</v>
      </c>
    </row>
    <row r="20772" spans="1:12">
      <c r="J20772" s="31">
        <v>97</v>
      </c>
      <c r="K20772" s="33" t="s">
        <v>174</v>
      </c>
      <c r="L20772" s="31" t="str">
        <f t="shared" si="2009"/>
        <v>Sembilan Puluh Tujuh</v>
      </c>
    </row>
    <row r="20773" spans="1:12">
      <c r="J20773" s="31">
        <v>98</v>
      </c>
      <c r="K20773" s="33" t="s">
        <v>175</v>
      </c>
      <c r="L20773" s="31" t="str">
        <f t="shared" si="2009"/>
        <v>Sembilan Puluh Delapan</v>
      </c>
    </row>
    <row r="20774" spans="1:12">
      <c r="J20774" s="31">
        <v>99</v>
      </c>
      <c r="K20774" s="33" t="s">
        <v>176</v>
      </c>
      <c r="L20774" s="31" t="str">
        <f t="shared" si="2009"/>
        <v>Sembilan Puluh Sembilan</v>
      </c>
    </row>
    <row r="20776" spans="1:12">
      <c r="A20776" s="30" t="e">
        <f>#REF!</f>
        <v>#REF!</v>
      </c>
      <c r="C20776" s="31" t="s">
        <v>408</v>
      </c>
    </row>
    <row r="20777" spans="1:12">
      <c r="A20777" s="32"/>
    </row>
    <row r="20778" spans="1:12">
      <c r="J20778" s="31">
        <v>0</v>
      </c>
      <c r="K20778" s="33" t="s">
        <v>48</v>
      </c>
      <c r="L20778" s="31" t="s">
        <v>49</v>
      </c>
    </row>
    <row r="20779" spans="1:12">
      <c r="A20779" s="34"/>
      <c r="J20779" s="31">
        <v>1</v>
      </c>
      <c r="K20779" s="33" t="s">
        <v>50</v>
      </c>
      <c r="L20779" s="31" t="s">
        <v>51</v>
      </c>
    </row>
    <row r="20780" spans="1:12">
      <c r="A20780" s="255" t="e">
        <f>TRIM(D20788&amp;E20788&amp;D20789&amp;E20789&amp;D20790&amp;E20790&amp;D20791&amp;E20791&amp;D20792&amp;E20792&amp;D20793&amp;E20793&amp;E20794&amp;D20794&amp;" Only")</f>
        <v>#REF!</v>
      </c>
      <c r="B20780" s="255"/>
      <c r="C20780" s="255"/>
      <c r="D20780" s="255"/>
      <c r="E20780" s="35"/>
      <c r="F20780" s="36"/>
      <c r="J20780" s="31">
        <v>2</v>
      </c>
      <c r="K20780" s="33" t="s">
        <v>52</v>
      </c>
      <c r="L20780" s="31" t="s">
        <v>53</v>
      </c>
    </row>
    <row r="20781" spans="1:12">
      <c r="A20781" s="191"/>
      <c r="B20781" s="191"/>
      <c r="C20781" s="191"/>
      <c r="D20781" s="191"/>
      <c r="E20781" s="35"/>
      <c r="F20781" s="36"/>
      <c r="J20781" s="31">
        <v>3</v>
      </c>
      <c r="K20781" s="33" t="s">
        <v>54</v>
      </c>
      <c r="L20781" s="31" t="s">
        <v>55</v>
      </c>
    </row>
    <row r="20782" spans="1:12">
      <c r="A20782" s="191"/>
      <c r="B20782" s="191"/>
      <c r="C20782" s="191"/>
      <c r="D20782" s="191"/>
      <c r="J20782" s="31">
        <v>4</v>
      </c>
      <c r="K20782" s="33" t="s">
        <v>56</v>
      </c>
      <c r="L20782" s="31" t="s">
        <v>57</v>
      </c>
    </row>
    <row r="20783" spans="1:12">
      <c r="A20783" s="255" t="e">
        <f>TRIM(D20798&amp;E20798&amp;D20799&amp;E20799&amp;D20800&amp;E20800&amp;D20801&amp;E20801&amp;D20802&amp;E20802&amp;D20803&amp;E20803&amp;D20804&amp;E20804&amp;" Rupiah")</f>
        <v>#REF!</v>
      </c>
      <c r="B20783" s="255"/>
      <c r="C20783" s="255"/>
      <c r="D20783" s="255"/>
      <c r="E20783" s="35"/>
      <c r="F20783" s="36"/>
      <c r="J20783" s="31">
        <v>5</v>
      </c>
      <c r="K20783" s="33" t="s">
        <v>58</v>
      </c>
      <c r="L20783" s="31" t="s">
        <v>59</v>
      </c>
    </row>
    <row r="20784" spans="1:12">
      <c r="A20784" s="35"/>
      <c r="B20784" s="35"/>
      <c r="C20784" s="35"/>
      <c r="D20784" s="35"/>
      <c r="E20784" s="35"/>
      <c r="F20784" s="36"/>
      <c r="J20784" s="31">
        <v>6</v>
      </c>
      <c r="K20784" s="33" t="s">
        <v>60</v>
      </c>
      <c r="L20784" s="31" t="s">
        <v>61</v>
      </c>
    </row>
    <row r="20785" spans="1:12">
      <c r="J20785" s="31">
        <v>7</v>
      </c>
      <c r="K20785" s="33" t="s">
        <v>62</v>
      </c>
      <c r="L20785" s="31" t="s">
        <v>63</v>
      </c>
    </row>
    <row r="20786" spans="1:12">
      <c r="J20786" s="31">
        <v>8</v>
      </c>
      <c r="K20786" s="33" t="s">
        <v>64</v>
      </c>
      <c r="L20786" s="31" t="s">
        <v>65</v>
      </c>
    </row>
    <row r="20787" spans="1:12">
      <c r="A20787" s="38" t="s">
        <v>66</v>
      </c>
      <c r="J20787" s="31">
        <v>9</v>
      </c>
      <c r="K20787" s="33" t="s">
        <v>67</v>
      </c>
      <c r="L20787" s="31" t="s">
        <v>68</v>
      </c>
    </row>
    <row r="20788" spans="1:12">
      <c r="A20788" s="31" t="s">
        <v>69</v>
      </c>
      <c r="B20788" s="39" t="e">
        <f>TRUNC(A20776/100000000)</f>
        <v>#REF!</v>
      </c>
      <c r="C20788" s="31" t="e">
        <f>B20788*100000000</f>
        <v>#REF!</v>
      </c>
      <c r="D20788" s="31" t="e">
        <f t="shared" ref="D20788:D20794" si="2010">IF(B20788&lt;1,"",VLOOKUP(B20788,$J$3:$K$102,2))</f>
        <v>#REF!</v>
      </c>
      <c r="E20788" s="31" t="e">
        <f>IF(B20788&lt;1,"",IF(B20788&gt;1," Hundreds "," Hundred "))</f>
        <v>#REF!</v>
      </c>
      <c r="J20788" s="31">
        <v>10</v>
      </c>
      <c r="K20788" s="33" t="s">
        <v>70</v>
      </c>
      <c r="L20788" s="31" t="s">
        <v>71</v>
      </c>
    </row>
    <row r="20789" spans="1:12">
      <c r="A20789" s="31" t="s">
        <v>72</v>
      </c>
      <c r="B20789" s="39" t="e">
        <f>TRUNC((A20776-C20788)/1000000)</f>
        <v>#REF!</v>
      </c>
      <c r="C20789" s="31" t="e">
        <f>B20789*1000000</f>
        <v>#REF!</v>
      </c>
      <c r="D20789" s="31" t="e">
        <f t="shared" si="2010"/>
        <v>#REF!</v>
      </c>
      <c r="E20789" s="31" t="e">
        <f>IF(B20788+B20789=0,"",IF(B20789=1," Million "," Millions "))</f>
        <v>#REF!</v>
      </c>
      <c r="J20789" s="31">
        <v>11</v>
      </c>
      <c r="K20789" s="33" t="s">
        <v>73</v>
      </c>
      <c r="L20789" s="31" t="s">
        <v>74</v>
      </c>
    </row>
    <row r="20790" spans="1:12">
      <c r="A20790" s="31" t="s">
        <v>75</v>
      </c>
      <c r="B20790" s="39" t="e">
        <f>TRUNC((A20776-SUM(C20788:C20789))/100000)</f>
        <v>#REF!</v>
      </c>
      <c r="C20790" s="31" t="e">
        <f>B20790*100000</f>
        <v>#REF!</v>
      </c>
      <c r="D20790" s="31" t="e">
        <f t="shared" si="2010"/>
        <v>#REF!</v>
      </c>
      <c r="E20790" s="31" t="e">
        <f>IF(B20790&lt;1,"",IF(B20790&gt;1," Hundreds "," Hundred "))</f>
        <v>#REF!</v>
      </c>
      <c r="J20790" s="31">
        <v>12</v>
      </c>
      <c r="K20790" s="33" t="s">
        <v>76</v>
      </c>
      <c r="L20790" s="31" t="str">
        <f t="shared" ref="L20790:L20797" si="2011">L20780&amp;" Belas"</f>
        <v>Dua Belas</v>
      </c>
    </row>
    <row r="20791" spans="1:12">
      <c r="A20791" s="33" t="s">
        <v>77</v>
      </c>
      <c r="B20791" s="40" t="e">
        <f>TRUNC((A20776-SUM(C20788:C20790))/1000)</f>
        <v>#REF!</v>
      </c>
      <c r="C20791" s="31" t="e">
        <f>B20791*1000</f>
        <v>#REF!</v>
      </c>
      <c r="D20791" s="31" t="e">
        <f t="shared" si="2010"/>
        <v>#REF!</v>
      </c>
      <c r="E20791" s="31" t="e">
        <f>IF(B20790+B20791=0,"",IF(B20791=1," Thousand "," Thousands "))</f>
        <v>#REF!</v>
      </c>
      <c r="J20791" s="31">
        <v>13</v>
      </c>
      <c r="K20791" s="33" t="s">
        <v>78</v>
      </c>
      <c r="L20791" s="31" t="str">
        <f t="shared" si="2011"/>
        <v>Tiga Belas</v>
      </c>
    </row>
    <row r="20792" spans="1:12">
      <c r="A20792" s="33" t="s">
        <v>79</v>
      </c>
      <c r="B20792" s="40" t="e">
        <f>TRUNC((A20776-SUM(C20788:C20791))/100)</f>
        <v>#REF!</v>
      </c>
      <c r="C20792" s="31" t="e">
        <f>B20792*100</f>
        <v>#REF!</v>
      </c>
      <c r="D20792" s="31" t="e">
        <f t="shared" si="2010"/>
        <v>#REF!</v>
      </c>
      <c r="E20792" s="31" t="e">
        <f>IF(B20792&lt;1,"",IF(B20792&gt;1," Hundreds "," Hundred "))</f>
        <v>#REF!</v>
      </c>
      <c r="J20792" s="31">
        <v>14</v>
      </c>
      <c r="K20792" s="33" t="s">
        <v>80</v>
      </c>
      <c r="L20792" s="31" t="str">
        <f t="shared" si="2011"/>
        <v>Empat Belas</v>
      </c>
    </row>
    <row r="20793" spans="1:12">
      <c r="A20793" s="33" t="s">
        <v>81</v>
      </c>
      <c r="B20793" s="41" t="e">
        <f>TRUNC((A20776-SUM(C20788:C20792)))</f>
        <v>#REF!</v>
      </c>
      <c r="C20793" s="42" t="e">
        <f>B20793</f>
        <v>#REF!</v>
      </c>
      <c r="D20793" s="31" t="e">
        <f t="shared" si="2010"/>
        <v>#REF!</v>
      </c>
      <c r="E20793" s="31" t="e">
        <f>IF(SUM(C20788:C20793)&lt;1,"",IF(B20794&lt;1,""," And "))</f>
        <v>#REF!</v>
      </c>
      <c r="J20793" s="31">
        <v>15</v>
      </c>
      <c r="K20793" s="33" t="s">
        <v>82</v>
      </c>
      <c r="L20793" s="31" t="str">
        <f t="shared" si="2011"/>
        <v>Lima Belas</v>
      </c>
    </row>
    <row r="20794" spans="1:12">
      <c r="A20794" s="33" t="s">
        <v>83</v>
      </c>
      <c r="B20794" s="40" t="e">
        <f>ROUND(A20776-SUM(C20788:C20793),2)*100</f>
        <v>#REF!</v>
      </c>
      <c r="D20794" s="43" t="e">
        <f t="shared" si="2010"/>
        <v>#REF!</v>
      </c>
      <c r="E20794" s="31" t="e">
        <f>IF(B20794&lt;1,"",IF(B20794=1," Cent "," Cents "))</f>
        <v>#REF!</v>
      </c>
      <c r="J20794" s="31">
        <v>16</v>
      </c>
      <c r="K20794" s="33" t="s">
        <v>84</v>
      </c>
      <c r="L20794" s="31" t="str">
        <f t="shared" si="2011"/>
        <v>Enam Belas</v>
      </c>
    </row>
    <row r="20795" spans="1:12">
      <c r="J20795" s="31">
        <v>17</v>
      </c>
      <c r="K20795" s="33" t="s">
        <v>85</v>
      </c>
      <c r="L20795" s="31" t="str">
        <f t="shared" si="2011"/>
        <v>Tujuh Belas</v>
      </c>
    </row>
    <row r="20796" spans="1:12">
      <c r="A20796" s="44"/>
      <c r="J20796" s="31">
        <v>18</v>
      </c>
      <c r="K20796" s="33" t="s">
        <v>86</v>
      </c>
      <c r="L20796" s="31" t="str">
        <f t="shared" si="2011"/>
        <v>Delapan Belas</v>
      </c>
    </row>
    <row r="20797" spans="1:12">
      <c r="A20797" s="38" t="s">
        <v>87</v>
      </c>
      <c r="J20797" s="31">
        <v>19</v>
      </c>
      <c r="K20797" s="33" t="s">
        <v>88</v>
      </c>
      <c r="L20797" s="31" t="str">
        <f t="shared" si="2011"/>
        <v>Sembilan Belas</v>
      </c>
    </row>
    <row r="20798" spans="1:12">
      <c r="A20798" s="31" t="s">
        <v>69</v>
      </c>
      <c r="B20798" s="39" t="e">
        <f>TRUNC(A20776/100000000)</f>
        <v>#REF!</v>
      </c>
      <c r="C20798" s="31" t="e">
        <f>B20798*100000000</f>
        <v>#REF!</v>
      </c>
      <c r="D20798" s="31" t="e">
        <f>IF(B20798&lt;1,"",IF(B20798=1,"",VLOOKUP(B20798,$J$3:$L$102,3)))</f>
        <v>#REF!</v>
      </c>
      <c r="E20798" s="31" t="e">
        <f>IF(B20798&lt;1,"",IF(B20798=1,"Seratus "," Ratus "))</f>
        <v>#REF!</v>
      </c>
      <c r="J20798" s="31">
        <v>20</v>
      </c>
      <c r="K20798" s="33" t="s">
        <v>89</v>
      </c>
      <c r="L20798" s="31" t="s">
        <v>90</v>
      </c>
    </row>
    <row r="20799" spans="1:12">
      <c r="A20799" s="31" t="s">
        <v>72</v>
      </c>
      <c r="B20799" s="39" t="e">
        <f>TRUNC((A20776-C20798)/1000000)</f>
        <v>#REF!</v>
      </c>
      <c r="C20799" s="31" t="e">
        <f>B20799*1000000</f>
        <v>#REF!</v>
      </c>
      <c r="D20799" s="31" t="e">
        <f>IF(B20799&lt;1,"",VLOOKUP(B20799,$J$3:$L$102,3))</f>
        <v>#REF!</v>
      </c>
      <c r="E20799" s="31" t="e">
        <f>IF(B20798+B20799=0,""," Juta ")</f>
        <v>#REF!</v>
      </c>
      <c r="J20799" s="31">
        <v>21</v>
      </c>
      <c r="K20799" s="33" t="s">
        <v>91</v>
      </c>
      <c r="L20799" s="31" t="str">
        <f t="shared" ref="L20799:L20807" si="2012">$L$23&amp;" "&amp;L20779</f>
        <v>Dua Puluh Satu</v>
      </c>
    </row>
    <row r="20800" spans="1:12">
      <c r="A20800" s="31" t="s">
        <v>75</v>
      </c>
      <c r="B20800" s="39" t="e">
        <f>TRUNC((A20776-SUM(C20798:C20799))/100000)</f>
        <v>#REF!</v>
      </c>
      <c r="C20800" s="31" t="e">
        <f>B20800*100000</f>
        <v>#REF!</v>
      </c>
      <c r="D20800" s="31" t="e">
        <f>IF(B20800&lt;1,"",IF(B20800=1,"",VLOOKUP(B20800,$J$3:$L$102,3)))</f>
        <v>#REF!</v>
      </c>
      <c r="E20800" s="31" t="e">
        <f>IF(B20800&lt;1,"",IF(B20800=1," Seratus "," Ratus "))</f>
        <v>#REF!</v>
      </c>
      <c r="J20800" s="31">
        <v>22</v>
      </c>
      <c r="K20800" s="33" t="s">
        <v>92</v>
      </c>
      <c r="L20800" s="31" t="str">
        <f t="shared" si="2012"/>
        <v>Dua Puluh Dua</v>
      </c>
    </row>
    <row r="20801" spans="1:12">
      <c r="A20801" s="33" t="s">
        <v>77</v>
      </c>
      <c r="B20801" s="40" t="e">
        <f>TRUNC((A20776-SUM(C20798:C20800))/1000)</f>
        <v>#REF!</v>
      </c>
      <c r="C20801" s="31" t="e">
        <f>B20801*1000</f>
        <v>#REF!</v>
      </c>
      <c r="D20801" s="31" t="e">
        <f>IF(B20801&lt;1,"",IF(B20801=1,"",VLOOKUP(B20801,$J$3:$L$102,3)))</f>
        <v>#REF!</v>
      </c>
      <c r="E20801" s="31" t="e">
        <f>IF(B20800+B20801&lt;1,"",IF(B20801=1," Seribu "," Ribu "))</f>
        <v>#REF!</v>
      </c>
      <c r="J20801" s="31">
        <v>23</v>
      </c>
      <c r="K20801" s="33" t="s">
        <v>93</v>
      </c>
      <c r="L20801" s="31" t="str">
        <f t="shared" si="2012"/>
        <v>Dua Puluh Tiga</v>
      </c>
    </row>
    <row r="20802" spans="1:12">
      <c r="A20802" s="33" t="s">
        <v>79</v>
      </c>
      <c r="B20802" s="40" t="e">
        <f>TRUNC((A20776-SUM(C20798:C20801))/100)</f>
        <v>#REF!</v>
      </c>
      <c r="C20802" s="31" t="e">
        <f>B20802*100</f>
        <v>#REF!</v>
      </c>
      <c r="D20802" s="31" t="e">
        <f>IF(B20802&lt;1,"",IF(B20802=1,"",VLOOKUP(B20802,$J$3:$L$102,3)))</f>
        <v>#REF!</v>
      </c>
      <c r="E20802" s="31" t="e">
        <f>IF(B20802&lt;1,"",IF(B20802=1," Seratus "," Ratus "))</f>
        <v>#REF!</v>
      </c>
      <c r="J20802" s="31">
        <v>24</v>
      </c>
      <c r="K20802" s="33" t="s">
        <v>94</v>
      </c>
      <c r="L20802" s="31" t="str">
        <f t="shared" si="2012"/>
        <v>Dua Puluh Empat</v>
      </c>
    </row>
    <row r="20803" spans="1:12">
      <c r="A20803" s="33" t="s">
        <v>81</v>
      </c>
      <c r="B20803" s="41" t="e">
        <f>TRUNC((A20776-SUM(C20798:C20802)))</f>
        <v>#REF!</v>
      </c>
      <c r="C20803" s="42" t="e">
        <f>B20803</f>
        <v>#REF!</v>
      </c>
      <c r="D20803" s="31" t="e">
        <f>IF(B20803&lt;1,"",VLOOKUP(B20803,$J$3:$L$102,3))</f>
        <v>#REF!</v>
      </c>
      <c r="E20803" s="31" t="e">
        <f>IF(SUM(C20798:C20803)&lt;1,"",IF(B20804&lt;1,""," Dan "))</f>
        <v>#REF!</v>
      </c>
      <c r="J20803" s="31">
        <v>25</v>
      </c>
      <c r="K20803" s="33" t="s">
        <v>95</v>
      </c>
      <c r="L20803" s="31" t="str">
        <f t="shared" si="2012"/>
        <v>Dua Puluh Lima</v>
      </c>
    </row>
    <row r="20804" spans="1:12">
      <c r="A20804" s="33" t="s">
        <v>83</v>
      </c>
      <c r="B20804" s="40" t="e">
        <f>ROUND(A20776-SUM(C20798:C20803),2)*100</f>
        <v>#REF!</v>
      </c>
      <c r="D20804" s="31" t="e">
        <f>IF(B20804&lt;1,"",VLOOKUP(B20804,$J$3:$L$102,3))</f>
        <v>#REF!</v>
      </c>
      <c r="E20804" s="31" t="e">
        <f>IF(B20804&lt;1,""," Sen ")</f>
        <v>#REF!</v>
      </c>
      <c r="J20804" s="31">
        <v>26</v>
      </c>
      <c r="K20804" s="33" t="s">
        <v>96</v>
      </c>
      <c r="L20804" s="31" t="str">
        <f t="shared" si="2012"/>
        <v>Dua Puluh Enam</v>
      </c>
    </row>
    <row r="20805" spans="1:12">
      <c r="J20805" s="31">
        <v>27</v>
      </c>
      <c r="K20805" s="33" t="s">
        <v>97</v>
      </c>
      <c r="L20805" s="31" t="str">
        <f t="shared" si="2012"/>
        <v>Dua Puluh Tujuh</v>
      </c>
    </row>
    <row r="20806" spans="1:12">
      <c r="J20806" s="31">
        <v>28</v>
      </c>
      <c r="K20806" s="33" t="s">
        <v>98</v>
      </c>
      <c r="L20806" s="31" t="str">
        <f t="shared" si="2012"/>
        <v>Dua Puluh Delapan</v>
      </c>
    </row>
    <row r="20807" spans="1:12">
      <c r="J20807" s="31">
        <v>29</v>
      </c>
      <c r="K20807" s="33" t="s">
        <v>99</v>
      </c>
      <c r="L20807" s="31" t="str">
        <f t="shared" si="2012"/>
        <v>Dua Puluh Sembilan</v>
      </c>
    </row>
    <row r="20808" spans="1:12">
      <c r="J20808" s="31">
        <v>30</v>
      </c>
      <c r="K20808" s="33" t="s">
        <v>100</v>
      </c>
      <c r="L20808" s="31" t="s">
        <v>101</v>
      </c>
    </row>
    <row r="20809" spans="1:12">
      <c r="J20809" s="31">
        <v>31</v>
      </c>
      <c r="K20809" s="33" t="s">
        <v>102</v>
      </c>
      <c r="L20809" s="31" t="str">
        <f t="shared" ref="L20809:L20817" si="2013">$L$33&amp;" "&amp;L20779</f>
        <v>Tiga Puluh Satu</v>
      </c>
    </row>
    <row r="20810" spans="1:12">
      <c r="J20810" s="31">
        <v>32</v>
      </c>
      <c r="K20810" s="33" t="s">
        <v>103</v>
      </c>
      <c r="L20810" s="31" t="str">
        <f t="shared" si="2013"/>
        <v>Tiga Puluh Dua</v>
      </c>
    </row>
    <row r="20811" spans="1:12">
      <c r="J20811" s="31">
        <v>33</v>
      </c>
      <c r="K20811" s="33" t="s">
        <v>104</v>
      </c>
      <c r="L20811" s="31" t="str">
        <f t="shared" si="2013"/>
        <v>Tiga Puluh Tiga</v>
      </c>
    </row>
    <row r="20812" spans="1:12">
      <c r="J20812" s="31">
        <v>34</v>
      </c>
      <c r="K20812" s="33" t="s">
        <v>105</v>
      </c>
      <c r="L20812" s="31" t="str">
        <f t="shared" si="2013"/>
        <v>Tiga Puluh Empat</v>
      </c>
    </row>
    <row r="20813" spans="1:12">
      <c r="J20813" s="31">
        <v>35</v>
      </c>
      <c r="K20813" s="33" t="s">
        <v>106</v>
      </c>
      <c r="L20813" s="31" t="str">
        <f t="shared" si="2013"/>
        <v>Tiga Puluh Lima</v>
      </c>
    </row>
    <row r="20814" spans="1:12">
      <c r="J20814" s="31">
        <v>36</v>
      </c>
      <c r="K20814" s="33" t="s">
        <v>107</v>
      </c>
      <c r="L20814" s="31" t="str">
        <f t="shared" si="2013"/>
        <v>Tiga Puluh Enam</v>
      </c>
    </row>
    <row r="20815" spans="1:12">
      <c r="J20815" s="31">
        <v>37</v>
      </c>
      <c r="K20815" s="33" t="s">
        <v>108</v>
      </c>
      <c r="L20815" s="31" t="str">
        <f t="shared" si="2013"/>
        <v>Tiga Puluh Tujuh</v>
      </c>
    </row>
    <row r="20816" spans="1:12">
      <c r="J20816" s="31">
        <v>38</v>
      </c>
      <c r="K20816" s="33" t="s">
        <v>109</v>
      </c>
      <c r="L20816" s="31" t="str">
        <f t="shared" si="2013"/>
        <v>Tiga Puluh Delapan</v>
      </c>
    </row>
    <row r="20817" spans="1:12">
      <c r="J20817" s="31">
        <v>39</v>
      </c>
      <c r="K20817" s="33" t="s">
        <v>110</v>
      </c>
      <c r="L20817" s="31" t="str">
        <f t="shared" si="2013"/>
        <v>Tiga Puluh Sembilan</v>
      </c>
    </row>
    <row r="20818" spans="1:12">
      <c r="B20818" s="35"/>
      <c r="C20818" s="35"/>
      <c r="D20818" s="35"/>
      <c r="J20818" s="31">
        <v>40</v>
      </c>
      <c r="K20818" s="33" t="s">
        <v>111</v>
      </c>
      <c r="L20818" s="31" t="s">
        <v>112</v>
      </c>
    </row>
    <row r="20819" spans="1:12">
      <c r="A20819" s="35"/>
      <c r="B20819" s="35"/>
      <c r="C20819" s="35"/>
      <c r="D20819" s="35"/>
      <c r="J20819" s="31">
        <v>41</v>
      </c>
      <c r="K20819" s="33" t="s">
        <v>113</v>
      </c>
      <c r="L20819" s="31" t="str">
        <f t="shared" ref="L20819:L20827" si="2014">$L$43&amp;" "&amp;L20779</f>
        <v>Empat Puluh Satu</v>
      </c>
    </row>
    <row r="20820" spans="1:12">
      <c r="J20820" s="31">
        <v>42</v>
      </c>
      <c r="K20820" s="33" t="s">
        <v>114</v>
      </c>
      <c r="L20820" s="31" t="str">
        <f t="shared" si="2014"/>
        <v>Empat Puluh Dua</v>
      </c>
    </row>
    <row r="20821" spans="1:12">
      <c r="A20821" s="38"/>
      <c r="J20821" s="31">
        <v>43</v>
      </c>
      <c r="K20821" s="33" t="s">
        <v>115</v>
      </c>
      <c r="L20821" s="31" t="str">
        <f t="shared" si="2014"/>
        <v>Empat Puluh Tiga</v>
      </c>
    </row>
    <row r="20822" spans="1:12">
      <c r="J20822" s="31">
        <v>44</v>
      </c>
      <c r="K20822" s="33" t="s">
        <v>116</v>
      </c>
      <c r="L20822" s="31" t="str">
        <f t="shared" si="2014"/>
        <v>Empat Puluh Empat</v>
      </c>
    </row>
    <row r="20823" spans="1:12">
      <c r="J20823" s="31">
        <v>45</v>
      </c>
      <c r="K20823" s="33" t="s">
        <v>117</v>
      </c>
      <c r="L20823" s="31" t="str">
        <f t="shared" si="2014"/>
        <v>Empat Puluh Lima</v>
      </c>
    </row>
    <row r="20824" spans="1:12">
      <c r="J20824" s="31">
        <v>46</v>
      </c>
      <c r="K20824" s="33" t="s">
        <v>118</v>
      </c>
      <c r="L20824" s="31" t="str">
        <f t="shared" si="2014"/>
        <v>Empat Puluh Enam</v>
      </c>
    </row>
    <row r="20825" spans="1:12">
      <c r="J20825" s="31">
        <v>47</v>
      </c>
      <c r="K20825" s="33" t="s">
        <v>119</v>
      </c>
      <c r="L20825" s="31" t="str">
        <f t="shared" si="2014"/>
        <v>Empat Puluh Tujuh</v>
      </c>
    </row>
    <row r="20826" spans="1:12">
      <c r="J20826" s="31">
        <v>48</v>
      </c>
      <c r="K20826" s="33" t="s">
        <v>120</v>
      </c>
      <c r="L20826" s="31" t="str">
        <f t="shared" si="2014"/>
        <v>Empat Puluh Delapan</v>
      </c>
    </row>
    <row r="20827" spans="1:12">
      <c r="J20827" s="31">
        <v>49</v>
      </c>
      <c r="K20827" s="33" t="s">
        <v>121</v>
      </c>
      <c r="L20827" s="31" t="str">
        <f t="shared" si="2014"/>
        <v>Empat Puluh Sembilan</v>
      </c>
    </row>
    <row r="20828" spans="1:12">
      <c r="J20828" s="31">
        <v>50</v>
      </c>
      <c r="K20828" s="33" t="s">
        <v>122</v>
      </c>
      <c r="L20828" s="31" t="s">
        <v>123</v>
      </c>
    </row>
    <row r="20829" spans="1:12">
      <c r="J20829" s="31">
        <v>51</v>
      </c>
      <c r="K20829" s="33" t="s">
        <v>124</v>
      </c>
      <c r="L20829" s="31" t="str">
        <f t="shared" ref="L20829:L20837" si="2015">$L$53&amp;" "&amp;L20779</f>
        <v>Lima Puluh Satu</v>
      </c>
    </row>
    <row r="20830" spans="1:12">
      <c r="J20830" s="31">
        <v>52</v>
      </c>
      <c r="K20830" s="33" t="s">
        <v>125</v>
      </c>
      <c r="L20830" s="31" t="str">
        <f t="shared" si="2015"/>
        <v>Lima Puluh Dua</v>
      </c>
    </row>
    <row r="20831" spans="1:12">
      <c r="J20831" s="31">
        <v>53</v>
      </c>
      <c r="K20831" s="33" t="s">
        <v>126</v>
      </c>
      <c r="L20831" s="31" t="str">
        <f t="shared" si="2015"/>
        <v>Lima Puluh Tiga</v>
      </c>
    </row>
    <row r="20832" spans="1:12">
      <c r="J20832" s="31">
        <v>54</v>
      </c>
      <c r="K20832" s="33" t="s">
        <v>127</v>
      </c>
      <c r="L20832" s="31" t="str">
        <f t="shared" si="2015"/>
        <v>Lima Puluh Empat</v>
      </c>
    </row>
    <row r="20833" spans="10:12">
      <c r="J20833" s="31">
        <v>55</v>
      </c>
      <c r="K20833" s="33" t="s">
        <v>128</v>
      </c>
      <c r="L20833" s="31" t="str">
        <f t="shared" si="2015"/>
        <v>Lima Puluh Lima</v>
      </c>
    </row>
    <row r="20834" spans="10:12">
      <c r="J20834" s="31">
        <v>56</v>
      </c>
      <c r="K20834" s="33" t="s">
        <v>129</v>
      </c>
      <c r="L20834" s="31" t="str">
        <f t="shared" si="2015"/>
        <v>Lima Puluh Enam</v>
      </c>
    </row>
    <row r="20835" spans="10:12">
      <c r="J20835" s="31">
        <v>57</v>
      </c>
      <c r="K20835" s="33" t="s">
        <v>130</v>
      </c>
      <c r="L20835" s="31" t="str">
        <f t="shared" si="2015"/>
        <v>Lima Puluh Tujuh</v>
      </c>
    </row>
    <row r="20836" spans="10:12">
      <c r="J20836" s="31">
        <v>58</v>
      </c>
      <c r="K20836" s="33" t="s">
        <v>131</v>
      </c>
      <c r="L20836" s="31" t="str">
        <f t="shared" si="2015"/>
        <v>Lima Puluh Delapan</v>
      </c>
    </row>
    <row r="20837" spans="10:12">
      <c r="J20837" s="31">
        <v>59</v>
      </c>
      <c r="K20837" s="33" t="s">
        <v>132</v>
      </c>
      <c r="L20837" s="31" t="str">
        <f t="shared" si="2015"/>
        <v>Lima Puluh Sembilan</v>
      </c>
    </row>
    <row r="20838" spans="10:12">
      <c r="J20838" s="31">
        <v>60</v>
      </c>
      <c r="K20838" s="33" t="s">
        <v>133</v>
      </c>
      <c r="L20838" s="31" t="s">
        <v>134</v>
      </c>
    </row>
    <row r="20839" spans="10:12">
      <c r="J20839" s="31">
        <v>61</v>
      </c>
      <c r="K20839" s="33" t="s">
        <v>135</v>
      </c>
      <c r="L20839" s="31" t="str">
        <f t="shared" ref="L20839:L20847" si="2016">$L$63&amp;" "&amp;L20779</f>
        <v>Enam Puluh Satu</v>
      </c>
    </row>
    <row r="20840" spans="10:12">
      <c r="J20840" s="31">
        <v>62</v>
      </c>
      <c r="K20840" s="33" t="s">
        <v>136</v>
      </c>
      <c r="L20840" s="31" t="str">
        <f t="shared" si="2016"/>
        <v>Enam Puluh Dua</v>
      </c>
    </row>
    <row r="20841" spans="10:12">
      <c r="J20841" s="31">
        <v>63</v>
      </c>
      <c r="K20841" s="33" t="s">
        <v>137</v>
      </c>
      <c r="L20841" s="31" t="str">
        <f t="shared" si="2016"/>
        <v>Enam Puluh Tiga</v>
      </c>
    </row>
    <row r="20842" spans="10:12">
      <c r="J20842" s="31">
        <v>64</v>
      </c>
      <c r="K20842" s="33" t="s">
        <v>138</v>
      </c>
      <c r="L20842" s="31" t="str">
        <f t="shared" si="2016"/>
        <v>Enam Puluh Empat</v>
      </c>
    </row>
    <row r="20843" spans="10:12">
      <c r="J20843" s="31">
        <v>65</v>
      </c>
      <c r="K20843" s="33" t="s">
        <v>139</v>
      </c>
      <c r="L20843" s="31" t="str">
        <f t="shared" si="2016"/>
        <v>Enam Puluh Lima</v>
      </c>
    </row>
    <row r="20844" spans="10:12">
      <c r="J20844" s="31">
        <v>66</v>
      </c>
      <c r="K20844" s="33" t="s">
        <v>140</v>
      </c>
      <c r="L20844" s="31" t="str">
        <f t="shared" si="2016"/>
        <v>Enam Puluh Enam</v>
      </c>
    </row>
    <row r="20845" spans="10:12">
      <c r="J20845" s="31">
        <v>67</v>
      </c>
      <c r="K20845" s="33" t="s">
        <v>141</v>
      </c>
      <c r="L20845" s="31" t="str">
        <f t="shared" si="2016"/>
        <v>Enam Puluh Tujuh</v>
      </c>
    </row>
    <row r="20846" spans="10:12">
      <c r="J20846" s="31">
        <v>68</v>
      </c>
      <c r="K20846" s="33" t="s">
        <v>142</v>
      </c>
      <c r="L20846" s="31" t="str">
        <f t="shared" si="2016"/>
        <v>Enam Puluh Delapan</v>
      </c>
    </row>
    <row r="20847" spans="10:12">
      <c r="J20847" s="31">
        <v>69</v>
      </c>
      <c r="K20847" s="33" t="s">
        <v>143</v>
      </c>
      <c r="L20847" s="31" t="str">
        <f t="shared" si="2016"/>
        <v>Enam Puluh Sembilan</v>
      </c>
    </row>
    <row r="20848" spans="10:12">
      <c r="J20848" s="31">
        <v>70</v>
      </c>
      <c r="K20848" s="33" t="s">
        <v>144</v>
      </c>
      <c r="L20848" s="31" t="s">
        <v>145</v>
      </c>
    </row>
    <row r="20849" spans="10:12">
      <c r="J20849" s="31">
        <v>71</v>
      </c>
      <c r="K20849" s="33" t="s">
        <v>146</v>
      </c>
      <c r="L20849" s="31" t="str">
        <f t="shared" ref="L20849:L20857" si="2017">$L$73&amp;" "&amp;L20779</f>
        <v>Tujuh Puluh Satu</v>
      </c>
    </row>
    <row r="20850" spans="10:12">
      <c r="J20850" s="31">
        <v>72</v>
      </c>
      <c r="K20850" s="33" t="s">
        <v>147</v>
      </c>
      <c r="L20850" s="31" t="str">
        <f t="shared" si="2017"/>
        <v>Tujuh Puluh Dua</v>
      </c>
    </row>
    <row r="20851" spans="10:12">
      <c r="J20851" s="31">
        <v>73</v>
      </c>
      <c r="K20851" s="33" t="s">
        <v>148</v>
      </c>
      <c r="L20851" s="31" t="str">
        <f t="shared" si="2017"/>
        <v>Tujuh Puluh Tiga</v>
      </c>
    </row>
    <row r="20852" spans="10:12">
      <c r="J20852" s="31">
        <v>74</v>
      </c>
      <c r="K20852" s="33" t="s">
        <v>149</v>
      </c>
      <c r="L20852" s="31" t="str">
        <f t="shared" si="2017"/>
        <v>Tujuh Puluh Empat</v>
      </c>
    </row>
    <row r="20853" spans="10:12">
      <c r="J20853" s="31">
        <v>75</v>
      </c>
      <c r="K20853" s="33" t="s">
        <v>150</v>
      </c>
      <c r="L20853" s="31" t="str">
        <f t="shared" si="2017"/>
        <v>Tujuh Puluh Lima</v>
      </c>
    </row>
    <row r="20854" spans="10:12">
      <c r="J20854" s="31">
        <v>76</v>
      </c>
      <c r="K20854" s="33" t="s">
        <v>151</v>
      </c>
      <c r="L20854" s="31" t="str">
        <f t="shared" si="2017"/>
        <v>Tujuh Puluh Enam</v>
      </c>
    </row>
    <row r="20855" spans="10:12">
      <c r="J20855" s="31">
        <v>77</v>
      </c>
      <c r="K20855" s="33" t="s">
        <v>152</v>
      </c>
      <c r="L20855" s="31" t="str">
        <f t="shared" si="2017"/>
        <v>Tujuh Puluh Tujuh</v>
      </c>
    </row>
    <row r="20856" spans="10:12">
      <c r="J20856" s="31">
        <v>78</v>
      </c>
      <c r="K20856" s="33" t="s">
        <v>153</v>
      </c>
      <c r="L20856" s="31" t="str">
        <f t="shared" si="2017"/>
        <v>Tujuh Puluh Delapan</v>
      </c>
    </row>
    <row r="20857" spans="10:12">
      <c r="J20857" s="31">
        <v>79</v>
      </c>
      <c r="K20857" s="33" t="s">
        <v>154</v>
      </c>
      <c r="L20857" s="31" t="str">
        <f t="shared" si="2017"/>
        <v>Tujuh Puluh Sembilan</v>
      </c>
    </row>
    <row r="20858" spans="10:12">
      <c r="J20858" s="31">
        <v>80</v>
      </c>
      <c r="K20858" s="33" t="s">
        <v>155</v>
      </c>
      <c r="L20858" s="31" t="s">
        <v>156</v>
      </c>
    </row>
    <row r="20859" spans="10:12">
      <c r="J20859" s="31">
        <v>81</v>
      </c>
      <c r="K20859" s="33" t="s">
        <v>157</v>
      </c>
      <c r="L20859" s="31" t="str">
        <f t="shared" ref="L20859:L20867" si="2018">$L$83&amp;" "&amp;L20779</f>
        <v>Delapan Puluh Satu</v>
      </c>
    </row>
    <row r="20860" spans="10:12">
      <c r="J20860" s="31">
        <v>82</v>
      </c>
      <c r="K20860" s="33" t="s">
        <v>158</v>
      </c>
      <c r="L20860" s="31" t="str">
        <f t="shared" si="2018"/>
        <v>Delapan Puluh Dua</v>
      </c>
    </row>
    <row r="20861" spans="10:12">
      <c r="J20861" s="31">
        <v>83</v>
      </c>
      <c r="K20861" s="33" t="s">
        <v>159</v>
      </c>
      <c r="L20861" s="31" t="str">
        <f t="shared" si="2018"/>
        <v>Delapan Puluh Tiga</v>
      </c>
    </row>
    <row r="20862" spans="10:12">
      <c r="J20862" s="31">
        <v>84</v>
      </c>
      <c r="K20862" s="33" t="s">
        <v>160</v>
      </c>
      <c r="L20862" s="31" t="str">
        <f t="shared" si="2018"/>
        <v>Delapan Puluh Empat</v>
      </c>
    </row>
    <row r="20863" spans="10:12">
      <c r="J20863" s="31">
        <v>85</v>
      </c>
      <c r="K20863" s="33" t="s">
        <v>161</v>
      </c>
      <c r="L20863" s="31" t="str">
        <f t="shared" si="2018"/>
        <v>Delapan Puluh Lima</v>
      </c>
    </row>
    <row r="20864" spans="10:12">
      <c r="J20864" s="31">
        <v>86</v>
      </c>
      <c r="K20864" s="33" t="s">
        <v>162</v>
      </c>
      <c r="L20864" s="31" t="str">
        <f t="shared" si="2018"/>
        <v>Delapan Puluh Enam</v>
      </c>
    </row>
    <row r="20865" spans="1:12">
      <c r="J20865" s="31">
        <v>87</v>
      </c>
      <c r="K20865" s="33" t="s">
        <v>163</v>
      </c>
      <c r="L20865" s="31" t="str">
        <f t="shared" si="2018"/>
        <v>Delapan Puluh Tujuh</v>
      </c>
    </row>
    <row r="20866" spans="1:12">
      <c r="J20866" s="31">
        <v>88</v>
      </c>
      <c r="K20866" s="33" t="s">
        <v>164</v>
      </c>
      <c r="L20866" s="31" t="str">
        <f t="shared" si="2018"/>
        <v>Delapan Puluh Delapan</v>
      </c>
    </row>
    <row r="20867" spans="1:12">
      <c r="J20867" s="31">
        <v>89</v>
      </c>
      <c r="K20867" s="33" t="s">
        <v>165</v>
      </c>
      <c r="L20867" s="31" t="str">
        <f t="shared" si="2018"/>
        <v>Delapan Puluh Sembilan</v>
      </c>
    </row>
    <row r="20868" spans="1:12">
      <c r="J20868" s="31">
        <v>90</v>
      </c>
      <c r="K20868" s="33" t="s">
        <v>166</v>
      </c>
      <c r="L20868" s="31" t="s">
        <v>167</v>
      </c>
    </row>
    <row r="20869" spans="1:12">
      <c r="J20869" s="31">
        <v>91</v>
      </c>
      <c r="K20869" s="33" t="s">
        <v>168</v>
      </c>
      <c r="L20869" s="31" t="str">
        <f t="shared" ref="L20869:L20877" si="2019">$L$93&amp;" "&amp;L20779</f>
        <v>Sembilan Puluh Satu</v>
      </c>
    </row>
    <row r="20870" spans="1:12">
      <c r="J20870" s="31">
        <v>92</v>
      </c>
      <c r="K20870" s="33" t="s">
        <v>169</v>
      </c>
      <c r="L20870" s="31" t="str">
        <f t="shared" si="2019"/>
        <v>Sembilan Puluh Dua</v>
      </c>
    </row>
    <row r="20871" spans="1:12">
      <c r="J20871" s="31">
        <v>93</v>
      </c>
      <c r="K20871" s="33" t="s">
        <v>170</v>
      </c>
      <c r="L20871" s="31" t="str">
        <f t="shared" si="2019"/>
        <v>Sembilan Puluh Tiga</v>
      </c>
    </row>
    <row r="20872" spans="1:12">
      <c r="J20872" s="31">
        <v>94</v>
      </c>
      <c r="K20872" s="33" t="s">
        <v>171</v>
      </c>
      <c r="L20872" s="31" t="str">
        <f t="shared" si="2019"/>
        <v>Sembilan Puluh Empat</v>
      </c>
    </row>
    <row r="20873" spans="1:12">
      <c r="J20873" s="31">
        <v>95</v>
      </c>
      <c r="K20873" s="33" t="s">
        <v>172</v>
      </c>
      <c r="L20873" s="31" t="str">
        <f t="shared" si="2019"/>
        <v>Sembilan Puluh Lima</v>
      </c>
    </row>
    <row r="20874" spans="1:12">
      <c r="J20874" s="31">
        <v>96</v>
      </c>
      <c r="K20874" s="33" t="s">
        <v>173</v>
      </c>
      <c r="L20874" s="31" t="str">
        <f t="shared" si="2019"/>
        <v>Sembilan Puluh Enam</v>
      </c>
    </row>
    <row r="20875" spans="1:12">
      <c r="J20875" s="31">
        <v>97</v>
      </c>
      <c r="K20875" s="33" t="s">
        <v>174</v>
      </c>
      <c r="L20875" s="31" t="str">
        <f t="shared" si="2019"/>
        <v>Sembilan Puluh Tujuh</v>
      </c>
    </row>
    <row r="20876" spans="1:12">
      <c r="J20876" s="31">
        <v>98</v>
      </c>
      <c r="K20876" s="33" t="s">
        <v>175</v>
      </c>
      <c r="L20876" s="31" t="str">
        <f t="shared" si="2019"/>
        <v>Sembilan Puluh Delapan</v>
      </c>
    </row>
    <row r="20877" spans="1:12">
      <c r="J20877" s="31">
        <v>99</v>
      </c>
      <c r="K20877" s="33" t="s">
        <v>176</v>
      </c>
      <c r="L20877" s="31" t="str">
        <f t="shared" si="2019"/>
        <v>Sembilan Puluh Sembilan</v>
      </c>
    </row>
    <row r="20879" spans="1:12">
      <c r="A20879" s="30" t="e">
        <f>#REF!</f>
        <v>#REF!</v>
      </c>
      <c r="C20879" s="31" t="s">
        <v>409</v>
      </c>
    </row>
    <row r="20880" spans="1:12">
      <c r="A20880" s="32"/>
    </row>
    <row r="20881" spans="1:12">
      <c r="J20881" s="31">
        <v>0</v>
      </c>
      <c r="K20881" s="33" t="s">
        <v>48</v>
      </c>
      <c r="L20881" s="31" t="s">
        <v>49</v>
      </c>
    </row>
    <row r="20882" spans="1:12">
      <c r="A20882" s="34"/>
      <c r="J20882" s="31">
        <v>1</v>
      </c>
      <c r="K20882" s="33" t="s">
        <v>50</v>
      </c>
      <c r="L20882" s="31" t="s">
        <v>51</v>
      </c>
    </row>
    <row r="20883" spans="1:12">
      <c r="A20883" s="255" t="e">
        <f>TRIM(D20891&amp;E20891&amp;D20892&amp;E20892&amp;D20893&amp;E20893&amp;D20894&amp;E20894&amp;D20895&amp;E20895&amp;D20896&amp;E20896&amp;E20897&amp;D20897&amp;" Only")</f>
        <v>#REF!</v>
      </c>
      <c r="B20883" s="255"/>
      <c r="C20883" s="255"/>
      <c r="D20883" s="255"/>
      <c r="E20883" s="35"/>
      <c r="F20883" s="36"/>
      <c r="J20883" s="31">
        <v>2</v>
      </c>
      <c r="K20883" s="33" t="s">
        <v>52</v>
      </c>
      <c r="L20883" s="31" t="s">
        <v>53</v>
      </c>
    </row>
    <row r="20884" spans="1:12">
      <c r="A20884" s="192"/>
      <c r="B20884" s="192"/>
      <c r="C20884" s="192"/>
      <c r="D20884" s="192"/>
      <c r="E20884" s="35"/>
      <c r="F20884" s="36"/>
      <c r="J20884" s="31">
        <v>3</v>
      </c>
      <c r="K20884" s="33" t="s">
        <v>54</v>
      </c>
      <c r="L20884" s="31" t="s">
        <v>55</v>
      </c>
    </row>
    <row r="20885" spans="1:12">
      <c r="A20885" s="192"/>
      <c r="B20885" s="192"/>
      <c r="C20885" s="192"/>
      <c r="D20885" s="192"/>
      <c r="J20885" s="31">
        <v>4</v>
      </c>
      <c r="K20885" s="33" t="s">
        <v>56</v>
      </c>
      <c r="L20885" s="31" t="s">
        <v>57</v>
      </c>
    </row>
    <row r="20886" spans="1:12">
      <c r="A20886" s="255" t="e">
        <f>TRIM(D20901&amp;E20901&amp;D20902&amp;E20902&amp;D20903&amp;E20903&amp;D20904&amp;E20904&amp;D20905&amp;E20905&amp;D20906&amp;E20906&amp;D20907&amp;E20907&amp;" Rupiah")</f>
        <v>#REF!</v>
      </c>
      <c r="B20886" s="255"/>
      <c r="C20886" s="255"/>
      <c r="D20886" s="255"/>
      <c r="E20886" s="35"/>
      <c r="F20886" s="36"/>
      <c r="J20886" s="31">
        <v>5</v>
      </c>
      <c r="K20886" s="33" t="s">
        <v>58</v>
      </c>
      <c r="L20886" s="31" t="s">
        <v>59</v>
      </c>
    </row>
    <row r="20887" spans="1:12">
      <c r="A20887" s="35"/>
      <c r="B20887" s="35"/>
      <c r="C20887" s="35"/>
      <c r="D20887" s="35"/>
      <c r="E20887" s="35"/>
      <c r="F20887" s="36"/>
      <c r="J20887" s="31">
        <v>6</v>
      </c>
      <c r="K20887" s="33" t="s">
        <v>60</v>
      </c>
      <c r="L20887" s="31" t="s">
        <v>61</v>
      </c>
    </row>
    <row r="20888" spans="1:12">
      <c r="J20888" s="31">
        <v>7</v>
      </c>
      <c r="K20888" s="33" t="s">
        <v>62</v>
      </c>
      <c r="L20888" s="31" t="s">
        <v>63</v>
      </c>
    </row>
    <row r="20889" spans="1:12">
      <c r="J20889" s="31">
        <v>8</v>
      </c>
      <c r="K20889" s="33" t="s">
        <v>64</v>
      </c>
      <c r="L20889" s="31" t="s">
        <v>65</v>
      </c>
    </row>
    <row r="20890" spans="1:12">
      <c r="A20890" s="38" t="s">
        <v>66</v>
      </c>
      <c r="J20890" s="31">
        <v>9</v>
      </c>
      <c r="K20890" s="33" t="s">
        <v>67</v>
      </c>
      <c r="L20890" s="31" t="s">
        <v>68</v>
      </c>
    </row>
    <row r="20891" spans="1:12">
      <c r="A20891" s="31" t="s">
        <v>69</v>
      </c>
      <c r="B20891" s="39" t="e">
        <f>TRUNC(A20879/100000000)</f>
        <v>#REF!</v>
      </c>
      <c r="C20891" s="31" t="e">
        <f>B20891*100000000</f>
        <v>#REF!</v>
      </c>
      <c r="D20891" s="31" t="e">
        <f t="shared" ref="D20891:D20897" si="2020">IF(B20891&lt;1,"",VLOOKUP(B20891,$J$3:$K$102,2))</f>
        <v>#REF!</v>
      </c>
      <c r="E20891" s="31" t="e">
        <f>IF(B20891&lt;1,"",IF(B20891&gt;1," Hundreds "," Hundred "))</f>
        <v>#REF!</v>
      </c>
      <c r="J20891" s="31">
        <v>10</v>
      </c>
      <c r="K20891" s="33" t="s">
        <v>70</v>
      </c>
      <c r="L20891" s="31" t="s">
        <v>71</v>
      </c>
    </row>
    <row r="20892" spans="1:12">
      <c r="A20892" s="31" t="s">
        <v>72</v>
      </c>
      <c r="B20892" s="39" t="e">
        <f>TRUNC((A20879-C20891)/1000000)</f>
        <v>#REF!</v>
      </c>
      <c r="C20892" s="31" t="e">
        <f>B20892*1000000</f>
        <v>#REF!</v>
      </c>
      <c r="D20892" s="31" t="e">
        <f t="shared" si="2020"/>
        <v>#REF!</v>
      </c>
      <c r="E20892" s="31" t="e">
        <f>IF(B20891+B20892=0,"",IF(B20892=1," Million "," Millions "))</f>
        <v>#REF!</v>
      </c>
      <c r="J20892" s="31">
        <v>11</v>
      </c>
      <c r="K20892" s="33" t="s">
        <v>73</v>
      </c>
      <c r="L20892" s="31" t="s">
        <v>74</v>
      </c>
    </row>
    <row r="20893" spans="1:12">
      <c r="A20893" s="31" t="s">
        <v>75</v>
      </c>
      <c r="B20893" s="39" t="e">
        <f>TRUNC((A20879-SUM(C20891:C20892))/100000)</f>
        <v>#REF!</v>
      </c>
      <c r="C20893" s="31" t="e">
        <f>B20893*100000</f>
        <v>#REF!</v>
      </c>
      <c r="D20893" s="31" t="e">
        <f t="shared" si="2020"/>
        <v>#REF!</v>
      </c>
      <c r="E20893" s="31" t="e">
        <f>IF(B20893&lt;1,"",IF(B20893&gt;1," Hundreds "," Hundred "))</f>
        <v>#REF!</v>
      </c>
      <c r="J20893" s="31">
        <v>12</v>
      </c>
      <c r="K20893" s="33" t="s">
        <v>76</v>
      </c>
      <c r="L20893" s="31" t="str">
        <f t="shared" ref="L20893:L20900" si="2021">L20883&amp;" Belas"</f>
        <v>Dua Belas</v>
      </c>
    </row>
    <row r="20894" spans="1:12">
      <c r="A20894" s="33" t="s">
        <v>77</v>
      </c>
      <c r="B20894" s="40" t="e">
        <f>TRUNC((A20879-SUM(C20891:C20893))/1000)</f>
        <v>#REF!</v>
      </c>
      <c r="C20894" s="31" t="e">
        <f>B20894*1000</f>
        <v>#REF!</v>
      </c>
      <c r="D20894" s="31" t="e">
        <f t="shared" si="2020"/>
        <v>#REF!</v>
      </c>
      <c r="E20894" s="31" t="e">
        <f>IF(B20893+B20894=0,"",IF(B20894=1," Thousand "," Thousands "))</f>
        <v>#REF!</v>
      </c>
      <c r="J20894" s="31">
        <v>13</v>
      </c>
      <c r="K20894" s="33" t="s">
        <v>78</v>
      </c>
      <c r="L20894" s="31" t="str">
        <f t="shared" si="2021"/>
        <v>Tiga Belas</v>
      </c>
    </row>
    <row r="20895" spans="1:12">
      <c r="A20895" s="33" t="s">
        <v>79</v>
      </c>
      <c r="B20895" s="40" t="e">
        <f>TRUNC((A20879-SUM(C20891:C20894))/100)</f>
        <v>#REF!</v>
      </c>
      <c r="C20895" s="31" t="e">
        <f>B20895*100</f>
        <v>#REF!</v>
      </c>
      <c r="D20895" s="31" t="e">
        <f t="shared" si="2020"/>
        <v>#REF!</v>
      </c>
      <c r="E20895" s="31" t="e">
        <f>IF(B20895&lt;1,"",IF(B20895&gt;1," Hundreds "," Hundred "))</f>
        <v>#REF!</v>
      </c>
      <c r="J20895" s="31">
        <v>14</v>
      </c>
      <c r="K20895" s="33" t="s">
        <v>80</v>
      </c>
      <c r="L20895" s="31" t="str">
        <f t="shared" si="2021"/>
        <v>Empat Belas</v>
      </c>
    </row>
    <row r="20896" spans="1:12">
      <c r="A20896" s="33" t="s">
        <v>81</v>
      </c>
      <c r="B20896" s="41" t="e">
        <f>TRUNC((A20879-SUM(C20891:C20895)))</f>
        <v>#REF!</v>
      </c>
      <c r="C20896" s="42" t="e">
        <f>B20896</f>
        <v>#REF!</v>
      </c>
      <c r="D20896" s="31" t="e">
        <f t="shared" si="2020"/>
        <v>#REF!</v>
      </c>
      <c r="E20896" s="31" t="e">
        <f>IF(SUM(C20891:C20896)&lt;1,"",IF(B20897&lt;1,""," And "))</f>
        <v>#REF!</v>
      </c>
      <c r="J20896" s="31">
        <v>15</v>
      </c>
      <c r="K20896" s="33" t="s">
        <v>82</v>
      </c>
      <c r="L20896" s="31" t="str">
        <f t="shared" si="2021"/>
        <v>Lima Belas</v>
      </c>
    </row>
    <row r="20897" spans="1:12">
      <c r="A20897" s="33" t="s">
        <v>83</v>
      </c>
      <c r="B20897" s="40" t="e">
        <f>ROUND(A20879-SUM(C20891:C20896),2)*100</f>
        <v>#REF!</v>
      </c>
      <c r="D20897" s="43" t="e">
        <f t="shared" si="2020"/>
        <v>#REF!</v>
      </c>
      <c r="E20897" s="31" t="e">
        <f>IF(B20897&lt;1,"",IF(B20897=1," Cent "," Cents "))</f>
        <v>#REF!</v>
      </c>
      <c r="J20897" s="31">
        <v>16</v>
      </c>
      <c r="K20897" s="33" t="s">
        <v>84</v>
      </c>
      <c r="L20897" s="31" t="str">
        <f t="shared" si="2021"/>
        <v>Enam Belas</v>
      </c>
    </row>
    <row r="20898" spans="1:12">
      <c r="J20898" s="31">
        <v>17</v>
      </c>
      <c r="K20898" s="33" t="s">
        <v>85</v>
      </c>
      <c r="L20898" s="31" t="str">
        <f t="shared" si="2021"/>
        <v>Tujuh Belas</v>
      </c>
    </row>
    <row r="20899" spans="1:12">
      <c r="A20899" s="44"/>
      <c r="J20899" s="31">
        <v>18</v>
      </c>
      <c r="K20899" s="33" t="s">
        <v>86</v>
      </c>
      <c r="L20899" s="31" t="str">
        <f t="shared" si="2021"/>
        <v>Delapan Belas</v>
      </c>
    </row>
    <row r="20900" spans="1:12">
      <c r="A20900" s="38" t="s">
        <v>87</v>
      </c>
      <c r="J20900" s="31">
        <v>19</v>
      </c>
      <c r="K20900" s="33" t="s">
        <v>88</v>
      </c>
      <c r="L20900" s="31" t="str">
        <f t="shared" si="2021"/>
        <v>Sembilan Belas</v>
      </c>
    </row>
    <row r="20901" spans="1:12">
      <c r="A20901" s="31" t="s">
        <v>69</v>
      </c>
      <c r="B20901" s="39" t="e">
        <f>TRUNC(A20879/100000000)</f>
        <v>#REF!</v>
      </c>
      <c r="C20901" s="31" t="e">
        <f>B20901*100000000</f>
        <v>#REF!</v>
      </c>
      <c r="D20901" s="31" t="e">
        <f>IF(B20901&lt;1,"",IF(B20901=1,"",VLOOKUP(B20901,$J$3:$L$102,3)))</f>
        <v>#REF!</v>
      </c>
      <c r="E20901" s="31" t="e">
        <f>IF(B20901&lt;1,"",IF(B20901=1,"Seratus "," Ratus "))</f>
        <v>#REF!</v>
      </c>
      <c r="J20901" s="31">
        <v>20</v>
      </c>
      <c r="K20901" s="33" t="s">
        <v>89</v>
      </c>
      <c r="L20901" s="31" t="s">
        <v>90</v>
      </c>
    </row>
    <row r="20902" spans="1:12">
      <c r="A20902" s="31" t="s">
        <v>72</v>
      </c>
      <c r="B20902" s="39" t="e">
        <f>TRUNC((A20879-C20901)/1000000)</f>
        <v>#REF!</v>
      </c>
      <c r="C20902" s="31" t="e">
        <f>B20902*1000000</f>
        <v>#REF!</v>
      </c>
      <c r="D20902" s="31" t="e">
        <f>IF(B20902&lt;1,"",VLOOKUP(B20902,$J$3:$L$102,3))</f>
        <v>#REF!</v>
      </c>
      <c r="E20902" s="31" t="e">
        <f>IF(B20901+B20902=0,""," Juta ")</f>
        <v>#REF!</v>
      </c>
      <c r="J20902" s="31">
        <v>21</v>
      </c>
      <c r="K20902" s="33" t="s">
        <v>91</v>
      </c>
      <c r="L20902" s="31" t="str">
        <f t="shared" ref="L20902:L20910" si="2022">$L$23&amp;" "&amp;L20882</f>
        <v>Dua Puluh Satu</v>
      </c>
    </row>
    <row r="20903" spans="1:12">
      <c r="A20903" s="31" t="s">
        <v>75</v>
      </c>
      <c r="B20903" s="39" t="e">
        <f>TRUNC((A20879-SUM(C20901:C20902))/100000)</f>
        <v>#REF!</v>
      </c>
      <c r="C20903" s="31" t="e">
        <f>B20903*100000</f>
        <v>#REF!</v>
      </c>
      <c r="D20903" s="31" t="e">
        <f>IF(B20903&lt;1,"",IF(B20903=1,"",VLOOKUP(B20903,$J$3:$L$102,3)))</f>
        <v>#REF!</v>
      </c>
      <c r="E20903" s="31" t="e">
        <f>IF(B20903&lt;1,"",IF(B20903=1," Seratus "," Ratus "))</f>
        <v>#REF!</v>
      </c>
      <c r="J20903" s="31">
        <v>22</v>
      </c>
      <c r="K20903" s="33" t="s">
        <v>92</v>
      </c>
      <c r="L20903" s="31" t="str">
        <f t="shared" si="2022"/>
        <v>Dua Puluh Dua</v>
      </c>
    </row>
    <row r="20904" spans="1:12">
      <c r="A20904" s="33" t="s">
        <v>77</v>
      </c>
      <c r="B20904" s="40" t="e">
        <f>TRUNC((A20879-SUM(C20901:C20903))/1000)</f>
        <v>#REF!</v>
      </c>
      <c r="C20904" s="31" t="e">
        <f>B20904*1000</f>
        <v>#REF!</v>
      </c>
      <c r="D20904" s="31" t="e">
        <f>IF(B20904&lt;1,"",IF(B20904=1,"",VLOOKUP(B20904,$J$3:$L$102,3)))</f>
        <v>#REF!</v>
      </c>
      <c r="E20904" s="31" t="e">
        <f>IF(B20903+B20904&lt;1,"",IF(B20904=1," Seribu "," Ribu "))</f>
        <v>#REF!</v>
      </c>
      <c r="J20904" s="31">
        <v>23</v>
      </c>
      <c r="K20904" s="33" t="s">
        <v>93</v>
      </c>
      <c r="L20904" s="31" t="str">
        <f t="shared" si="2022"/>
        <v>Dua Puluh Tiga</v>
      </c>
    </row>
    <row r="20905" spans="1:12">
      <c r="A20905" s="33" t="s">
        <v>79</v>
      </c>
      <c r="B20905" s="40" t="e">
        <f>TRUNC((A20879-SUM(C20901:C20904))/100)</f>
        <v>#REF!</v>
      </c>
      <c r="C20905" s="31" t="e">
        <f>B20905*100</f>
        <v>#REF!</v>
      </c>
      <c r="D20905" s="31" t="e">
        <f>IF(B20905&lt;1,"",IF(B20905=1,"",VLOOKUP(B20905,$J$3:$L$102,3)))</f>
        <v>#REF!</v>
      </c>
      <c r="E20905" s="31" t="e">
        <f>IF(B20905&lt;1,"",IF(B20905=1," Seratus "," Ratus "))</f>
        <v>#REF!</v>
      </c>
      <c r="J20905" s="31">
        <v>24</v>
      </c>
      <c r="K20905" s="33" t="s">
        <v>94</v>
      </c>
      <c r="L20905" s="31" t="str">
        <f t="shared" si="2022"/>
        <v>Dua Puluh Empat</v>
      </c>
    </row>
    <row r="20906" spans="1:12">
      <c r="A20906" s="33" t="s">
        <v>81</v>
      </c>
      <c r="B20906" s="41" t="e">
        <f>TRUNC((A20879-SUM(C20901:C20905)))</f>
        <v>#REF!</v>
      </c>
      <c r="C20906" s="42" t="e">
        <f>B20906</f>
        <v>#REF!</v>
      </c>
      <c r="D20906" s="31" t="e">
        <f>IF(B20906&lt;1,"",VLOOKUP(B20906,$J$3:$L$102,3))</f>
        <v>#REF!</v>
      </c>
      <c r="E20906" s="31" t="e">
        <f>IF(SUM(C20901:C20906)&lt;1,"",IF(B20907&lt;1,""," Dan "))</f>
        <v>#REF!</v>
      </c>
      <c r="J20906" s="31">
        <v>25</v>
      </c>
      <c r="K20906" s="33" t="s">
        <v>95</v>
      </c>
      <c r="L20906" s="31" t="str">
        <f t="shared" si="2022"/>
        <v>Dua Puluh Lima</v>
      </c>
    </row>
    <row r="20907" spans="1:12">
      <c r="A20907" s="33" t="s">
        <v>83</v>
      </c>
      <c r="B20907" s="40" t="e">
        <f>ROUND(A20879-SUM(C20901:C20906),2)*100</f>
        <v>#REF!</v>
      </c>
      <c r="D20907" s="31" t="e">
        <f>IF(B20907&lt;1,"",VLOOKUP(B20907,$J$3:$L$102,3))</f>
        <v>#REF!</v>
      </c>
      <c r="E20907" s="31" t="e">
        <f>IF(B20907&lt;1,""," Sen ")</f>
        <v>#REF!</v>
      </c>
      <c r="J20907" s="31">
        <v>26</v>
      </c>
      <c r="K20907" s="33" t="s">
        <v>96</v>
      </c>
      <c r="L20907" s="31" t="str">
        <f t="shared" si="2022"/>
        <v>Dua Puluh Enam</v>
      </c>
    </row>
    <row r="20908" spans="1:12">
      <c r="J20908" s="31">
        <v>27</v>
      </c>
      <c r="K20908" s="33" t="s">
        <v>97</v>
      </c>
      <c r="L20908" s="31" t="str">
        <f t="shared" si="2022"/>
        <v>Dua Puluh Tujuh</v>
      </c>
    </row>
    <row r="20909" spans="1:12">
      <c r="J20909" s="31">
        <v>28</v>
      </c>
      <c r="K20909" s="33" t="s">
        <v>98</v>
      </c>
      <c r="L20909" s="31" t="str">
        <f t="shared" si="2022"/>
        <v>Dua Puluh Delapan</v>
      </c>
    </row>
    <row r="20910" spans="1:12">
      <c r="J20910" s="31">
        <v>29</v>
      </c>
      <c r="K20910" s="33" t="s">
        <v>99</v>
      </c>
      <c r="L20910" s="31" t="str">
        <f t="shared" si="2022"/>
        <v>Dua Puluh Sembilan</v>
      </c>
    </row>
    <row r="20911" spans="1:12">
      <c r="J20911" s="31">
        <v>30</v>
      </c>
      <c r="K20911" s="33" t="s">
        <v>100</v>
      </c>
      <c r="L20911" s="31" t="s">
        <v>101</v>
      </c>
    </row>
    <row r="20912" spans="1:12">
      <c r="J20912" s="31">
        <v>31</v>
      </c>
      <c r="K20912" s="33" t="s">
        <v>102</v>
      </c>
      <c r="L20912" s="31" t="str">
        <f t="shared" ref="L20912:L20920" si="2023">$L$33&amp;" "&amp;L20882</f>
        <v>Tiga Puluh Satu</v>
      </c>
    </row>
    <row r="20913" spans="1:12">
      <c r="J20913" s="31">
        <v>32</v>
      </c>
      <c r="K20913" s="33" t="s">
        <v>103</v>
      </c>
      <c r="L20913" s="31" t="str">
        <f t="shared" si="2023"/>
        <v>Tiga Puluh Dua</v>
      </c>
    </row>
    <row r="20914" spans="1:12">
      <c r="J20914" s="31">
        <v>33</v>
      </c>
      <c r="K20914" s="33" t="s">
        <v>104</v>
      </c>
      <c r="L20914" s="31" t="str">
        <f t="shared" si="2023"/>
        <v>Tiga Puluh Tiga</v>
      </c>
    </row>
    <row r="20915" spans="1:12">
      <c r="J20915" s="31">
        <v>34</v>
      </c>
      <c r="K20915" s="33" t="s">
        <v>105</v>
      </c>
      <c r="L20915" s="31" t="str">
        <f t="shared" si="2023"/>
        <v>Tiga Puluh Empat</v>
      </c>
    </row>
    <row r="20916" spans="1:12">
      <c r="J20916" s="31">
        <v>35</v>
      </c>
      <c r="K20916" s="33" t="s">
        <v>106</v>
      </c>
      <c r="L20916" s="31" t="str">
        <f t="shared" si="2023"/>
        <v>Tiga Puluh Lima</v>
      </c>
    </row>
    <row r="20917" spans="1:12">
      <c r="J20917" s="31">
        <v>36</v>
      </c>
      <c r="K20917" s="33" t="s">
        <v>107</v>
      </c>
      <c r="L20917" s="31" t="str">
        <f t="shared" si="2023"/>
        <v>Tiga Puluh Enam</v>
      </c>
    </row>
    <row r="20918" spans="1:12">
      <c r="J20918" s="31">
        <v>37</v>
      </c>
      <c r="K20918" s="33" t="s">
        <v>108</v>
      </c>
      <c r="L20918" s="31" t="str">
        <f t="shared" si="2023"/>
        <v>Tiga Puluh Tujuh</v>
      </c>
    </row>
    <row r="20919" spans="1:12">
      <c r="J20919" s="31">
        <v>38</v>
      </c>
      <c r="K20919" s="33" t="s">
        <v>109</v>
      </c>
      <c r="L20919" s="31" t="str">
        <f t="shared" si="2023"/>
        <v>Tiga Puluh Delapan</v>
      </c>
    </row>
    <row r="20920" spans="1:12">
      <c r="J20920" s="31">
        <v>39</v>
      </c>
      <c r="K20920" s="33" t="s">
        <v>110</v>
      </c>
      <c r="L20920" s="31" t="str">
        <f t="shared" si="2023"/>
        <v>Tiga Puluh Sembilan</v>
      </c>
    </row>
    <row r="20921" spans="1:12">
      <c r="B20921" s="35"/>
      <c r="C20921" s="35"/>
      <c r="D20921" s="35"/>
      <c r="J20921" s="31">
        <v>40</v>
      </c>
      <c r="K20921" s="33" t="s">
        <v>111</v>
      </c>
      <c r="L20921" s="31" t="s">
        <v>112</v>
      </c>
    </row>
    <row r="20922" spans="1:12">
      <c r="A20922" s="35"/>
      <c r="B20922" s="35"/>
      <c r="C20922" s="35"/>
      <c r="D20922" s="35"/>
      <c r="J20922" s="31">
        <v>41</v>
      </c>
      <c r="K20922" s="33" t="s">
        <v>113</v>
      </c>
      <c r="L20922" s="31" t="str">
        <f t="shared" ref="L20922:L20930" si="2024">$L$43&amp;" "&amp;L20882</f>
        <v>Empat Puluh Satu</v>
      </c>
    </row>
    <row r="20923" spans="1:12">
      <c r="J20923" s="31">
        <v>42</v>
      </c>
      <c r="K20923" s="33" t="s">
        <v>114</v>
      </c>
      <c r="L20923" s="31" t="str">
        <f t="shared" si="2024"/>
        <v>Empat Puluh Dua</v>
      </c>
    </row>
    <row r="20924" spans="1:12">
      <c r="A20924" s="38"/>
      <c r="J20924" s="31">
        <v>43</v>
      </c>
      <c r="K20924" s="33" t="s">
        <v>115</v>
      </c>
      <c r="L20924" s="31" t="str">
        <f t="shared" si="2024"/>
        <v>Empat Puluh Tiga</v>
      </c>
    </row>
    <row r="20925" spans="1:12">
      <c r="J20925" s="31">
        <v>44</v>
      </c>
      <c r="K20925" s="33" t="s">
        <v>116</v>
      </c>
      <c r="L20925" s="31" t="str">
        <f t="shared" si="2024"/>
        <v>Empat Puluh Empat</v>
      </c>
    </row>
    <row r="20926" spans="1:12">
      <c r="J20926" s="31">
        <v>45</v>
      </c>
      <c r="K20926" s="33" t="s">
        <v>117</v>
      </c>
      <c r="L20926" s="31" t="str">
        <f t="shared" si="2024"/>
        <v>Empat Puluh Lima</v>
      </c>
    </row>
    <row r="20927" spans="1:12">
      <c r="J20927" s="31">
        <v>46</v>
      </c>
      <c r="K20927" s="33" t="s">
        <v>118</v>
      </c>
      <c r="L20927" s="31" t="str">
        <f t="shared" si="2024"/>
        <v>Empat Puluh Enam</v>
      </c>
    </row>
    <row r="20928" spans="1:12">
      <c r="J20928" s="31">
        <v>47</v>
      </c>
      <c r="K20928" s="33" t="s">
        <v>119</v>
      </c>
      <c r="L20928" s="31" t="str">
        <f t="shared" si="2024"/>
        <v>Empat Puluh Tujuh</v>
      </c>
    </row>
    <row r="20929" spans="10:12">
      <c r="J20929" s="31">
        <v>48</v>
      </c>
      <c r="K20929" s="33" t="s">
        <v>120</v>
      </c>
      <c r="L20929" s="31" t="str">
        <f t="shared" si="2024"/>
        <v>Empat Puluh Delapan</v>
      </c>
    </row>
    <row r="20930" spans="10:12">
      <c r="J20930" s="31">
        <v>49</v>
      </c>
      <c r="K20930" s="33" t="s">
        <v>121</v>
      </c>
      <c r="L20930" s="31" t="str">
        <f t="shared" si="2024"/>
        <v>Empat Puluh Sembilan</v>
      </c>
    </row>
    <row r="20931" spans="10:12">
      <c r="J20931" s="31">
        <v>50</v>
      </c>
      <c r="K20931" s="33" t="s">
        <v>122</v>
      </c>
      <c r="L20931" s="31" t="s">
        <v>123</v>
      </c>
    </row>
    <row r="20932" spans="10:12">
      <c r="J20932" s="31">
        <v>51</v>
      </c>
      <c r="K20932" s="33" t="s">
        <v>124</v>
      </c>
      <c r="L20932" s="31" t="str">
        <f t="shared" ref="L20932:L20940" si="2025">$L$53&amp;" "&amp;L20882</f>
        <v>Lima Puluh Satu</v>
      </c>
    </row>
    <row r="20933" spans="10:12">
      <c r="J20933" s="31">
        <v>52</v>
      </c>
      <c r="K20933" s="33" t="s">
        <v>125</v>
      </c>
      <c r="L20933" s="31" t="str">
        <f t="shared" si="2025"/>
        <v>Lima Puluh Dua</v>
      </c>
    </row>
    <row r="20934" spans="10:12">
      <c r="J20934" s="31">
        <v>53</v>
      </c>
      <c r="K20934" s="33" t="s">
        <v>126</v>
      </c>
      <c r="L20934" s="31" t="str">
        <f t="shared" si="2025"/>
        <v>Lima Puluh Tiga</v>
      </c>
    </row>
    <row r="20935" spans="10:12">
      <c r="J20935" s="31">
        <v>54</v>
      </c>
      <c r="K20935" s="33" t="s">
        <v>127</v>
      </c>
      <c r="L20935" s="31" t="str">
        <f t="shared" si="2025"/>
        <v>Lima Puluh Empat</v>
      </c>
    </row>
    <row r="20936" spans="10:12">
      <c r="J20936" s="31">
        <v>55</v>
      </c>
      <c r="K20936" s="33" t="s">
        <v>128</v>
      </c>
      <c r="L20936" s="31" t="str">
        <f t="shared" si="2025"/>
        <v>Lima Puluh Lima</v>
      </c>
    </row>
    <row r="20937" spans="10:12">
      <c r="J20937" s="31">
        <v>56</v>
      </c>
      <c r="K20937" s="33" t="s">
        <v>129</v>
      </c>
      <c r="L20937" s="31" t="str">
        <f t="shared" si="2025"/>
        <v>Lima Puluh Enam</v>
      </c>
    </row>
    <row r="20938" spans="10:12">
      <c r="J20938" s="31">
        <v>57</v>
      </c>
      <c r="K20938" s="33" t="s">
        <v>130</v>
      </c>
      <c r="L20938" s="31" t="str">
        <f t="shared" si="2025"/>
        <v>Lima Puluh Tujuh</v>
      </c>
    </row>
    <row r="20939" spans="10:12">
      <c r="J20939" s="31">
        <v>58</v>
      </c>
      <c r="K20939" s="33" t="s">
        <v>131</v>
      </c>
      <c r="L20939" s="31" t="str">
        <f t="shared" si="2025"/>
        <v>Lima Puluh Delapan</v>
      </c>
    </row>
    <row r="20940" spans="10:12">
      <c r="J20940" s="31">
        <v>59</v>
      </c>
      <c r="K20940" s="33" t="s">
        <v>132</v>
      </c>
      <c r="L20940" s="31" t="str">
        <f t="shared" si="2025"/>
        <v>Lima Puluh Sembilan</v>
      </c>
    </row>
    <row r="20941" spans="10:12">
      <c r="J20941" s="31">
        <v>60</v>
      </c>
      <c r="K20941" s="33" t="s">
        <v>133</v>
      </c>
      <c r="L20941" s="31" t="s">
        <v>134</v>
      </c>
    </row>
    <row r="20942" spans="10:12">
      <c r="J20942" s="31">
        <v>61</v>
      </c>
      <c r="K20942" s="33" t="s">
        <v>135</v>
      </c>
      <c r="L20942" s="31" t="str">
        <f t="shared" ref="L20942:L20950" si="2026">$L$63&amp;" "&amp;L20882</f>
        <v>Enam Puluh Satu</v>
      </c>
    </row>
    <row r="20943" spans="10:12">
      <c r="J20943" s="31">
        <v>62</v>
      </c>
      <c r="K20943" s="33" t="s">
        <v>136</v>
      </c>
      <c r="L20943" s="31" t="str">
        <f t="shared" si="2026"/>
        <v>Enam Puluh Dua</v>
      </c>
    </row>
    <row r="20944" spans="10:12">
      <c r="J20944" s="31">
        <v>63</v>
      </c>
      <c r="K20944" s="33" t="s">
        <v>137</v>
      </c>
      <c r="L20944" s="31" t="str">
        <f t="shared" si="2026"/>
        <v>Enam Puluh Tiga</v>
      </c>
    </row>
    <row r="20945" spans="10:12">
      <c r="J20945" s="31">
        <v>64</v>
      </c>
      <c r="K20945" s="33" t="s">
        <v>138</v>
      </c>
      <c r="L20945" s="31" t="str">
        <f t="shared" si="2026"/>
        <v>Enam Puluh Empat</v>
      </c>
    </row>
    <row r="20946" spans="10:12">
      <c r="J20946" s="31">
        <v>65</v>
      </c>
      <c r="K20946" s="33" t="s">
        <v>139</v>
      </c>
      <c r="L20946" s="31" t="str">
        <f t="shared" si="2026"/>
        <v>Enam Puluh Lima</v>
      </c>
    </row>
    <row r="20947" spans="10:12">
      <c r="J20947" s="31">
        <v>66</v>
      </c>
      <c r="K20947" s="33" t="s">
        <v>140</v>
      </c>
      <c r="L20947" s="31" t="str">
        <f t="shared" si="2026"/>
        <v>Enam Puluh Enam</v>
      </c>
    </row>
    <row r="20948" spans="10:12">
      <c r="J20948" s="31">
        <v>67</v>
      </c>
      <c r="K20948" s="33" t="s">
        <v>141</v>
      </c>
      <c r="L20948" s="31" t="str">
        <f t="shared" si="2026"/>
        <v>Enam Puluh Tujuh</v>
      </c>
    </row>
    <row r="20949" spans="10:12">
      <c r="J20949" s="31">
        <v>68</v>
      </c>
      <c r="K20949" s="33" t="s">
        <v>142</v>
      </c>
      <c r="L20949" s="31" t="str">
        <f t="shared" si="2026"/>
        <v>Enam Puluh Delapan</v>
      </c>
    </row>
    <row r="20950" spans="10:12">
      <c r="J20950" s="31">
        <v>69</v>
      </c>
      <c r="K20950" s="33" t="s">
        <v>143</v>
      </c>
      <c r="L20950" s="31" t="str">
        <f t="shared" si="2026"/>
        <v>Enam Puluh Sembilan</v>
      </c>
    </row>
    <row r="20951" spans="10:12">
      <c r="J20951" s="31">
        <v>70</v>
      </c>
      <c r="K20951" s="33" t="s">
        <v>144</v>
      </c>
      <c r="L20951" s="31" t="s">
        <v>145</v>
      </c>
    </row>
    <row r="20952" spans="10:12">
      <c r="J20952" s="31">
        <v>71</v>
      </c>
      <c r="K20952" s="33" t="s">
        <v>146</v>
      </c>
      <c r="L20952" s="31" t="str">
        <f t="shared" ref="L20952:L20960" si="2027">$L$73&amp;" "&amp;L20882</f>
        <v>Tujuh Puluh Satu</v>
      </c>
    </row>
    <row r="20953" spans="10:12">
      <c r="J20953" s="31">
        <v>72</v>
      </c>
      <c r="K20953" s="33" t="s">
        <v>147</v>
      </c>
      <c r="L20953" s="31" t="str">
        <f t="shared" si="2027"/>
        <v>Tujuh Puluh Dua</v>
      </c>
    </row>
    <row r="20954" spans="10:12">
      <c r="J20954" s="31">
        <v>73</v>
      </c>
      <c r="K20954" s="33" t="s">
        <v>148</v>
      </c>
      <c r="L20954" s="31" t="str">
        <f t="shared" si="2027"/>
        <v>Tujuh Puluh Tiga</v>
      </c>
    </row>
    <row r="20955" spans="10:12">
      <c r="J20955" s="31">
        <v>74</v>
      </c>
      <c r="K20955" s="33" t="s">
        <v>149</v>
      </c>
      <c r="L20955" s="31" t="str">
        <f t="shared" si="2027"/>
        <v>Tujuh Puluh Empat</v>
      </c>
    </row>
    <row r="20956" spans="10:12">
      <c r="J20956" s="31">
        <v>75</v>
      </c>
      <c r="K20956" s="33" t="s">
        <v>150</v>
      </c>
      <c r="L20956" s="31" t="str">
        <f t="shared" si="2027"/>
        <v>Tujuh Puluh Lima</v>
      </c>
    </row>
    <row r="20957" spans="10:12">
      <c r="J20957" s="31">
        <v>76</v>
      </c>
      <c r="K20957" s="33" t="s">
        <v>151</v>
      </c>
      <c r="L20957" s="31" t="str">
        <f t="shared" si="2027"/>
        <v>Tujuh Puluh Enam</v>
      </c>
    </row>
    <row r="20958" spans="10:12">
      <c r="J20958" s="31">
        <v>77</v>
      </c>
      <c r="K20958" s="33" t="s">
        <v>152</v>
      </c>
      <c r="L20958" s="31" t="str">
        <f t="shared" si="2027"/>
        <v>Tujuh Puluh Tujuh</v>
      </c>
    </row>
    <row r="20959" spans="10:12">
      <c r="J20959" s="31">
        <v>78</v>
      </c>
      <c r="K20959" s="33" t="s">
        <v>153</v>
      </c>
      <c r="L20959" s="31" t="str">
        <f t="shared" si="2027"/>
        <v>Tujuh Puluh Delapan</v>
      </c>
    </row>
    <row r="20960" spans="10:12">
      <c r="J20960" s="31">
        <v>79</v>
      </c>
      <c r="K20960" s="33" t="s">
        <v>154</v>
      </c>
      <c r="L20960" s="31" t="str">
        <f t="shared" si="2027"/>
        <v>Tujuh Puluh Sembilan</v>
      </c>
    </row>
    <row r="20961" spans="10:12">
      <c r="J20961" s="31">
        <v>80</v>
      </c>
      <c r="K20961" s="33" t="s">
        <v>155</v>
      </c>
      <c r="L20961" s="31" t="s">
        <v>156</v>
      </c>
    </row>
    <row r="20962" spans="10:12">
      <c r="J20962" s="31">
        <v>81</v>
      </c>
      <c r="K20962" s="33" t="s">
        <v>157</v>
      </c>
      <c r="L20962" s="31" t="str">
        <f t="shared" ref="L20962:L20970" si="2028">$L$83&amp;" "&amp;L20882</f>
        <v>Delapan Puluh Satu</v>
      </c>
    </row>
    <row r="20963" spans="10:12">
      <c r="J20963" s="31">
        <v>82</v>
      </c>
      <c r="K20963" s="33" t="s">
        <v>158</v>
      </c>
      <c r="L20963" s="31" t="str">
        <f t="shared" si="2028"/>
        <v>Delapan Puluh Dua</v>
      </c>
    </row>
    <row r="20964" spans="10:12">
      <c r="J20964" s="31">
        <v>83</v>
      </c>
      <c r="K20964" s="33" t="s">
        <v>159</v>
      </c>
      <c r="L20964" s="31" t="str">
        <f t="shared" si="2028"/>
        <v>Delapan Puluh Tiga</v>
      </c>
    </row>
    <row r="20965" spans="10:12">
      <c r="J20965" s="31">
        <v>84</v>
      </c>
      <c r="K20965" s="33" t="s">
        <v>160</v>
      </c>
      <c r="L20965" s="31" t="str">
        <f t="shared" si="2028"/>
        <v>Delapan Puluh Empat</v>
      </c>
    </row>
    <row r="20966" spans="10:12">
      <c r="J20966" s="31">
        <v>85</v>
      </c>
      <c r="K20966" s="33" t="s">
        <v>161</v>
      </c>
      <c r="L20966" s="31" t="str">
        <f t="shared" si="2028"/>
        <v>Delapan Puluh Lima</v>
      </c>
    </row>
    <row r="20967" spans="10:12">
      <c r="J20967" s="31">
        <v>86</v>
      </c>
      <c r="K20967" s="33" t="s">
        <v>162</v>
      </c>
      <c r="L20967" s="31" t="str">
        <f t="shared" si="2028"/>
        <v>Delapan Puluh Enam</v>
      </c>
    </row>
    <row r="20968" spans="10:12">
      <c r="J20968" s="31">
        <v>87</v>
      </c>
      <c r="K20968" s="33" t="s">
        <v>163</v>
      </c>
      <c r="L20968" s="31" t="str">
        <f t="shared" si="2028"/>
        <v>Delapan Puluh Tujuh</v>
      </c>
    </row>
    <row r="20969" spans="10:12">
      <c r="J20969" s="31">
        <v>88</v>
      </c>
      <c r="K20969" s="33" t="s">
        <v>164</v>
      </c>
      <c r="L20969" s="31" t="str">
        <f t="shared" si="2028"/>
        <v>Delapan Puluh Delapan</v>
      </c>
    </row>
    <row r="20970" spans="10:12">
      <c r="J20970" s="31">
        <v>89</v>
      </c>
      <c r="K20970" s="33" t="s">
        <v>165</v>
      </c>
      <c r="L20970" s="31" t="str">
        <f t="shared" si="2028"/>
        <v>Delapan Puluh Sembilan</v>
      </c>
    </row>
    <row r="20971" spans="10:12">
      <c r="J20971" s="31">
        <v>90</v>
      </c>
      <c r="K20971" s="33" t="s">
        <v>166</v>
      </c>
      <c r="L20971" s="31" t="s">
        <v>167</v>
      </c>
    </row>
    <row r="20972" spans="10:12">
      <c r="J20972" s="31">
        <v>91</v>
      </c>
      <c r="K20972" s="33" t="s">
        <v>168</v>
      </c>
      <c r="L20972" s="31" t="str">
        <f t="shared" ref="L20972:L20980" si="2029">$L$93&amp;" "&amp;L20882</f>
        <v>Sembilan Puluh Satu</v>
      </c>
    </row>
    <row r="20973" spans="10:12">
      <c r="J20973" s="31">
        <v>92</v>
      </c>
      <c r="K20973" s="33" t="s">
        <v>169</v>
      </c>
      <c r="L20973" s="31" t="str">
        <f t="shared" si="2029"/>
        <v>Sembilan Puluh Dua</v>
      </c>
    </row>
    <row r="20974" spans="10:12">
      <c r="J20974" s="31">
        <v>93</v>
      </c>
      <c r="K20974" s="33" t="s">
        <v>170</v>
      </c>
      <c r="L20974" s="31" t="str">
        <f t="shared" si="2029"/>
        <v>Sembilan Puluh Tiga</v>
      </c>
    </row>
    <row r="20975" spans="10:12">
      <c r="J20975" s="31">
        <v>94</v>
      </c>
      <c r="K20975" s="33" t="s">
        <v>171</v>
      </c>
      <c r="L20975" s="31" t="str">
        <f t="shared" si="2029"/>
        <v>Sembilan Puluh Empat</v>
      </c>
    </row>
    <row r="20976" spans="10:12">
      <c r="J20976" s="31">
        <v>95</v>
      </c>
      <c r="K20976" s="33" t="s">
        <v>172</v>
      </c>
      <c r="L20976" s="31" t="str">
        <f t="shared" si="2029"/>
        <v>Sembilan Puluh Lima</v>
      </c>
    </row>
    <row r="20977" spans="1:12">
      <c r="J20977" s="31">
        <v>96</v>
      </c>
      <c r="K20977" s="33" t="s">
        <v>173</v>
      </c>
      <c r="L20977" s="31" t="str">
        <f t="shared" si="2029"/>
        <v>Sembilan Puluh Enam</v>
      </c>
    </row>
    <row r="20978" spans="1:12">
      <c r="J20978" s="31">
        <v>97</v>
      </c>
      <c r="K20978" s="33" t="s">
        <v>174</v>
      </c>
      <c r="L20978" s="31" t="str">
        <f t="shared" si="2029"/>
        <v>Sembilan Puluh Tujuh</v>
      </c>
    </row>
    <row r="20979" spans="1:12">
      <c r="J20979" s="31">
        <v>98</v>
      </c>
      <c r="K20979" s="33" t="s">
        <v>175</v>
      </c>
      <c r="L20979" s="31" t="str">
        <f t="shared" si="2029"/>
        <v>Sembilan Puluh Delapan</v>
      </c>
    </row>
    <row r="20980" spans="1:12">
      <c r="J20980" s="31">
        <v>99</v>
      </c>
      <c r="K20980" s="33" t="s">
        <v>176</v>
      </c>
      <c r="L20980" s="31" t="str">
        <f t="shared" si="2029"/>
        <v>Sembilan Puluh Sembilan</v>
      </c>
    </row>
    <row r="20982" spans="1:12">
      <c r="A20982" s="30" t="e">
        <f>#REF!</f>
        <v>#REF!</v>
      </c>
      <c r="C20982" s="31" t="s">
        <v>442</v>
      </c>
    </row>
    <row r="20983" spans="1:12">
      <c r="A20983" s="32"/>
    </row>
    <row r="20984" spans="1:12">
      <c r="J20984" s="31">
        <v>0</v>
      </c>
      <c r="K20984" s="33" t="s">
        <v>48</v>
      </c>
      <c r="L20984" s="31" t="s">
        <v>49</v>
      </c>
    </row>
    <row r="20985" spans="1:12">
      <c r="A20985" s="34"/>
      <c r="J20985" s="31">
        <v>1</v>
      </c>
      <c r="K20985" s="33" t="s">
        <v>50</v>
      </c>
      <c r="L20985" s="31" t="s">
        <v>51</v>
      </c>
    </row>
    <row r="20986" spans="1:12">
      <c r="A20986" s="255" t="e">
        <f>TRIM(D20994&amp;E20994&amp;D20995&amp;E20995&amp;D20996&amp;E20996&amp;D20997&amp;E20997&amp;D20998&amp;E20998&amp;D20999&amp;E20999&amp;E21000&amp;D21000&amp;" Only")</f>
        <v>#REF!</v>
      </c>
      <c r="B20986" s="255"/>
      <c r="C20986" s="255"/>
      <c r="D20986" s="255"/>
      <c r="E20986" s="35"/>
      <c r="F20986" s="36"/>
      <c r="J20986" s="31">
        <v>2</v>
      </c>
      <c r="K20986" s="33" t="s">
        <v>52</v>
      </c>
      <c r="L20986" s="31" t="s">
        <v>53</v>
      </c>
    </row>
    <row r="20987" spans="1:12">
      <c r="A20987" s="193"/>
      <c r="B20987" s="193"/>
      <c r="C20987" s="193"/>
      <c r="D20987" s="193"/>
      <c r="E20987" s="35"/>
      <c r="F20987" s="36"/>
      <c r="J20987" s="31">
        <v>3</v>
      </c>
      <c r="K20987" s="33" t="s">
        <v>54</v>
      </c>
      <c r="L20987" s="31" t="s">
        <v>55</v>
      </c>
    </row>
    <row r="20988" spans="1:12">
      <c r="A20988" s="193"/>
      <c r="B20988" s="193"/>
      <c r="C20988" s="193"/>
      <c r="D20988" s="193"/>
      <c r="J20988" s="31">
        <v>4</v>
      </c>
      <c r="K20988" s="33" t="s">
        <v>56</v>
      </c>
      <c r="L20988" s="31" t="s">
        <v>57</v>
      </c>
    </row>
    <row r="20989" spans="1:12">
      <c r="A20989" s="255" t="e">
        <f>TRIM(D21004&amp;E21004&amp;D21005&amp;E21005&amp;D21006&amp;E21006&amp;D21007&amp;E21007&amp;D21008&amp;E21008&amp;D21009&amp;E21009&amp;D21010&amp;E21010&amp;" Rupiah")</f>
        <v>#REF!</v>
      </c>
      <c r="B20989" s="255"/>
      <c r="C20989" s="255"/>
      <c r="D20989" s="255"/>
      <c r="E20989" s="35"/>
      <c r="F20989" s="36"/>
      <c r="J20989" s="31">
        <v>5</v>
      </c>
      <c r="K20989" s="33" t="s">
        <v>58</v>
      </c>
      <c r="L20989" s="31" t="s">
        <v>59</v>
      </c>
    </row>
    <row r="20990" spans="1:12">
      <c r="A20990" s="35"/>
      <c r="B20990" s="35"/>
      <c r="C20990" s="35"/>
      <c r="D20990" s="35"/>
      <c r="E20990" s="35"/>
      <c r="F20990" s="36"/>
      <c r="J20990" s="31">
        <v>6</v>
      </c>
      <c r="K20990" s="33" t="s">
        <v>60</v>
      </c>
      <c r="L20990" s="31" t="s">
        <v>61</v>
      </c>
    </row>
    <row r="20991" spans="1:12">
      <c r="J20991" s="31">
        <v>7</v>
      </c>
      <c r="K20991" s="33" t="s">
        <v>62</v>
      </c>
      <c r="L20991" s="31" t="s">
        <v>63</v>
      </c>
    </row>
    <row r="20992" spans="1:12">
      <c r="J20992" s="31">
        <v>8</v>
      </c>
      <c r="K20992" s="33" t="s">
        <v>64</v>
      </c>
      <c r="L20992" s="31" t="s">
        <v>65</v>
      </c>
    </row>
    <row r="20993" spans="1:12">
      <c r="A20993" s="38" t="s">
        <v>66</v>
      </c>
      <c r="J20993" s="31">
        <v>9</v>
      </c>
      <c r="K20993" s="33" t="s">
        <v>67</v>
      </c>
      <c r="L20993" s="31" t="s">
        <v>68</v>
      </c>
    </row>
    <row r="20994" spans="1:12">
      <c r="A20994" s="31" t="s">
        <v>69</v>
      </c>
      <c r="B20994" s="39" t="e">
        <f>TRUNC(A20982/100000000)</f>
        <v>#REF!</v>
      </c>
      <c r="C20994" s="31" t="e">
        <f>B20994*100000000</f>
        <v>#REF!</v>
      </c>
      <c r="D20994" s="31" t="e">
        <f t="shared" ref="D20994:D21000" si="2030">IF(B20994&lt;1,"",VLOOKUP(B20994,$J$3:$K$102,2))</f>
        <v>#REF!</v>
      </c>
      <c r="E20994" s="31" t="e">
        <f>IF(B20994&lt;1,"",IF(B20994&gt;1," Hundreds "," Hundred "))</f>
        <v>#REF!</v>
      </c>
      <c r="J20994" s="31">
        <v>10</v>
      </c>
      <c r="K20994" s="33" t="s">
        <v>70</v>
      </c>
      <c r="L20994" s="31" t="s">
        <v>71</v>
      </c>
    </row>
    <row r="20995" spans="1:12">
      <c r="A20995" s="31" t="s">
        <v>72</v>
      </c>
      <c r="B20995" s="39" t="e">
        <f>TRUNC((A20982-C20994)/1000000)</f>
        <v>#REF!</v>
      </c>
      <c r="C20995" s="31" t="e">
        <f>B20995*1000000</f>
        <v>#REF!</v>
      </c>
      <c r="D20995" s="31" t="e">
        <f t="shared" si="2030"/>
        <v>#REF!</v>
      </c>
      <c r="E20995" s="31" t="e">
        <f>IF(B20994+B20995=0,"",IF(B20995=1," Million "," Millions "))</f>
        <v>#REF!</v>
      </c>
      <c r="J20995" s="31">
        <v>11</v>
      </c>
      <c r="K20995" s="33" t="s">
        <v>73</v>
      </c>
      <c r="L20995" s="31" t="s">
        <v>74</v>
      </c>
    </row>
    <row r="20996" spans="1:12">
      <c r="A20996" s="31" t="s">
        <v>75</v>
      </c>
      <c r="B20996" s="39" t="e">
        <f>TRUNC((A20982-SUM(C20994:C20995))/100000)</f>
        <v>#REF!</v>
      </c>
      <c r="C20996" s="31" t="e">
        <f>B20996*100000</f>
        <v>#REF!</v>
      </c>
      <c r="D20996" s="31" t="e">
        <f t="shared" si="2030"/>
        <v>#REF!</v>
      </c>
      <c r="E20996" s="31" t="e">
        <f>IF(B20996&lt;1,"",IF(B20996&gt;1," Hundreds "," Hundred "))</f>
        <v>#REF!</v>
      </c>
      <c r="J20996" s="31">
        <v>12</v>
      </c>
      <c r="K20996" s="33" t="s">
        <v>76</v>
      </c>
      <c r="L20996" s="31" t="str">
        <f t="shared" ref="L20996:L21003" si="2031">L20986&amp;" Belas"</f>
        <v>Dua Belas</v>
      </c>
    </row>
    <row r="20997" spans="1:12">
      <c r="A20997" s="33" t="s">
        <v>77</v>
      </c>
      <c r="B20997" s="40" t="e">
        <f>TRUNC((A20982-SUM(C20994:C20996))/1000)</f>
        <v>#REF!</v>
      </c>
      <c r="C20997" s="31" t="e">
        <f>B20997*1000</f>
        <v>#REF!</v>
      </c>
      <c r="D20997" s="31" t="e">
        <f t="shared" si="2030"/>
        <v>#REF!</v>
      </c>
      <c r="E20997" s="31" t="e">
        <f>IF(B20996+B20997=0,"",IF(B20997=1," Thousand "," Thousands "))</f>
        <v>#REF!</v>
      </c>
      <c r="J20997" s="31">
        <v>13</v>
      </c>
      <c r="K20997" s="33" t="s">
        <v>78</v>
      </c>
      <c r="L20997" s="31" t="str">
        <f t="shared" si="2031"/>
        <v>Tiga Belas</v>
      </c>
    </row>
    <row r="20998" spans="1:12">
      <c r="A20998" s="33" t="s">
        <v>79</v>
      </c>
      <c r="B20998" s="40" t="e">
        <f>TRUNC((A20982-SUM(C20994:C20997))/100)</f>
        <v>#REF!</v>
      </c>
      <c r="C20998" s="31" t="e">
        <f>B20998*100</f>
        <v>#REF!</v>
      </c>
      <c r="D20998" s="31" t="e">
        <f t="shared" si="2030"/>
        <v>#REF!</v>
      </c>
      <c r="E20998" s="31" t="e">
        <f>IF(B20998&lt;1,"",IF(B20998&gt;1," Hundreds "," Hundred "))</f>
        <v>#REF!</v>
      </c>
      <c r="J20998" s="31">
        <v>14</v>
      </c>
      <c r="K20998" s="33" t="s">
        <v>80</v>
      </c>
      <c r="L20998" s="31" t="str">
        <f t="shared" si="2031"/>
        <v>Empat Belas</v>
      </c>
    </row>
    <row r="20999" spans="1:12">
      <c r="A20999" s="33" t="s">
        <v>81</v>
      </c>
      <c r="B20999" s="41" t="e">
        <f>TRUNC((A20982-SUM(C20994:C20998)))</f>
        <v>#REF!</v>
      </c>
      <c r="C20999" s="42" t="e">
        <f>B20999</f>
        <v>#REF!</v>
      </c>
      <c r="D20999" s="31" t="e">
        <f t="shared" si="2030"/>
        <v>#REF!</v>
      </c>
      <c r="E20999" s="31" t="e">
        <f>IF(SUM(C20994:C20999)&lt;1,"",IF(B21000&lt;1,""," And "))</f>
        <v>#REF!</v>
      </c>
      <c r="J20999" s="31">
        <v>15</v>
      </c>
      <c r="K20999" s="33" t="s">
        <v>82</v>
      </c>
      <c r="L20999" s="31" t="str">
        <f t="shared" si="2031"/>
        <v>Lima Belas</v>
      </c>
    </row>
    <row r="21000" spans="1:12">
      <c r="A21000" s="33" t="s">
        <v>83</v>
      </c>
      <c r="B21000" s="40" t="e">
        <f>ROUND(A20982-SUM(C20994:C20999),2)*100</f>
        <v>#REF!</v>
      </c>
      <c r="D21000" s="43" t="e">
        <f t="shared" si="2030"/>
        <v>#REF!</v>
      </c>
      <c r="E21000" s="31" t="e">
        <f>IF(B21000&lt;1,"",IF(B21000=1," Cent "," Cents "))</f>
        <v>#REF!</v>
      </c>
      <c r="J21000" s="31">
        <v>16</v>
      </c>
      <c r="K21000" s="33" t="s">
        <v>84</v>
      </c>
      <c r="L21000" s="31" t="str">
        <f t="shared" si="2031"/>
        <v>Enam Belas</v>
      </c>
    </row>
    <row r="21001" spans="1:12">
      <c r="J21001" s="31">
        <v>17</v>
      </c>
      <c r="K21001" s="33" t="s">
        <v>85</v>
      </c>
      <c r="L21001" s="31" t="str">
        <f t="shared" si="2031"/>
        <v>Tujuh Belas</v>
      </c>
    </row>
    <row r="21002" spans="1:12">
      <c r="A21002" s="44"/>
      <c r="J21002" s="31">
        <v>18</v>
      </c>
      <c r="K21002" s="33" t="s">
        <v>86</v>
      </c>
      <c r="L21002" s="31" t="str">
        <f t="shared" si="2031"/>
        <v>Delapan Belas</v>
      </c>
    </row>
    <row r="21003" spans="1:12">
      <c r="A21003" s="38" t="s">
        <v>87</v>
      </c>
      <c r="J21003" s="31">
        <v>19</v>
      </c>
      <c r="K21003" s="33" t="s">
        <v>88</v>
      </c>
      <c r="L21003" s="31" t="str">
        <f t="shared" si="2031"/>
        <v>Sembilan Belas</v>
      </c>
    </row>
    <row r="21004" spans="1:12">
      <c r="A21004" s="31" t="s">
        <v>69</v>
      </c>
      <c r="B21004" s="39" t="e">
        <f>TRUNC(A20982/100000000)</f>
        <v>#REF!</v>
      </c>
      <c r="C21004" s="31" t="e">
        <f>B21004*100000000</f>
        <v>#REF!</v>
      </c>
      <c r="D21004" s="31" t="e">
        <f>IF(B21004&lt;1,"",IF(B21004=1,"",VLOOKUP(B21004,$J$3:$L$102,3)))</f>
        <v>#REF!</v>
      </c>
      <c r="E21004" s="31" t="e">
        <f>IF(B21004&lt;1,"",IF(B21004=1,"Seratus "," Ratus "))</f>
        <v>#REF!</v>
      </c>
      <c r="J21004" s="31">
        <v>20</v>
      </c>
      <c r="K21004" s="33" t="s">
        <v>89</v>
      </c>
      <c r="L21004" s="31" t="s">
        <v>90</v>
      </c>
    </row>
    <row r="21005" spans="1:12">
      <c r="A21005" s="31" t="s">
        <v>72</v>
      </c>
      <c r="B21005" s="39" t="e">
        <f>TRUNC((A20982-C21004)/1000000)</f>
        <v>#REF!</v>
      </c>
      <c r="C21005" s="31" t="e">
        <f>B21005*1000000</f>
        <v>#REF!</v>
      </c>
      <c r="D21005" s="31" t="e">
        <f>IF(B21005&lt;1,"",VLOOKUP(B21005,$J$3:$L$102,3))</f>
        <v>#REF!</v>
      </c>
      <c r="E21005" s="31" t="e">
        <f>IF(B21004+B21005=0,""," Juta ")</f>
        <v>#REF!</v>
      </c>
      <c r="J21005" s="31">
        <v>21</v>
      </c>
      <c r="K21005" s="33" t="s">
        <v>91</v>
      </c>
      <c r="L21005" s="31" t="str">
        <f t="shared" ref="L21005:L21013" si="2032">$L$23&amp;" "&amp;L20985</f>
        <v>Dua Puluh Satu</v>
      </c>
    </row>
    <row r="21006" spans="1:12">
      <c r="A21006" s="31" t="s">
        <v>75</v>
      </c>
      <c r="B21006" s="39" t="e">
        <f>TRUNC((A20982-SUM(C21004:C21005))/100000)</f>
        <v>#REF!</v>
      </c>
      <c r="C21006" s="31" t="e">
        <f>B21006*100000</f>
        <v>#REF!</v>
      </c>
      <c r="D21006" s="31" t="e">
        <f>IF(B21006&lt;1,"",IF(B21006=1,"",VLOOKUP(B21006,$J$3:$L$102,3)))</f>
        <v>#REF!</v>
      </c>
      <c r="E21006" s="31" t="e">
        <f>IF(B21006&lt;1,"",IF(B21006=1," Seratus "," Ratus "))</f>
        <v>#REF!</v>
      </c>
      <c r="J21006" s="31">
        <v>22</v>
      </c>
      <c r="K21006" s="33" t="s">
        <v>92</v>
      </c>
      <c r="L21006" s="31" t="str">
        <f t="shared" si="2032"/>
        <v>Dua Puluh Dua</v>
      </c>
    </row>
    <row r="21007" spans="1:12">
      <c r="A21007" s="33" t="s">
        <v>77</v>
      </c>
      <c r="B21007" s="40" t="e">
        <f>TRUNC((A20982-SUM(C21004:C21006))/1000)</f>
        <v>#REF!</v>
      </c>
      <c r="C21007" s="31" t="e">
        <f>B21007*1000</f>
        <v>#REF!</v>
      </c>
      <c r="D21007" s="31" t="e">
        <f>IF(B21007&lt;1,"",IF(B21007=1,"",VLOOKUP(B21007,$J$3:$L$102,3)))</f>
        <v>#REF!</v>
      </c>
      <c r="E21007" s="31" t="e">
        <f>IF(B21006+B21007&lt;1,"",IF(B21007=1," Seribu "," Ribu "))</f>
        <v>#REF!</v>
      </c>
      <c r="J21007" s="31">
        <v>23</v>
      </c>
      <c r="K21007" s="33" t="s">
        <v>93</v>
      </c>
      <c r="L21007" s="31" t="str">
        <f t="shared" si="2032"/>
        <v>Dua Puluh Tiga</v>
      </c>
    </row>
    <row r="21008" spans="1:12">
      <c r="A21008" s="33" t="s">
        <v>79</v>
      </c>
      <c r="B21008" s="40" t="e">
        <f>TRUNC((A20982-SUM(C21004:C21007))/100)</f>
        <v>#REF!</v>
      </c>
      <c r="C21008" s="31" t="e">
        <f>B21008*100</f>
        <v>#REF!</v>
      </c>
      <c r="D21008" s="31" t="e">
        <f>IF(B21008&lt;1,"",IF(B21008=1,"",VLOOKUP(B21008,$J$3:$L$102,3)))</f>
        <v>#REF!</v>
      </c>
      <c r="E21008" s="31" t="e">
        <f>IF(B21008&lt;1,"",IF(B21008=1," Seratus "," Ratus "))</f>
        <v>#REF!</v>
      </c>
      <c r="J21008" s="31">
        <v>24</v>
      </c>
      <c r="K21008" s="33" t="s">
        <v>94</v>
      </c>
      <c r="L21008" s="31" t="str">
        <f t="shared" si="2032"/>
        <v>Dua Puluh Empat</v>
      </c>
    </row>
    <row r="21009" spans="1:12">
      <c r="A21009" s="33" t="s">
        <v>81</v>
      </c>
      <c r="B21009" s="41" t="e">
        <f>TRUNC((A20982-SUM(C21004:C21008)))</f>
        <v>#REF!</v>
      </c>
      <c r="C21009" s="42" t="e">
        <f>B21009</f>
        <v>#REF!</v>
      </c>
      <c r="D21009" s="31" t="e">
        <f>IF(B21009&lt;1,"",VLOOKUP(B21009,$J$3:$L$102,3))</f>
        <v>#REF!</v>
      </c>
      <c r="E21009" s="31" t="e">
        <f>IF(SUM(C21004:C21009)&lt;1,"",IF(B21010&lt;1,""," Dan "))</f>
        <v>#REF!</v>
      </c>
      <c r="J21009" s="31">
        <v>25</v>
      </c>
      <c r="K21009" s="33" t="s">
        <v>95</v>
      </c>
      <c r="L21009" s="31" t="str">
        <f t="shared" si="2032"/>
        <v>Dua Puluh Lima</v>
      </c>
    </row>
    <row r="21010" spans="1:12">
      <c r="A21010" s="33" t="s">
        <v>83</v>
      </c>
      <c r="B21010" s="40" t="e">
        <f>ROUND(A20982-SUM(C21004:C21009),2)*100</f>
        <v>#REF!</v>
      </c>
      <c r="D21010" s="31" t="e">
        <f>IF(B21010&lt;1,"",VLOOKUP(B21010,$J$3:$L$102,3))</f>
        <v>#REF!</v>
      </c>
      <c r="E21010" s="31" t="e">
        <f>IF(B21010&lt;1,""," Sen ")</f>
        <v>#REF!</v>
      </c>
      <c r="J21010" s="31">
        <v>26</v>
      </c>
      <c r="K21010" s="33" t="s">
        <v>96</v>
      </c>
      <c r="L21010" s="31" t="str">
        <f t="shared" si="2032"/>
        <v>Dua Puluh Enam</v>
      </c>
    </row>
    <row r="21011" spans="1:12">
      <c r="J21011" s="31">
        <v>27</v>
      </c>
      <c r="K21011" s="33" t="s">
        <v>97</v>
      </c>
      <c r="L21011" s="31" t="str">
        <f t="shared" si="2032"/>
        <v>Dua Puluh Tujuh</v>
      </c>
    </row>
    <row r="21012" spans="1:12">
      <c r="J21012" s="31">
        <v>28</v>
      </c>
      <c r="K21012" s="33" t="s">
        <v>98</v>
      </c>
      <c r="L21012" s="31" t="str">
        <f t="shared" si="2032"/>
        <v>Dua Puluh Delapan</v>
      </c>
    </row>
    <row r="21013" spans="1:12">
      <c r="J21013" s="31">
        <v>29</v>
      </c>
      <c r="K21013" s="33" t="s">
        <v>99</v>
      </c>
      <c r="L21013" s="31" t="str">
        <f t="shared" si="2032"/>
        <v>Dua Puluh Sembilan</v>
      </c>
    </row>
    <row r="21014" spans="1:12">
      <c r="J21014" s="31">
        <v>30</v>
      </c>
      <c r="K21014" s="33" t="s">
        <v>100</v>
      </c>
      <c r="L21014" s="31" t="s">
        <v>101</v>
      </c>
    </row>
    <row r="21015" spans="1:12">
      <c r="J21015" s="31">
        <v>31</v>
      </c>
      <c r="K21015" s="33" t="s">
        <v>102</v>
      </c>
      <c r="L21015" s="31" t="str">
        <f t="shared" ref="L21015:L21023" si="2033">$L$33&amp;" "&amp;L20985</f>
        <v>Tiga Puluh Satu</v>
      </c>
    </row>
    <row r="21016" spans="1:12">
      <c r="J21016" s="31">
        <v>32</v>
      </c>
      <c r="K21016" s="33" t="s">
        <v>103</v>
      </c>
      <c r="L21016" s="31" t="str">
        <f t="shared" si="2033"/>
        <v>Tiga Puluh Dua</v>
      </c>
    </row>
    <row r="21017" spans="1:12">
      <c r="J21017" s="31">
        <v>33</v>
      </c>
      <c r="K21017" s="33" t="s">
        <v>104</v>
      </c>
      <c r="L21017" s="31" t="str">
        <f t="shared" si="2033"/>
        <v>Tiga Puluh Tiga</v>
      </c>
    </row>
    <row r="21018" spans="1:12">
      <c r="J21018" s="31">
        <v>34</v>
      </c>
      <c r="K21018" s="33" t="s">
        <v>105</v>
      </c>
      <c r="L21018" s="31" t="str">
        <f t="shared" si="2033"/>
        <v>Tiga Puluh Empat</v>
      </c>
    </row>
    <row r="21019" spans="1:12">
      <c r="J21019" s="31">
        <v>35</v>
      </c>
      <c r="K21019" s="33" t="s">
        <v>106</v>
      </c>
      <c r="L21019" s="31" t="str">
        <f t="shared" si="2033"/>
        <v>Tiga Puluh Lima</v>
      </c>
    </row>
    <row r="21020" spans="1:12">
      <c r="J21020" s="31">
        <v>36</v>
      </c>
      <c r="K21020" s="33" t="s">
        <v>107</v>
      </c>
      <c r="L21020" s="31" t="str">
        <f t="shared" si="2033"/>
        <v>Tiga Puluh Enam</v>
      </c>
    </row>
    <row r="21021" spans="1:12">
      <c r="J21021" s="31">
        <v>37</v>
      </c>
      <c r="K21021" s="33" t="s">
        <v>108</v>
      </c>
      <c r="L21021" s="31" t="str">
        <f t="shared" si="2033"/>
        <v>Tiga Puluh Tujuh</v>
      </c>
    </row>
    <row r="21022" spans="1:12">
      <c r="J21022" s="31">
        <v>38</v>
      </c>
      <c r="K21022" s="33" t="s">
        <v>109</v>
      </c>
      <c r="L21022" s="31" t="str">
        <f t="shared" si="2033"/>
        <v>Tiga Puluh Delapan</v>
      </c>
    </row>
    <row r="21023" spans="1:12">
      <c r="J21023" s="31">
        <v>39</v>
      </c>
      <c r="K21023" s="33" t="s">
        <v>110</v>
      </c>
      <c r="L21023" s="31" t="str">
        <f t="shared" si="2033"/>
        <v>Tiga Puluh Sembilan</v>
      </c>
    </row>
    <row r="21024" spans="1:12">
      <c r="B21024" s="35"/>
      <c r="C21024" s="35"/>
      <c r="D21024" s="35"/>
      <c r="J21024" s="31">
        <v>40</v>
      </c>
      <c r="K21024" s="33" t="s">
        <v>111</v>
      </c>
      <c r="L21024" s="31" t="s">
        <v>112</v>
      </c>
    </row>
    <row r="21025" spans="1:12">
      <c r="A21025" s="35"/>
      <c r="B21025" s="35"/>
      <c r="C21025" s="35"/>
      <c r="D21025" s="35"/>
      <c r="J21025" s="31">
        <v>41</v>
      </c>
      <c r="K21025" s="33" t="s">
        <v>113</v>
      </c>
      <c r="L21025" s="31" t="str">
        <f t="shared" ref="L21025:L21033" si="2034">$L$43&amp;" "&amp;L20985</f>
        <v>Empat Puluh Satu</v>
      </c>
    </row>
    <row r="21026" spans="1:12">
      <c r="J21026" s="31">
        <v>42</v>
      </c>
      <c r="K21026" s="33" t="s">
        <v>114</v>
      </c>
      <c r="L21026" s="31" t="str">
        <f t="shared" si="2034"/>
        <v>Empat Puluh Dua</v>
      </c>
    </row>
    <row r="21027" spans="1:12">
      <c r="A21027" s="38"/>
      <c r="J21027" s="31">
        <v>43</v>
      </c>
      <c r="K21027" s="33" t="s">
        <v>115</v>
      </c>
      <c r="L21027" s="31" t="str">
        <f t="shared" si="2034"/>
        <v>Empat Puluh Tiga</v>
      </c>
    </row>
    <row r="21028" spans="1:12">
      <c r="J21028" s="31">
        <v>44</v>
      </c>
      <c r="K21028" s="33" t="s">
        <v>116</v>
      </c>
      <c r="L21028" s="31" t="str">
        <f t="shared" si="2034"/>
        <v>Empat Puluh Empat</v>
      </c>
    </row>
    <row r="21029" spans="1:12">
      <c r="J21029" s="31">
        <v>45</v>
      </c>
      <c r="K21029" s="33" t="s">
        <v>117</v>
      </c>
      <c r="L21029" s="31" t="str">
        <f t="shared" si="2034"/>
        <v>Empat Puluh Lima</v>
      </c>
    </row>
    <row r="21030" spans="1:12">
      <c r="J21030" s="31">
        <v>46</v>
      </c>
      <c r="K21030" s="33" t="s">
        <v>118</v>
      </c>
      <c r="L21030" s="31" t="str">
        <f t="shared" si="2034"/>
        <v>Empat Puluh Enam</v>
      </c>
    </row>
    <row r="21031" spans="1:12">
      <c r="J21031" s="31">
        <v>47</v>
      </c>
      <c r="K21031" s="33" t="s">
        <v>119</v>
      </c>
      <c r="L21031" s="31" t="str">
        <f t="shared" si="2034"/>
        <v>Empat Puluh Tujuh</v>
      </c>
    </row>
    <row r="21032" spans="1:12">
      <c r="J21032" s="31">
        <v>48</v>
      </c>
      <c r="K21032" s="33" t="s">
        <v>120</v>
      </c>
      <c r="L21032" s="31" t="str">
        <f t="shared" si="2034"/>
        <v>Empat Puluh Delapan</v>
      </c>
    </row>
    <row r="21033" spans="1:12">
      <c r="J21033" s="31">
        <v>49</v>
      </c>
      <c r="K21033" s="33" t="s">
        <v>121</v>
      </c>
      <c r="L21033" s="31" t="str">
        <f t="shared" si="2034"/>
        <v>Empat Puluh Sembilan</v>
      </c>
    </row>
    <row r="21034" spans="1:12">
      <c r="J21034" s="31">
        <v>50</v>
      </c>
      <c r="K21034" s="33" t="s">
        <v>122</v>
      </c>
      <c r="L21034" s="31" t="s">
        <v>123</v>
      </c>
    </row>
    <row r="21035" spans="1:12">
      <c r="J21035" s="31">
        <v>51</v>
      </c>
      <c r="K21035" s="33" t="s">
        <v>124</v>
      </c>
      <c r="L21035" s="31" t="str">
        <f t="shared" ref="L21035:L21043" si="2035">$L$53&amp;" "&amp;L20985</f>
        <v>Lima Puluh Satu</v>
      </c>
    </row>
    <row r="21036" spans="1:12">
      <c r="J21036" s="31">
        <v>52</v>
      </c>
      <c r="K21036" s="33" t="s">
        <v>125</v>
      </c>
      <c r="L21036" s="31" t="str">
        <f t="shared" si="2035"/>
        <v>Lima Puluh Dua</v>
      </c>
    </row>
    <row r="21037" spans="1:12">
      <c r="J21037" s="31">
        <v>53</v>
      </c>
      <c r="K21037" s="33" t="s">
        <v>126</v>
      </c>
      <c r="L21037" s="31" t="str">
        <f t="shared" si="2035"/>
        <v>Lima Puluh Tiga</v>
      </c>
    </row>
    <row r="21038" spans="1:12">
      <c r="J21038" s="31">
        <v>54</v>
      </c>
      <c r="K21038" s="33" t="s">
        <v>127</v>
      </c>
      <c r="L21038" s="31" t="str">
        <f t="shared" si="2035"/>
        <v>Lima Puluh Empat</v>
      </c>
    </row>
    <row r="21039" spans="1:12">
      <c r="J21039" s="31">
        <v>55</v>
      </c>
      <c r="K21039" s="33" t="s">
        <v>128</v>
      </c>
      <c r="L21039" s="31" t="str">
        <f t="shared" si="2035"/>
        <v>Lima Puluh Lima</v>
      </c>
    </row>
    <row r="21040" spans="1:12">
      <c r="J21040" s="31">
        <v>56</v>
      </c>
      <c r="K21040" s="33" t="s">
        <v>129</v>
      </c>
      <c r="L21040" s="31" t="str">
        <f t="shared" si="2035"/>
        <v>Lima Puluh Enam</v>
      </c>
    </row>
    <row r="21041" spans="10:12">
      <c r="J21041" s="31">
        <v>57</v>
      </c>
      <c r="K21041" s="33" t="s">
        <v>130</v>
      </c>
      <c r="L21041" s="31" t="str">
        <f t="shared" si="2035"/>
        <v>Lima Puluh Tujuh</v>
      </c>
    </row>
    <row r="21042" spans="10:12">
      <c r="J21042" s="31">
        <v>58</v>
      </c>
      <c r="K21042" s="33" t="s">
        <v>131</v>
      </c>
      <c r="L21042" s="31" t="str">
        <f t="shared" si="2035"/>
        <v>Lima Puluh Delapan</v>
      </c>
    </row>
    <row r="21043" spans="10:12">
      <c r="J21043" s="31">
        <v>59</v>
      </c>
      <c r="K21043" s="33" t="s">
        <v>132</v>
      </c>
      <c r="L21043" s="31" t="str">
        <f t="shared" si="2035"/>
        <v>Lima Puluh Sembilan</v>
      </c>
    </row>
    <row r="21044" spans="10:12">
      <c r="J21044" s="31">
        <v>60</v>
      </c>
      <c r="K21044" s="33" t="s">
        <v>133</v>
      </c>
      <c r="L21044" s="31" t="s">
        <v>134</v>
      </c>
    </row>
    <row r="21045" spans="10:12">
      <c r="J21045" s="31">
        <v>61</v>
      </c>
      <c r="K21045" s="33" t="s">
        <v>135</v>
      </c>
      <c r="L21045" s="31" t="str">
        <f t="shared" ref="L21045:L21053" si="2036">$L$63&amp;" "&amp;L20985</f>
        <v>Enam Puluh Satu</v>
      </c>
    </row>
    <row r="21046" spans="10:12">
      <c r="J21046" s="31">
        <v>62</v>
      </c>
      <c r="K21046" s="33" t="s">
        <v>136</v>
      </c>
      <c r="L21046" s="31" t="str">
        <f t="shared" si="2036"/>
        <v>Enam Puluh Dua</v>
      </c>
    </row>
    <row r="21047" spans="10:12">
      <c r="J21047" s="31">
        <v>63</v>
      </c>
      <c r="K21047" s="33" t="s">
        <v>137</v>
      </c>
      <c r="L21047" s="31" t="str">
        <f t="shared" si="2036"/>
        <v>Enam Puluh Tiga</v>
      </c>
    </row>
    <row r="21048" spans="10:12">
      <c r="J21048" s="31">
        <v>64</v>
      </c>
      <c r="K21048" s="33" t="s">
        <v>138</v>
      </c>
      <c r="L21048" s="31" t="str">
        <f t="shared" si="2036"/>
        <v>Enam Puluh Empat</v>
      </c>
    </row>
    <row r="21049" spans="10:12">
      <c r="J21049" s="31">
        <v>65</v>
      </c>
      <c r="K21049" s="33" t="s">
        <v>139</v>
      </c>
      <c r="L21049" s="31" t="str">
        <f t="shared" si="2036"/>
        <v>Enam Puluh Lima</v>
      </c>
    </row>
    <row r="21050" spans="10:12">
      <c r="J21050" s="31">
        <v>66</v>
      </c>
      <c r="K21050" s="33" t="s">
        <v>140</v>
      </c>
      <c r="L21050" s="31" t="str">
        <f t="shared" si="2036"/>
        <v>Enam Puluh Enam</v>
      </c>
    </row>
    <row r="21051" spans="10:12">
      <c r="J21051" s="31">
        <v>67</v>
      </c>
      <c r="K21051" s="33" t="s">
        <v>141</v>
      </c>
      <c r="L21051" s="31" t="str">
        <f t="shared" si="2036"/>
        <v>Enam Puluh Tujuh</v>
      </c>
    </row>
    <row r="21052" spans="10:12">
      <c r="J21052" s="31">
        <v>68</v>
      </c>
      <c r="K21052" s="33" t="s">
        <v>142</v>
      </c>
      <c r="L21052" s="31" t="str">
        <f t="shared" si="2036"/>
        <v>Enam Puluh Delapan</v>
      </c>
    </row>
    <row r="21053" spans="10:12">
      <c r="J21053" s="31">
        <v>69</v>
      </c>
      <c r="K21053" s="33" t="s">
        <v>143</v>
      </c>
      <c r="L21053" s="31" t="str">
        <f t="shared" si="2036"/>
        <v>Enam Puluh Sembilan</v>
      </c>
    </row>
    <row r="21054" spans="10:12">
      <c r="J21054" s="31">
        <v>70</v>
      </c>
      <c r="K21054" s="33" t="s">
        <v>144</v>
      </c>
      <c r="L21054" s="31" t="s">
        <v>145</v>
      </c>
    </row>
    <row r="21055" spans="10:12">
      <c r="J21055" s="31">
        <v>71</v>
      </c>
      <c r="K21055" s="33" t="s">
        <v>146</v>
      </c>
      <c r="L21055" s="31" t="str">
        <f t="shared" ref="L21055:L21063" si="2037">$L$73&amp;" "&amp;L20985</f>
        <v>Tujuh Puluh Satu</v>
      </c>
    </row>
    <row r="21056" spans="10:12">
      <c r="J21056" s="31">
        <v>72</v>
      </c>
      <c r="K21056" s="33" t="s">
        <v>147</v>
      </c>
      <c r="L21056" s="31" t="str">
        <f t="shared" si="2037"/>
        <v>Tujuh Puluh Dua</v>
      </c>
    </row>
    <row r="21057" spans="10:12">
      <c r="J21057" s="31">
        <v>73</v>
      </c>
      <c r="K21057" s="33" t="s">
        <v>148</v>
      </c>
      <c r="L21057" s="31" t="str">
        <f t="shared" si="2037"/>
        <v>Tujuh Puluh Tiga</v>
      </c>
    </row>
    <row r="21058" spans="10:12">
      <c r="J21058" s="31">
        <v>74</v>
      </c>
      <c r="K21058" s="33" t="s">
        <v>149</v>
      </c>
      <c r="L21058" s="31" t="str">
        <f t="shared" si="2037"/>
        <v>Tujuh Puluh Empat</v>
      </c>
    </row>
    <row r="21059" spans="10:12">
      <c r="J21059" s="31">
        <v>75</v>
      </c>
      <c r="K21059" s="33" t="s">
        <v>150</v>
      </c>
      <c r="L21059" s="31" t="str">
        <f t="shared" si="2037"/>
        <v>Tujuh Puluh Lima</v>
      </c>
    </row>
    <row r="21060" spans="10:12">
      <c r="J21060" s="31">
        <v>76</v>
      </c>
      <c r="K21060" s="33" t="s">
        <v>151</v>
      </c>
      <c r="L21060" s="31" t="str">
        <f t="shared" si="2037"/>
        <v>Tujuh Puluh Enam</v>
      </c>
    </row>
    <row r="21061" spans="10:12">
      <c r="J21061" s="31">
        <v>77</v>
      </c>
      <c r="K21061" s="33" t="s">
        <v>152</v>
      </c>
      <c r="L21061" s="31" t="str">
        <f t="shared" si="2037"/>
        <v>Tujuh Puluh Tujuh</v>
      </c>
    </row>
    <row r="21062" spans="10:12">
      <c r="J21062" s="31">
        <v>78</v>
      </c>
      <c r="K21062" s="33" t="s">
        <v>153</v>
      </c>
      <c r="L21062" s="31" t="str">
        <f t="shared" si="2037"/>
        <v>Tujuh Puluh Delapan</v>
      </c>
    </row>
    <row r="21063" spans="10:12">
      <c r="J21063" s="31">
        <v>79</v>
      </c>
      <c r="K21063" s="33" t="s">
        <v>154</v>
      </c>
      <c r="L21063" s="31" t="str">
        <f t="shared" si="2037"/>
        <v>Tujuh Puluh Sembilan</v>
      </c>
    </row>
    <row r="21064" spans="10:12">
      <c r="J21064" s="31">
        <v>80</v>
      </c>
      <c r="K21064" s="33" t="s">
        <v>155</v>
      </c>
      <c r="L21064" s="31" t="s">
        <v>156</v>
      </c>
    </row>
    <row r="21065" spans="10:12">
      <c r="J21065" s="31">
        <v>81</v>
      </c>
      <c r="K21065" s="33" t="s">
        <v>157</v>
      </c>
      <c r="L21065" s="31" t="str">
        <f t="shared" ref="L21065:L21073" si="2038">$L$83&amp;" "&amp;L20985</f>
        <v>Delapan Puluh Satu</v>
      </c>
    </row>
    <row r="21066" spans="10:12">
      <c r="J21066" s="31">
        <v>82</v>
      </c>
      <c r="K21066" s="33" t="s">
        <v>158</v>
      </c>
      <c r="L21066" s="31" t="str">
        <f t="shared" si="2038"/>
        <v>Delapan Puluh Dua</v>
      </c>
    </row>
    <row r="21067" spans="10:12">
      <c r="J21067" s="31">
        <v>83</v>
      </c>
      <c r="K21067" s="33" t="s">
        <v>159</v>
      </c>
      <c r="L21067" s="31" t="str">
        <f t="shared" si="2038"/>
        <v>Delapan Puluh Tiga</v>
      </c>
    </row>
    <row r="21068" spans="10:12">
      <c r="J21068" s="31">
        <v>84</v>
      </c>
      <c r="K21068" s="33" t="s">
        <v>160</v>
      </c>
      <c r="L21068" s="31" t="str">
        <f t="shared" si="2038"/>
        <v>Delapan Puluh Empat</v>
      </c>
    </row>
    <row r="21069" spans="10:12">
      <c r="J21069" s="31">
        <v>85</v>
      </c>
      <c r="K21069" s="33" t="s">
        <v>161</v>
      </c>
      <c r="L21069" s="31" t="str">
        <f t="shared" si="2038"/>
        <v>Delapan Puluh Lima</v>
      </c>
    </row>
    <row r="21070" spans="10:12">
      <c r="J21070" s="31">
        <v>86</v>
      </c>
      <c r="K21070" s="33" t="s">
        <v>162</v>
      </c>
      <c r="L21070" s="31" t="str">
        <f t="shared" si="2038"/>
        <v>Delapan Puluh Enam</v>
      </c>
    </row>
    <row r="21071" spans="10:12">
      <c r="J21071" s="31">
        <v>87</v>
      </c>
      <c r="K21071" s="33" t="s">
        <v>163</v>
      </c>
      <c r="L21071" s="31" t="str">
        <f t="shared" si="2038"/>
        <v>Delapan Puluh Tujuh</v>
      </c>
    </row>
    <row r="21072" spans="10:12">
      <c r="J21072" s="31">
        <v>88</v>
      </c>
      <c r="K21072" s="33" t="s">
        <v>164</v>
      </c>
      <c r="L21072" s="31" t="str">
        <f t="shared" si="2038"/>
        <v>Delapan Puluh Delapan</v>
      </c>
    </row>
    <row r="21073" spans="1:12">
      <c r="J21073" s="31">
        <v>89</v>
      </c>
      <c r="K21073" s="33" t="s">
        <v>165</v>
      </c>
      <c r="L21073" s="31" t="str">
        <f t="shared" si="2038"/>
        <v>Delapan Puluh Sembilan</v>
      </c>
    </row>
    <row r="21074" spans="1:12">
      <c r="J21074" s="31">
        <v>90</v>
      </c>
      <c r="K21074" s="33" t="s">
        <v>166</v>
      </c>
      <c r="L21074" s="31" t="s">
        <v>167</v>
      </c>
    </row>
    <row r="21075" spans="1:12">
      <c r="J21075" s="31">
        <v>91</v>
      </c>
      <c r="K21075" s="33" t="s">
        <v>168</v>
      </c>
      <c r="L21075" s="31" t="str">
        <f t="shared" ref="L21075:L21083" si="2039">$L$93&amp;" "&amp;L20985</f>
        <v>Sembilan Puluh Satu</v>
      </c>
    </row>
    <row r="21076" spans="1:12">
      <c r="J21076" s="31">
        <v>92</v>
      </c>
      <c r="K21076" s="33" t="s">
        <v>169</v>
      </c>
      <c r="L21076" s="31" t="str">
        <f t="shared" si="2039"/>
        <v>Sembilan Puluh Dua</v>
      </c>
    </row>
    <row r="21077" spans="1:12">
      <c r="J21077" s="31">
        <v>93</v>
      </c>
      <c r="K21077" s="33" t="s">
        <v>170</v>
      </c>
      <c r="L21077" s="31" t="str">
        <f t="shared" si="2039"/>
        <v>Sembilan Puluh Tiga</v>
      </c>
    </row>
    <row r="21078" spans="1:12">
      <c r="J21078" s="31">
        <v>94</v>
      </c>
      <c r="K21078" s="33" t="s">
        <v>171</v>
      </c>
      <c r="L21078" s="31" t="str">
        <f t="shared" si="2039"/>
        <v>Sembilan Puluh Empat</v>
      </c>
    </row>
    <row r="21079" spans="1:12">
      <c r="J21079" s="31">
        <v>95</v>
      </c>
      <c r="K21079" s="33" t="s">
        <v>172</v>
      </c>
      <c r="L21079" s="31" t="str">
        <f t="shared" si="2039"/>
        <v>Sembilan Puluh Lima</v>
      </c>
    </row>
    <row r="21080" spans="1:12">
      <c r="J21080" s="31">
        <v>96</v>
      </c>
      <c r="K21080" s="33" t="s">
        <v>173</v>
      </c>
      <c r="L21080" s="31" t="str">
        <f t="shared" si="2039"/>
        <v>Sembilan Puluh Enam</v>
      </c>
    </row>
    <row r="21081" spans="1:12">
      <c r="J21081" s="31">
        <v>97</v>
      </c>
      <c r="K21081" s="33" t="s">
        <v>174</v>
      </c>
      <c r="L21081" s="31" t="str">
        <f t="shared" si="2039"/>
        <v>Sembilan Puluh Tujuh</v>
      </c>
    </row>
    <row r="21082" spans="1:12">
      <c r="J21082" s="31">
        <v>98</v>
      </c>
      <c r="K21082" s="33" t="s">
        <v>175</v>
      </c>
      <c r="L21082" s="31" t="str">
        <f t="shared" si="2039"/>
        <v>Sembilan Puluh Delapan</v>
      </c>
    </row>
    <row r="21083" spans="1:12">
      <c r="J21083" s="31">
        <v>99</v>
      </c>
      <c r="K21083" s="33" t="s">
        <v>176</v>
      </c>
      <c r="L21083" s="31" t="str">
        <f t="shared" si="2039"/>
        <v>Sembilan Puluh Sembilan</v>
      </c>
    </row>
    <row r="21085" spans="1:12">
      <c r="A21085" s="30" t="e">
        <f>#REF!</f>
        <v>#REF!</v>
      </c>
      <c r="C21085" s="31" t="s">
        <v>460</v>
      </c>
    </row>
    <row r="21086" spans="1:12">
      <c r="A21086" s="32"/>
    </row>
    <row r="21087" spans="1:12">
      <c r="J21087" s="31">
        <v>0</v>
      </c>
      <c r="K21087" s="33" t="s">
        <v>48</v>
      </c>
      <c r="L21087" s="31" t="s">
        <v>49</v>
      </c>
    </row>
    <row r="21088" spans="1:12">
      <c r="A21088" s="34"/>
      <c r="J21088" s="31">
        <v>1</v>
      </c>
      <c r="K21088" s="33" t="s">
        <v>50</v>
      </c>
      <c r="L21088" s="31" t="s">
        <v>51</v>
      </c>
    </row>
    <row r="21089" spans="1:12">
      <c r="A21089" s="255" t="e">
        <f>TRIM(D21097&amp;E21097&amp;D21098&amp;E21098&amp;D21099&amp;E21099&amp;D21100&amp;E21100&amp;D21101&amp;E21101&amp;D21102&amp;E21102&amp;E21103&amp;D21103&amp;" Only")</f>
        <v>#REF!</v>
      </c>
      <c r="B21089" s="255"/>
      <c r="C21089" s="255"/>
      <c r="D21089" s="255"/>
      <c r="E21089" s="35"/>
      <c r="F21089" s="36"/>
      <c r="J21089" s="31">
        <v>2</v>
      </c>
      <c r="K21089" s="33" t="s">
        <v>52</v>
      </c>
      <c r="L21089" s="31" t="s">
        <v>53</v>
      </c>
    </row>
    <row r="21090" spans="1:12">
      <c r="A21090" s="193"/>
      <c r="B21090" s="193"/>
      <c r="C21090" s="193"/>
      <c r="D21090" s="193"/>
      <c r="E21090" s="35"/>
      <c r="F21090" s="36"/>
      <c r="J21090" s="31">
        <v>3</v>
      </c>
      <c r="K21090" s="33" t="s">
        <v>54</v>
      </c>
      <c r="L21090" s="31" t="s">
        <v>55</v>
      </c>
    </row>
    <row r="21091" spans="1:12">
      <c r="A21091" s="193"/>
      <c r="B21091" s="193"/>
      <c r="C21091" s="193"/>
      <c r="D21091" s="193"/>
      <c r="J21091" s="31">
        <v>4</v>
      </c>
      <c r="K21091" s="33" t="s">
        <v>56</v>
      </c>
      <c r="L21091" s="31" t="s">
        <v>57</v>
      </c>
    </row>
    <row r="21092" spans="1:12">
      <c r="A21092" s="255" t="e">
        <f>TRIM(D21107&amp;E21107&amp;D21108&amp;E21108&amp;D21109&amp;E21109&amp;D21110&amp;E21110&amp;D21111&amp;E21111&amp;D21112&amp;E21112&amp;D21113&amp;E21113&amp;" Rupiah")</f>
        <v>#REF!</v>
      </c>
      <c r="B21092" s="255"/>
      <c r="C21092" s="255"/>
      <c r="D21092" s="255"/>
      <c r="E21092" s="35"/>
      <c r="F21092" s="36"/>
      <c r="J21092" s="31">
        <v>5</v>
      </c>
      <c r="K21092" s="33" t="s">
        <v>58</v>
      </c>
      <c r="L21092" s="31" t="s">
        <v>59</v>
      </c>
    </row>
    <row r="21093" spans="1:12">
      <c r="A21093" s="35"/>
      <c r="B21093" s="35"/>
      <c r="C21093" s="35"/>
      <c r="D21093" s="35"/>
      <c r="E21093" s="35"/>
      <c r="F21093" s="36"/>
      <c r="J21093" s="31">
        <v>6</v>
      </c>
      <c r="K21093" s="33" t="s">
        <v>60</v>
      </c>
      <c r="L21093" s="31" t="s">
        <v>61</v>
      </c>
    </row>
    <row r="21094" spans="1:12">
      <c r="J21094" s="31">
        <v>7</v>
      </c>
      <c r="K21094" s="33" t="s">
        <v>62</v>
      </c>
      <c r="L21094" s="31" t="s">
        <v>63</v>
      </c>
    </row>
    <row r="21095" spans="1:12">
      <c r="J21095" s="31">
        <v>8</v>
      </c>
      <c r="K21095" s="33" t="s">
        <v>64</v>
      </c>
      <c r="L21095" s="31" t="s">
        <v>65</v>
      </c>
    </row>
    <row r="21096" spans="1:12">
      <c r="A21096" s="38" t="s">
        <v>66</v>
      </c>
      <c r="J21096" s="31">
        <v>9</v>
      </c>
      <c r="K21096" s="33" t="s">
        <v>67</v>
      </c>
      <c r="L21096" s="31" t="s">
        <v>68</v>
      </c>
    </row>
    <row r="21097" spans="1:12">
      <c r="A21097" s="31" t="s">
        <v>69</v>
      </c>
      <c r="B21097" s="39" t="e">
        <f>TRUNC(A21085/100000000)</f>
        <v>#REF!</v>
      </c>
      <c r="C21097" s="31" t="e">
        <f>B21097*100000000</f>
        <v>#REF!</v>
      </c>
      <c r="D21097" s="31" t="e">
        <f t="shared" ref="D21097:D21103" si="2040">IF(B21097&lt;1,"",VLOOKUP(B21097,$J$3:$K$102,2))</f>
        <v>#REF!</v>
      </c>
      <c r="E21097" s="31" t="e">
        <f>IF(B21097&lt;1,"",IF(B21097&gt;1," Hundreds "," Hundred "))</f>
        <v>#REF!</v>
      </c>
      <c r="J21097" s="31">
        <v>10</v>
      </c>
      <c r="K21097" s="33" t="s">
        <v>70</v>
      </c>
      <c r="L21097" s="31" t="s">
        <v>71</v>
      </c>
    </row>
    <row r="21098" spans="1:12">
      <c r="A21098" s="31" t="s">
        <v>72</v>
      </c>
      <c r="B21098" s="39" t="e">
        <f>TRUNC((A21085-C21097)/1000000)</f>
        <v>#REF!</v>
      </c>
      <c r="C21098" s="31" t="e">
        <f>B21098*1000000</f>
        <v>#REF!</v>
      </c>
      <c r="D21098" s="31" t="e">
        <f t="shared" si="2040"/>
        <v>#REF!</v>
      </c>
      <c r="E21098" s="31" t="e">
        <f>IF(B21097+B21098=0,"",IF(B21098=1," Million "," Millions "))</f>
        <v>#REF!</v>
      </c>
      <c r="J21098" s="31">
        <v>11</v>
      </c>
      <c r="K21098" s="33" t="s">
        <v>73</v>
      </c>
      <c r="L21098" s="31" t="s">
        <v>74</v>
      </c>
    </row>
    <row r="21099" spans="1:12">
      <c r="A21099" s="31" t="s">
        <v>75</v>
      </c>
      <c r="B21099" s="39" t="e">
        <f>TRUNC((A21085-SUM(C21097:C21098))/100000)</f>
        <v>#REF!</v>
      </c>
      <c r="C21099" s="31" t="e">
        <f>B21099*100000</f>
        <v>#REF!</v>
      </c>
      <c r="D21099" s="31" t="e">
        <f t="shared" si="2040"/>
        <v>#REF!</v>
      </c>
      <c r="E21099" s="31" t="e">
        <f>IF(B21099&lt;1,"",IF(B21099&gt;1," Hundreds "," Hundred "))</f>
        <v>#REF!</v>
      </c>
      <c r="J21099" s="31">
        <v>12</v>
      </c>
      <c r="K21099" s="33" t="s">
        <v>76</v>
      </c>
      <c r="L21099" s="31" t="str">
        <f t="shared" ref="L21099:L21106" si="2041">L21089&amp;" Belas"</f>
        <v>Dua Belas</v>
      </c>
    </row>
    <row r="21100" spans="1:12">
      <c r="A21100" s="33" t="s">
        <v>77</v>
      </c>
      <c r="B21100" s="40" t="e">
        <f>TRUNC((A21085-SUM(C21097:C21099))/1000)</f>
        <v>#REF!</v>
      </c>
      <c r="C21100" s="31" t="e">
        <f>B21100*1000</f>
        <v>#REF!</v>
      </c>
      <c r="D21100" s="31" t="e">
        <f t="shared" si="2040"/>
        <v>#REF!</v>
      </c>
      <c r="E21100" s="31" t="e">
        <f>IF(B21099+B21100=0,"",IF(B21100=1," Thousand "," Thousands "))</f>
        <v>#REF!</v>
      </c>
      <c r="J21100" s="31">
        <v>13</v>
      </c>
      <c r="K21100" s="33" t="s">
        <v>78</v>
      </c>
      <c r="L21100" s="31" t="str">
        <f t="shared" si="2041"/>
        <v>Tiga Belas</v>
      </c>
    </row>
    <row r="21101" spans="1:12">
      <c r="A21101" s="33" t="s">
        <v>79</v>
      </c>
      <c r="B21101" s="40" t="e">
        <f>TRUNC((A21085-SUM(C21097:C21100))/100)</f>
        <v>#REF!</v>
      </c>
      <c r="C21101" s="31" t="e">
        <f>B21101*100</f>
        <v>#REF!</v>
      </c>
      <c r="D21101" s="31" t="e">
        <f t="shared" si="2040"/>
        <v>#REF!</v>
      </c>
      <c r="E21101" s="31" t="e">
        <f>IF(B21101&lt;1,"",IF(B21101&gt;1," Hundreds "," Hundred "))</f>
        <v>#REF!</v>
      </c>
      <c r="J21101" s="31">
        <v>14</v>
      </c>
      <c r="K21101" s="33" t="s">
        <v>80</v>
      </c>
      <c r="L21101" s="31" t="str">
        <f t="shared" si="2041"/>
        <v>Empat Belas</v>
      </c>
    </row>
    <row r="21102" spans="1:12">
      <c r="A21102" s="33" t="s">
        <v>81</v>
      </c>
      <c r="B21102" s="41" t="e">
        <f>TRUNC((A21085-SUM(C21097:C21101)))</f>
        <v>#REF!</v>
      </c>
      <c r="C21102" s="42" t="e">
        <f>B21102</f>
        <v>#REF!</v>
      </c>
      <c r="D21102" s="31" t="e">
        <f t="shared" si="2040"/>
        <v>#REF!</v>
      </c>
      <c r="E21102" s="31" t="e">
        <f>IF(SUM(C21097:C21102)&lt;1,"",IF(B21103&lt;1,""," And "))</f>
        <v>#REF!</v>
      </c>
      <c r="J21102" s="31">
        <v>15</v>
      </c>
      <c r="K21102" s="33" t="s">
        <v>82</v>
      </c>
      <c r="L21102" s="31" t="str">
        <f t="shared" si="2041"/>
        <v>Lima Belas</v>
      </c>
    </row>
    <row r="21103" spans="1:12">
      <c r="A21103" s="33" t="s">
        <v>83</v>
      </c>
      <c r="B21103" s="40" t="e">
        <f>ROUND(A21085-SUM(C21097:C21102),2)*100</f>
        <v>#REF!</v>
      </c>
      <c r="D21103" s="43" t="e">
        <f t="shared" si="2040"/>
        <v>#REF!</v>
      </c>
      <c r="E21103" s="31" t="e">
        <f>IF(B21103&lt;1,"",IF(B21103=1," Cent "," Cents "))</f>
        <v>#REF!</v>
      </c>
      <c r="J21103" s="31">
        <v>16</v>
      </c>
      <c r="K21103" s="33" t="s">
        <v>84</v>
      </c>
      <c r="L21103" s="31" t="str">
        <f t="shared" si="2041"/>
        <v>Enam Belas</v>
      </c>
    </row>
    <row r="21104" spans="1:12">
      <c r="J21104" s="31">
        <v>17</v>
      </c>
      <c r="K21104" s="33" t="s">
        <v>85</v>
      </c>
      <c r="L21104" s="31" t="str">
        <f t="shared" si="2041"/>
        <v>Tujuh Belas</v>
      </c>
    </row>
    <row r="21105" spans="1:12">
      <c r="A21105" s="44"/>
      <c r="J21105" s="31">
        <v>18</v>
      </c>
      <c r="K21105" s="33" t="s">
        <v>86</v>
      </c>
      <c r="L21105" s="31" t="str">
        <f t="shared" si="2041"/>
        <v>Delapan Belas</v>
      </c>
    </row>
    <row r="21106" spans="1:12">
      <c r="A21106" s="38" t="s">
        <v>87</v>
      </c>
      <c r="J21106" s="31">
        <v>19</v>
      </c>
      <c r="K21106" s="33" t="s">
        <v>88</v>
      </c>
      <c r="L21106" s="31" t="str">
        <f t="shared" si="2041"/>
        <v>Sembilan Belas</v>
      </c>
    </row>
    <row r="21107" spans="1:12">
      <c r="A21107" s="31" t="s">
        <v>69</v>
      </c>
      <c r="B21107" s="39" t="e">
        <f>TRUNC(A21085/100000000)</f>
        <v>#REF!</v>
      </c>
      <c r="C21107" s="31" t="e">
        <f>B21107*100000000</f>
        <v>#REF!</v>
      </c>
      <c r="D21107" s="31" t="e">
        <f>IF(B21107&lt;1,"",IF(B21107=1,"",VLOOKUP(B21107,$J$3:$L$102,3)))</f>
        <v>#REF!</v>
      </c>
      <c r="E21107" s="31" t="e">
        <f>IF(B21107&lt;1,"",IF(B21107=1,"Seratus "," Ratus "))</f>
        <v>#REF!</v>
      </c>
      <c r="J21107" s="31">
        <v>20</v>
      </c>
      <c r="K21107" s="33" t="s">
        <v>89</v>
      </c>
      <c r="L21107" s="31" t="s">
        <v>90</v>
      </c>
    </row>
    <row r="21108" spans="1:12">
      <c r="A21108" s="31" t="s">
        <v>72</v>
      </c>
      <c r="B21108" s="39" t="e">
        <f>TRUNC((A21085-C21107)/1000000)</f>
        <v>#REF!</v>
      </c>
      <c r="C21108" s="31" t="e">
        <f>B21108*1000000</f>
        <v>#REF!</v>
      </c>
      <c r="D21108" s="31" t="e">
        <f>IF(B21108&lt;1,"",VLOOKUP(B21108,$J$3:$L$102,3))</f>
        <v>#REF!</v>
      </c>
      <c r="E21108" s="31" t="e">
        <f>IF(B21107+B21108=0,""," Juta ")</f>
        <v>#REF!</v>
      </c>
      <c r="J21108" s="31">
        <v>21</v>
      </c>
      <c r="K21108" s="33" t="s">
        <v>91</v>
      </c>
      <c r="L21108" s="31" t="str">
        <f t="shared" ref="L21108:L21116" si="2042">$L$23&amp;" "&amp;L21088</f>
        <v>Dua Puluh Satu</v>
      </c>
    </row>
    <row r="21109" spans="1:12">
      <c r="A21109" s="31" t="s">
        <v>75</v>
      </c>
      <c r="B21109" s="39" t="e">
        <f>TRUNC((A21085-SUM(C21107:C21108))/100000)</f>
        <v>#REF!</v>
      </c>
      <c r="C21109" s="31" t="e">
        <f>B21109*100000</f>
        <v>#REF!</v>
      </c>
      <c r="D21109" s="31" t="e">
        <f>IF(B21109&lt;1,"",IF(B21109=1,"",VLOOKUP(B21109,$J$3:$L$102,3)))</f>
        <v>#REF!</v>
      </c>
      <c r="E21109" s="31" t="e">
        <f>IF(B21109&lt;1,"",IF(B21109=1," Seratus "," Ratus "))</f>
        <v>#REF!</v>
      </c>
      <c r="J21109" s="31">
        <v>22</v>
      </c>
      <c r="K21109" s="33" t="s">
        <v>92</v>
      </c>
      <c r="L21109" s="31" t="str">
        <f t="shared" si="2042"/>
        <v>Dua Puluh Dua</v>
      </c>
    </row>
    <row r="21110" spans="1:12">
      <c r="A21110" s="33" t="s">
        <v>77</v>
      </c>
      <c r="B21110" s="40" t="e">
        <f>TRUNC((A21085-SUM(C21107:C21109))/1000)</f>
        <v>#REF!</v>
      </c>
      <c r="C21110" s="31" t="e">
        <f>B21110*1000</f>
        <v>#REF!</v>
      </c>
      <c r="D21110" s="31" t="e">
        <f>IF(B21110&lt;1,"",IF(B21110=1,"",VLOOKUP(B21110,$J$3:$L$102,3)))</f>
        <v>#REF!</v>
      </c>
      <c r="E21110" s="31" t="e">
        <f>IF(B21109+B21110&lt;1,"",IF(B21110=1," Seribu "," Ribu "))</f>
        <v>#REF!</v>
      </c>
      <c r="J21110" s="31">
        <v>23</v>
      </c>
      <c r="K21110" s="33" t="s">
        <v>93</v>
      </c>
      <c r="L21110" s="31" t="str">
        <f t="shared" si="2042"/>
        <v>Dua Puluh Tiga</v>
      </c>
    </row>
    <row r="21111" spans="1:12">
      <c r="A21111" s="33" t="s">
        <v>79</v>
      </c>
      <c r="B21111" s="40" t="e">
        <f>TRUNC((A21085-SUM(C21107:C21110))/100)</f>
        <v>#REF!</v>
      </c>
      <c r="C21111" s="31" t="e">
        <f>B21111*100</f>
        <v>#REF!</v>
      </c>
      <c r="D21111" s="31" t="e">
        <f>IF(B21111&lt;1,"",IF(B21111=1,"",VLOOKUP(B21111,$J$3:$L$102,3)))</f>
        <v>#REF!</v>
      </c>
      <c r="E21111" s="31" t="e">
        <f>IF(B21111&lt;1,"",IF(B21111=1," Seratus "," Ratus "))</f>
        <v>#REF!</v>
      </c>
      <c r="J21111" s="31">
        <v>24</v>
      </c>
      <c r="K21111" s="33" t="s">
        <v>94</v>
      </c>
      <c r="L21111" s="31" t="str">
        <f t="shared" si="2042"/>
        <v>Dua Puluh Empat</v>
      </c>
    </row>
    <row r="21112" spans="1:12">
      <c r="A21112" s="33" t="s">
        <v>81</v>
      </c>
      <c r="B21112" s="41" t="e">
        <f>TRUNC((A21085-SUM(C21107:C21111)))</f>
        <v>#REF!</v>
      </c>
      <c r="C21112" s="42" t="e">
        <f>B21112</f>
        <v>#REF!</v>
      </c>
      <c r="D21112" s="31" t="e">
        <f>IF(B21112&lt;1,"",VLOOKUP(B21112,$J$3:$L$102,3))</f>
        <v>#REF!</v>
      </c>
      <c r="E21112" s="31" t="e">
        <f>IF(SUM(C21107:C21112)&lt;1,"",IF(B21113&lt;1,""," Dan "))</f>
        <v>#REF!</v>
      </c>
      <c r="J21112" s="31">
        <v>25</v>
      </c>
      <c r="K21112" s="33" t="s">
        <v>95</v>
      </c>
      <c r="L21112" s="31" t="str">
        <f t="shared" si="2042"/>
        <v>Dua Puluh Lima</v>
      </c>
    </row>
    <row r="21113" spans="1:12">
      <c r="A21113" s="33" t="s">
        <v>83</v>
      </c>
      <c r="B21113" s="40" t="e">
        <f>ROUND(A21085-SUM(C21107:C21112),2)*100</f>
        <v>#REF!</v>
      </c>
      <c r="D21113" s="31" t="e">
        <f>IF(B21113&lt;1,"",VLOOKUP(B21113,$J$3:$L$102,3))</f>
        <v>#REF!</v>
      </c>
      <c r="E21113" s="31" t="e">
        <f>IF(B21113&lt;1,""," Sen ")</f>
        <v>#REF!</v>
      </c>
      <c r="J21113" s="31">
        <v>26</v>
      </c>
      <c r="K21113" s="33" t="s">
        <v>96</v>
      </c>
      <c r="L21113" s="31" t="str">
        <f t="shared" si="2042"/>
        <v>Dua Puluh Enam</v>
      </c>
    </row>
    <row r="21114" spans="1:12">
      <c r="J21114" s="31">
        <v>27</v>
      </c>
      <c r="K21114" s="33" t="s">
        <v>97</v>
      </c>
      <c r="L21114" s="31" t="str">
        <f t="shared" si="2042"/>
        <v>Dua Puluh Tujuh</v>
      </c>
    </row>
    <row r="21115" spans="1:12">
      <c r="J21115" s="31">
        <v>28</v>
      </c>
      <c r="K21115" s="33" t="s">
        <v>98</v>
      </c>
      <c r="L21115" s="31" t="str">
        <f t="shared" si="2042"/>
        <v>Dua Puluh Delapan</v>
      </c>
    </row>
    <row r="21116" spans="1:12">
      <c r="J21116" s="31">
        <v>29</v>
      </c>
      <c r="K21116" s="33" t="s">
        <v>99</v>
      </c>
      <c r="L21116" s="31" t="str">
        <f t="shared" si="2042"/>
        <v>Dua Puluh Sembilan</v>
      </c>
    </row>
    <row r="21117" spans="1:12">
      <c r="J21117" s="31">
        <v>30</v>
      </c>
      <c r="K21117" s="33" t="s">
        <v>100</v>
      </c>
      <c r="L21117" s="31" t="s">
        <v>101</v>
      </c>
    </row>
    <row r="21118" spans="1:12">
      <c r="J21118" s="31">
        <v>31</v>
      </c>
      <c r="K21118" s="33" t="s">
        <v>102</v>
      </c>
      <c r="L21118" s="31" t="str">
        <f t="shared" ref="L21118:L21126" si="2043">$L$33&amp;" "&amp;L21088</f>
        <v>Tiga Puluh Satu</v>
      </c>
    </row>
    <row r="21119" spans="1:12">
      <c r="J21119" s="31">
        <v>32</v>
      </c>
      <c r="K21119" s="33" t="s">
        <v>103</v>
      </c>
      <c r="L21119" s="31" t="str">
        <f t="shared" si="2043"/>
        <v>Tiga Puluh Dua</v>
      </c>
    </row>
    <row r="21120" spans="1:12">
      <c r="J21120" s="31">
        <v>33</v>
      </c>
      <c r="K21120" s="33" t="s">
        <v>104</v>
      </c>
      <c r="L21120" s="31" t="str">
        <f t="shared" si="2043"/>
        <v>Tiga Puluh Tiga</v>
      </c>
    </row>
    <row r="21121" spans="1:12">
      <c r="J21121" s="31">
        <v>34</v>
      </c>
      <c r="K21121" s="33" t="s">
        <v>105</v>
      </c>
      <c r="L21121" s="31" t="str">
        <f t="shared" si="2043"/>
        <v>Tiga Puluh Empat</v>
      </c>
    </row>
    <row r="21122" spans="1:12">
      <c r="J21122" s="31">
        <v>35</v>
      </c>
      <c r="K21122" s="33" t="s">
        <v>106</v>
      </c>
      <c r="L21122" s="31" t="str">
        <f t="shared" si="2043"/>
        <v>Tiga Puluh Lima</v>
      </c>
    </row>
    <row r="21123" spans="1:12">
      <c r="J21123" s="31">
        <v>36</v>
      </c>
      <c r="K21123" s="33" t="s">
        <v>107</v>
      </c>
      <c r="L21123" s="31" t="str">
        <f t="shared" si="2043"/>
        <v>Tiga Puluh Enam</v>
      </c>
    </row>
    <row r="21124" spans="1:12">
      <c r="J21124" s="31">
        <v>37</v>
      </c>
      <c r="K21124" s="33" t="s">
        <v>108</v>
      </c>
      <c r="L21124" s="31" t="str">
        <f t="shared" si="2043"/>
        <v>Tiga Puluh Tujuh</v>
      </c>
    </row>
    <row r="21125" spans="1:12">
      <c r="J21125" s="31">
        <v>38</v>
      </c>
      <c r="K21125" s="33" t="s">
        <v>109</v>
      </c>
      <c r="L21125" s="31" t="str">
        <f t="shared" si="2043"/>
        <v>Tiga Puluh Delapan</v>
      </c>
    </row>
    <row r="21126" spans="1:12">
      <c r="J21126" s="31">
        <v>39</v>
      </c>
      <c r="K21126" s="33" t="s">
        <v>110</v>
      </c>
      <c r="L21126" s="31" t="str">
        <f t="shared" si="2043"/>
        <v>Tiga Puluh Sembilan</v>
      </c>
    </row>
    <row r="21127" spans="1:12">
      <c r="B21127" s="35"/>
      <c r="C21127" s="35"/>
      <c r="D21127" s="35"/>
      <c r="J21127" s="31">
        <v>40</v>
      </c>
      <c r="K21127" s="33" t="s">
        <v>111</v>
      </c>
      <c r="L21127" s="31" t="s">
        <v>112</v>
      </c>
    </row>
    <row r="21128" spans="1:12">
      <c r="A21128" s="35"/>
      <c r="B21128" s="35"/>
      <c r="C21128" s="35"/>
      <c r="D21128" s="35"/>
      <c r="J21128" s="31">
        <v>41</v>
      </c>
      <c r="K21128" s="33" t="s">
        <v>113</v>
      </c>
      <c r="L21128" s="31" t="str">
        <f t="shared" ref="L21128:L21136" si="2044">$L$43&amp;" "&amp;L21088</f>
        <v>Empat Puluh Satu</v>
      </c>
    </row>
    <row r="21129" spans="1:12">
      <c r="J21129" s="31">
        <v>42</v>
      </c>
      <c r="K21129" s="33" t="s">
        <v>114</v>
      </c>
      <c r="L21129" s="31" t="str">
        <f t="shared" si="2044"/>
        <v>Empat Puluh Dua</v>
      </c>
    </row>
    <row r="21130" spans="1:12">
      <c r="A21130" s="38"/>
      <c r="J21130" s="31">
        <v>43</v>
      </c>
      <c r="K21130" s="33" t="s">
        <v>115</v>
      </c>
      <c r="L21130" s="31" t="str">
        <f t="shared" si="2044"/>
        <v>Empat Puluh Tiga</v>
      </c>
    </row>
    <row r="21131" spans="1:12">
      <c r="J21131" s="31">
        <v>44</v>
      </c>
      <c r="K21131" s="33" t="s">
        <v>116</v>
      </c>
      <c r="L21131" s="31" t="str">
        <f t="shared" si="2044"/>
        <v>Empat Puluh Empat</v>
      </c>
    </row>
    <row r="21132" spans="1:12">
      <c r="J21132" s="31">
        <v>45</v>
      </c>
      <c r="K21132" s="33" t="s">
        <v>117</v>
      </c>
      <c r="L21132" s="31" t="str">
        <f t="shared" si="2044"/>
        <v>Empat Puluh Lima</v>
      </c>
    </row>
    <row r="21133" spans="1:12">
      <c r="J21133" s="31">
        <v>46</v>
      </c>
      <c r="K21133" s="33" t="s">
        <v>118</v>
      </c>
      <c r="L21133" s="31" t="str">
        <f t="shared" si="2044"/>
        <v>Empat Puluh Enam</v>
      </c>
    </row>
    <row r="21134" spans="1:12">
      <c r="J21134" s="31">
        <v>47</v>
      </c>
      <c r="K21134" s="33" t="s">
        <v>119</v>
      </c>
      <c r="L21134" s="31" t="str">
        <f t="shared" si="2044"/>
        <v>Empat Puluh Tujuh</v>
      </c>
    </row>
    <row r="21135" spans="1:12">
      <c r="J21135" s="31">
        <v>48</v>
      </c>
      <c r="K21135" s="33" t="s">
        <v>120</v>
      </c>
      <c r="L21135" s="31" t="str">
        <f t="shared" si="2044"/>
        <v>Empat Puluh Delapan</v>
      </c>
    </row>
    <row r="21136" spans="1:12">
      <c r="J21136" s="31">
        <v>49</v>
      </c>
      <c r="K21136" s="33" t="s">
        <v>121</v>
      </c>
      <c r="L21136" s="31" t="str">
        <f t="shared" si="2044"/>
        <v>Empat Puluh Sembilan</v>
      </c>
    </row>
    <row r="21137" spans="10:12">
      <c r="J21137" s="31">
        <v>50</v>
      </c>
      <c r="K21137" s="33" t="s">
        <v>122</v>
      </c>
      <c r="L21137" s="31" t="s">
        <v>123</v>
      </c>
    </row>
    <row r="21138" spans="10:12">
      <c r="J21138" s="31">
        <v>51</v>
      </c>
      <c r="K21138" s="33" t="s">
        <v>124</v>
      </c>
      <c r="L21138" s="31" t="str">
        <f t="shared" ref="L21138:L21146" si="2045">$L$53&amp;" "&amp;L21088</f>
        <v>Lima Puluh Satu</v>
      </c>
    </row>
    <row r="21139" spans="10:12">
      <c r="J21139" s="31">
        <v>52</v>
      </c>
      <c r="K21139" s="33" t="s">
        <v>125</v>
      </c>
      <c r="L21139" s="31" t="str">
        <f t="shared" si="2045"/>
        <v>Lima Puluh Dua</v>
      </c>
    </row>
    <row r="21140" spans="10:12">
      <c r="J21140" s="31">
        <v>53</v>
      </c>
      <c r="K21140" s="33" t="s">
        <v>126</v>
      </c>
      <c r="L21140" s="31" t="str">
        <f t="shared" si="2045"/>
        <v>Lima Puluh Tiga</v>
      </c>
    </row>
    <row r="21141" spans="10:12">
      <c r="J21141" s="31">
        <v>54</v>
      </c>
      <c r="K21141" s="33" t="s">
        <v>127</v>
      </c>
      <c r="L21141" s="31" t="str">
        <f t="shared" si="2045"/>
        <v>Lima Puluh Empat</v>
      </c>
    </row>
    <row r="21142" spans="10:12">
      <c r="J21142" s="31">
        <v>55</v>
      </c>
      <c r="K21142" s="33" t="s">
        <v>128</v>
      </c>
      <c r="L21142" s="31" t="str">
        <f t="shared" si="2045"/>
        <v>Lima Puluh Lima</v>
      </c>
    </row>
    <row r="21143" spans="10:12">
      <c r="J21143" s="31">
        <v>56</v>
      </c>
      <c r="K21143" s="33" t="s">
        <v>129</v>
      </c>
      <c r="L21143" s="31" t="str">
        <f t="shared" si="2045"/>
        <v>Lima Puluh Enam</v>
      </c>
    </row>
    <row r="21144" spans="10:12">
      <c r="J21144" s="31">
        <v>57</v>
      </c>
      <c r="K21144" s="33" t="s">
        <v>130</v>
      </c>
      <c r="L21144" s="31" t="str">
        <f t="shared" si="2045"/>
        <v>Lima Puluh Tujuh</v>
      </c>
    </row>
    <row r="21145" spans="10:12">
      <c r="J21145" s="31">
        <v>58</v>
      </c>
      <c r="K21145" s="33" t="s">
        <v>131</v>
      </c>
      <c r="L21145" s="31" t="str">
        <f t="shared" si="2045"/>
        <v>Lima Puluh Delapan</v>
      </c>
    </row>
    <row r="21146" spans="10:12">
      <c r="J21146" s="31">
        <v>59</v>
      </c>
      <c r="K21146" s="33" t="s">
        <v>132</v>
      </c>
      <c r="L21146" s="31" t="str">
        <f t="shared" si="2045"/>
        <v>Lima Puluh Sembilan</v>
      </c>
    </row>
    <row r="21147" spans="10:12">
      <c r="J21147" s="31">
        <v>60</v>
      </c>
      <c r="K21147" s="33" t="s">
        <v>133</v>
      </c>
      <c r="L21147" s="31" t="s">
        <v>134</v>
      </c>
    </row>
    <row r="21148" spans="10:12">
      <c r="J21148" s="31">
        <v>61</v>
      </c>
      <c r="K21148" s="33" t="s">
        <v>135</v>
      </c>
      <c r="L21148" s="31" t="str">
        <f t="shared" ref="L21148:L21156" si="2046">$L$63&amp;" "&amp;L21088</f>
        <v>Enam Puluh Satu</v>
      </c>
    </row>
    <row r="21149" spans="10:12">
      <c r="J21149" s="31">
        <v>62</v>
      </c>
      <c r="K21149" s="33" t="s">
        <v>136</v>
      </c>
      <c r="L21149" s="31" t="str">
        <f t="shared" si="2046"/>
        <v>Enam Puluh Dua</v>
      </c>
    </row>
    <row r="21150" spans="10:12">
      <c r="J21150" s="31">
        <v>63</v>
      </c>
      <c r="K21150" s="33" t="s">
        <v>137</v>
      </c>
      <c r="L21150" s="31" t="str">
        <f t="shared" si="2046"/>
        <v>Enam Puluh Tiga</v>
      </c>
    </row>
    <row r="21151" spans="10:12">
      <c r="J21151" s="31">
        <v>64</v>
      </c>
      <c r="K21151" s="33" t="s">
        <v>138</v>
      </c>
      <c r="L21151" s="31" t="str">
        <f t="shared" si="2046"/>
        <v>Enam Puluh Empat</v>
      </c>
    </row>
    <row r="21152" spans="10:12">
      <c r="J21152" s="31">
        <v>65</v>
      </c>
      <c r="K21152" s="33" t="s">
        <v>139</v>
      </c>
      <c r="L21152" s="31" t="str">
        <f t="shared" si="2046"/>
        <v>Enam Puluh Lima</v>
      </c>
    </row>
    <row r="21153" spans="10:12">
      <c r="J21153" s="31">
        <v>66</v>
      </c>
      <c r="K21153" s="33" t="s">
        <v>140</v>
      </c>
      <c r="L21153" s="31" t="str">
        <f t="shared" si="2046"/>
        <v>Enam Puluh Enam</v>
      </c>
    </row>
    <row r="21154" spans="10:12">
      <c r="J21154" s="31">
        <v>67</v>
      </c>
      <c r="K21154" s="33" t="s">
        <v>141</v>
      </c>
      <c r="L21154" s="31" t="str">
        <f t="shared" si="2046"/>
        <v>Enam Puluh Tujuh</v>
      </c>
    </row>
    <row r="21155" spans="10:12">
      <c r="J21155" s="31">
        <v>68</v>
      </c>
      <c r="K21155" s="33" t="s">
        <v>142</v>
      </c>
      <c r="L21155" s="31" t="str">
        <f t="shared" si="2046"/>
        <v>Enam Puluh Delapan</v>
      </c>
    </row>
    <row r="21156" spans="10:12">
      <c r="J21156" s="31">
        <v>69</v>
      </c>
      <c r="K21156" s="33" t="s">
        <v>143</v>
      </c>
      <c r="L21156" s="31" t="str">
        <f t="shared" si="2046"/>
        <v>Enam Puluh Sembilan</v>
      </c>
    </row>
    <row r="21157" spans="10:12">
      <c r="J21157" s="31">
        <v>70</v>
      </c>
      <c r="K21157" s="33" t="s">
        <v>144</v>
      </c>
      <c r="L21157" s="31" t="s">
        <v>145</v>
      </c>
    </row>
    <row r="21158" spans="10:12">
      <c r="J21158" s="31">
        <v>71</v>
      </c>
      <c r="K21158" s="33" t="s">
        <v>146</v>
      </c>
      <c r="L21158" s="31" t="str">
        <f t="shared" ref="L21158:L21166" si="2047">$L$73&amp;" "&amp;L21088</f>
        <v>Tujuh Puluh Satu</v>
      </c>
    </row>
    <row r="21159" spans="10:12">
      <c r="J21159" s="31">
        <v>72</v>
      </c>
      <c r="K21159" s="33" t="s">
        <v>147</v>
      </c>
      <c r="L21159" s="31" t="str">
        <f t="shared" si="2047"/>
        <v>Tujuh Puluh Dua</v>
      </c>
    </row>
    <row r="21160" spans="10:12">
      <c r="J21160" s="31">
        <v>73</v>
      </c>
      <c r="K21160" s="33" t="s">
        <v>148</v>
      </c>
      <c r="L21160" s="31" t="str">
        <f t="shared" si="2047"/>
        <v>Tujuh Puluh Tiga</v>
      </c>
    </row>
    <row r="21161" spans="10:12">
      <c r="J21161" s="31">
        <v>74</v>
      </c>
      <c r="K21161" s="33" t="s">
        <v>149</v>
      </c>
      <c r="L21161" s="31" t="str">
        <f t="shared" si="2047"/>
        <v>Tujuh Puluh Empat</v>
      </c>
    </row>
    <row r="21162" spans="10:12">
      <c r="J21162" s="31">
        <v>75</v>
      </c>
      <c r="K21162" s="33" t="s">
        <v>150</v>
      </c>
      <c r="L21162" s="31" t="str">
        <f t="shared" si="2047"/>
        <v>Tujuh Puluh Lima</v>
      </c>
    </row>
    <row r="21163" spans="10:12">
      <c r="J21163" s="31">
        <v>76</v>
      </c>
      <c r="K21163" s="33" t="s">
        <v>151</v>
      </c>
      <c r="L21163" s="31" t="str">
        <f t="shared" si="2047"/>
        <v>Tujuh Puluh Enam</v>
      </c>
    </row>
    <row r="21164" spans="10:12">
      <c r="J21164" s="31">
        <v>77</v>
      </c>
      <c r="K21164" s="33" t="s">
        <v>152</v>
      </c>
      <c r="L21164" s="31" t="str">
        <f t="shared" si="2047"/>
        <v>Tujuh Puluh Tujuh</v>
      </c>
    </row>
    <row r="21165" spans="10:12">
      <c r="J21165" s="31">
        <v>78</v>
      </c>
      <c r="K21165" s="33" t="s">
        <v>153</v>
      </c>
      <c r="L21165" s="31" t="str">
        <f t="shared" si="2047"/>
        <v>Tujuh Puluh Delapan</v>
      </c>
    </row>
    <row r="21166" spans="10:12">
      <c r="J21166" s="31">
        <v>79</v>
      </c>
      <c r="K21166" s="33" t="s">
        <v>154</v>
      </c>
      <c r="L21166" s="31" t="str">
        <f t="shared" si="2047"/>
        <v>Tujuh Puluh Sembilan</v>
      </c>
    </row>
    <row r="21167" spans="10:12">
      <c r="J21167" s="31">
        <v>80</v>
      </c>
      <c r="K21167" s="33" t="s">
        <v>155</v>
      </c>
      <c r="L21167" s="31" t="s">
        <v>156</v>
      </c>
    </row>
    <row r="21168" spans="10:12">
      <c r="J21168" s="31">
        <v>81</v>
      </c>
      <c r="K21168" s="33" t="s">
        <v>157</v>
      </c>
      <c r="L21168" s="31" t="str">
        <f t="shared" ref="L21168:L21176" si="2048">$L$83&amp;" "&amp;L21088</f>
        <v>Delapan Puluh Satu</v>
      </c>
    </row>
    <row r="21169" spans="10:12">
      <c r="J21169" s="31">
        <v>82</v>
      </c>
      <c r="K21169" s="33" t="s">
        <v>158</v>
      </c>
      <c r="L21169" s="31" t="str">
        <f t="shared" si="2048"/>
        <v>Delapan Puluh Dua</v>
      </c>
    </row>
    <row r="21170" spans="10:12">
      <c r="J21170" s="31">
        <v>83</v>
      </c>
      <c r="K21170" s="33" t="s">
        <v>159</v>
      </c>
      <c r="L21170" s="31" t="str">
        <f t="shared" si="2048"/>
        <v>Delapan Puluh Tiga</v>
      </c>
    </row>
    <row r="21171" spans="10:12">
      <c r="J21171" s="31">
        <v>84</v>
      </c>
      <c r="K21171" s="33" t="s">
        <v>160</v>
      </c>
      <c r="L21171" s="31" t="str">
        <f t="shared" si="2048"/>
        <v>Delapan Puluh Empat</v>
      </c>
    </row>
    <row r="21172" spans="10:12">
      <c r="J21172" s="31">
        <v>85</v>
      </c>
      <c r="K21172" s="33" t="s">
        <v>161</v>
      </c>
      <c r="L21172" s="31" t="str">
        <f t="shared" si="2048"/>
        <v>Delapan Puluh Lima</v>
      </c>
    </row>
    <row r="21173" spans="10:12">
      <c r="J21173" s="31">
        <v>86</v>
      </c>
      <c r="K21173" s="33" t="s">
        <v>162</v>
      </c>
      <c r="L21173" s="31" t="str">
        <f t="shared" si="2048"/>
        <v>Delapan Puluh Enam</v>
      </c>
    </row>
    <row r="21174" spans="10:12">
      <c r="J21174" s="31">
        <v>87</v>
      </c>
      <c r="K21174" s="33" t="s">
        <v>163</v>
      </c>
      <c r="L21174" s="31" t="str">
        <f t="shared" si="2048"/>
        <v>Delapan Puluh Tujuh</v>
      </c>
    </row>
    <row r="21175" spans="10:12">
      <c r="J21175" s="31">
        <v>88</v>
      </c>
      <c r="K21175" s="33" t="s">
        <v>164</v>
      </c>
      <c r="L21175" s="31" t="str">
        <f t="shared" si="2048"/>
        <v>Delapan Puluh Delapan</v>
      </c>
    </row>
    <row r="21176" spans="10:12">
      <c r="J21176" s="31">
        <v>89</v>
      </c>
      <c r="K21176" s="33" t="s">
        <v>165</v>
      </c>
      <c r="L21176" s="31" t="str">
        <f t="shared" si="2048"/>
        <v>Delapan Puluh Sembilan</v>
      </c>
    </row>
    <row r="21177" spans="10:12">
      <c r="J21177" s="31">
        <v>90</v>
      </c>
      <c r="K21177" s="33" t="s">
        <v>166</v>
      </c>
      <c r="L21177" s="31" t="s">
        <v>167</v>
      </c>
    </row>
    <row r="21178" spans="10:12">
      <c r="J21178" s="31">
        <v>91</v>
      </c>
      <c r="K21178" s="33" t="s">
        <v>168</v>
      </c>
      <c r="L21178" s="31" t="str">
        <f t="shared" ref="L21178:L21186" si="2049">$L$93&amp;" "&amp;L21088</f>
        <v>Sembilan Puluh Satu</v>
      </c>
    </row>
    <row r="21179" spans="10:12">
      <c r="J21179" s="31">
        <v>92</v>
      </c>
      <c r="K21179" s="33" t="s">
        <v>169</v>
      </c>
      <c r="L21179" s="31" t="str">
        <f t="shared" si="2049"/>
        <v>Sembilan Puluh Dua</v>
      </c>
    </row>
    <row r="21180" spans="10:12">
      <c r="J21180" s="31">
        <v>93</v>
      </c>
      <c r="K21180" s="33" t="s">
        <v>170</v>
      </c>
      <c r="L21180" s="31" t="str">
        <f t="shared" si="2049"/>
        <v>Sembilan Puluh Tiga</v>
      </c>
    </row>
    <row r="21181" spans="10:12">
      <c r="J21181" s="31">
        <v>94</v>
      </c>
      <c r="K21181" s="33" t="s">
        <v>171</v>
      </c>
      <c r="L21181" s="31" t="str">
        <f t="shared" si="2049"/>
        <v>Sembilan Puluh Empat</v>
      </c>
    </row>
    <row r="21182" spans="10:12">
      <c r="J21182" s="31">
        <v>95</v>
      </c>
      <c r="K21182" s="33" t="s">
        <v>172</v>
      </c>
      <c r="L21182" s="31" t="str">
        <f t="shared" si="2049"/>
        <v>Sembilan Puluh Lima</v>
      </c>
    </row>
    <row r="21183" spans="10:12">
      <c r="J21183" s="31">
        <v>96</v>
      </c>
      <c r="K21183" s="33" t="s">
        <v>173</v>
      </c>
      <c r="L21183" s="31" t="str">
        <f t="shared" si="2049"/>
        <v>Sembilan Puluh Enam</v>
      </c>
    </row>
    <row r="21184" spans="10:12">
      <c r="J21184" s="31">
        <v>97</v>
      </c>
      <c r="K21184" s="33" t="s">
        <v>174</v>
      </c>
      <c r="L21184" s="31" t="str">
        <f t="shared" si="2049"/>
        <v>Sembilan Puluh Tujuh</v>
      </c>
    </row>
    <row r="21185" spans="1:12">
      <c r="J21185" s="31">
        <v>98</v>
      </c>
      <c r="K21185" s="33" t="s">
        <v>175</v>
      </c>
      <c r="L21185" s="31" t="str">
        <f t="shared" si="2049"/>
        <v>Sembilan Puluh Delapan</v>
      </c>
    </row>
    <row r="21186" spans="1:12">
      <c r="J21186" s="31">
        <v>99</v>
      </c>
      <c r="K21186" s="33" t="s">
        <v>176</v>
      </c>
      <c r="L21186" s="31" t="str">
        <f t="shared" si="2049"/>
        <v>Sembilan Puluh Sembilan</v>
      </c>
    </row>
    <row r="21188" spans="1:12">
      <c r="A21188" s="30" t="e">
        <f>#REF!</f>
        <v>#REF!</v>
      </c>
      <c r="C21188" s="31" t="s">
        <v>461</v>
      </c>
    </row>
    <row r="21189" spans="1:12">
      <c r="A21189" s="32"/>
    </row>
    <row r="21190" spans="1:12">
      <c r="J21190" s="31">
        <v>0</v>
      </c>
      <c r="K21190" s="33" t="s">
        <v>48</v>
      </c>
      <c r="L21190" s="31" t="s">
        <v>49</v>
      </c>
    </row>
    <row r="21191" spans="1:12">
      <c r="A21191" s="34"/>
      <c r="J21191" s="31">
        <v>1</v>
      </c>
      <c r="K21191" s="33" t="s">
        <v>50</v>
      </c>
      <c r="L21191" s="31" t="s">
        <v>51</v>
      </c>
    </row>
    <row r="21192" spans="1:12">
      <c r="A21192" s="255" t="e">
        <f>TRIM(D21200&amp;E21200&amp;D21201&amp;E21201&amp;D21202&amp;E21202&amp;D21203&amp;E21203&amp;D21204&amp;E21204&amp;D21205&amp;E21205&amp;E21206&amp;D21206&amp;" Only")</f>
        <v>#REF!</v>
      </c>
      <c r="B21192" s="255"/>
      <c r="C21192" s="255"/>
      <c r="D21192" s="255"/>
      <c r="E21192" s="35"/>
      <c r="F21192" s="36"/>
      <c r="J21192" s="31">
        <v>2</v>
      </c>
      <c r="K21192" s="33" t="s">
        <v>52</v>
      </c>
      <c r="L21192" s="31" t="s">
        <v>53</v>
      </c>
    </row>
    <row r="21193" spans="1:12">
      <c r="A21193" s="194"/>
      <c r="B21193" s="194"/>
      <c r="C21193" s="194"/>
      <c r="D21193" s="194"/>
      <c r="E21193" s="35"/>
      <c r="F21193" s="36"/>
      <c r="J21193" s="31">
        <v>3</v>
      </c>
      <c r="K21193" s="33" t="s">
        <v>54</v>
      </c>
      <c r="L21193" s="31" t="s">
        <v>55</v>
      </c>
    </row>
    <row r="21194" spans="1:12">
      <c r="A21194" s="194"/>
      <c r="B21194" s="194"/>
      <c r="C21194" s="194"/>
      <c r="D21194" s="194"/>
      <c r="J21194" s="31">
        <v>4</v>
      </c>
      <c r="K21194" s="33" t="s">
        <v>56</v>
      </c>
      <c r="L21194" s="31" t="s">
        <v>57</v>
      </c>
    </row>
    <row r="21195" spans="1:12">
      <c r="A21195" s="255" t="e">
        <f>TRIM(D21210&amp;E21210&amp;D21211&amp;E21211&amp;D21212&amp;E21212&amp;D21213&amp;E21213&amp;D21214&amp;E21214&amp;D21215&amp;E21215&amp;D21216&amp;E21216&amp;" Rupiah")</f>
        <v>#REF!</v>
      </c>
      <c r="B21195" s="255"/>
      <c r="C21195" s="255"/>
      <c r="D21195" s="255"/>
      <c r="E21195" s="35"/>
      <c r="F21195" s="36"/>
      <c r="J21195" s="31">
        <v>5</v>
      </c>
      <c r="K21195" s="33" t="s">
        <v>58</v>
      </c>
      <c r="L21195" s="31" t="s">
        <v>59</v>
      </c>
    </row>
    <row r="21196" spans="1:12">
      <c r="A21196" s="35"/>
      <c r="B21196" s="35"/>
      <c r="C21196" s="35"/>
      <c r="D21196" s="35"/>
      <c r="E21196" s="35"/>
      <c r="F21196" s="36"/>
      <c r="J21196" s="31">
        <v>6</v>
      </c>
      <c r="K21196" s="33" t="s">
        <v>60</v>
      </c>
      <c r="L21196" s="31" t="s">
        <v>61</v>
      </c>
    </row>
    <row r="21197" spans="1:12">
      <c r="J21197" s="31">
        <v>7</v>
      </c>
      <c r="K21197" s="33" t="s">
        <v>62</v>
      </c>
      <c r="L21197" s="31" t="s">
        <v>63</v>
      </c>
    </row>
    <row r="21198" spans="1:12">
      <c r="J21198" s="31">
        <v>8</v>
      </c>
      <c r="K21198" s="33" t="s">
        <v>64</v>
      </c>
      <c r="L21198" s="31" t="s">
        <v>65</v>
      </c>
    </row>
    <row r="21199" spans="1:12">
      <c r="A21199" s="38" t="s">
        <v>66</v>
      </c>
      <c r="J21199" s="31">
        <v>9</v>
      </c>
      <c r="K21199" s="33" t="s">
        <v>67</v>
      </c>
      <c r="L21199" s="31" t="s">
        <v>68</v>
      </c>
    </row>
    <row r="21200" spans="1:12">
      <c r="A21200" s="31" t="s">
        <v>69</v>
      </c>
      <c r="B21200" s="39" t="e">
        <f>TRUNC(A21188/100000000)</f>
        <v>#REF!</v>
      </c>
      <c r="C21200" s="31" t="e">
        <f>B21200*100000000</f>
        <v>#REF!</v>
      </c>
      <c r="D21200" s="31" t="e">
        <f t="shared" ref="D21200:D21206" si="2050">IF(B21200&lt;1,"",VLOOKUP(B21200,$J$3:$K$102,2))</f>
        <v>#REF!</v>
      </c>
      <c r="E21200" s="31" t="e">
        <f>IF(B21200&lt;1,"",IF(B21200&gt;1," Hundreds "," Hundred "))</f>
        <v>#REF!</v>
      </c>
      <c r="J21200" s="31">
        <v>10</v>
      </c>
      <c r="K21200" s="33" t="s">
        <v>70</v>
      </c>
      <c r="L21200" s="31" t="s">
        <v>71</v>
      </c>
    </row>
    <row r="21201" spans="1:12">
      <c r="A21201" s="31" t="s">
        <v>72</v>
      </c>
      <c r="B21201" s="39" t="e">
        <f>TRUNC((A21188-C21200)/1000000)</f>
        <v>#REF!</v>
      </c>
      <c r="C21201" s="31" t="e">
        <f>B21201*1000000</f>
        <v>#REF!</v>
      </c>
      <c r="D21201" s="31" t="e">
        <f t="shared" si="2050"/>
        <v>#REF!</v>
      </c>
      <c r="E21201" s="31" t="e">
        <f>IF(B21200+B21201=0,"",IF(B21201=1," Million "," Millions "))</f>
        <v>#REF!</v>
      </c>
      <c r="J21201" s="31">
        <v>11</v>
      </c>
      <c r="K21201" s="33" t="s">
        <v>73</v>
      </c>
      <c r="L21201" s="31" t="s">
        <v>74</v>
      </c>
    </row>
    <row r="21202" spans="1:12">
      <c r="A21202" s="31" t="s">
        <v>75</v>
      </c>
      <c r="B21202" s="39" t="e">
        <f>TRUNC((A21188-SUM(C21200:C21201))/100000)</f>
        <v>#REF!</v>
      </c>
      <c r="C21202" s="31" t="e">
        <f>B21202*100000</f>
        <v>#REF!</v>
      </c>
      <c r="D21202" s="31" t="e">
        <f t="shared" si="2050"/>
        <v>#REF!</v>
      </c>
      <c r="E21202" s="31" t="e">
        <f>IF(B21202&lt;1,"",IF(B21202&gt;1," Hundreds "," Hundred "))</f>
        <v>#REF!</v>
      </c>
      <c r="J21202" s="31">
        <v>12</v>
      </c>
      <c r="K21202" s="33" t="s">
        <v>76</v>
      </c>
      <c r="L21202" s="31" t="str">
        <f t="shared" ref="L21202:L21209" si="2051">L21192&amp;" Belas"</f>
        <v>Dua Belas</v>
      </c>
    </row>
    <row r="21203" spans="1:12">
      <c r="A21203" s="33" t="s">
        <v>77</v>
      </c>
      <c r="B21203" s="40" t="e">
        <f>TRUNC((A21188-SUM(C21200:C21202))/1000)</f>
        <v>#REF!</v>
      </c>
      <c r="C21203" s="31" t="e">
        <f>B21203*1000</f>
        <v>#REF!</v>
      </c>
      <c r="D21203" s="31" t="e">
        <f t="shared" si="2050"/>
        <v>#REF!</v>
      </c>
      <c r="E21203" s="31" t="e">
        <f>IF(B21202+B21203=0,"",IF(B21203=1," Thousand "," Thousands "))</f>
        <v>#REF!</v>
      </c>
      <c r="J21203" s="31">
        <v>13</v>
      </c>
      <c r="K21203" s="33" t="s">
        <v>78</v>
      </c>
      <c r="L21203" s="31" t="str">
        <f t="shared" si="2051"/>
        <v>Tiga Belas</v>
      </c>
    </row>
    <row r="21204" spans="1:12">
      <c r="A21204" s="33" t="s">
        <v>79</v>
      </c>
      <c r="B21204" s="40" t="e">
        <f>TRUNC((A21188-SUM(C21200:C21203))/100)</f>
        <v>#REF!</v>
      </c>
      <c r="C21204" s="31" t="e">
        <f>B21204*100</f>
        <v>#REF!</v>
      </c>
      <c r="D21204" s="31" t="e">
        <f t="shared" si="2050"/>
        <v>#REF!</v>
      </c>
      <c r="E21204" s="31" t="e">
        <f>IF(B21204&lt;1,"",IF(B21204&gt;1," Hundreds "," Hundred "))</f>
        <v>#REF!</v>
      </c>
      <c r="J21204" s="31">
        <v>14</v>
      </c>
      <c r="K21204" s="33" t="s">
        <v>80</v>
      </c>
      <c r="L21204" s="31" t="str">
        <f t="shared" si="2051"/>
        <v>Empat Belas</v>
      </c>
    </row>
    <row r="21205" spans="1:12">
      <c r="A21205" s="33" t="s">
        <v>81</v>
      </c>
      <c r="B21205" s="41" t="e">
        <f>TRUNC((A21188-SUM(C21200:C21204)))</f>
        <v>#REF!</v>
      </c>
      <c r="C21205" s="42" t="e">
        <f>B21205</f>
        <v>#REF!</v>
      </c>
      <c r="D21205" s="31" t="e">
        <f t="shared" si="2050"/>
        <v>#REF!</v>
      </c>
      <c r="E21205" s="31" t="e">
        <f>IF(SUM(C21200:C21205)&lt;1,"",IF(B21206&lt;1,""," And "))</f>
        <v>#REF!</v>
      </c>
      <c r="J21205" s="31">
        <v>15</v>
      </c>
      <c r="K21205" s="33" t="s">
        <v>82</v>
      </c>
      <c r="L21205" s="31" t="str">
        <f t="shared" si="2051"/>
        <v>Lima Belas</v>
      </c>
    </row>
    <row r="21206" spans="1:12">
      <c r="A21206" s="33" t="s">
        <v>83</v>
      </c>
      <c r="B21206" s="40" t="e">
        <f>ROUND(A21188-SUM(C21200:C21205),2)*100</f>
        <v>#REF!</v>
      </c>
      <c r="D21206" s="43" t="e">
        <f t="shared" si="2050"/>
        <v>#REF!</v>
      </c>
      <c r="E21206" s="31" t="e">
        <f>IF(B21206&lt;1,"",IF(B21206=1," Cent "," Cents "))</f>
        <v>#REF!</v>
      </c>
      <c r="J21206" s="31">
        <v>16</v>
      </c>
      <c r="K21206" s="33" t="s">
        <v>84</v>
      </c>
      <c r="L21206" s="31" t="str">
        <f t="shared" si="2051"/>
        <v>Enam Belas</v>
      </c>
    </row>
    <row r="21207" spans="1:12">
      <c r="J21207" s="31">
        <v>17</v>
      </c>
      <c r="K21207" s="33" t="s">
        <v>85</v>
      </c>
      <c r="L21207" s="31" t="str">
        <f t="shared" si="2051"/>
        <v>Tujuh Belas</v>
      </c>
    </row>
    <row r="21208" spans="1:12">
      <c r="A21208" s="44"/>
      <c r="J21208" s="31">
        <v>18</v>
      </c>
      <c r="K21208" s="33" t="s">
        <v>86</v>
      </c>
      <c r="L21208" s="31" t="str">
        <f t="shared" si="2051"/>
        <v>Delapan Belas</v>
      </c>
    </row>
    <row r="21209" spans="1:12">
      <c r="A21209" s="38" t="s">
        <v>87</v>
      </c>
      <c r="J21209" s="31">
        <v>19</v>
      </c>
      <c r="K21209" s="33" t="s">
        <v>88</v>
      </c>
      <c r="L21209" s="31" t="str">
        <f t="shared" si="2051"/>
        <v>Sembilan Belas</v>
      </c>
    </row>
    <row r="21210" spans="1:12">
      <c r="A21210" s="31" t="s">
        <v>69</v>
      </c>
      <c r="B21210" s="39" t="e">
        <f>TRUNC(A21188/100000000)</f>
        <v>#REF!</v>
      </c>
      <c r="C21210" s="31" t="e">
        <f>B21210*100000000</f>
        <v>#REF!</v>
      </c>
      <c r="D21210" s="31" t="e">
        <f>IF(B21210&lt;1,"",IF(B21210=1,"",VLOOKUP(B21210,$J$3:$L$102,3)))</f>
        <v>#REF!</v>
      </c>
      <c r="E21210" s="31" t="e">
        <f>IF(B21210&lt;1,"",IF(B21210=1,"Seratus "," Ratus "))</f>
        <v>#REF!</v>
      </c>
      <c r="J21210" s="31">
        <v>20</v>
      </c>
      <c r="K21210" s="33" t="s">
        <v>89</v>
      </c>
      <c r="L21210" s="31" t="s">
        <v>90</v>
      </c>
    </row>
    <row r="21211" spans="1:12">
      <c r="A21211" s="31" t="s">
        <v>72</v>
      </c>
      <c r="B21211" s="39" t="e">
        <f>TRUNC((A21188-C21210)/1000000)</f>
        <v>#REF!</v>
      </c>
      <c r="C21211" s="31" t="e">
        <f>B21211*1000000</f>
        <v>#REF!</v>
      </c>
      <c r="D21211" s="31" t="e">
        <f>IF(B21211&lt;1,"",VLOOKUP(B21211,$J$3:$L$102,3))</f>
        <v>#REF!</v>
      </c>
      <c r="E21211" s="31" t="e">
        <f>IF(B21210+B21211=0,""," Juta ")</f>
        <v>#REF!</v>
      </c>
      <c r="J21211" s="31">
        <v>21</v>
      </c>
      <c r="K21211" s="33" t="s">
        <v>91</v>
      </c>
      <c r="L21211" s="31" t="str">
        <f t="shared" ref="L21211:L21219" si="2052">$L$23&amp;" "&amp;L21191</f>
        <v>Dua Puluh Satu</v>
      </c>
    </row>
    <row r="21212" spans="1:12">
      <c r="A21212" s="31" t="s">
        <v>75</v>
      </c>
      <c r="B21212" s="39" t="e">
        <f>TRUNC((A21188-SUM(C21210:C21211))/100000)</f>
        <v>#REF!</v>
      </c>
      <c r="C21212" s="31" t="e">
        <f>B21212*100000</f>
        <v>#REF!</v>
      </c>
      <c r="D21212" s="31" t="e">
        <f>IF(B21212&lt;1,"",IF(B21212=1,"",VLOOKUP(B21212,$J$3:$L$102,3)))</f>
        <v>#REF!</v>
      </c>
      <c r="E21212" s="31" t="e">
        <f>IF(B21212&lt;1,"",IF(B21212=1," Seratus "," Ratus "))</f>
        <v>#REF!</v>
      </c>
      <c r="J21212" s="31">
        <v>22</v>
      </c>
      <c r="K21212" s="33" t="s">
        <v>92</v>
      </c>
      <c r="L21212" s="31" t="str">
        <f t="shared" si="2052"/>
        <v>Dua Puluh Dua</v>
      </c>
    </row>
    <row r="21213" spans="1:12">
      <c r="A21213" s="33" t="s">
        <v>77</v>
      </c>
      <c r="B21213" s="40" t="e">
        <f>TRUNC((A21188-SUM(C21210:C21212))/1000)</f>
        <v>#REF!</v>
      </c>
      <c r="C21213" s="31" t="e">
        <f>B21213*1000</f>
        <v>#REF!</v>
      </c>
      <c r="D21213" s="31" t="e">
        <f>IF(B21213&lt;1,"",IF(B21213=1,"",VLOOKUP(B21213,$J$3:$L$102,3)))</f>
        <v>#REF!</v>
      </c>
      <c r="E21213" s="31" t="e">
        <f>IF(B21212+B21213&lt;1,"",IF(B21213=1," Seribu "," Ribu "))</f>
        <v>#REF!</v>
      </c>
      <c r="J21213" s="31">
        <v>23</v>
      </c>
      <c r="K21213" s="33" t="s">
        <v>93</v>
      </c>
      <c r="L21213" s="31" t="str">
        <f t="shared" si="2052"/>
        <v>Dua Puluh Tiga</v>
      </c>
    </row>
    <row r="21214" spans="1:12">
      <c r="A21214" s="33" t="s">
        <v>79</v>
      </c>
      <c r="B21214" s="40" t="e">
        <f>TRUNC((A21188-SUM(C21210:C21213))/100)</f>
        <v>#REF!</v>
      </c>
      <c r="C21214" s="31" t="e">
        <f>B21214*100</f>
        <v>#REF!</v>
      </c>
      <c r="D21214" s="31" t="e">
        <f>IF(B21214&lt;1,"",IF(B21214=1,"",VLOOKUP(B21214,$J$3:$L$102,3)))</f>
        <v>#REF!</v>
      </c>
      <c r="E21214" s="31" t="e">
        <f>IF(B21214&lt;1,"",IF(B21214=1," Seratus "," Ratus "))</f>
        <v>#REF!</v>
      </c>
      <c r="J21214" s="31">
        <v>24</v>
      </c>
      <c r="K21214" s="33" t="s">
        <v>94</v>
      </c>
      <c r="L21214" s="31" t="str">
        <f t="shared" si="2052"/>
        <v>Dua Puluh Empat</v>
      </c>
    </row>
    <row r="21215" spans="1:12">
      <c r="A21215" s="33" t="s">
        <v>81</v>
      </c>
      <c r="B21215" s="41" t="e">
        <f>TRUNC((A21188-SUM(C21210:C21214)))</f>
        <v>#REF!</v>
      </c>
      <c r="C21215" s="42" t="e">
        <f>B21215</f>
        <v>#REF!</v>
      </c>
      <c r="D21215" s="31" t="e">
        <f>IF(B21215&lt;1,"",VLOOKUP(B21215,$J$3:$L$102,3))</f>
        <v>#REF!</v>
      </c>
      <c r="E21215" s="31" t="e">
        <f>IF(SUM(C21210:C21215)&lt;1,"",IF(B21216&lt;1,""," Dan "))</f>
        <v>#REF!</v>
      </c>
      <c r="J21215" s="31">
        <v>25</v>
      </c>
      <c r="K21215" s="33" t="s">
        <v>95</v>
      </c>
      <c r="L21215" s="31" t="str">
        <f t="shared" si="2052"/>
        <v>Dua Puluh Lima</v>
      </c>
    </row>
    <row r="21216" spans="1:12">
      <c r="A21216" s="33" t="s">
        <v>83</v>
      </c>
      <c r="B21216" s="40" t="e">
        <f>ROUND(A21188-SUM(C21210:C21215),2)*100</f>
        <v>#REF!</v>
      </c>
      <c r="D21216" s="31" t="e">
        <f>IF(B21216&lt;1,"",VLOOKUP(B21216,$J$3:$L$102,3))</f>
        <v>#REF!</v>
      </c>
      <c r="E21216" s="31" t="e">
        <f>IF(B21216&lt;1,""," Sen ")</f>
        <v>#REF!</v>
      </c>
      <c r="J21216" s="31">
        <v>26</v>
      </c>
      <c r="K21216" s="33" t="s">
        <v>96</v>
      </c>
      <c r="L21216" s="31" t="str">
        <f t="shared" si="2052"/>
        <v>Dua Puluh Enam</v>
      </c>
    </row>
    <row r="21217" spans="1:12">
      <c r="J21217" s="31">
        <v>27</v>
      </c>
      <c r="K21217" s="33" t="s">
        <v>97</v>
      </c>
      <c r="L21217" s="31" t="str">
        <f t="shared" si="2052"/>
        <v>Dua Puluh Tujuh</v>
      </c>
    </row>
    <row r="21218" spans="1:12">
      <c r="J21218" s="31">
        <v>28</v>
      </c>
      <c r="K21218" s="33" t="s">
        <v>98</v>
      </c>
      <c r="L21218" s="31" t="str">
        <f t="shared" si="2052"/>
        <v>Dua Puluh Delapan</v>
      </c>
    </row>
    <row r="21219" spans="1:12">
      <c r="J21219" s="31">
        <v>29</v>
      </c>
      <c r="K21219" s="33" t="s">
        <v>99</v>
      </c>
      <c r="L21219" s="31" t="str">
        <f t="shared" si="2052"/>
        <v>Dua Puluh Sembilan</v>
      </c>
    </row>
    <row r="21220" spans="1:12">
      <c r="J21220" s="31">
        <v>30</v>
      </c>
      <c r="K21220" s="33" t="s">
        <v>100</v>
      </c>
      <c r="L21220" s="31" t="s">
        <v>101</v>
      </c>
    </row>
    <row r="21221" spans="1:12">
      <c r="J21221" s="31">
        <v>31</v>
      </c>
      <c r="K21221" s="33" t="s">
        <v>102</v>
      </c>
      <c r="L21221" s="31" t="str">
        <f t="shared" ref="L21221:L21229" si="2053">$L$33&amp;" "&amp;L21191</f>
        <v>Tiga Puluh Satu</v>
      </c>
    </row>
    <row r="21222" spans="1:12">
      <c r="J21222" s="31">
        <v>32</v>
      </c>
      <c r="K21222" s="33" t="s">
        <v>103</v>
      </c>
      <c r="L21222" s="31" t="str">
        <f t="shared" si="2053"/>
        <v>Tiga Puluh Dua</v>
      </c>
    </row>
    <row r="21223" spans="1:12">
      <c r="J21223" s="31">
        <v>33</v>
      </c>
      <c r="K21223" s="33" t="s">
        <v>104</v>
      </c>
      <c r="L21223" s="31" t="str">
        <f t="shared" si="2053"/>
        <v>Tiga Puluh Tiga</v>
      </c>
    </row>
    <row r="21224" spans="1:12">
      <c r="J21224" s="31">
        <v>34</v>
      </c>
      <c r="K21224" s="33" t="s">
        <v>105</v>
      </c>
      <c r="L21224" s="31" t="str">
        <f t="shared" si="2053"/>
        <v>Tiga Puluh Empat</v>
      </c>
    </row>
    <row r="21225" spans="1:12">
      <c r="J21225" s="31">
        <v>35</v>
      </c>
      <c r="K21225" s="33" t="s">
        <v>106</v>
      </c>
      <c r="L21225" s="31" t="str">
        <f t="shared" si="2053"/>
        <v>Tiga Puluh Lima</v>
      </c>
    </row>
    <row r="21226" spans="1:12">
      <c r="J21226" s="31">
        <v>36</v>
      </c>
      <c r="K21226" s="33" t="s">
        <v>107</v>
      </c>
      <c r="L21226" s="31" t="str">
        <f t="shared" si="2053"/>
        <v>Tiga Puluh Enam</v>
      </c>
    </row>
    <row r="21227" spans="1:12">
      <c r="J21227" s="31">
        <v>37</v>
      </c>
      <c r="K21227" s="33" t="s">
        <v>108</v>
      </c>
      <c r="L21227" s="31" t="str">
        <f t="shared" si="2053"/>
        <v>Tiga Puluh Tujuh</v>
      </c>
    </row>
    <row r="21228" spans="1:12">
      <c r="J21228" s="31">
        <v>38</v>
      </c>
      <c r="K21228" s="33" t="s">
        <v>109</v>
      </c>
      <c r="L21228" s="31" t="str">
        <f t="shared" si="2053"/>
        <v>Tiga Puluh Delapan</v>
      </c>
    </row>
    <row r="21229" spans="1:12">
      <c r="J21229" s="31">
        <v>39</v>
      </c>
      <c r="K21229" s="33" t="s">
        <v>110</v>
      </c>
      <c r="L21229" s="31" t="str">
        <f t="shared" si="2053"/>
        <v>Tiga Puluh Sembilan</v>
      </c>
    </row>
    <row r="21230" spans="1:12">
      <c r="B21230" s="35"/>
      <c r="C21230" s="35"/>
      <c r="D21230" s="35"/>
      <c r="J21230" s="31">
        <v>40</v>
      </c>
      <c r="K21230" s="33" t="s">
        <v>111</v>
      </c>
      <c r="L21230" s="31" t="s">
        <v>112</v>
      </c>
    </row>
    <row r="21231" spans="1:12">
      <c r="A21231" s="35"/>
      <c r="B21231" s="35"/>
      <c r="C21231" s="35"/>
      <c r="D21231" s="35"/>
      <c r="J21231" s="31">
        <v>41</v>
      </c>
      <c r="K21231" s="33" t="s">
        <v>113</v>
      </c>
      <c r="L21231" s="31" t="str">
        <f t="shared" ref="L21231:L21239" si="2054">$L$43&amp;" "&amp;L21191</f>
        <v>Empat Puluh Satu</v>
      </c>
    </row>
    <row r="21232" spans="1:12">
      <c r="J21232" s="31">
        <v>42</v>
      </c>
      <c r="K21232" s="33" t="s">
        <v>114</v>
      </c>
      <c r="L21232" s="31" t="str">
        <f t="shared" si="2054"/>
        <v>Empat Puluh Dua</v>
      </c>
    </row>
    <row r="21233" spans="1:12">
      <c r="A21233" s="38"/>
      <c r="J21233" s="31">
        <v>43</v>
      </c>
      <c r="K21233" s="33" t="s">
        <v>115</v>
      </c>
      <c r="L21233" s="31" t="str">
        <f t="shared" si="2054"/>
        <v>Empat Puluh Tiga</v>
      </c>
    </row>
    <row r="21234" spans="1:12">
      <c r="J21234" s="31">
        <v>44</v>
      </c>
      <c r="K21234" s="33" t="s">
        <v>116</v>
      </c>
      <c r="L21234" s="31" t="str">
        <f t="shared" si="2054"/>
        <v>Empat Puluh Empat</v>
      </c>
    </row>
    <row r="21235" spans="1:12">
      <c r="J21235" s="31">
        <v>45</v>
      </c>
      <c r="K21235" s="33" t="s">
        <v>117</v>
      </c>
      <c r="L21235" s="31" t="str">
        <f t="shared" si="2054"/>
        <v>Empat Puluh Lima</v>
      </c>
    </row>
    <row r="21236" spans="1:12">
      <c r="J21236" s="31">
        <v>46</v>
      </c>
      <c r="K21236" s="33" t="s">
        <v>118</v>
      </c>
      <c r="L21236" s="31" t="str">
        <f t="shared" si="2054"/>
        <v>Empat Puluh Enam</v>
      </c>
    </row>
    <row r="21237" spans="1:12">
      <c r="J21237" s="31">
        <v>47</v>
      </c>
      <c r="K21237" s="33" t="s">
        <v>119</v>
      </c>
      <c r="L21237" s="31" t="str">
        <f t="shared" si="2054"/>
        <v>Empat Puluh Tujuh</v>
      </c>
    </row>
    <row r="21238" spans="1:12">
      <c r="J21238" s="31">
        <v>48</v>
      </c>
      <c r="K21238" s="33" t="s">
        <v>120</v>
      </c>
      <c r="L21238" s="31" t="str">
        <f t="shared" si="2054"/>
        <v>Empat Puluh Delapan</v>
      </c>
    </row>
    <row r="21239" spans="1:12">
      <c r="J21239" s="31">
        <v>49</v>
      </c>
      <c r="K21239" s="33" t="s">
        <v>121</v>
      </c>
      <c r="L21239" s="31" t="str">
        <f t="shared" si="2054"/>
        <v>Empat Puluh Sembilan</v>
      </c>
    </row>
    <row r="21240" spans="1:12">
      <c r="J21240" s="31">
        <v>50</v>
      </c>
      <c r="K21240" s="33" t="s">
        <v>122</v>
      </c>
      <c r="L21240" s="31" t="s">
        <v>123</v>
      </c>
    </row>
    <row r="21241" spans="1:12">
      <c r="J21241" s="31">
        <v>51</v>
      </c>
      <c r="K21241" s="33" t="s">
        <v>124</v>
      </c>
      <c r="L21241" s="31" t="str">
        <f t="shared" ref="L21241:L21249" si="2055">$L$53&amp;" "&amp;L21191</f>
        <v>Lima Puluh Satu</v>
      </c>
    </row>
    <row r="21242" spans="1:12">
      <c r="J21242" s="31">
        <v>52</v>
      </c>
      <c r="K21242" s="33" t="s">
        <v>125</v>
      </c>
      <c r="L21242" s="31" t="str">
        <f t="shared" si="2055"/>
        <v>Lima Puluh Dua</v>
      </c>
    </row>
    <row r="21243" spans="1:12">
      <c r="J21243" s="31">
        <v>53</v>
      </c>
      <c r="K21243" s="33" t="s">
        <v>126</v>
      </c>
      <c r="L21243" s="31" t="str">
        <f t="shared" si="2055"/>
        <v>Lima Puluh Tiga</v>
      </c>
    </row>
    <row r="21244" spans="1:12">
      <c r="J21244" s="31">
        <v>54</v>
      </c>
      <c r="K21244" s="33" t="s">
        <v>127</v>
      </c>
      <c r="L21244" s="31" t="str">
        <f t="shared" si="2055"/>
        <v>Lima Puluh Empat</v>
      </c>
    </row>
    <row r="21245" spans="1:12">
      <c r="J21245" s="31">
        <v>55</v>
      </c>
      <c r="K21245" s="33" t="s">
        <v>128</v>
      </c>
      <c r="L21245" s="31" t="str">
        <f t="shared" si="2055"/>
        <v>Lima Puluh Lima</v>
      </c>
    </row>
    <row r="21246" spans="1:12">
      <c r="J21246" s="31">
        <v>56</v>
      </c>
      <c r="K21246" s="33" t="s">
        <v>129</v>
      </c>
      <c r="L21246" s="31" t="str">
        <f t="shared" si="2055"/>
        <v>Lima Puluh Enam</v>
      </c>
    </row>
    <row r="21247" spans="1:12">
      <c r="J21247" s="31">
        <v>57</v>
      </c>
      <c r="K21247" s="33" t="s">
        <v>130</v>
      </c>
      <c r="L21247" s="31" t="str">
        <f t="shared" si="2055"/>
        <v>Lima Puluh Tujuh</v>
      </c>
    </row>
    <row r="21248" spans="1:12">
      <c r="J21248" s="31">
        <v>58</v>
      </c>
      <c r="K21248" s="33" t="s">
        <v>131</v>
      </c>
      <c r="L21248" s="31" t="str">
        <f t="shared" si="2055"/>
        <v>Lima Puluh Delapan</v>
      </c>
    </row>
    <row r="21249" spans="10:12">
      <c r="J21249" s="31">
        <v>59</v>
      </c>
      <c r="K21249" s="33" t="s">
        <v>132</v>
      </c>
      <c r="L21249" s="31" t="str">
        <f t="shared" si="2055"/>
        <v>Lima Puluh Sembilan</v>
      </c>
    </row>
    <row r="21250" spans="10:12">
      <c r="J21250" s="31">
        <v>60</v>
      </c>
      <c r="K21250" s="33" t="s">
        <v>133</v>
      </c>
      <c r="L21250" s="31" t="s">
        <v>134</v>
      </c>
    </row>
    <row r="21251" spans="10:12">
      <c r="J21251" s="31">
        <v>61</v>
      </c>
      <c r="K21251" s="33" t="s">
        <v>135</v>
      </c>
      <c r="L21251" s="31" t="str">
        <f t="shared" ref="L21251:L21259" si="2056">$L$63&amp;" "&amp;L21191</f>
        <v>Enam Puluh Satu</v>
      </c>
    </row>
    <row r="21252" spans="10:12">
      <c r="J21252" s="31">
        <v>62</v>
      </c>
      <c r="K21252" s="33" t="s">
        <v>136</v>
      </c>
      <c r="L21252" s="31" t="str">
        <f t="shared" si="2056"/>
        <v>Enam Puluh Dua</v>
      </c>
    </row>
    <row r="21253" spans="10:12">
      <c r="J21253" s="31">
        <v>63</v>
      </c>
      <c r="K21253" s="33" t="s">
        <v>137</v>
      </c>
      <c r="L21253" s="31" t="str">
        <f t="shared" si="2056"/>
        <v>Enam Puluh Tiga</v>
      </c>
    </row>
    <row r="21254" spans="10:12">
      <c r="J21254" s="31">
        <v>64</v>
      </c>
      <c r="K21254" s="33" t="s">
        <v>138</v>
      </c>
      <c r="L21254" s="31" t="str">
        <f t="shared" si="2056"/>
        <v>Enam Puluh Empat</v>
      </c>
    </row>
    <row r="21255" spans="10:12">
      <c r="J21255" s="31">
        <v>65</v>
      </c>
      <c r="K21255" s="33" t="s">
        <v>139</v>
      </c>
      <c r="L21255" s="31" t="str">
        <f t="shared" si="2056"/>
        <v>Enam Puluh Lima</v>
      </c>
    </row>
    <row r="21256" spans="10:12">
      <c r="J21256" s="31">
        <v>66</v>
      </c>
      <c r="K21256" s="33" t="s">
        <v>140</v>
      </c>
      <c r="L21256" s="31" t="str">
        <f t="shared" si="2056"/>
        <v>Enam Puluh Enam</v>
      </c>
    </row>
    <row r="21257" spans="10:12">
      <c r="J21257" s="31">
        <v>67</v>
      </c>
      <c r="K21257" s="33" t="s">
        <v>141</v>
      </c>
      <c r="L21257" s="31" t="str">
        <f t="shared" si="2056"/>
        <v>Enam Puluh Tujuh</v>
      </c>
    </row>
    <row r="21258" spans="10:12">
      <c r="J21258" s="31">
        <v>68</v>
      </c>
      <c r="K21258" s="33" t="s">
        <v>142</v>
      </c>
      <c r="L21258" s="31" t="str">
        <f t="shared" si="2056"/>
        <v>Enam Puluh Delapan</v>
      </c>
    </row>
    <row r="21259" spans="10:12">
      <c r="J21259" s="31">
        <v>69</v>
      </c>
      <c r="K21259" s="33" t="s">
        <v>143</v>
      </c>
      <c r="L21259" s="31" t="str">
        <f t="shared" si="2056"/>
        <v>Enam Puluh Sembilan</v>
      </c>
    </row>
    <row r="21260" spans="10:12">
      <c r="J21260" s="31">
        <v>70</v>
      </c>
      <c r="K21260" s="33" t="s">
        <v>144</v>
      </c>
      <c r="L21260" s="31" t="s">
        <v>145</v>
      </c>
    </row>
    <row r="21261" spans="10:12">
      <c r="J21261" s="31">
        <v>71</v>
      </c>
      <c r="K21261" s="33" t="s">
        <v>146</v>
      </c>
      <c r="L21261" s="31" t="str">
        <f t="shared" ref="L21261:L21269" si="2057">$L$73&amp;" "&amp;L21191</f>
        <v>Tujuh Puluh Satu</v>
      </c>
    </row>
    <row r="21262" spans="10:12">
      <c r="J21262" s="31">
        <v>72</v>
      </c>
      <c r="K21262" s="33" t="s">
        <v>147</v>
      </c>
      <c r="L21262" s="31" t="str">
        <f t="shared" si="2057"/>
        <v>Tujuh Puluh Dua</v>
      </c>
    </row>
    <row r="21263" spans="10:12">
      <c r="J21263" s="31">
        <v>73</v>
      </c>
      <c r="K21263" s="33" t="s">
        <v>148</v>
      </c>
      <c r="L21263" s="31" t="str">
        <f t="shared" si="2057"/>
        <v>Tujuh Puluh Tiga</v>
      </c>
    </row>
    <row r="21264" spans="10:12">
      <c r="J21264" s="31">
        <v>74</v>
      </c>
      <c r="K21264" s="33" t="s">
        <v>149</v>
      </c>
      <c r="L21264" s="31" t="str">
        <f t="shared" si="2057"/>
        <v>Tujuh Puluh Empat</v>
      </c>
    </row>
    <row r="21265" spans="10:12">
      <c r="J21265" s="31">
        <v>75</v>
      </c>
      <c r="K21265" s="33" t="s">
        <v>150</v>
      </c>
      <c r="L21265" s="31" t="str">
        <f t="shared" si="2057"/>
        <v>Tujuh Puluh Lima</v>
      </c>
    </row>
    <row r="21266" spans="10:12">
      <c r="J21266" s="31">
        <v>76</v>
      </c>
      <c r="K21266" s="33" t="s">
        <v>151</v>
      </c>
      <c r="L21266" s="31" t="str">
        <f t="shared" si="2057"/>
        <v>Tujuh Puluh Enam</v>
      </c>
    </row>
    <row r="21267" spans="10:12">
      <c r="J21267" s="31">
        <v>77</v>
      </c>
      <c r="K21267" s="33" t="s">
        <v>152</v>
      </c>
      <c r="L21267" s="31" t="str">
        <f t="shared" si="2057"/>
        <v>Tujuh Puluh Tujuh</v>
      </c>
    </row>
    <row r="21268" spans="10:12">
      <c r="J21268" s="31">
        <v>78</v>
      </c>
      <c r="K21268" s="33" t="s">
        <v>153</v>
      </c>
      <c r="L21268" s="31" t="str">
        <f t="shared" si="2057"/>
        <v>Tujuh Puluh Delapan</v>
      </c>
    </row>
    <row r="21269" spans="10:12">
      <c r="J21269" s="31">
        <v>79</v>
      </c>
      <c r="K21269" s="33" t="s">
        <v>154</v>
      </c>
      <c r="L21269" s="31" t="str">
        <f t="shared" si="2057"/>
        <v>Tujuh Puluh Sembilan</v>
      </c>
    </row>
    <row r="21270" spans="10:12">
      <c r="J21270" s="31">
        <v>80</v>
      </c>
      <c r="K21270" s="33" t="s">
        <v>155</v>
      </c>
      <c r="L21270" s="31" t="s">
        <v>156</v>
      </c>
    </row>
    <row r="21271" spans="10:12">
      <c r="J21271" s="31">
        <v>81</v>
      </c>
      <c r="K21271" s="33" t="s">
        <v>157</v>
      </c>
      <c r="L21271" s="31" t="str">
        <f t="shared" ref="L21271:L21279" si="2058">$L$83&amp;" "&amp;L21191</f>
        <v>Delapan Puluh Satu</v>
      </c>
    </row>
    <row r="21272" spans="10:12">
      <c r="J21272" s="31">
        <v>82</v>
      </c>
      <c r="K21272" s="33" t="s">
        <v>158</v>
      </c>
      <c r="L21272" s="31" t="str">
        <f t="shared" si="2058"/>
        <v>Delapan Puluh Dua</v>
      </c>
    </row>
    <row r="21273" spans="10:12">
      <c r="J21273" s="31">
        <v>83</v>
      </c>
      <c r="K21273" s="33" t="s">
        <v>159</v>
      </c>
      <c r="L21273" s="31" t="str">
        <f t="shared" si="2058"/>
        <v>Delapan Puluh Tiga</v>
      </c>
    </row>
    <row r="21274" spans="10:12">
      <c r="J21274" s="31">
        <v>84</v>
      </c>
      <c r="K21274" s="33" t="s">
        <v>160</v>
      </c>
      <c r="L21274" s="31" t="str">
        <f t="shared" si="2058"/>
        <v>Delapan Puluh Empat</v>
      </c>
    </row>
    <row r="21275" spans="10:12">
      <c r="J21275" s="31">
        <v>85</v>
      </c>
      <c r="K21275" s="33" t="s">
        <v>161</v>
      </c>
      <c r="L21275" s="31" t="str">
        <f t="shared" si="2058"/>
        <v>Delapan Puluh Lima</v>
      </c>
    </row>
    <row r="21276" spans="10:12">
      <c r="J21276" s="31">
        <v>86</v>
      </c>
      <c r="K21276" s="33" t="s">
        <v>162</v>
      </c>
      <c r="L21276" s="31" t="str">
        <f t="shared" si="2058"/>
        <v>Delapan Puluh Enam</v>
      </c>
    </row>
    <row r="21277" spans="10:12">
      <c r="J21277" s="31">
        <v>87</v>
      </c>
      <c r="K21277" s="33" t="s">
        <v>163</v>
      </c>
      <c r="L21277" s="31" t="str">
        <f t="shared" si="2058"/>
        <v>Delapan Puluh Tujuh</v>
      </c>
    </row>
    <row r="21278" spans="10:12">
      <c r="J21278" s="31">
        <v>88</v>
      </c>
      <c r="K21278" s="33" t="s">
        <v>164</v>
      </c>
      <c r="L21278" s="31" t="str">
        <f t="shared" si="2058"/>
        <v>Delapan Puluh Delapan</v>
      </c>
    </row>
    <row r="21279" spans="10:12">
      <c r="J21279" s="31">
        <v>89</v>
      </c>
      <c r="K21279" s="33" t="s">
        <v>165</v>
      </c>
      <c r="L21279" s="31" t="str">
        <f t="shared" si="2058"/>
        <v>Delapan Puluh Sembilan</v>
      </c>
    </row>
    <row r="21280" spans="10:12">
      <c r="J21280" s="31">
        <v>90</v>
      </c>
      <c r="K21280" s="33" t="s">
        <v>166</v>
      </c>
      <c r="L21280" s="31" t="s">
        <v>167</v>
      </c>
    </row>
    <row r="21281" spans="1:12">
      <c r="J21281" s="31">
        <v>91</v>
      </c>
      <c r="K21281" s="33" t="s">
        <v>168</v>
      </c>
      <c r="L21281" s="31" t="str">
        <f t="shared" ref="L21281:L21289" si="2059">$L$93&amp;" "&amp;L21191</f>
        <v>Sembilan Puluh Satu</v>
      </c>
    </row>
    <row r="21282" spans="1:12">
      <c r="J21282" s="31">
        <v>92</v>
      </c>
      <c r="K21282" s="33" t="s">
        <v>169</v>
      </c>
      <c r="L21282" s="31" t="str">
        <f t="shared" si="2059"/>
        <v>Sembilan Puluh Dua</v>
      </c>
    </row>
    <row r="21283" spans="1:12">
      <c r="J21283" s="31">
        <v>93</v>
      </c>
      <c r="K21283" s="33" t="s">
        <v>170</v>
      </c>
      <c r="L21283" s="31" t="str">
        <f t="shared" si="2059"/>
        <v>Sembilan Puluh Tiga</v>
      </c>
    </row>
    <row r="21284" spans="1:12">
      <c r="J21284" s="31">
        <v>94</v>
      </c>
      <c r="K21284" s="33" t="s">
        <v>171</v>
      </c>
      <c r="L21284" s="31" t="str">
        <f t="shared" si="2059"/>
        <v>Sembilan Puluh Empat</v>
      </c>
    </row>
    <row r="21285" spans="1:12">
      <c r="J21285" s="31">
        <v>95</v>
      </c>
      <c r="K21285" s="33" t="s">
        <v>172</v>
      </c>
      <c r="L21285" s="31" t="str">
        <f t="shared" si="2059"/>
        <v>Sembilan Puluh Lima</v>
      </c>
    </row>
    <row r="21286" spans="1:12">
      <c r="J21286" s="31">
        <v>96</v>
      </c>
      <c r="K21286" s="33" t="s">
        <v>173</v>
      </c>
      <c r="L21286" s="31" t="str">
        <f t="shared" si="2059"/>
        <v>Sembilan Puluh Enam</v>
      </c>
    </row>
    <row r="21287" spans="1:12">
      <c r="J21287" s="31">
        <v>97</v>
      </c>
      <c r="K21287" s="33" t="s">
        <v>174</v>
      </c>
      <c r="L21287" s="31" t="str">
        <f t="shared" si="2059"/>
        <v>Sembilan Puluh Tujuh</v>
      </c>
    </row>
    <row r="21288" spans="1:12">
      <c r="J21288" s="31">
        <v>98</v>
      </c>
      <c r="K21288" s="33" t="s">
        <v>175</v>
      </c>
      <c r="L21288" s="31" t="str">
        <f t="shared" si="2059"/>
        <v>Sembilan Puluh Delapan</v>
      </c>
    </row>
    <row r="21289" spans="1:12">
      <c r="J21289" s="31">
        <v>99</v>
      </c>
      <c r="K21289" s="33" t="s">
        <v>176</v>
      </c>
      <c r="L21289" s="31" t="str">
        <f t="shared" si="2059"/>
        <v>Sembilan Puluh Sembilan</v>
      </c>
    </row>
    <row r="21291" spans="1:12">
      <c r="A21291" s="30" t="e">
        <f>#REF!</f>
        <v>#REF!</v>
      </c>
      <c r="C21291" s="31" t="s">
        <v>462</v>
      </c>
    </row>
    <row r="21292" spans="1:12">
      <c r="A21292" s="32"/>
    </row>
    <row r="21293" spans="1:12">
      <c r="J21293" s="31">
        <v>0</v>
      </c>
      <c r="K21293" s="33" t="s">
        <v>48</v>
      </c>
      <c r="L21293" s="31" t="s">
        <v>49</v>
      </c>
    </row>
    <row r="21294" spans="1:12">
      <c r="A21294" s="34"/>
      <c r="J21294" s="31">
        <v>1</v>
      </c>
      <c r="K21294" s="33" t="s">
        <v>50</v>
      </c>
      <c r="L21294" s="31" t="s">
        <v>51</v>
      </c>
    </row>
    <row r="21295" spans="1:12">
      <c r="A21295" s="255" t="e">
        <f>TRIM(D21303&amp;E21303&amp;D21304&amp;E21304&amp;D21305&amp;E21305&amp;D21306&amp;E21306&amp;D21307&amp;E21307&amp;D21308&amp;E21308&amp;E21309&amp;D21309&amp;" Only")</f>
        <v>#REF!</v>
      </c>
      <c r="B21295" s="255"/>
      <c r="C21295" s="255"/>
      <c r="D21295" s="255"/>
      <c r="E21295" s="35"/>
      <c r="F21295" s="36"/>
      <c r="J21295" s="31">
        <v>2</v>
      </c>
      <c r="K21295" s="33" t="s">
        <v>52</v>
      </c>
      <c r="L21295" s="31" t="s">
        <v>53</v>
      </c>
    </row>
    <row r="21296" spans="1:12">
      <c r="A21296" s="194"/>
      <c r="B21296" s="194"/>
      <c r="C21296" s="194"/>
      <c r="D21296" s="194"/>
      <c r="E21296" s="35"/>
      <c r="F21296" s="36"/>
      <c r="J21296" s="31">
        <v>3</v>
      </c>
      <c r="K21296" s="33" t="s">
        <v>54</v>
      </c>
      <c r="L21296" s="31" t="s">
        <v>55</v>
      </c>
    </row>
    <row r="21297" spans="1:12">
      <c r="A21297" s="194"/>
      <c r="B21297" s="194"/>
      <c r="C21297" s="194"/>
      <c r="D21297" s="194"/>
      <c r="J21297" s="31">
        <v>4</v>
      </c>
      <c r="K21297" s="33" t="s">
        <v>56</v>
      </c>
      <c r="L21297" s="31" t="s">
        <v>57</v>
      </c>
    </row>
    <row r="21298" spans="1:12">
      <c r="A21298" s="255" t="e">
        <f>TRIM(D21313&amp;E21313&amp;D21314&amp;E21314&amp;D21315&amp;E21315&amp;D21316&amp;E21316&amp;D21317&amp;E21317&amp;D21318&amp;E21318&amp;D21319&amp;E21319&amp;" Rupiah")</f>
        <v>#REF!</v>
      </c>
      <c r="B21298" s="255"/>
      <c r="C21298" s="255"/>
      <c r="D21298" s="255"/>
      <c r="E21298" s="35"/>
      <c r="F21298" s="36"/>
      <c r="J21298" s="31">
        <v>5</v>
      </c>
      <c r="K21298" s="33" t="s">
        <v>58</v>
      </c>
      <c r="L21298" s="31" t="s">
        <v>59</v>
      </c>
    </row>
    <row r="21299" spans="1:12">
      <c r="A21299" s="35"/>
      <c r="B21299" s="35"/>
      <c r="C21299" s="35"/>
      <c r="D21299" s="35"/>
      <c r="E21299" s="35"/>
      <c r="F21299" s="36"/>
      <c r="J21299" s="31">
        <v>6</v>
      </c>
      <c r="K21299" s="33" t="s">
        <v>60</v>
      </c>
      <c r="L21299" s="31" t="s">
        <v>61</v>
      </c>
    </row>
    <row r="21300" spans="1:12">
      <c r="J21300" s="31">
        <v>7</v>
      </c>
      <c r="K21300" s="33" t="s">
        <v>62</v>
      </c>
      <c r="L21300" s="31" t="s">
        <v>63</v>
      </c>
    </row>
    <row r="21301" spans="1:12">
      <c r="J21301" s="31">
        <v>8</v>
      </c>
      <c r="K21301" s="33" t="s">
        <v>64</v>
      </c>
      <c r="L21301" s="31" t="s">
        <v>65</v>
      </c>
    </row>
    <row r="21302" spans="1:12">
      <c r="A21302" s="38" t="s">
        <v>66</v>
      </c>
      <c r="J21302" s="31">
        <v>9</v>
      </c>
      <c r="K21302" s="33" t="s">
        <v>67</v>
      </c>
      <c r="L21302" s="31" t="s">
        <v>68</v>
      </c>
    </row>
    <row r="21303" spans="1:12">
      <c r="A21303" s="31" t="s">
        <v>69</v>
      </c>
      <c r="B21303" s="39" t="e">
        <f>TRUNC(A21291/100000000)</f>
        <v>#REF!</v>
      </c>
      <c r="C21303" s="31" t="e">
        <f>B21303*100000000</f>
        <v>#REF!</v>
      </c>
      <c r="D21303" s="31" t="e">
        <f t="shared" ref="D21303:D21309" si="2060">IF(B21303&lt;1,"",VLOOKUP(B21303,$J$3:$K$102,2))</f>
        <v>#REF!</v>
      </c>
      <c r="E21303" s="31" t="e">
        <f>IF(B21303&lt;1,"",IF(B21303&gt;1," Hundreds "," Hundred "))</f>
        <v>#REF!</v>
      </c>
      <c r="J21303" s="31">
        <v>10</v>
      </c>
      <c r="K21303" s="33" t="s">
        <v>70</v>
      </c>
      <c r="L21303" s="31" t="s">
        <v>71</v>
      </c>
    </row>
    <row r="21304" spans="1:12">
      <c r="A21304" s="31" t="s">
        <v>72</v>
      </c>
      <c r="B21304" s="39" t="e">
        <f>TRUNC((A21291-C21303)/1000000)</f>
        <v>#REF!</v>
      </c>
      <c r="C21304" s="31" t="e">
        <f>B21304*1000000</f>
        <v>#REF!</v>
      </c>
      <c r="D21304" s="31" t="e">
        <f t="shared" si="2060"/>
        <v>#REF!</v>
      </c>
      <c r="E21304" s="31" t="e">
        <f>IF(B21303+B21304=0,"",IF(B21304=1," Million "," Millions "))</f>
        <v>#REF!</v>
      </c>
      <c r="J21304" s="31">
        <v>11</v>
      </c>
      <c r="K21304" s="33" t="s">
        <v>73</v>
      </c>
      <c r="L21304" s="31" t="s">
        <v>74</v>
      </c>
    </row>
    <row r="21305" spans="1:12">
      <c r="A21305" s="31" t="s">
        <v>75</v>
      </c>
      <c r="B21305" s="39" t="e">
        <f>TRUNC((A21291-SUM(C21303:C21304))/100000)</f>
        <v>#REF!</v>
      </c>
      <c r="C21305" s="31" t="e">
        <f>B21305*100000</f>
        <v>#REF!</v>
      </c>
      <c r="D21305" s="31" t="e">
        <f t="shared" si="2060"/>
        <v>#REF!</v>
      </c>
      <c r="E21305" s="31" t="e">
        <f>IF(B21305&lt;1,"",IF(B21305&gt;1," Hundreds "," Hundred "))</f>
        <v>#REF!</v>
      </c>
      <c r="J21305" s="31">
        <v>12</v>
      </c>
      <c r="K21305" s="33" t="s">
        <v>76</v>
      </c>
      <c r="L21305" s="31" t="str">
        <f t="shared" ref="L21305:L21312" si="2061">L21295&amp;" Belas"</f>
        <v>Dua Belas</v>
      </c>
    </row>
    <row r="21306" spans="1:12">
      <c r="A21306" s="33" t="s">
        <v>77</v>
      </c>
      <c r="B21306" s="40" t="e">
        <f>TRUNC((A21291-SUM(C21303:C21305))/1000)</f>
        <v>#REF!</v>
      </c>
      <c r="C21306" s="31" t="e">
        <f>B21306*1000</f>
        <v>#REF!</v>
      </c>
      <c r="D21306" s="31" t="e">
        <f t="shared" si="2060"/>
        <v>#REF!</v>
      </c>
      <c r="E21306" s="31" t="e">
        <f>IF(B21305+B21306=0,"",IF(B21306=1," Thousand "," Thousands "))</f>
        <v>#REF!</v>
      </c>
      <c r="J21306" s="31">
        <v>13</v>
      </c>
      <c r="K21306" s="33" t="s">
        <v>78</v>
      </c>
      <c r="L21306" s="31" t="str">
        <f t="shared" si="2061"/>
        <v>Tiga Belas</v>
      </c>
    </row>
    <row r="21307" spans="1:12">
      <c r="A21307" s="33" t="s">
        <v>79</v>
      </c>
      <c r="B21307" s="40" t="e">
        <f>TRUNC((A21291-SUM(C21303:C21306))/100)</f>
        <v>#REF!</v>
      </c>
      <c r="C21307" s="31" t="e">
        <f>B21307*100</f>
        <v>#REF!</v>
      </c>
      <c r="D21307" s="31" t="e">
        <f t="shared" si="2060"/>
        <v>#REF!</v>
      </c>
      <c r="E21307" s="31" t="e">
        <f>IF(B21307&lt;1,"",IF(B21307&gt;1," Hundreds "," Hundred "))</f>
        <v>#REF!</v>
      </c>
      <c r="J21307" s="31">
        <v>14</v>
      </c>
      <c r="K21307" s="33" t="s">
        <v>80</v>
      </c>
      <c r="L21307" s="31" t="str">
        <f t="shared" si="2061"/>
        <v>Empat Belas</v>
      </c>
    </row>
    <row r="21308" spans="1:12">
      <c r="A21308" s="33" t="s">
        <v>81</v>
      </c>
      <c r="B21308" s="41" t="e">
        <f>TRUNC((A21291-SUM(C21303:C21307)))</f>
        <v>#REF!</v>
      </c>
      <c r="C21308" s="42" t="e">
        <f>B21308</f>
        <v>#REF!</v>
      </c>
      <c r="D21308" s="31" t="e">
        <f t="shared" si="2060"/>
        <v>#REF!</v>
      </c>
      <c r="E21308" s="31" t="e">
        <f>IF(SUM(C21303:C21308)&lt;1,"",IF(B21309&lt;1,""," And "))</f>
        <v>#REF!</v>
      </c>
      <c r="J21308" s="31">
        <v>15</v>
      </c>
      <c r="K21308" s="33" t="s">
        <v>82</v>
      </c>
      <c r="L21308" s="31" t="str">
        <f t="shared" si="2061"/>
        <v>Lima Belas</v>
      </c>
    </row>
    <row r="21309" spans="1:12">
      <c r="A21309" s="33" t="s">
        <v>83</v>
      </c>
      <c r="B21309" s="40" t="e">
        <f>ROUND(A21291-SUM(C21303:C21308),2)*100</f>
        <v>#REF!</v>
      </c>
      <c r="D21309" s="43" t="e">
        <f t="shared" si="2060"/>
        <v>#REF!</v>
      </c>
      <c r="E21309" s="31" t="e">
        <f>IF(B21309&lt;1,"",IF(B21309=1," Cent "," Cents "))</f>
        <v>#REF!</v>
      </c>
      <c r="J21309" s="31">
        <v>16</v>
      </c>
      <c r="K21309" s="33" t="s">
        <v>84</v>
      </c>
      <c r="L21309" s="31" t="str">
        <f t="shared" si="2061"/>
        <v>Enam Belas</v>
      </c>
    </row>
    <row r="21310" spans="1:12">
      <c r="J21310" s="31">
        <v>17</v>
      </c>
      <c r="K21310" s="33" t="s">
        <v>85</v>
      </c>
      <c r="L21310" s="31" t="str">
        <f t="shared" si="2061"/>
        <v>Tujuh Belas</v>
      </c>
    </row>
    <row r="21311" spans="1:12">
      <c r="A21311" s="44"/>
      <c r="J21311" s="31">
        <v>18</v>
      </c>
      <c r="K21311" s="33" t="s">
        <v>86</v>
      </c>
      <c r="L21311" s="31" t="str">
        <f t="shared" si="2061"/>
        <v>Delapan Belas</v>
      </c>
    </row>
    <row r="21312" spans="1:12">
      <c r="A21312" s="38" t="s">
        <v>87</v>
      </c>
      <c r="J21312" s="31">
        <v>19</v>
      </c>
      <c r="K21312" s="33" t="s">
        <v>88</v>
      </c>
      <c r="L21312" s="31" t="str">
        <f t="shared" si="2061"/>
        <v>Sembilan Belas</v>
      </c>
    </row>
    <row r="21313" spans="1:12">
      <c r="A21313" s="31" t="s">
        <v>69</v>
      </c>
      <c r="B21313" s="39" t="e">
        <f>TRUNC(A21291/100000000)</f>
        <v>#REF!</v>
      </c>
      <c r="C21313" s="31" t="e">
        <f>B21313*100000000</f>
        <v>#REF!</v>
      </c>
      <c r="D21313" s="31" t="e">
        <f>IF(B21313&lt;1,"",IF(B21313=1,"",VLOOKUP(B21313,$J$3:$L$102,3)))</f>
        <v>#REF!</v>
      </c>
      <c r="E21313" s="31" t="e">
        <f>IF(B21313&lt;1,"",IF(B21313=1,"Seratus "," Ratus "))</f>
        <v>#REF!</v>
      </c>
      <c r="J21313" s="31">
        <v>20</v>
      </c>
      <c r="K21313" s="33" t="s">
        <v>89</v>
      </c>
      <c r="L21313" s="31" t="s">
        <v>90</v>
      </c>
    </row>
    <row r="21314" spans="1:12">
      <c r="A21314" s="31" t="s">
        <v>72</v>
      </c>
      <c r="B21314" s="39" t="e">
        <f>TRUNC((A21291-C21313)/1000000)</f>
        <v>#REF!</v>
      </c>
      <c r="C21314" s="31" t="e">
        <f>B21314*1000000</f>
        <v>#REF!</v>
      </c>
      <c r="D21314" s="31" t="e">
        <f>IF(B21314&lt;1,"",VLOOKUP(B21314,$J$3:$L$102,3))</f>
        <v>#REF!</v>
      </c>
      <c r="E21314" s="31" t="e">
        <f>IF(B21313+B21314=0,""," Juta ")</f>
        <v>#REF!</v>
      </c>
      <c r="J21314" s="31">
        <v>21</v>
      </c>
      <c r="K21314" s="33" t="s">
        <v>91</v>
      </c>
      <c r="L21314" s="31" t="str">
        <f t="shared" ref="L21314:L21322" si="2062">$L$23&amp;" "&amp;L21294</f>
        <v>Dua Puluh Satu</v>
      </c>
    </row>
    <row r="21315" spans="1:12">
      <c r="A21315" s="31" t="s">
        <v>75</v>
      </c>
      <c r="B21315" s="39" t="e">
        <f>TRUNC((A21291-SUM(C21313:C21314))/100000)</f>
        <v>#REF!</v>
      </c>
      <c r="C21315" s="31" t="e">
        <f>B21315*100000</f>
        <v>#REF!</v>
      </c>
      <c r="D21315" s="31" t="e">
        <f>IF(B21315&lt;1,"",IF(B21315=1,"",VLOOKUP(B21315,$J$3:$L$102,3)))</f>
        <v>#REF!</v>
      </c>
      <c r="E21315" s="31" t="e">
        <f>IF(B21315&lt;1,"",IF(B21315=1," Seratus "," Ratus "))</f>
        <v>#REF!</v>
      </c>
      <c r="J21315" s="31">
        <v>22</v>
      </c>
      <c r="K21315" s="33" t="s">
        <v>92</v>
      </c>
      <c r="L21315" s="31" t="str">
        <f t="shared" si="2062"/>
        <v>Dua Puluh Dua</v>
      </c>
    </row>
    <row r="21316" spans="1:12">
      <c r="A21316" s="33" t="s">
        <v>77</v>
      </c>
      <c r="B21316" s="40" t="e">
        <f>TRUNC((A21291-SUM(C21313:C21315))/1000)</f>
        <v>#REF!</v>
      </c>
      <c r="C21316" s="31" t="e">
        <f>B21316*1000</f>
        <v>#REF!</v>
      </c>
      <c r="D21316" s="31" t="e">
        <f>IF(B21316&lt;1,"",IF(B21316=1,"",VLOOKUP(B21316,$J$3:$L$102,3)))</f>
        <v>#REF!</v>
      </c>
      <c r="E21316" s="31" t="e">
        <f>IF(B21315+B21316&lt;1,"",IF(B21316=1," Seribu "," Ribu "))</f>
        <v>#REF!</v>
      </c>
      <c r="J21316" s="31">
        <v>23</v>
      </c>
      <c r="K21316" s="33" t="s">
        <v>93</v>
      </c>
      <c r="L21316" s="31" t="str">
        <f t="shared" si="2062"/>
        <v>Dua Puluh Tiga</v>
      </c>
    </row>
    <row r="21317" spans="1:12">
      <c r="A21317" s="33" t="s">
        <v>79</v>
      </c>
      <c r="B21317" s="40" t="e">
        <f>TRUNC((A21291-SUM(C21313:C21316))/100)</f>
        <v>#REF!</v>
      </c>
      <c r="C21317" s="31" t="e">
        <f>B21317*100</f>
        <v>#REF!</v>
      </c>
      <c r="D21317" s="31" t="e">
        <f>IF(B21317&lt;1,"",IF(B21317=1,"",VLOOKUP(B21317,$J$3:$L$102,3)))</f>
        <v>#REF!</v>
      </c>
      <c r="E21317" s="31" t="e">
        <f>IF(B21317&lt;1,"",IF(B21317=1," Seratus "," Ratus "))</f>
        <v>#REF!</v>
      </c>
      <c r="J21317" s="31">
        <v>24</v>
      </c>
      <c r="K21317" s="33" t="s">
        <v>94</v>
      </c>
      <c r="L21317" s="31" t="str">
        <f t="shared" si="2062"/>
        <v>Dua Puluh Empat</v>
      </c>
    </row>
    <row r="21318" spans="1:12">
      <c r="A21318" s="33" t="s">
        <v>81</v>
      </c>
      <c r="B21318" s="41" t="e">
        <f>TRUNC((A21291-SUM(C21313:C21317)))</f>
        <v>#REF!</v>
      </c>
      <c r="C21318" s="42" t="e">
        <f>B21318</f>
        <v>#REF!</v>
      </c>
      <c r="D21318" s="31" t="e">
        <f>IF(B21318&lt;1,"",VLOOKUP(B21318,$J$3:$L$102,3))</f>
        <v>#REF!</v>
      </c>
      <c r="E21318" s="31" t="e">
        <f>IF(SUM(C21313:C21318)&lt;1,"",IF(B21319&lt;1,""," Dan "))</f>
        <v>#REF!</v>
      </c>
      <c r="J21318" s="31">
        <v>25</v>
      </c>
      <c r="K21318" s="33" t="s">
        <v>95</v>
      </c>
      <c r="L21318" s="31" t="str">
        <f t="shared" si="2062"/>
        <v>Dua Puluh Lima</v>
      </c>
    </row>
    <row r="21319" spans="1:12">
      <c r="A21319" s="33" t="s">
        <v>83</v>
      </c>
      <c r="B21319" s="40" t="e">
        <f>ROUND(A21291-SUM(C21313:C21318),2)*100</f>
        <v>#REF!</v>
      </c>
      <c r="D21319" s="31" t="e">
        <f>IF(B21319&lt;1,"",VLOOKUP(B21319,$J$3:$L$102,3))</f>
        <v>#REF!</v>
      </c>
      <c r="E21319" s="31" t="e">
        <f>IF(B21319&lt;1,""," Sen ")</f>
        <v>#REF!</v>
      </c>
      <c r="J21319" s="31">
        <v>26</v>
      </c>
      <c r="K21319" s="33" t="s">
        <v>96</v>
      </c>
      <c r="L21319" s="31" t="str">
        <f t="shared" si="2062"/>
        <v>Dua Puluh Enam</v>
      </c>
    </row>
    <row r="21320" spans="1:12">
      <c r="J21320" s="31">
        <v>27</v>
      </c>
      <c r="K21320" s="33" t="s">
        <v>97</v>
      </c>
      <c r="L21320" s="31" t="str">
        <f t="shared" si="2062"/>
        <v>Dua Puluh Tujuh</v>
      </c>
    </row>
    <row r="21321" spans="1:12">
      <c r="J21321" s="31">
        <v>28</v>
      </c>
      <c r="K21321" s="33" t="s">
        <v>98</v>
      </c>
      <c r="L21321" s="31" t="str">
        <f t="shared" si="2062"/>
        <v>Dua Puluh Delapan</v>
      </c>
    </row>
    <row r="21322" spans="1:12">
      <c r="J21322" s="31">
        <v>29</v>
      </c>
      <c r="K21322" s="33" t="s">
        <v>99</v>
      </c>
      <c r="L21322" s="31" t="str">
        <f t="shared" si="2062"/>
        <v>Dua Puluh Sembilan</v>
      </c>
    </row>
    <row r="21323" spans="1:12">
      <c r="J21323" s="31">
        <v>30</v>
      </c>
      <c r="K21323" s="33" t="s">
        <v>100</v>
      </c>
      <c r="L21323" s="31" t="s">
        <v>101</v>
      </c>
    </row>
    <row r="21324" spans="1:12">
      <c r="J21324" s="31">
        <v>31</v>
      </c>
      <c r="K21324" s="33" t="s">
        <v>102</v>
      </c>
      <c r="L21324" s="31" t="str">
        <f t="shared" ref="L21324:L21332" si="2063">$L$33&amp;" "&amp;L21294</f>
        <v>Tiga Puluh Satu</v>
      </c>
    </row>
    <row r="21325" spans="1:12">
      <c r="J21325" s="31">
        <v>32</v>
      </c>
      <c r="K21325" s="33" t="s">
        <v>103</v>
      </c>
      <c r="L21325" s="31" t="str">
        <f t="shared" si="2063"/>
        <v>Tiga Puluh Dua</v>
      </c>
    </row>
    <row r="21326" spans="1:12">
      <c r="J21326" s="31">
        <v>33</v>
      </c>
      <c r="K21326" s="33" t="s">
        <v>104</v>
      </c>
      <c r="L21326" s="31" t="str">
        <f t="shared" si="2063"/>
        <v>Tiga Puluh Tiga</v>
      </c>
    </row>
    <row r="21327" spans="1:12">
      <c r="J21327" s="31">
        <v>34</v>
      </c>
      <c r="K21327" s="33" t="s">
        <v>105</v>
      </c>
      <c r="L21327" s="31" t="str">
        <f t="shared" si="2063"/>
        <v>Tiga Puluh Empat</v>
      </c>
    </row>
    <row r="21328" spans="1:12">
      <c r="J21328" s="31">
        <v>35</v>
      </c>
      <c r="K21328" s="33" t="s">
        <v>106</v>
      </c>
      <c r="L21328" s="31" t="str">
        <f t="shared" si="2063"/>
        <v>Tiga Puluh Lima</v>
      </c>
    </row>
    <row r="21329" spans="1:12">
      <c r="J21329" s="31">
        <v>36</v>
      </c>
      <c r="K21329" s="33" t="s">
        <v>107</v>
      </c>
      <c r="L21329" s="31" t="str">
        <f t="shared" si="2063"/>
        <v>Tiga Puluh Enam</v>
      </c>
    </row>
    <row r="21330" spans="1:12">
      <c r="J21330" s="31">
        <v>37</v>
      </c>
      <c r="K21330" s="33" t="s">
        <v>108</v>
      </c>
      <c r="L21330" s="31" t="str">
        <f t="shared" si="2063"/>
        <v>Tiga Puluh Tujuh</v>
      </c>
    </row>
    <row r="21331" spans="1:12">
      <c r="J21331" s="31">
        <v>38</v>
      </c>
      <c r="K21331" s="33" t="s">
        <v>109</v>
      </c>
      <c r="L21331" s="31" t="str">
        <f t="shared" si="2063"/>
        <v>Tiga Puluh Delapan</v>
      </c>
    </row>
    <row r="21332" spans="1:12">
      <c r="J21332" s="31">
        <v>39</v>
      </c>
      <c r="K21332" s="33" t="s">
        <v>110</v>
      </c>
      <c r="L21332" s="31" t="str">
        <f t="shared" si="2063"/>
        <v>Tiga Puluh Sembilan</v>
      </c>
    </row>
    <row r="21333" spans="1:12">
      <c r="B21333" s="35"/>
      <c r="C21333" s="35"/>
      <c r="D21333" s="35"/>
      <c r="J21333" s="31">
        <v>40</v>
      </c>
      <c r="K21333" s="33" t="s">
        <v>111</v>
      </c>
      <c r="L21333" s="31" t="s">
        <v>112</v>
      </c>
    </row>
    <row r="21334" spans="1:12">
      <c r="A21334" s="35"/>
      <c r="B21334" s="35"/>
      <c r="C21334" s="35"/>
      <c r="D21334" s="35"/>
      <c r="J21334" s="31">
        <v>41</v>
      </c>
      <c r="K21334" s="33" t="s">
        <v>113</v>
      </c>
      <c r="L21334" s="31" t="str">
        <f t="shared" ref="L21334:L21342" si="2064">$L$43&amp;" "&amp;L21294</f>
        <v>Empat Puluh Satu</v>
      </c>
    </row>
    <row r="21335" spans="1:12">
      <c r="J21335" s="31">
        <v>42</v>
      </c>
      <c r="K21335" s="33" t="s">
        <v>114</v>
      </c>
      <c r="L21335" s="31" t="str">
        <f t="shared" si="2064"/>
        <v>Empat Puluh Dua</v>
      </c>
    </row>
    <row r="21336" spans="1:12">
      <c r="A21336" s="38"/>
      <c r="J21336" s="31">
        <v>43</v>
      </c>
      <c r="K21336" s="33" t="s">
        <v>115</v>
      </c>
      <c r="L21336" s="31" t="str">
        <f t="shared" si="2064"/>
        <v>Empat Puluh Tiga</v>
      </c>
    </row>
    <row r="21337" spans="1:12">
      <c r="J21337" s="31">
        <v>44</v>
      </c>
      <c r="K21337" s="33" t="s">
        <v>116</v>
      </c>
      <c r="L21337" s="31" t="str">
        <f t="shared" si="2064"/>
        <v>Empat Puluh Empat</v>
      </c>
    </row>
    <row r="21338" spans="1:12">
      <c r="J21338" s="31">
        <v>45</v>
      </c>
      <c r="K21338" s="33" t="s">
        <v>117</v>
      </c>
      <c r="L21338" s="31" t="str">
        <f t="shared" si="2064"/>
        <v>Empat Puluh Lima</v>
      </c>
    </row>
    <row r="21339" spans="1:12">
      <c r="J21339" s="31">
        <v>46</v>
      </c>
      <c r="K21339" s="33" t="s">
        <v>118</v>
      </c>
      <c r="L21339" s="31" t="str">
        <f t="shared" si="2064"/>
        <v>Empat Puluh Enam</v>
      </c>
    </row>
    <row r="21340" spans="1:12">
      <c r="J21340" s="31">
        <v>47</v>
      </c>
      <c r="K21340" s="33" t="s">
        <v>119</v>
      </c>
      <c r="L21340" s="31" t="str">
        <f t="shared" si="2064"/>
        <v>Empat Puluh Tujuh</v>
      </c>
    </row>
    <row r="21341" spans="1:12">
      <c r="J21341" s="31">
        <v>48</v>
      </c>
      <c r="K21341" s="33" t="s">
        <v>120</v>
      </c>
      <c r="L21341" s="31" t="str">
        <f t="shared" si="2064"/>
        <v>Empat Puluh Delapan</v>
      </c>
    </row>
    <row r="21342" spans="1:12">
      <c r="J21342" s="31">
        <v>49</v>
      </c>
      <c r="K21342" s="33" t="s">
        <v>121</v>
      </c>
      <c r="L21342" s="31" t="str">
        <f t="shared" si="2064"/>
        <v>Empat Puluh Sembilan</v>
      </c>
    </row>
    <row r="21343" spans="1:12">
      <c r="J21343" s="31">
        <v>50</v>
      </c>
      <c r="K21343" s="33" t="s">
        <v>122</v>
      </c>
      <c r="L21343" s="31" t="s">
        <v>123</v>
      </c>
    </row>
    <row r="21344" spans="1:12">
      <c r="J21344" s="31">
        <v>51</v>
      </c>
      <c r="K21344" s="33" t="s">
        <v>124</v>
      </c>
      <c r="L21344" s="31" t="str">
        <f t="shared" ref="L21344:L21352" si="2065">$L$53&amp;" "&amp;L21294</f>
        <v>Lima Puluh Satu</v>
      </c>
    </row>
    <row r="21345" spans="10:12">
      <c r="J21345" s="31">
        <v>52</v>
      </c>
      <c r="K21345" s="33" t="s">
        <v>125</v>
      </c>
      <c r="L21345" s="31" t="str">
        <f t="shared" si="2065"/>
        <v>Lima Puluh Dua</v>
      </c>
    </row>
    <row r="21346" spans="10:12">
      <c r="J21346" s="31">
        <v>53</v>
      </c>
      <c r="K21346" s="33" t="s">
        <v>126</v>
      </c>
      <c r="L21346" s="31" t="str">
        <f t="shared" si="2065"/>
        <v>Lima Puluh Tiga</v>
      </c>
    </row>
    <row r="21347" spans="10:12">
      <c r="J21347" s="31">
        <v>54</v>
      </c>
      <c r="K21347" s="33" t="s">
        <v>127</v>
      </c>
      <c r="L21347" s="31" t="str">
        <f t="shared" si="2065"/>
        <v>Lima Puluh Empat</v>
      </c>
    </row>
    <row r="21348" spans="10:12">
      <c r="J21348" s="31">
        <v>55</v>
      </c>
      <c r="K21348" s="33" t="s">
        <v>128</v>
      </c>
      <c r="L21348" s="31" t="str">
        <f t="shared" si="2065"/>
        <v>Lima Puluh Lima</v>
      </c>
    </row>
    <row r="21349" spans="10:12">
      <c r="J21349" s="31">
        <v>56</v>
      </c>
      <c r="K21349" s="33" t="s">
        <v>129</v>
      </c>
      <c r="L21349" s="31" t="str">
        <f t="shared" si="2065"/>
        <v>Lima Puluh Enam</v>
      </c>
    </row>
    <row r="21350" spans="10:12">
      <c r="J21350" s="31">
        <v>57</v>
      </c>
      <c r="K21350" s="33" t="s">
        <v>130</v>
      </c>
      <c r="L21350" s="31" t="str">
        <f t="shared" si="2065"/>
        <v>Lima Puluh Tujuh</v>
      </c>
    </row>
    <row r="21351" spans="10:12">
      <c r="J21351" s="31">
        <v>58</v>
      </c>
      <c r="K21351" s="33" t="s">
        <v>131</v>
      </c>
      <c r="L21351" s="31" t="str">
        <f t="shared" si="2065"/>
        <v>Lima Puluh Delapan</v>
      </c>
    </row>
    <row r="21352" spans="10:12">
      <c r="J21352" s="31">
        <v>59</v>
      </c>
      <c r="K21352" s="33" t="s">
        <v>132</v>
      </c>
      <c r="L21352" s="31" t="str">
        <f t="shared" si="2065"/>
        <v>Lima Puluh Sembilan</v>
      </c>
    </row>
    <row r="21353" spans="10:12">
      <c r="J21353" s="31">
        <v>60</v>
      </c>
      <c r="K21353" s="33" t="s">
        <v>133</v>
      </c>
      <c r="L21353" s="31" t="s">
        <v>134</v>
      </c>
    </row>
    <row r="21354" spans="10:12">
      <c r="J21354" s="31">
        <v>61</v>
      </c>
      <c r="K21354" s="33" t="s">
        <v>135</v>
      </c>
      <c r="L21354" s="31" t="str">
        <f t="shared" ref="L21354:L21362" si="2066">$L$63&amp;" "&amp;L21294</f>
        <v>Enam Puluh Satu</v>
      </c>
    </row>
    <row r="21355" spans="10:12">
      <c r="J21355" s="31">
        <v>62</v>
      </c>
      <c r="K21355" s="33" t="s">
        <v>136</v>
      </c>
      <c r="L21355" s="31" t="str">
        <f t="shared" si="2066"/>
        <v>Enam Puluh Dua</v>
      </c>
    </row>
    <row r="21356" spans="10:12">
      <c r="J21356" s="31">
        <v>63</v>
      </c>
      <c r="K21356" s="33" t="s">
        <v>137</v>
      </c>
      <c r="L21356" s="31" t="str">
        <f t="shared" si="2066"/>
        <v>Enam Puluh Tiga</v>
      </c>
    </row>
    <row r="21357" spans="10:12">
      <c r="J21357" s="31">
        <v>64</v>
      </c>
      <c r="K21357" s="33" t="s">
        <v>138</v>
      </c>
      <c r="L21357" s="31" t="str">
        <f t="shared" si="2066"/>
        <v>Enam Puluh Empat</v>
      </c>
    </row>
    <row r="21358" spans="10:12">
      <c r="J21358" s="31">
        <v>65</v>
      </c>
      <c r="K21358" s="33" t="s">
        <v>139</v>
      </c>
      <c r="L21358" s="31" t="str">
        <f t="shared" si="2066"/>
        <v>Enam Puluh Lima</v>
      </c>
    </row>
    <row r="21359" spans="10:12">
      <c r="J21359" s="31">
        <v>66</v>
      </c>
      <c r="K21359" s="33" t="s">
        <v>140</v>
      </c>
      <c r="L21359" s="31" t="str">
        <f t="shared" si="2066"/>
        <v>Enam Puluh Enam</v>
      </c>
    </row>
    <row r="21360" spans="10:12">
      <c r="J21360" s="31">
        <v>67</v>
      </c>
      <c r="K21360" s="33" t="s">
        <v>141</v>
      </c>
      <c r="L21360" s="31" t="str">
        <f t="shared" si="2066"/>
        <v>Enam Puluh Tujuh</v>
      </c>
    </row>
    <row r="21361" spans="10:12">
      <c r="J21361" s="31">
        <v>68</v>
      </c>
      <c r="K21361" s="33" t="s">
        <v>142</v>
      </c>
      <c r="L21361" s="31" t="str">
        <f t="shared" si="2066"/>
        <v>Enam Puluh Delapan</v>
      </c>
    </row>
    <row r="21362" spans="10:12">
      <c r="J21362" s="31">
        <v>69</v>
      </c>
      <c r="K21362" s="33" t="s">
        <v>143</v>
      </c>
      <c r="L21362" s="31" t="str">
        <f t="shared" si="2066"/>
        <v>Enam Puluh Sembilan</v>
      </c>
    </row>
    <row r="21363" spans="10:12">
      <c r="J21363" s="31">
        <v>70</v>
      </c>
      <c r="K21363" s="33" t="s">
        <v>144</v>
      </c>
      <c r="L21363" s="31" t="s">
        <v>145</v>
      </c>
    </row>
    <row r="21364" spans="10:12">
      <c r="J21364" s="31">
        <v>71</v>
      </c>
      <c r="K21364" s="33" t="s">
        <v>146</v>
      </c>
      <c r="L21364" s="31" t="str">
        <f t="shared" ref="L21364:L21372" si="2067">$L$73&amp;" "&amp;L21294</f>
        <v>Tujuh Puluh Satu</v>
      </c>
    </row>
    <row r="21365" spans="10:12">
      <c r="J21365" s="31">
        <v>72</v>
      </c>
      <c r="K21365" s="33" t="s">
        <v>147</v>
      </c>
      <c r="L21365" s="31" t="str">
        <f t="shared" si="2067"/>
        <v>Tujuh Puluh Dua</v>
      </c>
    </row>
    <row r="21366" spans="10:12">
      <c r="J21366" s="31">
        <v>73</v>
      </c>
      <c r="K21366" s="33" t="s">
        <v>148</v>
      </c>
      <c r="L21366" s="31" t="str">
        <f t="shared" si="2067"/>
        <v>Tujuh Puluh Tiga</v>
      </c>
    </row>
    <row r="21367" spans="10:12">
      <c r="J21367" s="31">
        <v>74</v>
      </c>
      <c r="K21367" s="33" t="s">
        <v>149</v>
      </c>
      <c r="L21367" s="31" t="str">
        <f t="shared" si="2067"/>
        <v>Tujuh Puluh Empat</v>
      </c>
    </row>
    <row r="21368" spans="10:12">
      <c r="J21368" s="31">
        <v>75</v>
      </c>
      <c r="K21368" s="33" t="s">
        <v>150</v>
      </c>
      <c r="L21368" s="31" t="str">
        <f t="shared" si="2067"/>
        <v>Tujuh Puluh Lima</v>
      </c>
    </row>
    <row r="21369" spans="10:12">
      <c r="J21369" s="31">
        <v>76</v>
      </c>
      <c r="K21369" s="33" t="s">
        <v>151</v>
      </c>
      <c r="L21369" s="31" t="str">
        <f t="shared" si="2067"/>
        <v>Tujuh Puluh Enam</v>
      </c>
    </row>
    <row r="21370" spans="10:12">
      <c r="J21370" s="31">
        <v>77</v>
      </c>
      <c r="K21370" s="33" t="s">
        <v>152</v>
      </c>
      <c r="L21370" s="31" t="str">
        <f t="shared" si="2067"/>
        <v>Tujuh Puluh Tujuh</v>
      </c>
    </row>
    <row r="21371" spans="10:12">
      <c r="J21371" s="31">
        <v>78</v>
      </c>
      <c r="K21371" s="33" t="s">
        <v>153</v>
      </c>
      <c r="L21371" s="31" t="str">
        <f t="shared" si="2067"/>
        <v>Tujuh Puluh Delapan</v>
      </c>
    </row>
    <row r="21372" spans="10:12">
      <c r="J21372" s="31">
        <v>79</v>
      </c>
      <c r="K21372" s="33" t="s">
        <v>154</v>
      </c>
      <c r="L21372" s="31" t="str">
        <f t="shared" si="2067"/>
        <v>Tujuh Puluh Sembilan</v>
      </c>
    </row>
    <row r="21373" spans="10:12">
      <c r="J21373" s="31">
        <v>80</v>
      </c>
      <c r="K21373" s="33" t="s">
        <v>155</v>
      </c>
      <c r="L21373" s="31" t="s">
        <v>156</v>
      </c>
    </row>
    <row r="21374" spans="10:12">
      <c r="J21374" s="31">
        <v>81</v>
      </c>
      <c r="K21374" s="33" t="s">
        <v>157</v>
      </c>
      <c r="L21374" s="31" t="str">
        <f t="shared" ref="L21374:L21382" si="2068">$L$83&amp;" "&amp;L21294</f>
        <v>Delapan Puluh Satu</v>
      </c>
    </row>
    <row r="21375" spans="10:12">
      <c r="J21375" s="31">
        <v>82</v>
      </c>
      <c r="K21375" s="33" t="s">
        <v>158</v>
      </c>
      <c r="L21375" s="31" t="str">
        <f t="shared" si="2068"/>
        <v>Delapan Puluh Dua</v>
      </c>
    </row>
    <row r="21376" spans="10:12">
      <c r="J21376" s="31">
        <v>83</v>
      </c>
      <c r="K21376" s="33" t="s">
        <v>159</v>
      </c>
      <c r="L21376" s="31" t="str">
        <f t="shared" si="2068"/>
        <v>Delapan Puluh Tiga</v>
      </c>
    </row>
    <row r="21377" spans="10:12">
      <c r="J21377" s="31">
        <v>84</v>
      </c>
      <c r="K21377" s="33" t="s">
        <v>160</v>
      </c>
      <c r="L21377" s="31" t="str">
        <f t="shared" si="2068"/>
        <v>Delapan Puluh Empat</v>
      </c>
    </row>
    <row r="21378" spans="10:12">
      <c r="J21378" s="31">
        <v>85</v>
      </c>
      <c r="K21378" s="33" t="s">
        <v>161</v>
      </c>
      <c r="L21378" s="31" t="str">
        <f t="shared" si="2068"/>
        <v>Delapan Puluh Lima</v>
      </c>
    </row>
    <row r="21379" spans="10:12">
      <c r="J21379" s="31">
        <v>86</v>
      </c>
      <c r="K21379" s="33" t="s">
        <v>162</v>
      </c>
      <c r="L21379" s="31" t="str">
        <f t="shared" si="2068"/>
        <v>Delapan Puluh Enam</v>
      </c>
    </row>
    <row r="21380" spans="10:12">
      <c r="J21380" s="31">
        <v>87</v>
      </c>
      <c r="K21380" s="33" t="s">
        <v>163</v>
      </c>
      <c r="L21380" s="31" t="str">
        <f t="shared" si="2068"/>
        <v>Delapan Puluh Tujuh</v>
      </c>
    </row>
    <row r="21381" spans="10:12">
      <c r="J21381" s="31">
        <v>88</v>
      </c>
      <c r="K21381" s="33" t="s">
        <v>164</v>
      </c>
      <c r="L21381" s="31" t="str">
        <f t="shared" si="2068"/>
        <v>Delapan Puluh Delapan</v>
      </c>
    </row>
    <row r="21382" spans="10:12">
      <c r="J21382" s="31">
        <v>89</v>
      </c>
      <c r="K21382" s="33" t="s">
        <v>165</v>
      </c>
      <c r="L21382" s="31" t="str">
        <f t="shared" si="2068"/>
        <v>Delapan Puluh Sembilan</v>
      </c>
    </row>
    <row r="21383" spans="10:12">
      <c r="J21383" s="31">
        <v>90</v>
      </c>
      <c r="K21383" s="33" t="s">
        <v>166</v>
      </c>
      <c r="L21383" s="31" t="s">
        <v>167</v>
      </c>
    </row>
    <row r="21384" spans="10:12">
      <c r="J21384" s="31">
        <v>91</v>
      </c>
      <c r="K21384" s="33" t="s">
        <v>168</v>
      </c>
      <c r="L21384" s="31" t="str">
        <f t="shared" ref="L21384:L21392" si="2069">$L$93&amp;" "&amp;L21294</f>
        <v>Sembilan Puluh Satu</v>
      </c>
    </row>
    <row r="21385" spans="10:12">
      <c r="J21385" s="31">
        <v>92</v>
      </c>
      <c r="K21385" s="33" t="s">
        <v>169</v>
      </c>
      <c r="L21385" s="31" t="str">
        <f t="shared" si="2069"/>
        <v>Sembilan Puluh Dua</v>
      </c>
    </row>
    <row r="21386" spans="10:12">
      <c r="J21386" s="31">
        <v>93</v>
      </c>
      <c r="K21386" s="33" t="s">
        <v>170</v>
      </c>
      <c r="L21386" s="31" t="str">
        <f t="shared" si="2069"/>
        <v>Sembilan Puluh Tiga</v>
      </c>
    </row>
    <row r="21387" spans="10:12">
      <c r="J21387" s="31">
        <v>94</v>
      </c>
      <c r="K21387" s="33" t="s">
        <v>171</v>
      </c>
      <c r="L21387" s="31" t="str">
        <f t="shared" si="2069"/>
        <v>Sembilan Puluh Empat</v>
      </c>
    </row>
    <row r="21388" spans="10:12">
      <c r="J21388" s="31">
        <v>95</v>
      </c>
      <c r="K21388" s="33" t="s">
        <v>172</v>
      </c>
      <c r="L21388" s="31" t="str">
        <f t="shared" si="2069"/>
        <v>Sembilan Puluh Lima</v>
      </c>
    </row>
    <row r="21389" spans="10:12">
      <c r="J21389" s="31">
        <v>96</v>
      </c>
      <c r="K21389" s="33" t="s">
        <v>173</v>
      </c>
      <c r="L21389" s="31" t="str">
        <f t="shared" si="2069"/>
        <v>Sembilan Puluh Enam</v>
      </c>
    </row>
    <row r="21390" spans="10:12">
      <c r="J21390" s="31">
        <v>97</v>
      </c>
      <c r="K21390" s="33" t="s">
        <v>174</v>
      </c>
      <c r="L21390" s="31" t="str">
        <f t="shared" si="2069"/>
        <v>Sembilan Puluh Tujuh</v>
      </c>
    </row>
    <row r="21391" spans="10:12">
      <c r="J21391" s="31">
        <v>98</v>
      </c>
      <c r="K21391" s="33" t="s">
        <v>175</v>
      </c>
      <c r="L21391" s="31" t="str">
        <f t="shared" si="2069"/>
        <v>Sembilan Puluh Delapan</v>
      </c>
    </row>
    <row r="21392" spans="10:12">
      <c r="J21392" s="31">
        <v>99</v>
      </c>
      <c r="K21392" s="33" t="s">
        <v>176</v>
      </c>
      <c r="L21392" s="31" t="str">
        <f t="shared" si="2069"/>
        <v>Sembilan Puluh Sembilan</v>
      </c>
    </row>
    <row r="21394" spans="1:12">
      <c r="A21394" s="30" t="e">
        <f>#REF!</f>
        <v>#REF!</v>
      </c>
      <c r="C21394" s="31" t="s">
        <v>463</v>
      </c>
    </row>
    <row r="21395" spans="1:12">
      <c r="A21395" s="32"/>
    </row>
    <row r="21396" spans="1:12">
      <c r="J21396" s="31">
        <v>0</v>
      </c>
      <c r="K21396" s="33" t="s">
        <v>48</v>
      </c>
      <c r="L21396" s="31" t="s">
        <v>49</v>
      </c>
    </row>
    <row r="21397" spans="1:12">
      <c r="A21397" s="34"/>
      <c r="J21397" s="31">
        <v>1</v>
      </c>
      <c r="K21397" s="33" t="s">
        <v>50</v>
      </c>
      <c r="L21397" s="31" t="s">
        <v>51</v>
      </c>
    </row>
    <row r="21398" spans="1:12">
      <c r="A21398" s="255" t="e">
        <f>TRIM(D21406&amp;E21406&amp;D21407&amp;E21407&amp;D21408&amp;E21408&amp;D21409&amp;E21409&amp;D21410&amp;E21410&amp;D21411&amp;E21411&amp;E21412&amp;D21412&amp;" Only")</f>
        <v>#REF!</v>
      </c>
      <c r="B21398" s="255"/>
      <c r="C21398" s="255"/>
      <c r="D21398" s="255"/>
      <c r="E21398" s="35"/>
      <c r="F21398" s="36"/>
      <c r="J21398" s="31">
        <v>2</v>
      </c>
      <c r="K21398" s="33" t="s">
        <v>52</v>
      </c>
      <c r="L21398" s="31" t="s">
        <v>53</v>
      </c>
    </row>
    <row r="21399" spans="1:12">
      <c r="A21399" s="195"/>
      <c r="B21399" s="195"/>
      <c r="C21399" s="195"/>
      <c r="D21399" s="195"/>
      <c r="E21399" s="35"/>
      <c r="F21399" s="36"/>
      <c r="J21399" s="31">
        <v>3</v>
      </c>
      <c r="K21399" s="33" t="s">
        <v>54</v>
      </c>
      <c r="L21399" s="31" t="s">
        <v>55</v>
      </c>
    </row>
    <row r="21400" spans="1:12">
      <c r="A21400" s="195"/>
      <c r="B21400" s="195"/>
      <c r="C21400" s="195"/>
      <c r="D21400" s="195"/>
      <c r="J21400" s="31">
        <v>4</v>
      </c>
      <c r="K21400" s="33" t="s">
        <v>56</v>
      </c>
      <c r="L21400" s="31" t="s">
        <v>57</v>
      </c>
    </row>
    <row r="21401" spans="1:12">
      <c r="A21401" s="255" t="e">
        <f>TRIM(D21416&amp;E21416&amp;D21417&amp;E21417&amp;D21418&amp;E21418&amp;D21419&amp;E21419&amp;D21420&amp;E21420&amp;D21421&amp;E21421&amp;D21422&amp;E21422&amp;" Rupiah")</f>
        <v>#REF!</v>
      </c>
      <c r="B21401" s="255"/>
      <c r="C21401" s="255"/>
      <c r="D21401" s="255"/>
      <c r="E21401" s="35"/>
      <c r="F21401" s="36"/>
      <c r="J21401" s="31">
        <v>5</v>
      </c>
      <c r="K21401" s="33" t="s">
        <v>58</v>
      </c>
      <c r="L21401" s="31" t="s">
        <v>59</v>
      </c>
    </row>
    <row r="21402" spans="1:12">
      <c r="A21402" s="35"/>
      <c r="B21402" s="35"/>
      <c r="C21402" s="35"/>
      <c r="D21402" s="35"/>
      <c r="E21402" s="35"/>
      <c r="F21402" s="36"/>
      <c r="J21402" s="31">
        <v>6</v>
      </c>
      <c r="K21402" s="33" t="s">
        <v>60</v>
      </c>
      <c r="L21402" s="31" t="s">
        <v>61</v>
      </c>
    </row>
    <row r="21403" spans="1:12">
      <c r="J21403" s="31">
        <v>7</v>
      </c>
      <c r="K21403" s="33" t="s">
        <v>62</v>
      </c>
      <c r="L21403" s="31" t="s">
        <v>63</v>
      </c>
    </row>
    <row r="21404" spans="1:12">
      <c r="J21404" s="31">
        <v>8</v>
      </c>
      <c r="K21404" s="33" t="s">
        <v>64</v>
      </c>
      <c r="L21404" s="31" t="s">
        <v>65</v>
      </c>
    </row>
    <row r="21405" spans="1:12">
      <c r="A21405" s="38" t="s">
        <v>66</v>
      </c>
      <c r="J21405" s="31">
        <v>9</v>
      </c>
      <c r="K21405" s="33" t="s">
        <v>67</v>
      </c>
      <c r="L21405" s="31" t="s">
        <v>68</v>
      </c>
    </row>
    <row r="21406" spans="1:12">
      <c r="A21406" s="31" t="s">
        <v>69</v>
      </c>
      <c r="B21406" s="39" t="e">
        <f>TRUNC(A21394/100000000)</f>
        <v>#REF!</v>
      </c>
      <c r="C21406" s="31" t="e">
        <f>B21406*100000000</f>
        <v>#REF!</v>
      </c>
      <c r="D21406" s="31" t="e">
        <f t="shared" ref="D21406:D21412" si="2070">IF(B21406&lt;1,"",VLOOKUP(B21406,$J$3:$K$102,2))</f>
        <v>#REF!</v>
      </c>
      <c r="E21406" s="31" t="e">
        <f>IF(B21406&lt;1,"",IF(B21406&gt;1," Hundreds "," Hundred "))</f>
        <v>#REF!</v>
      </c>
      <c r="J21406" s="31">
        <v>10</v>
      </c>
      <c r="K21406" s="33" t="s">
        <v>70</v>
      </c>
      <c r="L21406" s="31" t="s">
        <v>71</v>
      </c>
    </row>
    <row r="21407" spans="1:12">
      <c r="A21407" s="31" t="s">
        <v>72</v>
      </c>
      <c r="B21407" s="39" t="e">
        <f>TRUNC((A21394-C21406)/1000000)</f>
        <v>#REF!</v>
      </c>
      <c r="C21407" s="31" t="e">
        <f>B21407*1000000</f>
        <v>#REF!</v>
      </c>
      <c r="D21407" s="31" t="e">
        <f t="shared" si="2070"/>
        <v>#REF!</v>
      </c>
      <c r="E21407" s="31" t="e">
        <f>IF(B21406+B21407=0,"",IF(B21407=1," Million "," Millions "))</f>
        <v>#REF!</v>
      </c>
      <c r="J21407" s="31">
        <v>11</v>
      </c>
      <c r="K21407" s="33" t="s">
        <v>73</v>
      </c>
      <c r="L21407" s="31" t="s">
        <v>74</v>
      </c>
    </row>
    <row r="21408" spans="1:12">
      <c r="A21408" s="31" t="s">
        <v>75</v>
      </c>
      <c r="B21408" s="39" t="e">
        <f>TRUNC((A21394-SUM(C21406:C21407))/100000)</f>
        <v>#REF!</v>
      </c>
      <c r="C21408" s="31" t="e">
        <f>B21408*100000</f>
        <v>#REF!</v>
      </c>
      <c r="D21408" s="31" t="e">
        <f t="shared" si="2070"/>
        <v>#REF!</v>
      </c>
      <c r="E21408" s="31" t="e">
        <f>IF(B21408&lt;1,"",IF(B21408&gt;1," Hundreds "," Hundred "))</f>
        <v>#REF!</v>
      </c>
      <c r="J21408" s="31">
        <v>12</v>
      </c>
      <c r="K21408" s="33" t="s">
        <v>76</v>
      </c>
      <c r="L21408" s="31" t="str">
        <f t="shared" ref="L21408:L21415" si="2071">L21398&amp;" Belas"</f>
        <v>Dua Belas</v>
      </c>
    </row>
    <row r="21409" spans="1:12">
      <c r="A21409" s="33" t="s">
        <v>77</v>
      </c>
      <c r="B21409" s="40" t="e">
        <f>TRUNC((A21394-SUM(C21406:C21408))/1000)</f>
        <v>#REF!</v>
      </c>
      <c r="C21409" s="31" t="e">
        <f>B21409*1000</f>
        <v>#REF!</v>
      </c>
      <c r="D21409" s="31" t="e">
        <f t="shared" si="2070"/>
        <v>#REF!</v>
      </c>
      <c r="E21409" s="31" t="e">
        <f>IF(B21408+B21409=0,"",IF(B21409=1," Thousand "," Thousands "))</f>
        <v>#REF!</v>
      </c>
      <c r="J21409" s="31">
        <v>13</v>
      </c>
      <c r="K21409" s="33" t="s">
        <v>78</v>
      </c>
      <c r="L21409" s="31" t="str">
        <f t="shared" si="2071"/>
        <v>Tiga Belas</v>
      </c>
    </row>
    <row r="21410" spans="1:12">
      <c r="A21410" s="33" t="s">
        <v>79</v>
      </c>
      <c r="B21410" s="40" t="e">
        <f>TRUNC((A21394-SUM(C21406:C21409))/100)</f>
        <v>#REF!</v>
      </c>
      <c r="C21410" s="31" t="e">
        <f>B21410*100</f>
        <v>#REF!</v>
      </c>
      <c r="D21410" s="31" t="e">
        <f t="shared" si="2070"/>
        <v>#REF!</v>
      </c>
      <c r="E21410" s="31" t="e">
        <f>IF(B21410&lt;1,"",IF(B21410&gt;1," Hundreds "," Hundred "))</f>
        <v>#REF!</v>
      </c>
      <c r="J21410" s="31">
        <v>14</v>
      </c>
      <c r="K21410" s="33" t="s">
        <v>80</v>
      </c>
      <c r="L21410" s="31" t="str">
        <f t="shared" si="2071"/>
        <v>Empat Belas</v>
      </c>
    </row>
    <row r="21411" spans="1:12">
      <c r="A21411" s="33" t="s">
        <v>81</v>
      </c>
      <c r="B21411" s="41" t="e">
        <f>TRUNC((A21394-SUM(C21406:C21410)))</f>
        <v>#REF!</v>
      </c>
      <c r="C21411" s="42" t="e">
        <f>B21411</f>
        <v>#REF!</v>
      </c>
      <c r="D21411" s="31" t="e">
        <f t="shared" si="2070"/>
        <v>#REF!</v>
      </c>
      <c r="E21411" s="31" t="e">
        <f>IF(SUM(C21406:C21411)&lt;1,"",IF(B21412&lt;1,""," And "))</f>
        <v>#REF!</v>
      </c>
      <c r="J21411" s="31">
        <v>15</v>
      </c>
      <c r="K21411" s="33" t="s">
        <v>82</v>
      </c>
      <c r="L21411" s="31" t="str">
        <f t="shared" si="2071"/>
        <v>Lima Belas</v>
      </c>
    </row>
    <row r="21412" spans="1:12">
      <c r="A21412" s="33" t="s">
        <v>83</v>
      </c>
      <c r="B21412" s="40" t="e">
        <f>ROUND(A21394-SUM(C21406:C21411),2)*100</f>
        <v>#REF!</v>
      </c>
      <c r="D21412" s="43" t="e">
        <f t="shared" si="2070"/>
        <v>#REF!</v>
      </c>
      <c r="E21412" s="31" t="e">
        <f>IF(B21412&lt;1,"",IF(B21412=1," Cent "," Cents "))</f>
        <v>#REF!</v>
      </c>
      <c r="J21412" s="31">
        <v>16</v>
      </c>
      <c r="K21412" s="33" t="s">
        <v>84</v>
      </c>
      <c r="L21412" s="31" t="str">
        <f t="shared" si="2071"/>
        <v>Enam Belas</v>
      </c>
    </row>
    <row r="21413" spans="1:12">
      <c r="J21413" s="31">
        <v>17</v>
      </c>
      <c r="K21413" s="33" t="s">
        <v>85</v>
      </c>
      <c r="L21413" s="31" t="str">
        <f t="shared" si="2071"/>
        <v>Tujuh Belas</v>
      </c>
    </row>
    <row r="21414" spans="1:12">
      <c r="A21414" s="44"/>
      <c r="J21414" s="31">
        <v>18</v>
      </c>
      <c r="K21414" s="33" t="s">
        <v>86</v>
      </c>
      <c r="L21414" s="31" t="str">
        <f t="shared" si="2071"/>
        <v>Delapan Belas</v>
      </c>
    </row>
    <row r="21415" spans="1:12">
      <c r="A21415" s="38" t="s">
        <v>87</v>
      </c>
      <c r="J21415" s="31">
        <v>19</v>
      </c>
      <c r="K21415" s="33" t="s">
        <v>88</v>
      </c>
      <c r="L21415" s="31" t="str">
        <f t="shared" si="2071"/>
        <v>Sembilan Belas</v>
      </c>
    </row>
    <row r="21416" spans="1:12">
      <c r="A21416" s="31" t="s">
        <v>69</v>
      </c>
      <c r="B21416" s="39" t="e">
        <f>TRUNC(A21394/100000000)</f>
        <v>#REF!</v>
      </c>
      <c r="C21416" s="31" t="e">
        <f>B21416*100000000</f>
        <v>#REF!</v>
      </c>
      <c r="D21416" s="31" t="e">
        <f>IF(B21416&lt;1,"",IF(B21416=1,"",VLOOKUP(B21416,$J$3:$L$102,3)))</f>
        <v>#REF!</v>
      </c>
      <c r="E21416" s="31" t="e">
        <f>IF(B21416&lt;1,"",IF(B21416=1,"Seratus "," Ratus "))</f>
        <v>#REF!</v>
      </c>
      <c r="J21416" s="31">
        <v>20</v>
      </c>
      <c r="K21416" s="33" t="s">
        <v>89</v>
      </c>
      <c r="L21416" s="31" t="s">
        <v>90</v>
      </c>
    </row>
    <row r="21417" spans="1:12">
      <c r="A21417" s="31" t="s">
        <v>72</v>
      </c>
      <c r="B21417" s="39" t="e">
        <f>TRUNC((A21394-C21416)/1000000)</f>
        <v>#REF!</v>
      </c>
      <c r="C21417" s="31" t="e">
        <f>B21417*1000000</f>
        <v>#REF!</v>
      </c>
      <c r="D21417" s="31" t="e">
        <f>IF(B21417&lt;1,"",VLOOKUP(B21417,$J$3:$L$102,3))</f>
        <v>#REF!</v>
      </c>
      <c r="E21417" s="31" t="e">
        <f>IF(B21416+B21417=0,""," Juta ")</f>
        <v>#REF!</v>
      </c>
      <c r="J21417" s="31">
        <v>21</v>
      </c>
      <c r="K21417" s="33" t="s">
        <v>91</v>
      </c>
      <c r="L21417" s="31" t="str">
        <f t="shared" ref="L21417:L21425" si="2072">$L$23&amp;" "&amp;L21397</f>
        <v>Dua Puluh Satu</v>
      </c>
    </row>
    <row r="21418" spans="1:12">
      <c r="A21418" s="31" t="s">
        <v>75</v>
      </c>
      <c r="B21418" s="39" t="e">
        <f>TRUNC((A21394-SUM(C21416:C21417))/100000)</f>
        <v>#REF!</v>
      </c>
      <c r="C21418" s="31" t="e">
        <f>B21418*100000</f>
        <v>#REF!</v>
      </c>
      <c r="D21418" s="31" t="e">
        <f>IF(B21418&lt;1,"",IF(B21418=1,"",VLOOKUP(B21418,$J$3:$L$102,3)))</f>
        <v>#REF!</v>
      </c>
      <c r="E21418" s="31" t="e">
        <f>IF(B21418&lt;1,"",IF(B21418=1," Seratus "," Ratus "))</f>
        <v>#REF!</v>
      </c>
      <c r="J21418" s="31">
        <v>22</v>
      </c>
      <c r="K21418" s="33" t="s">
        <v>92</v>
      </c>
      <c r="L21418" s="31" t="str">
        <f t="shared" si="2072"/>
        <v>Dua Puluh Dua</v>
      </c>
    </row>
    <row r="21419" spans="1:12">
      <c r="A21419" s="33" t="s">
        <v>77</v>
      </c>
      <c r="B21419" s="40" t="e">
        <f>TRUNC((A21394-SUM(C21416:C21418))/1000)</f>
        <v>#REF!</v>
      </c>
      <c r="C21419" s="31" t="e">
        <f>B21419*1000</f>
        <v>#REF!</v>
      </c>
      <c r="D21419" s="31" t="e">
        <f>IF(B21419&lt;1,"",IF(B21419=1,"",VLOOKUP(B21419,$J$3:$L$102,3)))</f>
        <v>#REF!</v>
      </c>
      <c r="E21419" s="31" t="e">
        <f>IF(B21418+B21419&lt;1,"",IF(B21419=1," Seribu "," Ribu "))</f>
        <v>#REF!</v>
      </c>
      <c r="J21419" s="31">
        <v>23</v>
      </c>
      <c r="K21419" s="33" t="s">
        <v>93</v>
      </c>
      <c r="L21419" s="31" t="str">
        <f t="shared" si="2072"/>
        <v>Dua Puluh Tiga</v>
      </c>
    </row>
    <row r="21420" spans="1:12">
      <c r="A21420" s="33" t="s">
        <v>79</v>
      </c>
      <c r="B21420" s="40" t="e">
        <f>TRUNC((A21394-SUM(C21416:C21419))/100)</f>
        <v>#REF!</v>
      </c>
      <c r="C21420" s="31" t="e">
        <f>B21420*100</f>
        <v>#REF!</v>
      </c>
      <c r="D21420" s="31" t="e">
        <f>IF(B21420&lt;1,"",IF(B21420=1,"",VLOOKUP(B21420,$J$3:$L$102,3)))</f>
        <v>#REF!</v>
      </c>
      <c r="E21420" s="31" t="e">
        <f>IF(B21420&lt;1,"",IF(B21420=1," Seratus "," Ratus "))</f>
        <v>#REF!</v>
      </c>
      <c r="J21420" s="31">
        <v>24</v>
      </c>
      <c r="K21420" s="33" t="s">
        <v>94</v>
      </c>
      <c r="L21420" s="31" t="str">
        <f t="shared" si="2072"/>
        <v>Dua Puluh Empat</v>
      </c>
    </row>
    <row r="21421" spans="1:12">
      <c r="A21421" s="33" t="s">
        <v>81</v>
      </c>
      <c r="B21421" s="41" t="e">
        <f>TRUNC((A21394-SUM(C21416:C21420)))</f>
        <v>#REF!</v>
      </c>
      <c r="C21421" s="42" t="e">
        <f>B21421</f>
        <v>#REF!</v>
      </c>
      <c r="D21421" s="31" t="e">
        <f>IF(B21421&lt;1,"",VLOOKUP(B21421,$J$3:$L$102,3))</f>
        <v>#REF!</v>
      </c>
      <c r="E21421" s="31" t="e">
        <f>IF(SUM(C21416:C21421)&lt;1,"",IF(B21422&lt;1,""," Dan "))</f>
        <v>#REF!</v>
      </c>
      <c r="J21421" s="31">
        <v>25</v>
      </c>
      <c r="K21421" s="33" t="s">
        <v>95</v>
      </c>
      <c r="L21421" s="31" t="str">
        <f t="shared" si="2072"/>
        <v>Dua Puluh Lima</v>
      </c>
    </row>
    <row r="21422" spans="1:12">
      <c r="A21422" s="33" t="s">
        <v>83</v>
      </c>
      <c r="B21422" s="40" t="e">
        <f>ROUND(A21394-SUM(C21416:C21421),2)*100</f>
        <v>#REF!</v>
      </c>
      <c r="D21422" s="31" t="e">
        <f>IF(B21422&lt;1,"",VLOOKUP(B21422,$J$3:$L$102,3))</f>
        <v>#REF!</v>
      </c>
      <c r="E21422" s="31" t="e">
        <f>IF(B21422&lt;1,""," Sen ")</f>
        <v>#REF!</v>
      </c>
      <c r="J21422" s="31">
        <v>26</v>
      </c>
      <c r="K21422" s="33" t="s">
        <v>96</v>
      </c>
      <c r="L21422" s="31" t="str">
        <f t="shared" si="2072"/>
        <v>Dua Puluh Enam</v>
      </c>
    </row>
    <row r="21423" spans="1:12">
      <c r="J21423" s="31">
        <v>27</v>
      </c>
      <c r="K21423" s="33" t="s">
        <v>97</v>
      </c>
      <c r="L21423" s="31" t="str">
        <f t="shared" si="2072"/>
        <v>Dua Puluh Tujuh</v>
      </c>
    </row>
    <row r="21424" spans="1:12">
      <c r="J21424" s="31">
        <v>28</v>
      </c>
      <c r="K21424" s="33" t="s">
        <v>98</v>
      </c>
      <c r="L21424" s="31" t="str">
        <f t="shared" si="2072"/>
        <v>Dua Puluh Delapan</v>
      </c>
    </row>
    <row r="21425" spans="1:12">
      <c r="J21425" s="31">
        <v>29</v>
      </c>
      <c r="K21425" s="33" t="s">
        <v>99</v>
      </c>
      <c r="L21425" s="31" t="str">
        <f t="shared" si="2072"/>
        <v>Dua Puluh Sembilan</v>
      </c>
    </row>
    <row r="21426" spans="1:12">
      <c r="J21426" s="31">
        <v>30</v>
      </c>
      <c r="K21426" s="33" t="s">
        <v>100</v>
      </c>
      <c r="L21426" s="31" t="s">
        <v>101</v>
      </c>
    </row>
    <row r="21427" spans="1:12">
      <c r="J21427" s="31">
        <v>31</v>
      </c>
      <c r="K21427" s="33" t="s">
        <v>102</v>
      </c>
      <c r="L21427" s="31" t="str">
        <f t="shared" ref="L21427:L21435" si="2073">$L$33&amp;" "&amp;L21397</f>
        <v>Tiga Puluh Satu</v>
      </c>
    </row>
    <row r="21428" spans="1:12">
      <c r="J21428" s="31">
        <v>32</v>
      </c>
      <c r="K21428" s="33" t="s">
        <v>103</v>
      </c>
      <c r="L21428" s="31" t="str">
        <f t="shared" si="2073"/>
        <v>Tiga Puluh Dua</v>
      </c>
    </row>
    <row r="21429" spans="1:12">
      <c r="J21429" s="31">
        <v>33</v>
      </c>
      <c r="K21429" s="33" t="s">
        <v>104</v>
      </c>
      <c r="L21429" s="31" t="str">
        <f t="shared" si="2073"/>
        <v>Tiga Puluh Tiga</v>
      </c>
    </row>
    <row r="21430" spans="1:12">
      <c r="J21430" s="31">
        <v>34</v>
      </c>
      <c r="K21430" s="33" t="s">
        <v>105</v>
      </c>
      <c r="L21430" s="31" t="str">
        <f t="shared" si="2073"/>
        <v>Tiga Puluh Empat</v>
      </c>
    </row>
    <row r="21431" spans="1:12">
      <c r="J21431" s="31">
        <v>35</v>
      </c>
      <c r="K21431" s="33" t="s">
        <v>106</v>
      </c>
      <c r="L21431" s="31" t="str">
        <f t="shared" si="2073"/>
        <v>Tiga Puluh Lima</v>
      </c>
    </row>
    <row r="21432" spans="1:12">
      <c r="J21432" s="31">
        <v>36</v>
      </c>
      <c r="K21432" s="33" t="s">
        <v>107</v>
      </c>
      <c r="L21432" s="31" t="str">
        <f t="shared" si="2073"/>
        <v>Tiga Puluh Enam</v>
      </c>
    </row>
    <row r="21433" spans="1:12">
      <c r="J21433" s="31">
        <v>37</v>
      </c>
      <c r="K21433" s="33" t="s">
        <v>108</v>
      </c>
      <c r="L21433" s="31" t="str">
        <f t="shared" si="2073"/>
        <v>Tiga Puluh Tujuh</v>
      </c>
    </row>
    <row r="21434" spans="1:12">
      <c r="J21434" s="31">
        <v>38</v>
      </c>
      <c r="K21434" s="33" t="s">
        <v>109</v>
      </c>
      <c r="L21434" s="31" t="str">
        <f t="shared" si="2073"/>
        <v>Tiga Puluh Delapan</v>
      </c>
    </row>
    <row r="21435" spans="1:12">
      <c r="J21435" s="31">
        <v>39</v>
      </c>
      <c r="K21435" s="33" t="s">
        <v>110</v>
      </c>
      <c r="L21435" s="31" t="str">
        <f t="shared" si="2073"/>
        <v>Tiga Puluh Sembilan</v>
      </c>
    </row>
    <row r="21436" spans="1:12">
      <c r="B21436" s="35"/>
      <c r="C21436" s="35"/>
      <c r="D21436" s="35"/>
      <c r="J21436" s="31">
        <v>40</v>
      </c>
      <c r="K21436" s="33" t="s">
        <v>111</v>
      </c>
      <c r="L21436" s="31" t="s">
        <v>112</v>
      </c>
    </row>
    <row r="21437" spans="1:12">
      <c r="A21437" s="35"/>
      <c r="B21437" s="35"/>
      <c r="C21437" s="35"/>
      <c r="D21437" s="35"/>
      <c r="J21437" s="31">
        <v>41</v>
      </c>
      <c r="K21437" s="33" t="s">
        <v>113</v>
      </c>
      <c r="L21437" s="31" t="str">
        <f t="shared" ref="L21437:L21445" si="2074">$L$43&amp;" "&amp;L21397</f>
        <v>Empat Puluh Satu</v>
      </c>
    </row>
    <row r="21438" spans="1:12">
      <c r="J21438" s="31">
        <v>42</v>
      </c>
      <c r="K21438" s="33" t="s">
        <v>114</v>
      </c>
      <c r="L21438" s="31" t="str">
        <f t="shared" si="2074"/>
        <v>Empat Puluh Dua</v>
      </c>
    </row>
    <row r="21439" spans="1:12">
      <c r="A21439" s="38"/>
      <c r="J21439" s="31">
        <v>43</v>
      </c>
      <c r="K21439" s="33" t="s">
        <v>115</v>
      </c>
      <c r="L21439" s="31" t="str">
        <f t="shared" si="2074"/>
        <v>Empat Puluh Tiga</v>
      </c>
    </row>
    <row r="21440" spans="1:12">
      <c r="J21440" s="31">
        <v>44</v>
      </c>
      <c r="K21440" s="33" t="s">
        <v>116</v>
      </c>
      <c r="L21440" s="31" t="str">
        <f t="shared" si="2074"/>
        <v>Empat Puluh Empat</v>
      </c>
    </row>
    <row r="21441" spans="10:12">
      <c r="J21441" s="31">
        <v>45</v>
      </c>
      <c r="K21441" s="33" t="s">
        <v>117</v>
      </c>
      <c r="L21441" s="31" t="str">
        <f t="shared" si="2074"/>
        <v>Empat Puluh Lima</v>
      </c>
    </row>
    <row r="21442" spans="10:12">
      <c r="J21442" s="31">
        <v>46</v>
      </c>
      <c r="K21442" s="33" t="s">
        <v>118</v>
      </c>
      <c r="L21442" s="31" t="str">
        <f t="shared" si="2074"/>
        <v>Empat Puluh Enam</v>
      </c>
    </row>
    <row r="21443" spans="10:12">
      <c r="J21443" s="31">
        <v>47</v>
      </c>
      <c r="K21443" s="33" t="s">
        <v>119</v>
      </c>
      <c r="L21443" s="31" t="str">
        <f t="shared" si="2074"/>
        <v>Empat Puluh Tujuh</v>
      </c>
    </row>
    <row r="21444" spans="10:12">
      <c r="J21444" s="31">
        <v>48</v>
      </c>
      <c r="K21444" s="33" t="s">
        <v>120</v>
      </c>
      <c r="L21444" s="31" t="str">
        <f t="shared" si="2074"/>
        <v>Empat Puluh Delapan</v>
      </c>
    </row>
    <row r="21445" spans="10:12">
      <c r="J21445" s="31">
        <v>49</v>
      </c>
      <c r="K21445" s="33" t="s">
        <v>121</v>
      </c>
      <c r="L21445" s="31" t="str">
        <f t="shared" si="2074"/>
        <v>Empat Puluh Sembilan</v>
      </c>
    </row>
    <row r="21446" spans="10:12">
      <c r="J21446" s="31">
        <v>50</v>
      </c>
      <c r="K21446" s="33" t="s">
        <v>122</v>
      </c>
      <c r="L21446" s="31" t="s">
        <v>123</v>
      </c>
    </row>
    <row r="21447" spans="10:12">
      <c r="J21447" s="31">
        <v>51</v>
      </c>
      <c r="K21447" s="33" t="s">
        <v>124</v>
      </c>
      <c r="L21447" s="31" t="str">
        <f t="shared" ref="L21447:L21455" si="2075">$L$53&amp;" "&amp;L21397</f>
        <v>Lima Puluh Satu</v>
      </c>
    </row>
    <row r="21448" spans="10:12">
      <c r="J21448" s="31">
        <v>52</v>
      </c>
      <c r="K21448" s="33" t="s">
        <v>125</v>
      </c>
      <c r="L21448" s="31" t="str">
        <f t="shared" si="2075"/>
        <v>Lima Puluh Dua</v>
      </c>
    </row>
    <row r="21449" spans="10:12">
      <c r="J21449" s="31">
        <v>53</v>
      </c>
      <c r="K21449" s="33" t="s">
        <v>126</v>
      </c>
      <c r="L21449" s="31" t="str">
        <f t="shared" si="2075"/>
        <v>Lima Puluh Tiga</v>
      </c>
    </row>
    <row r="21450" spans="10:12">
      <c r="J21450" s="31">
        <v>54</v>
      </c>
      <c r="K21450" s="33" t="s">
        <v>127</v>
      </c>
      <c r="L21450" s="31" t="str">
        <f t="shared" si="2075"/>
        <v>Lima Puluh Empat</v>
      </c>
    </row>
    <row r="21451" spans="10:12">
      <c r="J21451" s="31">
        <v>55</v>
      </c>
      <c r="K21451" s="33" t="s">
        <v>128</v>
      </c>
      <c r="L21451" s="31" t="str">
        <f t="shared" si="2075"/>
        <v>Lima Puluh Lima</v>
      </c>
    </row>
    <row r="21452" spans="10:12">
      <c r="J21452" s="31">
        <v>56</v>
      </c>
      <c r="K21452" s="33" t="s">
        <v>129</v>
      </c>
      <c r="L21452" s="31" t="str">
        <f t="shared" si="2075"/>
        <v>Lima Puluh Enam</v>
      </c>
    </row>
    <row r="21453" spans="10:12">
      <c r="J21453" s="31">
        <v>57</v>
      </c>
      <c r="K21453" s="33" t="s">
        <v>130</v>
      </c>
      <c r="L21453" s="31" t="str">
        <f t="shared" si="2075"/>
        <v>Lima Puluh Tujuh</v>
      </c>
    </row>
    <row r="21454" spans="10:12">
      <c r="J21454" s="31">
        <v>58</v>
      </c>
      <c r="K21454" s="33" t="s">
        <v>131</v>
      </c>
      <c r="L21454" s="31" t="str">
        <f t="shared" si="2075"/>
        <v>Lima Puluh Delapan</v>
      </c>
    </row>
    <row r="21455" spans="10:12">
      <c r="J21455" s="31">
        <v>59</v>
      </c>
      <c r="K21455" s="33" t="s">
        <v>132</v>
      </c>
      <c r="L21455" s="31" t="str">
        <f t="shared" si="2075"/>
        <v>Lima Puluh Sembilan</v>
      </c>
    </row>
    <row r="21456" spans="10:12">
      <c r="J21456" s="31">
        <v>60</v>
      </c>
      <c r="K21456" s="33" t="s">
        <v>133</v>
      </c>
      <c r="L21456" s="31" t="s">
        <v>134</v>
      </c>
    </row>
    <row r="21457" spans="10:12">
      <c r="J21457" s="31">
        <v>61</v>
      </c>
      <c r="K21457" s="33" t="s">
        <v>135</v>
      </c>
      <c r="L21457" s="31" t="str">
        <f t="shared" ref="L21457:L21465" si="2076">$L$63&amp;" "&amp;L21397</f>
        <v>Enam Puluh Satu</v>
      </c>
    </row>
    <row r="21458" spans="10:12">
      <c r="J21458" s="31">
        <v>62</v>
      </c>
      <c r="K21458" s="33" t="s">
        <v>136</v>
      </c>
      <c r="L21458" s="31" t="str">
        <f t="shared" si="2076"/>
        <v>Enam Puluh Dua</v>
      </c>
    </row>
    <row r="21459" spans="10:12">
      <c r="J21459" s="31">
        <v>63</v>
      </c>
      <c r="K21459" s="33" t="s">
        <v>137</v>
      </c>
      <c r="L21459" s="31" t="str">
        <f t="shared" si="2076"/>
        <v>Enam Puluh Tiga</v>
      </c>
    </row>
    <row r="21460" spans="10:12">
      <c r="J21460" s="31">
        <v>64</v>
      </c>
      <c r="K21460" s="33" t="s">
        <v>138</v>
      </c>
      <c r="L21460" s="31" t="str">
        <f t="shared" si="2076"/>
        <v>Enam Puluh Empat</v>
      </c>
    </row>
    <row r="21461" spans="10:12">
      <c r="J21461" s="31">
        <v>65</v>
      </c>
      <c r="K21461" s="33" t="s">
        <v>139</v>
      </c>
      <c r="L21461" s="31" t="str">
        <f t="shared" si="2076"/>
        <v>Enam Puluh Lima</v>
      </c>
    </row>
    <row r="21462" spans="10:12">
      <c r="J21462" s="31">
        <v>66</v>
      </c>
      <c r="K21462" s="33" t="s">
        <v>140</v>
      </c>
      <c r="L21462" s="31" t="str">
        <f t="shared" si="2076"/>
        <v>Enam Puluh Enam</v>
      </c>
    </row>
    <row r="21463" spans="10:12">
      <c r="J21463" s="31">
        <v>67</v>
      </c>
      <c r="K21463" s="33" t="s">
        <v>141</v>
      </c>
      <c r="L21463" s="31" t="str">
        <f t="shared" si="2076"/>
        <v>Enam Puluh Tujuh</v>
      </c>
    </row>
    <row r="21464" spans="10:12">
      <c r="J21464" s="31">
        <v>68</v>
      </c>
      <c r="K21464" s="33" t="s">
        <v>142</v>
      </c>
      <c r="L21464" s="31" t="str">
        <f t="shared" si="2076"/>
        <v>Enam Puluh Delapan</v>
      </c>
    </row>
    <row r="21465" spans="10:12">
      <c r="J21465" s="31">
        <v>69</v>
      </c>
      <c r="K21465" s="33" t="s">
        <v>143</v>
      </c>
      <c r="L21465" s="31" t="str">
        <f t="shared" si="2076"/>
        <v>Enam Puluh Sembilan</v>
      </c>
    </row>
    <row r="21466" spans="10:12">
      <c r="J21466" s="31">
        <v>70</v>
      </c>
      <c r="K21466" s="33" t="s">
        <v>144</v>
      </c>
      <c r="L21466" s="31" t="s">
        <v>145</v>
      </c>
    </row>
    <row r="21467" spans="10:12">
      <c r="J21467" s="31">
        <v>71</v>
      </c>
      <c r="K21467" s="33" t="s">
        <v>146</v>
      </c>
      <c r="L21467" s="31" t="str">
        <f t="shared" ref="L21467:L21475" si="2077">$L$73&amp;" "&amp;L21397</f>
        <v>Tujuh Puluh Satu</v>
      </c>
    </row>
    <row r="21468" spans="10:12">
      <c r="J21468" s="31">
        <v>72</v>
      </c>
      <c r="K21468" s="33" t="s">
        <v>147</v>
      </c>
      <c r="L21468" s="31" t="str">
        <f t="shared" si="2077"/>
        <v>Tujuh Puluh Dua</v>
      </c>
    </row>
    <row r="21469" spans="10:12">
      <c r="J21469" s="31">
        <v>73</v>
      </c>
      <c r="K21469" s="33" t="s">
        <v>148</v>
      </c>
      <c r="L21469" s="31" t="str">
        <f t="shared" si="2077"/>
        <v>Tujuh Puluh Tiga</v>
      </c>
    </row>
    <row r="21470" spans="10:12">
      <c r="J21470" s="31">
        <v>74</v>
      </c>
      <c r="K21470" s="33" t="s">
        <v>149</v>
      </c>
      <c r="L21470" s="31" t="str">
        <f t="shared" si="2077"/>
        <v>Tujuh Puluh Empat</v>
      </c>
    </row>
    <row r="21471" spans="10:12">
      <c r="J21471" s="31">
        <v>75</v>
      </c>
      <c r="K21471" s="33" t="s">
        <v>150</v>
      </c>
      <c r="L21471" s="31" t="str">
        <f t="shared" si="2077"/>
        <v>Tujuh Puluh Lima</v>
      </c>
    </row>
    <row r="21472" spans="10:12">
      <c r="J21472" s="31">
        <v>76</v>
      </c>
      <c r="K21472" s="33" t="s">
        <v>151</v>
      </c>
      <c r="L21472" s="31" t="str">
        <f t="shared" si="2077"/>
        <v>Tujuh Puluh Enam</v>
      </c>
    </row>
    <row r="21473" spans="10:12">
      <c r="J21473" s="31">
        <v>77</v>
      </c>
      <c r="K21473" s="33" t="s">
        <v>152</v>
      </c>
      <c r="L21473" s="31" t="str">
        <f t="shared" si="2077"/>
        <v>Tujuh Puluh Tujuh</v>
      </c>
    </row>
    <row r="21474" spans="10:12">
      <c r="J21474" s="31">
        <v>78</v>
      </c>
      <c r="K21474" s="33" t="s">
        <v>153</v>
      </c>
      <c r="L21474" s="31" t="str">
        <f t="shared" si="2077"/>
        <v>Tujuh Puluh Delapan</v>
      </c>
    </row>
    <row r="21475" spans="10:12">
      <c r="J21475" s="31">
        <v>79</v>
      </c>
      <c r="K21475" s="33" t="s">
        <v>154</v>
      </c>
      <c r="L21475" s="31" t="str">
        <f t="shared" si="2077"/>
        <v>Tujuh Puluh Sembilan</v>
      </c>
    </row>
    <row r="21476" spans="10:12">
      <c r="J21476" s="31">
        <v>80</v>
      </c>
      <c r="K21476" s="33" t="s">
        <v>155</v>
      </c>
      <c r="L21476" s="31" t="s">
        <v>156</v>
      </c>
    </row>
    <row r="21477" spans="10:12">
      <c r="J21477" s="31">
        <v>81</v>
      </c>
      <c r="K21477" s="33" t="s">
        <v>157</v>
      </c>
      <c r="L21477" s="31" t="str">
        <f t="shared" ref="L21477:L21485" si="2078">$L$83&amp;" "&amp;L21397</f>
        <v>Delapan Puluh Satu</v>
      </c>
    </row>
    <row r="21478" spans="10:12">
      <c r="J21478" s="31">
        <v>82</v>
      </c>
      <c r="K21478" s="33" t="s">
        <v>158</v>
      </c>
      <c r="L21478" s="31" t="str">
        <f t="shared" si="2078"/>
        <v>Delapan Puluh Dua</v>
      </c>
    </row>
    <row r="21479" spans="10:12">
      <c r="J21479" s="31">
        <v>83</v>
      </c>
      <c r="K21479" s="33" t="s">
        <v>159</v>
      </c>
      <c r="L21479" s="31" t="str">
        <f t="shared" si="2078"/>
        <v>Delapan Puluh Tiga</v>
      </c>
    </row>
    <row r="21480" spans="10:12">
      <c r="J21480" s="31">
        <v>84</v>
      </c>
      <c r="K21480" s="33" t="s">
        <v>160</v>
      </c>
      <c r="L21480" s="31" t="str">
        <f t="shared" si="2078"/>
        <v>Delapan Puluh Empat</v>
      </c>
    </row>
    <row r="21481" spans="10:12">
      <c r="J21481" s="31">
        <v>85</v>
      </c>
      <c r="K21481" s="33" t="s">
        <v>161</v>
      </c>
      <c r="L21481" s="31" t="str">
        <f t="shared" si="2078"/>
        <v>Delapan Puluh Lima</v>
      </c>
    </row>
    <row r="21482" spans="10:12">
      <c r="J21482" s="31">
        <v>86</v>
      </c>
      <c r="K21482" s="33" t="s">
        <v>162</v>
      </c>
      <c r="L21482" s="31" t="str">
        <f t="shared" si="2078"/>
        <v>Delapan Puluh Enam</v>
      </c>
    </row>
    <row r="21483" spans="10:12">
      <c r="J21483" s="31">
        <v>87</v>
      </c>
      <c r="K21483" s="33" t="s">
        <v>163</v>
      </c>
      <c r="L21483" s="31" t="str">
        <f t="shared" si="2078"/>
        <v>Delapan Puluh Tujuh</v>
      </c>
    </row>
    <row r="21484" spans="10:12">
      <c r="J21484" s="31">
        <v>88</v>
      </c>
      <c r="K21484" s="33" t="s">
        <v>164</v>
      </c>
      <c r="L21484" s="31" t="str">
        <f t="shared" si="2078"/>
        <v>Delapan Puluh Delapan</v>
      </c>
    </row>
    <row r="21485" spans="10:12">
      <c r="J21485" s="31">
        <v>89</v>
      </c>
      <c r="K21485" s="33" t="s">
        <v>165</v>
      </c>
      <c r="L21485" s="31" t="str">
        <f t="shared" si="2078"/>
        <v>Delapan Puluh Sembilan</v>
      </c>
    </row>
    <row r="21486" spans="10:12">
      <c r="J21486" s="31">
        <v>90</v>
      </c>
      <c r="K21486" s="33" t="s">
        <v>166</v>
      </c>
      <c r="L21486" s="31" t="s">
        <v>167</v>
      </c>
    </row>
    <row r="21487" spans="10:12">
      <c r="J21487" s="31">
        <v>91</v>
      </c>
      <c r="K21487" s="33" t="s">
        <v>168</v>
      </c>
      <c r="L21487" s="31" t="str">
        <f t="shared" ref="L21487:L21495" si="2079">$L$93&amp;" "&amp;L21397</f>
        <v>Sembilan Puluh Satu</v>
      </c>
    </row>
    <row r="21488" spans="10:12">
      <c r="J21488" s="31">
        <v>92</v>
      </c>
      <c r="K21488" s="33" t="s">
        <v>169</v>
      </c>
      <c r="L21488" s="31" t="str">
        <f t="shared" si="2079"/>
        <v>Sembilan Puluh Dua</v>
      </c>
    </row>
    <row r="21489" spans="1:12">
      <c r="J21489" s="31">
        <v>93</v>
      </c>
      <c r="K21489" s="33" t="s">
        <v>170</v>
      </c>
      <c r="L21489" s="31" t="str">
        <f t="shared" si="2079"/>
        <v>Sembilan Puluh Tiga</v>
      </c>
    </row>
    <row r="21490" spans="1:12">
      <c r="J21490" s="31">
        <v>94</v>
      </c>
      <c r="K21490" s="33" t="s">
        <v>171</v>
      </c>
      <c r="L21490" s="31" t="str">
        <f t="shared" si="2079"/>
        <v>Sembilan Puluh Empat</v>
      </c>
    </row>
    <row r="21491" spans="1:12">
      <c r="J21491" s="31">
        <v>95</v>
      </c>
      <c r="K21491" s="33" t="s">
        <v>172</v>
      </c>
      <c r="L21491" s="31" t="str">
        <f t="shared" si="2079"/>
        <v>Sembilan Puluh Lima</v>
      </c>
    </row>
    <row r="21492" spans="1:12">
      <c r="J21492" s="31">
        <v>96</v>
      </c>
      <c r="K21492" s="33" t="s">
        <v>173</v>
      </c>
      <c r="L21492" s="31" t="str">
        <f t="shared" si="2079"/>
        <v>Sembilan Puluh Enam</v>
      </c>
    </row>
    <row r="21493" spans="1:12">
      <c r="J21493" s="31">
        <v>97</v>
      </c>
      <c r="K21493" s="33" t="s">
        <v>174</v>
      </c>
      <c r="L21493" s="31" t="str">
        <f t="shared" si="2079"/>
        <v>Sembilan Puluh Tujuh</v>
      </c>
    </row>
    <row r="21494" spans="1:12">
      <c r="J21494" s="31">
        <v>98</v>
      </c>
      <c r="K21494" s="33" t="s">
        <v>175</v>
      </c>
      <c r="L21494" s="31" t="str">
        <f t="shared" si="2079"/>
        <v>Sembilan Puluh Delapan</v>
      </c>
    </row>
    <row r="21495" spans="1:12">
      <c r="J21495" s="31">
        <v>99</v>
      </c>
      <c r="K21495" s="33" t="s">
        <v>176</v>
      </c>
      <c r="L21495" s="31" t="str">
        <f t="shared" si="2079"/>
        <v>Sembilan Puluh Sembilan</v>
      </c>
    </row>
    <row r="21497" spans="1:12">
      <c r="A21497" s="30" t="e">
        <f>#REF!</f>
        <v>#REF!</v>
      </c>
      <c r="C21497" s="31" t="s">
        <v>464</v>
      </c>
    </row>
    <row r="21498" spans="1:12">
      <c r="A21498" s="32"/>
    </row>
    <row r="21499" spans="1:12">
      <c r="J21499" s="31">
        <v>0</v>
      </c>
      <c r="K21499" s="33" t="s">
        <v>48</v>
      </c>
      <c r="L21499" s="31" t="s">
        <v>49</v>
      </c>
    </row>
    <row r="21500" spans="1:12">
      <c r="A21500" s="34"/>
      <c r="J21500" s="31">
        <v>1</v>
      </c>
      <c r="K21500" s="33" t="s">
        <v>50</v>
      </c>
      <c r="L21500" s="31" t="s">
        <v>51</v>
      </c>
    </row>
    <row r="21501" spans="1:12">
      <c r="A21501" s="255" t="e">
        <f>TRIM(D21509&amp;E21509&amp;D21510&amp;E21510&amp;D21511&amp;E21511&amp;D21512&amp;E21512&amp;D21513&amp;E21513&amp;D21514&amp;E21514&amp;E21515&amp;D21515&amp;" Only")</f>
        <v>#REF!</v>
      </c>
      <c r="B21501" s="255"/>
      <c r="C21501" s="255"/>
      <c r="D21501" s="255"/>
      <c r="E21501" s="35"/>
      <c r="F21501" s="36"/>
      <c r="J21501" s="31">
        <v>2</v>
      </c>
      <c r="K21501" s="33" t="s">
        <v>52</v>
      </c>
      <c r="L21501" s="31" t="s">
        <v>53</v>
      </c>
    </row>
    <row r="21502" spans="1:12">
      <c r="A21502" s="196"/>
      <c r="B21502" s="196"/>
      <c r="C21502" s="196"/>
      <c r="D21502" s="196"/>
      <c r="E21502" s="35"/>
      <c r="F21502" s="36"/>
      <c r="J21502" s="31">
        <v>3</v>
      </c>
      <c r="K21502" s="33" t="s">
        <v>54</v>
      </c>
      <c r="L21502" s="31" t="s">
        <v>55</v>
      </c>
    </row>
    <row r="21503" spans="1:12">
      <c r="A21503" s="196"/>
      <c r="B21503" s="196"/>
      <c r="C21503" s="196"/>
      <c r="D21503" s="196"/>
      <c r="J21503" s="31">
        <v>4</v>
      </c>
      <c r="K21503" s="33" t="s">
        <v>56</v>
      </c>
      <c r="L21503" s="31" t="s">
        <v>57</v>
      </c>
    </row>
    <row r="21504" spans="1:12">
      <c r="A21504" s="255" t="e">
        <f>TRIM(D21519&amp;E21519&amp;D21520&amp;E21520&amp;D21521&amp;E21521&amp;D21522&amp;E21522&amp;D21523&amp;E21523&amp;D21524&amp;E21524&amp;D21525&amp;E21525&amp;" Rupiah")</f>
        <v>#REF!</v>
      </c>
      <c r="B21504" s="255"/>
      <c r="C21504" s="255"/>
      <c r="D21504" s="255"/>
      <c r="E21504" s="35"/>
      <c r="F21504" s="36"/>
      <c r="J21504" s="31">
        <v>5</v>
      </c>
      <c r="K21504" s="33" t="s">
        <v>58</v>
      </c>
      <c r="L21504" s="31" t="s">
        <v>59</v>
      </c>
    </row>
    <row r="21505" spans="1:12">
      <c r="A21505" s="35"/>
      <c r="B21505" s="35"/>
      <c r="C21505" s="35"/>
      <c r="D21505" s="35"/>
      <c r="E21505" s="35"/>
      <c r="F21505" s="36"/>
      <c r="J21505" s="31">
        <v>6</v>
      </c>
      <c r="K21505" s="33" t="s">
        <v>60</v>
      </c>
      <c r="L21505" s="31" t="s">
        <v>61</v>
      </c>
    </row>
    <row r="21506" spans="1:12">
      <c r="J21506" s="31">
        <v>7</v>
      </c>
      <c r="K21506" s="33" t="s">
        <v>62</v>
      </c>
      <c r="L21506" s="31" t="s">
        <v>63</v>
      </c>
    </row>
    <row r="21507" spans="1:12">
      <c r="J21507" s="31">
        <v>8</v>
      </c>
      <c r="K21507" s="33" t="s">
        <v>64</v>
      </c>
      <c r="L21507" s="31" t="s">
        <v>65</v>
      </c>
    </row>
    <row r="21508" spans="1:12">
      <c r="A21508" s="38" t="s">
        <v>66</v>
      </c>
      <c r="J21508" s="31">
        <v>9</v>
      </c>
      <c r="K21508" s="33" t="s">
        <v>67</v>
      </c>
      <c r="L21508" s="31" t="s">
        <v>68</v>
      </c>
    </row>
    <row r="21509" spans="1:12">
      <c r="A21509" s="31" t="s">
        <v>69</v>
      </c>
      <c r="B21509" s="39" t="e">
        <f>TRUNC(A21497/100000000)</f>
        <v>#REF!</v>
      </c>
      <c r="C21509" s="31" t="e">
        <f>B21509*100000000</f>
        <v>#REF!</v>
      </c>
      <c r="D21509" s="31" t="e">
        <f t="shared" ref="D21509:D21515" si="2080">IF(B21509&lt;1,"",VLOOKUP(B21509,$J$3:$K$102,2))</f>
        <v>#REF!</v>
      </c>
      <c r="E21509" s="31" t="e">
        <f>IF(B21509&lt;1,"",IF(B21509&gt;1," Hundreds "," Hundred "))</f>
        <v>#REF!</v>
      </c>
      <c r="J21509" s="31">
        <v>10</v>
      </c>
      <c r="K21509" s="33" t="s">
        <v>70</v>
      </c>
      <c r="L21509" s="31" t="s">
        <v>71</v>
      </c>
    </row>
    <row r="21510" spans="1:12">
      <c r="A21510" s="31" t="s">
        <v>72</v>
      </c>
      <c r="B21510" s="39" t="e">
        <f>TRUNC((A21497-C21509)/1000000)</f>
        <v>#REF!</v>
      </c>
      <c r="C21510" s="31" t="e">
        <f>B21510*1000000</f>
        <v>#REF!</v>
      </c>
      <c r="D21510" s="31" t="e">
        <f t="shared" si="2080"/>
        <v>#REF!</v>
      </c>
      <c r="E21510" s="31" t="e">
        <f>IF(B21509+B21510=0,"",IF(B21510=1," Million "," Millions "))</f>
        <v>#REF!</v>
      </c>
      <c r="J21510" s="31">
        <v>11</v>
      </c>
      <c r="K21510" s="33" t="s">
        <v>73</v>
      </c>
      <c r="L21510" s="31" t="s">
        <v>74</v>
      </c>
    </row>
    <row r="21511" spans="1:12">
      <c r="A21511" s="31" t="s">
        <v>75</v>
      </c>
      <c r="B21511" s="39" t="e">
        <f>TRUNC((A21497-SUM(C21509:C21510))/100000)</f>
        <v>#REF!</v>
      </c>
      <c r="C21511" s="31" t="e">
        <f>B21511*100000</f>
        <v>#REF!</v>
      </c>
      <c r="D21511" s="31" t="e">
        <f t="shared" si="2080"/>
        <v>#REF!</v>
      </c>
      <c r="E21511" s="31" t="e">
        <f>IF(B21511&lt;1,"",IF(B21511&gt;1," Hundreds "," Hundred "))</f>
        <v>#REF!</v>
      </c>
      <c r="J21511" s="31">
        <v>12</v>
      </c>
      <c r="K21511" s="33" t="s">
        <v>76</v>
      </c>
      <c r="L21511" s="31" t="str">
        <f t="shared" ref="L21511:L21518" si="2081">L21501&amp;" Belas"</f>
        <v>Dua Belas</v>
      </c>
    </row>
    <row r="21512" spans="1:12">
      <c r="A21512" s="33" t="s">
        <v>77</v>
      </c>
      <c r="B21512" s="40" t="e">
        <f>TRUNC((A21497-SUM(C21509:C21511))/1000)</f>
        <v>#REF!</v>
      </c>
      <c r="C21512" s="31" t="e">
        <f>B21512*1000</f>
        <v>#REF!</v>
      </c>
      <c r="D21512" s="31" t="e">
        <f t="shared" si="2080"/>
        <v>#REF!</v>
      </c>
      <c r="E21512" s="31" t="e">
        <f>IF(B21511+B21512=0,"",IF(B21512=1," Thousand "," Thousands "))</f>
        <v>#REF!</v>
      </c>
      <c r="J21512" s="31">
        <v>13</v>
      </c>
      <c r="K21512" s="33" t="s">
        <v>78</v>
      </c>
      <c r="L21512" s="31" t="str">
        <f t="shared" si="2081"/>
        <v>Tiga Belas</v>
      </c>
    </row>
    <row r="21513" spans="1:12">
      <c r="A21513" s="33" t="s">
        <v>79</v>
      </c>
      <c r="B21513" s="40" t="e">
        <f>TRUNC((A21497-SUM(C21509:C21512))/100)</f>
        <v>#REF!</v>
      </c>
      <c r="C21513" s="31" t="e">
        <f>B21513*100</f>
        <v>#REF!</v>
      </c>
      <c r="D21513" s="31" t="e">
        <f t="shared" si="2080"/>
        <v>#REF!</v>
      </c>
      <c r="E21513" s="31" t="e">
        <f>IF(B21513&lt;1,"",IF(B21513&gt;1," Hundreds "," Hundred "))</f>
        <v>#REF!</v>
      </c>
      <c r="J21513" s="31">
        <v>14</v>
      </c>
      <c r="K21513" s="33" t="s">
        <v>80</v>
      </c>
      <c r="L21513" s="31" t="str">
        <f t="shared" si="2081"/>
        <v>Empat Belas</v>
      </c>
    </row>
    <row r="21514" spans="1:12">
      <c r="A21514" s="33" t="s">
        <v>81</v>
      </c>
      <c r="B21514" s="41" t="e">
        <f>TRUNC((A21497-SUM(C21509:C21513)))</f>
        <v>#REF!</v>
      </c>
      <c r="C21514" s="42" t="e">
        <f>B21514</f>
        <v>#REF!</v>
      </c>
      <c r="D21514" s="31" t="e">
        <f t="shared" si="2080"/>
        <v>#REF!</v>
      </c>
      <c r="E21514" s="31" t="e">
        <f>IF(SUM(C21509:C21514)&lt;1,"",IF(B21515&lt;1,""," And "))</f>
        <v>#REF!</v>
      </c>
      <c r="J21514" s="31">
        <v>15</v>
      </c>
      <c r="K21514" s="33" t="s">
        <v>82</v>
      </c>
      <c r="L21514" s="31" t="str">
        <f t="shared" si="2081"/>
        <v>Lima Belas</v>
      </c>
    </row>
    <row r="21515" spans="1:12">
      <c r="A21515" s="33" t="s">
        <v>83</v>
      </c>
      <c r="B21515" s="40" t="e">
        <f>ROUND(A21497-SUM(C21509:C21514),2)*100</f>
        <v>#REF!</v>
      </c>
      <c r="D21515" s="43" t="e">
        <f t="shared" si="2080"/>
        <v>#REF!</v>
      </c>
      <c r="E21515" s="31" t="e">
        <f>IF(B21515&lt;1,"",IF(B21515=1," Cent "," Cents "))</f>
        <v>#REF!</v>
      </c>
      <c r="J21515" s="31">
        <v>16</v>
      </c>
      <c r="K21515" s="33" t="s">
        <v>84</v>
      </c>
      <c r="L21515" s="31" t="str">
        <f t="shared" si="2081"/>
        <v>Enam Belas</v>
      </c>
    </row>
    <row r="21516" spans="1:12">
      <c r="J21516" s="31">
        <v>17</v>
      </c>
      <c r="K21516" s="33" t="s">
        <v>85</v>
      </c>
      <c r="L21516" s="31" t="str">
        <f t="shared" si="2081"/>
        <v>Tujuh Belas</v>
      </c>
    </row>
    <row r="21517" spans="1:12">
      <c r="A21517" s="44"/>
      <c r="J21517" s="31">
        <v>18</v>
      </c>
      <c r="K21517" s="33" t="s">
        <v>86</v>
      </c>
      <c r="L21517" s="31" t="str">
        <f t="shared" si="2081"/>
        <v>Delapan Belas</v>
      </c>
    </row>
    <row r="21518" spans="1:12">
      <c r="A21518" s="38" t="s">
        <v>87</v>
      </c>
      <c r="J21518" s="31">
        <v>19</v>
      </c>
      <c r="K21518" s="33" t="s">
        <v>88</v>
      </c>
      <c r="L21518" s="31" t="str">
        <f t="shared" si="2081"/>
        <v>Sembilan Belas</v>
      </c>
    </row>
    <row r="21519" spans="1:12">
      <c r="A21519" s="31" t="s">
        <v>69</v>
      </c>
      <c r="B21519" s="39" t="e">
        <f>TRUNC(A21497/100000000)</f>
        <v>#REF!</v>
      </c>
      <c r="C21519" s="31" t="e">
        <f>B21519*100000000</f>
        <v>#REF!</v>
      </c>
      <c r="D21519" s="31" t="e">
        <f>IF(B21519&lt;1,"",IF(B21519=1,"",VLOOKUP(B21519,$J$3:$L$102,3)))</f>
        <v>#REF!</v>
      </c>
      <c r="E21519" s="31" t="e">
        <f>IF(B21519&lt;1,"",IF(B21519=1,"Seratus "," Ratus "))</f>
        <v>#REF!</v>
      </c>
      <c r="J21519" s="31">
        <v>20</v>
      </c>
      <c r="K21519" s="33" t="s">
        <v>89</v>
      </c>
      <c r="L21519" s="31" t="s">
        <v>90</v>
      </c>
    </row>
    <row r="21520" spans="1:12">
      <c r="A21520" s="31" t="s">
        <v>72</v>
      </c>
      <c r="B21520" s="39" t="e">
        <f>TRUNC((A21497-C21519)/1000000)</f>
        <v>#REF!</v>
      </c>
      <c r="C21520" s="31" t="e">
        <f>B21520*1000000</f>
        <v>#REF!</v>
      </c>
      <c r="D21520" s="31" t="e">
        <f>IF(B21520&lt;1,"",VLOOKUP(B21520,$J$3:$L$102,3))</f>
        <v>#REF!</v>
      </c>
      <c r="E21520" s="31" t="e">
        <f>IF(B21519+B21520=0,""," Juta ")</f>
        <v>#REF!</v>
      </c>
      <c r="J21520" s="31">
        <v>21</v>
      </c>
      <c r="K21520" s="33" t="s">
        <v>91</v>
      </c>
      <c r="L21520" s="31" t="str">
        <f t="shared" ref="L21520:L21528" si="2082">$L$23&amp;" "&amp;L21500</f>
        <v>Dua Puluh Satu</v>
      </c>
    </row>
    <row r="21521" spans="1:12">
      <c r="A21521" s="31" t="s">
        <v>75</v>
      </c>
      <c r="B21521" s="39" t="e">
        <f>TRUNC((A21497-SUM(C21519:C21520))/100000)</f>
        <v>#REF!</v>
      </c>
      <c r="C21521" s="31" t="e">
        <f>B21521*100000</f>
        <v>#REF!</v>
      </c>
      <c r="D21521" s="31" t="e">
        <f>IF(B21521&lt;1,"",IF(B21521=1,"",VLOOKUP(B21521,$J$3:$L$102,3)))</f>
        <v>#REF!</v>
      </c>
      <c r="E21521" s="31" t="e">
        <f>IF(B21521&lt;1,"",IF(B21521=1," Seratus "," Ratus "))</f>
        <v>#REF!</v>
      </c>
      <c r="J21521" s="31">
        <v>22</v>
      </c>
      <c r="K21521" s="33" t="s">
        <v>92</v>
      </c>
      <c r="L21521" s="31" t="str">
        <f t="shared" si="2082"/>
        <v>Dua Puluh Dua</v>
      </c>
    </row>
    <row r="21522" spans="1:12">
      <c r="A21522" s="33" t="s">
        <v>77</v>
      </c>
      <c r="B21522" s="40" t="e">
        <f>TRUNC((A21497-SUM(C21519:C21521))/1000)</f>
        <v>#REF!</v>
      </c>
      <c r="C21522" s="31" t="e">
        <f>B21522*1000</f>
        <v>#REF!</v>
      </c>
      <c r="D21522" s="31" t="e">
        <f>IF(B21522&lt;1,"",IF(B21522=1,"",VLOOKUP(B21522,$J$3:$L$102,3)))</f>
        <v>#REF!</v>
      </c>
      <c r="E21522" s="31" t="e">
        <f>IF(B21521+B21522&lt;1,"",IF(B21522=1," Seribu "," Ribu "))</f>
        <v>#REF!</v>
      </c>
      <c r="J21522" s="31">
        <v>23</v>
      </c>
      <c r="K21522" s="33" t="s">
        <v>93</v>
      </c>
      <c r="L21522" s="31" t="str">
        <f t="shared" si="2082"/>
        <v>Dua Puluh Tiga</v>
      </c>
    </row>
    <row r="21523" spans="1:12">
      <c r="A21523" s="33" t="s">
        <v>79</v>
      </c>
      <c r="B21523" s="40" t="e">
        <f>TRUNC((A21497-SUM(C21519:C21522))/100)</f>
        <v>#REF!</v>
      </c>
      <c r="C21523" s="31" t="e">
        <f>B21523*100</f>
        <v>#REF!</v>
      </c>
      <c r="D21523" s="31" t="e">
        <f>IF(B21523&lt;1,"",IF(B21523=1,"",VLOOKUP(B21523,$J$3:$L$102,3)))</f>
        <v>#REF!</v>
      </c>
      <c r="E21523" s="31" t="e">
        <f>IF(B21523&lt;1,"",IF(B21523=1," Seratus "," Ratus "))</f>
        <v>#REF!</v>
      </c>
      <c r="J21523" s="31">
        <v>24</v>
      </c>
      <c r="K21523" s="33" t="s">
        <v>94</v>
      </c>
      <c r="L21523" s="31" t="str">
        <f t="shared" si="2082"/>
        <v>Dua Puluh Empat</v>
      </c>
    </row>
    <row r="21524" spans="1:12">
      <c r="A21524" s="33" t="s">
        <v>81</v>
      </c>
      <c r="B21524" s="41" t="e">
        <f>TRUNC((A21497-SUM(C21519:C21523)))</f>
        <v>#REF!</v>
      </c>
      <c r="C21524" s="42" t="e">
        <f>B21524</f>
        <v>#REF!</v>
      </c>
      <c r="D21524" s="31" t="e">
        <f>IF(B21524&lt;1,"",VLOOKUP(B21524,$J$3:$L$102,3))</f>
        <v>#REF!</v>
      </c>
      <c r="E21524" s="31" t="e">
        <f>IF(SUM(C21519:C21524)&lt;1,"",IF(B21525&lt;1,""," Dan "))</f>
        <v>#REF!</v>
      </c>
      <c r="J21524" s="31">
        <v>25</v>
      </c>
      <c r="K21524" s="33" t="s">
        <v>95</v>
      </c>
      <c r="L21524" s="31" t="str">
        <f t="shared" si="2082"/>
        <v>Dua Puluh Lima</v>
      </c>
    </row>
    <row r="21525" spans="1:12">
      <c r="A21525" s="33" t="s">
        <v>83</v>
      </c>
      <c r="B21525" s="40" t="e">
        <f>ROUND(A21497-SUM(C21519:C21524),2)*100</f>
        <v>#REF!</v>
      </c>
      <c r="D21525" s="31" t="e">
        <f>IF(B21525&lt;1,"",VLOOKUP(B21525,$J$3:$L$102,3))</f>
        <v>#REF!</v>
      </c>
      <c r="E21525" s="31" t="e">
        <f>IF(B21525&lt;1,""," Sen ")</f>
        <v>#REF!</v>
      </c>
      <c r="J21525" s="31">
        <v>26</v>
      </c>
      <c r="K21525" s="33" t="s">
        <v>96</v>
      </c>
      <c r="L21525" s="31" t="str">
        <f t="shared" si="2082"/>
        <v>Dua Puluh Enam</v>
      </c>
    </row>
    <row r="21526" spans="1:12">
      <c r="J21526" s="31">
        <v>27</v>
      </c>
      <c r="K21526" s="33" t="s">
        <v>97</v>
      </c>
      <c r="L21526" s="31" t="str">
        <f t="shared" si="2082"/>
        <v>Dua Puluh Tujuh</v>
      </c>
    </row>
    <row r="21527" spans="1:12">
      <c r="J21527" s="31">
        <v>28</v>
      </c>
      <c r="K21527" s="33" t="s">
        <v>98</v>
      </c>
      <c r="L21527" s="31" t="str">
        <f t="shared" si="2082"/>
        <v>Dua Puluh Delapan</v>
      </c>
    </row>
    <row r="21528" spans="1:12">
      <c r="J21528" s="31">
        <v>29</v>
      </c>
      <c r="K21528" s="33" t="s">
        <v>99</v>
      </c>
      <c r="L21528" s="31" t="str">
        <f t="shared" si="2082"/>
        <v>Dua Puluh Sembilan</v>
      </c>
    </row>
    <row r="21529" spans="1:12">
      <c r="J21529" s="31">
        <v>30</v>
      </c>
      <c r="K21529" s="33" t="s">
        <v>100</v>
      </c>
      <c r="L21529" s="31" t="s">
        <v>101</v>
      </c>
    </row>
    <row r="21530" spans="1:12">
      <c r="J21530" s="31">
        <v>31</v>
      </c>
      <c r="K21530" s="33" t="s">
        <v>102</v>
      </c>
      <c r="L21530" s="31" t="str">
        <f t="shared" ref="L21530:L21538" si="2083">$L$33&amp;" "&amp;L21500</f>
        <v>Tiga Puluh Satu</v>
      </c>
    </row>
    <row r="21531" spans="1:12">
      <c r="J21531" s="31">
        <v>32</v>
      </c>
      <c r="K21531" s="33" t="s">
        <v>103</v>
      </c>
      <c r="L21531" s="31" t="str">
        <f t="shared" si="2083"/>
        <v>Tiga Puluh Dua</v>
      </c>
    </row>
    <row r="21532" spans="1:12">
      <c r="J21532" s="31">
        <v>33</v>
      </c>
      <c r="K21532" s="33" t="s">
        <v>104</v>
      </c>
      <c r="L21532" s="31" t="str">
        <f t="shared" si="2083"/>
        <v>Tiga Puluh Tiga</v>
      </c>
    </row>
    <row r="21533" spans="1:12">
      <c r="J21533" s="31">
        <v>34</v>
      </c>
      <c r="K21533" s="33" t="s">
        <v>105</v>
      </c>
      <c r="L21533" s="31" t="str">
        <f t="shared" si="2083"/>
        <v>Tiga Puluh Empat</v>
      </c>
    </row>
    <row r="21534" spans="1:12">
      <c r="J21534" s="31">
        <v>35</v>
      </c>
      <c r="K21534" s="33" t="s">
        <v>106</v>
      </c>
      <c r="L21534" s="31" t="str">
        <f t="shared" si="2083"/>
        <v>Tiga Puluh Lima</v>
      </c>
    </row>
    <row r="21535" spans="1:12">
      <c r="J21535" s="31">
        <v>36</v>
      </c>
      <c r="K21535" s="33" t="s">
        <v>107</v>
      </c>
      <c r="L21535" s="31" t="str">
        <f t="shared" si="2083"/>
        <v>Tiga Puluh Enam</v>
      </c>
    </row>
    <row r="21536" spans="1:12">
      <c r="J21536" s="31">
        <v>37</v>
      </c>
      <c r="K21536" s="33" t="s">
        <v>108</v>
      </c>
      <c r="L21536" s="31" t="str">
        <f t="shared" si="2083"/>
        <v>Tiga Puluh Tujuh</v>
      </c>
    </row>
    <row r="21537" spans="1:12">
      <c r="J21537" s="31">
        <v>38</v>
      </c>
      <c r="K21537" s="33" t="s">
        <v>109</v>
      </c>
      <c r="L21537" s="31" t="str">
        <f t="shared" si="2083"/>
        <v>Tiga Puluh Delapan</v>
      </c>
    </row>
    <row r="21538" spans="1:12">
      <c r="J21538" s="31">
        <v>39</v>
      </c>
      <c r="K21538" s="33" t="s">
        <v>110</v>
      </c>
      <c r="L21538" s="31" t="str">
        <f t="shared" si="2083"/>
        <v>Tiga Puluh Sembilan</v>
      </c>
    </row>
    <row r="21539" spans="1:12">
      <c r="B21539" s="35"/>
      <c r="C21539" s="35"/>
      <c r="D21539" s="35"/>
      <c r="J21539" s="31">
        <v>40</v>
      </c>
      <c r="K21539" s="33" t="s">
        <v>111</v>
      </c>
      <c r="L21539" s="31" t="s">
        <v>112</v>
      </c>
    </row>
    <row r="21540" spans="1:12">
      <c r="A21540" s="35"/>
      <c r="B21540" s="35"/>
      <c r="C21540" s="35"/>
      <c r="D21540" s="35"/>
      <c r="J21540" s="31">
        <v>41</v>
      </c>
      <c r="K21540" s="33" t="s">
        <v>113</v>
      </c>
      <c r="L21540" s="31" t="str">
        <f t="shared" ref="L21540:L21548" si="2084">$L$43&amp;" "&amp;L21500</f>
        <v>Empat Puluh Satu</v>
      </c>
    </row>
    <row r="21541" spans="1:12">
      <c r="J21541" s="31">
        <v>42</v>
      </c>
      <c r="K21541" s="33" t="s">
        <v>114</v>
      </c>
      <c r="L21541" s="31" t="str">
        <f t="shared" si="2084"/>
        <v>Empat Puluh Dua</v>
      </c>
    </row>
    <row r="21542" spans="1:12">
      <c r="A21542" s="38"/>
      <c r="J21542" s="31">
        <v>43</v>
      </c>
      <c r="K21542" s="33" t="s">
        <v>115</v>
      </c>
      <c r="L21542" s="31" t="str">
        <f t="shared" si="2084"/>
        <v>Empat Puluh Tiga</v>
      </c>
    </row>
    <row r="21543" spans="1:12">
      <c r="J21543" s="31">
        <v>44</v>
      </c>
      <c r="K21543" s="33" t="s">
        <v>116</v>
      </c>
      <c r="L21543" s="31" t="str">
        <f t="shared" si="2084"/>
        <v>Empat Puluh Empat</v>
      </c>
    </row>
    <row r="21544" spans="1:12">
      <c r="J21544" s="31">
        <v>45</v>
      </c>
      <c r="K21544" s="33" t="s">
        <v>117</v>
      </c>
      <c r="L21544" s="31" t="str">
        <f t="shared" si="2084"/>
        <v>Empat Puluh Lima</v>
      </c>
    </row>
    <row r="21545" spans="1:12">
      <c r="J21545" s="31">
        <v>46</v>
      </c>
      <c r="K21545" s="33" t="s">
        <v>118</v>
      </c>
      <c r="L21545" s="31" t="str">
        <f t="shared" si="2084"/>
        <v>Empat Puluh Enam</v>
      </c>
    </row>
    <row r="21546" spans="1:12">
      <c r="J21546" s="31">
        <v>47</v>
      </c>
      <c r="K21546" s="33" t="s">
        <v>119</v>
      </c>
      <c r="L21546" s="31" t="str">
        <f t="shared" si="2084"/>
        <v>Empat Puluh Tujuh</v>
      </c>
    </row>
    <row r="21547" spans="1:12">
      <c r="J21547" s="31">
        <v>48</v>
      </c>
      <c r="K21547" s="33" t="s">
        <v>120</v>
      </c>
      <c r="L21547" s="31" t="str">
        <f t="shared" si="2084"/>
        <v>Empat Puluh Delapan</v>
      </c>
    </row>
    <row r="21548" spans="1:12">
      <c r="J21548" s="31">
        <v>49</v>
      </c>
      <c r="K21548" s="33" t="s">
        <v>121</v>
      </c>
      <c r="L21548" s="31" t="str">
        <f t="shared" si="2084"/>
        <v>Empat Puluh Sembilan</v>
      </c>
    </row>
    <row r="21549" spans="1:12">
      <c r="J21549" s="31">
        <v>50</v>
      </c>
      <c r="K21549" s="33" t="s">
        <v>122</v>
      </c>
      <c r="L21549" s="31" t="s">
        <v>123</v>
      </c>
    </row>
    <row r="21550" spans="1:12">
      <c r="J21550" s="31">
        <v>51</v>
      </c>
      <c r="K21550" s="33" t="s">
        <v>124</v>
      </c>
      <c r="L21550" s="31" t="str">
        <f t="shared" ref="L21550:L21558" si="2085">$L$53&amp;" "&amp;L21500</f>
        <v>Lima Puluh Satu</v>
      </c>
    </row>
    <row r="21551" spans="1:12">
      <c r="J21551" s="31">
        <v>52</v>
      </c>
      <c r="K21551" s="33" t="s">
        <v>125</v>
      </c>
      <c r="L21551" s="31" t="str">
        <f t="shared" si="2085"/>
        <v>Lima Puluh Dua</v>
      </c>
    </row>
    <row r="21552" spans="1:12">
      <c r="J21552" s="31">
        <v>53</v>
      </c>
      <c r="K21552" s="33" t="s">
        <v>126</v>
      </c>
      <c r="L21552" s="31" t="str">
        <f t="shared" si="2085"/>
        <v>Lima Puluh Tiga</v>
      </c>
    </row>
    <row r="21553" spans="10:12">
      <c r="J21553" s="31">
        <v>54</v>
      </c>
      <c r="K21553" s="33" t="s">
        <v>127</v>
      </c>
      <c r="L21553" s="31" t="str">
        <f t="shared" si="2085"/>
        <v>Lima Puluh Empat</v>
      </c>
    </row>
    <row r="21554" spans="10:12">
      <c r="J21554" s="31">
        <v>55</v>
      </c>
      <c r="K21554" s="33" t="s">
        <v>128</v>
      </c>
      <c r="L21554" s="31" t="str">
        <f t="shared" si="2085"/>
        <v>Lima Puluh Lima</v>
      </c>
    </row>
    <row r="21555" spans="10:12">
      <c r="J21555" s="31">
        <v>56</v>
      </c>
      <c r="K21555" s="33" t="s">
        <v>129</v>
      </c>
      <c r="L21555" s="31" t="str">
        <f t="shared" si="2085"/>
        <v>Lima Puluh Enam</v>
      </c>
    </row>
    <row r="21556" spans="10:12">
      <c r="J21556" s="31">
        <v>57</v>
      </c>
      <c r="K21556" s="33" t="s">
        <v>130</v>
      </c>
      <c r="L21556" s="31" t="str">
        <f t="shared" si="2085"/>
        <v>Lima Puluh Tujuh</v>
      </c>
    </row>
    <row r="21557" spans="10:12">
      <c r="J21557" s="31">
        <v>58</v>
      </c>
      <c r="K21557" s="33" t="s">
        <v>131</v>
      </c>
      <c r="L21557" s="31" t="str">
        <f t="shared" si="2085"/>
        <v>Lima Puluh Delapan</v>
      </c>
    </row>
    <row r="21558" spans="10:12">
      <c r="J21558" s="31">
        <v>59</v>
      </c>
      <c r="K21558" s="33" t="s">
        <v>132</v>
      </c>
      <c r="L21558" s="31" t="str">
        <f t="shared" si="2085"/>
        <v>Lima Puluh Sembilan</v>
      </c>
    </row>
    <row r="21559" spans="10:12">
      <c r="J21559" s="31">
        <v>60</v>
      </c>
      <c r="K21559" s="33" t="s">
        <v>133</v>
      </c>
      <c r="L21559" s="31" t="s">
        <v>134</v>
      </c>
    </row>
    <row r="21560" spans="10:12">
      <c r="J21560" s="31">
        <v>61</v>
      </c>
      <c r="K21560" s="33" t="s">
        <v>135</v>
      </c>
      <c r="L21560" s="31" t="str">
        <f t="shared" ref="L21560:L21568" si="2086">$L$63&amp;" "&amp;L21500</f>
        <v>Enam Puluh Satu</v>
      </c>
    </row>
    <row r="21561" spans="10:12">
      <c r="J21561" s="31">
        <v>62</v>
      </c>
      <c r="K21561" s="33" t="s">
        <v>136</v>
      </c>
      <c r="L21561" s="31" t="str">
        <f t="shared" si="2086"/>
        <v>Enam Puluh Dua</v>
      </c>
    </row>
    <row r="21562" spans="10:12">
      <c r="J21562" s="31">
        <v>63</v>
      </c>
      <c r="K21562" s="33" t="s">
        <v>137</v>
      </c>
      <c r="L21562" s="31" t="str">
        <f t="shared" si="2086"/>
        <v>Enam Puluh Tiga</v>
      </c>
    </row>
    <row r="21563" spans="10:12">
      <c r="J21563" s="31">
        <v>64</v>
      </c>
      <c r="K21563" s="33" t="s">
        <v>138</v>
      </c>
      <c r="L21563" s="31" t="str">
        <f t="shared" si="2086"/>
        <v>Enam Puluh Empat</v>
      </c>
    </row>
    <row r="21564" spans="10:12">
      <c r="J21564" s="31">
        <v>65</v>
      </c>
      <c r="K21564" s="33" t="s">
        <v>139</v>
      </c>
      <c r="L21564" s="31" t="str">
        <f t="shared" si="2086"/>
        <v>Enam Puluh Lima</v>
      </c>
    </row>
    <row r="21565" spans="10:12">
      <c r="J21565" s="31">
        <v>66</v>
      </c>
      <c r="K21565" s="33" t="s">
        <v>140</v>
      </c>
      <c r="L21565" s="31" t="str">
        <f t="shared" si="2086"/>
        <v>Enam Puluh Enam</v>
      </c>
    </row>
    <row r="21566" spans="10:12">
      <c r="J21566" s="31">
        <v>67</v>
      </c>
      <c r="K21566" s="33" t="s">
        <v>141</v>
      </c>
      <c r="L21566" s="31" t="str">
        <f t="shared" si="2086"/>
        <v>Enam Puluh Tujuh</v>
      </c>
    </row>
    <row r="21567" spans="10:12">
      <c r="J21567" s="31">
        <v>68</v>
      </c>
      <c r="K21567" s="33" t="s">
        <v>142</v>
      </c>
      <c r="L21567" s="31" t="str">
        <f t="shared" si="2086"/>
        <v>Enam Puluh Delapan</v>
      </c>
    </row>
    <row r="21568" spans="10:12">
      <c r="J21568" s="31">
        <v>69</v>
      </c>
      <c r="K21568" s="33" t="s">
        <v>143</v>
      </c>
      <c r="L21568" s="31" t="str">
        <f t="shared" si="2086"/>
        <v>Enam Puluh Sembilan</v>
      </c>
    </row>
    <row r="21569" spans="10:12">
      <c r="J21569" s="31">
        <v>70</v>
      </c>
      <c r="K21569" s="33" t="s">
        <v>144</v>
      </c>
      <c r="L21569" s="31" t="s">
        <v>145</v>
      </c>
    </row>
    <row r="21570" spans="10:12">
      <c r="J21570" s="31">
        <v>71</v>
      </c>
      <c r="K21570" s="33" t="s">
        <v>146</v>
      </c>
      <c r="L21570" s="31" t="str">
        <f t="shared" ref="L21570:L21578" si="2087">$L$73&amp;" "&amp;L21500</f>
        <v>Tujuh Puluh Satu</v>
      </c>
    </row>
    <row r="21571" spans="10:12">
      <c r="J21571" s="31">
        <v>72</v>
      </c>
      <c r="K21571" s="33" t="s">
        <v>147</v>
      </c>
      <c r="L21571" s="31" t="str">
        <f t="shared" si="2087"/>
        <v>Tujuh Puluh Dua</v>
      </c>
    </row>
    <row r="21572" spans="10:12">
      <c r="J21572" s="31">
        <v>73</v>
      </c>
      <c r="K21572" s="33" t="s">
        <v>148</v>
      </c>
      <c r="L21572" s="31" t="str">
        <f t="shared" si="2087"/>
        <v>Tujuh Puluh Tiga</v>
      </c>
    </row>
    <row r="21573" spans="10:12">
      <c r="J21573" s="31">
        <v>74</v>
      </c>
      <c r="K21573" s="33" t="s">
        <v>149</v>
      </c>
      <c r="L21573" s="31" t="str">
        <f t="shared" si="2087"/>
        <v>Tujuh Puluh Empat</v>
      </c>
    </row>
    <row r="21574" spans="10:12">
      <c r="J21574" s="31">
        <v>75</v>
      </c>
      <c r="K21574" s="33" t="s">
        <v>150</v>
      </c>
      <c r="L21574" s="31" t="str">
        <f t="shared" si="2087"/>
        <v>Tujuh Puluh Lima</v>
      </c>
    </row>
    <row r="21575" spans="10:12">
      <c r="J21575" s="31">
        <v>76</v>
      </c>
      <c r="K21575" s="33" t="s">
        <v>151</v>
      </c>
      <c r="L21575" s="31" t="str">
        <f t="shared" si="2087"/>
        <v>Tujuh Puluh Enam</v>
      </c>
    </row>
    <row r="21576" spans="10:12">
      <c r="J21576" s="31">
        <v>77</v>
      </c>
      <c r="K21576" s="33" t="s">
        <v>152</v>
      </c>
      <c r="L21576" s="31" t="str">
        <f t="shared" si="2087"/>
        <v>Tujuh Puluh Tujuh</v>
      </c>
    </row>
    <row r="21577" spans="10:12">
      <c r="J21577" s="31">
        <v>78</v>
      </c>
      <c r="K21577" s="33" t="s">
        <v>153</v>
      </c>
      <c r="L21577" s="31" t="str">
        <f t="shared" si="2087"/>
        <v>Tujuh Puluh Delapan</v>
      </c>
    </row>
    <row r="21578" spans="10:12">
      <c r="J21578" s="31">
        <v>79</v>
      </c>
      <c r="K21578" s="33" t="s">
        <v>154</v>
      </c>
      <c r="L21578" s="31" t="str">
        <f t="shared" si="2087"/>
        <v>Tujuh Puluh Sembilan</v>
      </c>
    </row>
    <row r="21579" spans="10:12">
      <c r="J21579" s="31">
        <v>80</v>
      </c>
      <c r="K21579" s="33" t="s">
        <v>155</v>
      </c>
      <c r="L21579" s="31" t="s">
        <v>156</v>
      </c>
    </row>
    <row r="21580" spans="10:12">
      <c r="J21580" s="31">
        <v>81</v>
      </c>
      <c r="K21580" s="33" t="s">
        <v>157</v>
      </c>
      <c r="L21580" s="31" t="str">
        <f t="shared" ref="L21580:L21588" si="2088">$L$83&amp;" "&amp;L21500</f>
        <v>Delapan Puluh Satu</v>
      </c>
    </row>
    <row r="21581" spans="10:12">
      <c r="J21581" s="31">
        <v>82</v>
      </c>
      <c r="K21581" s="33" t="s">
        <v>158</v>
      </c>
      <c r="L21581" s="31" t="str">
        <f t="shared" si="2088"/>
        <v>Delapan Puluh Dua</v>
      </c>
    </row>
    <row r="21582" spans="10:12">
      <c r="J21582" s="31">
        <v>83</v>
      </c>
      <c r="K21582" s="33" t="s">
        <v>159</v>
      </c>
      <c r="L21582" s="31" t="str">
        <f t="shared" si="2088"/>
        <v>Delapan Puluh Tiga</v>
      </c>
    </row>
    <row r="21583" spans="10:12">
      <c r="J21583" s="31">
        <v>84</v>
      </c>
      <c r="K21583" s="33" t="s">
        <v>160</v>
      </c>
      <c r="L21583" s="31" t="str">
        <f t="shared" si="2088"/>
        <v>Delapan Puluh Empat</v>
      </c>
    </row>
    <row r="21584" spans="10:12">
      <c r="J21584" s="31">
        <v>85</v>
      </c>
      <c r="K21584" s="33" t="s">
        <v>161</v>
      </c>
      <c r="L21584" s="31" t="str">
        <f t="shared" si="2088"/>
        <v>Delapan Puluh Lima</v>
      </c>
    </row>
    <row r="21585" spans="1:12">
      <c r="J21585" s="31">
        <v>86</v>
      </c>
      <c r="K21585" s="33" t="s">
        <v>162</v>
      </c>
      <c r="L21585" s="31" t="str">
        <f t="shared" si="2088"/>
        <v>Delapan Puluh Enam</v>
      </c>
    </row>
    <row r="21586" spans="1:12">
      <c r="J21586" s="31">
        <v>87</v>
      </c>
      <c r="K21586" s="33" t="s">
        <v>163</v>
      </c>
      <c r="L21586" s="31" t="str">
        <f t="shared" si="2088"/>
        <v>Delapan Puluh Tujuh</v>
      </c>
    </row>
    <row r="21587" spans="1:12">
      <c r="J21587" s="31">
        <v>88</v>
      </c>
      <c r="K21587" s="33" t="s">
        <v>164</v>
      </c>
      <c r="L21587" s="31" t="str">
        <f t="shared" si="2088"/>
        <v>Delapan Puluh Delapan</v>
      </c>
    </row>
    <row r="21588" spans="1:12">
      <c r="J21588" s="31">
        <v>89</v>
      </c>
      <c r="K21588" s="33" t="s">
        <v>165</v>
      </c>
      <c r="L21588" s="31" t="str">
        <f t="shared" si="2088"/>
        <v>Delapan Puluh Sembilan</v>
      </c>
    </row>
    <row r="21589" spans="1:12">
      <c r="J21589" s="31">
        <v>90</v>
      </c>
      <c r="K21589" s="33" t="s">
        <v>166</v>
      </c>
      <c r="L21589" s="31" t="s">
        <v>167</v>
      </c>
    </row>
    <row r="21590" spans="1:12">
      <c r="J21590" s="31">
        <v>91</v>
      </c>
      <c r="K21590" s="33" t="s">
        <v>168</v>
      </c>
      <c r="L21590" s="31" t="str">
        <f t="shared" ref="L21590:L21598" si="2089">$L$93&amp;" "&amp;L21500</f>
        <v>Sembilan Puluh Satu</v>
      </c>
    </row>
    <row r="21591" spans="1:12">
      <c r="J21591" s="31">
        <v>92</v>
      </c>
      <c r="K21591" s="33" t="s">
        <v>169</v>
      </c>
      <c r="L21591" s="31" t="str">
        <f t="shared" si="2089"/>
        <v>Sembilan Puluh Dua</v>
      </c>
    </row>
    <row r="21592" spans="1:12">
      <c r="J21592" s="31">
        <v>93</v>
      </c>
      <c r="K21592" s="33" t="s">
        <v>170</v>
      </c>
      <c r="L21592" s="31" t="str">
        <f t="shared" si="2089"/>
        <v>Sembilan Puluh Tiga</v>
      </c>
    </row>
    <row r="21593" spans="1:12">
      <c r="J21593" s="31">
        <v>94</v>
      </c>
      <c r="K21593" s="33" t="s">
        <v>171</v>
      </c>
      <c r="L21593" s="31" t="str">
        <f t="shared" si="2089"/>
        <v>Sembilan Puluh Empat</v>
      </c>
    </row>
    <row r="21594" spans="1:12">
      <c r="J21594" s="31">
        <v>95</v>
      </c>
      <c r="K21594" s="33" t="s">
        <v>172</v>
      </c>
      <c r="L21594" s="31" t="str">
        <f t="shared" si="2089"/>
        <v>Sembilan Puluh Lima</v>
      </c>
    </row>
    <row r="21595" spans="1:12">
      <c r="J21595" s="31">
        <v>96</v>
      </c>
      <c r="K21595" s="33" t="s">
        <v>173</v>
      </c>
      <c r="L21595" s="31" t="str">
        <f t="shared" si="2089"/>
        <v>Sembilan Puluh Enam</v>
      </c>
    </row>
    <row r="21596" spans="1:12">
      <c r="J21596" s="31">
        <v>97</v>
      </c>
      <c r="K21596" s="33" t="s">
        <v>174</v>
      </c>
      <c r="L21596" s="31" t="str">
        <f t="shared" si="2089"/>
        <v>Sembilan Puluh Tujuh</v>
      </c>
    </row>
    <row r="21597" spans="1:12">
      <c r="J21597" s="31">
        <v>98</v>
      </c>
      <c r="K21597" s="33" t="s">
        <v>175</v>
      </c>
      <c r="L21597" s="31" t="str">
        <f t="shared" si="2089"/>
        <v>Sembilan Puluh Delapan</v>
      </c>
    </row>
    <row r="21598" spans="1:12">
      <c r="J21598" s="31">
        <v>99</v>
      </c>
      <c r="K21598" s="33" t="s">
        <v>176</v>
      </c>
      <c r="L21598" s="31" t="str">
        <f t="shared" si="2089"/>
        <v>Sembilan Puluh Sembilan</v>
      </c>
    </row>
    <row r="21600" spans="1:12">
      <c r="A21600" s="30" t="e">
        <f>#REF!</f>
        <v>#REF!</v>
      </c>
      <c r="C21600" s="31" t="s">
        <v>465</v>
      </c>
    </row>
    <row r="21601" spans="1:12">
      <c r="A21601" s="32"/>
    </row>
    <row r="21602" spans="1:12">
      <c r="J21602" s="31">
        <v>0</v>
      </c>
      <c r="K21602" s="33" t="s">
        <v>48</v>
      </c>
      <c r="L21602" s="31" t="s">
        <v>49</v>
      </c>
    </row>
    <row r="21603" spans="1:12">
      <c r="A21603" s="34"/>
      <c r="J21603" s="31">
        <v>1</v>
      </c>
      <c r="K21603" s="33" t="s">
        <v>50</v>
      </c>
      <c r="L21603" s="31" t="s">
        <v>51</v>
      </c>
    </row>
    <row r="21604" spans="1:12">
      <c r="A21604" s="255" t="e">
        <f>TRIM(D21612&amp;E21612&amp;D21613&amp;E21613&amp;D21614&amp;E21614&amp;D21615&amp;E21615&amp;D21616&amp;E21616&amp;D21617&amp;E21617&amp;E21618&amp;D21618&amp;" Only")</f>
        <v>#REF!</v>
      </c>
      <c r="B21604" s="255"/>
      <c r="C21604" s="255"/>
      <c r="D21604" s="255"/>
      <c r="E21604" s="35"/>
      <c r="F21604" s="36"/>
      <c r="J21604" s="31">
        <v>2</v>
      </c>
      <c r="K21604" s="33" t="s">
        <v>52</v>
      </c>
      <c r="L21604" s="31" t="s">
        <v>53</v>
      </c>
    </row>
    <row r="21605" spans="1:12">
      <c r="A21605" s="197"/>
      <c r="B21605" s="197"/>
      <c r="C21605" s="197"/>
      <c r="D21605" s="197"/>
      <c r="E21605" s="35"/>
      <c r="F21605" s="36"/>
      <c r="J21605" s="31">
        <v>3</v>
      </c>
      <c r="K21605" s="33" t="s">
        <v>54</v>
      </c>
      <c r="L21605" s="31" t="s">
        <v>55</v>
      </c>
    </row>
    <row r="21606" spans="1:12">
      <c r="A21606" s="197"/>
      <c r="B21606" s="197"/>
      <c r="C21606" s="197"/>
      <c r="D21606" s="197"/>
      <c r="J21606" s="31">
        <v>4</v>
      </c>
      <c r="K21606" s="33" t="s">
        <v>56</v>
      </c>
      <c r="L21606" s="31" t="s">
        <v>57</v>
      </c>
    </row>
    <row r="21607" spans="1:12">
      <c r="A21607" s="255" t="e">
        <f>TRIM(D21622&amp;E21622&amp;D21623&amp;E21623&amp;D21624&amp;E21624&amp;D21625&amp;E21625&amp;D21626&amp;E21626&amp;D21627&amp;E21627&amp;D21628&amp;E21628&amp;" Rupiah")</f>
        <v>#REF!</v>
      </c>
      <c r="B21607" s="255"/>
      <c r="C21607" s="255"/>
      <c r="D21607" s="255"/>
      <c r="E21607" s="35"/>
      <c r="F21607" s="36"/>
      <c r="J21607" s="31">
        <v>5</v>
      </c>
      <c r="K21607" s="33" t="s">
        <v>58</v>
      </c>
      <c r="L21607" s="31" t="s">
        <v>59</v>
      </c>
    </row>
    <row r="21608" spans="1:12">
      <c r="A21608" s="35"/>
      <c r="B21608" s="35"/>
      <c r="C21608" s="35"/>
      <c r="D21608" s="35"/>
      <c r="E21608" s="35"/>
      <c r="F21608" s="36"/>
      <c r="J21608" s="31">
        <v>6</v>
      </c>
      <c r="K21608" s="33" t="s">
        <v>60</v>
      </c>
      <c r="L21608" s="31" t="s">
        <v>61</v>
      </c>
    </row>
    <row r="21609" spans="1:12">
      <c r="J21609" s="31">
        <v>7</v>
      </c>
      <c r="K21609" s="33" t="s">
        <v>62</v>
      </c>
      <c r="L21609" s="31" t="s">
        <v>63</v>
      </c>
    </row>
    <row r="21610" spans="1:12">
      <c r="J21610" s="31">
        <v>8</v>
      </c>
      <c r="K21610" s="33" t="s">
        <v>64</v>
      </c>
      <c r="L21610" s="31" t="s">
        <v>65</v>
      </c>
    </row>
    <row r="21611" spans="1:12">
      <c r="A21611" s="38" t="s">
        <v>66</v>
      </c>
      <c r="J21611" s="31">
        <v>9</v>
      </c>
      <c r="K21611" s="33" t="s">
        <v>67</v>
      </c>
      <c r="L21611" s="31" t="s">
        <v>68</v>
      </c>
    </row>
    <row r="21612" spans="1:12">
      <c r="A21612" s="31" t="s">
        <v>69</v>
      </c>
      <c r="B21612" s="39" t="e">
        <f>TRUNC(A21600/100000000)</f>
        <v>#REF!</v>
      </c>
      <c r="C21612" s="31" t="e">
        <f>B21612*100000000</f>
        <v>#REF!</v>
      </c>
      <c r="D21612" s="31" t="e">
        <f t="shared" ref="D21612:D21618" si="2090">IF(B21612&lt;1,"",VLOOKUP(B21612,$J$3:$K$102,2))</f>
        <v>#REF!</v>
      </c>
      <c r="E21612" s="31" t="e">
        <f>IF(B21612&lt;1,"",IF(B21612&gt;1," Hundreds "," Hundred "))</f>
        <v>#REF!</v>
      </c>
      <c r="J21612" s="31">
        <v>10</v>
      </c>
      <c r="K21612" s="33" t="s">
        <v>70</v>
      </c>
      <c r="L21612" s="31" t="s">
        <v>71</v>
      </c>
    </row>
    <row r="21613" spans="1:12">
      <c r="A21613" s="31" t="s">
        <v>72</v>
      </c>
      <c r="B21613" s="39" t="e">
        <f>TRUNC((A21600-C21612)/1000000)</f>
        <v>#REF!</v>
      </c>
      <c r="C21613" s="31" t="e">
        <f>B21613*1000000</f>
        <v>#REF!</v>
      </c>
      <c r="D21613" s="31" t="e">
        <f t="shared" si="2090"/>
        <v>#REF!</v>
      </c>
      <c r="E21613" s="31" t="e">
        <f>IF(B21612+B21613=0,"",IF(B21613=1," Million "," Millions "))</f>
        <v>#REF!</v>
      </c>
      <c r="J21613" s="31">
        <v>11</v>
      </c>
      <c r="K21613" s="33" t="s">
        <v>73</v>
      </c>
      <c r="L21613" s="31" t="s">
        <v>74</v>
      </c>
    </row>
    <row r="21614" spans="1:12">
      <c r="A21614" s="31" t="s">
        <v>75</v>
      </c>
      <c r="B21614" s="39" t="e">
        <f>TRUNC((A21600-SUM(C21612:C21613))/100000)</f>
        <v>#REF!</v>
      </c>
      <c r="C21614" s="31" t="e">
        <f>B21614*100000</f>
        <v>#REF!</v>
      </c>
      <c r="D21614" s="31" t="e">
        <f t="shared" si="2090"/>
        <v>#REF!</v>
      </c>
      <c r="E21614" s="31" t="e">
        <f>IF(B21614&lt;1,"",IF(B21614&gt;1," Hundreds "," Hundred "))</f>
        <v>#REF!</v>
      </c>
      <c r="J21614" s="31">
        <v>12</v>
      </c>
      <c r="K21614" s="33" t="s">
        <v>76</v>
      </c>
      <c r="L21614" s="31" t="str">
        <f t="shared" ref="L21614:L21621" si="2091">L21604&amp;" Belas"</f>
        <v>Dua Belas</v>
      </c>
    </row>
    <row r="21615" spans="1:12">
      <c r="A21615" s="33" t="s">
        <v>77</v>
      </c>
      <c r="B21615" s="40" t="e">
        <f>TRUNC((A21600-SUM(C21612:C21614))/1000)</f>
        <v>#REF!</v>
      </c>
      <c r="C21615" s="31" t="e">
        <f>B21615*1000</f>
        <v>#REF!</v>
      </c>
      <c r="D21615" s="31" t="e">
        <f t="shared" si="2090"/>
        <v>#REF!</v>
      </c>
      <c r="E21615" s="31" t="e">
        <f>IF(B21614+B21615=0,"",IF(B21615=1," Thousand "," Thousands "))</f>
        <v>#REF!</v>
      </c>
      <c r="J21615" s="31">
        <v>13</v>
      </c>
      <c r="K21615" s="33" t="s">
        <v>78</v>
      </c>
      <c r="L21615" s="31" t="str">
        <f t="shared" si="2091"/>
        <v>Tiga Belas</v>
      </c>
    </row>
    <row r="21616" spans="1:12">
      <c r="A21616" s="33" t="s">
        <v>79</v>
      </c>
      <c r="B21616" s="40" t="e">
        <f>TRUNC((A21600-SUM(C21612:C21615))/100)</f>
        <v>#REF!</v>
      </c>
      <c r="C21616" s="31" t="e">
        <f>B21616*100</f>
        <v>#REF!</v>
      </c>
      <c r="D21616" s="31" t="e">
        <f t="shared" si="2090"/>
        <v>#REF!</v>
      </c>
      <c r="E21616" s="31" t="e">
        <f>IF(B21616&lt;1,"",IF(B21616&gt;1," Hundreds "," Hundred "))</f>
        <v>#REF!</v>
      </c>
      <c r="J21616" s="31">
        <v>14</v>
      </c>
      <c r="K21616" s="33" t="s">
        <v>80</v>
      </c>
      <c r="L21616" s="31" t="str">
        <f t="shared" si="2091"/>
        <v>Empat Belas</v>
      </c>
    </row>
    <row r="21617" spans="1:12">
      <c r="A21617" s="33" t="s">
        <v>81</v>
      </c>
      <c r="B21617" s="41" t="e">
        <f>TRUNC((A21600-SUM(C21612:C21616)))</f>
        <v>#REF!</v>
      </c>
      <c r="C21617" s="42" t="e">
        <f>B21617</f>
        <v>#REF!</v>
      </c>
      <c r="D21617" s="31" t="e">
        <f t="shared" si="2090"/>
        <v>#REF!</v>
      </c>
      <c r="E21617" s="31" t="e">
        <f>IF(SUM(C21612:C21617)&lt;1,"",IF(B21618&lt;1,""," And "))</f>
        <v>#REF!</v>
      </c>
      <c r="J21617" s="31">
        <v>15</v>
      </c>
      <c r="K21617" s="33" t="s">
        <v>82</v>
      </c>
      <c r="L21617" s="31" t="str">
        <f t="shared" si="2091"/>
        <v>Lima Belas</v>
      </c>
    </row>
    <row r="21618" spans="1:12">
      <c r="A21618" s="33" t="s">
        <v>83</v>
      </c>
      <c r="B21618" s="40" t="e">
        <f>ROUND(A21600-SUM(C21612:C21617),2)*100</f>
        <v>#REF!</v>
      </c>
      <c r="D21618" s="43" t="e">
        <f t="shared" si="2090"/>
        <v>#REF!</v>
      </c>
      <c r="E21618" s="31" t="e">
        <f>IF(B21618&lt;1,"",IF(B21618=1," Cent "," Cents "))</f>
        <v>#REF!</v>
      </c>
      <c r="J21618" s="31">
        <v>16</v>
      </c>
      <c r="K21618" s="33" t="s">
        <v>84</v>
      </c>
      <c r="L21618" s="31" t="str">
        <f t="shared" si="2091"/>
        <v>Enam Belas</v>
      </c>
    </row>
    <row r="21619" spans="1:12">
      <c r="J21619" s="31">
        <v>17</v>
      </c>
      <c r="K21619" s="33" t="s">
        <v>85</v>
      </c>
      <c r="L21619" s="31" t="str">
        <f t="shared" si="2091"/>
        <v>Tujuh Belas</v>
      </c>
    </row>
    <row r="21620" spans="1:12">
      <c r="A21620" s="44"/>
      <c r="J21620" s="31">
        <v>18</v>
      </c>
      <c r="K21620" s="33" t="s">
        <v>86</v>
      </c>
      <c r="L21620" s="31" t="str">
        <f t="shared" si="2091"/>
        <v>Delapan Belas</v>
      </c>
    </row>
    <row r="21621" spans="1:12">
      <c r="A21621" s="38" t="s">
        <v>87</v>
      </c>
      <c r="J21621" s="31">
        <v>19</v>
      </c>
      <c r="K21621" s="33" t="s">
        <v>88</v>
      </c>
      <c r="L21621" s="31" t="str">
        <f t="shared" si="2091"/>
        <v>Sembilan Belas</v>
      </c>
    </row>
    <row r="21622" spans="1:12">
      <c r="A21622" s="31" t="s">
        <v>69</v>
      </c>
      <c r="B21622" s="39" t="e">
        <f>TRUNC(A21600/100000000)</f>
        <v>#REF!</v>
      </c>
      <c r="C21622" s="31" t="e">
        <f>B21622*100000000</f>
        <v>#REF!</v>
      </c>
      <c r="D21622" s="31" t="e">
        <f>IF(B21622&lt;1,"",IF(B21622=1,"",VLOOKUP(B21622,$J$3:$L$102,3)))</f>
        <v>#REF!</v>
      </c>
      <c r="E21622" s="31" t="e">
        <f>IF(B21622&lt;1,"",IF(B21622=1,"Seratus "," Ratus "))</f>
        <v>#REF!</v>
      </c>
      <c r="J21622" s="31">
        <v>20</v>
      </c>
      <c r="K21622" s="33" t="s">
        <v>89</v>
      </c>
      <c r="L21622" s="31" t="s">
        <v>90</v>
      </c>
    </row>
    <row r="21623" spans="1:12">
      <c r="A21623" s="31" t="s">
        <v>72</v>
      </c>
      <c r="B21623" s="39" t="e">
        <f>TRUNC((A21600-C21622)/1000000)</f>
        <v>#REF!</v>
      </c>
      <c r="C21623" s="31" t="e">
        <f>B21623*1000000</f>
        <v>#REF!</v>
      </c>
      <c r="D21623" s="31" t="e">
        <f>IF(B21623&lt;1,"",VLOOKUP(B21623,$J$3:$L$102,3))</f>
        <v>#REF!</v>
      </c>
      <c r="E21623" s="31" t="e">
        <f>IF(B21622+B21623=0,""," Juta ")</f>
        <v>#REF!</v>
      </c>
      <c r="J21623" s="31">
        <v>21</v>
      </c>
      <c r="K21623" s="33" t="s">
        <v>91</v>
      </c>
      <c r="L21623" s="31" t="str">
        <f t="shared" ref="L21623:L21631" si="2092">$L$23&amp;" "&amp;L21603</f>
        <v>Dua Puluh Satu</v>
      </c>
    </row>
    <row r="21624" spans="1:12">
      <c r="A21624" s="31" t="s">
        <v>75</v>
      </c>
      <c r="B21624" s="39" t="e">
        <f>TRUNC((A21600-SUM(C21622:C21623))/100000)</f>
        <v>#REF!</v>
      </c>
      <c r="C21624" s="31" t="e">
        <f>B21624*100000</f>
        <v>#REF!</v>
      </c>
      <c r="D21624" s="31" t="e">
        <f>IF(B21624&lt;1,"",IF(B21624=1,"",VLOOKUP(B21624,$J$3:$L$102,3)))</f>
        <v>#REF!</v>
      </c>
      <c r="E21624" s="31" t="e">
        <f>IF(B21624&lt;1,"",IF(B21624=1," Seratus "," Ratus "))</f>
        <v>#REF!</v>
      </c>
      <c r="J21624" s="31">
        <v>22</v>
      </c>
      <c r="K21624" s="33" t="s">
        <v>92</v>
      </c>
      <c r="L21624" s="31" t="str">
        <f t="shared" si="2092"/>
        <v>Dua Puluh Dua</v>
      </c>
    </row>
    <row r="21625" spans="1:12">
      <c r="A21625" s="33" t="s">
        <v>77</v>
      </c>
      <c r="B21625" s="40" t="e">
        <f>TRUNC((A21600-SUM(C21622:C21624))/1000)</f>
        <v>#REF!</v>
      </c>
      <c r="C21625" s="31" t="e">
        <f>B21625*1000</f>
        <v>#REF!</v>
      </c>
      <c r="D21625" s="31" t="e">
        <f>IF(B21625&lt;1,"",IF(B21625=1,"",VLOOKUP(B21625,$J$3:$L$102,3)))</f>
        <v>#REF!</v>
      </c>
      <c r="E21625" s="31" t="e">
        <f>IF(B21624+B21625&lt;1,"",IF(B21625=1," Seribu "," Ribu "))</f>
        <v>#REF!</v>
      </c>
      <c r="J21625" s="31">
        <v>23</v>
      </c>
      <c r="K21625" s="33" t="s">
        <v>93</v>
      </c>
      <c r="L21625" s="31" t="str">
        <f t="shared" si="2092"/>
        <v>Dua Puluh Tiga</v>
      </c>
    </row>
    <row r="21626" spans="1:12">
      <c r="A21626" s="33" t="s">
        <v>79</v>
      </c>
      <c r="B21626" s="40" t="e">
        <f>TRUNC((A21600-SUM(C21622:C21625))/100)</f>
        <v>#REF!</v>
      </c>
      <c r="C21626" s="31" t="e">
        <f>B21626*100</f>
        <v>#REF!</v>
      </c>
      <c r="D21626" s="31" t="e">
        <f>IF(B21626&lt;1,"",IF(B21626=1,"",VLOOKUP(B21626,$J$3:$L$102,3)))</f>
        <v>#REF!</v>
      </c>
      <c r="E21626" s="31" t="e">
        <f>IF(B21626&lt;1,"",IF(B21626=1," Seratus "," Ratus "))</f>
        <v>#REF!</v>
      </c>
      <c r="J21626" s="31">
        <v>24</v>
      </c>
      <c r="K21626" s="33" t="s">
        <v>94</v>
      </c>
      <c r="L21626" s="31" t="str">
        <f t="shared" si="2092"/>
        <v>Dua Puluh Empat</v>
      </c>
    </row>
    <row r="21627" spans="1:12">
      <c r="A21627" s="33" t="s">
        <v>81</v>
      </c>
      <c r="B21627" s="41" t="e">
        <f>TRUNC((A21600-SUM(C21622:C21626)))</f>
        <v>#REF!</v>
      </c>
      <c r="C21627" s="42" t="e">
        <f>B21627</f>
        <v>#REF!</v>
      </c>
      <c r="D21627" s="31" t="e">
        <f>IF(B21627&lt;1,"",VLOOKUP(B21627,$J$3:$L$102,3))</f>
        <v>#REF!</v>
      </c>
      <c r="E21627" s="31" t="e">
        <f>IF(SUM(C21622:C21627)&lt;1,"",IF(B21628&lt;1,""," Dan "))</f>
        <v>#REF!</v>
      </c>
      <c r="J21627" s="31">
        <v>25</v>
      </c>
      <c r="K21627" s="33" t="s">
        <v>95</v>
      </c>
      <c r="L21627" s="31" t="str">
        <f t="shared" si="2092"/>
        <v>Dua Puluh Lima</v>
      </c>
    </row>
    <row r="21628" spans="1:12">
      <c r="A21628" s="33" t="s">
        <v>83</v>
      </c>
      <c r="B21628" s="40" t="e">
        <f>ROUND(A21600-SUM(C21622:C21627),2)*100</f>
        <v>#REF!</v>
      </c>
      <c r="D21628" s="31" t="e">
        <f>IF(B21628&lt;1,"",VLOOKUP(B21628,$J$3:$L$102,3))</f>
        <v>#REF!</v>
      </c>
      <c r="E21628" s="31" t="e">
        <f>IF(B21628&lt;1,""," Sen ")</f>
        <v>#REF!</v>
      </c>
      <c r="J21628" s="31">
        <v>26</v>
      </c>
      <c r="K21628" s="33" t="s">
        <v>96</v>
      </c>
      <c r="L21628" s="31" t="str">
        <f t="shared" si="2092"/>
        <v>Dua Puluh Enam</v>
      </c>
    </row>
    <row r="21629" spans="1:12">
      <c r="J21629" s="31">
        <v>27</v>
      </c>
      <c r="K21629" s="33" t="s">
        <v>97</v>
      </c>
      <c r="L21629" s="31" t="str">
        <f t="shared" si="2092"/>
        <v>Dua Puluh Tujuh</v>
      </c>
    </row>
    <row r="21630" spans="1:12">
      <c r="J21630" s="31">
        <v>28</v>
      </c>
      <c r="K21630" s="33" t="s">
        <v>98</v>
      </c>
      <c r="L21630" s="31" t="str">
        <f t="shared" si="2092"/>
        <v>Dua Puluh Delapan</v>
      </c>
    </row>
    <row r="21631" spans="1:12">
      <c r="J21631" s="31">
        <v>29</v>
      </c>
      <c r="K21631" s="33" t="s">
        <v>99</v>
      </c>
      <c r="L21631" s="31" t="str">
        <f t="shared" si="2092"/>
        <v>Dua Puluh Sembilan</v>
      </c>
    </row>
    <row r="21632" spans="1:12">
      <c r="J21632" s="31">
        <v>30</v>
      </c>
      <c r="K21632" s="33" t="s">
        <v>100</v>
      </c>
      <c r="L21632" s="31" t="s">
        <v>101</v>
      </c>
    </row>
    <row r="21633" spans="1:12">
      <c r="J21633" s="31">
        <v>31</v>
      </c>
      <c r="K21633" s="33" t="s">
        <v>102</v>
      </c>
      <c r="L21633" s="31" t="str">
        <f t="shared" ref="L21633:L21641" si="2093">$L$33&amp;" "&amp;L21603</f>
        <v>Tiga Puluh Satu</v>
      </c>
    </row>
    <row r="21634" spans="1:12">
      <c r="J21634" s="31">
        <v>32</v>
      </c>
      <c r="K21634" s="33" t="s">
        <v>103</v>
      </c>
      <c r="L21634" s="31" t="str">
        <f t="shared" si="2093"/>
        <v>Tiga Puluh Dua</v>
      </c>
    </row>
    <row r="21635" spans="1:12">
      <c r="J21635" s="31">
        <v>33</v>
      </c>
      <c r="K21635" s="33" t="s">
        <v>104</v>
      </c>
      <c r="L21635" s="31" t="str">
        <f t="shared" si="2093"/>
        <v>Tiga Puluh Tiga</v>
      </c>
    </row>
    <row r="21636" spans="1:12">
      <c r="J21636" s="31">
        <v>34</v>
      </c>
      <c r="K21636" s="33" t="s">
        <v>105</v>
      </c>
      <c r="L21636" s="31" t="str">
        <f t="shared" si="2093"/>
        <v>Tiga Puluh Empat</v>
      </c>
    </row>
    <row r="21637" spans="1:12">
      <c r="J21637" s="31">
        <v>35</v>
      </c>
      <c r="K21637" s="33" t="s">
        <v>106</v>
      </c>
      <c r="L21637" s="31" t="str">
        <f t="shared" si="2093"/>
        <v>Tiga Puluh Lima</v>
      </c>
    </row>
    <row r="21638" spans="1:12">
      <c r="J21638" s="31">
        <v>36</v>
      </c>
      <c r="K21638" s="33" t="s">
        <v>107</v>
      </c>
      <c r="L21638" s="31" t="str">
        <f t="shared" si="2093"/>
        <v>Tiga Puluh Enam</v>
      </c>
    </row>
    <row r="21639" spans="1:12">
      <c r="J21639" s="31">
        <v>37</v>
      </c>
      <c r="K21639" s="33" t="s">
        <v>108</v>
      </c>
      <c r="L21639" s="31" t="str">
        <f t="shared" si="2093"/>
        <v>Tiga Puluh Tujuh</v>
      </c>
    </row>
    <row r="21640" spans="1:12">
      <c r="J21640" s="31">
        <v>38</v>
      </c>
      <c r="K21640" s="33" t="s">
        <v>109</v>
      </c>
      <c r="L21640" s="31" t="str">
        <f t="shared" si="2093"/>
        <v>Tiga Puluh Delapan</v>
      </c>
    </row>
    <row r="21641" spans="1:12">
      <c r="J21641" s="31">
        <v>39</v>
      </c>
      <c r="K21641" s="33" t="s">
        <v>110</v>
      </c>
      <c r="L21641" s="31" t="str">
        <f t="shared" si="2093"/>
        <v>Tiga Puluh Sembilan</v>
      </c>
    </row>
    <row r="21642" spans="1:12">
      <c r="B21642" s="35"/>
      <c r="C21642" s="35"/>
      <c r="D21642" s="35"/>
      <c r="J21642" s="31">
        <v>40</v>
      </c>
      <c r="K21642" s="33" t="s">
        <v>111</v>
      </c>
      <c r="L21642" s="31" t="s">
        <v>112</v>
      </c>
    </row>
    <row r="21643" spans="1:12">
      <c r="A21643" s="35"/>
      <c r="B21643" s="35"/>
      <c r="C21643" s="35"/>
      <c r="D21643" s="35"/>
      <c r="J21643" s="31">
        <v>41</v>
      </c>
      <c r="K21643" s="33" t="s">
        <v>113</v>
      </c>
      <c r="L21643" s="31" t="str">
        <f t="shared" ref="L21643:L21651" si="2094">$L$43&amp;" "&amp;L21603</f>
        <v>Empat Puluh Satu</v>
      </c>
    </row>
    <row r="21644" spans="1:12">
      <c r="J21644" s="31">
        <v>42</v>
      </c>
      <c r="K21644" s="33" t="s">
        <v>114</v>
      </c>
      <c r="L21644" s="31" t="str">
        <f t="shared" si="2094"/>
        <v>Empat Puluh Dua</v>
      </c>
    </row>
    <row r="21645" spans="1:12">
      <c r="A21645" s="38"/>
      <c r="J21645" s="31">
        <v>43</v>
      </c>
      <c r="K21645" s="33" t="s">
        <v>115</v>
      </c>
      <c r="L21645" s="31" t="str">
        <f t="shared" si="2094"/>
        <v>Empat Puluh Tiga</v>
      </c>
    </row>
    <row r="21646" spans="1:12">
      <c r="J21646" s="31">
        <v>44</v>
      </c>
      <c r="K21646" s="33" t="s">
        <v>116</v>
      </c>
      <c r="L21646" s="31" t="str">
        <f t="shared" si="2094"/>
        <v>Empat Puluh Empat</v>
      </c>
    </row>
    <row r="21647" spans="1:12">
      <c r="J21647" s="31">
        <v>45</v>
      </c>
      <c r="K21647" s="33" t="s">
        <v>117</v>
      </c>
      <c r="L21647" s="31" t="str">
        <f t="shared" si="2094"/>
        <v>Empat Puluh Lima</v>
      </c>
    </row>
    <row r="21648" spans="1:12">
      <c r="J21648" s="31">
        <v>46</v>
      </c>
      <c r="K21648" s="33" t="s">
        <v>118</v>
      </c>
      <c r="L21648" s="31" t="str">
        <f t="shared" si="2094"/>
        <v>Empat Puluh Enam</v>
      </c>
    </row>
    <row r="21649" spans="10:12">
      <c r="J21649" s="31">
        <v>47</v>
      </c>
      <c r="K21649" s="33" t="s">
        <v>119</v>
      </c>
      <c r="L21649" s="31" t="str">
        <f t="shared" si="2094"/>
        <v>Empat Puluh Tujuh</v>
      </c>
    </row>
    <row r="21650" spans="10:12">
      <c r="J21650" s="31">
        <v>48</v>
      </c>
      <c r="K21650" s="33" t="s">
        <v>120</v>
      </c>
      <c r="L21650" s="31" t="str">
        <f t="shared" si="2094"/>
        <v>Empat Puluh Delapan</v>
      </c>
    </row>
    <row r="21651" spans="10:12">
      <c r="J21651" s="31">
        <v>49</v>
      </c>
      <c r="K21651" s="33" t="s">
        <v>121</v>
      </c>
      <c r="L21651" s="31" t="str">
        <f t="shared" si="2094"/>
        <v>Empat Puluh Sembilan</v>
      </c>
    </row>
    <row r="21652" spans="10:12">
      <c r="J21652" s="31">
        <v>50</v>
      </c>
      <c r="K21652" s="33" t="s">
        <v>122</v>
      </c>
      <c r="L21652" s="31" t="s">
        <v>123</v>
      </c>
    </row>
    <row r="21653" spans="10:12">
      <c r="J21653" s="31">
        <v>51</v>
      </c>
      <c r="K21653" s="33" t="s">
        <v>124</v>
      </c>
      <c r="L21653" s="31" t="str">
        <f t="shared" ref="L21653:L21661" si="2095">$L$53&amp;" "&amp;L21603</f>
        <v>Lima Puluh Satu</v>
      </c>
    </row>
    <row r="21654" spans="10:12">
      <c r="J21654" s="31">
        <v>52</v>
      </c>
      <c r="K21654" s="33" t="s">
        <v>125</v>
      </c>
      <c r="L21654" s="31" t="str">
        <f t="shared" si="2095"/>
        <v>Lima Puluh Dua</v>
      </c>
    </row>
    <row r="21655" spans="10:12">
      <c r="J21655" s="31">
        <v>53</v>
      </c>
      <c r="K21655" s="33" t="s">
        <v>126</v>
      </c>
      <c r="L21655" s="31" t="str">
        <f t="shared" si="2095"/>
        <v>Lima Puluh Tiga</v>
      </c>
    </row>
    <row r="21656" spans="10:12">
      <c r="J21656" s="31">
        <v>54</v>
      </c>
      <c r="K21656" s="33" t="s">
        <v>127</v>
      </c>
      <c r="L21656" s="31" t="str">
        <f t="shared" si="2095"/>
        <v>Lima Puluh Empat</v>
      </c>
    </row>
    <row r="21657" spans="10:12">
      <c r="J21657" s="31">
        <v>55</v>
      </c>
      <c r="K21657" s="33" t="s">
        <v>128</v>
      </c>
      <c r="L21657" s="31" t="str">
        <f t="shared" si="2095"/>
        <v>Lima Puluh Lima</v>
      </c>
    </row>
    <row r="21658" spans="10:12">
      <c r="J21658" s="31">
        <v>56</v>
      </c>
      <c r="K21658" s="33" t="s">
        <v>129</v>
      </c>
      <c r="L21658" s="31" t="str">
        <f t="shared" si="2095"/>
        <v>Lima Puluh Enam</v>
      </c>
    </row>
    <row r="21659" spans="10:12">
      <c r="J21659" s="31">
        <v>57</v>
      </c>
      <c r="K21659" s="33" t="s">
        <v>130</v>
      </c>
      <c r="L21659" s="31" t="str">
        <f t="shared" si="2095"/>
        <v>Lima Puluh Tujuh</v>
      </c>
    </row>
    <row r="21660" spans="10:12">
      <c r="J21660" s="31">
        <v>58</v>
      </c>
      <c r="K21660" s="33" t="s">
        <v>131</v>
      </c>
      <c r="L21660" s="31" t="str">
        <f t="shared" si="2095"/>
        <v>Lima Puluh Delapan</v>
      </c>
    </row>
    <row r="21661" spans="10:12">
      <c r="J21661" s="31">
        <v>59</v>
      </c>
      <c r="K21661" s="33" t="s">
        <v>132</v>
      </c>
      <c r="L21661" s="31" t="str">
        <f t="shared" si="2095"/>
        <v>Lima Puluh Sembilan</v>
      </c>
    </row>
    <row r="21662" spans="10:12">
      <c r="J21662" s="31">
        <v>60</v>
      </c>
      <c r="K21662" s="33" t="s">
        <v>133</v>
      </c>
      <c r="L21662" s="31" t="s">
        <v>134</v>
      </c>
    </row>
    <row r="21663" spans="10:12">
      <c r="J21663" s="31">
        <v>61</v>
      </c>
      <c r="K21663" s="33" t="s">
        <v>135</v>
      </c>
      <c r="L21663" s="31" t="str">
        <f t="shared" ref="L21663:L21671" si="2096">$L$63&amp;" "&amp;L21603</f>
        <v>Enam Puluh Satu</v>
      </c>
    </row>
    <row r="21664" spans="10:12">
      <c r="J21664" s="31">
        <v>62</v>
      </c>
      <c r="K21664" s="33" t="s">
        <v>136</v>
      </c>
      <c r="L21664" s="31" t="str">
        <f t="shared" si="2096"/>
        <v>Enam Puluh Dua</v>
      </c>
    </row>
    <row r="21665" spans="10:12">
      <c r="J21665" s="31">
        <v>63</v>
      </c>
      <c r="K21665" s="33" t="s">
        <v>137</v>
      </c>
      <c r="L21665" s="31" t="str">
        <f t="shared" si="2096"/>
        <v>Enam Puluh Tiga</v>
      </c>
    </row>
    <row r="21666" spans="10:12">
      <c r="J21666" s="31">
        <v>64</v>
      </c>
      <c r="K21666" s="33" t="s">
        <v>138</v>
      </c>
      <c r="L21666" s="31" t="str">
        <f t="shared" si="2096"/>
        <v>Enam Puluh Empat</v>
      </c>
    </row>
    <row r="21667" spans="10:12">
      <c r="J21667" s="31">
        <v>65</v>
      </c>
      <c r="K21667" s="33" t="s">
        <v>139</v>
      </c>
      <c r="L21667" s="31" t="str">
        <f t="shared" si="2096"/>
        <v>Enam Puluh Lima</v>
      </c>
    </row>
    <row r="21668" spans="10:12">
      <c r="J21668" s="31">
        <v>66</v>
      </c>
      <c r="K21668" s="33" t="s">
        <v>140</v>
      </c>
      <c r="L21668" s="31" t="str">
        <f t="shared" si="2096"/>
        <v>Enam Puluh Enam</v>
      </c>
    </row>
    <row r="21669" spans="10:12">
      <c r="J21669" s="31">
        <v>67</v>
      </c>
      <c r="K21669" s="33" t="s">
        <v>141</v>
      </c>
      <c r="L21669" s="31" t="str">
        <f t="shared" si="2096"/>
        <v>Enam Puluh Tujuh</v>
      </c>
    </row>
    <row r="21670" spans="10:12">
      <c r="J21670" s="31">
        <v>68</v>
      </c>
      <c r="K21670" s="33" t="s">
        <v>142</v>
      </c>
      <c r="L21670" s="31" t="str">
        <f t="shared" si="2096"/>
        <v>Enam Puluh Delapan</v>
      </c>
    </row>
    <row r="21671" spans="10:12">
      <c r="J21671" s="31">
        <v>69</v>
      </c>
      <c r="K21671" s="33" t="s">
        <v>143</v>
      </c>
      <c r="L21671" s="31" t="str">
        <f t="shared" si="2096"/>
        <v>Enam Puluh Sembilan</v>
      </c>
    </row>
    <row r="21672" spans="10:12">
      <c r="J21672" s="31">
        <v>70</v>
      </c>
      <c r="K21672" s="33" t="s">
        <v>144</v>
      </c>
      <c r="L21672" s="31" t="s">
        <v>145</v>
      </c>
    </row>
    <row r="21673" spans="10:12">
      <c r="J21673" s="31">
        <v>71</v>
      </c>
      <c r="K21673" s="33" t="s">
        <v>146</v>
      </c>
      <c r="L21673" s="31" t="str">
        <f t="shared" ref="L21673:L21681" si="2097">$L$73&amp;" "&amp;L21603</f>
        <v>Tujuh Puluh Satu</v>
      </c>
    </row>
    <row r="21674" spans="10:12">
      <c r="J21674" s="31">
        <v>72</v>
      </c>
      <c r="K21674" s="33" t="s">
        <v>147</v>
      </c>
      <c r="L21674" s="31" t="str">
        <f t="shared" si="2097"/>
        <v>Tujuh Puluh Dua</v>
      </c>
    </row>
    <row r="21675" spans="10:12">
      <c r="J21675" s="31">
        <v>73</v>
      </c>
      <c r="K21675" s="33" t="s">
        <v>148</v>
      </c>
      <c r="L21675" s="31" t="str">
        <f t="shared" si="2097"/>
        <v>Tujuh Puluh Tiga</v>
      </c>
    </row>
    <row r="21676" spans="10:12">
      <c r="J21676" s="31">
        <v>74</v>
      </c>
      <c r="K21676" s="33" t="s">
        <v>149</v>
      </c>
      <c r="L21676" s="31" t="str">
        <f t="shared" si="2097"/>
        <v>Tujuh Puluh Empat</v>
      </c>
    </row>
    <row r="21677" spans="10:12">
      <c r="J21677" s="31">
        <v>75</v>
      </c>
      <c r="K21677" s="33" t="s">
        <v>150</v>
      </c>
      <c r="L21677" s="31" t="str">
        <f t="shared" si="2097"/>
        <v>Tujuh Puluh Lima</v>
      </c>
    </row>
    <row r="21678" spans="10:12">
      <c r="J21678" s="31">
        <v>76</v>
      </c>
      <c r="K21678" s="33" t="s">
        <v>151</v>
      </c>
      <c r="L21678" s="31" t="str">
        <f t="shared" si="2097"/>
        <v>Tujuh Puluh Enam</v>
      </c>
    </row>
    <row r="21679" spans="10:12">
      <c r="J21679" s="31">
        <v>77</v>
      </c>
      <c r="K21679" s="33" t="s">
        <v>152</v>
      </c>
      <c r="L21679" s="31" t="str">
        <f t="shared" si="2097"/>
        <v>Tujuh Puluh Tujuh</v>
      </c>
    </row>
    <row r="21680" spans="10:12">
      <c r="J21680" s="31">
        <v>78</v>
      </c>
      <c r="K21680" s="33" t="s">
        <v>153</v>
      </c>
      <c r="L21680" s="31" t="str">
        <f t="shared" si="2097"/>
        <v>Tujuh Puluh Delapan</v>
      </c>
    </row>
    <row r="21681" spans="10:12">
      <c r="J21681" s="31">
        <v>79</v>
      </c>
      <c r="K21681" s="33" t="s">
        <v>154</v>
      </c>
      <c r="L21681" s="31" t="str">
        <f t="shared" si="2097"/>
        <v>Tujuh Puluh Sembilan</v>
      </c>
    </row>
    <row r="21682" spans="10:12">
      <c r="J21682" s="31">
        <v>80</v>
      </c>
      <c r="K21682" s="33" t="s">
        <v>155</v>
      </c>
      <c r="L21682" s="31" t="s">
        <v>156</v>
      </c>
    </row>
    <row r="21683" spans="10:12">
      <c r="J21683" s="31">
        <v>81</v>
      </c>
      <c r="K21683" s="33" t="s">
        <v>157</v>
      </c>
      <c r="L21683" s="31" t="str">
        <f t="shared" ref="L21683:L21691" si="2098">$L$83&amp;" "&amp;L21603</f>
        <v>Delapan Puluh Satu</v>
      </c>
    </row>
    <row r="21684" spans="10:12">
      <c r="J21684" s="31">
        <v>82</v>
      </c>
      <c r="K21684" s="33" t="s">
        <v>158</v>
      </c>
      <c r="L21684" s="31" t="str">
        <f t="shared" si="2098"/>
        <v>Delapan Puluh Dua</v>
      </c>
    </row>
    <row r="21685" spans="10:12">
      <c r="J21685" s="31">
        <v>83</v>
      </c>
      <c r="K21685" s="33" t="s">
        <v>159</v>
      </c>
      <c r="L21685" s="31" t="str">
        <f t="shared" si="2098"/>
        <v>Delapan Puluh Tiga</v>
      </c>
    </row>
    <row r="21686" spans="10:12">
      <c r="J21686" s="31">
        <v>84</v>
      </c>
      <c r="K21686" s="33" t="s">
        <v>160</v>
      </c>
      <c r="L21686" s="31" t="str">
        <f t="shared" si="2098"/>
        <v>Delapan Puluh Empat</v>
      </c>
    </row>
    <row r="21687" spans="10:12">
      <c r="J21687" s="31">
        <v>85</v>
      </c>
      <c r="K21687" s="33" t="s">
        <v>161</v>
      </c>
      <c r="L21687" s="31" t="str">
        <f t="shared" si="2098"/>
        <v>Delapan Puluh Lima</v>
      </c>
    </row>
    <row r="21688" spans="10:12">
      <c r="J21688" s="31">
        <v>86</v>
      </c>
      <c r="K21688" s="33" t="s">
        <v>162</v>
      </c>
      <c r="L21688" s="31" t="str">
        <f t="shared" si="2098"/>
        <v>Delapan Puluh Enam</v>
      </c>
    </row>
    <row r="21689" spans="10:12">
      <c r="J21689" s="31">
        <v>87</v>
      </c>
      <c r="K21689" s="33" t="s">
        <v>163</v>
      </c>
      <c r="L21689" s="31" t="str">
        <f t="shared" si="2098"/>
        <v>Delapan Puluh Tujuh</v>
      </c>
    </row>
    <row r="21690" spans="10:12">
      <c r="J21690" s="31">
        <v>88</v>
      </c>
      <c r="K21690" s="33" t="s">
        <v>164</v>
      </c>
      <c r="L21690" s="31" t="str">
        <f t="shared" si="2098"/>
        <v>Delapan Puluh Delapan</v>
      </c>
    </row>
    <row r="21691" spans="10:12">
      <c r="J21691" s="31">
        <v>89</v>
      </c>
      <c r="K21691" s="33" t="s">
        <v>165</v>
      </c>
      <c r="L21691" s="31" t="str">
        <f t="shared" si="2098"/>
        <v>Delapan Puluh Sembilan</v>
      </c>
    </row>
    <row r="21692" spans="10:12">
      <c r="J21692" s="31">
        <v>90</v>
      </c>
      <c r="K21692" s="33" t="s">
        <v>166</v>
      </c>
      <c r="L21692" s="31" t="s">
        <v>167</v>
      </c>
    </row>
    <row r="21693" spans="10:12">
      <c r="J21693" s="31">
        <v>91</v>
      </c>
      <c r="K21693" s="33" t="s">
        <v>168</v>
      </c>
      <c r="L21693" s="31" t="str">
        <f t="shared" ref="L21693:L21701" si="2099">$L$93&amp;" "&amp;L21603</f>
        <v>Sembilan Puluh Satu</v>
      </c>
    </row>
    <row r="21694" spans="10:12">
      <c r="J21694" s="31">
        <v>92</v>
      </c>
      <c r="K21694" s="33" t="s">
        <v>169</v>
      </c>
      <c r="L21694" s="31" t="str">
        <f t="shared" si="2099"/>
        <v>Sembilan Puluh Dua</v>
      </c>
    </row>
    <row r="21695" spans="10:12">
      <c r="J21695" s="31">
        <v>93</v>
      </c>
      <c r="K21695" s="33" t="s">
        <v>170</v>
      </c>
      <c r="L21695" s="31" t="str">
        <f t="shared" si="2099"/>
        <v>Sembilan Puluh Tiga</v>
      </c>
    </row>
    <row r="21696" spans="10:12">
      <c r="J21696" s="31">
        <v>94</v>
      </c>
      <c r="K21696" s="33" t="s">
        <v>171</v>
      </c>
      <c r="L21696" s="31" t="str">
        <f t="shared" si="2099"/>
        <v>Sembilan Puluh Empat</v>
      </c>
    </row>
    <row r="21697" spans="1:12">
      <c r="J21697" s="31">
        <v>95</v>
      </c>
      <c r="K21697" s="33" t="s">
        <v>172</v>
      </c>
      <c r="L21697" s="31" t="str">
        <f t="shared" si="2099"/>
        <v>Sembilan Puluh Lima</v>
      </c>
    </row>
    <row r="21698" spans="1:12">
      <c r="J21698" s="31">
        <v>96</v>
      </c>
      <c r="K21698" s="33" t="s">
        <v>173</v>
      </c>
      <c r="L21698" s="31" t="str">
        <f t="shared" si="2099"/>
        <v>Sembilan Puluh Enam</v>
      </c>
    </row>
    <row r="21699" spans="1:12">
      <c r="J21699" s="31">
        <v>97</v>
      </c>
      <c r="K21699" s="33" t="s">
        <v>174</v>
      </c>
      <c r="L21699" s="31" t="str">
        <f t="shared" si="2099"/>
        <v>Sembilan Puluh Tujuh</v>
      </c>
    </row>
    <row r="21700" spans="1:12">
      <c r="J21700" s="31">
        <v>98</v>
      </c>
      <c r="K21700" s="33" t="s">
        <v>175</v>
      </c>
      <c r="L21700" s="31" t="str">
        <f t="shared" si="2099"/>
        <v>Sembilan Puluh Delapan</v>
      </c>
    </row>
    <row r="21701" spans="1:12">
      <c r="J21701" s="31">
        <v>99</v>
      </c>
      <c r="K21701" s="33" t="s">
        <v>176</v>
      </c>
      <c r="L21701" s="31" t="str">
        <f t="shared" si="2099"/>
        <v>Sembilan Puluh Sembilan</v>
      </c>
    </row>
    <row r="21703" spans="1:12">
      <c r="A21703" s="30" t="e">
        <f>#REF!</f>
        <v>#REF!</v>
      </c>
      <c r="C21703" s="31" t="s">
        <v>466</v>
      </c>
    </row>
    <row r="21704" spans="1:12">
      <c r="A21704" s="32"/>
    </row>
    <row r="21705" spans="1:12">
      <c r="J21705" s="31">
        <v>0</v>
      </c>
      <c r="K21705" s="33" t="s">
        <v>48</v>
      </c>
      <c r="L21705" s="31" t="s">
        <v>49</v>
      </c>
    </row>
    <row r="21706" spans="1:12">
      <c r="A21706" s="34"/>
      <c r="J21706" s="31">
        <v>1</v>
      </c>
      <c r="K21706" s="33" t="s">
        <v>50</v>
      </c>
      <c r="L21706" s="31" t="s">
        <v>51</v>
      </c>
    </row>
    <row r="21707" spans="1:12">
      <c r="A21707" s="255" t="e">
        <f>TRIM(D21715&amp;E21715&amp;D21716&amp;E21716&amp;D21717&amp;E21717&amp;D21718&amp;E21718&amp;D21719&amp;E21719&amp;D21720&amp;E21720&amp;E21721&amp;D21721&amp;" Only")</f>
        <v>#REF!</v>
      </c>
      <c r="B21707" s="255"/>
      <c r="C21707" s="255"/>
      <c r="D21707" s="255"/>
      <c r="E21707" s="35"/>
      <c r="F21707" s="36"/>
      <c r="J21707" s="31">
        <v>2</v>
      </c>
      <c r="K21707" s="33" t="s">
        <v>52</v>
      </c>
      <c r="L21707" s="31" t="s">
        <v>53</v>
      </c>
    </row>
    <row r="21708" spans="1:12">
      <c r="A21708" s="198"/>
      <c r="B21708" s="198"/>
      <c r="C21708" s="198"/>
      <c r="D21708" s="198"/>
      <c r="E21708" s="35"/>
      <c r="F21708" s="36"/>
      <c r="J21708" s="31">
        <v>3</v>
      </c>
      <c r="K21708" s="33" t="s">
        <v>54</v>
      </c>
      <c r="L21708" s="31" t="s">
        <v>55</v>
      </c>
    </row>
    <row r="21709" spans="1:12">
      <c r="A21709" s="198"/>
      <c r="B21709" s="198"/>
      <c r="C21709" s="198"/>
      <c r="D21709" s="198"/>
      <c r="J21709" s="31">
        <v>4</v>
      </c>
      <c r="K21709" s="33" t="s">
        <v>56</v>
      </c>
      <c r="L21709" s="31" t="s">
        <v>57</v>
      </c>
    </row>
    <row r="21710" spans="1:12">
      <c r="A21710" s="255" t="e">
        <f>TRIM(D21725&amp;E21725&amp;D21726&amp;E21726&amp;D21727&amp;E21727&amp;D21728&amp;E21728&amp;D21729&amp;E21729&amp;D21730&amp;E21730&amp;D21731&amp;E21731&amp;" Rupiah")</f>
        <v>#REF!</v>
      </c>
      <c r="B21710" s="255"/>
      <c r="C21710" s="255"/>
      <c r="D21710" s="255"/>
      <c r="E21710" s="35"/>
      <c r="F21710" s="36"/>
      <c r="J21710" s="31">
        <v>5</v>
      </c>
      <c r="K21710" s="33" t="s">
        <v>58</v>
      </c>
      <c r="L21710" s="31" t="s">
        <v>59</v>
      </c>
    </row>
    <row r="21711" spans="1:12">
      <c r="A21711" s="35"/>
      <c r="B21711" s="35"/>
      <c r="C21711" s="35"/>
      <c r="D21711" s="35"/>
      <c r="E21711" s="35"/>
      <c r="F21711" s="36"/>
      <c r="J21711" s="31">
        <v>6</v>
      </c>
      <c r="K21711" s="33" t="s">
        <v>60</v>
      </c>
      <c r="L21711" s="31" t="s">
        <v>61</v>
      </c>
    </row>
    <row r="21712" spans="1:12">
      <c r="J21712" s="31">
        <v>7</v>
      </c>
      <c r="K21712" s="33" t="s">
        <v>62</v>
      </c>
      <c r="L21712" s="31" t="s">
        <v>63</v>
      </c>
    </row>
    <row r="21713" spans="1:12">
      <c r="J21713" s="31">
        <v>8</v>
      </c>
      <c r="K21713" s="33" t="s">
        <v>64</v>
      </c>
      <c r="L21713" s="31" t="s">
        <v>65</v>
      </c>
    </row>
    <row r="21714" spans="1:12">
      <c r="A21714" s="38" t="s">
        <v>66</v>
      </c>
      <c r="J21714" s="31">
        <v>9</v>
      </c>
      <c r="K21714" s="33" t="s">
        <v>67</v>
      </c>
      <c r="L21714" s="31" t="s">
        <v>68</v>
      </c>
    </row>
    <row r="21715" spans="1:12">
      <c r="A21715" s="31" t="s">
        <v>69</v>
      </c>
      <c r="B21715" s="39" t="e">
        <f>TRUNC(A21703/100000000)</f>
        <v>#REF!</v>
      </c>
      <c r="C21715" s="31" t="e">
        <f>B21715*100000000</f>
        <v>#REF!</v>
      </c>
      <c r="D21715" s="31" t="e">
        <f t="shared" ref="D21715:D21721" si="2100">IF(B21715&lt;1,"",VLOOKUP(B21715,$J$3:$K$102,2))</f>
        <v>#REF!</v>
      </c>
      <c r="E21715" s="31" t="e">
        <f>IF(B21715&lt;1,"",IF(B21715&gt;1," Hundreds "," Hundred "))</f>
        <v>#REF!</v>
      </c>
      <c r="J21715" s="31">
        <v>10</v>
      </c>
      <c r="K21715" s="33" t="s">
        <v>70</v>
      </c>
      <c r="L21715" s="31" t="s">
        <v>71</v>
      </c>
    </row>
    <row r="21716" spans="1:12">
      <c r="A21716" s="31" t="s">
        <v>72</v>
      </c>
      <c r="B21716" s="39" t="e">
        <f>TRUNC((A21703-C21715)/1000000)</f>
        <v>#REF!</v>
      </c>
      <c r="C21716" s="31" t="e">
        <f>B21716*1000000</f>
        <v>#REF!</v>
      </c>
      <c r="D21716" s="31" t="e">
        <f t="shared" si="2100"/>
        <v>#REF!</v>
      </c>
      <c r="E21716" s="31" t="e">
        <f>IF(B21715+B21716=0,"",IF(B21716=1," Million "," Millions "))</f>
        <v>#REF!</v>
      </c>
      <c r="J21716" s="31">
        <v>11</v>
      </c>
      <c r="K21716" s="33" t="s">
        <v>73</v>
      </c>
      <c r="L21716" s="31" t="s">
        <v>74</v>
      </c>
    </row>
    <row r="21717" spans="1:12">
      <c r="A21717" s="31" t="s">
        <v>75</v>
      </c>
      <c r="B21717" s="39" t="e">
        <f>TRUNC((A21703-SUM(C21715:C21716))/100000)</f>
        <v>#REF!</v>
      </c>
      <c r="C21717" s="31" t="e">
        <f>B21717*100000</f>
        <v>#REF!</v>
      </c>
      <c r="D21717" s="31" t="e">
        <f t="shared" si="2100"/>
        <v>#REF!</v>
      </c>
      <c r="E21717" s="31" t="e">
        <f>IF(B21717&lt;1,"",IF(B21717&gt;1," Hundreds "," Hundred "))</f>
        <v>#REF!</v>
      </c>
      <c r="J21717" s="31">
        <v>12</v>
      </c>
      <c r="K21717" s="33" t="s">
        <v>76</v>
      </c>
      <c r="L21717" s="31" t="str">
        <f t="shared" ref="L21717:L21724" si="2101">L21707&amp;" Belas"</f>
        <v>Dua Belas</v>
      </c>
    </row>
    <row r="21718" spans="1:12">
      <c r="A21718" s="33" t="s">
        <v>77</v>
      </c>
      <c r="B21718" s="40" t="e">
        <f>TRUNC((A21703-SUM(C21715:C21717))/1000)</f>
        <v>#REF!</v>
      </c>
      <c r="C21718" s="31" t="e">
        <f>B21718*1000</f>
        <v>#REF!</v>
      </c>
      <c r="D21718" s="31" t="e">
        <f t="shared" si="2100"/>
        <v>#REF!</v>
      </c>
      <c r="E21718" s="31" t="e">
        <f>IF(B21717+B21718=0,"",IF(B21718=1," Thousand "," Thousands "))</f>
        <v>#REF!</v>
      </c>
      <c r="J21718" s="31">
        <v>13</v>
      </c>
      <c r="K21718" s="33" t="s">
        <v>78</v>
      </c>
      <c r="L21718" s="31" t="str">
        <f t="shared" si="2101"/>
        <v>Tiga Belas</v>
      </c>
    </row>
    <row r="21719" spans="1:12">
      <c r="A21719" s="33" t="s">
        <v>79</v>
      </c>
      <c r="B21719" s="40" t="e">
        <f>TRUNC((A21703-SUM(C21715:C21718))/100)</f>
        <v>#REF!</v>
      </c>
      <c r="C21719" s="31" t="e">
        <f>B21719*100</f>
        <v>#REF!</v>
      </c>
      <c r="D21719" s="31" t="e">
        <f t="shared" si="2100"/>
        <v>#REF!</v>
      </c>
      <c r="E21719" s="31" t="e">
        <f>IF(B21719&lt;1,"",IF(B21719&gt;1," Hundreds "," Hundred "))</f>
        <v>#REF!</v>
      </c>
      <c r="J21719" s="31">
        <v>14</v>
      </c>
      <c r="K21719" s="33" t="s">
        <v>80</v>
      </c>
      <c r="L21719" s="31" t="str">
        <f t="shared" si="2101"/>
        <v>Empat Belas</v>
      </c>
    </row>
    <row r="21720" spans="1:12">
      <c r="A21720" s="33" t="s">
        <v>81</v>
      </c>
      <c r="B21720" s="41" t="e">
        <f>TRUNC((A21703-SUM(C21715:C21719)))</f>
        <v>#REF!</v>
      </c>
      <c r="C21720" s="42" t="e">
        <f>B21720</f>
        <v>#REF!</v>
      </c>
      <c r="D21720" s="31" t="e">
        <f t="shared" si="2100"/>
        <v>#REF!</v>
      </c>
      <c r="E21720" s="31" t="e">
        <f>IF(SUM(C21715:C21720)&lt;1,"",IF(B21721&lt;1,""," And "))</f>
        <v>#REF!</v>
      </c>
      <c r="J21720" s="31">
        <v>15</v>
      </c>
      <c r="K21720" s="33" t="s">
        <v>82</v>
      </c>
      <c r="L21720" s="31" t="str">
        <f t="shared" si="2101"/>
        <v>Lima Belas</v>
      </c>
    </row>
    <row r="21721" spans="1:12">
      <c r="A21721" s="33" t="s">
        <v>83</v>
      </c>
      <c r="B21721" s="40" t="e">
        <f>ROUND(A21703-SUM(C21715:C21720),2)*100</f>
        <v>#REF!</v>
      </c>
      <c r="D21721" s="43" t="e">
        <f t="shared" si="2100"/>
        <v>#REF!</v>
      </c>
      <c r="E21721" s="31" t="e">
        <f>IF(B21721&lt;1,"",IF(B21721=1," Cent "," Cents "))</f>
        <v>#REF!</v>
      </c>
      <c r="J21721" s="31">
        <v>16</v>
      </c>
      <c r="K21721" s="33" t="s">
        <v>84</v>
      </c>
      <c r="L21721" s="31" t="str">
        <f t="shared" si="2101"/>
        <v>Enam Belas</v>
      </c>
    </row>
    <row r="21722" spans="1:12">
      <c r="J21722" s="31">
        <v>17</v>
      </c>
      <c r="K21722" s="33" t="s">
        <v>85</v>
      </c>
      <c r="L21722" s="31" t="str">
        <f t="shared" si="2101"/>
        <v>Tujuh Belas</v>
      </c>
    </row>
    <row r="21723" spans="1:12">
      <c r="A21723" s="44"/>
      <c r="J21723" s="31">
        <v>18</v>
      </c>
      <c r="K21723" s="33" t="s">
        <v>86</v>
      </c>
      <c r="L21723" s="31" t="str">
        <f t="shared" si="2101"/>
        <v>Delapan Belas</v>
      </c>
    </row>
    <row r="21724" spans="1:12">
      <c r="A21724" s="38" t="s">
        <v>87</v>
      </c>
      <c r="J21724" s="31">
        <v>19</v>
      </c>
      <c r="K21724" s="33" t="s">
        <v>88</v>
      </c>
      <c r="L21724" s="31" t="str">
        <f t="shared" si="2101"/>
        <v>Sembilan Belas</v>
      </c>
    </row>
    <row r="21725" spans="1:12">
      <c r="A21725" s="31" t="s">
        <v>69</v>
      </c>
      <c r="B21725" s="39" t="e">
        <f>TRUNC(A21703/100000000)</f>
        <v>#REF!</v>
      </c>
      <c r="C21725" s="31" t="e">
        <f>B21725*100000000</f>
        <v>#REF!</v>
      </c>
      <c r="D21725" s="31" t="e">
        <f>IF(B21725&lt;1,"",IF(B21725=1,"",VLOOKUP(B21725,$J$3:$L$102,3)))</f>
        <v>#REF!</v>
      </c>
      <c r="E21725" s="31" t="e">
        <f>IF(B21725&lt;1,"",IF(B21725=1,"Seratus "," Ratus "))</f>
        <v>#REF!</v>
      </c>
      <c r="J21725" s="31">
        <v>20</v>
      </c>
      <c r="K21725" s="33" t="s">
        <v>89</v>
      </c>
      <c r="L21725" s="31" t="s">
        <v>90</v>
      </c>
    </row>
    <row r="21726" spans="1:12">
      <c r="A21726" s="31" t="s">
        <v>72</v>
      </c>
      <c r="B21726" s="39" t="e">
        <f>TRUNC((A21703-C21725)/1000000)</f>
        <v>#REF!</v>
      </c>
      <c r="C21726" s="31" t="e">
        <f>B21726*1000000</f>
        <v>#REF!</v>
      </c>
      <c r="D21726" s="31" t="e">
        <f>IF(B21726&lt;1,"",VLOOKUP(B21726,$J$3:$L$102,3))</f>
        <v>#REF!</v>
      </c>
      <c r="E21726" s="31" t="e">
        <f>IF(B21725+B21726=0,""," Juta ")</f>
        <v>#REF!</v>
      </c>
      <c r="J21726" s="31">
        <v>21</v>
      </c>
      <c r="K21726" s="33" t="s">
        <v>91</v>
      </c>
      <c r="L21726" s="31" t="str">
        <f t="shared" ref="L21726:L21734" si="2102">$L$23&amp;" "&amp;L21706</f>
        <v>Dua Puluh Satu</v>
      </c>
    </row>
    <row r="21727" spans="1:12">
      <c r="A21727" s="31" t="s">
        <v>75</v>
      </c>
      <c r="B21727" s="39" t="e">
        <f>TRUNC((A21703-SUM(C21725:C21726))/100000)</f>
        <v>#REF!</v>
      </c>
      <c r="C21727" s="31" t="e">
        <f>B21727*100000</f>
        <v>#REF!</v>
      </c>
      <c r="D21727" s="31" t="e">
        <f>IF(B21727&lt;1,"",IF(B21727=1,"",VLOOKUP(B21727,$J$3:$L$102,3)))</f>
        <v>#REF!</v>
      </c>
      <c r="E21727" s="31" t="e">
        <f>IF(B21727&lt;1,"",IF(B21727=1," Seratus "," Ratus "))</f>
        <v>#REF!</v>
      </c>
      <c r="J21727" s="31">
        <v>22</v>
      </c>
      <c r="K21727" s="33" t="s">
        <v>92</v>
      </c>
      <c r="L21727" s="31" t="str">
        <f t="shared" si="2102"/>
        <v>Dua Puluh Dua</v>
      </c>
    </row>
    <row r="21728" spans="1:12">
      <c r="A21728" s="33" t="s">
        <v>77</v>
      </c>
      <c r="B21728" s="40" t="e">
        <f>TRUNC((A21703-SUM(C21725:C21727))/1000)</f>
        <v>#REF!</v>
      </c>
      <c r="C21728" s="31" t="e">
        <f>B21728*1000</f>
        <v>#REF!</v>
      </c>
      <c r="D21728" s="31" t="e">
        <f>IF(B21728&lt;1,"",IF(B21728=1,"",VLOOKUP(B21728,$J$3:$L$102,3)))</f>
        <v>#REF!</v>
      </c>
      <c r="E21728" s="31" t="e">
        <f>IF(B21727+B21728&lt;1,"",IF(B21728=1," Seribu "," Ribu "))</f>
        <v>#REF!</v>
      </c>
      <c r="J21728" s="31">
        <v>23</v>
      </c>
      <c r="K21728" s="33" t="s">
        <v>93</v>
      </c>
      <c r="L21728" s="31" t="str">
        <f t="shared" si="2102"/>
        <v>Dua Puluh Tiga</v>
      </c>
    </row>
    <row r="21729" spans="1:12">
      <c r="A21729" s="33" t="s">
        <v>79</v>
      </c>
      <c r="B21729" s="40" t="e">
        <f>TRUNC((A21703-SUM(C21725:C21728))/100)</f>
        <v>#REF!</v>
      </c>
      <c r="C21729" s="31" t="e">
        <f>B21729*100</f>
        <v>#REF!</v>
      </c>
      <c r="D21729" s="31" t="e">
        <f>IF(B21729&lt;1,"",IF(B21729=1,"",VLOOKUP(B21729,$J$3:$L$102,3)))</f>
        <v>#REF!</v>
      </c>
      <c r="E21729" s="31" t="e">
        <f>IF(B21729&lt;1,"",IF(B21729=1," Seratus "," Ratus "))</f>
        <v>#REF!</v>
      </c>
      <c r="J21729" s="31">
        <v>24</v>
      </c>
      <c r="K21729" s="33" t="s">
        <v>94</v>
      </c>
      <c r="L21729" s="31" t="str">
        <f t="shared" si="2102"/>
        <v>Dua Puluh Empat</v>
      </c>
    </row>
    <row r="21730" spans="1:12">
      <c r="A21730" s="33" t="s">
        <v>81</v>
      </c>
      <c r="B21730" s="41" t="e">
        <f>TRUNC((A21703-SUM(C21725:C21729)))</f>
        <v>#REF!</v>
      </c>
      <c r="C21730" s="42" t="e">
        <f>B21730</f>
        <v>#REF!</v>
      </c>
      <c r="D21730" s="31" t="e">
        <f>IF(B21730&lt;1,"",VLOOKUP(B21730,$J$3:$L$102,3))</f>
        <v>#REF!</v>
      </c>
      <c r="E21730" s="31" t="e">
        <f>IF(SUM(C21725:C21730)&lt;1,"",IF(B21731&lt;1,""," Dan "))</f>
        <v>#REF!</v>
      </c>
      <c r="J21730" s="31">
        <v>25</v>
      </c>
      <c r="K21730" s="33" t="s">
        <v>95</v>
      </c>
      <c r="L21730" s="31" t="str">
        <f t="shared" si="2102"/>
        <v>Dua Puluh Lima</v>
      </c>
    </row>
    <row r="21731" spans="1:12">
      <c r="A21731" s="33" t="s">
        <v>83</v>
      </c>
      <c r="B21731" s="40" t="e">
        <f>ROUND(A21703-SUM(C21725:C21730),2)*100</f>
        <v>#REF!</v>
      </c>
      <c r="D21731" s="31" t="e">
        <f>IF(B21731&lt;1,"",VLOOKUP(B21731,$J$3:$L$102,3))</f>
        <v>#REF!</v>
      </c>
      <c r="E21731" s="31" t="e">
        <f>IF(B21731&lt;1,""," Sen ")</f>
        <v>#REF!</v>
      </c>
      <c r="J21731" s="31">
        <v>26</v>
      </c>
      <c r="K21731" s="33" t="s">
        <v>96</v>
      </c>
      <c r="L21731" s="31" t="str">
        <f t="shared" si="2102"/>
        <v>Dua Puluh Enam</v>
      </c>
    </row>
    <row r="21732" spans="1:12">
      <c r="J21732" s="31">
        <v>27</v>
      </c>
      <c r="K21732" s="33" t="s">
        <v>97</v>
      </c>
      <c r="L21732" s="31" t="str">
        <f t="shared" si="2102"/>
        <v>Dua Puluh Tujuh</v>
      </c>
    </row>
    <row r="21733" spans="1:12">
      <c r="J21733" s="31">
        <v>28</v>
      </c>
      <c r="K21733" s="33" t="s">
        <v>98</v>
      </c>
      <c r="L21733" s="31" t="str">
        <f t="shared" si="2102"/>
        <v>Dua Puluh Delapan</v>
      </c>
    </row>
    <row r="21734" spans="1:12">
      <c r="J21734" s="31">
        <v>29</v>
      </c>
      <c r="K21734" s="33" t="s">
        <v>99</v>
      </c>
      <c r="L21734" s="31" t="str">
        <f t="shared" si="2102"/>
        <v>Dua Puluh Sembilan</v>
      </c>
    </row>
    <row r="21735" spans="1:12">
      <c r="J21735" s="31">
        <v>30</v>
      </c>
      <c r="K21735" s="33" t="s">
        <v>100</v>
      </c>
      <c r="L21735" s="31" t="s">
        <v>101</v>
      </c>
    </row>
    <row r="21736" spans="1:12">
      <c r="J21736" s="31">
        <v>31</v>
      </c>
      <c r="K21736" s="33" t="s">
        <v>102</v>
      </c>
      <c r="L21736" s="31" t="str">
        <f t="shared" ref="L21736:L21744" si="2103">$L$33&amp;" "&amp;L21706</f>
        <v>Tiga Puluh Satu</v>
      </c>
    </row>
    <row r="21737" spans="1:12">
      <c r="J21737" s="31">
        <v>32</v>
      </c>
      <c r="K21737" s="33" t="s">
        <v>103</v>
      </c>
      <c r="L21737" s="31" t="str">
        <f t="shared" si="2103"/>
        <v>Tiga Puluh Dua</v>
      </c>
    </row>
    <row r="21738" spans="1:12">
      <c r="J21738" s="31">
        <v>33</v>
      </c>
      <c r="K21738" s="33" t="s">
        <v>104</v>
      </c>
      <c r="L21738" s="31" t="str">
        <f t="shared" si="2103"/>
        <v>Tiga Puluh Tiga</v>
      </c>
    </row>
    <row r="21739" spans="1:12">
      <c r="J21739" s="31">
        <v>34</v>
      </c>
      <c r="K21739" s="33" t="s">
        <v>105</v>
      </c>
      <c r="L21739" s="31" t="str">
        <f t="shared" si="2103"/>
        <v>Tiga Puluh Empat</v>
      </c>
    </row>
    <row r="21740" spans="1:12">
      <c r="J21740" s="31">
        <v>35</v>
      </c>
      <c r="K21740" s="33" t="s">
        <v>106</v>
      </c>
      <c r="L21740" s="31" t="str">
        <f t="shared" si="2103"/>
        <v>Tiga Puluh Lima</v>
      </c>
    </row>
    <row r="21741" spans="1:12">
      <c r="J21741" s="31">
        <v>36</v>
      </c>
      <c r="K21741" s="33" t="s">
        <v>107</v>
      </c>
      <c r="L21741" s="31" t="str">
        <f t="shared" si="2103"/>
        <v>Tiga Puluh Enam</v>
      </c>
    </row>
    <row r="21742" spans="1:12">
      <c r="J21742" s="31">
        <v>37</v>
      </c>
      <c r="K21742" s="33" t="s">
        <v>108</v>
      </c>
      <c r="L21742" s="31" t="str">
        <f t="shared" si="2103"/>
        <v>Tiga Puluh Tujuh</v>
      </c>
    </row>
    <row r="21743" spans="1:12">
      <c r="J21743" s="31">
        <v>38</v>
      </c>
      <c r="K21743" s="33" t="s">
        <v>109</v>
      </c>
      <c r="L21743" s="31" t="str">
        <f t="shared" si="2103"/>
        <v>Tiga Puluh Delapan</v>
      </c>
    </row>
    <row r="21744" spans="1:12">
      <c r="J21744" s="31">
        <v>39</v>
      </c>
      <c r="K21744" s="33" t="s">
        <v>110</v>
      </c>
      <c r="L21744" s="31" t="str">
        <f t="shared" si="2103"/>
        <v>Tiga Puluh Sembilan</v>
      </c>
    </row>
    <row r="21745" spans="1:12">
      <c r="B21745" s="35"/>
      <c r="C21745" s="35"/>
      <c r="D21745" s="35"/>
      <c r="J21745" s="31">
        <v>40</v>
      </c>
      <c r="K21745" s="33" t="s">
        <v>111</v>
      </c>
      <c r="L21745" s="31" t="s">
        <v>112</v>
      </c>
    </row>
    <row r="21746" spans="1:12">
      <c r="A21746" s="35"/>
      <c r="B21746" s="35"/>
      <c r="C21746" s="35"/>
      <c r="D21746" s="35"/>
      <c r="J21746" s="31">
        <v>41</v>
      </c>
      <c r="K21746" s="33" t="s">
        <v>113</v>
      </c>
      <c r="L21746" s="31" t="str">
        <f t="shared" ref="L21746:L21754" si="2104">$L$43&amp;" "&amp;L21706</f>
        <v>Empat Puluh Satu</v>
      </c>
    </row>
    <row r="21747" spans="1:12">
      <c r="J21747" s="31">
        <v>42</v>
      </c>
      <c r="K21747" s="33" t="s">
        <v>114</v>
      </c>
      <c r="L21747" s="31" t="str">
        <f t="shared" si="2104"/>
        <v>Empat Puluh Dua</v>
      </c>
    </row>
    <row r="21748" spans="1:12">
      <c r="A21748" s="38"/>
      <c r="J21748" s="31">
        <v>43</v>
      </c>
      <c r="K21748" s="33" t="s">
        <v>115</v>
      </c>
      <c r="L21748" s="31" t="str">
        <f t="shared" si="2104"/>
        <v>Empat Puluh Tiga</v>
      </c>
    </row>
    <row r="21749" spans="1:12">
      <c r="J21749" s="31">
        <v>44</v>
      </c>
      <c r="K21749" s="33" t="s">
        <v>116</v>
      </c>
      <c r="L21749" s="31" t="str">
        <f t="shared" si="2104"/>
        <v>Empat Puluh Empat</v>
      </c>
    </row>
    <row r="21750" spans="1:12">
      <c r="J21750" s="31">
        <v>45</v>
      </c>
      <c r="K21750" s="33" t="s">
        <v>117</v>
      </c>
      <c r="L21750" s="31" t="str">
        <f t="shared" si="2104"/>
        <v>Empat Puluh Lima</v>
      </c>
    </row>
    <row r="21751" spans="1:12">
      <c r="J21751" s="31">
        <v>46</v>
      </c>
      <c r="K21751" s="33" t="s">
        <v>118</v>
      </c>
      <c r="L21751" s="31" t="str">
        <f t="shared" si="2104"/>
        <v>Empat Puluh Enam</v>
      </c>
    </row>
    <row r="21752" spans="1:12">
      <c r="J21752" s="31">
        <v>47</v>
      </c>
      <c r="K21752" s="33" t="s">
        <v>119</v>
      </c>
      <c r="L21752" s="31" t="str">
        <f t="shared" si="2104"/>
        <v>Empat Puluh Tujuh</v>
      </c>
    </row>
    <row r="21753" spans="1:12">
      <c r="J21753" s="31">
        <v>48</v>
      </c>
      <c r="K21753" s="33" t="s">
        <v>120</v>
      </c>
      <c r="L21753" s="31" t="str">
        <f t="shared" si="2104"/>
        <v>Empat Puluh Delapan</v>
      </c>
    </row>
    <row r="21754" spans="1:12">
      <c r="J21754" s="31">
        <v>49</v>
      </c>
      <c r="K21754" s="33" t="s">
        <v>121</v>
      </c>
      <c r="L21754" s="31" t="str">
        <f t="shared" si="2104"/>
        <v>Empat Puluh Sembilan</v>
      </c>
    </row>
    <row r="21755" spans="1:12">
      <c r="J21755" s="31">
        <v>50</v>
      </c>
      <c r="K21755" s="33" t="s">
        <v>122</v>
      </c>
      <c r="L21755" s="31" t="s">
        <v>123</v>
      </c>
    </row>
    <row r="21756" spans="1:12">
      <c r="J21756" s="31">
        <v>51</v>
      </c>
      <c r="K21756" s="33" t="s">
        <v>124</v>
      </c>
      <c r="L21756" s="31" t="str">
        <f t="shared" ref="L21756:L21764" si="2105">$L$53&amp;" "&amp;L21706</f>
        <v>Lima Puluh Satu</v>
      </c>
    </row>
    <row r="21757" spans="1:12">
      <c r="J21757" s="31">
        <v>52</v>
      </c>
      <c r="K21757" s="33" t="s">
        <v>125</v>
      </c>
      <c r="L21757" s="31" t="str">
        <f t="shared" si="2105"/>
        <v>Lima Puluh Dua</v>
      </c>
    </row>
    <row r="21758" spans="1:12">
      <c r="J21758" s="31">
        <v>53</v>
      </c>
      <c r="K21758" s="33" t="s">
        <v>126</v>
      </c>
      <c r="L21758" s="31" t="str">
        <f t="shared" si="2105"/>
        <v>Lima Puluh Tiga</v>
      </c>
    </row>
    <row r="21759" spans="1:12">
      <c r="J21759" s="31">
        <v>54</v>
      </c>
      <c r="K21759" s="33" t="s">
        <v>127</v>
      </c>
      <c r="L21759" s="31" t="str">
        <f t="shared" si="2105"/>
        <v>Lima Puluh Empat</v>
      </c>
    </row>
    <row r="21760" spans="1:12">
      <c r="J21760" s="31">
        <v>55</v>
      </c>
      <c r="K21760" s="33" t="s">
        <v>128</v>
      </c>
      <c r="L21760" s="31" t="str">
        <f t="shared" si="2105"/>
        <v>Lima Puluh Lima</v>
      </c>
    </row>
    <row r="21761" spans="10:12">
      <c r="J21761" s="31">
        <v>56</v>
      </c>
      <c r="K21761" s="33" t="s">
        <v>129</v>
      </c>
      <c r="L21761" s="31" t="str">
        <f t="shared" si="2105"/>
        <v>Lima Puluh Enam</v>
      </c>
    </row>
    <row r="21762" spans="10:12">
      <c r="J21762" s="31">
        <v>57</v>
      </c>
      <c r="K21762" s="33" t="s">
        <v>130</v>
      </c>
      <c r="L21762" s="31" t="str">
        <f t="shared" si="2105"/>
        <v>Lima Puluh Tujuh</v>
      </c>
    </row>
    <row r="21763" spans="10:12">
      <c r="J21763" s="31">
        <v>58</v>
      </c>
      <c r="K21763" s="33" t="s">
        <v>131</v>
      </c>
      <c r="L21763" s="31" t="str">
        <f t="shared" si="2105"/>
        <v>Lima Puluh Delapan</v>
      </c>
    </row>
    <row r="21764" spans="10:12">
      <c r="J21764" s="31">
        <v>59</v>
      </c>
      <c r="K21764" s="33" t="s">
        <v>132</v>
      </c>
      <c r="L21764" s="31" t="str">
        <f t="shared" si="2105"/>
        <v>Lima Puluh Sembilan</v>
      </c>
    </row>
    <row r="21765" spans="10:12">
      <c r="J21765" s="31">
        <v>60</v>
      </c>
      <c r="K21765" s="33" t="s">
        <v>133</v>
      </c>
      <c r="L21765" s="31" t="s">
        <v>134</v>
      </c>
    </row>
    <row r="21766" spans="10:12">
      <c r="J21766" s="31">
        <v>61</v>
      </c>
      <c r="K21766" s="33" t="s">
        <v>135</v>
      </c>
      <c r="L21766" s="31" t="str">
        <f t="shared" ref="L21766:L21774" si="2106">$L$63&amp;" "&amp;L21706</f>
        <v>Enam Puluh Satu</v>
      </c>
    </row>
    <row r="21767" spans="10:12">
      <c r="J21767" s="31">
        <v>62</v>
      </c>
      <c r="K21767" s="33" t="s">
        <v>136</v>
      </c>
      <c r="L21767" s="31" t="str">
        <f t="shared" si="2106"/>
        <v>Enam Puluh Dua</v>
      </c>
    </row>
    <row r="21768" spans="10:12">
      <c r="J21768" s="31">
        <v>63</v>
      </c>
      <c r="K21768" s="33" t="s">
        <v>137</v>
      </c>
      <c r="L21768" s="31" t="str">
        <f t="shared" si="2106"/>
        <v>Enam Puluh Tiga</v>
      </c>
    </row>
    <row r="21769" spans="10:12">
      <c r="J21769" s="31">
        <v>64</v>
      </c>
      <c r="K21769" s="33" t="s">
        <v>138</v>
      </c>
      <c r="L21769" s="31" t="str">
        <f t="shared" si="2106"/>
        <v>Enam Puluh Empat</v>
      </c>
    </row>
    <row r="21770" spans="10:12">
      <c r="J21770" s="31">
        <v>65</v>
      </c>
      <c r="K21770" s="33" t="s">
        <v>139</v>
      </c>
      <c r="L21770" s="31" t="str">
        <f t="shared" si="2106"/>
        <v>Enam Puluh Lima</v>
      </c>
    </row>
    <row r="21771" spans="10:12">
      <c r="J21771" s="31">
        <v>66</v>
      </c>
      <c r="K21771" s="33" t="s">
        <v>140</v>
      </c>
      <c r="L21771" s="31" t="str">
        <f t="shared" si="2106"/>
        <v>Enam Puluh Enam</v>
      </c>
    </row>
    <row r="21772" spans="10:12">
      <c r="J21772" s="31">
        <v>67</v>
      </c>
      <c r="K21772" s="33" t="s">
        <v>141</v>
      </c>
      <c r="L21772" s="31" t="str">
        <f t="shared" si="2106"/>
        <v>Enam Puluh Tujuh</v>
      </c>
    </row>
    <row r="21773" spans="10:12">
      <c r="J21773" s="31">
        <v>68</v>
      </c>
      <c r="K21773" s="33" t="s">
        <v>142</v>
      </c>
      <c r="L21773" s="31" t="str">
        <f t="shared" si="2106"/>
        <v>Enam Puluh Delapan</v>
      </c>
    </row>
    <row r="21774" spans="10:12">
      <c r="J21774" s="31">
        <v>69</v>
      </c>
      <c r="K21774" s="33" t="s">
        <v>143</v>
      </c>
      <c r="L21774" s="31" t="str">
        <f t="shared" si="2106"/>
        <v>Enam Puluh Sembilan</v>
      </c>
    </row>
    <row r="21775" spans="10:12">
      <c r="J21775" s="31">
        <v>70</v>
      </c>
      <c r="K21775" s="33" t="s">
        <v>144</v>
      </c>
      <c r="L21775" s="31" t="s">
        <v>145</v>
      </c>
    </row>
    <row r="21776" spans="10:12">
      <c r="J21776" s="31">
        <v>71</v>
      </c>
      <c r="K21776" s="33" t="s">
        <v>146</v>
      </c>
      <c r="L21776" s="31" t="str">
        <f t="shared" ref="L21776:L21784" si="2107">$L$73&amp;" "&amp;L21706</f>
        <v>Tujuh Puluh Satu</v>
      </c>
    </row>
    <row r="21777" spans="10:12">
      <c r="J21777" s="31">
        <v>72</v>
      </c>
      <c r="K21777" s="33" t="s">
        <v>147</v>
      </c>
      <c r="L21777" s="31" t="str">
        <f t="shared" si="2107"/>
        <v>Tujuh Puluh Dua</v>
      </c>
    </row>
    <row r="21778" spans="10:12">
      <c r="J21778" s="31">
        <v>73</v>
      </c>
      <c r="K21778" s="33" t="s">
        <v>148</v>
      </c>
      <c r="L21778" s="31" t="str">
        <f t="shared" si="2107"/>
        <v>Tujuh Puluh Tiga</v>
      </c>
    </row>
    <row r="21779" spans="10:12">
      <c r="J21779" s="31">
        <v>74</v>
      </c>
      <c r="K21779" s="33" t="s">
        <v>149</v>
      </c>
      <c r="L21779" s="31" t="str">
        <f t="shared" si="2107"/>
        <v>Tujuh Puluh Empat</v>
      </c>
    </row>
    <row r="21780" spans="10:12">
      <c r="J21780" s="31">
        <v>75</v>
      </c>
      <c r="K21780" s="33" t="s">
        <v>150</v>
      </c>
      <c r="L21780" s="31" t="str">
        <f t="shared" si="2107"/>
        <v>Tujuh Puluh Lima</v>
      </c>
    </row>
    <row r="21781" spans="10:12">
      <c r="J21781" s="31">
        <v>76</v>
      </c>
      <c r="K21781" s="33" t="s">
        <v>151</v>
      </c>
      <c r="L21781" s="31" t="str">
        <f t="shared" si="2107"/>
        <v>Tujuh Puluh Enam</v>
      </c>
    </row>
    <row r="21782" spans="10:12">
      <c r="J21782" s="31">
        <v>77</v>
      </c>
      <c r="K21782" s="33" t="s">
        <v>152</v>
      </c>
      <c r="L21782" s="31" t="str">
        <f t="shared" si="2107"/>
        <v>Tujuh Puluh Tujuh</v>
      </c>
    </row>
    <row r="21783" spans="10:12">
      <c r="J21783" s="31">
        <v>78</v>
      </c>
      <c r="K21783" s="33" t="s">
        <v>153</v>
      </c>
      <c r="L21783" s="31" t="str">
        <f t="shared" si="2107"/>
        <v>Tujuh Puluh Delapan</v>
      </c>
    </row>
    <row r="21784" spans="10:12">
      <c r="J21784" s="31">
        <v>79</v>
      </c>
      <c r="K21784" s="33" t="s">
        <v>154</v>
      </c>
      <c r="L21784" s="31" t="str">
        <f t="shared" si="2107"/>
        <v>Tujuh Puluh Sembilan</v>
      </c>
    </row>
    <row r="21785" spans="10:12">
      <c r="J21785" s="31">
        <v>80</v>
      </c>
      <c r="K21785" s="33" t="s">
        <v>155</v>
      </c>
      <c r="L21785" s="31" t="s">
        <v>156</v>
      </c>
    </row>
    <row r="21786" spans="10:12">
      <c r="J21786" s="31">
        <v>81</v>
      </c>
      <c r="K21786" s="33" t="s">
        <v>157</v>
      </c>
      <c r="L21786" s="31" t="str">
        <f t="shared" ref="L21786:L21794" si="2108">$L$83&amp;" "&amp;L21706</f>
        <v>Delapan Puluh Satu</v>
      </c>
    </row>
    <row r="21787" spans="10:12">
      <c r="J21787" s="31">
        <v>82</v>
      </c>
      <c r="K21787" s="33" t="s">
        <v>158</v>
      </c>
      <c r="L21787" s="31" t="str">
        <f t="shared" si="2108"/>
        <v>Delapan Puluh Dua</v>
      </c>
    </row>
    <row r="21788" spans="10:12">
      <c r="J21788" s="31">
        <v>83</v>
      </c>
      <c r="K21788" s="33" t="s">
        <v>159</v>
      </c>
      <c r="L21788" s="31" t="str">
        <f t="shared" si="2108"/>
        <v>Delapan Puluh Tiga</v>
      </c>
    </row>
    <row r="21789" spans="10:12">
      <c r="J21789" s="31">
        <v>84</v>
      </c>
      <c r="K21789" s="33" t="s">
        <v>160</v>
      </c>
      <c r="L21789" s="31" t="str">
        <f t="shared" si="2108"/>
        <v>Delapan Puluh Empat</v>
      </c>
    </row>
    <row r="21790" spans="10:12">
      <c r="J21790" s="31">
        <v>85</v>
      </c>
      <c r="K21790" s="33" t="s">
        <v>161</v>
      </c>
      <c r="L21790" s="31" t="str">
        <f t="shared" si="2108"/>
        <v>Delapan Puluh Lima</v>
      </c>
    </row>
    <row r="21791" spans="10:12">
      <c r="J21791" s="31">
        <v>86</v>
      </c>
      <c r="K21791" s="33" t="s">
        <v>162</v>
      </c>
      <c r="L21791" s="31" t="str">
        <f t="shared" si="2108"/>
        <v>Delapan Puluh Enam</v>
      </c>
    </row>
    <row r="21792" spans="10:12">
      <c r="J21792" s="31">
        <v>87</v>
      </c>
      <c r="K21792" s="33" t="s">
        <v>163</v>
      </c>
      <c r="L21792" s="31" t="str">
        <f t="shared" si="2108"/>
        <v>Delapan Puluh Tujuh</v>
      </c>
    </row>
    <row r="21793" spans="1:12">
      <c r="J21793" s="31">
        <v>88</v>
      </c>
      <c r="K21793" s="33" t="s">
        <v>164</v>
      </c>
      <c r="L21793" s="31" t="str">
        <f t="shared" si="2108"/>
        <v>Delapan Puluh Delapan</v>
      </c>
    </row>
    <row r="21794" spans="1:12">
      <c r="J21794" s="31">
        <v>89</v>
      </c>
      <c r="K21794" s="33" t="s">
        <v>165</v>
      </c>
      <c r="L21794" s="31" t="str">
        <f t="shared" si="2108"/>
        <v>Delapan Puluh Sembilan</v>
      </c>
    </row>
    <row r="21795" spans="1:12">
      <c r="J21795" s="31">
        <v>90</v>
      </c>
      <c r="K21795" s="33" t="s">
        <v>166</v>
      </c>
      <c r="L21795" s="31" t="s">
        <v>167</v>
      </c>
    </row>
    <row r="21796" spans="1:12">
      <c r="J21796" s="31">
        <v>91</v>
      </c>
      <c r="K21796" s="33" t="s">
        <v>168</v>
      </c>
      <c r="L21796" s="31" t="str">
        <f t="shared" ref="L21796:L21804" si="2109">$L$93&amp;" "&amp;L21706</f>
        <v>Sembilan Puluh Satu</v>
      </c>
    </row>
    <row r="21797" spans="1:12">
      <c r="J21797" s="31">
        <v>92</v>
      </c>
      <c r="K21797" s="33" t="s">
        <v>169</v>
      </c>
      <c r="L21797" s="31" t="str">
        <f t="shared" si="2109"/>
        <v>Sembilan Puluh Dua</v>
      </c>
    </row>
    <row r="21798" spans="1:12">
      <c r="J21798" s="31">
        <v>93</v>
      </c>
      <c r="K21798" s="33" t="s">
        <v>170</v>
      </c>
      <c r="L21798" s="31" t="str">
        <f t="shared" si="2109"/>
        <v>Sembilan Puluh Tiga</v>
      </c>
    </row>
    <row r="21799" spans="1:12">
      <c r="J21799" s="31">
        <v>94</v>
      </c>
      <c r="K21799" s="33" t="s">
        <v>171</v>
      </c>
      <c r="L21799" s="31" t="str">
        <f t="shared" si="2109"/>
        <v>Sembilan Puluh Empat</v>
      </c>
    </row>
    <row r="21800" spans="1:12">
      <c r="J21800" s="31">
        <v>95</v>
      </c>
      <c r="K21800" s="33" t="s">
        <v>172</v>
      </c>
      <c r="L21800" s="31" t="str">
        <f t="shared" si="2109"/>
        <v>Sembilan Puluh Lima</v>
      </c>
    </row>
    <row r="21801" spans="1:12">
      <c r="J21801" s="31">
        <v>96</v>
      </c>
      <c r="K21801" s="33" t="s">
        <v>173</v>
      </c>
      <c r="L21801" s="31" t="str">
        <f t="shared" si="2109"/>
        <v>Sembilan Puluh Enam</v>
      </c>
    </row>
    <row r="21802" spans="1:12">
      <c r="J21802" s="31">
        <v>97</v>
      </c>
      <c r="K21802" s="33" t="s">
        <v>174</v>
      </c>
      <c r="L21802" s="31" t="str">
        <f t="shared" si="2109"/>
        <v>Sembilan Puluh Tujuh</v>
      </c>
    </row>
    <row r="21803" spans="1:12">
      <c r="J21803" s="31">
        <v>98</v>
      </c>
      <c r="K21803" s="33" t="s">
        <v>175</v>
      </c>
      <c r="L21803" s="31" t="str">
        <f t="shared" si="2109"/>
        <v>Sembilan Puluh Delapan</v>
      </c>
    </row>
    <row r="21804" spans="1:12">
      <c r="J21804" s="31">
        <v>99</v>
      </c>
      <c r="K21804" s="33" t="s">
        <v>176</v>
      </c>
      <c r="L21804" s="31" t="str">
        <f t="shared" si="2109"/>
        <v>Sembilan Puluh Sembilan</v>
      </c>
    </row>
    <row r="21806" spans="1:12">
      <c r="A21806" s="30" t="e">
        <f>#REF!</f>
        <v>#REF!</v>
      </c>
      <c r="C21806" s="31" t="s">
        <v>468</v>
      </c>
    </row>
    <row r="21807" spans="1:12">
      <c r="A21807" s="32"/>
    </row>
    <row r="21808" spans="1:12">
      <c r="J21808" s="31">
        <v>0</v>
      </c>
      <c r="K21808" s="33" t="s">
        <v>48</v>
      </c>
      <c r="L21808" s="31" t="s">
        <v>49</v>
      </c>
    </row>
    <row r="21809" spans="1:12">
      <c r="A21809" s="34"/>
      <c r="J21809" s="31">
        <v>1</v>
      </c>
      <c r="K21809" s="33" t="s">
        <v>50</v>
      </c>
      <c r="L21809" s="31" t="s">
        <v>51</v>
      </c>
    </row>
    <row r="21810" spans="1:12">
      <c r="A21810" s="255" t="e">
        <f>TRIM(D21818&amp;E21818&amp;D21819&amp;E21819&amp;D21820&amp;E21820&amp;D21821&amp;E21821&amp;D21822&amp;E21822&amp;D21823&amp;E21823&amp;E21824&amp;D21824&amp;" Only")</f>
        <v>#REF!</v>
      </c>
      <c r="B21810" s="255"/>
      <c r="C21810" s="255"/>
      <c r="D21810" s="255"/>
      <c r="E21810" s="35"/>
      <c r="F21810" s="36"/>
      <c r="J21810" s="31">
        <v>2</v>
      </c>
      <c r="K21810" s="33" t="s">
        <v>52</v>
      </c>
      <c r="L21810" s="31" t="s">
        <v>53</v>
      </c>
    </row>
    <row r="21811" spans="1:12">
      <c r="A21811" s="202"/>
      <c r="B21811" s="202"/>
      <c r="C21811" s="202"/>
      <c r="D21811" s="202"/>
      <c r="E21811" s="35"/>
      <c r="F21811" s="36"/>
      <c r="J21811" s="31">
        <v>3</v>
      </c>
      <c r="K21811" s="33" t="s">
        <v>54</v>
      </c>
      <c r="L21811" s="31" t="s">
        <v>55</v>
      </c>
    </row>
    <row r="21812" spans="1:12">
      <c r="A21812" s="202"/>
      <c r="B21812" s="202"/>
      <c r="C21812" s="202"/>
      <c r="D21812" s="202"/>
      <c r="J21812" s="31">
        <v>4</v>
      </c>
      <c r="K21812" s="33" t="s">
        <v>56</v>
      </c>
      <c r="L21812" s="31" t="s">
        <v>57</v>
      </c>
    </row>
    <row r="21813" spans="1:12">
      <c r="A21813" s="255" t="e">
        <f>TRIM(D21828&amp;E21828&amp;D21829&amp;E21829&amp;D21830&amp;E21830&amp;D21831&amp;E21831&amp;D21832&amp;E21832&amp;D21833&amp;E21833&amp;D21834&amp;E21834&amp;" Rupiah")</f>
        <v>#REF!</v>
      </c>
      <c r="B21813" s="255"/>
      <c r="C21813" s="255"/>
      <c r="D21813" s="255"/>
      <c r="E21813" s="35"/>
      <c r="F21813" s="36"/>
      <c r="J21813" s="31">
        <v>5</v>
      </c>
      <c r="K21813" s="33" t="s">
        <v>58</v>
      </c>
      <c r="L21813" s="31" t="s">
        <v>59</v>
      </c>
    </row>
    <row r="21814" spans="1:12">
      <c r="A21814" s="35"/>
      <c r="B21814" s="35"/>
      <c r="C21814" s="35"/>
      <c r="D21814" s="35"/>
      <c r="E21814" s="35"/>
      <c r="F21814" s="36"/>
      <c r="J21814" s="31">
        <v>6</v>
      </c>
      <c r="K21814" s="33" t="s">
        <v>60</v>
      </c>
      <c r="L21814" s="31" t="s">
        <v>61</v>
      </c>
    </row>
    <row r="21815" spans="1:12">
      <c r="J21815" s="31">
        <v>7</v>
      </c>
      <c r="K21815" s="33" t="s">
        <v>62</v>
      </c>
      <c r="L21815" s="31" t="s">
        <v>63</v>
      </c>
    </row>
    <row r="21816" spans="1:12">
      <c r="J21816" s="31">
        <v>8</v>
      </c>
      <c r="K21816" s="33" t="s">
        <v>64</v>
      </c>
      <c r="L21816" s="31" t="s">
        <v>65</v>
      </c>
    </row>
    <row r="21817" spans="1:12">
      <c r="A21817" s="38" t="s">
        <v>66</v>
      </c>
      <c r="J21817" s="31">
        <v>9</v>
      </c>
      <c r="K21817" s="33" t="s">
        <v>67</v>
      </c>
      <c r="L21817" s="31" t="s">
        <v>68</v>
      </c>
    </row>
    <row r="21818" spans="1:12">
      <c r="A21818" s="31" t="s">
        <v>69</v>
      </c>
      <c r="B21818" s="39" t="e">
        <f>TRUNC(A21806/100000000)</f>
        <v>#REF!</v>
      </c>
      <c r="C21818" s="31" t="e">
        <f>B21818*100000000</f>
        <v>#REF!</v>
      </c>
      <c r="D21818" s="31" t="e">
        <f t="shared" ref="D21818:D21824" si="2110">IF(B21818&lt;1,"",VLOOKUP(B21818,$J$3:$K$102,2))</f>
        <v>#REF!</v>
      </c>
      <c r="E21818" s="31" t="e">
        <f>IF(B21818&lt;1,"",IF(B21818&gt;1," Hundreds "," Hundred "))</f>
        <v>#REF!</v>
      </c>
      <c r="J21818" s="31">
        <v>10</v>
      </c>
      <c r="K21818" s="33" t="s">
        <v>70</v>
      </c>
      <c r="L21818" s="31" t="s">
        <v>71</v>
      </c>
    </row>
    <row r="21819" spans="1:12">
      <c r="A21819" s="31" t="s">
        <v>72</v>
      </c>
      <c r="B21819" s="39" t="e">
        <f>TRUNC((A21806-C21818)/1000000)</f>
        <v>#REF!</v>
      </c>
      <c r="C21819" s="31" t="e">
        <f>B21819*1000000</f>
        <v>#REF!</v>
      </c>
      <c r="D21819" s="31" t="e">
        <f t="shared" si="2110"/>
        <v>#REF!</v>
      </c>
      <c r="E21819" s="31" t="e">
        <f>IF(B21818+B21819=0,"",IF(B21819=1," Million "," Millions "))</f>
        <v>#REF!</v>
      </c>
      <c r="J21819" s="31">
        <v>11</v>
      </c>
      <c r="K21819" s="33" t="s">
        <v>73</v>
      </c>
      <c r="L21819" s="31" t="s">
        <v>74</v>
      </c>
    </row>
    <row r="21820" spans="1:12">
      <c r="A21820" s="31" t="s">
        <v>75</v>
      </c>
      <c r="B21820" s="39" t="e">
        <f>TRUNC((A21806-SUM(C21818:C21819))/100000)</f>
        <v>#REF!</v>
      </c>
      <c r="C21820" s="31" t="e">
        <f>B21820*100000</f>
        <v>#REF!</v>
      </c>
      <c r="D21820" s="31" t="e">
        <f t="shared" si="2110"/>
        <v>#REF!</v>
      </c>
      <c r="E21820" s="31" t="e">
        <f>IF(B21820&lt;1,"",IF(B21820&gt;1," Hundreds "," Hundred "))</f>
        <v>#REF!</v>
      </c>
      <c r="J21820" s="31">
        <v>12</v>
      </c>
      <c r="K21820" s="33" t="s">
        <v>76</v>
      </c>
      <c r="L21820" s="31" t="str">
        <f t="shared" ref="L21820:L21827" si="2111">L21810&amp;" Belas"</f>
        <v>Dua Belas</v>
      </c>
    </row>
    <row r="21821" spans="1:12">
      <c r="A21821" s="33" t="s">
        <v>77</v>
      </c>
      <c r="B21821" s="40" t="e">
        <f>TRUNC((A21806-SUM(C21818:C21820))/1000)</f>
        <v>#REF!</v>
      </c>
      <c r="C21821" s="31" t="e">
        <f>B21821*1000</f>
        <v>#REF!</v>
      </c>
      <c r="D21821" s="31" t="e">
        <f t="shared" si="2110"/>
        <v>#REF!</v>
      </c>
      <c r="E21821" s="31" t="e">
        <f>IF(B21820+B21821=0,"",IF(B21821=1," Thousand "," Thousands "))</f>
        <v>#REF!</v>
      </c>
      <c r="J21821" s="31">
        <v>13</v>
      </c>
      <c r="K21821" s="33" t="s">
        <v>78</v>
      </c>
      <c r="L21821" s="31" t="str">
        <f t="shared" si="2111"/>
        <v>Tiga Belas</v>
      </c>
    </row>
    <row r="21822" spans="1:12">
      <c r="A21822" s="33" t="s">
        <v>79</v>
      </c>
      <c r="B21822" s="40" t="e">
        <f>TRUNC((A21806-SUM(C21818:C21821))/100)</f>
        <v>#REF!</v>
      </c>
      <c r="C21822" s="31" t="e">
        <f>B21822*100</f>
        <v>#REF!</v>
      </c>
      <c r="D21822" s="31" t="e">
        <f t="shared" si="2110"/>
        <v>#REF!</v>
      </c>
      <c r="E21822" s="31" t="e">
        <f>IF(B21822&lt;1,"",IF(B21822&gt;1," Hundreds "," Hundred "))</f>
        <v>#REF!</v>
      </c>
      <c r="J21822" s="31">
        <v>14</v>
      </c>
      <c r="K21822" s="33" t="s">
        <v>80</v>
      </c>
      <c r="L21822" s="31" t="str">
        <f t="shared" si="2111"/>
        <v>Empat Belas</v>
      </c>
    </row>
    <row r="21823" spans="1:12">
      <c r="A21823" s="33" t="s">
        <v>81</v>
      </c>
      <c r="B21823" s="41" t="e">
        <f>TRUNC((A21806-SUM(C21818:C21822)))</f>
        <v>#REF!</v>
      </c>
      <c r="C21823" s="42" t="e">
        <f>B21823</f>
        <v>#REF!</v>
      </c>
      <c r="D21823" s="31" t="e">
        <f t="shared" si="2110"/>
        <v>#REF!</v>
      </c>
      <c r="E21823" s="31" t="e">
        <f>IF(SUM(C21818:C21823)&lt;1,"",IF(B21824&lt;1,""," And "))</f>
        <v>#REF!</v>
      </c>
      <c r="J21823" s="31">
        <v>15</v>
      </c>
      <c r="K21823" s="33" t="s">
        <v>82</v>
      </c>
      <c r="L21823" s="31" t="str">
        <f t="shared" si="2111"/>
        <v>Lima Belas</v>
      </c>
    </row>
    <row r="21824" spans="1:12">
      <c r="A21824" s="33" t="s">
        <v>83</v>
      </c>
      <c r="B21824" s="40" t="e">
        <f>ROUND(A21806-SUM(C21818:C21823),2)*100</f>
        <v>#REF!</v>
      </c>
      <c r="D21824" s="43" t="e">
        <f t="shared" si="2110"/>
        <v>#REF!</v>
      </c>
      <c r="E21824" s="31" t="e">
        <f>IF(B21824&lt;1,"",IF(B21824=1," Cent "," Cents "))</f>
        <v>#REF!</v>
      </c>
      <c r="J21824" s="31">
        <v>16</v>
      </c>
      <c r="K21824" s="33" t="s">
        <v>84</v>
      </c>
      <c r="L21824" s="31" t="str">
        <f t="shared" si="2111"/>
        <v>Enam Belas</v>
      </c>
    </row>
    <row r="21825" spans="1:12">
      <c r="J21825" s="31">
        <v>17</v>
      </c>
      <c r="K21825" s="33" t="s">
        <v>85</v>
      </c>
      <c r="L21825" s="31" t="str">
        <f t="shared" si="2111"/>
        <v>Tujuh Belas</v>
      </c>
    </row>
    <row r="21826" spans="1:12">
      <c r="A21826" s="44"/>
      <c r="J21826" s="31">
        <v>18</v>
      </c>
      <c r="K21826" s="33" t="s">
        <v>86</v>
      </c>
      <c r="L21826" s="31" t="str">
        <f t="shared" si="2111"/>
        <v>Delapan Belas</v>
      </c>
    </row>
    <row r="21827" spans="1:12">
      <c r="A21827" s="38" t="s">
        <v>87</v>
      </c>
      <c r="J21827" s="31">
        <v>19</v>
      </c>
      <c r="K21827" s="33" t="s">
        <v>88</v>
      </c>
      <c r="L21827" s="31" t="str">
        <f t="shared" si="2111"/>
        <v>Sembilan Belas</v>
      </c>
    </row>
    <row r="21828" spans="1:12">
      <c r="A21828" s="31" t="s">
        <v>69</v>
      </c>
      <c r="B21828" s="39" t="e">
        <f>TRUNC(A21806/100000000)</f>
        <v>#REF!</v>
      </c>
      <c r="C21828" s="31" t="e">
        <f>B21828*100000000</f>
        <v>#REF!</v>
      </c>
      <c r="D21828" s="31" t="e">
        <f>IF(B21828&lt;1,"",IF(B21828=1,"",VLOOKUP(B21828,$J$3:$L$102,3)))</f>
        <v>#REF!</v>
      </c>
      <c r="E21828" s="31" t="e">
        <f>IF(B21828&lt;1,"",IF(B21828=1,"Seratus "," Ratus "))</f>
        <v>#REF!</v>
      </c>
      <c r="J21828" s="31">
        <v>20</v>
      </c>
      <c r="K21828" s="33" t="s">
        <v>89</v>
      </c>
      <c r="L21828" s="31" t="s">
        <v>90</v>
      </c>
    </row>
    <row r="21829" spans="1:12">
      <c r="A21829" s="31" t="s">
        <v>72</v>
      </c>
      <c r="B21829" s="39" t="e">
        <f>TRUNC((A21806-C21828)/1000000)</f>
        <v>#REF!</v>
      </c>
      <c r="C21829" s="31" t="e">
        <f>B21829*1000000</f>
        <v>#REF!</v>
      </c>
      <c r="D21829" s="31" t="e">
        <f>IF(B21829&lt;1,"",VLOOKUP(B21829,$J$3:$L$102,3))</f>
        <v>#REF!</v>
      </c>
      <c r="E21829" s="31" t="e">
        <f>IF(B21828+B21829=0,""," Juta ")</f>
        <v>#REF!</v>
      </c>
      <c r="J21829" s="31">
        <v>21</v>
      </c>
      <c r="K21829" s="33" t="s">
        <v>91</v>
      </c>
      <c r="L21829" s="31" t="str">
        <f t="shared" ref="L21829:L21837" si="2112">$L$23&amp;" "&amp;L21809</f>
        <v>Dua Puluh Satu</v>
      </c>
    </row>
    <row r="21830" spans="1:12">
      <c r="A21830" s="31" t="s">
        <v>75</v>
      </c>
      <c r="B21830" s="39" t="e">
        <f>TRUNC((A21806-SUM(C21828:C21829))/100000)</f>
        <v>#REF!</v>
      </c>
      <c r="C21830" s="31" t="e">
        <f>B21830*100000</f>
        <v>#REF!</v>
      </c>
      <c r="D21830" s="31" t="e">
        <f>IF(B21830&lt;1,"",IF(B21830=1,"",VLOOKUP(B21830,$J$3:$L$102,3)))</f>
        <v>#REF!</v>
      </c>
      <c r="E21830" s="31" t="e">
        <f>IF(B21830&lt;1,"",IF(B21830=1," Seratus "," Ratus "))</f>
        <v>#REF!</v>
      </c>
      <c r="J21830" s="31">
        <v>22</v>
      </c>
      <c r="K21830" s="33" t="s">
        <v>92</v>
      </c>
      <c r="L21830" s="31" t="str">
        <f t="shared" si="2112"/>
        <v>Dua Puluh Dua</v>
      </c>
    </row>
    <row r="21831" spans="1:12">
      <c r="A21831" s="33" t="s">
        <v>77</v>
      </c>
      <c r="B21831" s="40" t="e">
        <f>TRUNC((A21806-SUM(C21828:C21830))/1000)</f>
        <v>#REF!</v>
      </c>
      <c r="C21831" s="31" t="e">
        <f>B21831*1000</f>
        <v>#REF!</v>
      </c>
      <c r="D21831" s="31" t="e">
        <f>IF(B21831&lt;1,"",IF(B21831=1,"",VLOOKUP(B21831,$J$3:$L$102,3)))</f>
        <v>#REF!</v>
      </c>
      <c r="E21831" s="31" t="e">
        <f>IF(B21830+B21831&lt;1,"",IF(B21831=1," Seribu "," Ribu "))</f>
        <v>#REF!</v>
      </c>
      <c r="J21831" s="31">
        <v>23</v>
      </c>
      <c r="K21831" s="33" t="s">
        <v>93</v>
      </c>
      <c r="L21831" s="31" t="str">
        <f t="shared" si="2112"/>
        <v>Dua Puluh Tiga</v>
      </c>
    </row>
    <row r="21832" spans="1:12">
      <c r="A21832" s="33" t="s">
        <v>79</v>
      </c>
      <c r="B21832" s="40" t="e">
        <f>TRUNC((A21806-SUM(C21828:C21831))/100)</f>
        <v>#REF!</v>
      </c>
      <c r="C21832" s="31" t="e">
        <f>B21832*100</f>
        <v>#REF!</v>
      </c>
      <c r="D21832" s="31" t="e">
        <f>IF(B21832&lt;1,"",IF(B21832=1,"",VLOOKUP(B21832,$J$3:$L$102,3)))</f>
        <v>#REF!</v>
      </c>
      <c r="E21832" s="31" t="e">
        <f>IF(B21832&lt;1,"",IF(B21832=1," Seratus "," Ratus "))</f>
        <v>#REF!</v>
      </c>
      <c r="J21832" s="31">
        <v>24</v>
      </c>
      <c r="K21832" s="33" t="s">
        <v>94</v>
      </c>
      <c r="L21832" s="31" t="str">
        <f t="shared" si="2112"/>
        <v>Dua Puluh Empat</v>
      </c>
    </row>
    <row r="21833" spans="1:12">
      <c r="A21833" s="33" t="s">
        <v>81</v>
      </c>
      <c r="B21833" s="41" t="e">
        <f>TRUNC((A21806-SUM(C21828:C21832)))</f>
        <v>#REF!</v>
      </c>
      <c r="C21833" s="42" t="e">
        <f>B21833</f>
        <v>#REF!</v>
      </c>
      <c r="D21833" s="31" t="e">
        <f>IF(B21833&lt;1,"",VLOOKUP(B21833,$J$3:$L$102,3))</f>
        <v>#REF!</v>
      </c>
      <c r="E21833" s="31" t="e">
        <f>IF(SUM(C21828:C21833)&lt;1,"",IF(B21834&lt;1,""," Dan "))</f>
        <v>#REF!</v>
      </c>
      <c r="J21833" s="31">
        <v>25</v>
      </c>
      <c r="K21833" s="33" t="s">
        <v>95</v>
      </c>
      <c r="L21833" s="31" t="str">
        <f t="shared" si="2112"/>
        <v>Dua Puluh Lima</v>
      </c>
    </row>
    <row r="21834" spans="1:12">
      <c r="A21834" s="33" t="s">
        <v>83</v>
      </c>
      <c r="B21834" s="40" t="e">
        <f>ROUND(A21806-SUM(C21828:C21833),2)*100</f>
        <v>#REF!</v>
      </c>
      <c r="D21834" s="31" t="e">
        <f>IF(B21834&lt;1,"",VLOOKUP(B21834,$J$3:$L$102,3))</f>
        <v>#REF!</v>
      </c>
      <c r="E21834" s="31" t="e">
        <f>IF(B21834&lt;1,""," Sen ")</f>
        <v>#REF!</v>
      </c>
      <c r="J21834" s="31">
        <v>26</v>
      </c>
      <c r="K21834" s="33" t="s">
        <v>96</v>
      </c>
      <c r="L21834" s="31" t="str">
        <f t="shared" si="2112"/>
        <v>Dua Puluh Enam</v>
      </c>
    </row>
    <row r="21835" spans="1:12">
      <c r="J21835" s="31">
        <v>27</v>
      </c>
      <c r="K21835" s="33" t="s">
        <v>97</v>
      </c>
      <c r="L21835" s="31" t="str">
        <f t="shared" si="2112"/>
        <v>Dua Puluh Tujuh</v>
      </c>
    </row>
    <row r="21836" spans="1:12">
      <c r="J21836" s="31">
        <v>28</v>
      </c>
      <c r="K21836" s="33" t="s">
        <v>98</v>
      </c>
      <c r="L21836" s="31" t="str">
        <f t="shared" si="2112"/>
        <v>Dua Puluh Delapan</v>
      </c>
    </row>
    <row r="21837" spans="1:12">
      <c r="J21837" s="31">
        <v>29</v>
      </c>
      <c r="K21837" s="33" t="s">
        <v>99</v>
      </c>
      <c r="L21837" s="31" t="str">
        <f t="shared" si="2112"/>
        <v>Dua Puluh Sembilan</v>
      </c>
    </row>
    <row r="21838" spans="1:12">
      <c r="J21838" s="31">
        <v>30</v>
      </c>
      <c r="K21838" s="33" t="s">
        <v>100</v>
      </c>
      <c r="L21838" s="31" t="s">
        <v>101</v>
      </c>
    </row>
    <row r="21839" spans="1:12">
      <c r="J21839" s="31">
        <v>31</v>
      </c>
      <c r="K21839" s="33" t="s">
        <v>102</v>
      </c>
      <c r="L21839" s="31" t="str">
        <f t="shared" ref="L21839:L21847" si="2113">$L$33&amp;" "&amp;L21809</f>
        <v>Tiga Puluh Satu</v>
      </c>
    </row>
    <row r="21840" spans="1:12">
      <c r="J21840" s="31">
        <v>32</v>
      </c>
      <c r="K21840" s="33" t="s">
        <v>103</v>
      </c>
      <c r="L21840" s="31" t="str">
        <f t="shared" si="2113"/>
        <v>Tiga Puluh Dua</v>
      </c>
    </row>
    <row r="21841" spans="1:12">
      <c r="J21841" s="31">
        <v>33</v>
      </c>
      <c r="K21841" s="33" t="s">
        <v>104</v>
      </c>
      <c r="L21841" s="31" t="str">
        <f t="shared" si="2113"/>
        <v>Tiga Puluh Tiga</v>
      </c>
    </row>
    <row r="21842" spans="1:12">
      <c r="J21842" s="31">
        <v>34</v>
      </c>
      <c r="K21842" s="33" t="s">
        <v>105</v>
      </c>
      <c r="L21842" s="31" t="str">
        <f t="shared" si="2113"/>
        <v>Tiga Puluh Empat</v>
      </c>
    </row>
    <row r="21843" spans="1:12">
      <c r="J21843" s="31">
        <v>35</v>
      </c>
      <c r="K21843" s="33" t="s">
        <v>106</v>
      </c>
      <c r="L21843" s="31" t="str">
        <f t="shared" si="2113"/>
        <v>Tiga Puluh Lima</v>
      </c>
    </row>
    <row r="21844" spans="1:12">
      <c r="J21844" s="31">
        <v>36</v>
      </c>
      <c r="K21844" s="33" t="s">
        <v>107</v>
      </c>
      <c r="L21844" s="31" t="str">
        <f t="shared" si="2113"/>
        <v>Tiga Puluh Enam</v>
      </c>
    </row>
    <row r="21845" spans="1:12">
      <c r="J21845" s="31">
        <v>37</v>
      </c>
      <c r="K21845" s="33" t="s">
        <v>108</v>
      </c>
      <c r="L21845" s="31" t="str">
        <f t="shared" si="2113"/>
        <v>Tiga Puluh Tujuh</v>
      </c>
    </row>
    <row r="21846" spans="1:12">
      <c r="J21846" s="31">
        <v>38</v>
      </c>
      <c r="K21846" s="33" t="s">
        <v>109</v>
      </c>
      <c r="L21846" s="31" t="str">
        <f t="shared" si="2113"/>
        <v>Tiga Puluh Delapan</v>
      </c>
    </row>
    <row r="21847" spans="1:12">
      <c r="J21847" s="31">
        <v>39</v>
      </c>
      <c r="K21847" s="33" t="s">
        <v>110</v>
      </c>
      <c r="L21847" s="31" t="str">
        <f t="shared" si="2113"/>
        <v>Tiga Puluh Sembilan</v>
      </c>
    </row>
    <row r="21848" spans="1:12">
      <c r="B21848" s="35"/>
      <c r="C21848" s="35"/>
      <c r="D21848" s="35"/>
      <c r="J21848" s="31">
        <v>40</v>
      </c>
      <c r="K21848" s="33" t="s">
        <v>111</v>
      </c>
      <c r="L21848" s="31" t="s">
        <v>112</v>
      </c>
    </row>
    <row r="21849" spans="1:12">
      <c r="A21849" s="35"/>
      <c r="B21849" s="35"/>
      <c r="C21849" s="35"/>
      <c r="D21849" s="35"/>
      <c r="J21849" s="31">
        <v>41</v>
      </c>
      <c r="K21849" s="33" t="s">
        <v>113</v>
      </c>
      <c r="L21849" s="31" t="str">
        <f t="shared" ref="L21849:L21857" si="2114">$L$43&amp;" "&amp;L21809</f>
        <v>Empat Puluh Satu</v>
      </c>
    </row>
    <row r="21850" spans="1:12">
      <c r="J21850" s="31">
        <v>42</v>
      </c>
      <c r="K21850" s="33" t="s">
        <v>114</v>
      </c>
      <c r="L21850" s="31" t="str">
        <f t="shared" si="2114"/>
        <v>Empat Puluh Dua</v>
      </c>
    </row>
    <row r="21851" spans="1:12">
      <c r="A21851" s="38"/>
      <c r="J21851" s="31">
        <v>43</v>
      </c>
      <c r="K21851" s="33" t="s">
        <v>115</v>
      </c>
      <c r="L21851" s="31" t="str">
        <f t="shared" si="2114"/>
        <v>Empat Puluh Tiga</v>
      </c>
    </row>
    <row r="21852" spans="1:12">
      <c r="J21852" s="31">
        <v>44</v>
      </c>
      <c r="K21852" s="33" t="s">
        <v>116</v>
      </c>
      <c r="L21852" s="31" t="str">
        <f t="shared" si="2114"/>
        <v>Empat Puluh Empat</v>
      </c>
    </row>
    <row r="21853" spans="1:12">
      <c r="J21853" s="31">
        <v>45</v>
      </c>
      <c r="K21853" s="33" t="s">
        <v>117</v>
      </c>
      <c r="L21853" s="31" t="str">
        <f t="shared" si="2114"/>
        <v>Empat Puluh Lima</v>
      </c>
    </row>
    <row r="21854" spans="1:12">
      <c r="J21854" s="31">
        <v>46</v>
      </c>
      <c r="K21854" s="33" t="s">
        <v>118</v>
      </c>
      <c r="L21854" s="31" t="str">
        <f t="shared" si="2114"/>
        <v>Empat Puluh Enam</v>
      </c>
    </row>
    <row r="21855" spans="1:12">
      <c r="J21855" s="31">
        <v>47</v>
      </c>
      <c r="K21855" s="33" t="s">
        <v>119</v>
      </c>
      <c r="L21855" s="31" t="str">
        <f t="shared" si="2114"/>
        <v>Empat Puluh Tujuh</v>
      </c>
    </row>
    <row r="21856" spans="1:12">
      <c r="J21856" s="31">
        <v>48</v>
      </c>
      <c r="K21856" s="33" t="s">
        <v>120</v>
      </c>
      <c r="L21856" s="31" t="str">
        <f t="shared" si="2114"/>
        <v>Empat Puluh Delapan</v>
      </c>
    </row>
    <row r="21857" spans="10:12">
      <c r="J21857" s="31">
        <v>49</v>
      </c>
      <c r="K21857" s="33" t="s">
        <v>121</v>
      </c>
      <c r="L21857" s="31" t="str">
        <f t="shared" si="2114"/>
        <v>Empat Puluh Sembilan</v>
      </c>
    </row>
    <row r="21858" spans="10:12">
      <c r="J21858" s="31">
        <v>50</v>
      </c>
      <c r="K21858" s="33" t="s">
        <v>122</v>
      </c>
      <c r="L21858" s="31" t="s">
        <v>123</v>
      </c>
    </row>
    <row r="21859" spans="10:12">
      <c r="J21859" s="31">
        <v>51</v>
      </c>
      <c r="K21859" s="33" t="s">
        <v>124</v>
      </c>
      <c r="L21859" s="31" t="str">
        <f t="shared" ref="L21859:L21867" si="2115">$L$53&amp;" "&amp;L21809</f>
        <v>Lima Puluh Satu</v>
      </c>
    </row>
    <row r="21860" spans="10:12">
      <c r="J21860" s="31">
        <v>52</v>
      </c>
      <c r="K21860" s="33" t="s">
        <v>125</v>
      </c>
      <c r="L21860" s="31" t="str">
        <f t="shared" si="2115"/>
        <v>Lima Puluh Dua</v>
      </c>
    </row>
    <row r="21861" spans="10:12">
      <c r="J21861" s="31">
        <v>53</v>
      </c>
      <c r="K21861" s="33" t="s">
        <v>126</v>
      </c>
      <c r="L21861" s="31" t="str">
        <f t="shared" si="2115"/>
        <v>Lima Puluh Tiga</v>
      </c>
    </row>
    <row r="21862" spans="10:12">
      <c r="J21862" s="31">
        <v>54</v>
      </c>
      <c r="K21862" s="33" t="s">
        <v>127</v>
      </c>
      <c r="L21862" s="31" t="str">
        <f t="shared" si="2115"/>
        <v>Lima Puluh Empat</v>
      </c>
    </row>
    <row r="21863" spans="10:12">
      <c r="J21863" s="31">
        <v>55</v>
      </c>
      <c r="K21863" s="33" t="s">
        <v>128</v>
      </c>
      <c r="L21863" s="31" t="str">
        <f t="shared" si="2115"/>
        <v>Lima Puluh Lima</v>
      </c>
    </row>
    <row r="21864" spans="10:12">
      <c r="J21864" s="31">
        <v>56</v>
      </c>
      <c r="K21864" s="33" t="s">
        <v>129</v>
      </c>
      <c r="L21864" s="31" t="str">
        <f t="shared" si="2115"/>
        <v>Lima Puluh Enam</v>
      </c>
    </row>
    <row r="21865" spans="10:12">
      <c r="J21865" s="31">
        <v>57</v>
      </c>
      <c r="K21865" s="33" t="s">
        <v>130</v>
      </c>
      <c r="L21865" s="31" t="str">
        <f t="shared" si="2115"/>
        <v>Lima Puluh Tujuh</v>
      </c>
    </row>
    <row r="21866" spans="10:12">
      <c r="J21866" s="31">
        <v>58</v>
      </c>
      <c r="K21866" s="33" t="s">
        <v>131</v>
      </c>
      <c r="L21866" s="31" t="str">
        <f t="shared" si="2115"/>
        <v>Lima Puluh Delapan</v>
      </c>
    </row>
    <row r="21867" spans="10:12">
      <c r="J21867" s="31">
        <v>59</v>
      </c>
      <c r="K21867" s="33" t="s">
        <v>132</v>
      </c>
      <c r="L21867" s="31" t="str">
        <f t="shared" si="2115"/>
        <v>Lima Puluh Sembilan</v>
      </c>
    </row>
    <row r="21868" spans="10:12">
      <c r="J21868" s="31">
        <v>60</v>
      </c>
      <c r="K21868" s="33" t="s">
        <v>133</v>
      </c>
      <c r="L21868" s="31" t="s">
        <v>134</v>
      </c>
    </row>
    <row r="21869" spans="10:12">
      <c r="J21869" s="31">
        <v>61</v>
      </c>
      <c r="K21869" s="33" t="s">
        <v>135</v>
      </c>
      <c r="L21869" s="31" t="str">
        <f t="shared" ref="L21869:L21877" si="2116">$L$63&amp;" "&amp;L21809</f>
        <v>Enam Puluh Satu</v>
      </c>
    </row>
    <row r="21870" spans="10:12">
      <c r="J21870" s="31">
        <v>62</v>
      </c>
      <c r="K21870" s="33" t="s">
        <v>136</v>
      </c>
      <c r="L21870" s="31" t="str">
        <f t="shared" si="2116"/>
        <v>Enam Puluh Dua</v>
      </c>
    </row>
    <row r="21871" spans="10:12">
      <c r="J21871" s="31">
        <v>63</v>
      </c>
      <c r="K21871" s="33" t="s">
        <v>137</v>
      </c>
      <c r="L21871" s="31" t="str">
        <f t="shared" si="2116"/>
        <v>Enam Puluh Tiga</v>
      </c>
    </row>
    <row r="21872" spans="10:12">
      <c r="J21872" s="31">
        <v>64</v>
      </c>
      <c r="K21872" s="33" t="s">
        <v>138</v>
      </c>
      <c r="L21872" s="31" t="str">
        <f t="shared" si="2116"/>
        <v>Enam Puluh Empat</v>
      </c>
    </row>
    <row r="21873" spans="10:12">
      <c r="J21873" s="31">
        <v>65</v>
      </c>
      <c r="K21873" s="33" t="s">
        <v>139</v>
      </c>
      <c r="L21873" s="31" t="str">
        <f t="shared" si="2116"/>
        <v>Enam Puluh Lima</v>
      </c>
    </row>
    <row r="21874" spans="10:12">
      <c r="J21874" s="31">
        <v>66</v>
      </c>
      <c r="K21874" s="33" t="s">
        <v>140</v>
      </c>
      <c r="L21874" s="31" t="str">
        <f t="shared" si="2116"/>
        <v>Enam Puluh Enam</v>
      </c>
    </row>
    <row r="21875" spans="10:12">
      <c r="J21875" s="31">
        <v>67</v>
      </c>
      <c r="K21875" s="33" t="s">
        <v>141</v>
      </c>
      <c r="L21875" s="31" t="str">
        <f t="shared" si="2116"/>
        <v>Enam Puluh Tujuh</v>
      </c>
    </row>
    <row r="21876" spans="10:12">
      <c r="J21876" s="31">
        <v>68</v>
      </c>
      <c r="K21876" s="33" t="s">
        <v>142</v>
      </c>
      <c r="L21876" s="31" t="str">
        <f t="shared" si="2116"/>
        <v>Enam Puluh Delapan</v>
      </c>
    </row>
    <row r="21877" spans="10:12">
      <c r="J21877" s="31">
        <v>69</v>
      </c>
      <c r="K21877" s="33" t="s">
        <v>143</v>
      </c>
      <c r="L21877" s="31" t="str">
        <f t="shared" si="2116"/>
        <v>Enam Puluh Sembilan</v>
      </c>
    </row>
    <row r="21878" spans="10:12">
      <c r="J21878" s="31">
        <v>70</v>
      </c>
      <c r="K21878" s="33" t="s">
        <v>144</v>
      </c>
      <c r="L21878" s="31" t="s">
        <v>145</v>
      </c>
    </row>
    <row r="21879" spans="10:12">
      <c r="J21879" s="31">
        <v>71</v>
      </c>
      <c r="K21879" s="33" t="s">
        <v>146</v>
      </c>
      <c r="L21879" s="31" t="str">
        <f t="shared" ref="L21879:L21887" si="2117">$L$73&amp;" "&amp;L21809</f>
        <v>Tujuh Puluh Satu</v>
      </c>
    </row>
    <row r="21880" spans="10:12">
      <c r="J21880" s="31">
        <v>72</v>
      </c>
      <c r="K21880" s="33" t="s">
        <v>147</v>
      </c>
      <c r="L21880" s="31" t="str">
        <f t="shared" si="2117"/>
        <v>Tujuh Puluh Dua</v>
      </c>
    </row>
    <row r="21881" spans="10:12">
      <c r="J21881" s="31">
        <v>73</v>
      </c>
      <c r="K21881" s="33" t="s">
        <v>148</v>
      </c>
      <c r="L21881" s="31" t="str">
        <f t="shared" si="2117"/>
        <v>Tujuh Puluh Tiga</v>
      </c>
    </row>
    <row r="21882" spans="10:12">
      <c r="J21882" s="31">
        <v>74</v>
      </c>
      <c r="K21882" s="33" t="s">
        <v>149</v>
      </c>
      <c r="L21882" s="31" t="str">
        <f t="shared" si="2117"/>
        <v>Tujuh Puluh Empat</v>
      </c>
    </row>
    <row r="21883" spans="10:12">
      <c r="J21883" s="31">
        <v>75</v>
      </c>
      <c r="K21883" s="33" t="s">
        <v>150</v>
      </c>
      <c r="L21883" s="31" t="str">
        <f t="shared" si="2117"/>
        <v>Tujuh Puluh Lima</v>
      </c>
    </row>
    <row r="21884" spans="10:12">
      <c r="J21884" s="31">
        <v>76</v>
      </c>
      <c r="K21884" s="33" t="s">
        <v>151</v>
      </c>
      <c r="L21884" s="31" t="str">
        <f t="shared" si="2117"/>
        <v>Tujuh Puluh Enam</v>
      </c>
    </row>
    <row r="21885" spans="10:12">
      <c r="J21885" s="31">
        <v>77</v>
      </c>
      <c r="K21885" s="33" t="s">
        <v>152</v>
      </c>
      <c r="L21885" s="31" t="str">
        <f t="shared" si="2117"/>
        <v>Tujuh Puluh Tujuh</v>
      </c>
    </row>
    <row r="21886" spans="10:12">
      <c r="J21886" s="31">
        <v>78</v>
      </c>
      <c r="K21886" s="33" t="s">
        <v>153</v>
      </c>
      <c r="L21886" s="31" t="str">
        <f t="shared" si="2117"/>
        <v>Tujuh Puluh Delapan</v>
      </c>
    </row>
    <row r="21887" spans="10:12">
      <c r="J21887" s="31">
        <v>79</v>
      </c>
      <c r="K21887" s="33" t="s">
        <v>154</v>
      </c>
      <c r="L21887" s="31" t="str">
        <f t="shared" si="2117"/>
        <v>Tujuh Puluh Sembilan</v>
      </c>
    </row>
    <row r="21888" spans="10:12">
      <c r="J21888" s="31">
        <v>80</v>
      </c>
      <c r="K21888" s="33" t="s">
        <v>155</v>
      </c>
      <c r="L21888" s="31" t="s">
        <v>156</v>
      </c>
    </row>
    <row r="21889" spans="10:12">
      <c r="J21889" s="31">
        <v>81</v>
      </c>
      <c r="K21889" s="33" t="s">
        <v>157</v>
      </c>
      <c r="L21889" s="31" t="str">
        <f t="shared" ref="L21889:L21897" si="2118">$L$83&amp;" "&amp;L21809</f>
        <v>Delapan Puluh Satu</v>
      </c>
    </row>
    <row r="21890" spans="10:12">
      <c r="J21890" s="31">
        <v>82</v>
      </c>
      <c r="K21890" s="33" t="s">
        <v>158</v>
      </c>
      <c r="L21890" s="31" t="str">
        <f t="shared" si="2118"/>
        <v>Delapan Puluh Dua</v>
      </c>
    </row>
    <row r="21891" spans="10:12">
      <c r="J21891" s="31">
        <v>83</v>
      </c>
      <c r="K21891" s="33" t="s">
        <v>159</v>
      </c>
      <c r="L21891" s="31" t="str">
        <f t="shared" si="2118"/>
        <v>Delapan Puluh Tiga</v>
      </c>
    </row>
    <row r="21892" spans="10:12">
      <c r="J21892" s="31">
        <v>84</v>
      </c>
      <c r="K21892" s="33" t="s">
        <v>160</v>
      </c>
      <c r="L21892" s="31" t="str">
        <f t="shared" si="2118"/>
        <v>Delapan Puluh Empat</v>
      </c>
    </row>
    <row r="21893" spans="10:12">
      <c r="J21893" s="31">
        <v>85</v>
      </c>
      <c r="K21893" s="33" t="s">
        <v>161</v>
      </c>
      <c r="L21893" s="31" t="str">
        <f t="shared" si="2118"/>
        <v>Delapan Puluh Lima</v>
      </c>
    </row>
    <row r="21894" spans="10:12">
      <c r="J21894" s="31">
        <v>86</v>
      </c>
      <c r="K21894" s="33" t="s">
        <v>162</v>
      </c>
      <c r="L21894" s="31" t="str">
        <f t="shared" si="2118"/>
        <v>Delapan Puluh Enam</v>
      </c>
    </row>
    <row r="21895" spans="10:12">
      <c r="J21895" s="31">
        <v>87</v>
      </c>
      <c r="K21895" s="33" t="s">
        <v>163</v>
      </c>
      <c r="L21895" s="31" t="str">
        <f t="shared" si="2118"/>
        <v>Delapan Puluh Tujuh</v>
      </c>
    </row>
    <row r="21896" spans="10:12">
      <c r="J21896" s="31">
        <v>88</v>
      </c>
      <c r="K21896" s="33" t="s">
        <v>164</v>
      </c>
      <c r="L21896" s="31" t="str">
        <f t="shared" si="2118"/>
        <v>Delapan Puluh Delapan</v>
      </c>
    </row>
    <row r="21897" spans="10:12">
      <c r="J21897" s="31">
        <v>89</v>
      </c>
      <c r="K21897" s="33" t="s">
        <v>165</v>
      </c>
      <c r="L21897" s="31" t="str">
        <f t="shared" si="2118"/>
        <v>Delapan Puluh Sembilan</v>
      </c>
    </row>
    <row r="21898" spans="10:12">
      <c r="J21898" s="31">
        <v>90</v>
      </c>
      <c r="K21898" s="33" t="s">
        <v>166</v>
      </c>
      <c r="L21898" s="31" t="s">
        <v>167</v>
      </c>
    </row>
    <row r="21899" spans="10:12">
      <c r="J21899" s="31">
        <v>91</v>
      </c>
      <c r="K21899" s="33" t="s">
        <v>168</v>
      </c>
      <c r="L21899" s="31" t="str">
        <f t="shared" ref="L21899:L21907" si="2119">$L$93&amp;" "&amp;L21809</f>
        <v>Sembilan Puluh Satu</v>
      </c>
    </row>
    <row r="21900" spans="10:12">
      <c r="J21900" s="31">
        <v>92</v>
      </c>
      <c r="K21900" s="33" t="s">
        <v>169</v>
      </c>
      <c r="L21900" s="31" t="str">
        <f t="shared" si="2119"/>
        <v>Sembilan Puluh Dua</v>
      </c>
    </row>
    <row r="21901" spans="10:12">
      <c r="J21901" s="31">
        <v>93</v>
      </c>
      <c r="K21901" s="33" t="s">
        <v>170</v>
      </c>
      <c r="L21901" s="31" t="str">
        <f t="shared" si="2119"/>
        <v>Sembilan Puluh Tiga</v>
      </c>
    </row>
    <row r="21902" spans="10:12">
      <c r="J21902" s="31">
        <v>94</v>
      </c>
      <c r="K21902" s="33" t="s">
        <v>171</v>
      </c>
      <c r="L21902" s="31" t="str">
        <f t="shared" si="2119"/>
        <v>Sembilan Puluh Empat</v>
      </c>
    </row>
    <row r="21903" spans="10:12">
      <c r="J21903" s="31">
        <v>95</v>
      </c>
      <c r="K21903" s="33" t="s">
        <v>172</v>
      </c>
      <c r="L21903" s="31" t="str">
        <f t="shared" si="2119"/>
        <v>Sembilan Puluh Lima</v>
      </c>
    </row>
    <row r="21904" spans="10:12">
      <c r="J21904" s="31">
        <v>96</v>
      </c>
      <c r="K21904" s="33" t="s">
        <v>173</v>
      </c>
      <c r="L21904" s="31" t="str">
        <f t="shared" si="2119"/>
        <v>Sembilan Puluh Enam</v>
      </c>
    </row>
    <row r="21905" spans="1:12">
      <c r="J21905" s="31">
        <v>97</v>
      </c>
      <c r="K21905" s="33" t="s">
        <v>174</v>
      </c>
      <c r="L21905" s="31" t="str">
        <f t="shared" si="2119"/>
        <v>Sembilan Puluh Tujuh</v>
      </c>
    </row>
    <row r="21906" spans="1:12">
      <c r="J21906" s="31">
        <v>98</v>
      </c>
      <c r="K21906" s="33" t="s">
        <v>175</v>
      </c>
      <c r="L21906" s="31" t="str">
        <f t="shared" si="2119"/>
        <v>Sembilan Puluh Delapan</v>
      </c>
    </row>
    <row r="21907" spans="1:12">
      <c r="J21907" s="31">
        <v>99</v>
      </c>
      <c r="K21907" s="33" t="s">
        <v>176</v>
      </c>
      <c r="L21907" s="31" t="str">
        <f t="shared" si="2119"/>
        <v>Sembilan Puluh Sembilan</v>
      </c>
    </row>
    <row r="21909" spans="1:12">
      <c r="A21909" s="30" t="e">
        <f>#REF!</f>
        <v>#REF!</v>
      </c>
      <c r="C21909" s="31" t="s">
        <v>471</v>
      </c>
    </row>
    <row r="21910" spans="1:12">
      <c r="A21910" s="32"/>
    </row>
    <row r="21911" spans="1:12">
      <c r="J21911" s="31">
        <v>0</v>
      </c>
      <c r="K21911" s="33" t="s">
        <v>48</v>
      </c>
      <c r="L21911" s="31" t="s">
        <v>49</v>
      </c>
    </row>
    <row r="21912" spans="1:12">
      <c r="A21912" s="34"/>
      <c r="J21912" s="31">
        <v>1</v>
      </c>
      <c r="K21912" s="33" t="s">
        <v>50</v>
      </c>
      <c r="L21912" s="31" t="s">
        <v>51</v>
      </c>
    </row>
    <row r="21913" spans="1:12">
      <c r="A21913" s="255" t="e">
        <f>TRIM(D21921&amp;E21921&amp;D21922&amp;E21922&amp;D21923&amp;E21923&amp;D21924&amp;E21924&amp;D21925&amp;E21925&amp;D21926&amp;E21926&amp;E21927&amp;D21927&amp;" Only")</f>
        <v>#REF!</v>
      </c>
      <c r="B21913" s="255"/>
      <c r="C21913" s="255"/>
      <c r="D21913" s="255"/>
      <c r="E21913" s="35"/>
      <c r="F21913" s="36"/>
      <c r="J21913" s="31">
        <v>2</v>
      </c>
      <c r="K21913" s="33" t="s">
        <v>52</v>
      </c>
      <c r="L21913" s="31" t="s">
        <v>53</v>
      </c>
    </row>
    <row r="21914" spans="1:12">
      <c r="A21914" s="210"/>
      <c r="B21914" s="210"/>
      <c r="C21914" s="210"/>
      <c r="D21914" s="210"/>
      <c r="E21914" s="35"/>
      <c r="F21914" s="36"/>
      <c r="J21914" s="31">
        <v>3</v>
      </c>
      <c r="K21914" s="33" t="s">
        <v>54</v>
      </c>
      <c r="L21914" s="31" t="s">
        <v>55</v>
      </c>
    </row>
    <row r="21915" spans="1:12">
      <c r="A21915" s="210"/>
      <c r="B21915" s="210"/>
      <c r="C21915" s="210"/>
      <c r="D21915" s="210"/>
      <c r="J21915" s="31">
        <v>4</v>
      </c>
      <c r="K21915" s="33" t="s">
        <v>56</v>
      </c>
      <c r="L21915" s="31" t="s">
        <v>57</v>
      </c>
    </row>
    <row r="21916" spans="1:12">
      <c r="A21916" s="255" t="e">
        <f>TRIM(D21931&amp;E21931&amp;D21932&amp;E21932&amp;D21933&amp;E21933&amp;D21934&amp;E21934&amp;D21935&amp;E21935&amp;D21936&amp;E21936&amp;D21937&amp;E21937&amp;" Rupiah")</f>
        <v>#REF!</v>
      </c>
      <c r="B21916" s="255"/>
      <c r="C21916" s="255"/>
      <c r="D21916" s="255"/>
      <c r="E21916" s="35"/>
      <c r="F21916" s="36"/>
      <c r="J21916" s="31">
        <v>5</v>
      </c>
      <c r="K21916" s="33" t="s">
        <v>58</v>
      </c>
      <c r="L21916" s="31" t="s">
        <v>59</v>
      </c>
    </row>
    <row r="21917" spans="1:12">
      <c r="A21917" s="35"/>
      <c r="B21917" s="35"/>
      <c r="C21917" s="35"/>
      <c r="D21917" s="35"/>
      <c r="E21917" s="35"/>
      <c r="F21917" s="36"/>
      <c r="J21917" s="31">
        <v>6</v>
      </c>
      <c r="K21917" s="33" t="s">
        <v>60</v>
      </c>
      <c r="L21917" s="31" t="s">
        <v>61</v>
      </c>
    </row>
    <row r="21918" spans="1:12">
      <c r="J21918" s="31">
        <v>7</v>
      </c>
      <c r="K21918" s="33" t="s">
        <v>62</v>
      </c>
      <c r="L21918" s="31" t="s">
        <v>63</v>
      </c>
    </row>
    <row r="21919" spans="1:12">
      <c r="J21919" s="31">
        <v>8</v>
      </c>
      <c r="K21919" s="33" t="s">
        <v>64</v>
      </c>
      <c r="L21919" s="31" t="s">
        <v>65</v>
      </c>
    </row>
    <row r="21920" spans="1:12">
      <c r="A21920" s="38" t="s">
        <v>66</v>
      </c>
      <c r="J21920" s="31">
        <v>9</v>
      </c>
      <c r="K21920" s="33" t="s">
        <v>67</v>
      </c>
      <c r="L21920" s="31" t="s">
        <v>68</v>
      </c>
    </row>
    <row r="21921" spans="1:12">
      <c r="A21921" s="31" t="s">
        <v>69</v>
      </c>
      <c r="B21921" s="39" t="e">
        <f>TRUNC(A21909/100000000)</f>
        <v>#REF!</v>
      </c>
      <c r="C21921" s="31" t="e">
        <f>B21921*100000000</f>
        <v>#REF!</v>
      </c>
      <c r="D21921" s="31" t="e">
        <f t="shared" ref="D21921:D21927" si="2120">IF(B21921&lt;1,"",VLOOKUP(B21921,$J$3:$K$102,2))</f>
        <v>#REF!</v>
      </c>
      <c r="E21921" s="31" t="e">
        <f>IF(B21921&lt;1,"",IF(B21921&gt;1," Hundreds "," Hundred "))</f>
        <v>#REF!</v>
      </c>
      <c r="J21921" s="31">
        <v>10</v>
      </c>
      <c r="K21921" s="33" t="s">
        <v>70</v>
      </c>
      <c r="L21921" s="31" t="s">
        <v>71</v>
      </c>
    </row>
    <row r="21922" spans="1:12">
      <c r="A21922" s="31" t="s">
        <v>72</v>
      </c>
      <c r="B21922" s="39" t="e">
        <f>TRUNC((A21909-C21921)/1000000)</f>
        <v>#REF!</v>
      </c>
      <c r="C21922" s="31" t="e">
        <f>B21922*1000000</f>
        <v>#REF!</v>
      </c>
      <c r="D21922" s="31" t="e">
        <f t="shared" si="2120"/>
        <v>#REF!</v>
      </c>
      <c r="E21922" s="31" t="e">
        <f>IF(B21921+B21922=0,"",IF(B21922=1," Million "," Millions "))</f>
        <v>#REF!</v>
      </c>
      <c r="J21922" s="31">
        <v>11</v>
      </c>
      <c r="K21922" s="33" t="s">
        <v>73</v>
      </c>
      <c r="L21922" s="31" t="s">
        <v>74</v>
      </c>
    </row>
    <row r="21923" spans="1:12">
      <c r="A21923" s="31" t="s">
        <v>75</v>
      </c>
      <c r="B21923" s="39" t="e">
        <f>TRUNC((A21909-SUM(C21921:C21922))/100000)</f>
        <v>#REF!</v>
      </c>
      <c r="C21923" s="31" t="e">
        <f>B21923*100000</f>
        <v>#REF!</v>
      </c>
      <c r="D21923" s="31" t="e">
        <f t="shared" si="2120"/>
        <v>#REF!</v>
      </c>
      <c r="E21923" s="31" t="e">
        <f>IF(B21923&lt;1,"",IF(B21923&gt;1," Hundreds "," Hundred "))</f>
        <v>#REF!</v>
      </c>
      <c r="J21923" s="31">
        <v>12</v>
      </c>
      <c r="K21923" s="33" t="s">
        <v>76</v>
      </c>
      <c r="L21923" s="31" t="str">
        <f t="shared" ref="L21923:L21930" si="2121">L21913&amp;" Belas"</f>
        <v>Dua Belas</v>
      </c>
    </row>
    <row r="21924" spans="1:12">
      <c r="A21924" s="33" t="s">
        <v>77</v>
      </c>
      <c r="B21924" s="40" t="e">
        <f>TRUNC((A21909-SUM(C21921:C21923))/1000)</f>
        <v>#REF!</v>
      </c>
      <c r="C21924" s="31" t="e">
        <f>B21924*1000</f>
        <v>#REF!</v>
      </c>
      <c r="D21924" s="31" t="e">
        <f t="shared" si="2120"/>
        <v>#REF!</v>
      </c>
      <c r="E21924" s="31" t="e">
        <f>IF(B21923+B21924=0,"",IF(B21924=1," Thousand "," Thousands "))</f>
        <v>#REF!</v>
      </c>
      <c r="J21924" s="31">
        <v>13</v>
      </c>
      <c r="K21924" s="33" t="s">
        <v>78</v>
      </c>
      <c r="L21924" s="31" t="str">
        <f t="shared" si="2121"/>
        <v>Tiga Belas</v>
      </c>
    </row>
    <row r="21925" spans="1:12">
      <c r="A21925" s="33" t="s">
        <v>79</v>
      </c>
      <c r="B21925" s="40" t="e">
        <f>TRUNC((A21909-SUM(C21921:C21924))/100)</f>
        <v>#REF!</v>
      </c>
      <c r="C21925" s="31" t="e">
        <f>B21925*100</f>
        <v>#REF!</v>
      </c>
      <c r="D21925" s="31" t="e">
        <f t="shared" si="2120"/>
        <v>#REF!</v>
      </c>
      <c r="E21925" s="31" t="e">
        <f>IF(B21925&lt;1,"",IF(B21925&gt;1," Hundreds "," Hundred "))</f>
        <v>#REF!</v>
      </c>
      <c r="J21925" s="31">
        <v>14</v>
      </c>
      <c r="K21925" s="33" t="s">
        <v>80</v>
      </c>
      <c r="L21925" s="31" t="str">
        <f t="shared" si="2121"/>
        <v>Empat Belas</v>
      </c>
    </row>
    <row r="21926" spans="1:12">
      <c r="A21926" s="33" t="s">
        <v>81</v>
      </c>
      <c r="B21926" s="41" t="e">
        <f>TRUNC((A21909-SUM(C21921:C21925)))</f>
        <v>#REF!</v>
      </c>
      <c r="C21926" s="42" t="e">
        <f>B21926</f>
        <v>#REF!</v>
      </c>
      <c r="D21926" s="31" t="e">
        <f t="shared" si="2120"/>
        <v>#REF!</v>
      </c>
      <c r="E21926" s="31" t="e">
        <f>IF(SUM(C21921:C21926)&lt;1,"",IF(B21927&lt;1,""," And "))</f>
        <v>#REF!</v>
      </c>
      <c r="J21926" s="31">
        <v>15</v>
      </c>
      <c r="K21926" s="33" t="s">
        <v>82</v>
      </c>
      <c r="L21926" s="31" t="str">
        <f t="shared" si="2121"/>
        <v>Lima Belas</v>
      </c>
    </row>
    <row r="21927" spans="1:12">
      <c r="A21927" s="33" t="s">
        <v>83</v>
      </c>
      <c r="B21927" s="40" t="e">
        <f>ROUND(A21909-SUM(C21921:C21926),2)*100</f>
        <v>#REF!</v>
      </c>
      <c r="D21927" s="43" t="e">
        <f t="shared" si="2120"/>
        <v>#REF!</v>
      </c>
      <c r="E21927" s="31" t="e">
        <f>IF(B21927&lt;1,"",IF(B21927=1," Cent "," Cents "))</f>
        <v>#REF!</v>
      </c>
      <c r="J21927" s="31">
        <v>16</v>
      </c>
      <c r="K21927" s="33" t="s">
        <v>84</v>
      </c>
      <c r="L21927" s="31" t="str">
        <f t="shared" si="2121"/>
        <v>Enam Belas</v>
      </c>
    </row>
    <row r="21928" spans="1:12">
      <c r="J21928" s="31">
        <v>17</v>
      </c>
      <c r="K21928" s="33" t="s">
        <v>85</v>
      </c>
      <c r="L21928" s="31" t="str">
        <f t="shared" si="2121"/>
        <v>Tujuh Belas</v>
      </c>
    </row>
    <row r="21929" spans="1:12">
      <c r="A21929" s="44"/>
      <c r="J21929" s="31">
        <v>18</v>
      </c>
      <c r="K21929" s="33" t="s">
        <v>86</v>
      </c>
      <c r="L21929" s="31" t="str">
        <f t="shared" si="2121"/>
        <v>Delapan Belas</v>
      </c>
    </row>
    <row r="21930" spans="1:12">
      <c r="A21930" s="38" t="s">
        <v>87</v>
      </c>
      <c r="J21930" s="31">
        <v>19</v>
      </c>
      <c r="K21930" s="33" t="s">
        <v>88</v>
      </c>
      <c r="L21930" s="31" t="str">
        <f t="shared" si="2121"/>
        <v>Sembilan Belas</v>
      </c>
    </row>
    <row r="21931" spans="1:12">
      <c r="A21931" s="31" t="s">
        <v>69</v>
      </c>
      <c r="B21931" s="39" t="e">
        <f>TRUNC(A21909/100000000)</f>
        <v>#REF!</v>
      </c>
      <c r="C21931" s="31" t="e">
        <f>B21931*100000000</f>
        <v>#REF!</v>
      </c>
      <c r="D21931" s="31" t="e">
        <f>IF(B21931&lt;1,"",IF(B21931=1,"",VLOOKUP(B21931,$J$3:$L$102,3)))</f>
        <v>#REF!</v>
      </c>
      <c r="E21931" s="31" t="e">
        <f>IF(B21931&lt;1,"",IF(B21931=1,"Seratus "," Ratus "))</f>
        <v>#REF!</v>
      </c>
      <c r="J21931" s="31">
        <v>20</v>
      </c>
      <c r="K21931" s="33" t="s">
        <v>89</v>
      </c>
      <c r="L21931" s="31" t="s">
        <v>90</v>
      </c>
    </row>
    <row r="21932" spans="1:12">
      <c r="A21932" s="31" t="s">
        <v>72</v>
      </c>
      <c r="B21932" s="39" t="e">
        <f>TRUNC((A21909-C21931)/1000000)</f>
        <v>#REF!</v>
      </c>
      <c r="C21932" s="31" t="e">
        <f>B21932*1000000</f>
        <v>#REF!</v>
      </c>
      <c r="D21932" s="31" t="e">
        <f>IF(B21932&lt;1,"",VLOOKUP(B21932,$J$3:$L$102,3))</f>
        <v>#REF!</v>
      </c>
      <c r="E21932" s="31" t="e">
        <f>IF(B21931+B21932=0,""," Juta ")</f>
        <v>#REF!</v>
      </c>
      <c r="J21932" s="31">
        <v>21</v>
      </c>
      <c r="K21932" s="33" t="s">
        <v>91</v>
      </c>
      <c r="L21932" s="31" t="str">
        <f t="shared" ref="L21932:L21940" si="2122">$L$23&amp;" "&amp;L21912</f>
        <v>Dua Puluh Satu</v>
      </c>
    </row>
    <row r="21933" spans="1:12">
      <c r="A21933" s="31" t="s">
        <v>75</v>
      </c>
      <c r="B21933" s="39" t="e">
        <f>TRUNC((A21909-SUM(C21931:C21932))/100000)</f>
        <v>#REF!</v>
      </c>
      <c r="C21933" s="31" t="e">
        <f>B21933*100000</f>
        <v>#REF!</v>
      </c>
      <c r="D21933" s="31" t="e">
        <f>IF(B21933&lt;1,"",IF(B21933=1,"",VLOOKUP(B21933,$J$3:$L$102,3)))</f>
        <v>#REF!</v>
      </c>
      <c r="E21933" s="31" t="e">
        <f>IF(B21933&lt;1,"",IF(B21933=1," Seratus "," Ratus "))</f>
        <v>#REF!</v>
      </c>
      <c r="J21933" s="31">
        <v>22</v>
      </c>
      <c r="K21933" s="33" t="s">
        <v>92</v>
      </c>
      <c r="L21933" s="31" t="str">
        <f t="shared" si="2122"/>
        <v>Dua Puluh Dua</v>
      </c>
    </row>
    <row r="21934" spans="1:12">
      <c r="A21934" s="33" t="s">
        <v>77</v>
      </c>
      <c r="B21934" s="40" t="e">
        <f>TRUNC((A21909-SUM(C21931:C21933))/1000)</f>
        <v>#REF!</v>
      </c>
      <c r="C21934" s="31" t="e">
        <f>B21934*1000</f>
        <v>#REF!</v>
      </c>
      <c r="D21934" s="31" t="e">
        <f>IF(B21934&lt;1,"",IF(B21934=1,"",VLOOKUP(B21934,$J$3:$L$102,3)))</f>
        <v>#REF!</v>
      </c>
      <c r="E21934" s="31" t="e">
        <f>IF(B21933+B21934&lt;1,"",IF(B21934=1," Seribu "," Ribu "))</f>
        <v>#REF!</v>
      </c>
      <c r="J21934" s="31">
        <v>23</v>
      </c>
      <c r="K21934" s="33" t="s">
        <v>93</v>
      </c>
      <c r="L21934" s="31" t="str">
        <f t="shared" si="2122"/>
        <v>Dua Puluh Tiga</v>
      </c>
    </row>
    <row r="21935" spans="1:12">
      <c r="A21935" s="33" t="s">
        <v>79</v>
      </c>
      <c r="B21935" s="40" t="e">
        <f>TRUNC((A21909-SUM(C21931:C21934))/100)</f>
        <v>#REF!</v>
      </c>
      <c r="C21935" s="31" t="e">
        <f>B21935*100</f>
        <v>#REF!</v>
      </c>
      <c r="D21935" s="31" t="e">
        <f>IF(B21935&lt;1,"",IF(B21935=1,"",VLOOKUP(B21935,$J$3:$L$102,3)))</f>
        <v>#REF!</v>
      </c>
      <c r="E21935" s="31" t="e">
        <f>IF(B21935&lt;1,"",IF(B21935=1," Seratus "," Ratus "))</f>
        <v>#REF!</v>
      </c>
      <c r="J21935" s="31">
        <v>24</v>
      </c>
      <c r="K21935" s="33" t="s">
        <v>94</v>
      </c>
      <c r="L21935" s="31" t="str">
        <f t="shared" si="2122"/>
        <v>Dua Puluh Empat</v>
      </c>
    </row>
    <row r="21936" spans="1:12">
      <c r="A21936" s="33" t="s">
        <v>81</v>
      </c>
      <c r="B21936" s="41" t="e">
        <f>TRUNC((A21909-SUM(C21931:C21935)))</f>
        <v>#REF!</v>
      </c>
      <c r="C21936" s="42" t="e">
        <f>B21936</f>
        <v>#REF!</v>
      </c>
      <c r="D21936" s="31" t="e">
        <f>IF(B21936&lt;1,"",VLOOKUP(B21936,$J$3:$L$102,3))</f>
        <v>#REF!</v>
      </c>
      <c r="E21936" s="31" t="e">
        <f>IF(SUM(C21931:C21936)&lt;1,"",IF(B21937&lt;1,""," Dan "))</f>
        <v>#REF!</v>
      </c>
      <c r="J21936" s="31">
        <v>25</v>
      </c>
      <c r="K21936" s="33" t="s">
        <v>95</v>
      </c>
      <c r="L21936" s="31" t="str">
        <f t="shared" si="2122"/>
        <v>Dua Puluh Lima</v>
      </c>
    </row>
    <row r="21937" spans="1:12">
      <c r="A21937" s="33" t="s">
        <v>83</v>
      </c>
      <c r="B21937" s="40" t="e">
        <f>ROUND(A21909-SUM(C21931:C21936),2)*100</f>
        <v>#REF!</v>
      </c>
      <c r="D21937" s="31" t="e">
        <f>IF(B21937&lt;1,"",VLOOKUP(B21937,$J$3:$L$102,3))</f>
        <v>#REF!</v>
      </c>
      <c r="E21937" s="31" t="e">
        <f>IF(B21937&lt;1,""," Sen ")</f>
        <v>#REF!</v>
      </c>
      <c r="J21937" s="31">
        <v>26</v>
      </c>
      <c r="K21937" s="33" t="s">
        <v>96</v>
      </c>
      <c r="L21937" s="31" t="str">
        <f t="shared" si="2122"/>
        <v>Dua Puluh Enam</v>
      </c>
    </row>
    <row r="21938" spans="1:12">
      <c r="J21938" s="31">
        <v>27</v>
      </c>
      <c r="K21938" s="33" t="s">
        <v>97</v>
      </c>
      <c r="L21938" s="31" t="str">
        <f t="shared" si="2122"/>
        <v>Dua Puluh Tujuh</v>
      </c>
    </row>
    <row r="21939" spans="1:12">
      <c r="J21939" s="31">
        <v>28</v>
      </c>
      <c r="K21939" s="33" t="s">
        <v>98</v>
      </c>
      <c r="L21939" s="31" t="str">
        <f t="shared" si="2122"/>
        <v>Dua Puluh Delapan</v>
      </c>
    </row>
    <row r="21940" spans="1:12">
      <c r="J21940" s="31">
        <v>29</v>
      </c>
      <c r="K21940" s="33" t="s">
        <v>99</v>
      </c>
      <c r="L21940" s="31" t="str">
        <f t="shared" si="2122"/>
        <v>Dua Puluh Sembilan</v>
      </c>
    </row>
    <row r="21941" spans="1:12">
      <c r="J21941" s="31">
        <v>30</v>
      </c>
      <c r="K21941" s="33" t="s">
        <v>100</v>
      </c>
      <c r="L21941" s="31" t="s">
        <v>101</v>
      </c>
    </row>
    <row r="21942" spans="1:12">
      <c r="J21942" s="31">
        <v>31</v>
      </c>
      <c r="K21942" s="33" t="s">
        <v>102</v>
      </c>
      <c r="L21942" s="31" t="str">
        <f t="shared" ref="L21942:L21950" si="2123">$L$33&amp;" "&amp;L21912</f>
        <v>Tiga Puluh Satu</v>
      </c>
    </row>
    <row r="21943" spans="1:12">
      <c r="J21943" s="31">
        <v>32</v>
      </c>
      <c r="K21943" s="33" t="s">
        <v>103</v>
      </c>
      <c r="L21943" s="31" t="str">
        <f t="shared" si="2123"/>
        <v>Tiga Puluh Dua</v>
      </c>
    </row>
    <row r="21944" spans="1:12">
      <c r="J21944" s="31">
        <v>33</v>
      </c>
      <c r="K21944" s="33" t="s">
        <v>104</v>
      </c>
      <c r="L21944" s="31" t="str">
        <f t="shared" si="2123"/>
        <v>Tiga Puluh Tiga</v>
      </c>
    </row>
    <row r="21945" spans="1:12">
      <c r="J21945" s="31">
        <v>34</v>
      </c>
      <c r="K21945" s="33" t="s">
        <v>105</v>
      </c>
      <c r="L21945" s="31" t="str">
        <f t="shared" si="2123"/>
        <v>Tiga Puluh Empat</v>
      </c>
    </row>
    <row r="21946" spans="1:12">
      <c r="J21946" s="31">
        <v>35</v>
      </c>
      <c r="K21946" s="33" t="s">
        <v>106</v>
      </c>
      <c r="L21946" s="31" t="str">
        <f t="shared" si="2123"/>
        <v>Tiga Puluh Lima</v>
      </c>
    </row>
    <row r="21947" spans="1:12">
      <c r="J21947" s="31">
        <v>36</v>
      </c>
      <c r="K21947" s="33" t="s">
        <v>107</v>
      </c>
      <c r="L21947" s="31" t="str">
        <f t="shared" si="2123"/>
        <v>Tiga Puluh Enam</v>
      </c>
    </row>
    <row r="21948" spans="1:12">
      <c r="J21948" s="31">
        <v>37</v>
      </c>
      <c r="K21948" s="33" t="s">
        <v>108</v>
      </c>
      <c r="L21948" s="31" t="str">
        <f t="shared" si="2123"/>
        <v>Tiga Puluh Tujuh</v>
      </c>
    </row>
    <row r="21949" spans="1:12">
      <c r="J21949" s="31">
        <v>38</v>
      </c>
      <c r="K21949" s="33" t="s">
        <v>109</v>
      </c>
      <c r="L21949" s="31" t="str">
        <f t="shared" si="2123"/>
        <v>Tiga Puluh Delapan</v>
      </c>
    </row>
    <row r="21950" spans="1:12">
      <c r="J21950" s="31">
        <v>39</v>
      </c>
      <c r="K21950" s="33" t="s">
        <v>110</v>
      </c>
      <c r="L21950" s="31" t="str">
        <f t="shared" si="2123"/>
        <v>Tiga Puluh Sembilan</v>
      </c>
    </row>
    <row r="21951" spans="1:12">
      <c r="B21951" s="35"/>
      <c r="C21951" s="35"/>
      <c r="D21951" s="35"/>
      <c r="J21951" s="31">
        <v>40</v>
      </c>
      <c r="K21951" s="33" t="s">
        <v>111</v>
      </c>
      <c r="L21951" s="31" t="s">
        <v>112</v>
      </c>
    </row>
    <row r="21952" spans="1:12">
      <c r="A21952" s="35"/>
      <c r="B21952" s="35"/>
      <c r="C21952" s="35"/>
      <c r="D21952" s="35"/>
      <c r="J21952" s="31">
        <v>41</v>
      </c>
      <c r="K21952" s="33" t="s">
        <v>113</v>
      </c>
      <c r="L21952" s="31" t="str">
        <f t="shared" ref="L21952:L21960" si="2124">$L$43&amp;" "&amp;L21912</f>
        <v>Empat Puluh Satu</v>
      </c>
    </row>
    <row r="21953" spans="1:12">
      <c r="J21953" s="31">
        <v>42</v>
      </c>
      <c r="K21953" s="33" t="s">
        <v>114</v>
      </c>
      <c r="L21953" s="31" t="str">
        <f t="shared" si="2124"/>
        <v>Empat Puluh Dua</v>
      </c>
    </row>
    <row r="21954" spans="1:12">
      <c r="A21954" s="38"/>
      <c r="J21954" s="31">
        <v>43</v>
      </c>
      <c r="K21954" s="33" t="s">
        <v>115</v>
      </c>
      <c r="L21954" s="31" t="str">
        <f t="shared" si="2124"/>
        <v>Empat Puluh Tiga</v>
      </c>
    </row>
    <row r="21955" spans="1:12">
      <c r="J21955" s="31">
        <v>44</v>
      </c>
      <c r="K21955" s="33" t="s">
        <v>116</v>
      </c>
      <c r="L21955" s="31" t="str">
        <f t="shared" si="2124"/>
        <v>Empat Puluh Empat</v>
      </c>
    </row>
    <row r="21956" spans="1:12">
      <c r="J21956" s="31">
        <v>45</v>
      </c>
      <c r="K21956" s="33" t="s">
        <v>117</v>
      </c>
      <c r="L21956" s="31" t="str">
        <f t="shared" si="2124"/>
        <v>Empat Puluh Lima</v>
      </c>
    </row>
    <row r="21957" spans="1:12">
      <c r="J21957" s="31">
        <v>46</v>
      </c>
      <c r="K21957" s="33" t="s">
        <v>118</v>
      </c>
      <c r="L21957" s="31" t="str">
        <f t="shared" si="2124"/>
        <v>Empat Puluh Enam</v>
      </c>
    </row>
    <row r="21958" spans="1:12">
      <c r="J21958" s="31">
        <v>47</v>
      </c>
      <c r="K21958" s="33" t="s">
        <v>119</v>
      </c>
      <c r="L21958" s="31" t="str">
        <f t="shared" si="2124"/>
        <v>Empat Puluh Tujuh</v>
      </c>
    </row>
    <row r="21959" spans="1:12">
      <c r="J21959" s="31">
        <v>48</v>
      </c>
      <c r="K21959" s="33" t="s">
        <v>120</v>
      </c>
      <c r="L21959" s="31" t="str">
        <f t="shared" si="2124"/>
        <v>Empat Puluh Delapan</v>
      </c>
    </row>
    <row r="21960" spans="1:12">
      <c r="J21960" s="31">
        <v>49</v>
      </c>
      <c r="K21960" s="33" t="s">
        <v>121</v>
      </c>
      <c r="L21960" s="31" t="str">
        <f t="shared" si="2124"/>
        <v>Empat Puluh Sembilan</v>
      </c>
    </row>
    <row r="21961" spans="1:12">
      <c r="J21961" s="31">
        <v>50</v>
      </c>
      <c r="K21961" s="33" t="s">
        <v>122</v>
      </c>
      <c r="L21961" s="31" t="s">
        <v>123</v>
      </c>
    </row>
    <row r="21962" spans="1:12">
      <c r="J21962" s="31">
        <v>51</v>
      </c>
      <c r="K21962" s="33" t="s">
        <v>124</v>
      </c>
      <c r="L21962" s="31" t="str">
        <f t="shared" ref="L21962:L21970" si="2125">$L$53&amp;" "&amp;L21912</f>
        <v>Lima Puluh Satu</v>
      </c>
    </row>
    <row r="21963" spans="1:12">
      <c r="J21963" s="31">
        <v>52</v>
      </c>
      <c r="K21963" s="33" t="s">
        <v>125</v>
      </c>
      <c r="L21963" s="31" t="str">
        <f t="shared" si="2125"/>
        <v>Lima Puluh Dua</v>
      </c>
    </row>
    <row r="21964" spans="1:12">
      <c r="J21964" s="31">
        <v>53</v>
      </c>
      <c r="K21964" s="33" t="s">
        <v>126</v>
      </c>
      <c r="L21964" s="31" t="str">
        <f t="shared" si="2125"/>
        <v>Lima Puluh Tiga</v>
      </c>
    </row>
    <row r="21965" spans="1:12">
      <c r="J21965" s="31">
        <v>54</v>
      </c>
      <c r="K21965" s="33" t="s">
        <v>127</v>
      </c>
      <c r="L21965" s="31" t="str">
        <f t="shared" si="2125"/>
        <v>Lima Puluh Empat</v>
      </c>
    </row>
    <row r="21966" spans="1:12">
      <c r="J21966" s="31">
        <v>55</v>
      </c>
      <c r="K21966" s="33" t="s">
        <v>128</v>
      </c>
      <c r="L21966" s="31" t="str">
        <f t="shared" si="2125"/>
        <v>Lima Puluh Lima</v>
      </c>
    </row>
    <row r="21967" spans="1:12">
      <c r="J21967" s="31">
        <v>56</v>
      </c>
      <c r="K21967" s="33" t="s">
        <v>129</v>
      </c>
      <c r="L21967" s="31" t="str">
        <f t="shared" si="2125"/>
        <v>Lima Puluh Enam</v>
      </c>
    </row>
    <row r="21968" spans="1:12">
      <c r="J21968" s="31">
        <v>57</v>
      </c>
      <c r="K21968" s="33" t="s">
        <v>130</v>
      </c>
      <c r="L21968" s="31" t="str">
        <f t="shared" si="2125"/>
        <v>Lima Puluh Tujuh</v>
      </c>
    </row>
    <row r="21969" spans="10:12">
      <c r="J21969" s="31">
        <v>58</v>
      </c>
      <c r="K21969" s="33" t="s">
        <v>131</v>
      </c>
      <c r="L21969" s="31" t="str">
        <f t="shared" si="2125"/>
        <v>Lima Puluh Delapan</v>
      </c>
    </row>
    <row r="21970" spans="10:12">
      <c r="J21970" s="31">
        <v>59</v>
      </c>
      <c r="K21970" s="33" t="s">
        <v>132</v>
      </c>
      <c r="L21970" s="31" t="str">
        <f t="shared" si="2125"/>
        <v>Lima Puluh Sembilan</v>
      </c>
    </row>
    <row r="21971" spans="10:12">
      <c r="J21971" s="31">
        <v>60</v>
      </c>
      <c r="K21971" s="33" t="s">
        <v>133</v>
      </c>
      <c r="L21971" s="31" t="s">
        <v>134</v>
      </c>
    </row>
    <row r="21972" spans="10:12">
      <c r="J21972" s="31">
        <v>61</v>
      </c>
      <c r="K21972" s="33" t="s">
        <v>135</v>
      </c>
      <c r="L21972" s="31" t="str">
        <f t="shared" ref="L21972:L21980" si="2126">$L$63&amp;" "&amp;L21912</f>
        <v>Enam Puluh Satu</v>
      </c>
    </row>
    <row r="21973" spans="10:12">
      <c r="J21973" s="31">
        <v>62</v>
      </c>
      <c r="K21973" s="33" t="s">
        <v>136</v>
      </c>
      <c r="L21973" s="31" t="str">
        <f t="shared" si="2126"/>
        <v>Enam Puluh Dua</v>
      </c>
    </row>
    <row r="21974" spans="10:12">
      <c r="J21974" s="31">
        <v>63</v>
      </c>
      <c r="K21974" s="33" t="s">
        <v>137</v>
      </c>
      <c r="L21974" s="31" t="str">
        <f t="shared" si="2126"/>
        <v>Enam Puluh Tiga</v>
      </c>
    </row>
    <row r="21975" spans="10:12">
      <c r="J21975" s="31">
        <v>64</v>
      </c>
      <c r="K21975" s="33" t="s">
        <v>138</v>
      </c>
      <c r="L21975" s="31" t="str">
        <f t="shared" si="2126"/>
        <v>Enam Puluh Empat</v>
      </c>
    </row>
    <row r="21976" spans="10:12">
      <c r="J21976" s="31">
        <v>65</v>
      </c>
      <c r="K21976" s="33" t="s">
        <v>139</v>
      </c>
      <c r="L21976" s="31" t="str">
        <f t="shared" si="2126"/>
        <v>Enam Puluh Lima</v>
      </c>
    </row>
    <row r="21977" spans="10:12">
      <c r="J21977" s="31">
        <v>66</v>
      </c>
      <c r="K21977" s="33" t="s">
        <v>140</v>
      </c>
      <c r="L21977" s="31" t="str">
        <f t="shared" si="2126"/>
        <v>Enam Puluh Enam</v>
      </c>
    </row>
    <row r="21978" spans="10:12">
      <c r="J21978" s="31">
        <v>67</v>
      </c>
      <c r="K21978" s="33" t="s">
        <v>141</v>
      </c>
      <c r="L21978" s="31" t="str">
        <f t="shared" si="2126"/>
        <v>Enam Puluh Tujuh</v>
      </c>
    </row>
    <row r="21979" spans="10:12">
      <c r="J21979" s="31">
        <v>68</v>
      </c>
      <c r="K21979" s="33" t="s">
        <v>142</v>
      </c>
      <c r="L21979" s="31" t="str">
        <f t="shared" si="2126"/>
        <v>Enam Puluh Delapan</v>
      </c>
    </row>
    <row r="21980" spans="10:12">
      <c r="J21980" s="31">
        <v>69</v>
      </c>
      <c r="K21980" s="33" t="s">
        <v>143</v>
      </c>
      <c r="L21980" s="31" t="str">
        <f t="shared" si="2126"/>
        <v>Enam Puluh Sembilan</v>
      </c>
    </row>
    <row r="21981" spans="10:12">
      <c r="J21981" s="31">
        <v>70</v>
      </c>
      <c r="K21981" s="33" t="s">
        <v>144</v>
      </c>
      <c r="L21981" s="31" t="s">
        <v>145</v>
      </c>
    </row>
    <row r="21982" spans="10:12">
      <c r="J21982" s="31">
        <v>71</v>
      </c>
      <c r="K21982" s="33" t="s">
        <v>146</v>
      </c>
      <c r="L21982" s="31" t="str">
        <f t="shared" ref="L21982:L21990" si="2127">$L$73&amp;" "&amp;L21912</f>
        <v>Tujuh Puluh Satu</v>
      </c>
    </row>
    <row r="21983" spans="10:12">
      <c r="J21983" s="31">
        <v>72</v>
      </c>
      <c r="K21983" s="33" t="s">
        <v>147</v>
      </c>
      <c r="L21983" s="31" t="str">
        <f t="shared" si="2127"/>
        <v>Tujuh Puluh Dua</v>
      </c>
    </row>
    <row r="21984" spans="10:12">
      <c r="J21984" s="31">
        <v>73</v>
      </c>
      <c r="K21984" s="33" t="s">
        <v>148</v>
      </c>
      <c r="L21984" s="31" t="str">
        <f t="shared" si="2127"/>
        <v>Tujuh Puluh Tiga</v>
      </c>
    </row>
    <row r="21985" spans="10:12">
      <c r="J21985" s="31">
        <v>74</v>
      </c>
      <c r="K21985" s="33" t="s">
        <v>149</v>
      </c>
      <c r="L21985" s="31" t="str">
        <f t="shared" si="2127"/>
        <v>Tujuh Puluh Empat</v>
      </c>
    </row>
    <row r="21986" spans="10:12">
      <c r="J21986" s="31">
        <v>75</v>
      </c>
      <c r="K21986" s="33" t="s">
        <v>150</v>
      </c>
      <c r="L21986" s="31" t="str">
        <f t="shared" si="2127"/>
        <v>Tujuh Puluh Lima</v>
      </c>
    </row>
    <row r="21987" spans="10:12">
      <c r="J21987" s="31">
        <v>76</v>
      </c>
      <c r="K21987" s="33" t="s">
        <v>151</v>
      </c>
      <c r="L21987" s="31" t="str">
        <f t="shared" si="2127"/>
        <v>Tujuh Puluh Enam</v>
      </c>
    </row>
    <row r="21988" spans="10:12">
      <c r="J21988" s="31">
        <v>77</v>
      </c>
      <c r="K21988" s="33" t="s">
        <v>152</v>
      </c>
      <c r="L21988" s="31" t="str">
        <f t="shared" si="2127"/>
        <v>Tujuh Puluh Tujuh</v>
      </c>
    </row>
    <row r="21989" spans="10:12">
      <c r="J21989" s="31">
        <v>78</v>
      </c>
      <c r="K21989" s="33" t="s">
        <v>153</v>
      </c>
      <c r="L21989" s="31" t="str">
        <f t="shared" si="2127"/>
        <v>Tujuh Puluh Delapan</v>
      </c>
    </row>
    <row r="21990" spans="10:12">
      <c r="J21990" s="31">
        <v>79</v>
      </c>
      <c r="K21990" s="33" t="s">
        <v>154</v>
      </c>
      <c r="L21990" s="31" t="str">
        <f t="shared" si="2127"/>
        <v>Tujuh Puluh Sembilan</v>
      </c>
    </row>
    <row r="21991" spans="10:12">
      <c r="J21991" s="31">
        <v>80</v>
      </c>
      <c r="K21991" s="33" t="s">
        <v>155</v>
      </c>
      <c r="L21991" s="31" t="s">
        <v>156</v>
      </c>
    </row>
    <row r="21992" spans="10:12">
      <c r="J21992" s="31">
        <v>81</v>
      </c>
      <c r="K21992" s="33" t="s">
        <v>157</v>
      </c>
      <c r="L21992" s="31" t="str">
        <f t="shared" ref="L21992:L22000" si="2128">$L$83&amp;" "&amp;L21912</f>
        <v>Delapan Puluh Satu</v>
      </c>
    </row>
    <row r="21993" spans="10:12">
      <c r="J21993" s="31">
        <v>82</v>
      </c>
      <c r="K21993" s="33" t="s">
        <v>158</v>
      </c>
      <c r="L21993" s="31" t="str">
        <f t="shared" si="2128"/>
        <v>Delapan Puluh Dua</v>
      </c>
    </row>
    <row r="21994" spans="10:12">
      <c r="J21994" s="31">
        <v>83</v>
      </c>
      <c r="K21994" s="33" t="s">
        <v>159</v>
      </c>
      <c r="L21994" s="31" t="str">
        <f t="shared" si="2128"/>
        <v>Delapan Puluh Tiga</v>
      </c>
    </row>
    <row r="21995" spans="10:12">
      <c r="J21995" s="31">
        <v>84</v>
      </c>
      <c r="K21995" s="33" t="s">
        <v>160</v>
      </c>
      <c r="L21995" s="31" t="str">
        <f t="shared" si="2128"/>
        <v>Delapan Puluh Empat</v>
      </c>
    </row>
    <row r="21996" spans="10:12">
      <c r="J21996" s="31">
        <v>85</v>
      </c>
      <c r="K21996" s="33" t="s">
        <v>161</v>
      </c>
      <c r="L21996" s="31" t="str">
        <f t="shared" si="2128"/>
        <v>Delapan Puluh Lima</v>
      </c>
    </row>
    <row r="21997" spans="10:12">
      <c r="J21997" s="31">
        <v>86</v>
      </c>
      <c r="K21997" s="33" t="s">
        <v>162</v>
      </c>
      <c r="L21997" s="31" t="str">
        <f t="shared" si="2128"/>
        <v>Delapan Puluh Enam</v>
      </c>
    </row>
    <row r="21998" spans="10:12">
      <c r="J21998" s="31">
        <v>87</v>
      </c>
      <c r="K21998" s="33" t="s">
        <v>163</v>
      </c>
      <c r="L21998" s="31" t="str">
        <f t="shared" si="2128"/>
        <v>Delapan Puluh Tujuh</v>
      </c>
    </row>
    <row r="21999" spans="10:12">
      <c r="J21999" s="31">
        <v>88</v>
      </c>
      <c r="K21999" s="33" t="s">
        <v>164</v>
      </c>
      <c r="L21999" s="31" t="str">
        <f t="shared" si="2128"/>
        <v>Delapan Puluh Delapan</v>
      </c>
    </row>
    <row r="22000" spans="10:12">
      <c r="J22000" s="31">
        <v>89</v>
      </c>
      <c r="K22000" s="33" t="s">
        <v>165</v>
      </c>
      <c r="L22000" s="31" t="str">
        <f t="shared" si="2128"/>
        <v>Delapan Puluh Sembilan</v>
      </c>
    </row>
    <row r="22001" spans="1:12">
      <c r="J22001" s="31">
        <v>90</v>
      </c>
      <c r="K22001" s="33" t="s">
        <v>166</v>
      </c>
      <c r="L22001" s="31" t="s">
        <v>167</v>
      </c>
    </row>
    <row r="22002" spans="1:12">
      <c r="J22002" s="31">
        <v>91</v>
      </c>
      <c r="K22002" s="33" t="s">
        <v>168</v>
      </c>
      <c r="L22002" s="31" t="str">
        <f t="shared" ref="L22002:L22010" si="2129">$L$93&amp;" "&amp;L21912</f>
        <v>Sembilan Puluh Satu</v>
      </c>
    </row>
    <row r="22003" spans="1:12">
      <c r="J22003" s="31">
        <v>92</v>
      </c>
      <c r="K22003" s="33" t="s">
        <v>169</v>
      </c>
      <c r="L22003" s="31" t="str">
        <f t="shared" si="2129"/>
        <v>Sembilan Puluh Dua</v>
      </c>
    </row>
    <row r="22004" spans="1:12">
      <c r="J22004" s="31">
        <v>93</v>
      </c>
      <c r="K22004" s="33" t="s">
        <v>170</v>
      </c>
      <c r="L22004" s="31" t="str">
        <f t="shared" si="2129"/>
        <v>Sembilan Puluh Tiga</v>
      </c>
    </row>
    <row r="22005" spans="1:12">
      <c r="J22005" s="31">
        <v>94</v>
      </c>
      <c r="K22005" s="33" t="s">
        <v>171</v>
      </c>
      <c r="L22005" s="31" t="str">
        <f t="shared" si="2129"/>
        <v>Sembilan Puluh Empat</v>
      </c>
    </row>
    <row r="22006" spans="1:12">
      <c r="J22006" s="31">
        <v>95</v>
      </c>
      <c r="K22006" s="33" t="s">
        <v>172</v>
      </c>
      <c r="L22006" s="31" t="str">
        <f t="shared" si="2129"/>
        <v>Sembilan Puluh Lima</v>
      </c>
    </row>
    <row r="22007" spans="1:12">
      <c r="J22007" s="31">
        <v>96</v>
      </c>
      <c r="K22007" s="33" t="s">
        <v>173</v>
      </c>
      <c r="L22007" s="31" t="str">
        <f t="shared" si="2129"/>
        <v>Sembilan Puluh Enam</v>
      </c>
    </row>
    <row r="22008" spans="1:12">
      <c r="J22008" s="31">
        <v>97</v>
      </c>
      <c r="K22008" s="33" t="s">
        <v>174</v>
      </c>
      <c r="L22008" s="31" t="str">
        <f t="shared" si="2129"/>
        <v>Sembilan Puluh Tujuh</v>
      </c>
    </row>
    <row r="22009" spans="1:12">
      <c r="J22009" s="31">
        <v>98</v>
      </c>
      <c r="K22009" s="33" t="s">
        <v>175</v>
      </c>
      <c r="L22009" s="31" t="str">
        <f t="shared" si="2129"/>
        <v>Sembilan Puluh Delapan</v>
      </c>
    </row>
    <row r="22010" spans="1:12">
      <c r="J22010" s="31">
        <v>99</v>
      </c>
      <c r="K22010" s="33" t="s">
        <v>176</v>
      </c>
      <c r="L22010" s="31" t="str">
        <f t="shared" si="2129"/>
        <v>Sembilan Puluh Sembilan</v>
      </c>
    </row>
    <row r="22012" spans="1:12">
      <c r="A22012" s="30" t="e">
        <f>#REF!</f>
        <v>#REF!</v>
      </c>
      <c r="C22012" s="31" t="s">
        <v>472</v>
      </c>
    </row>
    <row r="22013" spans="1:12">
      <c r="A22013" s="32"/>
    </row>
    <row r="22014" spans="1:12">
      <c r="J22014" s="31">
        <v>0</v>
      </c>
      <c r="K22014" s="33" t="s">
        <v>48</v>
      </c>
      <c r="L22014" s="31" t="s">
        <v>49</v>
      </c>
    </row>
    <row r="22015" spans="1:12">
      <c r="A22015" s="34"/>
      <c r="J22015" s="31">
        <v>1</v>
      </c>
      <c r="K22015" s="33" t="s">
        <v>50</v>
      </c>
      <c r="L22015" s="31" t="s">
        <v>51</v>
      </c>
    </row>
    <row r="22016" spans="1:12">
      <c r="A22016" s="255" t="e">
        <f>TRIM(D22024&amp;E22024&amp;D22025&amp;E22025&amp;D22026&amp;E22026&amp;D22027&amp;E22027&amp;D22028&amp;E22028&amp;D22029&amp;E22029&amp;E22030&amp;D22030&amp;" Only")</f>
        <v>#REF!</v>
      </c>
      <c r="B22016" s="255"/>
      <c r="C22016" s="255"/>
      <c r="D22016" s="255"/>
      <c r="E22016" s="35"/>
      <c r="F22016" s="36"/>
      <c r="J22016" s="31">
        <v>2</v>
      </c>
      <c r="K22016" s="33" t="s">
        <v>52</v>
      </c>
      <c r="L22016" s="31" t="s">
        <v>53</v>
      </c>
    </row>
    <row r="22017" spans="1:12">
      <c r="A22017" s="210"/>
      <c r="B22017" s="210"/>
      <c r="C22017" s="210"/>
      <c r="D22017" s="210"/>
      <c r="E22017" s="35"/>
      <c r="F22017" s="36"/>
      <c r="J22017" s="31">
        <v>3</v>
      </c>
      <c r="K22017" s="33" t="s">
        <v>54</v>
      </c>
      <c r="L22017" s="31" t="s">
        <v>55</v>
      </c>
    </row>
    <row r="22018" spans="1:12">
      <c r="A22018" s="210"/>
      <c r="B22018" s="210"/>
      <c r="C22018" s="210"/>
      <c r="D22018" s="210"/>
      <c r="J22018" s="31">
        <v>4</v>
      </c>
      <c r="K22018" s="33" t="s">
        <v>56</v>
      </c>
      <c r="L22018" s="31" t="s">
        <v>57</v>
      </c>
    </row>
    <row r="22019" spans="1:12">
      <c r="A22019" s="255" t="e">
        <f>TRIM(D22034&amp;E22034&amp;D22035&amp;E22035&amp;D22036&amp;E22036&amp;D22037&amp;E22037&amp;D22038&amp;E22038&amp;D22039&amp;E22039&amp;D22040&amp;E22040&amp;" Rupiah")</f>
        <v>#REF!</v>
      </c>
      <c r="B22019" s="255"/>
      <c r="C22019" s="255"/>
      <c r="D22019" s="255"/>
      <c r="E22019" s="35"/>
      <c r="F22019" s="36"/>
      <c r="J22019" s="31">
        <v>5</v>
      </c>
      <c r="K22019" s="33" t="s">
        <v>58</v>
      </c>
      <c r="L22019" s="31" t="s">
        <v>59</v>
      </c>
    </row>
    <row r="22020" spans="1:12">
      <c r="A22020" s="35"/>
      <c r="B22020" s="35"/>
      <c r="C22020" s="35"/>
      <c r="D22020" s="35"/>
      <c r="E22020" s="35"/>
      <c r="F22020" s="36"/>
      <c r="J22020" s="31">
        <v>6</v>
      </c>
      <c r="K22020" s="33" t="s">
        <v>60</v>
      </c>
      <c r="L22020" s="31" t="s">
        <v>61</v>
      </c>
    </row>
    <row r="22021" spans="1:12">
      <c r="J22021" s="31">
        <v>7</v>
      </c>
      <c r="K22021" s="33" t="s">
        <v>62</v>
      </c>
      <c r="L22021" s="31" t="s">
        <v>63</v>
      </c>
    </row>
    <row r="22022" spans="1:12">
      <c r="J22022" s="31">
        <v>8</v>
      </c>
      <c r="K22022" s="33" t="s">
        <v>64</v>
      </c>
      <c r="L22022" s="31" t="s">
        <v>65</v>
      </c>
    </row>
    <row r="22023" spans="1:12">
      <c r="A22023" s="38" t="s">
        <v>66</v>
      </c>
      <c r="J22023" s="31">
        <v>9</v>
      </c>
      <c r="K22023" s="33" t="s">
        <v>67</v>
      </c>
      <c r="L22023" s="31" t="s">
        <v>68</v>
      </c>
    </row>
    <row r="22024" spans="1:12">
      <c r="A22024" s="31" t="s">
        <v>69</v>
      </c>
      <c r="B22024" s="39" t="e">
        <f>TRUNC(A22012/100000000)</f>
        <v>#REF!</v>
      </c>
      <c r="C22024" s="31" t="e">
        <f>B22024*100000000</f>
        <v>#REF!</v>
      </c>
      <c r="D22024" s="31" t="e">
        <f t="shared" ref="D22024:D22030" si="2130">IF(B22024&lt;1,"",VLOOKUP(B22024,$J$3:$K$102,2))</f>
        <v>#REF!</v>
      </c>
      <c r="E22024" s="31" t="e">
        <f>IF(B22024&lt;1,"",IF(B22024&gt;1," Hundreds "," Hundred "))</f>
        <v>#REF!</v>
      </c>
      <c r="J22024" s="31">
        <v>10</v>
      </c>
      <c r="K22024" s="33" t="s">
        <v>70</v>
      </c>
      <c r="L22024" s="31" t="s">
        <v>71</v>
      </c>
    </row>
    <row r="22025" spans="1:12">
      <c r="A22025" s="31" t="s">
        <v>72</v>
      </c>
      <c r="B22025" s="39" t="e">
        <f>TRUNC((A22012-C22024)/1000000)</f>
        <v>#REF!</v>
      </c>
      <c r="C22025" s="31" t="e">
        <f>B22025*1000000</f>
        <v>#REF!</v>
      </c>
      <c r="D22025" s="31" t="e">
        <f t="shared" si="2130"/>
        <v>#REF!</v>
      </c>
      <c r="E22025" s="31" t="e">
        <f>IF(B22024+B22025=0,"",IF(B22025=1," Million "," Millions "))</f>
        <v>#REF!</v>
      </c>
      <c r="J22025" s="31">
        <v>11</v>
      </c>
      <c r="K22025" s="33" t="s">
        <v>73</v>
      </c>
      <c r="L22025" s="31" t="s">
        <v>74</v>
      </c>
    </row>
    <row r="22026" spans="1:12">
      <c r="A22026" s="31" t="s">
        <v>75</v>
      </c>
      <c r="B22026" s="39" t="e">
        <f>TRUNC((A22012-SUM(C22024:C22025))/100000)</f>
        <v>#REF!</v>
      </c>
      <c r="C22026" s="31" t="e">
        <f>B22026*100000</f>
        <v>#REF!</v>
      </c>
      <c r="D22026" s="31" t="e">
        <f t="shared" si="2130"/>
        <v>#REF!</v>
      </c>
      <c r="E22026" s="31" t="e">
        <f>IF(B22026&lt;1,"",IF(B22026&gt;1," Hundreds "," Hundred "))</f>
        <v>#REF!</v>
      </c>
      <c r="J22026" s="31">
        <v>12</v>
      </c>
      <c r="K22026" s="33" t="s">
        <v>76</v>
      </c>
      <c r="L22026" s="31" t="str">
        <f t="shared" ref="L22026:L22033" si="2131">L22016&amp;" Belas"</f>
        <v>Dua Belas</v>
      </c>
    </row>
    <row r="22027" spans="1:12">
      <c r="A22027" s="33" t="s">
        <v>77</v>
      </c>
      <c r="B22027" s="40" t="e">
        <f>TRUNC((A22012-SUM(C22024:C22026))/1000)</f>
        <v>#REF!</v>
      </c>
      <c r="C22027" s="31" t="e">
        <f>B22027*1000</f>
        <v>#REF!</v>
      </c>
      <c r="D22027" s="31" t="e">
        <f t="shared" si="2130"/>
        <v>#REF!</v>
      </c>
      <c r="E22027" s="31" t="e">
        <f>IF(B22026+B22027=0,"",IF(B22027=1," Thousand "," Thousands "))</f>
        <v>#REF!</v>
      </c>
      <c r="J22027" s="31">
        <v>13</v>
      </c>
      <c r="K22027" s="33" t="s">
        <v>78</v>
      </c>
      <c r="L22027" s="31" t="str">
        <f t="shared" si="2131"/>
        <v>Tiga Belas</v>
      </c>
    </row>
    <row r="22028" spans="1:12">
      <c r="A22028" s="33" t="s">
        <v>79</v>
      </c>
      <c r="B22028" s="40" t="e">
        <f>TRUNC((A22012-SUM(C22024:C22027))/100)</f>
        <v>#REF!</v>
      </c>
      <c r="C22028" s="31" t="e">
        <f>B22028*100</f>
        <v>#REF!</v>
      </c>
      <c r="D22028" s="31" t="e">
        <f t="shared" si="2130"/>
        <v>#REF!</v>
      </c>
      <c r="E22028" s="31" t="e">
        <f>IF(B22028&lt;1,"",IF(B22028&gt;1," Hundreds "," Hundred "))</f>
        <v>#REF!</v>
      </c>
      <c r="J22028" s="31">
        <v>14</v>
      </c>
      <c r="K22028" s="33" t="s">
        <v>80</v>
      </c>
      <c r="L22028" s="31" t="str">
        <f t="shared" si="2131"/>
        <v>Empat Belas</v>
      </c>
    </row>
    <row r="22029" spans="1:12">
      <c r="A22029" s="33" t="s">
        <v>81</v>
      </c>
      <c r="B22029" s="41" t="e">
        <f>TRUNC((A22012-SUM(C22024:C22028)))</f>
        <v>#REF!</v>
      </c>
      <c r="C22029" s="42" t="e">
        <f>B22029</f>
        <v>#REF!</v>
      </c>
      <c r="D22029" s="31" t="e">
        <f t="shared" si="2130"/>
        <v>#REF!</v>
      </c>
      <c r="E22029" s="31" t="e">
        <f>IF(SUM(C22024:C22029)&lt;1,"",IF(B22030&lt;1,""," And "))</f>
        <v>#REF!</v>
      </c>
      <c r="J22029" s="31">
        <v>15</v>
      </c>
      <c r="K22029" s="33" t="s">
        <v>82</v>
      </c>
      <c r="L22029" s="31" t="str">
        <f t="shared" si="2131"/>
        <v>Lima Belas</v>
      </c>
    </row>
    <row r="22030" spans="1:12">
      <c r="A22030" s="33" t="s">
        <v>83</v>
      </c>
      <c r="B22030" s="40" t="e">
        <f>ROUND(A22012-SUM(C22024:C22029),2)*100</f>
        <v>#REF!</v>
      </c>
      <c r="D22030" s="43" t="e">
        <f t="shared" si="2130"/>
        <v>#REF!</v>
      </c>
      <c r="E22030" s="31" t="e">
        <f>IF(B22030&lt;1,"",IF(B22030=1," Cent "," Cents "))</f>
        <v>#REF!</v>
      </c>
      <c r="J22030" s="31">
        <v>16</v>
      </c>
      <c r="K22030" s="33" t="s">
        <v>84</v>
      </c>
      <c r="L22030" s="31" t="str">
        <f t="shared" si="2131"/>
        <v>Enam Belas</v>
      </c>
    </row>
    <row r="22031" spans="1:12">
      <c r="J22031" s="31">
        <v>17</v>
      </c>
      <c r="K22031" s="33" t="s">
        <v>85</v>
      </c>
      <c r="L22031" s="31" t="str">
        <f t="shared" si="2131"/>
        <v>Tujuh Belas</v>
      </c>
    </row>
    <row r="22032" spans="1:12">
      <c r="A22032" s="44"/>
      <c r="J22032" s="31">
        <v>18</v>
      </c>
      <c r="K22032" s="33" t="s">
        <v>86</v>
      </c>
      <c r="L22032" s="31" t="str">
        <f t="shared" si="2131"/>
        <v>Delapan Belas</v>
      </c>
    </row>
    <row r="22033" spans="1:12">
      <c r="A22033" s="38" t="s">
        <v>87</v>
      </c>
      <c r="J22033" s="31">
        <v>19</v>
      </c>
      <c r="K22033" s="33" t="s">
        <v>88</v>
      </c>
      <c r="L22033" s="31" t="str">
        <f t="shared" si="2131"/>
        <v>Sembilan Belas</v>
      </c>
    </row>
    <row r="22034" spans="1:12">
      <c r="A22034" s="31" t="s">
        <v>69</v>
      </c>
      <c r="B22034" s="39" t="e">
        <f>TRUNC(A22012/100000000)</f>
        <v>#REF!</v>
      </c>
      <c r="C22034" s="31" t="e">
        <f>B22034*100000000</f>
        <v>#REF!</v>
      </c>
      <c r="D22034" s="31" t="e">
        <f>IF(B22034&lt;1,"",IF(B22034=1,"",VLOOKUP(B22034,$J$3:$L$102,3)))</f>
        <v>#REF!</v>
      </c>
      <c r="E22034" s="31" t="e">
        <f>IF(B22034&lt;1,"",IF(B22034=1,"Seratus "," Ratus "))</f>
        <v>#REF!</v>
      </c>
      <c r="J22034" s="31">
        <v>20</v>
      </c>
      <c r="K22034" s="33" t="s">
        <v>89</v>
      </c>
      <c r="L22034" s="31" t="s">
        <v>90</v>
      </c>
    </row>
    <row r="22035" spans="1:12">
      <c r="A22035" s="31" t="s">
        <v>72</v>
      </c>
      <c r="B22035" s="39" t="e">
        <f>TRUNC((A22012-C22034)/1000000)</f>
        <v>#REF!</v>
      </c>
      <c r="C22035" s="31" t="e">
        <f>B22035*1000000</f>
        <v>#REF!</v>
      </c>
      <c r="D22035" s="31" t="e">
        <f>IF(B22035&lt;1,"",VLOOKUP(B22035,$J$3:$L$102,3))</f>
        <v>#REF!</v>
      </c>
      <c r="E22035" s="31" t="e">
        <f>IF(B22034+B22035=0,""," Juta ")</f>
        <v>#REF!</v>
      </c>
      <c r="J22035" s="31">
        <v>21</v>
      </c>
      <c r="K22035" s="33" t="s">
        <v>91</v>
      </c>
      <c r="L22035" s="31" t="str">
        <f t="shared" ref="L22035:L22043" si="2132">$L$23&amp;" "&amp;L22015</f>
        <v>Dua Puluh Satu</v>
      </c>
    </row>
    <row r="22036" spans="1:12">
      <c r="A22036" s="31" t="s">
        <v>75</v>
      </c>
      <c r="B22036" s="39" t="e">
        <f>TRUNC((A22012-SUM(C22034:C22035))/100000)</f>
        <v>#REF!</v>
      </c>
      <c r="C22036" s="31" t="e">
        <f>B22036*100000</f>
        <v>#REF!</v>
      </c>
      <c r="D22036" s="31" t="e">
        <f>IF(B22036&lt;1,"",IF(B22036=1,"",VLOOKUP(B22036,$J$3:$L$102,3)))</f>
        <v>#REF!</v>
      </c>
      <c r="E22036" s="31" t="e">
        <f>IF(B22036&lt;1,"",IF(B22036=1," Seratus "," Ratus "))</f>
        <v>#REF!</v>
      </c>
      <c r="J22036" s="31">
        <v>22</v>
      </c>
      <c r="K22036" s="33" t="s">
        <v>92</v>
      </c>
      <c r="L22036" s="31" t="str">
        <f t="shared" si="2132"/>
        <v>Dua Puluh Dua</v>
      </c>
    </row>
    <row r="22037" spans="1:12">
      <c r="A22037" s="33" t="s">
        <v>77</v>
      </c>
      <c r="B22037" s="40" t="e">
        <f>TRUNC((A22012-SUM(C22034:C22036))/1000)</f>
        <v>#REF!</v>
      </c>
      <c r="C22037" s="31" t="e">
        <f>B22037*1000</f>
        <v>#REF!</v>
      </c>
      <c r="D22037" s="31" t="e">
        <f>IF(B22037&lt;1,"",IF(B22037=1,"",VLOOKUP(B22037,$J$3:$L$102,3)))</f>
        <v>#REF!</v>
      </c>
      <c r="E22037" s="31" t="e">
        <f>IF(B22036+B22037&lt;1,"",IF(B22037=1," Seribu "," Ribu "))</f>
        <v>#REF!</v>
      </c>
      <c r="J22037" s="31">
        <v>23</v>
      </c>
      <c r="K22037" s="33" t="s">
        <v>93</v>
      </c>
      <c r="L22037" s="31" t="str">
        <f t="shared" si="2132"/>
        <v>Dua Puluh Tiga</v>
      </c>
    </row>
    <row r="22038" spans="1:12">
      <c r="A22038" s="33" t="s">
        <v>79</v>
      </c>
      <c r="B22038" s="40" t="e">
        <f>TRUNC((A22012-SUM(C22034:C22037))/100)</f>
        <v>#REF!</v>
      </c>
      <c r="C22038" s="31" t="e">
        <f>B22038*100</f>
        <v>#REF!</v>
      </c>
      <c r="D22038" s="31" t="e">
        <f>IF(B22038&lt;1,"",IF(B22038=1,"",VLOOKUP(B22038,$J$3:$L$102,3)))</f>
        <v>#REF!</v>
      </c>
      <c r="E22038" s="31" t="e">
        <f>IF(B22038&lt;1,"",IF(B22038=1," Seratus "," Ratus "))</f>
        <v>#REF!</v>
      </c>
      <c r="J22038" s="31">
        <v>24</v>
      </c>
      <c r="K22038" s="33" t="s">
        <v>94</v>
      </c>
      <c r="L22038" s="31" t="str">
        <f t="shared" si="2132"/>
        <v>Dua Puluh Empat</v>
      </c>
    </row>
    <row r="22039" spans="1:12">
      <c r="A22039" s="33" t="s">
        <v>81</v>
      </c>
      <c r="B22039" s="41" t="e">
        <f>TRUNC((A22012-SUM(C22034:C22038)))</f>
        <v>#REF!</v>
      </c>
      <c r="C22039" s="42" t="e">
        <f>B22039</f>
        <v>#REF!</v>
      </c>
      <c r="D22039" s="31" t="e">
        <f>IF(B22039&lt;1,"",VLOOKUP(B22039,$J$3:$L$102,3))</f>
        <v>#REF!</v>
      </c>
      <c r="E22039" s="31" t="e">
        <f>IF(SUM(C22034:C22039)&lt;1,"",IF(B22040&lt;1,""," Dan "))</f>
        <v>#REF!</v>
      </c>
      <c r="J22039" s="31">
        <v>25</v>
      </c>
      <c r="K22039" s="33" t="s">
        <v>95</v>
      </c>
      <c r="L22039" s="31" t="str">
        <f t="shared" si="2132"/>
        <v>Dua Puluh Lima</v>
      </c>
    </row>
    <row r="22040" spans="1:12">
      <c r="A22040" s="33" t="s">
        <v>83</v>
      </c>
      <c r="B22040" s="40" t="e">
        <f>ROUND(A22012-SUM(C22034:C22039),2)*100</f>
        <v>#REF!</v>
      </c>
      <c r="D22040" s="31" t="e">
        <f>IF(B22040&lt;1,"",VLOOKUP(B22040,$J$3:$L$102,3))</f>
        <v>#REF!</v>
      </c>
      <c r="E22040" s="31" t="e">
        <f>IF(B22040&lt;1,""," Sen ")</f>
        <v>#REF!</v>
      </c>
      <c r="J22040" s="31">
        <v>26</v>
      </c>
      <c r="K22040" s="33" t="s">
        <v>96</v>
      </c>
      <c r="L22040" s="31" t="str">
        <f t="shared" si="2132"/>
        <v>Dua Puluh Enam</v>
      </c>
    </row>
    <row r="22041" spans="1:12">
      <c r="J22041" s="31">
        <v>27</v>
      </c>
      <c r="K22041" s="33" t="s">
        <v>97</v>
      </c>
      <c r="L22041" s="31" t="str">
        <f t="shared" si="2132"/>
        <v>Dua Puluh Tujuh</v>
      </c>
    </row>
    <row r="22042" spans="1:12">
      <c r="J22042" s="31">
        <v>28</v>
      </c>
      <c r="K22042" s="33" t="s">
        <v>98</v>
      </c>
      <c r="L22042" s="31" t="str">
        <f t="shared" si="2132"/>
        <v>Dua Puluh Delapan</v>
      </c>
    </row>
    <row r="22043" spans="1:12">
      <c r="J22043" s="31">
        <v>29</v>
      </c>
      <c r="K22043" s="33" t="s">
        <v>99</v>
      </c>
      <c r="L22043" s="31" t="str">
        <f t="shared" si="2132"/>
        <v>Dua Puluh Sembilan</v>
      </c>
    </row>
    <row r="22044" spans="1:12">
      <c r="J22044" s="31">
        <v>30</v>
      </c>
      <c r="K22044" s="33" t="s">
        <v>100</v>
      </c>
      <c r="L22044" s="31" t="s">
        <v>101</v>
      </c>
    </row>
    <row r="22045" spans="1:12">
      <c r="J22045" s="31">
        <v>31</v>
      </c>
      <c r="K22045" s="33" t="s">
        <v>102</v>
      </c>
      <c r="L22045" s="31" t="str">
        <f t="shared" ref="L22045:L22053" si="2133">$L$33&amp;" "&amp;L22015</f>
        <v>Tiga Puluh Satu</v>
      </c>
    </row>
    <row r="22046" spans="1:12">
      <c r="J22046" s="31">
        <v>32</v>
      </c>
      <c r="K22046" s="33" t="s">
        <v>103</v>
      </c>
      <c r="L22046" s="31" t="str">
        <f t="shared" si="2133"/>
        <v>Tiga Puluh Dua</v>
      </c>
    </row>
    <row r="22047" spans="1:12">
      <c r="J22047" s="31">
        <v>33</v>
      </c>
      <c r="K22047" s="33" t="s">
        <v>104</v>
      </c>
      <c r="L22047" s="31" t="str">
        <f t="shared" si="2133"/>
        <v>Tiga Puluh Tiga</v>
      </c>
    </row>
    <row r="22048" spans="1:12">
      <c r="J22048" s="31">
        <v>34</v>
      </c>
      <c r="K22048" s="33" t="s">
        <v>105</v>
      </c>
      <c r="L22048" s="31" t="str">
        <f t="shared" si="2133"/>
        <v>Tiga Puluh Empat</v>
      </c>
    </row>
    <row r="22049" spans="1:12">
      <c r="J22049" s="31">
        <v>35</v>
      </c>
      <c r="K22049" s="33" t="s">
        <v>106</v>
      </c>
      <c r="L22049" s="31" t="str">
        <f t="shared" si="2133"/>
        <v>Tiga Puluh Lima</v>
      </c>
    </row>
    <row r="22050" spans="1:12">
      <c r="J22050" s="31">
        <v>36</v>
      </c>
      <c r="K22050" s="33" t="s">
        <v>107</v>
      </c>
      <c r="L22050" s="31" t="str">
        <f t="shared" si="2133"/>
        <v>Tiga Puluh Enam</v>
      </c>
    </row>
    <row r="22051" spans="1:12">
      <c r="J22051" s="31">
        <v>37</v>
      </c>
      <c r="K22051" s="33" t="s">
        <v>108</v>
      </c>
      <c r="L22051" s="31" t="str">
        <f t="shared" si="2133"/>
        <v>Tiga Puluh Tujuh</v>
      </c>
    </row>
    <row r="22052" spans="1:12">
      <c r="J22052" s="31">
        <v>38</v>
      </c>
      <c r="K22052" s="33" t="s">
        <v>109</v>
      </c>
      <c r="L22052" s="31" t="str">
        <f t="shared" si="2133"/>
        <v>Tiga Puluh Delapan</v>
      </c>
    </row>
    <row r="22053" spans="1:12">
      <c r="J22053" s="31">
        <v>39</v>
      </c>
      <c r="K22053" s="33" t="s">
        <v>110</v>
      </c>
      <c r="L22053" s="31" t="str">
        <f t="shared" si="2133"/>
        <v>Tiga Puluh Sembilan</v>
      </c>
    </row>
    <row r="22054" spans="1:12">
      <c r="B22054" s="35"/>
      <c r="C22054" s="35"/>
      <c r="D22054" s="35"/>
      <c r="J22054" s="31">
        <v>40</v>
      </c>
      <c r="K22054" s="33" t="s">
        <v>111</v>
      </c>
      <c r="L22054" s="31" t="s">
        <v>112</v>
      </c>
    </row>
    <row r="22055" spans="1:12">
      <c r="A22055" s="35"/>
      <c r="B22055" s="35"/>
      <c r="C22055" s="35"/>
      <c r="D22055" s="35"/>
      <c r="J22055" s="31">
        <v>41</v>
      </c>
      <c r="K22055" s="33" t="s">
        <v>113</v>
      </c>
      <c r="L22055" s="31" t="str">
        <f t="shared" ref="L22055:L22063" si="2134">$L$43&amp;" "&amp;L22015</f>
        <v>Empat Puluh Satu</v>
      </c>
    </row>
    <row r="22056" spans="1:12">
      <c r="J22056" s="31">
        <v>42</v>
      </c>
      <c r="K22056" s="33" t="s">
        <v>114</v>
      </c>
      <c r="L22056" s="31" t="str">
        <f t="shared" si="2134"/>
        <v>Empat Puluh Dua</v>
      </c>
    </row>
    <row r="22057" spans="1:12">
      <c r="A22057" s="38"/>
      <c r="J22057" s="31">
        <v>43</v>
      </c>
      <c r="K22057" s="33" t="s">
        <v>115</v>
      </c>
      <c r="L22057" s="31" t="str">
        <f t="shared" si="2134"/>
        <v>Empat Puluh Tiga</v>
      </c>
    </row>
    <row r="22058" spans="1:12">
      <c r="J22058" s="31">
        <v>44</v>
      </c>
      <c r="K22058" s="33" t="s">
        <v>116</v>
      </c>
      <c r="L22058" s="31" t="str">
        <f t="shared" si="2134"/>
        <v>Empat Puluh Empat</v>
      </c>
    </row>
    <row r="22059" spans="1:12">
      <c r="J22059" s="31">
        <v>45</v>
      </c>
      <c r="K22059" s="33" t="s">
        <v>117</v>
      </c>
      <c r="L22059" s="31" t="str">
        <f t="shared" si="2134"/>
        <v>Empat Puluh Lima</v>
      </c>
    </row>
    <row r="22060" spans="1:12">
      <c r="J22060" s="31">
        <v>46</v>
      </c>
      <c r="K22060" s="33" t="s">
        <v>118</v>
      </c>
      <c r="L22060" s="31" t="str">
        <f t="shared" si="2134"/>
        <v>Empat Puluh Enam</v>
      </c>
    </row>
    <row r="22061" spans="1:12">
      <c r="J22061" s="31">
        <v>47</v>
      </c>
      <c r="K22061" s="33" t="s">
        <v>119</v>
      </c>
      <c r="L22061" s="31" t="str">
        <f t="shared" si="2134"/>
        <v>Empat Puluh Tujuh</v>
      </c>
    </row>
    <row r="22062" spans="1:12">
      <c r="J22062" s="31">
        <v>48</v>
      </c>
      <c r="K22062" s="33" t="s">
        <v>120</v>
      </c>
      <c r="L22062" s="31" t="str">
        <f t="shared" si="2134"/>
        <v>Empat Puluh Delapan</v>
      </c>
    </row>
    <row r="22063" spans="1:12">
      <c r="J22063" s="31">
        <v>49</v>
      </c>
      <c r="K22063" s="33" t="s">
        <v>121</v>
      </c>
      <c r="L22063" s="31" t="str">
        <f t="shared" si="2134"/>
        <v>Empat Puluh Sembilan</v>
      </c>
    </row>
    <row r="22064" spans="1:12">
      <c r="J22064" s="31">
        <v>50</v>
      </c>
      <c r="K22064" s="33" t="s">
        <v>122</v>
      </c>
      <c r="L22064" s="31" t="s">
        <v>123</v>
      </c>
    </row>
    <row r="22065" spans="10:12">
      <c r="J22065" s="31">
        <v>51</v>
      </c>
      <c r="K22065" s="33" t="s">
        <v>124</v>
      </c>
      <c r="L22065" s="31" t="str">
        <f t="shared" ref="L22065:L22073" si="2135">$L$53&amp;" "&amp;L22015</f>
        <v>Lima Puluh Satu</v>
      </c>
    </row>
    <row r="22066" spans="10:12">
      <c r="J22066" s="31">
        <v>52</v>
      </c>
      <c r="K22066" s="33" t="s">
        <v>125</v>
      </c>
      <c r="L22066" s="31" t="str">
        <f t="shared" si="2135"/>
        <v>Lima Puluh Dua</v>
      </c>
    </row>
    <row r="22067" spans="10:12">
      <c r="J22067" s="31">
        <v>53</v>
      </c>
      <c r="K22067" s="33" t="s">
        <v>126</v>
      </c>
      <c r="L22067" s="31" t="str">
        <f t="shared" si="2135"/>
        <v>Lima Puluh Tiga</v>
      </c>
    </row>
    <row r="22068" spans="10:12">
      <c r="J22068" s="31">
        <v>54</v>
      </c>
      <c r="K22068" s="33" t="s">
        <v>127</v>
      </c>
      <c r="L22068" s="31" t="str">
        <f t="shared" si="2135"/>
        <v>Lima Puluh Empat</v>
      </c>
    </row>
    <row r="22069" spans="10:12">
      <c r="J22069" s="31">
        <v>55</v>
      </c>
      <c r="K22069" s="33" t="s">
        <v>128</v>
      </c>
      <c r="L22069" s="31" t="str">
        <f t="shared" si="2135"/>
        <v>Lima Puluh Lima</v>
      </c>
    </row>
    <row r="22070" spans="10:12">
      <c r="J22070" s="31">
        <v>56</v>
      </c>
      <c r="K22070" s="33" t="s">
        <v>129</v>
      </c>
      <c r="L22070" s="31" t="str">
        <f t="shared" si="2135"/>
        <v>Lima Puluh Enam</v>
      </c>
    </row>
    <row r="22071" spans="10:12">
      <c r="J22071" s="31">
        <v>57</v>
      </c>
      <c r="K22071" s="33" t="s">
        <v>130</v>
      </c>
      <c r="L22071" s="31" t="str">
        <f t="shared" si="2135"/>
        <v>Lima Puluh Tujuh</v>
      </c>
    </row>
    <row r="22072" spans="10:12">
      <c r="J22072" s="31">
        <v>58</v>
      </c>
      <c r="K22072" s="33" t="s">
        <v>131</v>
      </c>
      <c r="L22072" s="31" t="str">
        <f t="shared" si="2135"/>
        <v>Lima Puluh Delapan</v>
      </c>
    </row>
    <row r="22073" spans="10:12">
      <c r="J22073" s="31">
        <v>59</v>
      </c>
      <c r="K22073" s="33" t="s">
        <v>132</v>
      </c>
      <c r="L22073" s="31" t="str">
        <f t="shared" si="2135"/>
        <v>Lima Puluh Sembilan</v>
      </c>
    </row>
    <row r="22074" spans="10:12">
      <c r="J22074" s="31">
        <v>60</v>
      </c>
      <c r="K22074" s="33" t="s">
        <v>133</v>
      </c>
      <c r="L22074" s="31" t="s">
        <v>134</v>
      </c>
    </row>
    <row r="22075" spans="10:12">
      <c r="J22075" s="31">
        <v>61</v>
      </c>
      <c r="K22075" s="33" t="s">
        <v>135</v>
      </c>
      <c r="L22075" s="31" t="str">
        <f t="shared" ref="L22075:L22083" si="2136">$L$63&amp;" "&amp;L22015</f>
        <v>Enam Puluh Satu</v>
      </c>
    </row>
    <row r="22076" spans="10:12">
      <c r="J22076" s="31">
        <v>62</v>
      </c>
      <c r="K22076" s="33" t="s">
        <v>136</v>
      </c>
      <c r="L22076" s="31" t="str">
        <f t="shared" si="2136"/>
        <v>Enam Puluh Dua</v>
      </c>
    </row>
    <row r="22077" spans="10:12">
      <c r="J22077" s="31">
        <v>63</v>
      </c>
      <c r="K22077" s="33" t="s">
        <v>137</v>
      </c>
      <c r="L22077" s="31" t="str">
        <f t="shared" si="2136"/>
        <v>Enam Puluh Tiga</v>
      </c>
    </row>
    <row r="22078" spans="10:12">
      <c r="J22078" s="31">
        <v>64</v>
      </c>
      <c r="K22078" s="33" t="s">
        <v>138</v>
      </c>
      <c r="L22078" s="31" t="str">
        <f t="shared" si="2136"/>
        <v>Enam Puluh Empat</v>
      </c>
    </row>
    <row r="22079" spans="10:12">
      <c r="J22079" s="31">
        <v>65</v>
      </c>
      <c r="K22079" s="33" t="s">
        <v>139</v>
      </c>
      <c r="L22079" s="31" t="str">
        <f t="shared" si="2136"/>
        <v>Enam Puluh Lima</v>
      </c>
    </row>
    <row r="22080" spans="10:12">
      <c r="J22080" s="31">
        <v>66</v>
      </c>
      <c r="K22080" s="33" t="s">
        <v>140</v>
      </c>
      <c r="L22080" s="31" t="str">
        <f t="shared" si="2136"/>
        <v>Enam Puluh Enam</v>
      </c>
    </row>
    <row r="22081" spans="10:12">
      <c r="J22081" s="31">
        <v>67</v>
      </c>
      <c r="K22081" s="33" t="s">
        <v>141</v>
      </c>
      <c r="L22081" s="31" t="str">
        <f t="shared" si="2136"/>
        <v>Enam Puluh Tujuh</v>
      </c>
    </row>
    <row r="22082" spans="10:12">
      <c r="J22082" s="31">
        <v>68</v>
      </c>
      <c r="K22082" s="33" t="s">
        <v>142</v>
      </c>
      <c r="L22082" s="31" t="str">
        <f t="shared" si="2136"/>
        <v>Enam Puluh Delapan</v>
      </c>
    </row>
    <row r="22083" spans="10:12">
      <c r="J22083" s="31">
        <v>69</v>
      </c>
      <c r="K22083" s="33" t="s">
        <v>143</v>
      </c>
      <c r="L22083" s="31" t="str">
        <f t="shared" si="2136"/>
        <v>Enam Puluh Sembilan</v>
      </c>
    </row>
    <row r="22084" spans="10:12">
      <c r="J22084" s="31">
        <v>70</v>
      </c>
      <c r="K22084" s="33" t="s">
        <v>144</v>
      </c>
      <c r="L22084" s="31" t="s">
        <v>145</v>
      </c>
    </row>
    <row r="22085" spans="10:12">
      <c r="J22085" s="31">
        <v>71</v>
      </c>
      <c r="K22085" s="33" t="s">
        <v>146</v>
      </c>
      <c r="L22085" s="31" t="str">
        <f t="shared" ref="L22085:L22093" si="2137">$L$73&amp;" "&amp;L22015</f>
        <v>Tujuh Puluh Satu</v>
      </c>
    </row>
    <row r="22086" spans="10:12">
      <c r="J22086" s="31">
        <v>72</v>
      </c>
      <c r="K22086" s="33" t="s">
        <v>147</v>
      </c>
      <c r="L22086" s="31" t="str">
        <f t="shared" si="2137"/>
        <v>Tujuh Puluh Dua</v>
      </c>
    </row>
    <row r="22087" spans="10:12">
      <c r="J22087" s="31">
        <v>73</v>
      </c>
      <c r="K22087" s="33" t="s">
        <v>148</v>
      </c>
      <c r="L22087" s="31" t="str">
        <f t="shared" si="2137"/>
        <v>Tujuh Puluh Tiga</v>
      </c>
    </row>
    <row r="22088" spans="10:12">
      <c r="J22088" s="31">
        <v>74</v>
      </c>
      <c r="K22088" s="33" t="s">
        <v>149</v>
      </c>
      <c r="L22088" s="31" t="str">
        <f t="shared" si="2137"/>
        <v>Tujuh Puluh Empat</v>
      </c>
    </row>
    <row r="22089" spans="10:12">
      <c r="J22089" s="31">
        <v>75</v>
      </c>
      <c r="K22089" s="33" t="s">
        <v>150</v>
      </c>
      <c r="L22089" s="31" t="str">
        <f t="shared" si="2137"/>
        <v>Tujuh Puluh Lima</v>
      </c>
    </row>
    <row r="22090" spans="10:12">
      <c r="J22090" s="31">
        <v>76</v>
      </c>
      <c r="K22090" s="33" t="s">
        <v>151</v>
      </c>
      <c r="L22090" s="31" t="str">
        <f t="shared" si="2137"/>
        <v>Tujuh Puluh Enam</v>
      </c>
    </row>
    <row r="22091" spans="10:12">
      <c r="J22091" s="31">
        <v>77</v>
      </c>
      <c r="K22091" s="33" t="s">
        <v>152</v>
      </c>
      <c r="L22091" s="31" t="str">
        <f t="shared" si="2137"/>
        <v>Tujuh Puluh Tujuh</v>
      </c>
    </row>
    <row r="22092" spans="10:12">
      <c r="J22092" s="31">
        <v>78</v>
      </c>
      <c r="K22092" s="33" t="s">
        <v>153</v>
      </c>
      <c r="L22092" s="31" t="str">
        <f t="shared" si="2137"/>
        <v>Tujuh Puluh Delapan</v>
      </c>
    </row>
    <row r="22093" spans="10:12">
      <c r="J22093" s="31">
        <v>79</v>
      </c>
      <c r="K22093" s="33" t="s">
        <v>154</v>
      </c>
      <c r="L22093" s="31" t="str">
        <f t="shared" si="2137"/>
        <v>Tujuh Puluh Sembilan</v>
      </c>
    </row>
    <row r="22094" spans="10:12">
      <c r="J22094" s="31">
        <v>80</v>
      </c>
      <c r="K22094" s="33" t="s">
        <v>155</v>
      </c>
      <c r="L22094" s="31" t="s">
        <v>156</v>
      </c>
    </row>
    <row r="22095" spans="10:12">
      <c r="J22095" s="31">
        <v>81</v>
      </c>
      <c r="K22095" s="33" t="s">
        <v>157</v>
      </c>
      <c r="L22095" s="31" t="str">
        <f t="shared" ref="L22095:L22103" si="2138">$L$83&amp;" "&amp;L22015</f>
        <v>Delapan Puluh Satu</v>
      </c>
    </row>
    <row r="22096" spans="10:12">
      <c r="J22096" s="31">
        <v>82</v>
      </c>
      <c r="K22096" s="33" t="s">
        <v>158</v>
      </c>
      <c r="L22096" s="31" t="str">
        <f t="shared" si="2138"/>
        <v>Delapan Puluh Dua</v>
      </c>
    </row>
    <row r="22097" spans="10:12">
      <c r="J22097" s="31">
        <v>83</v>
      </c>
      <c r="K22097" s="33" t="s">
        <v>159</v>
      </c>
      <c r="L22097" s="31" t="str">
        <f t="shared" si="2138"/>
        <v>Delapan Puluh Tiga</v>
      </c>
    </row>
    <row r="22098" spans="10:12">
      <c r="J22098" s="31">
        <v>84</v>
      </c>
      <c r="K22098" s="33" t="s">
        <v>160</v>
      </c>
      <c r="L22098" s="31" t="str">
        <f t="shared" si="2138"/>
        <v>Delapan Puluh Empat</v>
      </c>
    </row>
    <row r="22099" spans="10:12">
      <c r="J22099" s="31">
        <v>85</v>
      </c>
      <c r="K22099" s="33" t="s">
        <v>161</v>
      </c>
      <c r="L22099" s="31" t="str">
        <f t="shared" si="2138"/>
        <v>Delapan Puluh Lima</v>
      </c>
    </row>
    <row r="22100" spans="10:12">
      <c r="J22100" s="31">
        <v>86</v>
      </c>
      <c r="K22100" s="33" t="s">
        <v>162</v>
      </c>
      <c r="L22100" s="31" t="str">
        <f t="shared" si="2138"/>
        <v>Delapan Puluh Enam</v>
      </c>
    </row>
    <row r="22101" spans="10:12">
      <c r="J22101" s="31">
        <v>87</v>
      </c>
      <c r="K22101" s="33" t="s">
        <v>163</v>
      </c>
      <c r="L22101" s="31" t="str">
        <f t="shared" si="2138"/>
        <v>Delapan Puluh Tujuh</v>
      </c>
    </row>
    <row r="22102" spans="10:12">
      <c r="J22102" s="31">
        <v>88</v>
      </c>
      <c r="K22102" s="33" t="s">
        <v>164</v>
      </c>
      <c r="L22102" s="31" t="str">
        <f t="shared" si="2138"/>
        <v>Delapan Puluh Delapan</v>
      </c>
    </row>
    <row r="22103" spans="10:12">
      <c r="J22103" s="31">
        <v>89</v>
      </c>
      <c r="K22103" s="33" t="s">
        <v>165</v>
      </c>
      <c r="L22103" s="31" t="str">
        <f t="shared" si="2138"/>
        <v>Delapan Puluh Sembilan</v>
      </c>
    </row>
    <row r="22104" spans="10:12">
      <c r="J22104" s="31">
        <v>90</v>
      </c>
      <c r="K22104" s="33" t="s">
        <v>166</v>
      </c>
      <c r="L22104" s="31" t="s">
        <v>167</v>
      </c>
    </row>
    <row r="22105" spans="10:12">
      <c r="J22105" s="31">
        <v>91</v>
      </c>
      <c r="K22105" s="33" t="s">
        <v>168</v>
      </c>
      <c r="L22105" s="31" t="str">
        <f t="shared" ref="L22105:L22113" si="2139">$L$93&amp;" "&amp;L22015</f>
        <v>Sembilan Puluh Satu</v>
      </c>
    </row>
    <row r="22106" spans="10:12">
      <c r="J22106" s="31">
        <v>92</v>
      </c>
      <c r="K22106" s="33" t="s">
        <v>169</v>
      </c>
      <c r="L22106" s="31" t="str">
        <f t="shared" si="2139"/>
        <v>Sembilan Puluh Dua</v>
      </c>
    </row>
    <row r="22107" spans="10:12">
      <c r="J22107" s="31">
        <v>93</v>
      </c>
      <c r="K22107" s="33" t="s">
        <v>170</v>
      </c>
      <c r="L22107" s="31" t="str">
        <f t="shared" si="2139"/>
        <v>Sembilan Puluh Tiga</v>
      </c>
    </row>
    <row r="22108" spans="10:12">
      <c r="J22108" s="31">
        <v>94</v>
      </c>
      <c r="K22108" s="33" t="s">
        <v>171</v>
      </c>
      <c r="L22108" s="31" t="str">
        <f t="shared" si="2139"/>
        <v>Sembilan Puluh Empat</v>
      </c>
    </row>
    <row r="22109" spans="10:12">
      <c r="J22109" s="31">
        <v>95</v>
      </c>
      <c r="K22109" s="33" t="s">
        <v>172</v>
      </c>
      <c r="L22109" s="31" t="str">
        <f t="shared" si="2139"/>
        <v>Sembilan Puluh Lima</v>
      </c>
    </row>
    <row r="22110" spans="10:12">
      <c r="J22110" s="31">
        <v>96</v>
      </c>
      <c r="K22110" s="33" t="s">
        <v>173</v>
      </c>
      <c r="L22110" s="31" t="str">
        <f t="shared" si="2139"/>
        <v>Sembilan Puluh Enam</v>
      </c>
    </row>
    <row r="22111" spans="10:12">
      <c r="J22111" s="31">
        <v>97</v>
      </c>
      <c r="K22111" s="33" t="s">
        <v>174</v>
      </c>
      <c r="L22111" s="31" t="str">
        <f t="shared" si="2139"/>
        <v>Sembilan Puluh Tujuh</v>
      </c>
    </row>
    <row r="22112" spans="10:12">
      <c r="J22112" s="31">
        <v>98</v>
      </c>
      <c r="K22112" s="33" t="s">
        <v>175</v>
      </c>
      <c r="L22112" s="31" t="str">
        <f t="shared" si="2139"/>
        <v>Sembilan Puluh Delapan</v>
      </c>
    </row>
    <row r="22113" spans="1:12">
      <c r="J22113" s="31">
        <v>99</v>
      </c>
      <c r="K22113" s="33" t="s">
        <v>176</v>
      </c>
      <c r="L22113" s="31" t="str">
        <f t="shared" si="2139"/>
        <v>Sembilan Puluh Sembilan</v>
      </c>
    </row>
    <row r="22115" spans="1:12">
      <c r="A22115" s="30" t="e">
        <f>#REF!</f>
        <v>#REF!</v>
      </c>
      <c r="C22115" s="31" t="s">
        <v>473</v>
      </c>
    </row>
    <row r="22116" spans="1:12">
      <c r="A22116" s="32"/>
    </row>
    <row r="22117" spans="1:12">
      <c r="J22117" s="31">
        <v>0</v>
      </c>
      <c r="K22117" s="33" t="s">
        <v>48</v>
      </c>
      <c r="L22117" s="31" t="s">
        <v>49</v>
      </c>
    </row>
    <row r="22118" spans="1:12">
      <c r="A22118" s="34"/>
      <c r="J22118" s="31">
        <v>1</v>
      </c>
      <c r="K22118" s="33" t="s">
        <v>50</v>
      </c>
      <c r="L22118" s="31" t="s">
        <v>51</v>
      </c>
    </row>
    <row r="22119" spans="1:12">
      <c r="A22119" s="255" t="e">
        <f>TRIM(D22127&amp;E22127&amp;D22128&amp;E22128&amp;D22129&amp;E22129&amp;D22130&amp;E22130&amp;D22131&amp;E22131&amp;D22132&amp;E22132&amp;E22133&amp;D22133&amp;" Only")</f>
        <v>#REF!</v>
      </c>
      <c r="B22119" s="255"/>
      <c r="C22119" s="255"/>
      <c r="D22119" s="255"/>
      <c r="E22119" s="35"/>
      <c r="F22119" s="36"/>
      <c r="J22119" s="31">
        <v>2</v>
      </c>
      <c r="K22119" s="33" t="s">
        <v>52</v>
      </c>
      <c r="L22119" s="31" t="s">
        <v>53</v>
      </c>
    </row>
    <row r="22120" spans="1:12">
      <c r="A22120" s="210"/>
      <c r="B22120" s="210"/>
      <c r="C22120" s="210"/>
      <c r="D22120" s="210"/>
      <c r="E22120" s="35"/>
      <c r="F22120" s="36"/>
      <c r="J22120" s="31">
        <v>3</v>
      </c>
      <c r="K22120" s="33" t="s">
        <v>54</v>
      </c>
      <c r="L22120" s="31" t="s">
        <v>55</v>
      </c>
    </row>
    <row r="22121" spans="1:12">
      <c r="A22121" s="210"/>
      <c r="B22121" s="210"/>
      <c r="C22121" s="210"/>
      <c r="D22121" s="210"/>
      <c r="J22121" s="31">
        <v>4</v>
      </c>
      <c r="K22121" s="33" t="s">
        <v>56</v>
      </c>
      <c r="L22121" s="31" t="s">
        <v>57</v>
      </c>
    </row>
    <row r="22122" spans="1:12">
      <c r="A22122" s="255" t="e">
        <f>TRIM(D22137&amp;E22137&amp;D22138&amp;E22138&amp;D22139&amp;E22139&amp;D22140&amp;E22140&amp;D22141&amp;E22141&amp;D22142&amp;E22142&amp;D22143&amp;E22143&amp;" Rupiah")</f>
        <v>#REF!</v>
      </c>
      <c r="B22122" s="255"/>
      <c r="C22122" s="255"/>
      <c r="D22122" s="255"/>
      <c r="E22122" s="35"/>
      <c r="F22122" s="36"/>
      <c r="J22122" s="31">
        <v>5</v>
      </c>
      <c r="K22122" s="33" t="s">
        <v>58</v>
      </c>
      <c r="L22122" s="31" t="s">
        <v>59</v>
      </c>
    </row>
    <row r="22123" spans="1:12">
      <c r="A22123" s="35"/>
      <c r="B22123" s="35"/>
      <c r="C22123" s="35"/>
      <c r="D22123" s="35"/>
      <c r="E22123" s="35"/>
      <c r="F22123" s="36"/>
      <c r="J22123" s="31">
        <v>6</v>
      </c>
      <c r="K22123" s="33" t="s">
        <v>60</v>
      </c>
      <c r="L22123" s="31" t="s">
        <v>61</v>
      </c>
    </row>
    <row r="22124" spans="1:12">
      <c r="J22124" s="31">
        <v>7</v>
      </c>
      <c r="K22124" s="33" t="s">
        <v>62</v>
      </c>
      <c r="L22124" s="31" t="s">
        <v>63</v>
      </c>
    </row>
    <row r="22125" spans="1:12">
      <c r="J22125" s="31">
        <v>8</v>
      </c>
      <c r="K22125" s="33" t="s">
        <v>64</v>
      </c>
      <c r="L22125" s="31" t="s">
        <v>65</v>
      </c>
    </row>
    <row r="22126" spans="1:12">
      <c r="A22126" s="38" t="s">
        <v>66</v>
      </c>
      <c r="J22126" s="31">
        <v>9</v>
      </c>
      <c r="K22126" s="33" t="s">
        <v>67</v>
      </c>
      <c r="L22126" s="31" t="s">
        <v>68</v>
      </c>
    </row>
    <row r="22127" spans="1:12">
      <c r="A22127" s="31" t="s">
        <v>69</v>
      </c>
      <c r="B22127" s="39" t="e">
        <f>TRUNC(A22115/100000000)</f>
        <v>#REF!</v>
      </c>
      <c r="C22127" s="31" t="e">
        <f>B22127*100000000</f>
        <v>#REF!</v>
      </c>
      <c r="D22127" s="31" t="e">
        <f t="shared" ref="D22127:D22133" si="2140">IF(B22127&lt;1,"",VLOOKUP(B22127,$J$3:$K$102,2))</f>
        <v>#REF!</v>
      </c>
      <c r="E22127" s="31" t="e">
        <f>IF(B22127&lt;1,"",IF(B22127&gt;1," Hundreds "," Hundred "))</f>
        <v>#REF!</v>
      </c>
      <c r="J22127" s="31">
        <v>10</v>
      </c>
      <c r="K22127" s="33" t="s">
        <v>70</v>
      </c>
      <c r="L22127" s="31" t="s">
        <v>71</v>
      </c>
    </row>
    <row r="22128" spans="1:12">
      <c r="A22128" s="31" t="s">
        <v>72</v>
      </c>
      <c r="B22128" s="39" t="e">
        <f>TRUNC((A22115-C22127)/1000000)</f>
        <v>#REF!</v>
      </c>
      <c r="C22128" s="31" t="e">
        <f>B22128*1000000</f>
        <v>#REF!</v>
      </c>
      <c r="D22128" s="31" t="e">
        <f t="shared" si="2140"/>
        <v>#REF!</v>
      </c>
      <c r="E22128" s="31" t="e">
        <f>IF(B22127+B22128=0,"",IF(B22128=1," Million "," Millions "))</f>
        <v>#REF!</v>
      </c>
      <c r="J22128" s="31">
        <v>11</v>
      </c>
      <c r="K22128" s="33" t="s">
        <v>73</v>
      </c>
      <c r="L22128" s="31" t="s">
        <v>74</v>
      </c>
    </row>
    <row r="22129" spans="1:12">
      <c r="A22129" s="31" t="s">
        <v>75</v>
      </c>
      <c r="B22129" s="39" t="e">
        <f>TRUNC((A22115-SUM(C22127:C22128))/100000)</f>
        <v>#REF!</v>
      </c>
      <c r="C22129" s="31" t="e">
        <f>B22129*100000</f>
        <v>#REF!</v>
      </c>
      <c r="D22129" s="31" t="e">
        <f t="shared" si="2140"/>
        <v>#REF!</v>
      </c>
      <c r="E22129" s="31" t="e">
        <f>IF(B22129&lt;1,"",IF(B22129&gt;1," Hundreds "," Hundred "))</f>
        <v>#REF!</v>
      </c>
      <c r="J22129" s="31">
        <v>12</v>
      </c>
      <c r="K22129" s="33" t="s">
        <v>76</v>
      </c>
      <c r="L22129" s="31" t="str">
        <f t="shared" ref="L22129:L22136" si="2141">L22119&amp;" Belas"</f>
        <v>Dua Belas</v>
      </c>
    </row>
    <row r="22130" spans="1:12">
      <c r="A22130" s="33" t="s">
        <v>77</v>
      </c>
      <c r="B22130" s="40" t="e">
        <f>TRUNC((A22115-SUM(C22127:C22129))/1000)</f>
        <v>#REF!</v>
      </c>
      <c r="C22130" s="31" t="e">
        <f>B22130*1000</f>
        <v>#REF!</v>
      </c>
      <c r="D22130" s="31" t="e">
        <f t="shared" si="2140"/>
        <v>#REF!</v>
      </c>
      <c r="E22130" s="31" t="e">
        <f>IF(B22129+B22130=0,"",IF(B22130=1," Thousand "," Thousands "))</f>
        <v>#REF!</v>
      </c>
      <c r="J22130" s="31">
        <v>13</v>
      </c>
      <c r="K22130" s="33" t="s">
        <v>78</v>
      </c>
      <c r="L22130" s="31" t="str">
        <f t="shared" si="2141"/>
        <v>Tiga Belas</v>
      </c>
    </row>
    <row r="22131" spans="1:12">
      <c r="A22131" s="33" t="s">
        <v>79</v>
      </c>
      <c r="B22131" s="40" t="e">
        <f>TRUNC((A22115-SUM(C22127:C22130))/100)</f>
        <v>#REF!</v>
      </c>
      <c r="C22131" s="31" t="e">
        <f>B22131*100</f>
        <v>#REF!</v>
      </c>
      <c r="D22131" s="31" t="e">
        <f t="shared" si="2140"/>
        <v>#REF!</v>
      </c>
      <c r="E22131" s="31" t="e">
        <f>IF(B22131&lt;1,"",IF(B22131&gt;1," Hundreds "," Hundred "))</f>
        <v>#REF!</v>
      </c>
      <c r="J22131" s="31">
        <v>14</v>
      </c>
      <c r="K22131" s="33" t="s">
        <v>80</v>
      </c>
      <c r="L22131" s="31" t="str">
        <f t="shared" si="2141"/>
        <v>Empat Belas</v>
      </c>
    </row>
    <row r="22132" spans="1:12">
      <c r="A22132" s="33" t="s">
        <v>81</v>
      </c>
      <c r="B22132" s="41" t="e">
        <f>TRUNC((A22115-SUM(C22127:C22131)))</f>
        <v>#REF!</v>
      </c>
      <c r="C22132" s="42" t="e">
        <f>B22132</f>
        <v>#REF!</v>
      </c>
      <c r="D22132" s="31" t="e">
        <f t="shared" si="2140"/>
        <v>#REF!</v>
      </c>
      <c r="E22132" s="31" t="e">
        <f>IF(SUM(C22127:C22132)&lt;1,"",IF(B22133&lt;1,""," And "))</f>
        <v>#REF!</v>
      </c>
      <c r="J22132" s="31">
        <v>15</v>
      </c>
      <c r="K22132" s="33" t="s">
        <v>82</v>
      </c>
      <c r="L22132" s="31" t="str">
        <f t="shared" si="2141"/>
        <v>Lima Belas</v>
      </c>
    </row>
    <row r="22133" spans="1:12">
      <c r="A22133" s="33" t="s">
        <v>83</v>
      </c>
      <c r="B22133" s="40" t="e">
        <f>ROUND(A22115-SUM(C22127:C22132),2)*100</f>
        <v>#REF!</v>
      </c>
      <c r="D22133" s="43" t="e">
        <f t="shared" si="2140"/>
        <v>#REF!</v>
      </c>
      <c r="E22133" s="31" t="e">
        <f>IF(B22133&lt;1,"",IF(B22133=1," Cent "," Cents "))</f>
        <v>#REF!</v>
      </c>
      <c r="J22133" s="31">
        <v>16</v>
      </c>
      <c r="K22133" s="33" t="s">
        <v>84</v>
      </c>
      <c r="L22133" s="31" t="str">
        <f t="shared" si="2141"/>
        <v>Enam Belas</v>
      </c>
    </row>
    <row r="22134" spans="1:12">
      <c r="J22134" s="31">
        <v>17</v>
      </c>
      <c r="K22134" s="33" t="s">
        <v>85</v>
      </c>
      <c r="L22134" s="31" t="str">
        <f t="shared" si="2141"/>
        <v>Tujuh Belas</v>
      </c>
    </row>
    <row r="22135" spans="1:12">
      <c r="A22135" s="44"/>
      <c r="J22135" s="31">
        <v>18</v>
      </c>
      <c r="K22135" s="33" t="s">
        <v>86</v>
      </c>
      <c r="L22135" s="31" t="str">
        <f t="shared" si="2141"/>
        <v>Delapan Belas</v>
      </c>
    </row>
    <row r="22136" spans="1:12">
      <c r="A22136" s="38" t="s">
        <v>87</v>
      </c>
      <c r="J22136" s="31">
        <v>19</v>
      </c>
      <c r="K22136" s="33" t="s">
        <v>88</v>
      </c>
      <c r="L22136" s="31" t="str">
        <f t="shared" si="2141"/>
        <v>Sembilan Belas</v>
      </c>
    </row>
    <row r="22137" spans="1:12">
      <c r="A22137" s="31" t="s">
        <v>69</v>
      </c>
      <c r="B22137" s="39" t="e">
        <f>TRUNC(A22115/100000000)</f>
        <v>#REF!</v>
      </c>
      <c r="C22137" s="31" t="e">
        <f>B22137*100000000</f>
        <v>#REF!</v>
      </c>
      <c r="D22137" s="31" t="e">
        <f>IF(B22137&lt;1,"",IF(B22137=1,"",VLOOKUP(B22137,$J$3:$L$102,3)))</f>
        <v>#REF!</v>
      </c>
      <c r="E22137" s="31" t="e">
        <f>IF(B22137&lt;1,"",IF(B22137=1,"Seratus "," Ratus "))</f>
        <v>#REF!</v>
      </c>
      <c r="J22137" s="31">
        <v>20</v>
      </c>
      <c r="K22137" s="33" t="s">
        <v>89</v>
      </c>
      <c r="L22137" s="31" t="s">
        <v>90</v>
      </c>
    </row>
    <row r="22138" spans="1:12">
      <c r="A22138" s="31" t="s">
        <v>72</v>
      </c>
      <c r="B22138" s="39" t="e">
        <f>TRUNC((A22115-C22137)/1000000)</f>
        <v>#REF!</v>
      </c>
      <c r="C22138" s="31" t="e">
        <f>B22138*1000000</f>
        <v>#REF!</v>
      </c>
      <c r="D22138" s="31" t="e">
        <f>IF(B22138&lt;1,"",VLOOKUP(B22138,$J$3:$L$102,3))</f>
        <v>#REF!</v>
      </c>
      <c r="E22138" s="31" t="e">
        <f>IF(B22137+B22138=0,""," Juta ")</f>
        <v>#REF!</v>
      </c>
      <c r="J22138" s="31">
        <v>21</v>
      </c>
      <c r="K22138" s="33" t="s">
        <v>91</v>
      </c>
      <c r="L22138" s="31" t="str">
        <f t="shared" ref="L22138:L22146" si="2142">$L$23&amp;" "&amp;L22118</f>
        <v>Dua Puluh Satu</v>
      </c>
    </row>
    <row r="22139" spans="1:12">
      <c r="A22139" s="31" t="s">
        <v>75</v>
      </c>
      <c r="B22139" s="39" t="e">
        <f>TRUNC((A22115-SUM(C22137:C22138))/100000)</f>
        <v>#REF!</v>
      </c>
      <c r="C22139" s="31" t="e">
        <f>B22139*100000</f>
        <v>#REF!</v>
      </c>
      <c r="D22139" s="31" t="e">
        <f>IF(B22139&lt;1,"",IF(B22139=1,"",VLOOKUP(B22139,$J$3:$L$102,3)))</f>
        <v>#REF!</v>
      </c>
      <c r="E22139" s="31" t="e">
        <f>IF(B22139&lt;1,"",IF(B22139=1," Seratus "," Ratus "))</f>
        <v>#REF!</v>
      </c>
      <c r="J22139" s="31">
        <v>22</v>
      </c>
      <c r="K22139" s="33" t="s">
        <v>92</v>
      </c>
      <c r="L22139" s="31" t="str">
        <f t="shared" si="2142"/>
        <v>Dua Puluh Dua</v>
      </c>
    </row>
    <row r="22140" spans="1:12">
      <c r="A22140" s="33" t="s">
        <v>77</v>
      </c>
      <c r="B22140" s="40" t="e">
        <f>TRUNC((A22115-SUM(C22137:C22139))/1000)</f>
        <v>#REF!</v>
      </c>
      <c r="C22140" s="31" t="e">
        <f>B22140*1000</f>
        <v>#REF!</v>
      </c>
      <c r="D22140" s="31" t="e">
        <f>IF(B22140&lt;1,"",IF(B22140=1,"",VLOOKUP(B22140,$J$3:$L$102,3)))</f>
        <v>#REF!</v>
      </c>
      <c r="E22140" s="31" t="e">
        <f>IF(B22139+B22140&lt;1,"",IF(B22140=1," Seribu "," Ribu "))</f>
        <v>#REF!</v>
      </c>
      <c r="J22140" s="31">
        <v>23</v>
      </c>
      <c r="K22140" s="33" t="s">
        <v>93</v>
      </c>
      <c r="L22140" s="31" t="str">
        <f t="shared" si="2142"/>
        <v>Dua Puluh Tiga</v>
      </c>
    </row>
    <row r="22141" spans="1:12">
      <c r="A22141" s="33" t="s">
        <v>79</v>
      </c>
      <c r="B22141" s="40" t="e">
        <f>TRUNC((A22115-SUM(C22137:C22140))/100)</f>
        <v>#REF!</v>
      </c>
      <c r="C22141" s="31" t="e">
        <f>B22141*100</f>
        <v>#REF!</v>
      </c>
      <c r="D22141" s="31" t="e">
        <f>IF(B22141&lt;1,"",IF(B22141=1,"",VLOOKUP(B22141,$J$3:$L$102,3)))</f>
        <v>#REF!</v>
      </c>
      <c r="E22141" s="31" t="e">
        <f>IF(B22141&lt;1,"",IF(B22141=1," Seratus "," Ratus "))</f>
        <v>#REF!</v>
      </c>
      <c r="J22141" s="31">
        <v>24</v>
      </c>
      <c r="K22141" s="33" t="s">
        <v>94</v>
      </c>
      <c r="L22141" s="31" t="str">
        <f t="shared" si="2142"/>
        <v>Dua Puluh Empat</v>
      </c>
    </row>
    <row r="22142" spans="1:12">
      <c r="A22142" s="33" t="s">
        <v>81</v>
      </c>
      <c r="B22142" s="41" t="e">
        <f>TRUNC((A22115-SUM(C22137:C22141)))</f>
        <v>#REF!</v>
      </c>
      <c r="C22142" s="42" t="e">
        <f>B22142</f>
        <v>#REF!</v>
      </c>
      <c r="D22142" s="31" t="e">
        <f>IF(B22142&lt;1,"",VLOOKUP(B22142,$J$3:$L$102,3))</f>
        <v>#REF!</v>
      </c>
      <c r="E22142" s="31" t="e">
        <f>IF(SUM(C22137:C22142)&lt;1,"",IF(B22143&lt;1,""," Dan "))</f>
        <v>#REF!</v>
      </c>
      <c r="J22142" s="31">
        <v>25</v>
      </c>
      <c r="K22142" s="33" t="s">
        <v>95</v>
      </c>
      <c r="L22142" s="31" t="str">
        <f t="shared" si="2142"/>
        <v>Dua Puluh Lima</v>
      </c>
    </row>
    <row r="22143" spans="1:12">
      <c r="A22143" s="33" t="s">
        <v>83</v>
      </c>
      <c r="B22143" s="40" t="e">
        <f>ROUND(A22115-SUM(C22137:C22142),2)*100</f>
        <v>#REF!</v>
      </c>
      <c r="D22143" s="31" t="e">
        <f>IF(B22143&lt;1,"",VLOOKUP(B22143,$J$3:$L$102,3))</f>
        <v>#REF!</v>
      </c>
      <c r="E22143" s="31" t="e">
        <f>IF(B22143&lt;1,""," Sen ")</f>
        <v>#REF!</v>
      </c>
      <c r="J22143" s="31">
        <v>26</v>
      </c>
      <c r="K22143" s="33" t="s">
        <v>96</v>
      </c>
      <c r="L22143" s="31" t="str">
        <f t="shared" si="2142"/>
        <v>Dua Puluh Enam</v>
      </c>
    </row>
    <row r="22144" spans="1:12">
      <c r="J22144" s="31">
        <v>27</v>
      </c>
      <c r="K22144" s="33" t="s">
        <v>97</v>
      </c>
      <c r="L22144" s="31" t="str">
        <f t="shared" si="2142"/>
        <v>Dua Puluh Tujuh</v>
      </c>
    </row>
    <row r="22145" spans="1:12">
      <c r="J22145" s="31">
        <v>28</v>
      </c>
      <c r="K22145" s="33" t="s">
        <v>98</v>
      </c>
      <c r="L22145" s="31" t="str">
        <f t="shared" si="2142"/>
        <v>Dua Puluh Delapan</v>
      </c>
    </row>
    <row r="22146" spans="1:12">
      <c r="J22146" s="31">
        <v>29</v>
      </c>
      <c r="K22146" s="33" t="s">
        <v>99</v>
      </c>
      <c r="L22146" s="31" t="str">
        <f t="shared" si="2142"/>
        <v>Dua Puluh Sembilan</v>
      </c>
    </row>
    <row r="22147" spans="1:12">
      <c r="J22147" s="31">
        <v>30</v>
      </c>
      <c r="K22147" s="33" t="s">
        <v>100</v>
      </c>
      <c r="L22147" s="31" t="s">
        <v>101</v>
      </c>
    </row>
    <row r="22148" spans="1:12">
      <c r="J22148" s="31">
        <v>31</v>
      </c>
      <c r="K22148" s="33" t="s">
        <v>102</v>
      </c>
      <c r="L22148" s="31" t="str">
        <f t="shared" ref="L22148:L22156" si="2143">$L$33&amp;" "&amp;L22118</f>
        <v>Tiga Puluh Satu</v>
      </c>
    </row>
    <row r="22149" spans="1:12">
      <c r="J22149" s="31">
        <v>32</v>
      </c>
      <c r="K22149" s="33" t="s">
        <v>103</v>
      </c>
      <c r="L22149" s="31" t="str">
        <f t="shared" si="2143"/>
        <v>Tiga Puluh Dua</v>
      </c>
    </row>
    <row r="22150" spans="1:12">
      <c r="J22150" s="31">
        <v>33</v>
      </c>
      <c r="K22150" s="33" t="s">
        <v>104</v>
      </c>
      <c r="L22150" s="31" t="str">
        <f t="shared" si="2143"/>
        <v>Tiga Puluh Tiga</v>
      </c>
    </row>
    <row r="22151" spans="1:12">
      <c r="J22151" s="31">
        <v>34</v>
      </c>
      <c r="K22151" s="33" t="s">
        <v>105</v>
      </c>
      <c r="L22151" s="31" t="str">
        <f t="shared" si="2143"/>
        <v>Tiga Puluh Empat</v>
      </c>
    </row>
    <row r="22152" spans="1:12">
      <c r="J22152" s="31">
        <v>35</v>
      </c>
      <c r="K22152" s="33" t="s">
        <v>106</v>
      </c>
      <c r="L22152" s="31" t="str">
        <f t="shared" si="2143"/>
        <v>Tiga Puluh Lima</v>
      </c>
    </row>
    <row r="22153" spans="1:12">
      <c r="J22153" s="31">
        <v>36</v>
      </c>
      <c r="K22153" s="33" t="s">
        <v>107</v>
      </c>
      <c r="L22153" s="31" t="str">
        <f t="shared" si="2143"/>
        <v>Tiga Puluh Enam</v>
      </c>
    </row>
    <row r="22154" spans="1:12">
      <c r="J22154" s="31">
        <v>37</v>
      </c>
      <c r="K22154" s="33" t="s">
        <v>108</v>
      </c>
      <c r="L22154" s="31" t="str">
        <f t="shared" si="2143"/>
        <v>Tiga Puluh Tujuh</v>
      </c>
    </row>
    <row r="22155" spans="1:12">
      <c r="J22155" s="31">
        <v>38</v>
      </c>
      <c r="K22155" s="33" t="s">
        <v>109</v>
      </c>
      <c r="L22155" s="31" t="str">
        <f t="shared" si="2143"/>
        <v>Tiga Puluh Delapan</v>
      </c>
    </row>
    <row r="22156" spans="1:12">
      <c r="J22156" s="31">
        <v>39</v>
      </c>
      <c r="K22156" s="33" t="s">
        <v>110</v>
      </c>
      <c r="L22156" s="31" t="str">
        <f t="shared" si="2143"/>
        <v>Tiga Puluh Sembilan</v>
      </c>
    </row>
    <row r="22157" spans="1:12">
      <c r="B22157" s="35"/>
      <c r="C22157" s="35"/>
      <c r="D22157" s="35"/>
      <c r="J22157" s="31">
        <v>40</v>
      </c>
      <c r="K22157" s="33" t="s">
        <v>111</v>
      </c>
      <c r="L22157" s="31" t="s">
        <v>112</v>
      </c>
    </row>
    <row r="22158" spans="1:12">
      <c r="A22158" s="35"/>
      <c r="B22158" s="35"/>
      <c r="C22158" s="35"/>
      <c r="D22158" s="35"/>
      <c r="J22158" s="31">
        <v>41</v>
      </c>
      <c r="K22158" s="33" t="s">
        <v>113</v>
      </c>
      <c r="L22158" s="31" t="str">
        <f t="shared" ref="L22158:L22166" si="2144">$L$43&amp;" "&amp;L22118</f>
        <v>Empat Puluh Satu</v>
      </c>
    </row>
    <row r="22159" spans="1:12">
      <c r="J22159" s="31">
        <v>42</v>
      </c>
      <c r="K22159" s="33" t="s">
        <v>114</v>
      </c>
      <c r="L22159" s="31" t="str">
        <f t="shared" si="2144"/>
        <v>Empat Puluh Dua</v>
      </c>
    </row>
    <row r="22160" spans="1:12">
      <c r="A22160" s="38"/>
      <c r="J22160" s="31">
        <v>43</v>
      </c>
      <c r="K22160" s="33" t="s">
        <v>115</v>
      </c>
      <c r="L22160" s="31" t="str">
        <f t="shared" si="2144"/>
        <v>Empat Puluh Tiga</v>
      </c>
    </row>
    <row r="22161" spans="10:12">
      <c r="J22161" s="31">
        <v>44</v>
      </c>
      <c r="K22161" s="33" t="s">
        <v>116</v>
      </c>
      <c r="L22161" s="31" t="str">
        <f t="shared" si="2144"/>
        <v>Empat Puluh Empat</v>
      </c>
    </row>
    <row r="22162" spans="10:12">
      <c r="J22162" s="31">
        <v>45</v>
      </c>
      <c r="K22162" s="33" t="s">
        <v>117</v>
      </c>
      <c r="L22162" s="31" t="str">
        <f t="shared" si="2144"/>
        <v>Empat Puluh Lima</v>
      </c>
    </row>
    <row r="22163" spans="10:12">
      <c r="J22163" s="31">
        <v>46</v>
      </c>
      <c r="K22163" s="33" t="s">
        <v>118</v>
      </c>
      <c r="L22163" s="31" t="str">
        <f t="shared" si="2144"/>
        <v>Empat Puluh Enam</v>
      </c>
    </row>
    <row r="22164" spans="10:12">
      <c r="J22164" s="31">
        <v>47</v>
      </c>
      <c r="K22164" s="33" t="s">
        <v>119</v>
      </c>
      <c r="L22164" s="31" t="str">
        <f t="shared" si="2144"/>
        <v>Empat Puluh Tujuh</v>
      </c>
    </row>
    <row r="22165" spans="10:12">
      <c r="J22165" s="31">
        <v>48</v>
      </c>
      <c r="K22165" s="33" t="s">
        <v>120</v>
      </c>
      <c r="L22165" s="31" t="str">
        <f t="shared" si="2144"/>
        <v>Empat Puluh Delapan</v>
      </c>
    </row>
    <row r="22166" spans="10:12">
      <c r="J22166" s="31">
        <v>49</v>
      </c>
      <c r="K22166" s="33" t="s">
        <v>121</v>
      </c>
      <c r="L22166" s="31" t="str">
        <f t="shared" si="2144"/>
        <v>Empat Puluh Sembilan</v>
      </c>
    </row>
    <row r="22167" spans="10:12">
      <c r="J22167" s="31">
        <v>50</v>
      </c>
      <c r="K22167" s="33" t="s">
        <v>122</v>
      </c>
      <c r="L22167" s="31" t="s">
        <v>123</v>
      </c>
    </row>
    <row r="22168" spans="10:12">
      <c r="J22168" s="31">
        <v>51</v>
      </c>
      <c r="K22168" s="33" t="s">
        <v>124</v>
      </c>
      <c r="L22168" s="31" t="str">
        <f t="shared" ref="L22168:L22176" si="2145">$L$53&amp;" "&amp;L22118</f>
        <v>Lima Puluh Satu</v>
      </c>
    </row>
    <row r="22169" spans="10:12">
      <c r="J22169" s="31">
        <v>52</v>
      </c>
      <c r="K22169" s="33" t="s">
        <v>125</v>
      </c>
      <c r="L22169" s="31" t="str">
        <f t="shared" si="2145"/>
        <v>Lima Puluh Dua</v>
      </c>
    </row>
    <row r="22170" spans="10:12">
      <c r="J22170" s="31">
        <v>53</v>
      </c>
      <c r="K22170" s="33" t="s">
        <v>126</v>
      </c>
      <c r="L22170" s="31" t="str">
        <f t="shared" si="2145"/>
        <v>Lima Puluh Tiga</v>
      </c>
    </row>
    <row r="22171" spans="10:12">
      <c r="J22171" s="31">
        <v>54</v>
      </c>
      <c r="K22171" s="33" t="s">
        <v>127</v>
      </c>
      <c r="L22171" s="31" t="str">
        <f t="shared" si="2145"/>
        <v>Lima Puluh Empat</v>
      </c>
    </row>
    <row r="22172" spans="10:12">
      <c r="J22172" s="31">
        <v>55</v>
      </c>
      <c r="K22172" s="33" t="s">
        <v>128</v>
      </c>
      <c r="L22172" s="31" t="str">
        <f t="shared" si="2145"/>
        <v>Lima Puluh Lima</v>
      </c>
    </row>
    <row r="22173" spans="10:12">
      <c r="J22173" s="31">
        <v>56</v>
      </c>
      <c r="K22173" s="33" t="s">
        <v>129</v>
      </c>
      <c r="L22173" s="31" t="str">
        <f t="shared" si="2145"/>
        <v>Lima Puluh Enam</v>
      </c>
    </row>
    <row r="22174" spans="10:12">
      <c r="J22174" s="31">
        <v>57</v>
      </c>
      <c r="K22174" s="33" t="s">
        <v>130</v>
      </c>
      <c r="L22174" s="31" t="str">
        <f t="shared" si="2145"/>
        <v>Lima Puluh Tujuh</v>
      </c>
    </row>
    <row r="22175" spans="10:12">
      <c r="J22175" s="31">
        <v>58</v>
      </c>
      <c r="K22175" s="33" t="s">
        <v>131</v>
      </c>
      <c r="L22175" s="31" t="str">
        <f t="shared" si="2145"/>
        <v>Lima Puluh Delapan</v>
      </c>
    </row>
    <row r="22176" spans="10:12">
      <c r="J22176" s="31">
        <v>59</v>
      </c>
      <c r="K22176" s="33" t="s">
        <v>132</v>
      </c>
      <c r="L22176" s="31" t="str">
        <f t="shared" si="2145"/>
        <v>Lima Puluh Sembilan</v>
      </c>
    </row>
    <row r="22177" spans="10:12">
      <c r="J22177" s="31">
        <v>60</v>
      </c>
      <c r="K22177" s="33" t="s">
        <v>133</v>
      </c>
      <c r="L22177" s="31" t="s">
        <v>134</v>
      </c>
    </row>
    <row r="22178" spans="10:12">
      <c r="J22178" s="31">
        <v>61</v>
      </c>
      <c r="K22178" s="33" t="s">
        <v>135</v>
      </c>
      <c r="L22178" s="31" t="str">
        <f t="shared" ref="L22178:L22186" si="2146">$L$63&amp;" "&amp;L22118</f>
        <v>Enam Puluh Satu</v>
      </c>
    </row>
    <row r="22179" spans="10:12">
      <c r="J22179" s="31">
        <v>62</v>
      </c>
      <c r="K22179" s="33" t="s">
        <v>136</v>
      </c>
      <c r="L22179" s="31" t="str">
        <f t="shared" si="2146"/>
        <v>Enam Puluh Dua</v>
      </c>
    </row>
    <row r="22180" spans="10:12">
      <c r="J22180" s="31">
        <v>63</v>
      </c>
      <c r="K22180" s="33" t="s">
        <v>137</v>
      </c>
      <c r="L22180" s="31" t="str">
        <f t="shared" si="2146"/>
        <v>Enam Puluh Tiga</v>
      </c>
    </row>
    <row r="22181" spans="10:12">
      <c r="J22181" s="31">
        <v>64</v>
      </c>
      <c r="K22181" s="33" t="s">
        <v>138</v>
      </c>
      <c r="L22181" s="31" t="str">
        <f t="shared" si="2146"/>
        <v>Enam Puluh Empat</v>
      </c>
    </row>
    <row r="22182" spans="10:12">
      <c r="J22182" s="31">
        <v>65</v>
      </c>
      <c r="K22182" s="33" t="s">
        <v>139</v>
      </c>
      <c r="L22182" s="31" t="str">
        <f t="shared" si="2146"/>
        <v>Enam Puluh Lima</v>
      </c>
    </row>
    <row r="22183" spans="10:12">
      <c r="J22183" s="31">
        <v>66</v>
      </c>
      <c r="K22183" s="33" t="s">
        <v>140</v>
      </c>
      <c r="L22183" s="31" t="str">
        <f t="shared" si="2146"/>
        <v>Enam Puluh Enam</v>
      </c>
    </row>
    <row r="22184" spans="10:12">
      <c r="J22184" s="31">
        <v>67</v>
      </c>
      <c r="K22184" s="33" t="s">
        <v>141</v>
      </c>
      <c r="L22184" s="31" t="str">
        <f t="shared" si="2146"/>
        <v>Enam Puluh Tujuh</v>
      </c>
    </row>
    <row r="22185" spans="10:12">
      <c r="J22185" s="31">
        <v>68</v>
      </c>
      <c r="K22185" s="33" t="s">
        <v>142</v>
      </c>
      <c r="L22185" s="31" t="str">
        <f t="shared" si="2146"/>
        <v>Enam Puluh Delapan</v>
      </c>
    </row>
    <row r="22186" spans="10:12">
      <c r="J22186" s="31">
        <v>69</v>
      </c>
      <c r="K22186" s="33" t="s">
        <v>143</v>
      </c>
      <c r="L22186" s="31" t="str">
        <f t="shared" si="2146"/>
        <v>Enam Puluh Sembilan</v>
      </c>
    </row>
    <row r="22187" spans="10:12">
      <c r="J22187" s="31">
        <v>70</v>
      </c>
      <c r="K22187" s="33" t="s">
        <v>144</v>
      </c>
      <c r="L22187" s="31" t="s">
        <v>145</v>
      </c>
    </row>
    <row r="22188" spans="10:12">
      <c r="J22188" s="31">
        <v>71</v>
      </c>
      <c r="K22188" s="33" t="s">
        <v>146</v>
      </c>
      <c r="L22188" s="31" t="str">
        <f t="shared" ref="L22188:L22196" si="2147">$L$73&amp;" "&amp;L22118</f>
        <v>Tujuh Puluh Satu</v>
      </c>
    </row>
    <row r="22189" spans="10:12">
      <c r="J22189" s="31">
        <v>72</v>
      </c>
      <c r="K22189" s="33" t="s">
        <v>147</v>
      </c>
      <c r="L22189" s="31" t="str">
        <f t="shared" si="2147"/>
        <v>Tujuh Puluh Dua</v>
      </c>
    </row>
    <row r="22190" spans="10:12">
      <c r="J22190" s="31">
        <v>73</v>
      </c>
      <c r="K22190" s="33" t="s">
        <v>148</v>
      </c>
      <c r="L22190" s="31" t="str">
        <f t="shared" si="2147"/>
        <v>Tujuh Puluh Tiga</v>
      </c>
    </row>
    <row r="22191" spans="10:12">
      <c r="J22191" s="31">
        <v>74</v>
      </c>
      <c r="K22191" s="33" t="s">
        <v>149</v>
      </c>
      <c r="L22191" s="31" t="str">
        <f t="shared" si="2147"/>
        <v>Tujuh Puluh Empat</v>
      </c>
    </row>
    <row r="22192" spans="10:12">
      <c r="J22192" s="31">
        <v>75</v>
      </c>
      <c r="K22192" s="33" t="s">
        <v>150</v>
      </c>
      <c r="L22192" s="31" t="str">
        <f t="shared" si="2147"/>
        <v>Tujuh Puluh Lima</v>
      </c>
    </row>
    <row r="22193" spans="10:12">
      <c r="J22193" s="31">
        <v>76</v>
      </c>
      <c r="K22193" s="33" t="s">
        <v>151</v>
      </c>
      <c r="L22193" s="31" t="str">
        <f t="shared" si="2147"/>
        <v>Tujuh Puluh Enam</v>
      </c>
    </row>
    <row r="22194" spans="10:12">
      <c r="J22194" s="31">
        <v>77</v>
      </c>
      <c r="K22194" s="33" t="s">
        <v>152</v>
      </c>
      <c r="L22194" s="31" t="str">
        <f t="shared" si="2147"/>
        <v>Tujuh Puluh Tujuh</v>
      </c>
    </row>
    <row r="22195" spans="10:12">
      <c r="J22195" s="31">
        <v>78</v>
      </c>
      <c r="K22195" s="33" t="s">
        <v>153</v>
      </c>
      <c r="L22195" s="31" t="str">
        <f t="shared" si="2147"/>
        <v>Tujuh Puluh Delapan</v>
      </c>
    </row>
    <row r="22196" spans="10:12">
      <c r="J22196" s="31">
        <v>79</v>
      </c>
      <c r="K22196" s="33" t="s">
        <v>154</v>
      </c>
      <c r="L22196" s="31" t="str">
        <f t="shared" si="2147"/>
        <v>Tujuh Puluh Sembilan</v>
      </c>
    </row>
    <row r="22197" spans="10:12">
      <c r="J22197" s="31">
        <v>80</v>
      </c>
      <c r="K22197" s="33" t="s">
        <v>155</v>
      </c>
      <c r="L22197" s="31" t="s">
        <v>156</v>
      </c>
    </row>
    <row r="22198" spans="10:12">
      <c r="J22198" s="31">
        <v>81</v>
      </c>
      <c r="K22198" s="33" t="s">
        <v>157</v>
      </c>
      <c r="L22198" s="31" t="str">
        <f t="shared" ref="L22198:L22206" si="2148">$L$83&amp;" "&amp;L22118</f>
        <v>Delapan Puluh Satu</v>
      </c>
    </row>
    <row r="22199" spans="10:12">
      <c r="J22199" s="31">
        <v>82</v>
      </c>
      <c r="K22199" s="33" t="s">
        <v>158</v>
      </c>
      <c r="L22199" s="31" t="str">
        <f t="shared" si="2148"/>
        <v>Delapan Puluh Dua</v>
      </c>
    </row>
    <row r="22200" spans="10:12">
      <c r="J22200" s="31">
        <v>83</v>
      </c>
      <c r="K22200" s="33" t="s">
        <v>159</v>
      </c>
      <c r="L22200" s="31" t="str">
        <f t="shared" si="2148"/>
        <v>Delapan Puluh Tiga</v>
      </c>
    </row>
    <row r="22201" spans="10:12">
      <c r="J22201" s="31">
        <v>84</v>
      </c>
      <c r="K22201" s="33" t="s">
        <v>160</v>
      </c>
      <c r="L22201" s="31" t="str">
        <f t="shared" si="2148"/>
        <v>Delapan Puluh Empat</v>
      </c>
    </row>
    <row r="22202" spans="10:12">
      <c r="J22202" s="31">
        <v>85</v>
      </c>
      <c r="K22202" s="33" t="s">
        <v>161</v>
      </c>
      <c r="L22202" s="31" t="str">
        <f t="shared" si="2148"/>
        <v>Delapan Puluh Lima</v>
      </c>
    </row>
    <row r="22203" spans="10:12">
      <c r="J22203" s="31">
        <v>86</v>
      </c>
      <c r="K22203" s="33" t="s">
        <v>162</v>
      </c>
      <c r="L22203" s="31" t="str">
        <f t="shared" si="2148"/>
        <v>Delapan Puluh Enam</v>
      </c>
    </row>
    <row r="22204" spans="10:12">
      <c r="J22204" s="31">
        <v>87</v>
      </c>
      <c r="K22204" s="33" t="s">
        <v>163</v>
      </c>
      <c r="L22204" s="31" t="str">
        <f t="shared" si="2148"/>
        <v>Delapan Puluh Tujuh</v>
      </c>
    </row>
    <row r="22205" spans="10:12">
      <c r="J22205" s="31">
        <v>88</v>
      </c>
      <c r="K22205" s="33" t="s">
        <v>164</v>
      </c>
      <c r="L22205" s="31" t="str">
        <f t="shared" si="2148"/>
        <v>Delapan Puluh Delapan</v>
      </c>
    </row>
    <row r="22206" spans="10:12">
      <c r="J22206" s="31">
        <v>89</v>
      </c>
      <c r="K22206" s="33" t="s">
        <v>165</v>
      </c>
      <c r="L22206" s="31" t="str">
        <f t="shared" si="2148"/>
        <v>Delapan Puluh Sembilan</v>
      </c>
    </row>
    <row r="22207" spans="10:12">
      <c r="J22207" s="31">
        <v>90</v>
      </c>
      <c r="K22207" s="33" t="s">
        <v>166</v>
      </c>
      <c r="L22207" s="31" t="s">
        <v>167</v>
      </c>
    </row>
    <row r="22208" spans="10:12">
      <c r="J22208" s="31">
        <v>91</v>
      </c>
      <c r="K22208" s="33" t="s">
        <v>168</v>
      </c>
      <c r="L22208" s="31" t="str">
        <f t="shared" ref="L22208:L22216" si="2149">$L$93&amp;" "&amp;L22118</f>
        <v>Sembilan Puluh Satu</v>
      </c>
    </row>
    <row r="22209" spans="1:12">
      <c r="J22209" s="31">
        <v>92</v>
      </c>
      <c r="K22209" s="33" t="s">
        <v>169</v>
      </c>
      <c r="L22209" s="31" t="str">
        <f t="shared" si="2149"/>
        <v>Sembilan Puluh Dua</v>
      </c>
    </row>
    <row r="22210" spans="1:12">
      <c r="J22210" s="31">
        <v>93</v>
      </c>
      <c r="K22210" s="33" t="s">
        <v>170</v>
      </c>
      <c r="L22210" s="31" t="str">
        <f t="shared" si="2149"/>
        <v>Sembilan Puluh Tiga</v>
      </c>
    </row>
    <row r="22211" spans="1:12">
      <c r="J22211" s="31">
        <v>94</v>
      </c>
      <c r="K22211" s="33" t="s">
        <v>171</v>
      </c>
      <c r="L22211" s="31" t="str">
        <f t="shared" si="2149"/>
        <v>Sembilan Puluh Empat</v>
      </c>
    </row>
    <row r="22212" spans="1:12">
      <c r="J22212" s="31">
        <v>95</v>
      </c>
      <c r="K22212" s="33" t="s">
        <v>172</v>
      </c>
      <c r="L22212" s="31" t="str">
        <f t="shared" si="2149"/>
        <v>Sembilan Puluh Lima</v>
      </c>
    </row>
    <row r="22213" spans="1:12">
      <c r="J22213" s="31">
        <v>96</v>
      </c>
      <c r="K22213" s="33" t="s">
        <v>173</v>
      </c>
      <c r="L22213" s="31" t="str">
        <f t="shared" si="2149"/>
        <v>Sembilan Puluh Enam</v>
      </c>
    </row>
    <row r="22214" spans="1:12">
      <c r="J22214" s="31">
        <v>97</v>
      </c>
      <c r="K22214" s="33" t="s">
        <v>174</v>
      </c>
      <c r="L22214" s="31" t="str">
        <f t="shared" si="2149"/>
        <v>Sembilan Puluh Tujuh</v>
      </c>
    </row>
    <row r="22215" spans="1:12">
      <c r="J22215" s="31">
        <v>98</v>
      </c>
      <c r="K22215" s="33" t="s">
        <v>175</v>
      </c>
      <c r="L22215" s="31" t="str">
        <f t="shared" si="2149"/>
        <v>Sembilan Puluh Delapan</v>
      </c>
    </row>
    <row r="22216" spans="1:12">
      <c r="J22216" s="31">
        <v>99</v>
      </c>
      <c r="K22216" s="33" t="s">
        <v>176</v>
      </c>
      <c r="L22216" s="31" t="str">
        <f t="shared" si="2149"/>
        <v>Sembilan Puluh Sembilan</v>
      </c>
    </row>
    <row r="22218" spans="1:12">
      <c r="A22218" s="30" t="e">
        <f>#REF!</f>
        <v>#REF!</v>
      </c>
      <c r="C22218" s="31" t="s">
        <v>474</v>
      </c>
    </row>
    <row r="22219" spans="1:12">
      <c r="A22219" s="32"/>
    </row>
    <row r="22220" spans="1:12">
      <c r="J22220" s="31">
        <v>0</v>
      </c>
      <c r="K22220" s="33" t="s">
        <v>48</v>
      </c>
      <c r="L22220" s="31" t="s">
        <v>49</v>
      </c>
    </row>
    <row r="22221" spans="1:12">
      <c r="A22221" s="34"/>
      <c r="J22221" s="31">
        <v>1</v>
      </c>
      <c r="K22221" s="33" t="s">
        <v>50</v>
      </c>
      <c r="L22221" s="31" t="s">
        <v>51</v>
      </c>
    </row>
    <row r="22222" spans="1:12">
      <c r="A22222" s="255" t="e">
        <f>TRIM(D22230&amp;E22230&amp;D22231&amp;E22231&amp;D22232&amp;E22232&amp;D22233&amp;E22233&amp;D22234&amp;E22234&amp;D22235&amp;E22235&amp;E22236&amp;D22236&amp;" Only")</f>
        <v>#REF!</v>
      </c>
      <c r="B22222" s="255"/>
      <c r="C22222" s="255"/>
      <c r="D22222" s="255"/>
      <c r="E22222" s="35"/>
      <c r="F22222" s="36"/>
      <c r="J22222" s="31">
        <v>2</v>
      </c>
      <c r="K22222" s="33" t="s">
        <v>52</v>
      </c>
      <c r="L22222" s="31" t="s">
        <v>53</v>
      </c>
    </row>
    <row r="22223" spans="1:12">
      <c r="A22223" s="211"/>
      <c r="B22223" s="211"/>
      <c r="C22223" s="211"/>
      <c r="D22223" s="211"/>
      <c r="E22223" s="35"/>
      <c r="F22223" s="36"/>
      <c r="J22223" s="31">
        <v>3</v>
      </c>
      <c r="K22223" s="33" t="s">
        <v>54</v>
      </c>
      <c r="L22223" s="31" t="s">
        <v>55</v>
      </c>
    </row>
    <row r="22224" spans="1:12">
      <c r="A22224" s="211"/>
      <c r="B22224" s="211"/>
      <c r="C22224" s="211"/>
      <c r="D22224" s="211"/>
      <c r="J22224" s="31">
        <v>4</v>
      </c>
      <c r="K22224" s="33" t="s">
        <v>56</v>
      </c>
      <c r="L22224" s="31" t="s">
        <v>57</v>
      </c>
    </row>
    <row r="22225" spans="1:12">
      <c r="A22225" s="255" t="e">
        <f>TRIM(D22240&amp;E22240&amp;D22241&amp;E22241&amp;D22242&amp;E22242&amp;D22243&amp;E22243&amp;D22244&amp;E22244&amp;D22245&amp;E22245&amp;D22246&amp;E22246&amp;" Rupiah")</f>
        <v>#REF!</v>
      </c>
      <c r="B22225" s="255"/>
      <c r="C22225" s="255"/>
      <c r="D22225" s="255"/>
      <c r="E22225" s="35"/>
      <c r="F22225" s="36"/>
      <c r="J22225" s="31">
        <v>5</v>
      </c>
      <c r="K22225" s="33" t="s">
        <v>58</v>
      </c>
      <c r="L22225" s="31" t="s">
        <v>59</v>
      </c>
    </row>
    <row r="22226" spans="1:12">
      <c r="A22226" s="35"/>
      <c r="B22226" s="35"/>
      <c r="C22226" s="35"/>
      <c r="D22226" s="35"/>
      <c r="E22226" s="35"/>
      <c r="F22226" s="36"/>
      <c r="J22226" s="31">
        <v>6</v>
      </c>
      <c r="K22226" s="33" t="s">
        <v>60</v>
      </c>
      <c r="L22226" s="31" t="s">
        <v>61</v>
      </c>
    </row>
    <row r="22227" spans="1:12">
      <c r="J22227" s="31">
        <v>7</v>
      </c>
      <c r="K22227" s="33" t="s">
        <v>62</v>
      </c>
      <c r="L22227" s="31" t="s">
        <v>63</v>
      </c>
    </row>
    <row r="22228" spans="1:12">
      <c r="J22228" s="31">
        <v>8</v>
      </c>
      <c r="K22228" s="33" t="s">
        <v>64</v>
      </c>
      <c r="L22228" s="31" t="s">
        <v>65</v>
      </c>
    </row>
    <row r="22229" spans="1:12">
      <c r="A22229" s="38" t="s">
        <v>66</v>
      </c>
      <c r="J22229" s="31">
        <v>9</v>
      </c>
      <c r="K22229" s="33" t="s">
        <v>67</v>
      </c>
      <c r="L22229" s="31" t="s">
        <v>68</v>
      </c>
    </row>
    <row r="22230" spans="1:12">
      <c r="A22230" s="31" t="s">
        <v>69</v>
      </c>
      <c r="B22230" s="39" t="e">
        <f>TRUNC(A22218/100000000)</f>
        <v>#REF!</v>
      </c>
      <c r="C22230" s="31" t="e">
        <f>B22230*100000000</f>
        <v>#REF!</v>
      </c>
      <c r="D22230" s="31" t="e">
        <f t="shared" ref="D22230:D22236" si="2150">IF(B22230&lt;1,"",VLOOKUP(B22230,$J$3:$K$102,2))</f>
        <v>#REF!</v>
      </c>
      <c r="E22230" s="31" t="e">
        <f>IF(B22230&lt;1,"",IF(B22230&gt;1," Hundreds "," Hundred "))</f>
        <v>#REF!</v>
      </c>
      <c r="J22230" s="31">
        <v>10</v>
      </c>
      <c r="K22230" s="33" t="s">
        <v>70</v>
      </c>
      <c r="L22230" s="31" t="s">
        <v>71</v>
      </c>
    </row>
    <row r="22231" spans="1:12">
      <c r="A22231" s="31" t="s">
        <v>72</v>
      </c>
      <c r="B22231" s="39" t="e">
        <f>TRUNC((A22218-C22230)/1000000)</f>
        <v>#REF!</v>
      </c>
      <c r="C22231" s="31" t="e">
        <f>B22231*1000000</f>
        <v>#REF!</v>
      </c>
      <c r="D22231" s="31" t="e">
        <f t="shared" si="2150"/>
        <v>#REF!</v>
      </c>
      <c r="E22231" s="31" t="e">
        <f>IF(B22230+B22231=0,"",IF(B22231=1," Million "," Millions "))</f>
        <v>#REF!</v>
      </c>
      <c r="J22231" s="31">
        <v>11</v>
      </c>
      <c r="K22231" s="33" t="s">
        <v>73</v>
      </c>
      <c r="L22231" s="31" t="s">
        <v>74</v>
      </c>
    </row>
    <row r="22232" spans="1:12">
      <c r="A22232" s="31" t="s">
        <v>75</v>
      </c>
      <c r="B22232" s="39" t="e">
        <f>TRUNC((A22218-SUM(C22230:C22231))/100000)</f>
        <v>#REF!</v>
      </c>
      <c r="C22232" s="31" t="e">
        <f>B22232*100000</f>
        <v>#REF!</v>
      </c>
      <c r="D22232" s="31" t="e">
        <f t="shared" si="2150"/>
        <v>#REF!</v>
      </c>
      <c r="E22232" s="31" t="e">
        <f>IF(B22232&lt;1,"",IF(B22232&gt;1," Hundreds "," Hundred "))</f>
        <v>#REF!</v>
      </c>
      <c r="J22232" s="31">
        <v>12</v>
      </c>
      <c r="K22232" s="33" t="s">
        <v>76</v>
      </c>
      <c r="L22232" s="31" t="str">
        <f t="shared" ref="L22232:L22239" si="2151">L22222&amp;" Belas"</f>
        <v>Dua Belas</v>
      </c>
    </row>
    <row r="22233" spans="1:12">
      <c r="A22233" s="33" t="s">
        <v>77</v>
      </c>
      <c r="B22233" s="40" t="e">
        <f>TRUNC((A22218-SUM(C22230:C22232))/1000)</f>
        <v>#REF!</v>
      </c>
      <c r="C22233" s="31" t="e">
        <f>B22233*1000</f>
        <v>#REF!</v>
      </c>
      <c r="D22233" s="31" t="e">
        <f t="shared" si="2150"/>
        <v>#REF!</v>
      </c>
      <c r="E22233" s="31" t="e">
        <f>IF(B22232+B22233=0,"",IF(B22233=1," Thousand "," Thousands "))</f>
        <v>#REF!</v>
      </c>
      <c r="J22233" s="31">
        <v>13</v>
      </c>
      <c r="K22233" s="33" t="s">
        <v>78</v>
      </c>
      <c r="L22233" s="31" t="str">
        <f t="shared" si="2151"/>
        <v>Tiga Belas</v>
      </c>
    </row>
    <row r="22234" spans="1:12">
      <c r="A22234" s="33" t="s">
        <v>79</v>
      </c>
      <c r="B22234" s="40" t="e">
        <f>TRUNC((A22218-SUM(C22230:C22233))/100)</f>
        <v>#REF!</v>
      </c>
      <c r="C22234" s="31" t="e">
        <f>B22234*100</f>
        <v>#REF!</v>
      </c>
      <c r="D22234" s="31" t="e">
        <f t="shared" si="2150"/>
        <v>#REF!</v>
      </c>
      <c r="E22234" s="31" t="e">
        <f>IF(B22234&lt;1,"",IF(B22234&gt;1," Hundreds "," Hundred "))</f>
        <v>#REF!</v>
      </c>
      <c r="J22234" s="31">
        <v>14</v>
      </c>
      <c r="K22234" s="33" t="s">
        <v>80</v>
      </c>
      <c r="L22234" s="31" t="str">
        <f t="shared" si="2151"/>
        <v>Empat Belas</v>
      </c>
    </row>
    <row r="22235" spans="1:12">
      <c r="A22235" s="33" t="s">
        <v>81</v>
      </c>
      <c r="B22235" s="41" t="e">
        <f>TRUNC((A22218-SUM(C22230:C22234)))</f>
        <v>#REF!</v>
      </c>
      <c r="C22235" s="42" t="e">
        <f>B22235</f>
        <v>#REF!</v>
      </c>
      <c r="D22235" s="31" t="e">
        <f t="shared" si="2150"/>
        <v>#REF!</v>
      </c>
      <c r="E22235" s="31" t="e">
        <f>IF(SUM(C22230:C22235)&lt;1,"",IF(B22236&lt;1,""," And "))</f>
        <v>#REF!</v>
      </c>
      <c r="J22235" s="31">
        <v>15</v>
      </c>
      <c r="K22235" s="33" t="s">
        <v>82</v>
      </c>
      <c r="L22235" s="31" t="str">
        <f t="shared" si="2151"/>
        <v>Lima Belas</v>
      </c>
    </row>
    <row r="22236" spans="1:12">
      <c r="A22236" s="33" t="s">
        <v>83</v>
      </c>
      <c r="B22236" s="40" t="e">
        <f>ROUND(A22218-SUM(C22230:C22235),2)*100</f>
        <v>#REF!</v>
      </c>
      <c r="D22236" s="43" t="e">
        <f t="shared" si="2150"/>
        <v>#REF!</v>
      </c>
      <c r="E22236" s="31" t="e">
        <f>IF(B22236&lt;1,"",IF(B22236=1," Cent "," Cents "))</f>
        <v>#REF!</v>
      </c>
      <c r="J22236" s="31">
        <v>16</v>
      </c>
      <c r="K22236" s="33" t="s">
        <v>84</v>
      </c>
      <c r="L22236" s="31" t="str">
        <f t="shared" si="2151"/>
        <v>Enam Belas</v>
      </c>
    </row>
    <row r="22237" spans="1:12">
      <c r="J22237" s="31">
        <v>17</v>
      </c>
      <c r="K22237" s="33" t="s">
        <v>85</v>
      </c>
      <c r="L22237" s="31" t="str">
        <f t="shared" si="2151"/>
        <v>Tujuh Belas</v>
      </c>
    </row>
    <row r="22238" spans="1:12">
      <c r="A22238" s="44"/>
      <c r="J22238" s="31">
        <v>18</v>
      </c>
      <c r="K22238" s="33" t="s">
        <v>86</v>
      </c>
      <c r="L22238" s="31" t="str">
        <f t="shared" si="2151"/>
        <v>Delapan Belas</v>
      </c>
    </row>
    <row r="22239" spans="1:12">
      <c r="A22239" s="38" t="s">
        <v>87</v>
      </c>
      <c r="J22239" s="31">
        <v>19</v>
      </c>
      <c r="K22239" s="33" t="s">
        <v>88</v>
      </c>
      <c r="L22239" s="31" t="str">
        <f t="shared" si="2151"/>
        <v>Sembilan Belas</v>
      </c>
    </row>
    <row r="22240" spans="1:12">
      <c r="A22240" s="31" t="s">
        <v>69</v>
      </c>
      <c r="B22240" s="39" t="e">
        <f>TRUNC(A22218/100000000)</f>
        <v>#REF!</v>
      </c>
      <c r="C22240" s="31" t="e">
        <f>B22240*100000000</f>
        <v>#REF!</v>
      </c>
      <c r="D22240" s="31" t="e">
        <f>IF(B22240&lt;1,"",IF(B22240=1,"",VLOOKUP(B22240,$J$3:$L$102,3)))</f>
        <v>#REF!</v>
      </c>
      <c r="E22240" s="31" t="e">
        <f>IF(B22240&lt;1,"",IF(B22240=1,"Seratus "," Ratus "))</f>
        <v>#REF!</v>
      </c>
      <c r="J22240" s="31">
        <v>20</v>
      </c>
      <c r="K22240" s="33" t="s">
        <v>89</v>
      </c>
      <c r="L22240" s="31" t="s">
        <v>90</v>
      </c>
    </row>
    <row r="22241" spans="1:12">
      <c r="A22241" s="31" t="s">
        <v>72</v>
      </c>
      <c r="B22241" s="39" t="e">
        <f>TRUNC((A22218-C22240)/1000000)</f>
        <v>#REF!</v>
      </c>
      <c r="C22241" s="31" t="e">
        <f>B22241*1000000</f>
        <v>#REF!</v>
      </c>
      <c r="D22241" s="31" t="e">
        <f>IF(B22241&lt;1,"",VLOOKUP(B22241,$J$3:$L$102,3))</f>
        <v>#REF!</v>
      </c>
      <c r="E22241" s="31" t="e">
        <f>IF(B22240+B22241=0,""," Juta ")</f>
        <v>#REF!</v>
      </c>
      <c r="J22241" s="31">
        <v>21</v>
      </c>
      <c r="K22241" s="33" t="s">
        <v>91</v>
      </c>
      <c r="L22241" s="31" t="str">
        <f t="shared" ref="L22241:L22249" si="2152">$L$23&amp;" "&amp;L22221</f>
        <v>Dua Puluh Satu</v>
      </c>
    </row>
    <row r="22242" spans="1:12">
      <c r="A22242" s="31" t="s">
        <v>75</v>
      </c>
      <c r="B22242" s="39" t="e">
        <f>TRUNC((A22218-SUM(C22240:C22241))/100000)</f>
        <v>#REF!</v>
      </c>
      <c r="C22242" s="31" t="e">
        <f>B22242*100000</f>
        <v>#REF!</v>
      </c>
      <c r="D22242" s="31" t="e">
        <f>IF(B22242&lt;1,"",IF(B22242=1,"",VLOOKUP(B22242,$J$3:$L$102,3)))</f>
        <v>#REF!</v>
      </c>
      <c r="E22242" s="31" t="e">
        <f>IF(B22242&lt;1,"",IF(B22242=1," Seratus "," Ratus "))</f>
        <v>#REF!</v>
      </c>
      <c r="J22242" s="31">
        <v>22</v>
      </c>
      <c r="K22242" s="33" t="s">
        <v>92</v>
      </c>
      <c r="L22242" s="31" t="str">
        <f t="shared" si="2152"/>
        <v>Dua Puluh Dua</v>
      </c>
    </row>
    <row r="22243" spans="1:12">
      <c r="A22243" s="33" t="s">
        <v>77</v>
      </c>
      <c r="B22243" s="40" t="e">
        <f>TRUNC((A22218-SUM(C22240:C22242))/1000)</f>
        <v>#REF!</v>
      </c>
      <c r="C22243" s="31" t="e">
        <f>B22243*1000</f>
        <v>#REF!</v>
      </c>
      <c r="D22243" s="31" t="e">
        <f>IF(B22243&lt;1,"",IF(B22243=1,"",VLOOKUP(B22243,$J$3:$L$102,3)))</f>
        <v>#REF!</v>
      </c>
      <c r="E22243" s="31" t="e">
        <f>IF(B22242+B22243&lt;1,"",IF(B22243=1," Seribu "," Ribu "))</f>
        <v>#REF!</v>
      </c>
      <c r="J22243" s="31">
        <v>23</v>
      </c>
      <c r="K22243" s="33" t="s">
        <v>93</v>
      </c>
      <c r="L22243" s="31" t="str">
        <f t="shared" si="2152"/>
        <v>Dua Puluh Tiga</v>
      </c>
    </row>
    <row r="22244" spans="1:12">
      <c r="A22244" s="33" t="s">
        <v>79</v>
      </c>
      <c r="B22244" s="40" t="e">
        <f>TRUNC((A22218-SUM(C22240:C22243))/100)</f>
        <v>#REF!</v>
      </c>
      <c r="C22244" s="31" t="e">
        <f>B22244*100</f>
        <v>#REF!</v>
      </c>
      <c r="D22244" s="31" t="e">
        <f>IF(B22244&lt;1,"",IF(B22244=1,"",VLOOKUP(B22244,$J$3:$L$102,3)))</f>
        <v>#REF!</v>
      </c>
      <c r="E22244" s="31" t="e">
        <f>IF(B22244&lt;1,"",IF(B22244=1," Seratus "," Ratus "))</f>
        <v>#REF!</v>
      </c>
      <c r="J22244" s="31">
        <v>24</v>
      </c>
      <c r="K22244" s="33" t="s">
        <v>94</v>
      </c>
      <c r="L22244" s="31" t="str">
        <f t="shared" si="2152"/>
        <v>Dua Puluh Empat</v>
      </c>
    </row>
    <row r="22245" spans="1:12">
      <c r="A22245" s="33" t="s">
        <v>81</v>
      </c>
      <c r="B22245" s="41" t="e">
        <f>TRUNC((A22218-SUM(C22240:C22244)))</f>
        <v>#REF!</v>
      </c>
      <c r="C22245" s="42" t="e">
        <f>B22245</f>
        <v>#REF!</v>
      </c>
      <c r="D22245" s="31" t="e">
        <f>IF(B22245&lt;1,"",VLOOKUP(B22245,$J$3:$L$102,3))</f>
        <v>#REF!</v>
      </c>
      <c r="E22245" s="31" t="e">
        <f>IF(SUM(C22240:C22245)&lt;1,"",IF(B22246&lt;1,""," Dan "))</f>
        <v>#REF!</v>
      </c>
      <c r="J22245" s="31">
        <v>25</v>
      </c>
      <c r="K22245" s="33" t="s">
        <v>95</v>
      </c>
      <c r="L22245" s="31" t="str">
        <f t="shared" si="2152"/>
        <v>Dua Puluh Lima</v>
      </c>
    </row>
    <row r="22246" spans="1:12">
      <c r="A22246" s="33" t="s">
        <v>83</v>
      </c>
      <c r="B22246" s="40" t="e">
        <f>ROUND(A22218-SUM(C22240:C22245),2)*100</f>
        <v>#REF!</v>
      </c>
      <c r="D22246" s="31" t="e">
        <f>IF(B22246&lt;1,"",VLOOKUP(B22246,$J$3:$L$102,3))</f>
        <v>#REF!</v>
      </c>
      <c r="E22246" s="31" t="e">
        <f>IF(B22246&lt;1,""," Sen ")</f>
        <v>#REF!</v>
      </c>
      <c r="J22246" s="31">
        <v>26</v>
      </c>
      <c r="K22246" s="33" t="s">
        <v>96</v>
      </c>
      <c r="L22246" s="31" t="str">
        <f t="shared" si="2152"/>
        <v>Dua Puluh Enam</v>
      </c>
    </row>
    <row r="22247" spans="1:12">
      <c r="J22247" s="31">
        <v>27</v>
      </c>
      <c r="K22247" s="33" t="s">
        <v>97</v>
      </c>
      <c r="L22247" s="31" t="str">
        <f t="shared" si="2152"/>
        <v>Dua Puluh Tujuh</v>
      </c>
    </row>
    <row r="22248" spans="1:12">
      <c r="J22248" s="31">
        <v>28</v>
      </c>
      <c r="K22248" s="33" t="s">
        <v>98</v>
      </c>
      <c r="L22248" s="31" t="str">
        <f t="shared" si="2152"/>
        <v>Dua Puluh Delapan</v>
      </c>
    </row>
    <row r="22249" spans="1:12">
      <c r="J22249" s="31">
        <v>29</v>
      </c>
      <c r="K22249" s="33" t="s">
        <v>99</v>
      </c>
      <c r="L22249" s="31" t="str">
        <f t="shared" si="2152"/>
        <v>Dua Puluh Sembilan</v>
      </c>
    </row>
    <row r="22250" spans="1:12">
      <c r="J22250" s="31">
        <v>30</v>
      </c>
      <c r="K22250" s="33" t="s">
        <v>100</v>
      </c>
      <c r="L22250" s="31" t="s">
        <v>101</v>
      </c>
    </row>
    <row r="22251" spans="1:12">
      <c r="J22251" s="31">
        <v>31</v>
      </c>
      <c r="K22251" s="33" t="s">
        <v>102</v>
      </c>
      <c r="L22251" s="31" t="str">
        <f t="shared" ref="L22251:L22259" si="2153">$L$33&amp;" "&amp;L22221</f>
        <v>Tiga Puluh Satu</v>
      </c>
    </row>
    <row r="22252" spans="1:12">
      <c r="J22252" s="31">
        <v>32</v>
      </c>
      <c r="K22252" s="33" t="s">
        <v>103</v>
      </c>
      <c r="L22252" s="31" t="str">
        <f t="shared" si="2153"/>
        <v>Tiga Puluh Dua</v>
      </c>
    </row>
    <row r="22253" spans="1:12">
      <c r="J22253" s="31">
        <v>33</v>
      </c>
      <c r="K22253" s="33" t="s">
        <v>104</v>
      </c>
      <c r="L22253" s="31" t="str">
        <f t="shared" si="2153"/>
        <v>Tiga Puluh Tiga</v>
      </c>
    </row>
    <row r="22254" spans="1:12">
      <c r="J22254" s="31">
        <v>34</v>
      </c>
      <c r="K22254" s="33" t="s">
        <v>105</v>
      </c>
      <c r="L22254" s="31" t="str">
        <f t="shared" si="2153"/>
        <v>Tiga Puluh Empat</v>
      </c>
    </row>
    <row r="22255" spans="1:12">
      <c r="J22255" s="31">
        <v>35</v>
      </c>
      <c r="K22255" s="33" t="s">
        <v>106</v>
      </c>
      <c r="L22255" s="31" t="str">
        <f t="shared" si="2153"/>
        <v>Tiga Puluh Lima</v>
      </c>
    </row>
    <row r="22256" spans="1:12">
      <c r="J22256" s="31">
        <v>36</v>
      </c>
      <c r="K22256" s="33" t="s">
        <v>107</v>
      </c>
      <c r="L22256" s="31" t="str">
        <f t="shared" si="2153"/>
        <v>Tiga Puluh Enam</v>
      </c>
    </row>
    <row r="22257" spans="1:12">
      <c r="J22257" s="31">
        <v>37</v>
      </c>
      <c r="K22257" s="33" t="s">
        <v>108</v>
      </c>
      <c r="L22257" s="31" t="str">
        <f t="shared" si="2153"/>
        <v>Tiga Puluh Tujuh</v>
      </c>
    </row>
    <row r="22258" spans="1:12">
      <c r="J22258" s="31">
        <v>38</v>
      </c>
      <c r="K22258" s="33" t="s">
        <v>109</v>
      </c>
      <c r="L22258" s="31" t="str">
        <f t="shared" si="2153"/>
        <v>Tiga Puluh Delapan</v>
      </c>
    </row>
    <row r="22259" spans="1:12">
      <c r="J22259" s="31">
        <v>39</v>
      </c>
      <c r="K22259" s="33" t="s">
        <v>110</v>
      </c>
      <c r="L22259" s="31" t="str">
        <f t="shared" si="2153"/>
        <v>Tiga Puluh Sembilan</v>
      </c>
    </row>
    <row r="22260" spans="1:12">
      <c r="B22260" s="35"/>
      <c r="C22260" s="35"/>
      <c r="D22260" s="35"/>
      <c r="J22260" s="31">
        <v>40</v>
      </c>
      <c r="K22260" s="33" t="s">
        <v>111</v>
      </c>
      <c r="L22260" s="31" t="s">
        <v>112</v>
      </c>
    </row>
    <row r="22261" spans="1:12">
      <c r="A22261" s="35"/>
      <c r="B22261" s="35"/>
      <c r="C22261" s="35"/>
      <c r="D22261" s="35"/>
      <c r="J22261" s="31">
        <v>41</v>
      </c>
      <c r="K22261" s="33" t="s">
        <v>113</v>
      </c>
      <c r="L22261" s="31" t="str">
        <f t="shared" ref="L22261:L22269" si="2154">$L$43&amp;" "&amp;L22221</f>
        <v>Empat Puluh Satu</v>
      </c>
    </row>
    <row r="22262" spans="1:12">
      <c r="J22262" s="31">
        <v>42</v>
      </c>
      <c r="K22262" s="33" t="s">
        <v>114</v>
      </c>
      <c r="L22262" s="31" t="str">
        <f t="shared" si="2154"/>
        <v>Empat Puluh Dua</v>
      </c>
    </row>
    <row r="22263" spans="1:12">
      <c r="A22263" s="38"/>
      <c r="J22263" s="31">
        <v>43</v>
      </c>
      <c r="K22263" s="33" t="s">
        <v>115</v>
      </c>
      <c r="L22263" s="31" t="str">
        <f t="shared" si="2154"/>
        <v>Empat Puluh Tiga</v>
      </c>
    </row>
    <row r="22264" spans="1:12">
      <c r="J22264" s="31">
        <v>44</v>
      </c>
      <c r="K22264" s="33" t="s">
        <v>116</v>
      </c>
      <c r="L22264" s="31" t="str">
        <f t="shared" si="2154"/>
        <v>Empat Puluh Empat</v>
      </c>
    </row>
    <row r="22265" spans="1:12">
      <c r="J22265" s="31">
        <v>45</v>
      </c>
      <c r="K22265" s="33" t="s">
        <v>117</v>
      </c>
      <c r="L22265" s="31" t="str">
        <f t="shared" si="2154"/>
        <v>Empat Puluh Lima</v>
      </c>
    </row>
    <row r="22266" spans="1:12">
      <c r="J22266" s="31">
        <v>46</v>
      </c>
      <c r="K22266" s="33" t="s">
        <v>118</v>
      </c>
      <c r="L22266" s="31" t="str">
        <f t="shared" si="2154"/>
        <v>Empat Puluh Enam</v>
      </c>
    </row>
    <row r="22267" spans="1:12">
      <c r="J22267" s="31">
        <v>47</v>
      </c>
      <c r="K22267" s="33" t="s">
        <v>119</v>
      </c>
      <c r="L22267" s="31" t="str">
        <f t="shared" si="2154"/>
        <v>Empat Puluh Tujuh</v>
      </c>
    </row>
    <row r="22268" spans="1:12">
      <c r="J22268" s="31">
        <v>48</v>
      </c>
      <c r="K22268" s="33" t="s">
        <v>120</v>
      </c>
      <c r="L22268" s="31" t="str">
        <f t="shared" si="2154"/>
        <v>Empat Puluh Delapan</v>
      </c>
    </row>
    <row r="22269" spans="1:12">
      <c r="J22269" s="31">
        <v>49</v>
      </c>
      <c r="K22269" s="33" t="s">
        <v>121</v>
      </c>
      <c r="L22269" s="31" t="str">
        <f t="shared" si="2154"/>
        <v>Empat Puluh Sembilan</v>
      </c>
    </row>
    <row r="22270" spans="1:12">
      <c r="J22270" s="31">
        <v>50</v>
      </c>
      <c r="K22270" s="33" t="s">
        <v>122</v>
      </c>
      <c r="L22270" s="31" t="s">
        <v>123</v>
      </c>
    </row>
    <row r="22271" spans="1:12">
      <c r="J22271" s="31">
        <v>51</v>
      </c>
      <c r="K22271" s="33" t="s">
        <v>124</v>
      </c>
      <c r="L22271" s="31" t="str">
        <f t="shared" ref="L22271:L22279" si="2155">$L$53&amp;" "&amp;L22221</f>
        <v>Lima Puluh Satu</v>
      </c>
    </row>
    <row r="22272" spans="1:12">
      <c r="J22272" s="31">
        <v>52</v>
      </c>
      <c r="K22272" s="33" t="s">
        <v>125</v>
      </c>
      <c r="L22272" s="31" t="str">
        <f t="shared" si="2155"/>
        <v>Lima Puluh Dua</v>
      </c>
    </row>
    <row r="22273" spans="10:12">
      <c r="J22273" s="31">
        <v>53</v>
      </c>
      <c r="K22273" s="33" t="s">
        <v>126</v>
      </c>
      <c r="L22273" s="31" t="str">
        <f t="shared" si="2155"/>
        <v>Lima Puluh Tiga</v>
      </c>
    </row>
    <row r="22274" spans="10:12">
      <c r="J22274" s="31">
        <v>54</v>
      </c>
      <c r="K22274" s="33" t="s">
        <v>127</v>
      </c>
      <c r="L22274" s="31" t="str">
        <f t="shared" si="2155"/>
        <v>Lima Puluh Empat</v>
      </c>
    </row>
    <row r="22275" spans="10:12">
      <c r="J22275" s="31">
        <v>55</v>
      </c>
      <c r="K22275" s="33" t="s">
        <v>128</v>
      </c>
      <c r="L22275" s="31" t="str">
        <f t="shared" si="2155"/>
        <v>Lima Puluh Lima</v>
      </c>
    </row>
    <row r="22276" spans="10:12">
      <c r="J22276" s="31">
        <v>56</v>
      </c>
      <c r="K22276" s="33" t="s">
        <v>129</v>
      </c>
      <c r="L22276" s="31" t="str">
        <f t="shared" si="2155"/>
        <v>Lima Puluh Enam</v>
      </c>
    </row>
    <row r="22277" spans="10:12">
      <c r="J22277" s="31">
        <v>57</v>
      </c>
      <c r="K22277" s="33" t="s">
        <v>130</v>
      </c>
      <c r="L22277" s="31" t="str">
        <f t="shared" si="2155"/>
        <v>Lima Puluh Tujuh</v>
      </c>
    </row>
    <row r="22278" spans="10:12">
      <c r="J22278" s="31">
        <v>58</v>
      </c>
      <c r="K22278" s="33" t="s">
        <v>131</v>
      </c>
      <c r="L22278" s="31" t="str">
        <f t="shared" si="2155"/>
        <v>Lima Puluh Delapan</v>
      </c>
    </row>
    <row r="22279" spans="10:12">
      <c r="J22279" s="31">
        <v>59</v>
      </c>
      <c r="K22279" s="33" t="s">
        <v>132</v>
      </c>
      <c r="L22279" s="31" t="str">
        <f t="shared" si="2155"/>
        <v>Lima Puluh Sembilan</v>
      </c>
    </row>
    <row r="22280" spans="10:12">
      <c r="J22280" s="31">
        <v>60</v>
      </c>
      <c r="K22280" s="33" t="s">
        <v>133</v>
      </c>
      <c r="L22280" s="31" t="s">
        <v>134</v>
      </c>
    </row>
    <row r="22281" spans="10:12">
      <c r="J22281" s="31">
        <v>61</v>
      </c>
      <c r="K22281" s="33" t="s">
        <v>135</v>
      </c>
      <c r="L22281" s="31" t="str">
        <f t="shared" ref="L22281:L22289" si="2156">$L$63&amp;" "&amp;L22221</f>
        <v>Enam Puluh Satu</v>
      </c>
    </row>
    <row r="22282" spans="10:12">
      <c r="J22282" s="31">
        <v>62</v>
      </c>
      <c r="K22282" s="33" t="s">
        <v>136</v>
      </c>
      <c r="L22282" s="31" t="str">
        <f t="shared" si="2156"/>
        <v>Enam Puluh Dua</v>
      </c>
    </row>
    <row r="22283" spans="10:12">
      <c r="J22283" s="31">
        <v>63</v>
      </c>
      <c r="K22283" s="33" t="s">
        <v>137</v>
      </c>
      <c r="L22283" s="31" t="str">
        <f t="shared" si="2156"/>
        <v>Enam Puluh Tiga</v>
      </c>
    </row>
    <row r="22284" spans="10:12">
      <c r="J22284" s="31">
        <v>64</v>
      </c>
      <c r="K22284" s="33" t="s">
        <v>138</v>
      </c>
      <c r="L22284" s="31" t="str">
        <f t="shared" si="2156"/>
        <v>Enam Puluh Empat</v>
      </c>
    </row>
    <row r="22285" spans="10:12">
      <c r="J22285" s="31">
        <v>65</v>
      </c>
      <c r="K22285" s="33" t="s">
        <v>139</v>
      </c>
      <c r="L22285" s="31" t="str">
        <f t="shared" si="2156"/>
        <v>Enam Puluh Lima</v>
      </c>
    </row>
    <row r="22286" spans="10:12">
      <c r="J22286" s="31">
        <v>66</v>
      </c>
      <c r="K22286" s="33" t="s">
        <v>140</v>
      </c>
      <c r="L22286" s="31" t="str">
        <f t="shared" si="2156"/>
        <v>Enam Puluh Enam</v>
      </c>
    </row>
    <row r="22287" spans="10:12">
      <c r="J22287" s="31">
        <v>67</v>
      </c>
      <c r="K22287" s="33" t="s">
        <v>141</v>
      </c>
      <c r="L22287" s="31" t="str">
        <f t="shared" si="2156"/>
        <v>Enam Puluh Tujuh</v>
      </c>
    </row>
    <row r="22288" spans="10:12">
      <c r="J22288" s="31">
        <v>68</v>
      </c>
      <c r="K22288" s="33" t="s">
        <v>142</v>
      </c>
      <c r="L22288" s="31" t="str">
        <f t="shared" si="2156"/>
        <v>Enam Puluh Delapan</v>
      </c>
    </row>
    <row r="22289" spans="10:12">
      <c r="J22289" s="31">
        <v>69</v>
      </c>
      <c r="K22289" s="33" t="s">
        <v>143</v>
      </c>
      <c r="L22289" s="31" t="str">
        <f t="shared" si="2156"/>
        <v>Enam Puluh Sembilan</v>
      </c>
    </row>
    <row r="22290" spans="10:12">
      <c r="J22290" s="31">
        <v>70</v>
      </c>
      <c r="K22290" s="33" t="s">
        <v>144</v>
      </c>
      <c r="L22290" s="31" t="s">
        <v>145</v>
      </c>
    </row>
    <row r="22291" spans="10:12">
      <c r="J22291" s="31">
        <v>71</v>
      </c>
      <c r="K22291" s="33" t="s">
        <v>146</v>
      </c>
      <c r="L22291" s="31" t="str">
        <f t="shared" ref="L22291:L22299" si="2157">$L$73&amp;" "&amp;L22221</f>
        <v>Tujuh Puluh Satu</v>
      </c>
    </row>
    <row r="22292" spans="10:12">
      <c r="J22292" s="31">
        <v>72</v>
      </c>
      <c r="K22292" s="33" t="s">
        <v>147</v>
      </c>
      <c r="L22292" s="31" t="str">
        <f t="shared" si="2157"/>
        <v>Tujuh Puluh Dua</v>
      </c>
    </row>
    <row r="22293" spans="10:12">
      <c r="J22293" s="31">
        <v>73</v>
      </c>
      <c r="K22293" s="33" t="s">
        <v>148</v>
      </c>
      <c r="L22293" s="31" t="str">
        <f t="shared" si="2157"/>
        <v>Tujuh Puluh Tiga</v>
      </c>
    </row>
    <row r="22294" spans="10:12">
      <c r="J22294" s="31">
        <v>74</v>
      </c>
      <c r="K22294" s="33" t="s">
        <v>149</v>
      </c>
      <c r="L22294" s="31" t="str">
        <f t="shared" si="2157"/>
        <v>Tujuh Puluh Empat</v>
      </c>
    </row>
    <row r="22295" spans="10:12">
      <c r="J22295" s="31">
        <v>75</v>
      </c>
      <c r="K22295" s="33" t="s">
        <v>150</v>
      </c>
      <c r="L22295" s="31" t="str">
        <f t="shared" si="2157"/>
        <v>Tujuh Puluh Lima</v>
      </c>
    </row>
    <row r="22296" spans="10:12">
      <c r="J22296" s="31">
        <v>76</v>
      </c>
      <c r="K22296" s="33" t="s">
        <v>151</v>
      </c>
      <c r="L22296" s="31" t="str">
        <f t="shared" si="2157"/>
        <v>Tujuh Puluh Enam</v>
      </c>
    </row>
    <row r="22297" spans="10:12">
      <c r="J22297" s="31">
        <v>77</v>
      </c>
      <c r="K22297" s="33" t="s">
        <v>152</v>
      </c>
      <c r="L22297" s="31" t="str">
        <f t="shared" si="2157"/>
        <v>Tujuh Puluh Tujuh</v>
      </c>
    </row>
    <row r="22298" spans="10:12">
      <c r="J22298" s="31">
        <v>78</v>
      </c>
      <c r="K22298" s="33" t="s">
        <v>153</v>
      </c>
      <c r="L22298" s="31" t="str">
        <f t="shared" si="2157"/>
        <v>Tujuh Puluh Delapan</v>
      </c>
    </row>
    <row r="22299" spans="10:12">
      <c r="J22299" s="31">
        <v>79</v>
      </c>
      <c r="K22299" s="33" t="s">
        <v>154</v>
      </c>
      <c r="L22299" s="31" t="str">
        <f t="shared" si="2157"/>
        <v>Tujuh Puluh Sembilan</v>
      </c>
    </row>
    <row r="22300" spans="10:12">
      <c r="J22300" s="31">
        <v>80</v>
      </c>
      <c r="K22300" s="33" t="s">
        <v>155</v>
      </c>
      <c r="L22300" s="31" t="s">
        <v>156</v>
      </c>
    </row>
    <row r="22301" spans="10:12">
      <c r="J22301" s="31">
        <v>81</v>
      </c>
      <c r="K22301" s="33" t="s">
        <v>157</v>
      </c>
      <c r="L22301" s="31" t="str">
        <f t="shared" ref="L22301:L22309" si="2158">$L$83&amp;" "&amp;L22221</f>
        <v>Delapan Puluh Satu</v>
      </c>
    </row>
    <row r="22302" spans="10:12">
      <c r="J22302" s="31">
        <v>82</v>
      </c>
      <c r="K22302" s="33" t="s">
        <v>158</v>
      </c>
      <c r="L22302" s="31" t="str">
        <f t="shared" si="2158"/>
        <v>Delapan Puluh Dua</v>
      </c>
    </row>
    <row r="22303" spans="10:12">
      <c r="J22303" s="31">
        <v>83</v>
      </c>
      <c r="K22303" s="33" t="s">
        <v>159</v>
      </c>
      <c r="L22303" s="31" t="str">
        <f t="shared" si="2158"/>
        <v>Delapan Puluh Tiga</v>
      </c>
    </row>
    <row r="22304" spans="10:12">
      <c r="J22304" s="31">
        <v>84</v>
      </c>
      <c r="K22304" s="33" t="s">
        <v>160</v>
      </c>
      <c r="L22304" s="31" t="str">
        <f t="shared" si="2158"/>
        <v>Delapan Puluh Empat</v>
      </c>
    </row>
    <row r="22305" spans="10:12">
      <c r="J22305" s="31">
        <v>85</v>
      </c>
      <c r="K22305" s="33" t="s">
        <v>161</v>
      </c>
      <c r="L22305" s="31" t="str">
        <f t="shared" si="2158"/>
        <v>Delapan Puluh Lima</v>
      </c>
    </row>
    <row r="22306" spans="10:12">
      <c r="J22306" s="31">
        <v>86</v>
      </c>
      <c r="K22306" s="33" t="s">
        <v>162</v>
      </c>
      <c r="L22306" s="31" t="str">
        <f t="shared" si="2158"/>
        <v>Delapan Puluh Enam</v>
      </c>
    </row>
    <row r="22307" spans="10:12">
      <c r="J22307" s="31">
        <v>87</v>
      </c>
      <c r="K22307" s="33" t="s">
        <v>163</v>
      </c>
      <c r="L22307" s="31" t="str">
        <f t="shared" si="2158"/>
        <v>Delapan Puluh Tujuh</v>
      </c>
    </row>
    <row r="22308" spans="10:12">
      <c r="J22308" s="31">
        <v>88</v>
      </c>
      <c r="K22308" s="33" t="s">
        <v>164</v>
      </c>
      <c r="L22308" s="31" t="str">
        <f t="shared" si="2158"/>
        <v>Delapan Puluh Delapan</v>
      </c>
    </row>
    <row r="22309" spans="10:12">
      <c r="J22309" s="31">
        <v>89</v>
      </c>
      <c r="K22309" s="33" t="s">
        <v>165</v>
      </c>
      <c r="L22309" s="31" t="str">
        <f t="shared" si="2158"/>
        <v>Delapan Puluh Sembilan</v>
      </c>
    </row>
    <row r="22310" spans="10:12">
      <c r="J22310" s="31">
        <v>90</v>
      </c>
      <c r="K22310" s="33" t="s">
        <v>166</v>
      </c>
      <c r="L22310" s="31" t="s">
        <v>167</v>
      </c>
    </row>
    <row r="22311" spans="10:12">
      <c r="J22311" s="31">
        <v>91</v>
      </c>
      <c r="K22311" s="33" t="s">
        <v>168</v>
      </c>
      <c r="L22311" s="31" t="str">
        <f t="shared" ref="L22311:L22319" si="2159">$L$93&amp;" "&amp;L22221</f>
        <v>Sembilan Puluh Satu</v>
      </c>
    </row>
    <row r="22312" spans="10:12">
      <c r="J22312" s="31">
        <v>92</v>
      </c>
      <c r="K22312" s="33" t="s">
        <v>169</v>
      </c>
      <c r="L22312" s="31" t="str">
        <f t="shared" si="2159"/>
        <v>Sembilan Puluh Dua</v>
      </c>
    </row>
    <row r="22313" spans="10:12">
      <c r="J22313" s="31">
        <v>93</v>
      </c>
      <c r="K22313" s="33" t="s">
        <v>170</v>
      </c>
      <c r="L22313" s="31" t="str">
        <f t="shared" si="2159"/>
        <v>Sembilan Puluh Tiga</v>
      </c>
    </row>
    <row r="22314" spans="10:12">
      <c r="J22314" s="31">
        <v>94</v>
      </c>
      <c r="K22314" s="33" t="s">
        <v>171</v>
      </c>
      <c r="L22314" s="31" t="str">
        <f t="shared" si="2159"/>
        <v>Sembilan Puluh Empat</v>
      </c>
    </row>
    <row r="22315" spans="10:12">
      <c r="J22315" s="31">
        <v>95</v>
      </c>
      <c r="K22315" s="33" t="s">
        <v>172</v>
      </c>
      <c r="L22315" s="31" t="str">
        <f t="shared" si="2159"/>
        <v>Sembilan Puluh Lima</v>
      </c>
    </row>
    <row r="22316" spans="10:12">
      <c r="J22316" s="31">
        <v>96</v>
      </c>
      <c r="K22316" s="33" t="s">
        <v>173</v>
      </c>
      <c r="L22316" s="31" t="str">
        <f t="shared" si="2159"/>
        <v>Sembilan Puluh Enam</v>
      </c>
    </row>
    <row r="22317" spans="10:12">
      <c r="J22317" s="31">
        <v>97</v>
      </c>
      <c r="K22317" s="33" t="s">
        <v>174</v>
      </c>
      <c r="L22317" s="31" t="str">
        <f t="shared" si="2159"/>
        <v>Sembilan Puluh Tujuh</v>
      </c>
    </row>
    <row r="22318" spans="10:12">
      <c r="J22318" s="31">
        <v>98</v>
      </c>
      <c r="K22318" s="33" t="s">
        <v>175</v>
      </c>
      <c r="L22318" s="31" t="str">
        <f t="shared" si="2159"/>
        <v>Sembilan Puluh Delapan</v>
      </c>
    </row>
    <row r="22319" spans="10:12">
      <c r="J22319" s="31">
        <v>99</v>
      </c>
      <c r="K22319" s="33" t="s">
        <v>176</v>
      </c>
      <c r="L22319" s="31" t="str">
        <f t="shared" si="2159"/>
        <v>Sembilan Puluh Sembilan</v>
      </c>
    </row>
  </sheetData>
  <mergeCells count="432">
    <mergeCell ref="A21913:D21913"/>
    <mergeCell ref="A21916:D21916"/>
    <mergeCell ref="A22016:D22016"/>
    <mergeCell ref="A22019:D22019"/>
    <mergeCell ref="A22119:D22119"/>
    <mergeCell ref="A22122:D22122"/>
    <mergeCell ref="A21707:D21707"/>
    <mergeCell ref="A21710:D21710"/>
    <mergeCell ref="A21501:D21501"/>
    <mergeCell ref="A21504:D21504"/>
    <mergeCell ref="A21604:D21604"/>
    <mergeCell ref="A21607:D21607"/>
    <mergeCell ref="A21810:D21810"/>
    <mergeCell ref="A21813:D21813"/>
    <mergeCell ref="A21398:D21398"/>
    <mergeCell ref="A21401:D21401"/>
    <mergeCell ref="A20883:D20883"/>
    <mergeCell ref="A20886:D20886"/>
    <mergeCell ref="A20059:D20059"/>
    <mergeCell ref="A20062:D20062"/>
    <mergeCell ref="A20162:D20162"/>
    <mergeCell ref="A20165:D20165"/>
    <mergeCell ref="A21192:D21192"/>
    <mergeCell ref="A21195:D21195"/>
    <mergeCell ref="A21295:D21295"/>
    <mergeCell ref="A21298:D21298"/>
    <mergeCell ref="A20986:D20986"/>
    <mergeCell ref="A20989:D20989"/>
    <mergeCell ref="A21089:D21089"/>
    <mergeCell ref="A21092:D21092"/>
    <mergeCell ref="A19853:D19853"/>
    <mergeCell ref="A19856:D19856"/>
    <mergeCell ref="A19956:D19956"/>
    <mergeCell ref="A19959:D19959"/>
    <mergeCell ref="A20780:D20780"/>
    <mergeCell ref="A20783:D20783"/>
    <mergeCell ref="A20677:D20677"/>
    <mergeCell ref="A20680:D20680"/>
    <mergeCell ref="A20265:D20265"/>
    <mergeCell ref="A20268:D20268"/>
    <mergeCell ref="A20368:D20368"/>
    <mergeCell ref="A20371:D20371"/>
    <mergeCell ref="A20471:D20471"/>
    <mergeCell ref="A20474:D20474"/>
    <mergeCell ref="A20574:D20574"/>
    <mergeCell ref="A20577:D20577"/>
    <mergeCell ref="A19750:D19750"/>
    <mergeCell ref="A19753:D19753"/>
    <mergeCell ref="A18315:D18315"/>
    <mergeCell ref="A18318:D18318"/>
    <mergeCell ref="A17186:D17186"/>
    <mergeCell ref="A17389:D17389"/>
    <mergeCell ref="A17392:D17392"/>
    <mergeCell ref="A19650:D19650"/>
    <mergeCell ref="A18926:D18926"/>
    <mergeCell ref="A18929:D18929"/>
    <mergeCell ref="A19029:D19029"/>
    <mergeCell ref="A19032:D19032"/>
    <mergeCell ref="A19132:D19132"/>
    <mergeCell ref="A19135:D19135"/>
    <mergeCell ref="A19235:D19235"/>
    <mergeCell ref="A19238:D19238"/>
    <mergeCell ref="A18823:D18823"/>
    <mergeCell ref="A18826:D18826"/>
    <mergeCell ref="A18725:D18725"/>
    <mergeCell ref="A19341:D19341"/>
    <mergeCell ref="A19441:D19441"/>
    <mergeCell ref="A19444:D19444"/>
    <mergeCell ref="A19544:D19544"/>
    <mergeCell ref="A19547:D19547"/>
    <mergeCell ref="A19647:D19647"/>
    <mergeCell ref="A17595:D17595"/>
    <mergeCell ref="A17598:D17598"/>
    <mergeCell ref="A16568:D16568"/>
    <mergeCell ref="A16461:D16461"/>
    <mergeCell ref="A16254:D16254"/>
    <mergeCell ref="A16464:D16464"/>
    <mergeCell ref="A16565:D16565"/>
    <mergeCell ref="A17492:D17492"/>
    <mergeCell ref="A17495:D17495"/>
    <mergeCell ref="A17286:D17286"/>
    <mergeCell ref="A17289:D17289"/>
    <mergeCell ref="A16771:D16771"/>
    <mergeCell ref="A16774:D16774"/>
    <mergeCell ref="A16874:D16874"/>
    <mergeCell ref="A16877:D16877"/>
    <mergeCell ref="A16977:D16977"/>
    <mergeCell ref="A16980:D16980"/>
    <mergeCell ref="A17080:D17080"/>
    <mergeCell ref="A17083:D17083"/>
    <mergeCell ref="A17183:D17183"/>
    <mergeCell ref="A16357:D16357"/>
    <mergeCell ref="A16360:D16360"/>
    <mergeCell ref="A16668:D16668"/>
    <mergeCell ref="A16671:D16671"/>
    <mergeCell ref="A16257:D16257"/>
    <mergeCell ref="A16048:D16048"/>
    <mergeCell ref="A16051:D16051"/>
    <mergeCell ref="A16151:D16151"/>
    <mergeCell ref="A16154:D16154"/>
    <mergeCell ref="A6731:D6731"/>
    <mergeCell ref="A6831:D6831"/>
    <mergeCell ref="A6834:D6834"/>
    <mergeCell ref="A6934:D6934"/>
    <mergeCell ref="A9947:D9947"/>
    <mergeCell ref="A9950:D9950"/>
    <mergeCell ref="A9740:D9740"/>
    <mergeCell ref="A9743:D9743"/>
    <mergeCell ref="A10887:D10887"/>
    <mergeCell ref="A10780:D10780"/>
    <mergeCell ref="A10783:D10783"/>
    <mergeCell ref="A10468:D10468"/>
    <mergeCell ref="A10471:D10471"/>
    <mergeCell ref="A10572:D10572"/>
    <mergeCell ref="A10575:D10575"/>
    <mergeCell ref="A9430:D9430"/>
    <mergeCell ref="A15012:D15012"/>
    <mergeCell ref="A15015:D15015"/>
    <mergeCell ref="A9843:D9843"/>
    <mergeCell ref="A9846:D9846"/>
    <mergeCell ref="A7659:D7659"/>
    <mergeCell ref="A7870:D7870"/>
    <mergeCell ref="A7970:D7970"/>
    <mergeCell ref="A7973:D7973"/>
    <mergeCell ref="A8803:D8803"/>
    <mergeCell ref="A8178:D8178"/>
    <mergeCell ref="A8283:D8283"/>
    <mergeCell ref="A8286:D8286"/>
    <mergeCell ref="A8074:D8074"/>
    <mergeCell ref="A8077:D8077"/>
    <mergeCell ref="A9217:D9217"/>
    <mergeCell ref="A9220:D9220"/>
    <mergeCell ref="A9114:D9114"/>
    <mergeCell ref="A9117:D9117"/>
    <mergeCell ref="A8906:D8906"/>
    <mergeCell ref="A8909:D8909"/>
    <mergeCell ref="A8387:D8387"/>
    <mergeCell ref="A8390:D8390"/>
    <mergeCell ref="A8491:D8491"/>
    <mergeCell ref="A8494:D8494"/>
    <mergeCell ref="A9010:D9010"/>
    <mergeCell ref="A9013:D9013"/>
    <mergeCell ref="A6316:D6316"/>
    <mergeCell ref="A6319:D6319"/>
    <mergeCell ref="A6419:D6419"/>
    <mergeCell ref="A6422:D6422"/>
    <mergeCell ref="A6522:D6522"/>
    <mergeCell ref="A7766:D7766"/>
    <mergeCell ref="A7867:D7867"/>
    <mergeCell ref="A6525:D6525"/>
    <mergeCell ref="A7246:D7246"/>
    <mergeCell ref="A7037:D7037"/>
    <mergeCell ref="A7040:D7040"/>
    <mergeCell ref="A7140:D7140"/>
    <mergeCell ref="A7143:D7143"/>
    <mergeCell ref="A7243:D7243"/>
    <mergeCell ref="A7347:D7347"/>
    <mergeCell ref="A7350:D7350"/>
    <mergeCell ref="A6937:D6937"/>
    <mergeCell ref="A7451:D7451"/>
    <mergeCell ref="A7454:D7454"/>
    <mergeCell ref="A7555:D7555"/>
    <mergeCell ref="A7558:D7558"/>
    <mergeCell ref="A7662:D7662"/>
    <mergeCell ref="A7763:D7763"/>
    <mergeCell ref="A6625:D6625"/>
    <mergeCell ref="A5289:D5289"/>
    <mergeCell ref="A5389:D5389"/>
    <mergeCell ref="A4874:D4874"/>
    <mergeCell ref="A4877:D4877"/>
    <mergeCell ref="A4980:D4980"/>
    <mergeCell ref="A6628:D6628"/>
    <mergeCell ref="A6728:D6728"/>
    <mergeCell ref="A5392:D5392"/>
    <mergeCell ref="A6213:D6213"/>
    <mergeCell ref="A5492:D5492"/>
    <mergeCell ref="A5698:D5698"/>
    <mergeCell ref="A5701:D5701"/>
    <mergeCell ref="A5801:D5801"/>
    <mergeCell ref="A5804:D5804"/>
    <mergeCell ref="A5904:D5904"/>
    <mergeCell ref="A5907:D5907"/>
    <mergeCell ref="A6007:D6007"/>
    <mergeCell ref="A6010:D6010"/>
    <mergeCell ref="A6113:D6113"/>
    <mergeCell ref="A5495:D5495"/>
    <mergeCell ref="A5595:D5595"/>
    <mergeCell ref="A5598:D5598"/>
    <mergeCell ref="A6110:D6110"/>
    <mergeCell ref="A6216:D6216"/>
    <mergeCell ref="A3838:D3838"/>
    <mergeCell ref="A4151:D4151"/>
    <mergeCell ref="A4154:D4154"/>
    <mergeCell ref="A4047:D4047"/>
    <mergeCell ref="A4050:D4050"/>
    <mergeCell ref="A4358:D4358"/>
    <mergeCell ref="A4361:D4361"/>
    <mergeCell ref="A4461:D4461"/>
    <mergeCell ref="A4977:D4977"/>
    <mergeCell ref="A3946:D3946"/>
    <mergeCell ref="A4255:D4255"/>
    <mergeCell ref="A4258:D4258"/>
    <mergeCell ref="A4774:D4774"/>
    <mergeCell ref="A4564:D4564"/>
    <mergeCell ref="A4567:D4567"/>
    <mergeCell ref="A4667:D4667"/>
    <mergeCell ref="A4670:D4670"/>
    <mergeCell ref="A4771:D4771"/>
    <mergeCell ref="A3841:D3841"/>
    <mergeCell ref="A720:D720"/>
    <mergeCell ref="A1442:D1442"/>
    <mergeCell ref="A1445:D1445"/>
    <mergeCell ref="A2278:D2278"/>
    <mergeCell ref="A2281:D2281"/>
    <mergeCell ref="A723:D723"/>
    <mergeCell ref="A824:D824"/>
    <mergeCell ref="A1236:D1236"/>
    <mergeCell ref="A1239:D1239"/>
    <mergeCell ref="A1339:D1339"/>
    <mergeCell ref="A827:D827"/>
    <mergeCell ref="A1648:D1648"/>
    <mergeCell ref="A1651:D1651"/>
    <mergeCell ref="A1857:D1857"/>
    <mergeCell ref="A2061:D2061"/>
    <mergeCell ref="A2064:D2064"/>
    <mergeCell ref="A2165:D2165"/>
    <mergeCell ref="A2168:D2168"/>
    <mergeCell ref="A1957:D1957"/>
    <mergeCell ref="A1754:D1754"/>
    <mergeCell ref="A1854:D1854"/>
    <mergeCell ref="A1960:D1960"/>
    <mergeCell ref="A5:D5"/>
    <mergeCell ref="A8:D8"/>
    <mergeCell ref="A107:D107"/>
    <mergeCell ref="A110:D110"/>
    <mergeCell ref="A209:D209"/>
    <mergeCell ref="A212:D212"/>
    <mergeCell ref="A311:D311"/>
    <mergeCell ref="A314:D314"/>
    <mergeCell ref="A1751:D1751"/>
    <mergeCell ref="A1342:D1342"/>
    <mergeCell ref="A926:D926"/>
    <mergeCell ref="A929:D929"/>
    <mergeCell ref="A1030:D1030"/>
    <mergeCell ref="A1033:D1033"/>
    <mergeCell ref="A1134:D1134"/>
    <mergeCell ref="A1137:D1137"/>
    <mergeCell ref="A413:D413"/>
    <mergeCell ref="A416:D416"/>
    <mergeCell ref="A1545:D1545"/>
    <mergeCell ref="A1548:D1548"/>
    <mergeCell ref="A515:D515"/>
    <mergeCell ref="A518:D518"/>
    <mergeCell ref="A617:D617"/>
    <mergeCell ref="A620:D620"/>
    <mergeCell ref="A2382:D2382"/>
    <mergeCell ref="A2385:D2385"/>
    <mergeCell ref="A4464:D4464"/>
    <mergeCell ref="A3943:D3943"/>
    <mergeCell ref="A8181:D8181"/>
    <mergeCell ref="A8595:D8595"/>
    <mergeCell ref="A8598:D8598"/>
    <mergeCell ref="A8699:D8699"/>
    <mergeCell ref="A8702:D8702"/>
    <mergeCell ref="A2489:D2489"/>
    <mergeCell ref="A3213:D3213"/>
    <mergeCell ref="A3216:D3216"/>
    <mergeCell ref="A3317:D3317"/>
    <mergeCell ref="A3320:D3320"/>
    <mergeCell ref="A3733:D3733"/>
    <mergeCell ref="A3736:D3736"/>
    <mergeCell ref="A3526:D3526"/>
    <mergeCell ref="A3529:D3529"/>
    <mergeCell ref="A3422:D3422"/>
    <mergeCell ref="A3109:D3109"/>
    <mergeCell ref="A3112:D3112"/>
    <mergeCell ref="A2694:D2694"/>
    <mergeCell ref="A2697:D2697"/>
    <mergeCell ref="A2590:D2590"/>
    <mergeCell ref="A2486:D2486"/>
    <mergeCell ref="A9532:D9532"/>
    <mergeCell ref="A9535:D9535"/>
    <mergeCell ref="A9636:D9636"/>
    <mergeCell ref="A9639:D9639"/>
    <mergeCell ref="A2593:D2593"/>
    <mergeCell ref="A3009:D3009"/>
    <mergeCell ref="A2798:D2798"/>
    <mergeCell ref="A2801:D2801"/>
    <mergeCell ref="A2902:D2902"/>
    <mergeCell ref="A2905:D2905"/>
    <mergeCell ref="A3425:D3425"/>
    <mergeCell ref="A3629:D3629"/>
    <mergeCell ref="A3632:D3632"/>
    <mergeCell ref="A3006:D3006"/>
    <mergeCell ref="A5080:D5080"/>
    <mergeCell ref="A5083:D5083"/>
    <mergeCell ref="A5183:D5183"/>
    <mergeCell ref="A5186:D5186"/>
    <mergeCell ref="A5286:D5286"/>
    <mergeCell ref="A8806:D8806"/>
    <mergeCell ref="A9322:D9322"/>
    <mergeCell ref="A9325:D9325"/>
    <mergeCell ref="A9427:D9427"/>
    <mergeCell ref="A10884:D10884"/>
    <mergeCell ref="A10051:D10051"/>
    <mergeCell ref="A10054:D10054"/>
    <mergeCell ref="A10155:D10155"/>
    <mergeCell ref="A10158:D10158"/>
    <mergeCell ref="A10679:D10679"/>
    <mergeCell ref="A10260:D10260"/>
    <mergeCell ref="A10263:D10263"/>
    <mergeCell ref="A10364:D10364"/>
    <mergeCell ref="A10367:D10367"/>
    <mergeCell ref="A10676:D10676"/>
    <mergeCell ref="A10987:D10987"/>
    <mergeCell ref="A10990:D10990"/>
    <mergeCell ref="A11090:D11090"/>
    <mergeCell ref="A11093:D11093"/>
    <mergeCell ref="A11608:D11608"/>
    <mergeCell ref="A11708:D11708"/>
    <mergeCell ref="A11711:D11711"/>
    <mergeCell ref="A11811:D11811"/>
    <mergeCell ref="A11814:D11814"/>
    <mergeCell ref="A11193:D11193"/>
    <mergeCell ref="A11196:D11196"/>
    <mergeCell ref="A11296:D11296"/>
    <mergeCell ref="A11299:D11299"/>
    <mergeCell ref="A11399:D11399"/>
    <mergeCell ref="A11402:D11402"/>
    <mergeCell ref="A11502:D11502"/>
    <mergeCell ref="A11505:D11505"/>
    <mergeCell ref="A11605:D11605"/>
    <mergeCell ref="A13260:D13260"/>
    <mergeCell ref="A13263:D13263"/>
    <mergeCell ref="A12641:D12641"/>
    <mergeCell ref="A12644:D12644"/>
    <mergeCell ref="A12228:D12228"/>
    <mergeCell ref="A12231:D12231"/>
    <mergeCell ref="A12331:D12331"/>
    <mergeCell ref="A12334:D12334"/>
    <mergeCell ref="A11916:D11916"/>
    <mergeCell ref="A11919:D11919"/>
    <mergeCell ref="A12020:D12020"/>
    <mergeCell ref="A12023:D12023"/>
    <mergeCell ref="A12124:D12124"/>
    <mergeCell ref="A12127:D12127"/>
    <mergeCell ref="A12540:D12540"/>
    <mergeCell ref="A12434:D12434"/>
    <mergeCell ref="A12437:D12437"/>
    <mergeCell ref="A12537:D12537"/>
    <mergeCell ref="A13775:D13775"/>
    <mergeCell ref="A13778:D13778"/>
    <mergeCell ref="A14393:D14393"/>
    <mergeCell ref="A14187:D14187"/>
    <mergeCell ref="A14908:D14908"/>
    <mergeCell ref="A14911:D14911"/>
    <mergeCell ref="A13672:D13672"/>
    <mergeCell ref="A13675:D13675"/>
    <mergeCell ref="A12745:D12745"/>
    <mergeCell ref="A12748:D12748"/>
    <mergeCell ref="A12848:D12848"/>
    <mergeCell ref="A12851:D12851"/>
    <mergeCell ref="A12951:D12951"/>
    <mergeCell ref="A12954:D12954"/>
    <mergeCell ref="A13054:D13054"/>
    <mergeCell ref="A13057:D13057"/>
    <mergeCell ref="A13157:D13157"/>
    <mergeCell ref="A13363:D13363"/>
    <mergeCell ref="A13366:D13366"/>
    <mergeCell ref="A13466:D13466"/>
    <mergeCell ref="A13469:D13469"/>
    <mergeCell ref="A13569:D13569"/>
    <mergeCell ref="A13572:D13572"/>
    <mergeCell ref="A13160:D13160"/>
    <mergeCell ref="A15116:D15116"/>
    <mergeCell ref="A14190:D14190"/>
    <mergeCell ref="A14290:D14290"/>
    <mergeCell ref="A14293:D14293"/>
    <mergeCell ref="A13878:D13878"/>
    <mergeCell ref="A13881:D13881"/>
    <mergeCell ref="A13981:D13981"/>
    <mergeCell ref="A13984:D13984"/>
    <mergeCell ref="A14084:D14084"/>
    <mergeCell ref="A14087:D14087"/>
    <mergeCell ref="A15945:D15945"/>
    <mergeCell ref="A15948:D15948"/>
    <mergeCell ref="A14396:D14396"/>
    <mergeCell ref="A14496:D14496"/>
    <mergeCell ref="A14499:D14499"/>
    <mergeCell ref="A14599:D14599"/>
    <mergeCell ref="A14602:D14602"/>
    <mergeCell ref="A14702:D14702"/>
    <mergeCell ref="A14705:D14705"/>
    <mergeCell ref="A15739:D15739"/>
    <mergeCell ref="A15742:D15742"/>
    <mergeCell ref="A15223:D15223"/>
    <mergeCell ref="A15324:D15324"/>
    <mergeCell ref="A15327:D15327"/>
    <mergeCell ref="A15428:D15428"/>
    <mergeCell ref="A15431:D15431"/>
    <mergeCell ref="A14805:D14805"/>
    <mergeCell ref="A14808:D14808"/>
    <mergeCell ref="A15119:D15119"/>
    <mergeCell ref="A15220:D15220"/>
    <mergeCell ref="A15635:D15635"/>
    <mergeCell ref="A15638:D15638"/>
    <mergeCell ref="A15531:D15531"/>
    <mergeCell ref="A15534:D15534"/>
    <mergeCell ref="A22222:D22222"/>
    <mergeCell ref="A22225:D22225"/>
    <mergeCell ref="A15842:D15842"/>
    <mergeCell ref="A15845:D15845"/>
    <mergeCell ref="A19338:D19338"/>
    <mergeCell ref="A17697:D17697"/>
    <mergeCell ref="A17700:D17700"/>
    <mergeCell ref="A17800:D17800"/>
    <mergeCell ref="A17803:D17803"/>
    <mergeCell ref="A17903:D17903"/>
    <mergeCell ref="A17906:D17906"/>
    <mergeCell ref="A18006:D18006"/>
    <mergeCell ref="A18009:D18009"/>
    <mergeCell ref="A18109:D18109"/>
    <mergeCell ref="A18112:D18112"/>
    <mergeCell ref="A18212:D18212"/>
    <mergeCell ref="A18215:D18215"/>
    <mergeCell ref="A18417:D18417"/>
    <mergeCell ref="A18420:D18420"/>
    <mergeCell ref="A18519:D18519"/>
    <mergeCell ref="A18522:D18522"/>
    <mergeCell ref="A18621:D18621"/>
    <mergeCell ref="A18624:D18624"/>
    <mergeCell ref="A18722:D18722"/>
  </mergeCells>
  <phoneticPr fontId="20" type="noConversion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894D-9C79-49DF-86B7-FE6688CD9107}">
  <sheetPr codeName="Sheet105"/>
  <dimension ref="A1:AL229"/>
  <sheetViews>
    <sheetView topLeftCell="A45" workbookViewId="0">
      <selection activeCell="AD68" sqref="AD68"/>
    </sheetView>
  </sheetViews>
  <sheetFormatPr defaultRowHeight="12"/>
  <cols>
    <col min="1" max="1" width="0.28515625" style="175" customWidth="1"/>
    <col min="2" max="2" width="3.140625" style="175" customWidth="1"/>
    <col min="3" max="3" width="3.85546875" style="175" customWidth="1"/>
    <col min="4" max="4" width="2.140625" style="175" customWidth="1"/>
    <col min="5" max="5" width="0.7109375" style="175" customWidth="1"/>
    <col min="6" max="6" width="1.140625" style="175" customWidth="1"/>
    <col min="7" max="7" width="9.85546875" style="175" customWidth="1"/>
    <col min="8" max="8" width="7" style="175" hidden="1" customWidth="1"/>
    <col min="9" max="9" width="2.28515625" style="175" hidden="1" customWidth="1"/>
    <col min="10" max="10" width="3.5703125" style="175" hidden="1" customWidth="1"/>
    <col min="11" max="11" width="2.28515625" style="175" hidden="1" customWidth="1"/>
    <col min="12" max="12" width="1.7109375" style="175" hidden="1" customWidth="1"/>
    <col min="13" max="13" width="8.85546875" style="175" hidden="1" customWidth="1"/>
    <col min="14" max="14" width="0.7109375" style="175" customWidth="1"/>
    <col min="15" max="15" width="9.140625" style="175"/>
    <col min="16" max="16" width="9.42578125" style="175" customWidth="1"/>
    <col min="17" max="17" width="8.28515625" style="175" customWidth="1"/>
    <col min="18" max="18" width="0.85546875" style="175" customWidth="1"/>
    <col min="19" max="19" width="6.28515625" style="175" customWidth="1"/>
    <col min="20" max="20" width="4" style="175" customWidth="1"/>
    <col min="21" max="21" width="0.42578125" style="175" customWidth="1"/>
    <col min="22" max="22" width="4.140625" style="175" customWidth="1"/>
    <col min="23" max="23" width="0.42578125" style="175" customWidth="1"/>
    <col min="24" max="24" width="8.7109375" style="175" customWidth="1"/>
    <col min="25" max="25" width="0.85546875" style="175" customWidth="1"/>
    <col min="26" max="26" width="9.140625" style="175"/>
    <col min="27" max="27" width="0.42578125" style="175" customWidth="1"/>
    <col min="28" max="28" width="0.28515625" style="175" customWidth="1"/>
    <col min="29" max="29" width="9.140625" style="175"/>
    <col min="30" max="30" width="12" style="203" bestFit="1" customWidth="1"/>
    <col min="31" max="32" width="9.140625" style="203"/>
    <col min="33" max="33" width="11.5703125" style="203" bestFit="1" customWidth="1"/>
    <col min="34" max="34" width="9.85546875" style="175" bestFit="1" customWidth="1"/>
    <col min="35" max="35" width="12.85546875" style="176" bestFit="1" customWidth="1"/>
    <col min="36" max="36" width="13.28515625" style="177" bestFit="1" customWidth="1"/>
    <col min="37" max="37" width="11.5703125" style="178" bestFit="1" customWidth="1"/>
    <col min="38" max="38" width="14.140625" style="178" bestFit="1" customWidth="1"/>
    <col min="39" max="39" width="10.5703125" style="175" bestFit="1" customWidth="1"/>
    <col min="40" max="256" width="9.140625" style="175"/>
    <col min="257" max="257" width="0.28515625" style="175" customWidth="1"/>
    <col min="258" max="258" width="3.140625" style="175" customWidth="1"/>
    <col min="259" max="259" width="3.85546875" style="175" customWidth="1"/>
    <col min="260" max="260" width="2.140625" style="175" customWidth="1"/>
    <col min="261" max="261" width="0.7109375" style="175" customWidth="1"/>
    <col min="262" max="262" width="1.140625" style="175" customWidth="1"/>
    <col min="263" max="263" width="9.85546875" style="175" customWidth="1"/>
    <col min="264" max="269" width="0" style="175" hidden="1" customWidth="1"/>
    <col min="270" max="270" width="0.7109375" style="175" customWidth="1"/>
    <col min="271" max="271" width="9.140625" style="175"/>
    <col min="272" max="272" width="9.42578125" style="175" customWidth="1"/>
    <col min="273" max="273" width="8.28515625" style="175" customWidth="1"/>
    <col min="274" max="274" width="0.85546875" style="175" customWidth="1"/>
    <col min="275" max="275" width="6.28515625" style="175" customWidth="1"/>
    <col min="276" max="276" width="4" style="175" customWidth="1"/>
    <col min="277" max="277" width="0.42578125" style="175" customWidth="1"/>
    <col min="278" max="278" width="4.140625" style="175" customWidth="1"/>
    <col min="279" max="279" width="0.42578125" style="175" customWidth="1"/>
    <col min="280" max="280" width="8.7109375" style="175" customWidth="1"/>
    <col min="281" max="281" width="0.85546875" style="175" customWidth="1"/>
    <col min="282" max="282" width="9.140625" style="175"/>
    <col min="283" max="283" width="0.42578125" style="175" customWidth="1"/>
    <col min="284" max="284" width="0.28515625" style="175" customWidth="1"/>
    <col min="285" max="285" width="9.140625" style="175"/>
    <col min="286" max="286" width="12" style="175" bestFit="1" customWidth="1"/>
    <col min="287" max="288" width="9.140625" style="175"/>
    <col min="289" max="289" width="11.5703125" style="175" bestFit="1" customWidth="1"/>
    <col min="290" max="290" width="9.85546875" style="175" bestFit="1" customWidth="1"/>
    <col min="291" max="291" width="12.85546875" style="175" bestFit="1" customWidth="1"/>
    <col min="292" max="292" width="13.28515625" style="175" bestFit="1" customWidth="1"/>
    <col min="293" max="293" width="11.5703125" style="175" bestFit="1" customWidth="1"/>
    <col min="294" max="294" width="14.140625" style="175" bestFit="1" customWidth="1"/>
    <col min="295" max="295" width="10.5703125" style="175" bestFit="1" customWidth="1"/>
    <col min="296" max="512" width="9.140625" style="175"/>
    <col min="513" max="513" width="0.28515625" style="175" customWidth="1"/>
    <col min="514" max="514" width="3.140625" style="175" customWidth="1"/>
    <col min="515" max="515" width="3.85546875" style="175" customWidth="1"/>
    <col min="516" max="516" width="2.140625" style="175" customWidth="1"/>
    <col min="517" max="517" width="0.7109375" style="175" customWidth="1"/>
    <col min="518" max="518" width="1.140625" style="175" customWidth="1"/>
    <col min="519" max="519" width="9.85546875" style="175" customWidth="1"/>
    <col min="520" max="525" width="0" style="175" hidden="1" customWidth="1"/>
    <col min="526" max="526" width="0.7109375" style="175" customWidth="1"/>
    <col min="527" max="527" width="9.140625" style="175"/>
    <col min="528" max="528" width="9.42578125" style="175" customWidth="1"/>
    <col min="529" max="529" width="8.28515625" style="175" customWidth="1"/>
    <col min="530" max="530" width="0.85546875" style="175" customWidth="1"/>
    <col min="531" max="531" width="6.28515625" style="175" customWidth="1"/>
    <col min="532" max="532" width="4" style="175" customWidth="1"/>
    <col min="533" max="533" width="0.42578125" style="175" customWidth="1"/>
    <col min="534" max="534" width="4.140625" style="175" customWidth="1"/>
    <col min="535" max="535" width="0.42578125" style="175" customWidth="1"/>
    <col min="536" max="536" width="8.7109375" style="175" customWidth="1"/>
    <col min="537" max="537" width="0.85546875" style="175" customWidth="1"/>
    <col min="538" max="538" width="9.140625" style="175"/>
    <col min="539" max="539" width="0.42578125" style="175" customWidth="1"/>
    <col min="540" max="540" width="0.28515625" style="175" customWidth="1"/>
    <col min="541" max="541" width="9.140625" style="175"/>
    <col min="542" max="542" width="12" style="175" bestFit="1" customWidth="1"/>
    <col min="543" max="544" width="9.140625" style="175"/>
    <col min="545" max="545" width="11.5703125" style="175" bestFit="1" customWidth="1"/>
    <col min="546" max="546" width="9.85546875" style="175" bestFit="1" customWidth="1"/>
    <col min="547" max="547" width="12.85546875" style="175" bestFit="1" customWidth="1"/>
    <col min="548" max="548" width="13.28515625" style="175" bestFit="1" customWidth="1"/>
    <col min="549" max="549" width="11.5703125" style="175" bestFit="1" customWidth="1"/>
    <col min="550" max="550" width="14.140625" style="175" bestFit="1" customWidth="1"/>
    <col min="551" max="551" width="10.5703125" style="175" bestFit="1" customWidth="1"/>
    <col min="552" max="768" width="9.140625" style="175"/>
    <col min="769" max="769" width="0.28515625" style="175" customWidth="1"/>
    <col min="770" max="770" width="3.140625" style="175" customWidth="1"/>
    <col min="771" max="771" width="3.85546875" style="175" customWidth="1"/>
    <col min="772" max="772" width="2.140625" style="175" customWidth="1"/>
    <col min="773" max="773" width="0.7109375" style="175" customWidth="1"/>
    <col min="774" max="774" width="1.140625" style="175" customWidth="1"/>
    <col min="775" max="775" width="9.85546875" style="175" customWidth="1"/>
    <col min="776" max="781" width="0" style="175" hidden="1" customWidth="1"/>
    <col min="782" max="782" width="0.7109375" style="175" customWidth="1"/>
    <col min="783" max="783" width="9.140625" style="175"/>
    <col min="784" max="784" width="9.42578125" style="175" customWidth="1"/>
    <col min="785" max="785" width="8.28515625" style="175" customWidth="1"/>
    <col min="786" max="786" width="0.85546875" style="175" customWidth="1"/>
    <col min="787" max="787" width="6.28515625" style="175" customWidth="1"/>
    <col min="788" max="788" width="4" style="175" customWidth="1"/>
    <col min="789" max="789" width="0.42578125" style="175" customWidth="1"/>
    <col min="790" max="790" width="4.140625" style="175" customWidth="1"/>
    <col min="791" max="791" width="0.42578125" style="175" customWidth="1"/>
    <col min="792" max="792" width="8.7109375" style="175" customWidth="1"/>
    <col min="793" max="793" width="0.85546875" style="175" customWidth="1"/>
    <col min="794" max="794" width="9.140625" style="175"/>
    <col min="795" max="795" width="0.42578125" style="175" customWidth="1"/>
    <col min="796" max="796" width="0.28515625" style="175" customWidth="1"/>
    <col min="797" max="797" width="9.140625" style="175"/>
    <col min="798" max="798" width="12" style="175" bestFit="1" customWidth="1"/>
    <col min="799" max="800" width="9.140625" style="175"/>
    <col min="801" max="801" width="11.5703125" style="175" bestFit="1" customWidth="1"/>
    <col min="802" max="802" width="9.85546875" style="175" bestFit="1" customWidth="1"/>
    <col min="803" max="803" width="12.85546875" style="175" bestFit="1" customWidth="1"/>
    <col min="804" max="804" width="13.28515625" style="175" bestFit="1" customWidth="1"/>
    <col min="805" max="805" width="11.5703125" style="175" bestFit="1" customWidth="1"/>
    <col min="806" max="806" width="14.140625" style="175" bestFit="1" customWidth="1"/>
    <col min="807" max="807" width="10.5703125" style="175" bestFit="1" customWidth="1"/>
    <col min="808" max="1024" width="9.140625" style="175"/>
    <col min="1025" max="1025" width="0.28515625" style="175" customWidth="1"/>
    <col min="1026" max="1026" width="3.140625" style="175" customWidth="1"/>
    <col min="1027" max="1027" width="3.85546875" style="175" customWidth="1"/>
    <col min="1028" max="1028" width="2.140625" style="175" customWidth="1"/>
    <col min="1029" max="1029" width="0.7109375" style="175" customWidth="1"/>
    <col min="1030" max="1030" width="1.140625" style="175" customWidth="1"/>
    <col min="1031" max="1031" width="9.85546875" style="175" customWidth="1"/>
    <col min="1032" max="1037" width="0" style="175" hidden="1" customWidth="1"/>
    <col min="1038" max="1038" width="0.7109375" style="175" customWidth="1"/>
    <col min="1039" max="1039" width="9.140625" style="175"/>
    <col min="1040" max="1040" width="9.42578125" style="175" customWidth="1"/>
    <col min="1041" max="1041" width="8.28515625" style="175" customWidth="1"/>
    <col min="1042" max="1042" width="0.85546875" style="175" customWidth="1"/>
    <col min="1043" max="1043" width="6.28515625" style="175" customWidth="1"/>
    <col min="1044" max="1044" width="4" style="175" customWidth="1"/>
    <col min="1045" max="1045" width="0.42578125" style="175" customWidth="1"/>
    <col min="1046" max="1046" width="4.140625" style="175" customWidth="1"/>
    <col min="1047" max="1047" width="0.42578125" style="175" customWidth="1"/>
    <col min="1048" max="1048" width="8.7109375" style="175" customWidth="1"/>
    <col min="1049" max="1049" width="0.85546875" style="175" customWidth="1"/>
    <col min="1050" max="1050" width="9.140625" style="175"/>
    <col min="1051" max="1051" width="0.42578125" style="175" customWidth="1"/>
    <col min="1052" max="1052" width="0.28515625" style="175" customWidth="1"/>
    <col min="1053" max="1053" width="9.140625" style="175"/>
    <col min="1054" max="1054" width="12" style="175" bestFit="1" customWidth="1"/>
    <col min="1055" max="1056" width="9.140625" style="175"/>
    <col min="1057" max="1057" width="11.5703125" style="175" bestFit="1" customWidth="1"/>
    <col min="1058" max="1058" width="9.85546875" style="175" bestFit="1" customWidth="1"/>
    <col min="1059" max="1059" width="12.85546875" style="175" bestFit="1" customWidth="1"/>
    <col min="1060" max="1060" width="13.28515625" style="175" bestFit="1" customWidth="1"/>
    <col min="1061" max="1061" width="11.5703125" style="175" bestFit="1" customWidth="1"/>
    <col min="1062" max="1062" width="14.140625" style="175" bestFit="1" customWidth="1"/>
    <col min="1063" max="1063" width="10.5703125" style="175" bestFit="1" customWidth="1"/>
    <col min="1064" max="1280" width="9.140625" style="175"/>
    <col min="1281" max="1281" width="0.28515625" style="175" customWidth="1"/>
    <col min="1282" max="1282" width="3.140625" style="175" customWidth="1"/>
    <col min="1283" max="1283" width="3.85546875" style="175" customWidth="1"/>
    <col min="1284" max="1284" width="2.140625" style="175" customWidth="1"/>
    <col min="1285" max="1285" width="0.7109375" style="175" customWidth="1"/>
    <col min="1286" max="1286" width="1.140625" style="175" customWidth="1"/>
    <col min="1287" max="1287" width="9.85546875" style="175" customWidth="1"/>
    <col min="1288" max="1293" width="0" style="175" hidden="1" customWidth="1"/>
    <col min="1294" max="1294" width="0.7109375" style="175" customWidth="1"/>
    <col min="1295" max="1295" width="9.140625" style="175"/>
    <col min="1296" max="1296" width="9.42578125" style="175" customWidth="1"/>
    <col min="1297" max="1297" width="8.28515625" style="175" customWidth="1"/>
    <col min="1298" max="1298" width="0.85546875" style="175" customWidth="1"/>
    <col min="1299" max="1299" width="6.28515625" style="175" customWidth="1"/>
    <col min="1300" max="1300" width="4" style="175" customWidth="1"/>
    <col min="1301" max="1301" width="0.42578125" style="175" customWidth="1"/>
    <col min="1302" max="1302" width="4.140625" style="175" customWidth="1"/>
    <col min="1303" max="1303" width="0.42578125" style="175" customWidth="1"/>
    <col min="1304" max="1304" width="8.7109375" style="175" customWidth="1"/>
    <col min="1305" max="1305" width="0.85546875" style="175" customWidth="1"/>
    <col min="1306" max="1306" width="9.140625" style="175"/>
    <col min="1307" max="1307" width="0.42578125" style="175" customWidth="1"/>
    <col min="1308" max="1308" width="0.28515625" style="175" customWidth="1"/>
    <col min="1309" max="1309" width="9.140625" style="175"/>
    <col min="1310" max="1310" width="12" style="175" bestFit="1" customWidth="1"/>
    <col min="1311" max="1312" width="9.140625" style="175"/>
    <col min="1313" max="1313" width="11.5703125" style="175" bestFit="1" customWidth="1"/>
    <col min="1314" max="1314" width="9.85546875" style="175" bestFit="1" customWidth="1"/>
    <col min="1315" max="1315" width="12.85546875" style="175" bestFit="1" customWidth="1"/>
    <col min="1316" max="1316" width="13.28515625" style="175" bestFit="1" customWidth="1"/>
    <col min="1317" max="1317" width="11.5703125" style="175" bestFit="1" customWidth="1"/>
    <col min="1318" max="1318" width="14.140625" style="175" bestFit="1" customWidth="1"/>
    <col min="1319" max="1319" width="10.5703125" style="175" bestFit="1" customWidth="1"/>
    <col min="1320" max="1536" width="9.140625" style="175"/>
    <col min="1537" max="1537" width="0.28515625" style="175" customWidth="1"/>
    <col min="1538" max="1538" width="3.140625" style="175" customWidth="1"/>
    <col min="1539" max="1539" width="3.85546875" style="175" customWidth="1"/>
    <col min="1540" max="1540" width="2.140625" style="175" customWidth="1"/>
    <col min="1541" max="1541" width="0.7109375" style="175" customWidth="1"/>
    <col min="1542" max="1542" width="1.140625" style="175" customWidth="1"/>
    <col min="1543" max="1543" width="9.85546875" style="175" customWidth="1"/>
    <col min="1544" max="1549" width="0" style="175" hidden="1" customWidth="1"/>
    <col min="1550" max="1550" width="0.7109375" style="175" customWidth="1"/>
    <col min="1551" max="1551" width="9.140625" style="175"/>
    <col min="1552" max="1552" width="9.42578125" style="175" customWidth="1"/>
    <col min="1553" max="1553" width="8.28515625" style="175" customWidth="1"/>
    <col min="1554" max="1554" width="0.85546875" style="175" customWidth="1"/>
    <col min="1555" max="1555" width="6.28515625" style="175" customWidth="1"/>
    <col min="1556" max="1556" width="4" style="175" customWidth="1"/>
    <col min="1557" max="1557" width="0.42578125" style="175" customWidth="1"/>
    <col min="1558" max="1558" width="4.140625" style="175" customWidth="1"/>
    <col min="1559" max="1559" width="0.42578125" style="175" customWidth="1"/>
    <col min="1560" max="1560" width="8.7109375" style="175" customWidth="1"/>
    <col min="1561" max="1561" width="0.85546875" style="175" customWidth="1"/>
    <col min="1562" max="1562" width="9.140625" style="175"/>
    <col min="1563" max="1563" width="0.42578125" style="175" customWidth="1"/>
    <col min="1564" max="1564" width="0.28515625" style="175" customWidth="1"/>
    <col min="1565" max="1565" width="9.140625" style="175"/>
    <col min="1566" max="1566" width="12" style="175" bestFit="1" customWidth="1"/>
    <col min="1567" max="1568" width="9.140625" style="175"/>
    <col min="1569" max="1569" width="11.5703125" style="175" bestFit="1" customWidth="1"/>
    <col min="1570" max="1570" width="9.85546875" style="175" bestFit="1" customWidth="1"/>
    <col min="1571" max="1571" width="12.85546875" style="175" bestFit="1" customWidth="1"/>
    <col min="1572" max="1572" width="13.28515625" style="175" bestFit="1" customWidth="1"/>
    <col min="1573" max="1573" width="11.5703125" style="175" bestFit="1" customWidth="1"/>
    <col min="1574" max="1574" width="14.140625" style="175" bestFit="1" customWidth="1"/>
    <col min="1575" max="1575" width="10.5703125" style="175" bestFit="1" customWidth="1"/>
    <col min="1576" max="1792" width="9.140625" style="175"/>
    <col min="1793" max="1793" width="0.28515625" style="175" customWidth="1"/>
    <col min="1794" max="1794" width="3.140625" style="175" customWidth="1"/>
    <col min="1795" max="1795" width="3.85546875" style="175" customWidth="1"/>
    <col min="1796" max="1796" width="2.140625" style="175" customWidth="1"/>
    <col min="1797" max="1797" width="0.7109375" style="175" customWidth="1"/>
    <col min="1798" max="1798" width="1.140625" style="175" customWidth="1"/>
    <col min="1799" max="1799" width="9.85546875" style="175" customWidth="1"/>
    <col min="1800" max="1805" width="0" style="175" hidden="1" customWidth="1"/>
    <col min="1806" max="1806" width="0.7109375" style="175" customWidth="1"/>
    <col min="1807" max="1807" width="9.140625" style="175"/>
    <col min="1808" max="1808" width="9.42578125" style="175" customWidth="1"/>
    <col min="1809" max="1809" width="8.28515625" style="175" customWidth="1"/>
    <col min="1810" max="1810" width="0.85546875" style="175" customWidth="1"/>
    <col min="1811" max="1811" width="6.28515625" style="175" customWidth="1"/>
    <col min="1812" max="1812" width="4" style="175" customWidth="1"/>
    <col min="1813" max="1813" width="0.42578125" style="175" customWidth="1"/>
    <col min="1814" max="1814" width="4.140625" style="175" customWidth="1"/>
    <col min="1815" max="1815" width="0.42578125" style="175" customWidth="1"/>
    <col min="1816" max="1816" width="8.7109375" style="175" customWidth="1"/>
    <col min="1817" max="1817" width="0.85546875" style="175" customWidth="1"/>
    <col min="1818" max="1818" width="9.140625" style="175"/>
    <col min="1819" max="1819" width="0.42578125" style="175" customWidth="1"/>
    <col min="1820" max="1820" width="0.28515625" style="175" customWidth="1"/>
    <col min="1821" max="1821" width="9.140625" style="175"/>
    <col min="1822" max="1822" width="12" style="175" bestFit="1" customWidth="1"/>
    <col min="1823" max="1824" width="9.140625" style="175"/>
    <col min="1825" max="1825" width="11.5703125" style="175" bestFit="1" customWidth="1"/>
    <col min="1826" max="1826" width="9.85546875" style="175" bestFit="1" customWidth="1"/>
    <col min="1827" max="1827" width="12.85546875" style="175" bestFit="1" customWidth="1"/>
    <col min="1828" max="1828" width="13.28515625" style="175" bestFit="1" customWidth="1"/>
    <col min="1829" max="1829" width="11.5703125" style="175" bestFit="1" customWidth="1"/>
    <col min="1830" max="1830" width="14.140625" style="175" bestFit="1" customWidth="1"/>
    <col min="1831" max="1831" width="10.5703125" style="175" bestFit="1" customWidth="1"/>
    <col min="1832" max="2048" width="9.140625" style="175"/>
    <col min="2049" max="2049" width="0.28515625" style="175" customWidth="1"/>
    <col min="2050" max="2050" width="3.140625" style="175" customWidth="1"/>
    <col min="2051" max="2051" width="3.85546875" style="175" customWidth="1"/>
    <col min="2052" max="2052" width="2.140625" style="175" customWidth="1"/>
    <col min="2053" max="2053" width="0.7109375" style="175" customWidth="1"/>
    <col min="2054" max="2054" width="1.140625" style="175" customWidth="1"/>
    <col min="2055" max="2055" width="9.85546875" style="175" customWidth="1"/>
    <col min="2056" max="2061" width="0" style="175" hidden="1" customWidth="1"/>
    <col min="2062" max="2062" width="0.7109375" style="175" customWidth="1"/>
    <col min="2063" max="2063" width="9.140625" style="175"/>
    <col min="2064" max="2064" width="9.42578125" style="175" customWidth="1"/>
    <col min="2065" max="2065" width="8.28515625" style="175" customWidth="1"/>
    <col min="2066" max="2066" width="0.85546875" style="175" customWidth="1"/>
    <col min="2067" max="2067" width="6.28515625" style="175" customWidth="1"/>
    <col min="2068" max="2068" width="4" style="175" customWidth="1"/>
    <col min="2069" max="2069" width="0.42578125" style="175" customWidth="1"/>
    <col min="2070" max="2070" width="4.140625" style="175" customWidth="1"/>
    <col min="2071" max="2071" width="0.42578125" style="175" customWidth="1"/>
    <col min="2072" max="2072" width="8.7109375" style="175" customWidth="1"/>
    <col min="2073" max="2073" width="0.85546875" style="175" customWidth="1"/>
    <col min="2074" max="2074" width="9.140625" style="175"/>
    <col min="2075" max="2075" width="0.42578125" style="175" customWidth="1"/>
    <col min="2076" max="2076" width="0.28515625" style="175" customWidth="1"/>
    <col min="2077" max="2077" width="9.140625" style="175"/>
    <col min="2078" max="2078" width="12" style="175" bestFit="1" customWidth="1"/>
    <col min="2079" max="2080" width="9.140625" style="175"/>
    <col min="2081" max="2081" width="11.5703125" style="175" bestFit="1" customWidth="1"/>
    <col min="2082" max="2082" width="9.85546875" style="175" bestFit="1" customWidth="1"/>
    <col min="2083" max="2083" width="12.85546875" style="175" bestFit="1" customWidth="1"/>
    <col min="2084" max="2084" width="13.28515625" style="175" bestFit="1" customWidth="1"/>
    <col min="2085" max="2085" width="11.5703125" style="175" bestFit="1" customWidth="1"/>
    <col min="2086" max="2086" width="14.140625" style="175" bestFit="1" customWidth="1"/>
    <col min="2087" max="2087" width="10.5703125" style="175" bestFit="1" customWidth="1"/>
    <col min="2088" max="2304" width="9.140625" style="175"/>
    <col min="2305" max="2305" width="0.28515625" style="175" customWidth="1"/>
    <col min="2306" max="2306" width="3.140625" style="175" customWidth="1"/>
    <col min="2307" max="2307" width="3.85546875" style="175" customWidth="1"/>
    <col min="2308" max="2308" width="2.140625" style="175" customWidth="1"/>
    <col min="2309" max="2309" width="0.7109375" style="175" customWidth="1"/>
    <col min="2310" max="2310" width="1.140625" style="175" customWidth="1"/>
    <col min="2311" max="2311" width="9.85546875" style="175" customWidth="1"/>
    <col min="2312" max="2317" width="0" style="175" hidden="1" customWidth="1"/>
    <col min="2318" max="2318" width="0.7109375" style="175" customWidth="1"/>
    <col min="2319" max="2319" width="9.140625" style="175"/>
    <col min="2320" max="2320" width="9.42578125" style="175" customWidth="1"/>
    <col min="2321" max="2321" width="8.28515625" style="175" customWidth="1"/>
    <col min="2322" max="2322" width="0.85546875" style="175" customWidth="1"/>
    <col min="2323" max="2323" width="6.28515625" style="175" customWidth="1"/>
    <col min="2324" max="2324" width="4" style="175" customWidth="1"/>
    <col min="2325" max="2325" width="0.42578125" style="175" customWidth="1"/>
    <col min="2326" max="2326" width="4.140625" style="175" customWidth="1"/>
    <col min="2327" max="2327" width="0.42578125" style="175" customWidth="1"/>
    <col min="2328" max="2328" width="8.7109375" style="175" customWidth="1"/>
    <col min="2329" max="2329" width="0.85546875" style="175" customWidth="1"/>
    <col min="2330" max="2330" width="9.140625" style="175"/>
    <col min="2331" max="2331" width="0.42578125" style="175" customWidth="1"/>
    <col min="2332" max="2332" width="0.28515625" style="175" customWidth="1"/>
    <col min="2333" max="2333" width="9.140625" style="175"/>
    <col min="2334" max="2334" width="12" style="175" bestFit="1" customWidth="1"/>
    <col min="2335" max="2336" width="9.140625" style="175"/>
    <col min="2337" max="2337" width="11.5703125" style="175" bestFit="1" customWidth="1"/>
    <col min="2338" max="2338" width="9.85546875" style="175" bestFit="1" customWidth="1"/>
    <col min="2339" max="2339" width="12.85546875" style="175" bestFit="1" customWidth="1"/>
    <col min="2340" max="2340" width="13.28515625" style="175" bestFit="1" customWidth="1"/>
    <col min="2341" max="2341" width="11.5703125" style="175" bestFit="1" customWidth="1"/>
    <col min="2342" max="2342" width="14.140625" style="175" bestFit="1" customWidth="1"/>
    <col min="2343" max="2343" width="10.5703125" style="175" bestFit="1" customWidth="1"/>
    <col min="2344" max="2560" width="9.140625" style="175"/>
    <col min="2561" max="2561" width="0.28515625" style="175" customWidth="1"/>
    <col min="2562" max="2562" width="3.140625" style="175" customWidth="1"/>
    <col min="2563" max="2563" width="3.85546875" style="175" customWidth="1"/>
    <col min="2564" max="2564" width="2.140625" style="175" customWidth="1"/>
    <col min="2565" max="2565" width="0.7109375" style="175" customWidth="1"/>
    <col min="2566" max="2566" width="1.140625" style="175" customWidth="1"/>
    <col min="2567" max="2567" width="9.85546875" style="175" customWidth="1"/>
    <col min="2568" max="2573" width="0" style="175" hidden="1" customWidth="1"/>
    <col min="2574" max="2574" width="0.7109375" style="175" customWidth="1"/>
    <col min="2575" max="2575" width="9.140625" style="175"/>
    <col min="2576" max="2576" width="9.42578125" style="175" customWidth="1"/>
    <col min="2577" max="2577" width="8.28515625" style="175" customWidth="1"/>
    <col min="2578" max="2578" width="0.85546875" style="175" customWidth="1"/>
    <col min="2579" max="2579" width="6.28515625" style="175" customWidth="1"/>
    <col min="2580" max="2580" width="4" style="175" customWidth="1"/>
    <col min="2581" max="2581" width="0.42578125" style="175" customWidth="1"/>
    <col min="2582" max="2582" width="4.140625" style="175" customWidth="1"/>
    <col min="2583" max="2583" width="0.42578125" style="175" customWidth="1"/>
    <col min="2584" max="2584" width="8.7109375" style="175" customWidth="1"/>
    <col min="2585" max="2585" width="0.85546875" style="175" customWidth="1"/>
    <col min="2586" max="2586" width="9.140625" style="175"/>
    <col min="2587" max="2587" width="0.42578125" style="175" customWidth="1"/>
    <col min="2588" max="2588" width="0.28515625" style="175" customWidth="1"/>
    <col min="2589" max="2589" width="9.140625" style="175"/>
    <col min="2590" max="2590" width="12" style="175" bestFit="1" customWidth="1"/>
    <col min="2591" max="2592" width="9.140625" style="175"/>
    <col min="2593" max="2593" width="11.5703125" style="175" bestFit="1" customWidth="1"/>
    <col min="2594" max="2594" width="9.85546875" style="175" bestFit="1" customWidth="1"/>
    <col min="2595" max="2595" width="12.85546875" style="175" bestFit="1" customWidth="1"/>
    <col min="2596" max="2596" width="13.28515625" style="175" bestFit="1" customWidth="1"/>
    <col min="2597" max="2597" width="11.5703125" style="175" bestFit="1" customWidth="1"/>
    <col min="2598" max="2598" width="14.140625" style="175" bestFit="1" customWidth="1"/>
    <col min="2599" max="2599" width="10.5703125" style="175" bestFit="1" customWidth="1"/>
    <col min="2600" max="2816" width="9.140625" style="175"/>
    <col min="2817" max="2817" width="0.28515625" style="175" customWidth="1"/>
    <col min="2818" max="2818" width="3.140625" style="175" customWidth="1"/>
    <col min="2819" max="2819" width="3.85546875" style="175" customWidth="1"/>
    <col min="2820" max="2820" width="2.140625" style="175" customWidth="1"/>
    <col min="2821" max="2821" width="0.7109375" style="175" customWidth="1"/>
    <col min="2822" max="2822" width="1.140625" style="175" customWidth="1"/>
    <col min="2823" max="2823" width="9.85546875" style="175" customWidth="1"/>
    <col min="2824" max="2829" width="0" style="175" hidden="1" customWidth="1"/>
    <col min="2830" max="2830" width="0.7109375" style="175" customWidth="1"/>
    <col min="2831" max="2831" width="9.140625" style="175"/>
    <col min="2832" max="2832" width="9.42578125" style="175" customWidth="1"/>
    <col min="2833" max="2833" width="8.28515625" style="175" customWidth="1"/>
    <col min="2834" max="2834" width="0.85546875" style="175" customWidth="1"/>
    <col min="2835" max="2835" width="6.28515625" style="175" customWidth="1"/>
    <col min="2836" max="2836" width="4" style="175" customWidth="1"/>
    <col min="2837" max="2837" width="0.42578125" style="175" customWidth="1"/>
    <col min="2838" max="2838" width="4.140625" style="175" customWidth="1"/>
    <col min="2839" max="2839" width="0.42578125" style="175" customWidth="1"/>
    <col min="2840" max="2840" width="8.7109375" style="175" customWidth="1"/>
    <col min="2841" max="2841" width="0.85546875" style="175" customWidth="1"/>
    <col min="2842" max="2842" width="9.140625" style="175"/>
    <col min="2843" max="2843" width="0.42578125" style="175" customWidth="1"/>
    <col min="2844" max="2844" width="0.28515625" style="175" customWidth="1"/>
    <col min="2845" max="2845" width="9.140625" style="175"/>
    <col min="2846" max="2846" width="12" style="175" bestFit="1" customWidth="1"/>
    <col min="2847" max="2848" width="9.140625" style="175"/>
    <col min="2849" max="2849" width="11.5703125" style="175" bestFit="1" customWidth="1"/>
    <col min="2850" max="2850" width="9.85546875" style="175" bestFit="1" customWidth="1"/>
    <col min="2851" max="2851" width="12.85546875" style="175" bestFit="1" customWidth="1"/>
    <col min="2852" max="2852" width="13.28515625" style="175" bestFit="1" customWidth="1"/>
    <col min="2853" max="2853" width="11.5703125" style="175" bestFit="1" customWidth="1"/>
    <col min="2854" max="2854" width="14.140625" style="175" bestFit="1" customWidth="1"/>
    <col min="2855" max="2855" width="10.5703125" style="175" bestFit="1" customWidth="1"/>
    <col min="2856" max="3072" width="9.140625" style="175"/>
    <col min="3073" max="3073" width="0.28515625" style="175" customWidth="1"/>
    <col min="3074" max="3074" width="3.140625" style="175" customWidth="1"/>
    <col min="3075" max="3075" width="3.85546875" style="175" customWidth="1"/>
    <col min="3076" max="3076" width="2.140625" style="175" customWidth="1"/>
    <col min="3077" max="3077" width="0.7109375" style="175" customWidth="1"/>
    <col min="3078" max="3078" width="1.140625" style="175" customWidth="1"/>
    <col min="3079" max="3079" width="9.85546875" style="175" customWidth="1"/>
    <col min="3080" max="3085" width="0" style="175" hidden="1" customWidth="1"/>
    <col min="3086" max="3086" width="0.7109375" style="175" customWidth="1"/>
    <col min="3087" max="3087" width="9.140625" style="175"/>
    <col min="3088" max="3088" width="9.42578125" style="175" customWidth="1"/>
    <col min="3089" max="3089" width="8.28515625" style="175" customWidth="1"/>
    <col min="3090" max="3090" width="0.85546875" style="175" customWidth="1"/>
    <col min="3091" max="3091" width="6.28515625" style="175" customWidth="1"/>
    <col min="3092" max="3092" width="4" style="175" customWidth="1"/>
    <col min="3093" max="3093" width="0.42578125" style="175" customWidth="1"/>
    <col min="3094" max="3094" width="4.140625" style="175" customWidth="1"/>
    <col min="3095" max="3095" width="0.42578125" style="175" customWidth="1"/>
    <col min="3096" max="3096" width="8.7109375" style="175" customWidth="1"/>
    <col min="3097" max="3097" width="0.85546875" style="175" customWidth="1"/>
    <col min="3098" max="3098" width="9.140625" style="175"/>
    <col min="3099" max="3099" width="0.42578125" style="175" customWidth="1"/>
    <col min="3100" max="3100" width="0.28515625" style="175" customWidth="1"/>
    <col min="3101" max="3101" width="9.140625" style="175"/>
    <col min="3102" max="3102" width="12" style="175" bestFit="1" customWidth="1"/>
    <col min="3103" max="3104" width="9.140625" style="175"/>
    <col min="3105" max="3105" width="11.5703125" style="175" bestFit="1" customWidth="1"/>
    <col min="3106" max="3106" width="9.85546875" style="175" bestFit="1" customWidth="1"/>
    <col min="3107" max="3107" width="12.85546875" style="175" bestFit="1" customWidth="1"/>
    <col min="3108" max="3108" width="13.28515625" style="175" bestFit="1" customWidth="1"/>
    <col min="3109" max="3109" width="11.5703125" style="175" bestFit="1" customWidth="1"/>
    <col min="3110" max="3110" width="14.140625" style="175" bestFit="1" customWidth="1"/>
    <col min="3111" max="3111" width="10.5703125" style="175" bestFit="1" customWidth="1"/>
    <col min="3112" max="3328" width="9.140625" style="175"/>
    <col min="3329" max="3329" width="0.28515625" style="175" customWidth="1"/>
    <col min="3330" max="3330" width="3.140625" style="175" customWidth="1"/>
    <col min="3331" max="3331" width="3.85546875" style="175" customWidth="1"/>
    <col min="3332" max="3332" width="2.140625" style="175" customWidth="1"/>
    <col min="3333" max="3333" width="0.7109375" style="175" customWidth="1"/>
    <col min="3334" max="3334" width="1.140625" style="175" customWidth="1"/>
    <col min="3335" max="3335" width="9.85546875" style="175" customWidth="1"/>
    <col min="3336" max="3341" width="0" style="175" hidden="1" customWidth="1"/>
    <col min="3342" max="3342" width="0.7109375" style="175" customWidth="1"/>
    <col min="3343" max="3343" width="9.140625" style="175"/>
    <col min="3344" max="3344" width="9.42578125" style="175" customWidth="1"/>
    <col min="3345" max="3345" width="8.28515625" style="175" customWidth="1"/>
    <col min="3346" max="3346" width="0.85546875" style="175" customWidth="1"/>
    <col min="3347" max="3347" width="6.28515625" style="175" customWidth="1"/>
    <col min="3348" max="3348" width="4" style="175" customWidth="1"/>
    <col min="3349" max="3349" width="0.42578125" style="175" customWidth="1"/>
    <col min="3350" max="3350" width="4.140625" style="175" customWidth="1"/>
    <col min="3351" max="3351" width="0.42578125" style="175" customWidth="1"/>
    <col min="3352" max="3352" width="8.7109375" style="175" customWidth="1"/>
    <col min="3353" max="3353" width="0.85546875" style="175" customWidth="1"/>
    <col min="3354" max="3354" width="9.140625" style="175"/>
    <col min="3355" max="3355" width="0.42578125" style="175" customWidth="1"/>
    <col min="3356" max="3356" width="0.28515625" style="175" customWidth="1"/>
    <col min="3357" max="3357" width="9.140625" style="175"/>
    <col min="3358" max="3358" width="12" style="175" bestFit="1" customWidth="1"/>
    <col min="3359" max="3360" width="9.140625" style="175"/>
    <col min="3361" max="3361" width="11.5703125" style="175" bestFit="1" customWidth="1"/>
    <col min="3362" max="3362" width="9.85546875" style="175" bestFit="1" customWidth="1"/>
    <col min="3363" max="3363" width="12.85546875" style="175" bestFit="1" customWidth="1"/>
    <col min="3364" max="3364" width="13.28515625" style="175" bestFit="1" customWidth="1"/>
    <col min="3365" max="3365" width="11.5703125" style="175" bestFit="1" customWidth="1"/>
    <col min="3366" max="3366" width="14.140625" style="175" bestFit="1" customWidth="1"/>
    <col min="3367" max="3367" width="10.5703125" style="175" bestFit="1" customWidth="1"/>
    <col min="3368" max="3584" width="9.140625" style="175"/>
    <col min="3585" max="3585" width="0.28515625" style="175" customWidth="1"/>
    <col min="3586" max="3586" width="3.140625" style="175" customWidth="1"/>
    <col min="3587" max="3587" width="3.85546875" style="175" customWidth="1"/>
    <col min="3588" max="3588" width="2.140625" style="175" customWidth="1"/>
    <col min="3589" max="3589" width="0.7109375" style="175" customWidth="1"/>
    <col min="3590" max="3590" width="1.140625" style="175" customWidth="1"/>
    <col min="3591" max="3591" width="9.85546875" style="175" customWidth="1"/>
    <col min="3592" max="3597" width="0" style="175" hidden="1" customWidth="1"/>
    <col min="3598" max="3598" width="0.7109375" style="175" customWidth="1"/>
    <col min="3599" max="3599" width="9.140625" style="175"/>
    <col min="3600" max="3600" width="9.42578125" style="175" customWidth="1"/>
    <col min="3601" max="3601" width="8.28515625" style="175" customWidth="1"/>
    <col min="3602" max="3602" width="0.85546875" style="175" customWidth="1"/>
    <col min="3603" max="3603" width="6.28515625" style="175" customWidth="1"/>
    <col min="3604" max="3604" width="4" style="175" customWidth="1"/>
    <col min="3605" max="3605" width="0.42578125" style="175" customWidth="1"/>
    <col min="3606" max="3606" width="4.140625" style="175" customWidth="1"/>
    <col min="3607" max="3607" width="0.42578125" style="175" customWidth="1"/>
    <col min="3608" max="3608" width="8.7109375" style="175" customWidth="1"/>
    <col min="3609" max="3609" width="0.85546875" style="175" customWidth="1"/>
    <col min="3610" max="3610" width="9.140625" style="175"/>
    <col min="3611" max="3611" width="0.42578125" style="175" customWidth="1"/>
    <col min="3612" max="3612" width="0.28515625" style="175" customWidth="1"/>
    <col min="3613" max="3613" width="9.140625" style="175"/>
    <col min="3614" max="3614" width="12" style="175" bestFit="1" customWidth="1"/>
    <col min="3615" max="3616" width="9.140625" style="175"/>
    <col min="3617" max="3617" width="11.5703125" style="175" bestFit="1" customWidth="1"/>
    <col min="3618" max="3618" width="9.85546875" style="175" bestFit="1" customWidth="1"/>
    <col min="3619" max="3619" width="12.85546875" style="175" bestFit="1" customWidth="1"/>
    <col min="3620" max="3620" width="13.28515625" style="175" bestFit="1" customWidth="1"/>
    <col min="3621" max="3621" width="11.5703125" style="175" bestFit="1" customWidth="1"/>
    <col min="3622" max="3622" width="14.140625" style="175" bestFit="1" customWidth="1"/>
    <col min="3623" max="3623" width="10.5703125" style="175" bestFit="1" customWidth="1"/>
    <col min="3624" max="3840" width="9.140625" style="175"/>
    <col min="3841" max="3841" width="0.28515625" style="175" customWidth="1"/>
    <col min="3842" max="3842" width="3.140625" style="175" customWidth="1"/>
    <col min="3843" max="3843" width="3.85546875" style="175" customWidth="1"/>
    <col min="3844" max="3844" width="2.140625" style="175" customWidth="1"/>
    <col min="3845" max="3845" width="0.7109375" style="175" customWidth="1"/>
    <col min="3846" max="3846" width="1.140625" style="175" customWidth="1"/>
    <col min="3847" max="3847" width="9.85546875" style="175" customWidth="1"/>
    <col min="3848" max="3853" width="0" style="175" hidden="1" customWidth="1"/>
    <col min="3854" max="3854" width="0.7109375" style="175" customWidth="1"/>
    <col min="3855" max="3855" width="9.140625" style="175"/>
    <col min="3856" max="3856" width="9.42578125" style="175" customWidth="1"/>
    <col min="3857" max="3857" width="8.28515625" style="175" customWidth="1"/>
    <col min="3858" max="3858" width="0.85546875" style="175" customWidth="1"/>
    <col min="3859" max="3859" width="6.28515625" style="175" customWidth="1"/>
    <col min="3860" max="3860" width="4" style="175" customWidth="1"/>
    <col min="3861" max="3861" width="0.42578125" style="175" customWidth="1"/>
    <col min="3862" max="3862" width="4.140625" style="175" customWidth="1"/>
    <col min="3863" max="3863" width="0.42578125" style="175" customWidth="1"/>
    <col min="3864" max="3864" width="8.7109375" style="175" customWidth="1"/>
    <col min="3865" max="3865" width="0.85546875" style="175" customWidth="1"/>
    <col min="3866" max="3866" width="9.140625" style="175"/>
    <col min="3867" max="3867" width="0.42578125" style="175" customWidth="1"/>
    <col min="3868" max="3868" width="0.28515625" style="175" customWidth="1"/>
    <col min="3869" max="3869" width="9.140625" style="175"/>
    <col min="3870" max="3870" width="12" style="175" bestFit="1" customWidth="1"/>
    <col min="3871" max="3872" width="9.140625" style="175"/>
    <col min="3873" max="3873" width="11.5703125" style="175" bestFit="1" customWidth="1"/>
    <col min="3874" max="3874" width="9.85546875" style="175" bestFit="1" customWidth="1"/>
    <col min="3875" max="3875" width="12.85546875" style="175" bestFit="1" customWidth="1"/>
    <col min="3876" max="3876" width="13.28515625" style="175" bestFit="1" customWidth="1"/>
    <col min="3877" max="3877" width="11.5703125" style="175" bestFit="1" customWidth="1"/>
    <col min="3878" max="3878" width="14.140625" style="175" bestFit="1" customWidth="1"/>
    <col min="3879" max="3879" width="10.5703125" style="175" bestFit="1" customWidth="1"/>
    <col min="3880" max="4096" width="9.140625" style="175"/>
    <col min="4097" max="4097" width="0.28515625" style="175" customWidth="1"/>
    <col min="4098" max="4098" width="3.140625" style="175" customWidth="1"/>
    <col min="4099" max="4099" width="3.85546875" style="175" customWidth="1"/>
    <col min="4100" max="4100" width="2.140625" style="175" customWidth="1"/>
    <col min="4101" max="4101" width="0.7109375" style="175" customWidth="1"/>
    <col min="4102" max="4102" width="1.140625" style="175" customWidth="1"/>
    <col min="4103" max="4103" width="9.85546875" style="175" customWidth="1"/>
    <col min="4104" max="4109" width="0" style="175" hidden="1" customWidth="1"/>
    <col min="4110" max="4110" width="0.7109375" style="175" customWidth="1"/>
    <col min="4111" max="4111" width="9.140625" style="175"/>
    <col min="4112" max="4112" width="9.42578125" style="175" customWidth="1"/>
    <col min="4113" max="4113" width="8.28515625" style="175" customWidth="1"/>
    <col min="4114" max="4114" width="0.85546875" style="175" customWidth="1"/>
    <col min="4115" max="4115" width="6.28515625" style="175" customWidth="1"/>
    <col min="4116" max="4116" width="4" style="175" customWidth="1"/>
    <col min="4117" max="4117" width="0.42578125" style="175" customWidth="1"/>
    <col min="4118" max="4118" width="4.140625" style="175" customWidth="1"/>
    <col min="4119" max="4119" width="0.42578125" style="175" customWidth="1"/>
    <col min="4120" max="4120" width="8.7109375" style="175" customWidth="1"/>
    <col min="4121" max="4121" width="0.85546875" style="175" customWidth="1"/>
    <col min="4122" max="4122" width="9.140625" style="175"/>
    <col min="4123" max="4123" width="0.42578125" style="175" customWidth="1"/>
    <col min="4124" max="4124" width="0.28515625" style="175" customWidth="1"/>
    <col min="4125" max="4125" width="9.140625" style="175"/>
    <col min="4126" max="4126" width="12" style="175" bestFit="1" customWidth="1"/>
    <col min="4127" max="4128" width="9.140625" style="175"/>
    <col min="4129" max="4129" width="11.5703125" style="175" bestFit="1" customWidth="1"/>
    <col min="4130" max="4130" width="9.85546875" style="175" bestFit="1" customWidth="1"/>
    <col min="4131" max="4131" width="12.85546875" style="175" bestFit="1" customWidth="1"/>
    <col min="4132" max="4132" width="13.28515625" style="175" bestFit="1" customWidth="1"/>
    <col min="4133" max="4133" width="11.5703125" style="175" bestFit="1" customWidth="1"/>
    <col min="4134" max="4134" width="14.140625" style="175" bestFit="1" customWidth="1"/>
    <col min="4135" max="4135" width="10.5703125" style="175" bestFit="1" customWidth="1"/>
    <col min="4136" max="4352" width="9.140625" style="175"/>
    <col min="4353" max="4353" width="0.28515625" style="175" customWidth="1"/>
    <col min="4354" max="4354" width="3.140625" style="175" customWidth="1"/>
    <col min="4355" max="4355" width="3.85546875" style="175" customWidth="1"/>
    <col min="4356" max="4356" width="2.140625" style="175" customWidth="1"/>
    <col min="4357" max="4357" width="0.7109375" style="175" customWidth="1"/>
    <col min="4358" max="4358" width="1.140625" style="175" customWidth="1"/>
    <col min="4359" max="4359" width="9.85546875" style="175" customWidth="1"/>
    <col min="4360" max="4365" width="0" style="175" hidden="1" customWidth="1"/>
    <col min="4366" max="4366" width="0.7109375" style="175" customWidth="1"/>
    <col min="4367" max="4367" width="9.140625" style="175"/>
    <col min="4368" max="4368" width="9.42578125" style="175" customWidth="1"/>
    <col min="4369" max="4369" width="8.28515625" style="175" customWidth="1"/>
    <col min="4370" max="4370" width="0.85546875" style="175" customWidth="1"/>
    <col min="4371" max="4371" width="6.28515625" style="175" customWidth="1"/>
    <col min="4372" max="4372" width="4" style="175" customWidth="1"/>
    <col min="4373" max="4373" width="0.42578125" style="175" customWidth="1"/>
    <col min="4374" max="4374" width="4.140625" style="175" customWidth="1"/>
    <col min="4375" max="4375" width="0.42578125" style="175" customWidth="1"/>
    <col min="4376" max="4376" width="8.7109375" style="175" customWidth="1"/>
    <col min="4377" max="4377" width="0.85546875" style="175" customWidth="1"/>
    <col min="4378" max="4378" width="9.140625" style="175"/>
    <col min="4379" max="4379" width="0.42578125" style="175" customWidth="1"/>
    <col min="4380" max="4380" width="0.28515625" style="175" customWidth="1"/>
    <col min="4381" max="4381" width="9.140625" style="175"/>
    <col min="4382" max="4382" width="12" style="175" bestFit="1" customWidth="1"/>
    <col min="4383" max="4384" width="9.140625" style="175"/>
    <col min="4385" max="4385" width="11.5703125" style="175" bestFit="1" customWidth="1"/>
    <col min="4386" max="4386" width="9.85546875" style="175" bestFit="1" customWidth="1"/>
    <col min="4387" max="4387" width="12.85546875" style="175" bestFit="1" customWidth="1"/>
    <col min="4388" max="4388" width="13.28515625" style="175" bestFit="1" customWidth="1"/>
    <col min="4389" max="4389" width="11.5703125" style="175" bestFit="1" customWidth="1"/>
    <col min="4390" max="4390" width="14.140625" style="175" bestFit="1" customWidth="1"/>
    <col min="4391" max="4391" width="10.5703125" style="175" bestFit="1" customWidth="1"/>
    <col min="4392" max="4608" width="9.140625" style="175"/>
    <col min="4609" max="4609" width="0.28515625" style="175" customWidth="1"/>
    <col min="4610" max="4610" width="3.140625" style="175" customWidth="1"/>
    <col min="4611" max="4611" width="3.85546875" style="175" customWidth="1"/>
    <col min="4612" max="4612" width="2.140625" style="175" customWidth="1"/>
    <col min="4613" max="4613" width="0.7109375" style="175" customWidth="1"/>
    <col min="4614" max="4614" width="1.140625" style="175" customWidth="1"/>
    <col min="4615" max="4615" width="9.85546875" style="175" customWidth="1"/>
    <col min="4616" max="4621" width="0" style="175" hidden="1" customWidth="1"/>
    <col min="4622" max="4622" width="0.7109375" style="175" customWidth="1"/>
    <col min="4623" max="4623" width="9.140625" style="175"/>
    <col min="4624" max="4624" width="9.42578125" style="175" customWidth="1"/>
    <col min="4625" max="4625" width="8.28515625" style="175" customWidth="1"/>
    <col min="4626" max="4626" width="0.85546875" style="175" customWidth="1"/>
    <col min="4627" max="4627" width="6.28515625" style="175" customWidth="1"/>
    <col min="4628" max="4628" width="4" style="175" customWidth="1"/>
    <col min="4629" max="4629" width="0.42578125" style="175" customWidth="1"/>
    <col min="4630" max="4630" width="4.140625" style="175" customWidth="1"/>
    <col min="4631" max="4631" width="0.42578125" style="175" customWidth="1"/>
    <col min="4632" max="4632" width="8.7109375" style="175" customWidth="1"/>
    <col min="4633" max="4633" width="0.85546875" style="175" customWidth="1"/>
    <col min="4634" max="4634" width="9.140625" style="175"/>
    <col min="4635" max="4635" width="0.42578125" style="175" customWidth="1"/>
    <col min="4636" max="4636" width="0.28515625" style="175" customWidth="1"/>
    <col min="4637" max="4637" width="9.140625" style="175"/>
    <col min="4638" max="4638" width="12" style="175" bestFit="1" customWidth="1"/>
    <col min="4639" max="4640" width="9.140625" style="175"/>
    <col min="4641" max="4641" width="11.5703125" style="175" bestFit="1" customWidth="1"/>
    <col min="4642" max="4642" width="9.85546875" style="175" bestFit="1" customWidth="1"/>
    <col min="4643" max="4643" width="12.85546875" style="175" bestFit="1" customWidth="1"/>
    <col min="4644" max="4644" width="13.28515625" style="175" bestFit="1" customWidth="1"/>
    <col min="4645" max="4645" width="11.5703125" style="175" bestFit="1" customWidth="1"/>
    <col min="4646" max="4646" width="14.140625" style="175" bestFit="1" customWidth="1"/>
    <col min="4647" max="4647" width="10.5703125" style="175" bestFit="1" customWidth="1"/>
    <col min="4648" max="4864" width="9.140625" style="175"/>
    <col min="4865" max="4865" width="0.28515625" style="175" customWidth="1"/>
    <col min="4866" max="4866" width="3.140625" style="175" customWidth="1"/>
    <col min="4867" max="4867" width="3.85546875" style="175" customWidth="1"/>
    <col min="4868" max="4868" width="2.140625" style="175" customWidth="1"/>
    <col min="4869" max="4869" width="0.7109375" style="175" customWidth="1"/>
    <col min="4870" max="4870" width="1.140625" style="175" customWidth="1"/>
    <col min="4871" max="4871" width="9.85546875" style="175" customWidth="1"/>
    <col min="4872" max="4877" width="0" style="175" hidden="1" customWidth="1"/>
    <col min="4878" max="4878" width="0.7109375" style="175" customWidth="1"/>
    <col min="4879" max="4879" width="9.140625" style="175"/>
    <col min="4880" max="4880" width="9.42578125" style="175" customWidth="1"/>
    <col min="4881" max="4881" width="8.28515625" style="175" customWidth="1"/>
    <col min="4882" max="4882" width="0.85546875" style="175" customWidth="1"/>
    <col min="4883" max="4883" width="6.28515625" style="175" customWidth="1"/>
    <col min="4884" max="4884" width="4" style="175" customWidth="1"/>
    <col min="4885" max="4885" width="0.42578125" style="175" customWidth="1"/>
    <col min="4886" max="4886" width="4.140625" style="175" customWidth="1"/>
    <col min="4887" max="4887" width="0.42578125" style="175" customWidth="1"/>
    <col min="4888" max="4888" width="8.7109375" style="175" customWidth="1"/>
    <col min="4889" max="4889" width="0.85546875" style="175" customWidth="1"/>
    <col min="4890" max="4890" width="9.140625" style="175"/>
    <col min="4891" max="4891" width="0.42578125" style="175" customWidth="1"/>
    <col min="4892" max="4892" width="0.28515625" style="175" customWidth="1"/>
    <col min="4893" max="4893" width="9.140625" style="175"/>
    <col min="4894" max="4894" width="12" style="175" bestFit="1" customWidth="1"/>
    <col min="4895" max="4896" width="9.140625" style="175"/>
    <col min="4897" max="4897" width="11.5703125" style="175" bestFit="1" customWidth="1"/>
    <col min="4898" max="4898" width="9.85546875" style="175" bestFit="1" customWidth="1"/>
    <col min="4899" max="4899" width="12.85546875" style="175" bestFit="1" customWidth="1"/>
    <col min="4900" max="4900" width="13.28515625" style="175" bestFit="1" customWidth="1"/>
    <col min="4901" max="4901" width="11.5703125" style="175" bestFit="1" customWidth="1"/>
    <col min="4902" max="4902" width="14.140625" style="175" bestFit="1" customWidth="1"/>
    <col min="4903" max="4903" width="10.5703125" style="175" bestFit="1" customWidth="1"/>
    <col min="4904" max="5120" width="9.140625" style="175"/>
    <col min="5121" max="5121" width="0.28515625" style="175" customWidth="1"/>
    <col min="5122" max="5122" width="3.140625" style="175" customWidth="1"/>
    <col min="5123" max="5123" width="3.85546875" style="175" customWidth="1"/>
    <col min="5124" max="5124" width="2.140625" style="175" customWidth="1"/>
    <col min="5125" max="5125" width="0.7109375" style="175" customWidth="1"/>
    <col min="5126" max="5126" width="1.140625" style="175" customWidth="1"/>
    <col min="5127" max="5127" width="9.85546875" style="175" customWidth="1"/>
    <col min="5128" max="5133" width="0" style="175" hidden="1" customWidth="1"/>
    <col min="5134" max="5134" width="0.7109375" style="175" customWidth="1"/>
    <col min="5135" max="5135" width="9.140625" style="175"/>
    <col min="5136" max="5136" width="9.42578125" style="175" customWidth="1"/>
    <col min="5137" max="5137" width="8.28515625" style="175" customWidth="1"/>
    <col min="5138" max="5138" width="0.85546875" style="175" customWidth="1"/>
    <col min="5139" max="5139" width="6.28515625" style="175" customWidth="1"/>
    <col min="5140" max="5140" width="4" style="175" customWidth="1"/>
    <col min="5141" max="5141" width="0.42578125" style="175" customWidth="1"/>
    <col min="5142" max="5142" width="4.140625" style="175" customWidth="1"/>
    <col min="5143" max="5143" width="0.42578125" style="175" customWidth="1"/>
    <col min="5144" max="5144" width="8.7109375" style="175" customWidth="1"/>
    <col min="5145" max="5145" width="0.85546875" style="175" customWidth="1"/>
    <col min="5146" max="5146" width="9.140625" style="175"/>
    <col min="5147" max="5147" width="0.42578125" style="175" customWidth="1"/>
    <col min="5148" max="5148" width="0.28515625" style="175" customWidth="1"/>
    <col min="5149" max="5149" width="9.140625" style="175"/>
    <col min="5150" max="5150" width="12" style="175" bestFit="1" customWidth="1"/>
    <col min="5151" max="5152" width="9.140625" style="175"/>
    <col min="5153" max="5153" width="11.5703125" style="175" bestFit="1" customWidth="1"/>
    <col min="5154" max="5154" width="9.85546875" style="175" bestFit="1" customWidth="1"/>
    <col min="5155" max="5155" width="12.85546875" style="175" bestFit="1" customWidth="1"/>
    <col min="5156" max="5156" width="13.28515625" style="175" bestFit="1" customWidth="1"/>
    <col min="5157" max="5157" width="11.5703125" style="175" bestFit="1" customWidth="1"/>
    <col min="5158" max="5158" width="14.140625" style="175" bestFit="1" customWidth="1"/>
    <col min="5159" max="5159" width="10.5703125" style="175" bestFit="1" customWidth="1"/>
    <col min="5160" max="5376" width="9.140625" style="175"/>
    <col min="5377" max="5377" width="0.28515625" style="175" customWidth="1"/>
    <col min="5378" max="5378" width="3.140625" style="175" customWidth="1"/>
    <col min="5379" max="5379" width="3.85546875" style="175" customWidth="1"/>
    <col min="5380" max="5380" width="2.140625" style="175" customWidth="1"/>
    <col min="5381" max="5381" width="0.7109375" style="175" customWidth="1"/>
    <col min="5382" max="5382" width="1.140625" style="175" customWidth="1"/>
    <col min="5383" max="5383" width="9.85546875" style="175" customWidth="1"/>
    <col min="5384" max="5389" width="0" style="175" hidden="1" customWidth="1"/>
    <col min="5390" max="5390" width="0.7109375" style="175" customWidth="1"/>
    <col min="5391" max="5391" width="9.140625" style="175"/>
    <col min="5392" max="5392" width="9.42578125" style="175" customWidth="1"/>
    <col min="5393" max="5393" width="8.28515625" style="175" customWidth="1"/>
    <col min="5394" max="5394" width="0.85546875" style="175" customWidth="1"/>
    <col min="5395" max="5395" width="6.28515625" style="175" customWidth="1"/>
    <col min="5396" max="5396" width="4" style="175" customWidth="1"/>
    <col min="5397" max="5397" width="0.42578125" style="175" customWidth="1"/>
    <col min="5398" max="5398" width="4.140625" style="175" customWidth="1"/>
    <col min="5399" max="5399" width="0.42578125" style="175" customWidth="1"/>
    <col min="5400" max="5400" width="8.7109375" style="175" customWidth="1"/>
    <col min="5401" max="5401" width="0.85546875" style="175" customWidth="1"/>
    <col min="5402" max="5402" width="9.140625" style="175"/>
    <col min="5403" max="5403" width="0.42578125" style="175" customWidth="1"/>
    <col min="5404" max="5404" width="0.28515625" style="175" customWidth="1"/>
    <col min="5405" max="5405" width="9.140625" style="175"/>
    <col min="5406" max="5406" width="12" style="175" bestFit="1" customWidth="1"/>
    <col min="5407" max="5408" width="9.140625" style="175"/>
    <col min="5409" max="5409" width="11.5703125" style="175" bestFit="1" customWidth="1"/>
    <col min="5410" max="5410" width="9.85546875" style="175" bestFit="1" customWidth="1"/>
    <col min="5411" max="5411" width="12.85546875" style="175" bestFit="1" customWidth="1"/>
    <col min="5412" max="5412" width="13.28515625" style="175" bestFit="1" customWidth="1"/>
    <col min="5413" max="5413" width="11.5703125" style="175" bestFit="1" customWidth="1"/>
    <col min="5414" max="5414" width="14.140625" style="175" bestFit="1" customWidth="1"/>
    <col min="5415" max="5415" width="10.5703125" style="175" bestFit="1" customWidth="1"/>
    <col min="5416" max="5632" width="9.140625" style="175"/>
    <col min="5633" max="5633" width="0.28515625" style="175" customWidth="1"/>
    <col min="5634" max="5634" width="3.140625" style="175" customWidth="1"/>
    <col min="5635" max="5635" width="3.85546875" style="175" customWidth="1"/>
    <col min="5636" max="5636" width="2.140625" style="175" customWidth="1"/>
    <col min="5637" max="5637" width="0.7109375" style="175" customWidth="1"/>
    <col min="5638" max="5638" width="1.140625" style="175" customWidth="1"/>
    <col min="5639" max="5639" width="9.85546875" style="175" customWidth="1"/>
    <col min="5640" max="5645" width="0" style="175" hidden="1" customWidth="1"/>
    <col min="5646" max="5646" width="0.7109375" style="175" customWidth="1"/>
    <col min="5647" max="5647" width="9.140625" style="175"/>
    <col min="5648" max="5648" width="9.42578125" style="175" customWidth="1"/>
    <col min="5649" max="5649" width="8.28515625" style="175" customWidth="1"/>
    <col min="5650" max="5650" width="0.85546875" style="175" customWidth="1"/>
    <col min="5651" max="5651" width="6.28515625" style="175" customWidth="1"/>
    <col min="5652" max="5652" width="4" style="175" customWidth="1"/>
    <col min="5653" max="5653" width="0.42578125" style="175" customWidth="1"/>
    <col min="5654" max="5654" width="4.140625" style="175" customWidth="1"/>
    <col min="5655" max="5655" width="0.42578125" style="175" customWidth="1"/>
    <col min="5656" max="5656" width="8.7109375" style="175" customWidth="1"/>
    <col min="5657" max="5657" width="0.85546875" style="175" customWidth="1"/>
    <col min="5658" max="5658" width="9.140625" style="175"/>
    <col min="5659" max="5659" width="0.42578125" style="175" customWidth="1"/>
    <col min="5660" max="5660" width="0.28515625" style="175" customWidth="1"/>
    <col min="5661" max="5661" width="9.140625" style="175"/>
    <col min="5662" max="5662" width="12" style="175" bestFit="1" customWidth="1"/>
    <col min="5663" max="5664" width="9.140625" style="175"/>
    <col min="5665" max="5665" width="11.5703125" style="175" bestFit="1" customWidth="1"/>
    <col min="5666" max="5666" width="9.85546875" style="175" bestFit="1" customWidth="1"/>
    <col min="5667" max="5667" width="12.85546875" style="175" bestFit="1" customWidth="1"/>
    <col min="5668" max="5668" width="13.28515625" style="175" bestFit="1" customWidth="1"/>
    <col min="5669" max="5669" width="11.5703125" style="175" bestFit="1" customWidth="1"/>
    <col min="5670" max="5670" width="14.140625" style="175" bestFit="1" customWidth="1"/>
    <col min="5671" max="5671" width="10.5703125" style="175" bestFit="1" customWidth="1"/>
    <col min="5672" max="5888" width="9.140625" style="175"/>
    <col min="5889" max="5889" width="0.28515625" style="175" customWidth="1"/>
    <col min="5890" max="5890" width="3.140625" style="175" customWidth="1"/>
    <col min="5891" max="5891" width="3.85546875" style="175" customWidth="1"/>
    <col min="5892" max="5892" width="2.140625" style="175" customWidth="1"/>
    <col min="5893" max="5893" width="0.7109375" style="175" customWidth="1"/>
    <col min="5894" max="5894" width="1.140625" style="175" customWidth="1"/>
    <col min="5895" max="5895" width="9.85546875" style="175" customWidth="1"/>
    <col min="5896" max="5901" width="0" style="175" hidden="1" customWidth="1"/>
    <col min="5902" max="5902" width="0.7109375" style="175" customWidth="1"/>
    <col min="5903" max="5903" width="9.140625" style="175"/>
    <col min="5904" max="5904" width="9.42578125" style="175" customWidth="1"/>
    <col min="5905" max="5905" width="8.28515625" style="175" customWidth="1"/>
    <col min="5906" max="5906" width="0.85546875" style="175" customWidth="1"/>
    <col min="5907" max="5907" width="6.28515625" style="175" customWidth="1"/>
    <col min="5908" max="5908" width="4" style="175" customWidth="1"/>
    <col min="5909" max="5909" width="0.42578125" style="175" customWidth="1"/>
    <col min="5910" max="5910" width="4.140625" style="175" customWidth="1"/>
    <col min="5911" max="5911" width="0.42578125" style="175" customWidth="1"/>
    <col min="5912" max="5912" width="8.7109375" style="175" customWidth="1"/>
    <col min="5913" max="5913" width="0.85546875" style="175" customWidth="1"/>
    <col min="5914" max="5914" width="9.140625" style="175"/>
    <col min="5915" max="5915" width="0.42578125" style="175" customWidth="1"/>
    <col min="5916" max="5916" width="0.28515625" style="175" customWidth="1"/>
    <col min="5917" max="5917" width="9.140625" style="175"/>
    <col min="5918" max="5918" width="12" style="175" bestFit="1" customWidth="1"/>
    <col min="5919" max="5920" width="9.140625" style="175"/>
    <col min="5921" max="5921" width="11.5703125" style="175" bestFit="1" customWidth="1"/>
    <col min="5922" max="5922" width="9.85546875" style="175" bestFit="1" customWidth="1"/>
    <col min="5923" max="5923" width="12.85546875" style="175" bestFit="1" customWidth="1"/>
    <col min="5924" max="5924" width="13.28515625" style="175" bestFit="1" customWidth="1"/>
    <col min="5925" max="5925" width="11.5703125" style="175" bestFit="1" customWidth="1"/>
    <col min="5926" max="5926" width="14.140625" style="175" bestFit="1" customWidth="1"/>
    <col min="5927" max="5927" width="10.5703125" style="175" bestFit="1" customWidth="1"/>
    <col min="5928" max="6144" width="9.140625" style="175"/>
    <col min="6145" max="6145" width="0.28515625" style="175" customWidth="1"/>
    <col min="6146" max="6146" width="3.140625" style="175" customWidth="1"/>
    <col min="6147" max="6147" width="3.85546875" style="175" customWidth="1"/>
    <col min="6148" max="6148" width="2.140625" style="175" customWidth="1"/>
    <col min="6149" max="6149" width="0.7109375" style="175" customWidth="1"/>
    <col min="6150" max="6150" width="1.140625" style="175" customWidth="1"/>
    <col min="6151" max="6151" width="9.85546875" style="175" customWidth="1"/>
    <col min="6152" max="6157" width="0" style="175" hidden="1" customWidth="1"/>
    <col min="6158" max="6158" width="0.7109375" style="175" customWidth="1"/>
    <col min="6159" max="6159" width="9.140625" style="175"/>
    <col min="6160" max="6160" width="9.42578125" style="175" customWidth="1"/>
    <col min="6161" max="6161" width="8.28515625" style="175" customWidth="1"/>
    <col min="6162" max="6162" width="0.85546875" style="175" customWidth="1"/>
    <col min="6163" max="6163" width="6.28515625" style="175" customWidth="1"/>
    <col min="6164" max="6164" width="4" style="175" customWidth="1"/>
    <col min="6165" max="6165" width="0.42578125" style="175" customWidth="1"/>
    <col min="6166" max="6166" width="4.140625" style="175" customWidth="1"/>
    <col min="6167" max="6167" width="0.42578125" style="175" customWidth="1"/>
    <col min="6168" max="6168" width="8.7109375" style="175" customWidth="1"/>
    <col min="6169" max="6169" width="0.85546875" style="175" customWidth="1"/>
    <col min="6170" max="6170" width="9.140625" style="175"/>
    <col min="6171" max="6171" width="0.42578125" style="175" customWidth="1"/>
    <col min="6172" max="6172" width="0.28515625" style="175" customWidth="1"/>
    <col min="6173" max="6173" width="9.140625" style="175"/>
    <col min="6174" max="6174" width="12" style="175" bestFit="1" customWidth="1"/>
    <col min="6175" max="6176" width="9.140625" style="175"/>
    <col min="6177" max="6177" width="11.5703125" style="175" bestFit="1" customWidth="1"/>
    <col min="6178" max="6178" width="9.85546875" style="175" bestFit="1" customWidth="1"/>
    <col min="6179" max="6179" width="12.85546875" style="175" bestFit="1" customWidth="1"/>
    <col min="6180" max="6180" width="13.28515625" style="175" bestFit="1" customWidth="1"/>
    <col min="6181" max="6181" width="11.5703125" style="175" bestFit="1" customWidth="1"/>
    <col min="6182" max="6182" width="14.140625" style="175" bestFit="1" customWidth="1"/>
    <col min="6183" max="6183" width="10.5703125" style="175" bestFit="1" customWidth="1"/>
    <col min="6184" max="6400" width="9.140625" style="175"/>
    <col min="6401" max="6401" width="0.28515625" style="175" customWidth="1"/>
    <col min="6402" max="6402" width="3.140625" style="175" customWidth="1"/>
    <col min="6403" max="6403" width="3.85546875" style="175" customWidth="1"/>
    <col min="6404" max="6404" width="2.140625" style="175" customWidth="1"/>
    <col min="6405" max="6405" width="0.7109375" style="175" customWidth="1"/>
    <col min="6406" max="6406" width="1.140625" style="175" customWidth="1"/>
    <col min="6407" max="6407" width="9.85546875" style="175" customWidth="1"/>
    <col min="6408" max="6413" width="0" style="175" hidden="1" customWidth="1"/>
    <col min="6414" max="6414" width="0.7109375" style="175" customWidth="1"/>
    <col min="6415" max="6415" width="9.140625" style="175"/>
    <col min="6416" max="6416" width="9.42578125" style="175" customWidth="1"/>
    <col min="6417" max="6417" width="8.28515625" style="175" customWidth="1"/>
    <col min="6418" max="6418" width="0.85546875" style="175" customWidth="1"/>
    <col min="6419" max="6419" width="6.28515625" style="175" customWidth="1"/>
    <col min="6420" max="6420" width="4" style="175" customWidth="1"/>
    <col min="6421" max="6421" width="0.42578125" style="175" customWidth="1"/>
    <col min="6422" max="6422" width="4.140625" style="175" customWidth="1"/>
    <col min="6423" max="6423" width="0.42578125" style="175" customWidth="1"/>
    <col min="6424" max="6424" width="8.7109375" style="175" customWidth="1"/>
    <col min="6425" max="6425" width="0.85546875" style="175" customWidth="1"/>
    <col min="6426" max="6426" width="9.140625" style="175"/>
    <col min="6427" max="6427" width="0.42578125" style="175" customWidth="1"/>
    <col min="6428" max="6428" width="0.28515625" style="175" customWidth="1"/>
    <col min="6429" max="6429" width="9.140625" style="175"/>
    <col min="6430" max="6430" width="12" style="175" bestFit="1" customWidth="1"/>
    <col min="6431" max="6432" width="9.140625" style="175"/>
    <col min="6433" max="6433" width="11.5703125" style="175" bestFit="1" customWidth="1"/>
    <col min="6434" max="6434" width="9.85546875" style="175" bestFit="1" customWidth="1"/>
    <col min="6435" max="6435" width="12.85546875" style="175" bestFit="1" customWidth="1"/>
    <col min="6436" max="6436" width="13.28515625" style="175" bestFit="1" customWidth="1"/>
    <col min="6437" max="6437" width="11.5703125" style="175" bestFit="1" customWidth="1"/>
    <col min="6438" max="6438" width="14.140625" style="175" bestFit="1" customWidth="1"/>
    <col min="6439" max="6439" width="10.5703125" style="175" bestFit="1" customWidth="1"/>
    <col min="6440" max="6656" width="9.140625" style="175"/>
    <col min="6657" max="6657" width="0.28515625" style="175" customWidth="1"/>
    <col min="6658" max="6658" width="3.140625" style="175" customWidth="1"/>
    <col min="6659" max="6659" width="3.85546875" style="175" customWidth="1"/>
    <col min="6660" max="6660" width="2.140625" style="175" customWidth="1"/>
    <col min="6661" max="6661" width="0.7109375" style="175" customWidth="1"/>
    <col min="6662" max="6662" width="1.140625" style="175" customWidth="1"/>
    <col min="6663" max="6663" width="9.85546875" style="175" customWidth="1"/>
    <col min="6664" max="6669" width="0" style="175" hidden="1" customWidth="1"/>
    <col min="6670" max="6670" width="0.7109375" style="175" customWidth="1"/>
    <col min="6671" max="6671" width="9.140625" style="175"/>
    <col min="6672" max="6672" width="9.42578125" style="175" customWidth="1"/>
    <col min="6673" max="6673" width="8.28515625" style="175" customWidth="1"/>
    <col min="6674" max="6674" width="0.85546875" style="175" customWidth="1"/>
    <col min="6675" max="6675" width="6.28515625" style="175" customWidth="1"/>
    <col min="6676" max="6676" width="4" style="175" customWidth="1"/>
    <col min="6677" max="6677" width="0.42578125" style="175" customWidth="1"/>
    <col min="6678" max="6678" width="4.140625" style="175" customWidth="1"/>
    <col min="6679" max="6679" width="0.42578125" style="175" customWidth="1"/>
    <col min="6680" max="6680" width="8.7109375" style="175" customWidth="1"/>
    <col min="6681" max="6681" width="0.85546875" style="175" customWidth="1"/>
    <col min="6682" max="6682" width="9.140625" style="175"/>
    <col min="6683" max="6683" width="0.42578125" style="175" customWidth="1"/>
    <col min="6684" max="6684" width="0.28515625" style="175" customWidth="1"/>
    <col min="6685" max="6685" width="9.140625" style="175"/>
    <col min="6686" max="6686" width="12" style="175" bestFit="1" customWidth="1"/>
    <col min="6687" max="6688" width="9.140625" style="175"/>
    <col min="6689" max="6689" width="11.5703125" style="175" bestFit="1" customWidth="1"/>
    <col min="6690" max="6690" width="9.85546875" style="175" bestFit="1" customWidth="1"/>
    <col min="6691" max="6691" width="12.85546875" style="175" bestFit="1" customWidth="1"/>
    <col min="6692" max="6692" width="13.28515625" style="175" bestFit="1" customWidth="1"/>
    <col min="6693" max="6693" width="11.5703125" style="175" bestFit="1" customWidth="1"/>
    <col min="6694" max="6694" width="14.140625" style="175" bestFit="1" customWidth="1"/>
    <col min="6695" max="6695" width="10.5703125" style="175" bestFit="1" customWidth="1"/>
    <col min="6696" max="6912" width="9.140625" style="175"/>
    <col min="6913" max="6913" width="0.28515625" style="175" customWidth="1"/>
    <col min="6914" max="6914" width="3.140625" style="175" customWidth="1"/>
    <col min="6915" max="6915" width="3.85546875" style="175" customWidth="1"/>
    <col min="6916" max="6916" width="2.140625" style="175" customWidth="1"/>
    <col min="6917" max="6917" width="0.7109375" style="175" customWidth="1"/>
    <col min="6918" max="6918" width="1.140625" style="175" customWidth="1"/>
    <col min="6919" max="6919" width="9.85546875" style="175" customWidth="1"/>
    <col min="6920" max="6925" width="0" style="175" hidden="1" customWidth="1"/>
    <col min="6926" max="6926" width="0.7109375" style="175" customWidth="1"/>
    <col min="6927" max="6927" width="9.140625" style="175"/>
    <col min="6928" max="6928" width="9.42578125" style="175" customWidth="1"/>
    <col min="6929" max="6929" width="8.28515625" style="175" customWidth="1"/>
    <col min="6930" max="6930" width="0.85546875" style="175" customWidth="1"/>
    <col min="6931" max="6931" width="6.28515625" style="175" customWidth="1"/>
    <col min="6932" max="6932" width="4" style="175" customWidth="1"/>
    <col min="6933" max="6933" width="0.42578125" style="175" customWidth="1"/>
    <col min="6934" max="6934" width="4.140625" style="175" customWidth="1"/>
    <col min="6935" max="6935" width="0.42578125" style="175" customWidth="1"/>
    <col min="6936" max="6936" width="8.7109375" style="175" customWidth="1"/>
    <col min="6937" max="6937" width="0.85546875" style="175" customWidth="1"/>
    <col min="6938" max="6938" width="9.140625" style="175"/>
    <col min="6939" max="6939" width="0.42578125" style="175" customWidth="1"/>
    <col min="6940" max="6940" width="0.28515625" style="175" customWidth="1"/>
    <col min="6941" max="6941" width="9.140625" style="175"/>
    <col min="6942" max="6942" width="12" style="175" bestFit="1" customWidth="1"/>
    <col min="6943" max="6944" width="9.140625" style="175"/>
    <col min="6945" max="6945" width="11.5703125" style="175" bestFit="1" customWidth="1"/>
    <col min="6946" max="6946" width="9.85546875" style="175" bestFit="1" customWidth="1"/>
    <col min="6947" max="6947" width="12.85546875" style="175" bestFit="1" customWidth="1"/>
    <col min="6948" max="6948" width="13.28515625" style="175" bestFit="1" customWidth="1"/>
    <col min="6949" max="6949" width="11.5703125" style="175" bestFit="1" customWidth="1"/>
    <col min="6950" max="6950" width="14.140625" style="175" bestFit="1" customWidth="1"/>
    <col min="6951" max="6951" width="10.5703125" style="175" bestFit="1" customWidth="1"/>
    <col min="6952" max="7168" width="9.140625" style="175"/>
    <col min="7169" max="7169" width="0.28515625" style="175" customWidth="1"/>
    <col min="7170" max="7170" width="3.140625" style="175" customWidth="1"/>
    <col min="7171" max="7171" width="3.85546875" style="175" customWidth="1"/>
    <col min="7172" max="7172" width="2.140625" style="175" customWidth="1"/>
    <col min="7173" max="7173" width="0.7109375" style="175" customWidth="1"/>
    <col min="7174" max="7174" width="1.140625" style="175" customWidth="1"/>
    <col min="7175" max="7175" width="9.85546875" style="175" customWidth="1"/>
    <col min="7176" max="7181" width="0" style="175" hidden="1" customWidth="1"/>
    <col min="7182" max="7182" width="0.7109375" style="175" customWidth="1"/>
    <col min="7183" max="7183" width="9.140625" style="175"/>
    <col min="7184" max="7184" width="9.42578125" style="175" customWidth="1"/>
    <col min="7185" max="7185" width="8.28515625" style="175" customWidth="1"/>
    <col min="7186" max="7186" width="0.85546875" style="175" customWidth="1"/>
    <col min="7187" max="7187" width="6.28515625" style="175" customWidth="1"/>
    <col min="7188" max="7188" width="4" style="175" customWidth="1"/>
    <col min="7189" max="7189" width="0.42578125" style="175" customWidth="1"/>
    <col min="7190" max="7190" width="4.140625" style="175" customWidth="1"/>
    <col min="7191" max="7191" width="0.42578125" style="175" customWidth="1"/>
    <col min="7192" max="7192" width="8.7109375" style="175" customWidth="1"/>
    <col min="7193" max="7193" width="0.85546875" style="175" customWidth="1"/>
    <col min="7194" max="7194" width="9.140625" style="175"/>
    <col min="7195" max="7195" width="0.42578125" style="175" customWidth="1"/>
    <col min="7196" max="7196" width="0.28515625" style="175" customWidth="1"/>
    <col min="7197" max="7197" width="9.140625" style="175"/>
    <col min="7198" max="7198" width="12" style="175" bestFit="1" customWidth="1"/>
    <col min="7199" max="7200" width="9.140625" style="175"/>
    <col min="7201" max="7201" width="11.5703125" style="175" bestFit="1" customWidth="1"/>
    <col min="7202" max="7202" width="9.85546875" style="175" bestFit="1" customWidth="1"/>
    <col min="7203" max="7203" width="12.85546875" style="175" bestFit="1" customWidth="1"/>
    <col min="7204" max="7204" width="13.28515625" style="175" bestFit="1" customWidth="1"/>
    <col min="7205" max="7205" width="11.5703125" style="175" bestFit="1" customWidth="1"/>
    <col min="7206" max="7206" width="14.140625" style="175" bestFit="1" customWidth="1"/>
    <col min="7207" max="7207" width="10.5703125" style="175" bestFit="1" customWidth="1"/>
    <col min="7208" max="7424" width="9.140625" style="175"/>
    <col min="7425" max="7425" width="0.28515625" style="175" customWidth="1"/>
    <col min="7426" max="7426" width="3.140625" style="175" customWidth="1"/>
    <col min="7427" max="7427" width="3.85546875" style="175" customWidth="1"/>
    <col min="7428" max="7428" width="2.140625" style="175" customWidth="1"/>
    <col min="7429" max="7429" width="0.7109375" style="175" customWidth="1"/>
    <col min="7430" max="7430" width="1.140625" style="175" customWidth="1"/>
    <col min="7431" max="7431" width="9.85546875" style="175" customWidth="1"/>
    <col min="7432" max="7437" width="0" style="175" hidden="1" customWidth="1"/>
    <col min="7438" max="7438" width="0.7109375" style="175" customWidth="1"/>
    <col min="7439" max="7439" width="9.140625" style="175"/>
    <col min="7440" max="7440" width="9.42578125" style="175" customWidth="1"/>
    <col min="7441" max="7441" width="8.28515625" style="175" customWidth="1"/>
    <col min="7442" max="7442" width="0.85546875" style="175" customWidth="1"/>
    <col min="7443" max="7443" width="6.28515625" style="175" customWidth="1"/>
    <col min="7444" max="7444" width="4" style="175" customWidth="1"/>
    <col min="7445" max="7445" width="0.42578125" style="175" customWidth="1"/>
    <col min="7446" max="7446" width="4.140625" style="175" customWidth="1"/>
    <col min="7447" max="7447" width="0.42578125" style="175" customWidth="1"/>
    <col min="7448" max="7448" width="8.7109375" style="175" customWidth="1"/>
    <col min="7449" max="7449" width="0.85546875" style="175" customWidth="1"/>
    <col min="7450" max="7450" width="9.140625" style="175"/>
    <col min="7451" max="7451" width="0.42578125" style="175" customWidth="1"/>
    <col min="7452" max="7452" width="0.28515625" style="175" customWidth="1"/>
    <col min="7453" max="7453" width="9.140625" style="175"/>
    <col min="7454" max="7454" width="12" style="175" bestFit="1" customWidth="1"/>
    <col min="7455" max="7456" width="9.140625" style="175"/>
    <col min="7457" max="7457" width="11.5703125" style="175" bestFit="1" customWidth="1"/>
    <col min="7458" max="7458" width="9.85546875" style="175" bestFit="1" customWidth="1"/>
    <col min="7459" max="7459" width="12.85546875" style="175" bestFit="1" customWidth="1"/>
    <col min="7460" max="7460" width="13.28515625" style="175" bestFit="1" customWidth="1"/>
    <col min="7461" max="7461" width="11.5703125" style="175" bestFit="1" customWidth="1"/>
    <col min="7462" max="7462" width="14.140625" style="175" bestFit="1" customWidth="1"/>
    <col min="7463" max="7463" width="10.5703125" style="175" bestFit="1" customWidth="1"/>
    <col min="7464" max="7680" width="9.140625" style="175"/>
    <col min="7681" max="7681" width="0.28515625" style="175" customWidth="1"/>
    <col min="7682" max="7682" width="3.140625" style="175" customWidth="1"/>
    <col min="7683" max="7683" width="3.85546875" style="175" customWidth="1"/>
    <col min="7684" max="7684" width="2.140625" style="175" customWidth="1"/>
    <col min="7685" max="7685" width="0.7109375" style="175" customWidth="1"/>
    <col min="7686" max="7686" width="1.140625" style="175" customWidth="1"/>
    <col min="7687" max="7687" width="9.85546875" style="175" customWidth="1"/>
    <col min="7688" max="7693" width="0" style="175" hidden="1" customWidth="1"/>
    <col min="7694" max="7694" width="0.7109375" style="175" customWidth="1"/>
    <col min="7695" max="7695" width="9.140625" style="175"/>
    <col min="7696" max="7696" width="9.42578125" style="175" customWidth="1"/>
    <col min="7697" max="7697" width="8.28515625" style="175" customWidth="1"/>
    <col min="7698" max="7698" width="0.85546875" style="175" customWidth="1"/>
    <col min="7699" max="7699" width="6.28515625" style="175" customWidth="1"/>
    <col min="7700" max="7700" width="4" style="175" customWidth="1"/>
    <col min="7701" max="7701" width="0.42578125" style="175" customWidth="1"/>
    <col min="7702" max="7702" width="4.140625" style="175" customWidth="1"/>
    <col min="7703" max="7703" width="0.42578125" style="175" customWidth="1"/>
    <col min="7704" max="7704" width="8.7109375" style="175" customWidth="1"/>
    <col min="7705" max="7705" width="0.85546875" style="175" customWidth="1"/>
    <col min="7706" max="7706" width="9.140625" style="175"/>
    <col min="7707" max="7707" width="0.42578125" style="175" customWidth="1"/>
    <col min="7708" max="7708" width="0.28515625" style="175" customWidth="1"/>
    <col min="7709" max="7709" width="9.140625" style="175"/>
    <col min="7710" max="7710" width="12" style="175" bestFit="1" customWidth="1"/>
    <col min="7711" max="7712" width="9.140625" style="175"/>
    <col min="7713" max="7713" width="11.5703125" style="175" bestFit="1" customWidth="1"/>
    <col min="7714" max="7714" width="9.85546875" style="175" bestFit="1" customWidth="1"/>
    <col min="7715" max="7715" width="12.85546875" style="175" bestFit="1" customWidth="1"/>
    <col min="7716" max="7716" width="13.28515625" style="175" bestFit="1" customWidth="1"/>
    <col min="7717" max="7717" width="11.5703125" style="175" bestFit="1" customWidth="1"/>
    <col min="7718" max="7718" width="14.140625" style="175" bestFit="1" customWidth="1"/>
    <col min="7719" max="7719" width="10.5703125" style="175" bestFit="1" customWidth="1"/>
    <col min="7720" max="7936" width="9.140625" style="175"/>
    <col min="7937" max="7937" width="0.28515625" style="175" customWidth="1"/>
    <col min="7938" max="7938" width="3.140625" style="175" customWidth="1"/>
    <col min="7939" max="7939" width="3.85546875" style="175" customWidth="1"/>
    <col min="7940" max="7940" width="2.140625" style="175" customWidth="1"/>
    <col min="7941" max="7941" width="0.7109375" style="175" customWidth="1"/>
    <col min="7942" max="7942" width="1.140625" style="175" customWidth="1"/>
    <col min="7943" max="7943" width="9.85546875" style="175" customWidth="1"/>
    <col min="7944" max="7949" width="0" style="175" hidden="1" customWidth="1"/>
    <col min="7950" max="7950" width="0.7109375" style="175" customWidth="1"/>
    <col min="7951" max="7951" width="9.140625" style="175"/>
    <col min="7952" max="7952" width="9.42578125" style="175" customWidth="1"/>
    <col min="7953" max="7953" width="8.28515625" style="175" customWidth="1"/>
    <col min="7954" max="7954" width="0.85546875" style="175" customWidth="1"/>
    <col min="7955" max="7955" width="6.28515625" style="175" customWidth="1"/>
    <col min="7956" max="7956" width="4" style="175" customWidth="1"/>
    <col min="7957" max="7957" width="0.42578125" style="175" customWidth="1"/>
    <col min="7958" max="7958" width="4.140625" style="175" customWidth="1"/>
    <col min="7959" max="7959" width="0.42578125" style="175" customWidth="1"/>
    <col min="7960" max="7960" width="8.7109375" style="175" customWidth="1"/>
    <col min="7961" max="7961" width="0.85546875" style="175" customWidth="1"/>
    <col min="7962" max="7962" width="9.140625" style="175"/>
    <col min="7963" max="7963" width="0.42578125" style="175" customWidth="1"/>
    <col min="7964" max="7964" width="0.28515625" style="175" customWidth="1"/>
    <col min="7965" max="7965" width="9.140625" style="175"/>
    <col min="7966" max="7966" width="12" style="175" bestFit="1" customWidth="1"/>
    <col min="7967" max="7968" width="9.140625" style="175"/>
    <col min="7969" max="7969" width="11.5703125" style="175" bestFit="1" customWidth="1"/>
    <col min="7970" max="7970" width="9.85546875" style="175" bestFit="1" customWidth="1"/>
    <col min="7971" max="7971" width="12.85546875" style="175" bestFit="1" customWidth="1"/>
    <col min="7972" max="7972" width="13.28515625" style="175" bestFit="1" customWidth="1"/>
    <col min="7973" max="7973" width="11.5703125" style="175" bestFit="1" customWidth="1"/>
    <col min="7974" max="7974" width="14.140625" style="175" bestFit="1" customWidth="1"/>
    <col min="7975" max="7975" width="10.5703125" style="175" bestFit="1" customWidth="1"/>
    <col min="7976" max="8192" width="9.140625" style="175"/>
    <col min="8193" max="8193" width="0.28515625" style="175" customWidth="1"/>
    <col min="8194" max="8194" width="3.140625" style="175" customWidth="1"/>
    <col min="8195" max="8195" width="3.85546875" style="175" customWidth="1"/>
    <col min="8196" max="8196" width="2.140625" style="175" customWidth="1"/>
    <col min="8197" max="8197" width="0.7109375" style="175" customWidth="1"/>
    <col min="8198" max="8198" width="1.140625" style="175" customWidth="1"/>
    <col min="8199" max="8199" width="9.85546875" style="175" customWidth="1"/>
    <col min="8200" max="8205" width="0" style="175" hidden="1" customWidth="1"/>
    <col min="8206" max="8206" width="0.7109375" style="175" customWidth="1"/>
    <col min="8207" max="8207" width="9.140625" style="175"/>
    <col min="8208" max="8208" width="9.42578125" style="175" customWidth="1"/>
    <col min="8209" max="8209" width="8.28515625" style="175" customWidth="1"/>
    <col min="8210" max="8210" width="0.85546875" style="175" customWidth="1"/>
    <col min="8211" max="8211" width="6.28515625" style="175" customWidth="1"/>
    <col min="8212" max="8212" width="4" style="175" customWidth="1"/>
    <col min="8213" max="8213" width="0.42578125" style="175" customWidth="1"/>
    <col min="8214" max="8214" width="4.140625" style="175" customWidth="1"/>
    <col min="8215" max="8215" width="0.42578125" style="175" customWidth="1"/>
    <col min="8216" max="8216" width="8.7109375" style="175" customWidth="1"/>
    <col min="8217" max="8217" width="0.85546875" style="175" customWidth="1"/>
    <col min="8218" max="8218" width="9.140625" style="175"/>
    <col min="8219" max="8219" width="0.42578125" style="175" customWidth="1"/>
    <col min="8220" max="8220" width="0.28515625" style="175" customWidth="1"/>
    <col min="8221" max="8221" width="9.140625" style="175"/>
    <col min="8222" max="8222" width="12" style="175" bestFit="1" customWidth="1"/>
    <col min="8223" max="8224" width="9.140625" style="175"/>
    <col min="8225" max="8225" width="11.5703125" style="175" bestFit="1" customWidth="1"/>
    <col min="8226" max="8226" width="9.85546875" style="175" bestFit="1" customWidth="1"/>
    <col min="8227" max="8227" width="12.85546875" style="175" bestFit="1" customWidth="1"/>
    <col min="8228" max="8228" width="13.28515625" style="175" bestFit="1" customWidth="1"/>
    <col min="8229" max="8229" width="11.5703125" style="175" bestFit="1" customWidth="1"/>
    <col min="8230" max="8230" width="14.140625" style="175" bestFit="1" customWidth="1"/>
    <col min="8231" max="8231" width="10.5703125" style="175" bestFit="1" customWidth="1"/>
    <col min="8232" max="8448" width="9.140625" style="175"/>
    <col min="8449" max="8449" width="0.28515625" style="175" customWidth="1"/>
    <col min="8450" max="8450" width="3.140625" style="175" customWidth="1"/>
    <col min="8451" max="8451" width="3.85546875" style="175" customWidth="1"/>
    <col min="8452" max="8452" width="2.140625" style="175" customWidth="1"/>
    <col min="8453" max="8453" width="0.7109375" style="175" customWidth="1"/>
    <col min="8454" max="8454" width="1.140625" style="175" customWidth="1"/>
    <col min="8455" max="8455" width="9.85546875" style="175" customWidth="1"/>
    <col min="8456" max="8461" width="0" style="175" hidden="1" customWidth="1"/>
    <col min="8462" max="8462" width="0.7109375" style="175" customWidth="1"/>
    <col min="8463" max="8463" width="9.140625" style="175"/>
    <col min="8464" max="8464" width="9.42578125" style="175" customWidth="1"/>
    <col min="8465" max="8465" width="8.28515625" style="175" customWidth="1"/>
    <col min="8466" max="8466" width="0.85546875" style="175" customWidth="1"/>
    <col min="8467" max="8467" width="6.28515625" style="175" customWidth="1"/>
    <col min="8468" max="8468" width="4" style="175" customWidth="1"/>
    <col min="8469" max="8469" width="0.42578125" style="175" customWidth="1"/>
    <col min="8470" max="8470" width="4.140625" style="175" customWidth="1"/>
    <col min="8471" max="8471" width="0.42578125" style="175" customWidth="1"/>
    <col min="8472" max="8472" width="8.7109375" style="175" customWidth="1"/>
    <col min="8473" max="8473" width="0.85546875" style="175" customWidth="1"/>
    <col min="8474" max="8474" width="9.140625" style="175"/>
    <col min="8475" max="8475" width="0.42578125" style="175" customWidth="1"/>
    <col min="8476" max="8476" width="0.28515625" style="175" customWidth="1"/>
    <col min="8477" max="8477" width="9.140625" style="175"/>
    <col min="8478" max="8478" width="12" style="175" bestFit="1" customWidth="1"/>
    <col min="8479" max="8480" width="9.140625" style="175"/>
    <col min="8481" max="8481" width="11.5703125" style="175" bestFit="1" customWidth="1"/>
    <col min="8482" max="8482" width="9.85546875" style="175" bestFit="1" customWidth="1"/>
    <col min="8483" max="8483" width="12.85546875" style="175" bestFit="1" customWidth="1"/>
    <col min="8484" max="8484" width="13.28515625" style="175" bestFit="1" customWidth="1"/>
    <col min="8485" max="8485" width="11.5703125" style="175" bestFit="1" customWidth="1"/>
    <col min="8486" max="8486" width="14.140625" style="175" bestFit="1" customWidth="1"/>
    <col min="8487" max="8487" width="10.5703125" style="175" bestFit="1" customWidth="1"/>
    <col min="8488" max="8704" width="9.140625" style="175"/>
    <col min="8705" max="8705" width="0.28515625" style="175" customWidth="1"/>
    <col min="8706" max="8706" width="3.140625" style="175" customWidth="1"/>
    <col min="8707" max="8707" width="3.85546875" style="175" customWidth="1"/>
    <col min="8708" max="8708" width="2.140625" style="175" customWidth="1"/>
    <col min="8709" max="8709" width="0.7109375" style="175" customWidth="1"/>
    <col min="8710" max="8710" width="1.140625" style="175" customWidth="1"/>
    <col min="8711" max="8711" width="9.85546875" style="175" customWidth="1"/>
    <col min="8712" max="8717" width="0" style="175" hidden="1" customWidth="1"/>
    <col min="8718" max="8718" width="0.7109375" style="175" customWidth="1"/>
    <col min="8719" max="8719" width="9.140625" style="175"/>
    <col min="8720" max="8720" width="9.42578125" style="175" customWidth="1"/>
    <col min="8721" max="8721" width="8.28515625" style="175" customWidth="1"/>
    <col min="8722" max="8722" width="0.85546875" style="175" customWidth="1"/>
    <col min="8723" max="8723" width="6.28515625" style="175" customWidth="1"/>
    <col min="8724" max="8724" width="4" style="175" customWidth="1"/>
    <col min="8725" max="8725" width="0.42578125" style="175" customWidth="1"/>
    <col min="8726" max="8726" width="4.140625" style="175" customWidth="1"/>
    <col min="8727" max="8727" width="0.42578125" style="175" customWidth="1"/>
    <col min="8728" max="8728" width="8.7109375" style="175" customWidth="1"/>
    <col min="8729" max="8729" width="0.85546875" style="175" customWidth="1"/>
    <col min="8730" max="8730" width="9.140625" style="175"/>
    <col min="8731" max="8731" width="0.42578125" style="175" customWidth="1"/>
    <col min="8732" max="8732" width="0.28515625" style="175" customWidth="1"/>
    <col min="8733" max="8733" width="9.140625" style="175"/>
    <col min="8734" max="8734" width="12" style="175" bestFit="1" customWidth="1"/>
    <col min="8735" max="8736" width="9.140625" style="175"/>
    <col min="8737" max="8737" width="11.5703125" style="175" bestFit="1" customWidth="1"/>
    <col min="8738" max="8738" width="9.85546875" style="175" bestFit="1" customWidth="1"/>
    <col min="8739" max="8739" width="12.85546875" style="175" bestFit="1" customWidth="1"/>
    <col min="8740" max="8740" width="13.28515625" style="175" bestFit="1" customWidth="1"/>
    <col min="8741" max="8741" width="11.5703125" style="175" bestFit="1" customWidth="1"/>
    <col min="8742" max="8742" width="14.140625" style="175" bestFit="1" customWidth="1"/>
    <col min="8743" max="8743" width="10.5703125" style="175" bestFit="1" customWidth="1"/>
    <col min="8744" max="8960" width="9.140625" style="175"/>
    <col min="8961" max="8961" width="0.28515625" style="175" customWidth="1"/>
    <col min="8962" max="8962" width="3.140625" style="175" customWidth="1"/>
    <col min="8963" max="8963" width="3.85546875" style="175" customWidth="1"/>
    <col min="8964" max="8964" width="2.140625" style="175" customWidth="1"/>
    <col min="8965" max="8965" width="0.7109375" style="175" customWidth="1"/>
    <col min="8966" max="8966" width="1.140625" style="175" customWidth="1"/>
    <col min="8967" max="8967" width="9.85546875" style="175" customWidth="1"/>
    <col min="8968" max="8973" width="0" style="175" hidden="1" customWidth="1"/>
    <col min="8974" max="8974" width="0.7109375" style="175" customWidth="1"/>
    <col min="8975" max="8975" width="9.140625" style="175"/>
    <col min="8976" max="8976" width="9.42578125" style="175" customWidth="1"/>
    <col min="8977" max="8977" width="8.28515625" style="175" customWidth="1"/>
    <col min="8978" max="8978" width="0.85546875" style="175" customWidth="1"/>
    <col min="8979" max="8979" width="6.28515625" style="175" customWidth="1"/>
    <col min="8980" max="8980" width="4" style="175" customWidth="1"/>
    <col min="8981" max="8981" width="0.42578125" style="175" customWidth="1"/>
    <col min="8982" max="8982" width="4.140625" style="175" customWidth="1"/>
    <col min="8983" max="8983" width="0.42578125" style="175" customWidth="1"/>
    <col min="8984" max="8984" width="8.7109375" style="175" customWidth="1"/>
    <col min="8985" max="8985" width="0.85546875" style="175" customWidth="1"/>
    <col min="8986" max="8986" width="9.140625" style="175"/>
    <col min="8987" max="8987" width="0.42578125" style="175" customWidth="1"/>
    <col min="8988" max="8988" width="0.28515625" style="175" customWidth="1"/>
    <col min="8989" max="8989" width="9.140625" style="175"/>
    <col min="8990" max="8990" width="12" style="175" bestFit="1" customWidth="1"/>
    <col min="8991" max="8992" width="9.140625" style="175"/>
    <col min="8993" max="8993" width="11.5703125" style="175" bestFit="1" customWidth="1"/>
    <col min="8994" max="8994" width="9.85546875" style="175" bestFit="1" customWidth="1"/>
    <col min="8995" max="8995" width="12.85546875" style="175" bestFit="1" customWidth="1"/>
    <col min="8996" max="8996" width="13.28515625" style="175" bestFit="1" customWidth="1"/>
    <col min="8997" max="8997" width="11.5703125" style="175" bestFit="1" customWidth="1"/>
    <col min="8998" max="8998" width="14.140625" style="175" bestFit="1" customWidth="1"/>
    <col min="8999" max="8999" width="10.5703125" style="175" bestFit="1" customWidth="1"/>
    <col min="9000" max="9216" width="9.140625" style="175"/>
    <col min="9217" max="9217" width="0.28515625" style="175" customWidth="1"/>
    <col min="9218" max="9218" width="3.140625" style="175" customWidth="1"/>
    <col min="9219" max="9219" width="3.85546875" style="175" customWidth="1"/>
    <col min="9220" max="9220" width="2.140625" style="175" customWidth="1"/>
    <col min="9221" max="9221" width="0.7109375" style="175" customWidth="1"/>
    <col min="9222" max="9222" width="1.140625" style="175" customWidth="1"/>
    <col min="9223" max="9223" width="9.85546875" style="175" customWidth="1"/>
    <col min="9224" max="9229" width="0" style="175" hidden="1" customWidth="1"/>
    <col min="9230" max="9230" width="0.7109375" style="175" customWidth="1"/>
    <col min="9231" max="9231" width="9.140625" style="175"/>
    <col min="9232" max="9232" width="9.42578125" style="175" customWidth="1"/>
    <col min="9233" max="9233" width="8.28515625" style="175" customWidth="1"/>
    <col min="9234" max="9234" width="0.85546875" style="175" customWidth="1"/>
    <col min="9235" max="9235" width="6.28515625" style="175" customWidth="1"/>
    <col min="9236" max="9236" width="4" style="175" customWidth="1"/>
    <col min="9237" max="9237" width="0.42578125" style="175" customWidth="1"/>
    <col min="9238" max="9238" width="4.140625" style="175" customWidth="1"/>
    <col min="9239" max="9239" width="0.42578125" style="175" customWidth="1"/>
    <col min="9240" max="9240" width="8.7109375" style="175" customWidth="1"/>
    <col min="9241" max="9241" width="0.85546875" style="175" customWidth="1"/>
    <col min="9242" max="9242" width="9.140625" style="175"/>
    <col min="9243" max="9243" width="0.42578125" style="175" customWidth="1"/>
    <col min="9244" max="9244" width="0.28515625" style="175" customWidth="1"/>
    <col min="9245" max="9245" width="9.140625" style="175"/>
    <col min="9246" max="9246" width="12" style="175" bestFit="1" customWidth="1"/>
    <col min="9247" max="9248" width="9.140625" style="175"/>
    <col min="9249" max="9249" width="11.5703125" style="175" bestFit="1" customWidth="1"/>
    <col min="9250" max="9250" width="9.85546875" style="175" bestFit="1" customWidth="1"/>
    <col min="9251" max="9251" width="12.85546875" style="175" bestFit="1" customWidth="1"/>
    <col min="9252" max="9252" width="13.28515625" style="175" bestFit="1" customWidth="1"/>
    <col min="9253" max="9253" width="11.5703125" style="175" bestFit="1" customWidth="1"/>
    <col min="9254" max="9254" width="14.140625" style="175" bestFit="1" customWidth="1"/>
    <col min="9255" max="9255" width="10.5703125" style="175" bestFit="1" customWidth="1"/>
    <col min="9256" max="9472" width="9.140625" style="175"/>
    <col min="9473" max="9473" width="0.28515625" style="175" customWidth="1"/>
    <col min="9474" max="9474" width="3.140625" style="175" customWidth="1"/>
    <col min="9475" max="9475" width="3.85546875" style="175" customWidth="1"/>
    <col min="9476" max="9476" width="2.140625" style="175" customWidth="1"/>
    <col min="9477" max="9477" width="0.7109375" style="175" customWidth="1"/>
    <col min="9478" max="9478" width="1.140625" style="175" customWidth="1"/>
    <col min="9479" max="9479" width="9.85546875" style="175" customWidth="1"/>
    <col min="9480" max="9485" width="0" style="175" hidden="1" customWidth="1"/>
    <col min="9486" max="9486" width="0.7109375" style="175" customWidth="1"/>
    <col min="9487" max="9487" width="9.140625" style="175"/>
    <col min="9488" max="9488" width="9.42578125" style="175" customWidth="1"/>
    <col min="9489" max="9489" width="8.28515625" style="175" customWidth="1"/>
    <col min="9490" max="9490" width="0.85546875" style="175" customWidth="1"/>
    <col min="9491" max="9491" width="6.28515625" style="175" customWidth="1"/>
    <col min="9492" max="9492" width="4" style="175" customWidth="1"/>
    <col min="9493" max="9493" width="0.42578125" style="175" customWidth="1"/>
    <col min="9494" max="9494" width="4.140625" style="175" customWidth="1"/>
    <col min="9495" max="9495" width="0.42578125" style="175" customWidth="1"/>
    <col min="9496" max="9496" width="8.7109375" style="175" customWidth="1"/>
    <col min="9497" max="9497" width="0.85546875" style="175" customWidth="1"/>
    <col min="9498" max="9498" width="9.140625" style="175"/>
    <col min="9499" max="9499" width="0.42578125" style="175" customWidth="1"/>
    <col min="9500" max="9500" width="0.28515625" style="175" customWidth="1"/>
    <col min="9501" max="9501" width="9.140625" style="175"/>
    <col min="9502" max="9502" width="12" style="175" bestFit="1" customWidth="1"/>
    <col min="9503" max="9504" width="9.140625" style="175"/>
    <col min="9505" max="9505" width="11.5703125" style="175" bestFit="1" customWidth="1"/>
    <col min="9506" max="9506" width="9.85546875" style="175" bestFit="1" customWidth="1"/>
    <col min="9507" max="9507" width="12.85546875" style="175" bestFit="1" customWidth="1"/>
    <col min="9508" max="9508" width="13.28515625" style="175" bestFit="1" customWidth="1"/>
    <col min="9509" max="9509" width="11.5703125" style="175" bestFit="1" customWidth="1"/>
    <col min="9510" max="9510" width="14.140625" style="175" bestFit="1" customWidth="1"/>
    <col min="9511" max="9511" width="10.5703125" style="175" bestFit="1" customWidth="1"/>
    <col min="9512" max="9728" width="9.140625" style="175"/>
    <col min="9729" max="9729" width="0.28515625" style="175" customWidth="1"/>
    <col min="9730" max="9730" width="3.140625" style="175" customWidth="1"/>
    <col min="9731" max="9731" width="3.85546875" style="175" customWidth="1"/>
    <col min="9732" max="9732" width="2.140625" style="175" customWidth="1"/>
    <col min="9733" max="9733" width="0.7109375" style="175" customWidth="1"/>
    <col min="9734" max="9734" width="1.140625" style="175" customWidth="1"/>
    <col min="9735" max="9735" width="9.85546875" style="175" customWidth="1"/>
    <col min="9736" max="9741" width="0" style="175" hidden="1" customWidth="1"/>
    <col min="9742" max="9742" width="0.7109375" style="175" customWidth="1"/>
    <col min="9743" max="9743" width="9.140625" style="175"/>
    <col min="9744" max="9744" width="9.42578125" style="175" customWidth="1"/>
    <col min="9745" max="9745" width="8.28515625" style="175" customWidth="1"/>
    <col min="9746" max="9746" width="0.85546875" style="175" customWidth="1"/>
    <col min="9747" max="9747" width="6.28515625" style="175" customWidth="1"/>
    <col min="9748" max="9748" width="4" style="175" customWidth="1"/>
    <col min="9749" max="9749" width="0.42578125" style="175" customWidth="1"/>
    <col min="9750" max="9750" width="4.140625" style="175" customWidth="1"/>
    <col min="9751" max="9751" width="0.42578125" style="175" customWidth="1"/>
    <col min="9752" max="9752" width="8.7109375" style="175" customWidth="1"/>
    <col min="9753" max="9753" width="0.85546875" style="175" customWidth="1"/>
    <col min="9754" max="9754" width="9.140625" style="175"/>
    <col min="9755" max="9755" width="0.42578125" style="175" customWidth="1"/>
    <col min="9756" max="9756" width="0.28515625" style="175" customWidth="1"/>
    <col min="9757" max="9757" width="9.140625" style="175"/>
    <col min="9758" max="9758" width="12" style="175" bestFit="1" customWidth="1"/>
    <col min="9759" max="9760" width="9.140625" style="175"/>
    <col min="9761" max="9761" width="11.5703125" style="175" bestFit="1" customWidth="1"/>
    <col min="9762" max="9762" width="9.85546875" style="175" bestFit="1" customWidth="1"/>
    <col min="9763" max="9763" width="12.85546875" style="175" bestFit="1" customWidth="1"/>
    <col min="9764" max="9764" width="13.28515625" style="175" bestFit="1" customWidth="1"/>
    <col min="9765" max="9765" width="11.5703125" style="175" bestFit="1" customWidth="1"/>
    <col min="9766" max="9766" width="14.140625" style="175" bestFit="1" customWidth="1"/>
    <col min="9767" max="9767" width="10.5703125" style="175" bestFit="1" customWidth="1"/>
    <col min="9768" max="9984" width="9.140625" style="175"/>
    <col min="9985" max="9985" width="0.28515625" style="175" customWidth="1"/>
    <col min="9986" max="9986" width="3.140625" style="175" customWidth="1"/>
    <col min="9987" max="9987" width="3.85546875" style="175" customWidth="1"/>
    <col min="9988" max="9988" width="2.140625" style="175" customWidth="1"/>
    <col min="9989" max="9989" width="0.7109375" style="175" customWidth="1"/>
    <col min="9990" max="9990" width="1.140625" style="175" customWidth="1"/>
    <col min="9991" max="9991" width="9.85546875" style="175" customWidth="1"/>
    <col min="9992" max="9997" width="0" style="175" hidden="1" customWidth="1"/>
    <col min="9998" max="9998" width="0.7109375" style="175" customWidth="1"/>
    <col min="9999" max="9999" width="9.140625" style="175"/>
    <col min="10000" max="10000" width="9.42578125" style="175" customWidth="1"/>
    <col min="10001" max="10001" width="8.28515625" style="175" customWidth="1"/>
    <col min="10002" max="10002" width="0.85546875" style="175" customWidth="1"/>
    <col min="10003" max="10003" width="6.28515625" style="175" customWidth="1"/>
    <col min="10004" max="10004" width="4" style="175" customWidth="1"/>
    <col min="10005" max="10005" width="0.42578125" style="175" customWidth="1"/>
    <col min="10006" max="10006" width="4.140625" style="175" customWidth="1"/>
    <col min="10007" max="10007" width="0.42578125" style="175" customWidth="1"/>
    <col min="10008" max="10008" width="8.7109375" style="175" customWidth="1"/>
    <col min="10009" max="10009" width="0.85546875" style="175" customWidth="1"/>
    <col min="10010" max="10010" width="9.140625" style="175"/>
    <col min="10011" max="10011" width="0.42578125" style="175" customWidth="1"/>
    <col min="10012" max="10012" width="0.28515625" style="175" customWidth="1"/>
    <col min="10013" max="10013" width="9.140625" style="175"/>
    <col min="10014" max="10014" width="12" style="175" bestFit="1" customWidth="1"/>
    <col min="10015" max="10016" width="9.140625" style="175"/>
    <col min="10017" max="10017" width="11.5703125" style="175" bestFit="1" customWidth="1"/>
    <col min="10018" max="10018" width="9.85546875" style="175" bestFit="1" customWidth="1"/>
    <col min="10019" max="10019" width="12.85546875" style="175" bestFit="1" customWidth="1"/>
    <col min="10020" max="10020" width="13.28515625" style="175" bestFit="1" customWidth="1"/>
    <col min="10021" max="10021" width="11.5703125" style="175" bestFit="1" customWidth="1"/>
    <col min="10022" max="10022" width="14.140625" style="175" bestFit="1" customWidth="1"/>
    <col min="10023" max="10023" width="10.5703125" style="175" bestFit="1" customWidth="1"/>
    <col min="10024" max="10240" width="9.140625" style="175"/>
    <col min="10241" max="10241" width="0.28515625" style="175" customWidth="1"/>
    <col min="10242" max="10242" width="3.140625" style="175" customWidth="1"/>
    <col min="10243" max="10243" width="3.85546875" style="175" customWidth="1"/>
    <col min="10244" max="10244" width="2.140625" style="175" customWidth="1"/>
    <col min="10245" max="10245" width="0.7109375" style="175" customWidth="1"/>
    <col min="10246" max="10246" width="1.140625" style="175" customWidth="1"/>
    <col min="10247" max="10247" width="9.85546875" style="175" customWidth="1"/>
    <col min="10248" max="10253" width="0" style="175" hidden="1" customWidth="1"/>
    <col min="10254" max="10254" width="0.7109375" style="175" customWidth="1"/>
    <col min="10255" max="10255" width="9.140625" style="175"/>
    <col min="10256" max="10256" width="9.42578125" style="175" customWidth="1"/>
    <col min="10257" max="10257" width="8.28515625" style="175" customWidth="1"/>
    <col min="10258" max="10258" width="0.85546875" style="175" customWidth="1"/>
    <col min="10259" max="10259" width="6.28515625" style="175" customWidth="1"/>
    <col min="10260" max="10260" width="4" style="175" customWidth="1"/>
    <col min="10261" max="10261" width="0.42578125" style="175" customWidth="1"/>
    <col min="10262" max="10262" width="4.140625" style="175" customWidth="1"/>
    <col min="10263" max="10263" width="0.42578125" style="175" customWidth="1"/>
    <col min="10264" max="10264" width="8.7109375" style="175" customWidth="1"/>
    <col min="10265" max="10265" width="0.85546875" style="175" customWidth="1"/>
    <col min="10266" max="10266" width="9.140625" style="175"/>
    <col min="10267" max="10267" width="0.42578125" style="175" customWidth="1"/>
    <col min="10268" max="10268" width="0.28515625" style="175" customWidth="1"/>
    <col min="10269" max="10269" width="9.140625" style="175"/>
    <col min="10270" max="10270" width="12" style="175" bestFit="1" customWidth="1"/>
    <col min="10271" max="10272" width="9.140625" style="175"/>
    <col min="10273" max="10273" width="11.5703125" style="175" bestFit="1" customWidth="1"/>
    <col min="10274" max="10274" width="9.85546875" style="175" bestFit="1" customWidth="1"/>
    <col min="10275" max="10275" width="12.85546875" style="175" bestFit="1" customWidth="1"/>
    <col min="10276" max="10276" width="13.28515625" style="175" bestFit="1" customWidth="1"/>
    <col min="10277" max="10277" width="11.5703125" style="175" bestFit="1" customWidth="1"/>
    <col min="10278" max="10278" width="14.140625" style="175" bestFit="1" customWidth="1"/>
    <col min="10279" max="10279" width="10.5703125" style="175" bestFit="1" customWidth="1"/>
    <col min="10280" max="10496" width="9.140625" style="175"/>
    <col min="10497" max="10497" width="0.28515625" style="175" customWidth="1"/>
    <col min="10498" max="10498" width="3.140625" style="175" customWidth="1"/>
    <col min="10499" max="10499" width="3.85546875" style="175" customWidth="1"/>
    <col min="10500" max="10500" width="2.140625" style="175" customWidth="1"/>
    <col min="10501" max="10501" width="0.7109375" style="175" customWidth="1"/>
    <col min="10502" max="10502" width="1.140625" style="175" customWidth="1"/>
    <col min="10503" max="10503" width="9.85546875" style="175" customWidth="1"/>
    <col min="10504" max="10509" width="0" style="175" hidden="1" customWidth="1"/>
    <col min="10510" max="10510" width="0.7109375" style="175" customWidth="1"/>
    <col min="10511" max="10511" width="9.140625" style="175"/>
    <col min="10512" max="10512" width="9.42578125" style="175" customWidth="1"/>
    <col min="10513" max="10513" width="8.28515625" style="175" customWidth="1"/>
    <col min="10514" max="10514" width="0.85546875" style="175" customWidth="1"/>
    <col min="10515" max="10515" width="6.28515625" style="175" customWidth="1"/>
    <col min="10516" max="10516" width="4" style="175" customWidth="1"/>
    <col min="10517" max="10517" width="0.42578125" style="175" customWidth="1"/>
    <col min="10518" max="10518" width="4.140625" style="175" customWidth="1"/>
    <col min="10519" max="10519" width="0.42578125" style="175" customWidth="1"/>
    <col min="10520" max="10520" width="8.7109375" style="175" customWidth="1"/>
    <col min="10521" max="10521" width="0.85546875" style="175" customWidth="1"/>
    <col min="10522" max="10522" width="9.140625" style="175"/>
    <col min="10523" max="10523" width="0.42578125" style="175" customWidth="1"/>
    <col min="10524" max="10524" width="0.28515625" style="175" customWidth="1"/>
    <col min="10525" max="10525" width="9.140625" style="175"/>
    <col min="10526" max="10526" width="12" style="175" bestFit="1" customWidth="1"/>
    <col min="10527" max="10528" width="9.140625" style="175"/>
    <col min="10529" max="10529" width="11.5703125" style="175" bestFit="1" customWidth="1"/>
    <col min="10530" max="10530" width="9.85546875" style="175" bestFit="1" customWidth="1"/>
    <col min="10531" max="10531" width="12.85546875" style="175" bestFit="1" customWidth="1"/>
    <col min="10532" max="10532" width="13.28515625" style="175" bestFit="1" customWidth="1"/>
    <col min="10533" max="10533" width="11.5703125" style="175" bestFit="1" customWidth="1"/>
    <col min="10534" max="10534" width="14.140625" style="175" bestFit="1" customWidth="1"/>
    <col min="10535" max="10535" width="10.5703125" style="175" bestFit="1" customWidth="1"/>
    <col min="10536" max="10752" width="9.140625" style="175"/>
    <col min="10753" max="10753" width="0.28515625" style="175" customWidth="1"/>
    <col min="10754" max="10754" width="3.140625" style="175" customWidth="1"/>
    <col min="10755" max="10755" width="3.85546875" style="175" customWidth="1"/>
    <col min="10756" max="10756" width="2.140625" style="175" customWidth="1"/>
    <col min="10757" max="10757" width="0.7109375" style="175" customWidth="1"/>
    <col min="10758" max="10758" width="1.140625" style="175" customWidth="1"/>
    <col min="10759" max="10759" width="9.85546875" style="175" customWidth="1"/>
    <col min="10760" max="10765" width="0" style="175" hidden="1" customWidth="1"/>
    <col min="10766" max="10766" width="0.7109375" style="175" customWidth="1"/>
    <col min="10767" max="10767" width="9.140625" style="175"/>
    <col min="10768" max="10768" width="9.42578125" style="175" customWidth="1"/>
    <col min="10769" max="10769" width="8.28515625" style="175" customWidth="1"/>
    <col min="10770" max="10770" width="0.85546875" style="175" customWidth="1"/>
    <col min="10771" max="10771" width="6.28515625" style="175" customWidth="1"/>
    <col min="10772" max="10772" width="4" style="175" customWidth="1"/>
    <col min="10773" max="10773" width="0.42578125" style="175" customWidth="1"/>
    <col min="10774" max="10774" width="4.140625" style="175" customWidth="1"/>
    <col min="10775" max="10775" width="0.42578125" style="175" customWidth="1"/>
    <col min="10776" max="10776" width="8.7109375" style="175" customWidth="1"/>
    <col min="10777" max="10777" width="0.85546875" style="175" customWidth="1"/>
    <col min="10778" max="10778" width="9.140625" style="175"/>
    <col min="10779" max="10779" width="0.42578125" style="175" customWidth="1"/>
    <col min="10780" max="10780" width="0.28515625" style="175" customWidth="1"/>
    <col min="10781" max="10781" width="9.140625" style="175"/>
    <col min="10782" max="10782" width="12" style="175" bestFit="1" customWidth="1"/>
    <col min="10783" max="10784" width="9.140625" style="175"/>
    <col min="10785" max="10785" width="11.5703125" style="175" bestFit="1" customWidth="1"/>
    <col min="10786" max="10786" width="9.85546875" style="175" bestFit="1" customWidth="1"/>
    <col min="10787" max="10787" width="12.85546875" style="175" bestFit="1" customWidth="1"/>
    <col min="10788" max="10788" width="13.28515625" style="175" bestFit="1" customWidth="1"/>
    <col min="10789" max="10789" width="11.5703125" style="175" bestFit="1" customWidth="1"/>
    <col min="10790" max="10790" width="14.140625" style="175" bestFit="1" customWidth="1"/>
    <col min="10791" max="10791" width="10.5703125" style="175" bestFit="1" customWidth="1"/>
    <col min="10792" max="11008" width="9.140625" style="175"/>
    <col min="11009" max="11009" width="0.28515625" style="175" customWidth="1"/>
    <col min="11010" max="11010" width="3.140625" style="175" customWidth="1"/>
    <col min="11011" max="11011" width="3.85546875" style="175" customWidth="1"/>
    <col min="11012" max="11012" width="2.140625" style="175" customWidth="1"/>
    <col min="11013" max="11013" width="0.7109375" style="175" customWidth="1"/>
    <col min="11014" max="11014" width="1.140625" style="175" customWidth="1"/>
    <col min="11015" max="11015" width="9.85546875" style="175" customWidth="1"/>
    <col min="11016" max="11021" width="0" style="175" hidden="1" customWidth="1"/>
    <col min="11022" max="11022" width="0.7109375" style="175" customWidth="1"/>
    <col min="11023" max="11023" width="9.140625" style="175"/>
    <col min="11024" max="11024" width="9.42578125" style="175" customWidth="1"/>
    <col min="11025" max="11025" width="8.28515625" style="175" customWidth="1"/>
    <col min="11026" max="11026" width="0.85546875" style="175" customWidth="1"/>
    <col min="11027" max="11027" width="6.28515625" style="175" customWidth="1"/>
    <col min="11028" max="11028" width="4" style="175" customWidth="1"/>
    <col min="11029" max="11029" width="0.42578125" style="175" customWidth="1"/>
    <col min="11030" max="11030" width="4.140625" style="175" customWidth="1"/>
    <col min="11031" max="11031" width="0.42578125" style="175" customWidth="1"/>
    <col min="11032" max="11032" width="8.7109375" style="175" customWidth="1"/>
    <col min="11033" max="11033" width="0.85546875" style="175" customWidth="1"/>
    <col min="11034" max="11034" width="9.140625" style="175"/>
    <col min="11035" max="11035" width="0.42578125" style="175" customWidth="1"/>
    <col min="11036" max="11036" width="0.28515625" style="175" customWidth="1"/>
    <col min="11037" max="11037" width="9.140625" style="175"/>
    <col min="11038" max="11038" width="12" style="175" bestFit="1" customWidth="1"/>
    <col min="11039" max="11040" width="9.140625" style="175"/>
    <col min="11041" max="11041" width="11.5703125" style="175" bestFit="1" customWidth="1"/>
    <col min="11042" max="11042" width="9.85546875" style="175" bestFit="1" customWidth="1"/>
    <col min="11043" max="11043" width="12.85546875" style="175" bestFit="1" customWidth="1"/>
    <col min="11044" max="11044" width="13.28515625" style="175" bestFit="1" customWidth="1"/>
    <col min="11045" max="11045" width="11.5703125" style="175" bestFit="1" customWidth="1"/>
    <col min="11046" max="11046" width="14.140625" style="175" bestFit="1" customWidth="1"/>
    <col min="11047" max="11047" width="10.5703125" style="175" bestFit="1" customWidth="1"/>
    <col min="11048" max="11264" width="9.140625" style="175"/>
    <col min="11265" max="11265" width="0.28515625" style="175" customWidth="1"/>
    <col min="11266" max="11266" width="3.140625" style="175" customWidth="1"/>
    <col min="11267" max="11267" width="3.85546875" style="175" customWidth="1"/>
    <col min="11268" max="11268" width="2.140625" style="175" customWidth="1"/>
    <col min="11269" max="11269" width="0.7109375" style="175" customWidth="1"/>
    <col min="11270" max="11270" width="1.140625" style="175" customWidth="1"/>
    <col min="11271" max="11271" width="9.85546875" style="175" customWidth="1"/>
    <col min="11272" max="11277" width="0" style="175" hidden="1" customWidth="1"/>
    <col min="11278" max="11278" width="0.7109375" style="175" customWidth="1"/>
    <col min="11279" max="11279" width="9.140625" style="175"/>
    <col min="11280" max="11280" width="9.42578125" style="175" customWidth="1"/>
    <col min="11281" max="11281" width="8.28515625" style="175" customWidth="1"/>
    <col min="11282" max="11282" width="0.85546875" style="175" customWidth="1"/>
    <col min="11283" max="11283" width="6.28515625" style="175" customWidth="1"/>
    <col min="11284" max="11284" width="4" style="175" customWidth="1"/>
    <col min="11285" max="11285" width="0.42578125" style="175" customWidth="1"/>
    <col min="11286" max="11286" width="4.140625" style="175" customWidth="1"/>
    <col min="11287" max="11287" width="0.42578125" style="175" customWidth="1"/>
    <col min="11288" max="11288" width="8.7109375" style="175" customWidth="1"/>
    <col min="11289" max="11289" width="0.85546875" style="175" customWidth="1"/>
    <col min="11290" max="11290" width="9.140625" style="175"/>
    <col min="11291" max="11291" width="0.42578125" style="175" customWidth="1"/>
    <col min="11292" max="11292" width="0.28515625" style="175" customWidth="1"/>
    <col min="11293" max="11293" width="9.140625" style="175"/>
    <col min="11294" max="11294" width="12" style="175" bestFit="1" customWidth="1"/>
    <col min="11295" max="11296" width="9.140625" style="175"/>
    <col min="11297" max="11297" width="11.5703125" style="175" bestFit="1" customWidth="1"/>
    <col min="11298" max="11298" width="9.85546875" style="175" bestFit="1" customWidth="1"/>
    <col min="11299" max="11299" width="12.85546875" style="175" bestFit="1" customWidth="1"/>
    <col min="11300" max="11300" width="13.28515625" style="175" bestFit="1" customWidth="1"/>
    <col min="11301" max="11301" width="11.5703125" style="175" bestFit="1" customWidth="1"/>
    <col min="11302" max="11302" width="14.140625" style="175" bestFit="1" customWidth="1"/>
    <col min="11303" max="11303" width="10.5703125" style="175" bestFit="1" customWidth="1"/>
    <col min="11304" max="11520" width="9.140625" style="175"/>
    <col min="11521" max="11521" width="0.28515625" style="175" customWidth="1"/>
    <col min="11522" max="11522" width="3.140625" style="175" customWidth="1"/>
    <col min="11523" max="11523" width="3.85546875" style="175" customWidth="1"/>
    <col min="11524" max="11524" width="2.140625" style="175" customWidth="1"/>
    <col min="11525" max="11525" width="0.7109375" style="175" customWidth="1"/>
    <col min="11526" max="11526" width="1.140625" style="175" customWidth="1"/>
    <col min="11527" max="11527" width="9.85546875" style="175" customWidth="1"/>
    <col min="11528" max="11533" width="0" style="175" hidden="1" customWidth="1"/>
    <col min="11534" max="11534" width="0.7109375" style="175" customWidth="1"/>
    <col min="11535" max="11535" width="9.140625" style="175"/>
    <col min="11536" max="11536" width="9.42578125" style="175" customWidth="1"/>
    <col min="11537" max="11537" width="8.28515625" style="175" customWidth="1"/>
    <col min="11538" max="11538" width="0.85546875" style="175" customWidth="1"/>
    <col min="11539" max="11539" width="6.28515625" style="175" customWidth="1"/>
    <col min="11540" max="11540" width="4" style="175" customWidth="1"/>
    <col min="11541" max="11541" width="0.42578125" style="175" customWidth="1"/>
    <col min="11542" max="11542" width="4.140625" style="175" customWidth="1"/>
    <col min="11543" max="11543" width="0.42578125" style="175" customWidth="1"/>
    <col min="11544" max="11544" width="8.7109375" style="175" customWidth="1"/>
    <col min="11545" max="11545" width="0.85546875" style="175" customWidth="1"/>
    <col min="11546" max="11546" width="9.140625" style="175"/>
    <col min="11547" max="11547" width="0.42578125" style="175" customWidth="1"/>
    <col min="11548" max="11548" width="0.28515625" style="175" customWidth="1"/>
    <col min="11549" max="11549" width="9.140625" style="175"/>
    <col min="11550" max="11550" width="12" style="175" bestFit="1" customWidth="1"/>
    <col min="11551" max="11552" width="9.140625" style="175"/>
    <col min="11553" max="11553" width="11.5703125" style="175" bestFit="1" customWidth="1"/>
    <col min="11554" max="11554" width="9.85546875" style="175" bestFit="1" customWidth="1"/>
    <col min="11555" max="11555" width="12.85546875" style="175" bestFit="1" customWidth="1"/>
    <col min="11556" max="11556" width="13.28515625" style="175" bestFit="1" customWidth="1"/>
    <col min="11557" max="11557" width="11.5703125" style="175" bestFit="1" customWidth="1"/>
    <col min="11558" max="11558" width="14.140625" style="175" bestFit="1" customWidth="1"/>
    <col min="11559" max="11559" width="10.5703125" style="175" bestFit="1" customWidth="1"/>
    <col min="11560" max="11776" width="9.140625" style="175"/>
    <col min="11777" max="11777" width="0.28515625" style="175" customWidth="1"/>
    <col min="11778" max="11778" width="3.140625" style="175" customWidth="1"/>
    <col min="11779" max="11779" width="3.85546875" style="175" customWidth="1"/>
    <col min="11780" max="11780" width="2.140625" style="175" customWidth="1"/>
    <col min="11781" max="11781" width="0.7109375" style="175" customWidth="1"/>
    <col min="11782" max="11782" width="1.140625" style="175" customWidth="1"/>
    <col min="11783" max="11783" width="9.85546875" style="175" customWidth="1"/>
    <col min="11784" max="11789" width="0" style="175" hidden="1" customWidth="1"/>
    <col min="11790" max="11790" width="0.7109375" style="175" customWidth="1"/>
    <col min="11791" max="11791" width="9.140625" style="175"/>
    <col min="11792" max="11792" width="9.42578125" style="175" customWidth="1"/>
    <col min="11793" max="11793" width="8.28515625" style="175" customWidth="1"/>
    <col min="11794" max="11794" width="0.85546875" style="175" customWidth="1"/>
    <col min="11795" max="11795" width="6.28515625" style="175" customWidth="1"/>
    <col min="11796" max="11796" width="4" style="175" customWidth="1"/>
    <col min="11797" max="11797" width="0.42578125" style="175" customWidth="1"/>
    <col min="11798" max="11798" width="4.140625" style="175" customWidth="1"/>
    <col min="11799" max="11799" width="0.42578125" style="175" customWidth="1"/>
    <col min="11800" max="11800" width="8.7109375" style="175" customWidth="1"/>
    <col min="11801" max="11801" width="0.85546875" style="175" customWidth="1"/>
    <col min="11802" max="11802" width="9.140625" style="175"/>
    <col min="11803" max="11803" width="0.42578125" style="175" customWidth="1"/>
    <col min="11804" max="11804" width="0.28515625" style="175" customWidth="1"/>
    <col min="11805" max="11805" width="9.140625" style="175"/>
    <col min="11806" max="11806" width="12" style="175" bestFit="1" customWidth="1"/>
    <col min="11807" max="11808" width="9.140625" style="175"/>
    <col min="11809" max="11809" width="11.5703125" style="175" bestFit="1" customWidth="1"/>
    <col min="11810" max="11810" width="9.85546875" style="175" bestFit="1" customWidth="1"/>
    <col min="11811" max="11811" width="12.85546875" style="175" bestFit="1" customWidth="1"/>
    <col min="11812" max="11812" width="13.28515625" style="175" bestFit="1" customWidth="1"/>
    <col min="11813" max="11813" width="11.5703125" style="175" bestFit="1" customWidth="1"/>
    <col min="11814" max="11814" width="14.140625" style="175" bestFit="1" customWidth="1"/>
    <col min="11815" max="11815" width="10.5703125" style="175" bestFit="1" customWidth="1"/>
    <col min="11816" max="12032" width="9.140625" style="175"/>
    <col min="12033" max="12033" width="0.28515625" style="175" customWidth="1"/>
    <col min="12034" max="12034" width="3.140625" style="175" customWidth="1"/>
    <col min="12035" max="12035" width="3.85546875" style="175" customWidth="1"/>
    <col min="12036" max="12036" width="2.140625" style="175" customWidth="1"/>
    <col min="12037" max="12037" width="0.7109375" style="175" customWidth="1"/>
    <col min="12038" max="12038" width="1.140625" style="175" customWidth="1"/>
    <col min="12039" max="12039" width="9.85546875" style="175" customWidth="1"/>
    <col min="12040" max="12045" width="0" style="175" hidden="1" customWidth="1"/>
    <col min="12046" max="12046" width="0.7109375" style="175" customWidth="1"/>
    <col min="12047" max="12047" width="9.140625" style="175"/>
    <col min="12048" max="12048" width="9.42578125" style="175" customWidth="1"/>
    <col min="12049" max="12049" width="8.28515625" style="175" customWidth="1"/>
    <col min="12050" max="12050" width="0.85546875" style="175" customWidth="1"/>
    <col min="12051" max="12051" width="6.28515625" style="175" customWidth="1"/>
    <col min="12052" max="12052" width="4" style="175" customWidth="1"/>
    <col min="12053" max="12053" width="0.42578125" style="175" customWidth="1"/>
    <col min="12054" max="12054" width="4.140625" style="175" customWidth="1"/>
    <col min="12055" max="12055" width="0.42578125" style="175" customWidth="1"/>
    <col min="12056" max="12056" width="8.7109375" style="175" customWidth="1"/>
    <col min="12057" max="12057" width="0.85546875" style="175" customWidth="1"/>
    <col min="12058" max="12058" width="9.140625" style="175"/>
    <col min="12059" max="12059" width="0.42578125" style="175" customWidth="1"/>
    <col min="12060" max="12060" width="0.28515625" style="175" customWidth="1"/>
    <col min="12061" max="12061" width="9.140625" style="175"/>
    <col min="12062" max="12062" width="12" style="175" bestFit="1" customWidth="1"/>
    <col min="12063" max="12064" width="9.140625" style="175"/>
    <col min="12065" max="12065" width="11.5703125" style="175" bestFit="1" customWidth="1"/>
    <col min="12066" max="12066" width="9.85546875" style="175" bestFit="1" customWidth="1"/>
    <col min="12067" max="12067" width="12.85546875" style="175" bestFit="1" customWidth="1"/>
    <col min="12068" max="12068" width="13.28515625" style="175" bestFit="1" customWidth="1"/>
    <col min="12069" max="12069" width="11.5703125" style="175" bestFit="1" customWidth="1"/>
    <col min="12070" max="12070" width="14.140625" style="175" bestFit="1" customWidth="1"/>
    <col min="12071" max="12071" width="10.5703125" style="175" bestFit="1" customWidth="1"/>
    <col min="12072" max="12288" width="9.140625" style="175"/>
    <col min="12289" max="12289" width="0.28515625" style="175" customWidth="1"/>
    <col min="12290" max="12290" width="3.140625" style="175" customWidth="1"/>
    <col min="12291" max="12291" width="3.85546875" style="175" customWidth="1"/>
    <col min="12292" max="12292" width="2.140625" style="175" customWidth="1"/>
    <col min="12293" max="12293" width="0.7109375" style="175" customWidth="1"/>
    <col min="12294" max="12294" width="1.140625" style="175" customWidth="1"/>
    <col min="12295" max="12295" width="9.85546875" style="175" customWidth="1"/>
    <col min="12296" max="12301" width="0" style="175" hidden="1" customWidth="1"/>
    <col min="12302" max="12302" width="0.7109375" style="175" customWidth="1"/>
    <col min="12303" max="12303" width="9.140625" style="175"/>
    <col min="12304" max="12304" width="9.42578125" style="175" customWidth="1"/>
    <col min="12305" max="12305" width="8.28515625" style="175" customWidth="1"/>
    <col min="12306" max="12306" width="0.85546875" style="175" customWidth="1"/>
    <col min="12307" max="12307" width="6.28515625" style="175" customWidth="1"/>
    <col min="12308" max="12308" width="4" style="175" customWidth="1"/>
    <col min="12309" max="12309" width="0.42578125" style="175" customWidth="1"/>
    <col min="12310" max="12310" width="4.140625" style="175" customWidth="1"/>
    <col min="12311" max="12311" width="0.42578125" style="175" customWidth="1"/>
    <col min="12312" max="12312" width="8.7109375" style="175" customWidth="1"/>
    <col min="12313" max="12313" width="0.85546875" style="175" customWidth="1"/>
    <col min="12314" max="12314" width="9.140625" style="175"/>
    <col min="12315" max="12315" width="0.42578125" style="175" customWidth="1"/>
    <col min="12316" max="12316" width="0.28515625" style="175" customWidth="1"/>
    <col min="12317" max="12317" width="9.140625" style="175"/>
    <col min="12318" max="12318" width="12" style="175" bestFit="1" customWidth="1"/>
    <col min="12319" max="12320" width="9.140625" style="175"/>
    <col min="12321" max="12321" width="11.5703125" style="175" bestFit="1" customWidth="1"/>
    <col min="12322" max="12322" width="9.85546875" style="175" bestFit="1" customWidth="1"/>
    <col min="12323" max="12323" width="12.85546875" style="175" bestFit="1" customWidth="1"/>
    <col min="12324" max="12324" width="13.28515625" style="175" bestFit="1" customWidth="1"/>
    <col min="12325" max="12325" width="11.5703125" style="175" bestFit="1" customWidth="1"/>
    <col min="12326" max="12326" width="14.140625" style="175" bestFit="1" customWidth="1"/>
    <col min="12327" max="12327" width="10.5703125" style="175" bestFit="1" customWidth="1"/>
    <col min="12328" max="12544" width="9.140625" style="175"/>
    <col min="12545" max="12545" width="0.28515625" style="175" customWidth="1"/>
    <col min="12546" max="12546" width="3.140625" style="175" customWidth="1"/>
    <col min="12547" max="12547" width="3.85546875" style="175" customWidth="1"/>
    <col min="12548" max="12548" width="2.140625" style="175" customWidth="1"/>
    <col min="12549" max="12549" width="0.7109375" style="175" customWidth="1"/>
    <col min="12550" max="12550" width="1.140625" style="175" customWidth="1"/>
    <col min="12551" max="12551" width="9.85546875" style="175" customWidth="1"/>
    <col min="12552" max="12557" width="0" style="175" hidden="1" customWidth="1"/>
    <col min="12558" max="12558" width="0.7109375" style="175" customWidth="1"/>
    <col min="12559" max="12559" width="9.140625" style="175"/>
    <col min="12560" max="12560" width="9.42578125" style="175" customWidth="1"/>
    <col min="12561" max="12561" width="8.28515625" style="175" customWidth="1"/>
    <col min="12562" max="12562" width="0.85546875" style="175" customWidth="1"/>
    <col min="12563" max="12563" width="6.28515625" style="175" customWidth="1"/>
    <col min="12564" max="12564" width="4" style="175" customWidth="1"/>
    <col min="12565" max="12565" width="0.42578125" style="175" customWidth="1"/>
    <col min="12566" max="12566" width="4.140625" style="175" customWidth="1"/>
    <col min="12567" max="12567" width="0.42578125" style="175" customWidth="1"/>
    <col min="12568" max="12568" width="8.7109375" style="175" customWidth="1"/>
    <col min="12569" max="12569" width="0.85546875" style="175" customWidth="1"/>
    <col min="12570" max="12570" width="9.140625" style="175"/>
    <col min="12571" max="12571" width="0.42578125" style="175" customWidth="1"/>
    <col min="12572" max="12572" width="0.28515625" style="175" customWidth="1"/>
    <col min="12573" max="12573" width="9.140625" style="175"/>
    <col min="12574" max="12574" width="12" style="175" bestFit="1" customWidth="1"/>
    <col min="12575" max="12576" width="9.140625" style="175"/>
    <col min="12577" max="12577" width="11.5703125" style="175" bestFit="1" customWidth="1"/>
    <col min="12578" max="12578" width="9.85546875" style="175" bestFit="1" customWidth="1"/>
    <col min="12579" max="12579" width="12.85546875" style="175" bestFit="1" customWidth="1"/>
    <col min="12580" max="12580" width="13.28515625" style="175" bestFit="1" customWidth="1"/>
    <col min="12581" max="12581" width="11.5703125" style="175" bestFit="1" customWidth="1"/>
    <col min="12582" max="12582" width="14.140625" style="175" bestFit="1" customWidth="1"/>
    <col min="12583" max="12583" width="10.5703125" style="175" bestFit="1" customWidth="1"/>
    <col min="12584" max="12800" width="9.140625" style="175"/>
    <col min="12801" max="12801" width="0.28515625" style="175" customWidth="1"/>
    <col min="12802" max="12802" width="3.140625" style="175" customWidth="1"/>
    <col min="12803" max="12803" width="3.85546875" style="175" customWidth="1"/>
    <col min="12804" max="12804" width="2.140625" style="175" customWidth="1"/>
    <col min="12805" max="12805" width="0.7109375" style="175" customWidth="1"/>
    <col min="12806" max="12806" width="1.140625" style="175" customWidth="1"/>
    <col min="12807" max="12807" width="9.85546875" style="175" customWidth="1"/>
    <col min="12808" max="12813" width="0" style="175" hidden="1" customWidth="1"/>
    <col min="12814" max="12814" width="0.7109375" style="175" customWidth="1"/>
    <col min="12815" max="12815" width="9.140625" style="175"/>
    <col min="12816" max="12816" width="9.42578125" style="175" customWidth="1"/>
    <col min="12817" max="12817" width="8.28515625" style="175" customWidth="1"/>
    <col min="12818" max="12818" width="0.85546875" style="175" customWidth="1"/>
    <col min="12819" max="12819" width="6.28515625" style="175" customWidth="1"/>
    <col min="12820" max="12820" width="4" style="175" customWidth="1"/>
    <col min="12821" max="12821" width="0.42578125" style="175" customWidth="1"/>
    <col min="12822" max="12822" width="4.140625" style="175" customWidth="1"/>
    <col min="12823" max="12823" width="0.42578125" style="175" customWidth="1"/>
    <col min="12824" max="12824" width="8.7109375" style="175" customWidth="1"/>
    <col min="12825" max="12825" width="0.85546875" style="175" customWidth="1"/>
    <col min="12826" max="12826" width="9.140625" style="175"/>
    <col min="12827" max="12827" width="0.42578125" style="175" customWidth="1"/>
    <col min="12828" max="12828" width="0.28515625" style="175" customWidth="1"/>
    <col min="12829" max="12829" width="9.140625" style="175"/>
    <col min="12830" max="12830" width="12" style="175" bestFit="1" customWidth="1"/>
    <col min="12831" max="12832" width="9.140625" style="175"/>
    <col min="12833" max="12833" width="11.5703125" style="175" bestFit="1" customWidth="1"/>
    <col min="12834" max="12834" width="9.85546875" style="175" bestFit="1" customWidth="1"/>
    <col min="12835" max="12835" width="12.85546875" style="175" bestFit="1" customWidth="1"/>
    <col min="12836" max="12836" width="13.28515625" style="175" bestFit="1" customWidth="1"/>
    <col min="12837" max="12837" width="11.5703125" style="175" bestFit="1" customWidth="1"/>
    <col min="12838" max="12838" width="14.140625" style="175" bestFit="1" customWidth="1"/>
    <col min="12839" max="12839" width="10.5703125" style="175" bestFit="1" customWidth="1"/>
    <col min="12840" max="13056" width="9.140625" style="175"/>
    <col min="13057" max="13057" width="0.28515625" style="175" customWidth="1"/>
    <col min="13058" max="13058" width="3.140625" style="175" customWidth="1"/>
    <col min="13059" max="13059" width="3.85546875" style="175" customWidth="1"/>
    <col min="13060" max="13060" width="2.140625" style="175" customWidth="1"/>
    <col min="13061" max="13061" width="0.7109375" style="175" customWidth="1"/>
    <col min="13062" max="13062" width="1.140625" style="175" customWidth="1"/>
    <col min="13063" max="13063" width="9.85546875" style="175" customWidth="1"/>
    <col min="13064" max="13069" width="0" style="175" hidden="1" customWidth="1"/>
    <col min="13070" max="13070" width="0.7109375" style="175" customWidth="1"/>
    <col min="13071" max="13071" width="9.140625" style="175"/>
    <col min="13072" max="13072" width="9.42578125" style="175" customWidth="1"/>
    <col min="13073" max="13073" width="8.28515625" style="175" customWidth="1"/>
    <col min="13074" max="13074" width="0.85546875" style="175" customWidth="1"/>
    <col min="13075" max="13075" width="6.28515625" style="175" customWidth="1"/>
    <col min="13076" max="13076" width="4" style="175" customWidth="1"/>
    <col min="13077" max="13077" width="0.42578125" style="175" customWidth="1"/>
    <col min="13078" max="13078" width="4.140625" style="175" customWidth="1"/>
    <col min="13079" max="13079" width="0.42578125" style="175" customWidth="1"/>
    <col min="13080" max="13080" width="8.7109375" style="175" customWidth="1"/>
    <col min="13081" max="13081" width="0.85546875" style="175" customWidth="1"/>
    <col min="13082" max="13082" width="9.140625" style="175"/>
    <col min="13083" max="13083" width="0.42578125" style="175" customWidth="1"/>
    <col min="13084" max="13084" width="0.28515625" style="175" customWidth="1"/>
    <col min="13085" max="13085" width="9.140625" style="175"/>
    <col min="13086" max="13086" width="12" style="175" bestFit="1" customWidth="1"/>
    <col min="13087" max="13088" width="9.140625" style="175"/>
    <col min="13089" max="13089" width="11.5703125" style="175" bestFit="1" customWidth="1"/>
    <col min="13090" max="13090" width="9.85546875" style="175" bestFit="1" customWidth="1"/>
    <col min="13091" max="13091" width="12.85546875" style="175" bestFit="1" customWidth="1"/>
    <col min="13092" max="13092" width="13.28515625" style="175" bestFit="1" customWidth="1"/>
    <col min="13093" max="13093" width="11.5703125" style="175" bestFit="1" customWidth="1"/>
    <col min="13094" max="13094" width="14.140625" style="175" bestFit="1" customWidth="1"/>
    <col min="13095" max="13095" width="10.5703125" style="175" bestFit="1" customWidth="1"/>
    <col min="13096" max="13312" width="9.140625" style="175"/>
    <col min="13313" max="13313" width="0.28515625" style="175" customWidth="1"/>
    <col min="13314" max="13314" width="3.140625" style="175" customWidth="1"/>
    <col min="13315" max="13315" width="3.85546875" style="175" customWidth="1"/>
    <col min="13316" max="13316" width="2.140625" style="175" customWidth="1"/>
    <col min="13317" max="13317" width="0.7109375" style="175" customWidth="1"/>
    <col min="13318" max="13318" width="1.140625" style="175" customWidth="1"/>
    <col min="13319" max="13319" width="9.85546875" style="175" customWidth="1"/>
    <col min="13320" max="13325" width="0" style="175" hidden="1" customWidth="1"/>
    <col min="13326" max="13326" width="0.7109375" style="175" customWidth="1"/>
    <col min="13327" max="13327" width="9.140625" style="175"/>
    <col min="13328" max="13328" width="9.42578125" style="175" customWidth="1"/>
    <col min="13329" max="13329" width="8.28515625" style="175" customWidth="1"/>
    <col min="13330" max="13330" width="0.85546875" style="175" customWidth="1"/>
    <col min="13331" max="13331" width="6.28515625" style="175" customWidth="1"/>
    <col min="13332" max="13332" width="4" style="175" customWidth="1"/>
    <col min="13333" max="13333" width="0.42578125" style="175" customWidth="1"/>
    <col min="13334" max="13334" width="4.140625" style="175" customWidth="1"/>
    <col min="13335" max="13335" width="0.42578125" style="175" customWidth="1"/>
    <col min="13336" max="13336" width="8.7109375" style="175" customWidth="1"/>
    <col min="13337" max="13337" width="0.85546875" style="175" customWidth="1"/>
    <col min="13338" max="13338" width="9.140625" style="175"/>
    <col min="13339" max="13339" width="0.42578125" style="175" customWidth="1"/>
    <col min="13340" max="13340" width="0.28515625" style="175" customWidth="1"/>
    <col min="13341" max="13341" width="9.140625" style="175"/>
    <col min="13342" max="13342" width="12" style="175" bestFit="1" customWidth="1"/>
    <col min="13343" max="13344" width="9.140625" style="175"/>
    <col min="13345" max="13345" width="11.5703125" style="175" bestFit="1" customWidth="1"/>
    <col min="13346" max="13346" width="9.85546875" style="175" bestFit="1" customWidth="1"/>
    <col min="13347" max="13347" width="12.85546875" style="175" bestFit="1" customWidth="1"/>
    <col min="13348" max="13348" width="13.28515625" style="175" bestFit="1" customWidth="1"/>
    <col min="13349" max="13349" width="11.5703125" style="175" bestFit="1" customWidth="1"/>
    <col min="13350" max="13350" width="14.140625" style="175" bestFit="1" customWidth="1"/>
    <col min="13351" max="13351" width="10.5703125" style="175" bestFit="1" customWidth="1"/>
    <col min="13352" max="13568" width="9.140625" style="175"/>
    <col min="13569" max="13569" width="0.28515625" style="175" customWidth="1"/>
    <col min="13570" max="13570" width="3.140625" style="175" customWidth="1"/>
    <col min="13571" max="13571" width="3.85546875" style="175" customWidth="1"/>
    <col min="13572" max="13572" width="2.140625" style="175" customWidth="1"/>
    <col min="13573" max="13573" width="0.7109375" style="175" customWidth="1"/>
    <col min="13574" max="13574" width="1.140625" style="175" customWidth="1"/>
    <col min="13575" max="13575" width="9.85546875" style="175" customWidth="1"/>
    <col min="13576" max="13581" width="0" style="175" hidden="1" customWidth="1"/>
    <col min="13582" max="13582" width="0.7109375" style="175" customWidth="1"/>
    <col min="13583" max="13583" width="9.140625" style="175"/>
    <col min="13584" max="13584" width="9.42578125" style="175" customWidth="1"/>
    <col min="13585" max="13585" width="8.28515625" style="175" customWidth="1"/>
    <col min="13586" max="13586" width="0.85546875" style="175" customWidth="1"/>
    <col min="13587" max="13587" width="6.28515625" style="175" customWidth="1"/>
    <col min="13588" max="13588" width="4" style="175" customWidth="1"/>
    <col min="13589" max="13589" width="0.42578125" style="175" customWidth="1"/>
    <col min="13590" max="13590" width="4.140625" style="175" customWidth="1"/>
    <col min="13591" max="13591" width="0.42578125" style="175" customWidth="1"/>
    <col min="13592" max="13592" width="8.7109375" style="175" customWidth="1"/>
    <col min="13593" max="13593" width="0.85546875" style="175" customWidth="1"/>
    <col min="13594" max="13594" width="9.140625" style="175"/>
    <col min="13595" max="13595" width="0.42578125" style="175" customWidth="1"/>
    <col min="13596" max="13596" width="0.28515625" style="175" customWidth="1"/>
    <col min="13597" max="13597" width="9.140625" style="175"/>
    <col min="13598" max="13598" width="12" style="175" bestFit="1" customWidth="1"/>
    <col min="13599" max="13600" width="9.140625" style="175"/>
    <col min="13601" max="13601" width="11.5703125" style="175" bestFit="1" customWidth="1"/>
    <col min="13602" max="13602" width="9.85546875" style="175" bestFit="1" customWidth="1"/>
    <col min="13603" max="13603" width="12.85546875" style="175" bestFit="1" customWidth="1"/>
    <col min="13604" max="13604" width="13.28515625" style="175" bestFit="1" customWidth="1"/>
    <col min="13605" max="13605" width="11.5703125" style="175" bestFit="1" customWidth="1"/>
    <col min="13606" max="13606" width="14.140625" style="175" bestFit="1" customWidth="1"/>
    <col min="13607" max="13607" width="10.5703125" style="175" bestFit="1" customWidth="1"/>
    <col min="13608" max="13824" width="9.140625" style="175"/>
    <col min="13825" max="13825" width="0.28515625" style="175" customWidth="1"/>
    <col min="13826" max="13826" width="3.140625" style="175" customWidth="1"/>
    <col min="13827" max="13827" width="3.85546875" style="175" customWidth="1"/>
    <col min="13828" max="13828" width="2.140625" style="175" customWidth="1"/>
    <col min="13829" max="13829" width="0.7109375" style="175" customWidth="1"/>
    <col min="13830" max="13830" width="1.140625" style="175" customWidth="1"/>
    <col min="13831" max="13831" width="9.85546875" style="175" customWidth="1"/>
    <col min="13832" max="13837" width="0" style="175" hidden="1" customWidth="1"/>
    <col min="13838" max="13838" width="0.7109375" style="175" customWidth="1"/>
    <col min="13839" max="13839" width="9.140625" style="175"/>
    <col min="13840" max="13840" width="9.42578125" style="175" customWidth="1"/>
    <col min="13841" max="13841" width="8.28515625" style="175" customWidth="1"/>
    <col min="13842" max="13842" width="0.85546875" style="175" customWidth="1"/>
    <col min="13843" max="13843" width="6.28515625" style="175" customWidth="1"/>
    <col min="13844" max="13844" width="4" style="175" customWidth="1"/>
    <col min="13845" max="13845" width="0.42578125" style="175" customWidth="1"/>
    <col min="13846" max="13846" width="4.140625" style="175" customWidth="1"/>
    <col min="13847" max="13847" width="0.42578125" style="175" customWidth="1"/>
    <col min="13848" max="13848" width="8.7109375" style="175" customWidth="1"/>
    <col min="13849" max="13849" width="0.85546875" style="175" customWidth="1"/>
    <col min="13850" max="13850" width="9.140625" style="175"/>
    <col min="13851" max="13851" width="0.42578125" style="175" customWidth="1"/>
    <col min="13852" max="13852" width="0.28515625" style="175" customWidth="1"/>
    <col min="13853" max="13853" width="9.140625" style="175"/>
    <col min="13854" max="13854" width="12" style="175" bestFit="1" customWidth="1"/>
    <col min="13855" max="13856" width="9.140625" style="175"/>
    <col min="13857" max="13857" width="11.5703125" style="175" bestFit="1" customWidth="1"/>
    <col min="13858" max="13858" width="9.85546875" style="175" bestFit="1" customWidth="1"/>
    <col min="13859" max="13859" width="12.85546875" style="175" bestFit="1" customWidth="1"/>
    <col min="13860" max="13860" width="13.28515625" style="175" bestFit="1" customWidth="1"/>
    <col min="13861" max="13861" width="11.5703125" style="175" bestFit="1" customWidth="1"/>
    <col min="13862" max="13862" width="14.140625" style="175" bestFit="1" customWidth="1"/>
    <col min="13863" max="13863" width="10.5703125" style="175" bestFit="1" customWidth="1"/>
    <col min="13864" max="14080" width="9.140625" style="175"/>
    <col min="14081" max="14081" width="0.28515625" style="175" customWidth="1"/>
    <col min="14082" max="14082" width="3.140625" style="175" customWidth="1"/>
    <col min="14083" max="14083" width="3.85546875" style="175" customWidth="1"/>
    <col min="14084" max="14084" width="2.140625" style="175" customWidth="1"/>
    <col min="14085" max="14085" width="0.7109375" style="175" customWidth="1"/>
    <col min="14086" max="14086" width="1.140625" style="175" customWidth="1"/>
    <col min="14087" max="14087" width="9.85546875" style="175" customWidth="1"/>
    <col min="14088" max="14093" width="0" style="175" hidden="1" customWidth="1"/>
    <col min="14094" max="14094" width="0.7109375" style="175" customWidth="1"/>
    <col min="14095" max="14095" width="9.140625" style="175"/>
    <col min="14096" max="14096" width="9.42578125" style="175" customWidth="1"/>
    <col min="14097" max="14097" width="8.28515625" style="175" customWidth="1"/>
    <col min="14098" max="14098" width="0.85546875" style="175" customWidth="1"/>
    <col min="14099" max="14099" width="6.28515625" style="175" customWidth="1"/>
    <col min="14100" max="14100" width="4" style="175" customWidth="1"/>
    <col min="14101" max="14101" width="0.42578125" style="175" customWidth="1"/>
    <col min="14102" max="14102" width="4.140625" style="175" customWidth="1"/>
    <col min="14103" max="14103" width="0.42578125" style="175" customWidth="1"/>
    <col min="14104" max="14104" width="8.7109375" style="175" customWidth="1"/>
    <col min="14105" max="14105" width="0.85546875" style="175" customWidth="1"/>
    <col min="14106" max="14106" width="9.140625" style="175"/>
    <col min="14107" max="14107" width="0.42578125" style="175" customWidth="1"/>
    <col min="14108" max="14108" width="0.28515625" style="175" customWidth="1"/>
    <col min="14109" max="14109" width="9.140625" style="175"/>
    <col min="14110" max="14110" width="12" style="175" bestFit="1" customWidth="1"/>
    <col min="14111" max="14112" width="9.140625" style="175"/>
    <col min="14113" max="14113" width="11.5703125" style="175" bestFit="1" customWidth="1"/>
    <col min="14114" max="14114" width="9.85546875" style="175" bestFit="1" customWidth="1"/>
    <col min="14115" max="14115" width="12.85546875" style="175" bestFit="1" customWidth="1"/>
    <col min="14116" max="14116" width="13.28515625" style="175" bestFit="1" customWidth="1"/>
    <col min="14117" max="14117" width="11.5703125" style="175" bestFit="1" customWidth="1"/>
    <col min="14118" max="14118" width="14.140625" style="175" bestFit="1" customWidth="1"/>
    <col min="14119" max="14119" width="10.5703125" style="175" bestFit="1" customWidth="1"/>
    <col min="14120" max="14336" width="9.140625" style="175"/>
    <col min="14337" max="14337" width="0.28515625" style="175" customWidth="1"/>
    <col min="14338" max="14338" width="3.140625" style="175" customWidth="1"/>
    <col min="14339" max="14339" width="3.85546875" style="175" customWidth="1"/>
    <col min="14340" max="14340" width="2.140625" style="175" customWidth="1"/>
    <col min="14341" max="14341" width="0.7109375" style="175" customWidth="1"/>
    <col min="14342" max="14342" width="1.140625" style="175" customWidth="1"/>
    <col min="14343" max="14343" width="9.85546875" style="175" customWidth="1"/>
    <col min="14344" max="14349" width="0" style="175" hidden="1" customWidth="1"/>
    <col min="14350" max="14350" width="0.7109375" style="175" customWidth="1"/>
    <col min="14351" max="14351" width="9.140625" style="175"/>
    <col min="14352" max="14352" width="9.42578125" style="175" customWidth="1"/>
    <col min="14353" max="14353" width="8.28515625" style="175" customWidth="1"/>
    <col min="14354" max="14354" width="0.85546875" style="175" customWidth="1"/>
    <col min="14355" max="14355" width="6.28515625" style="175" customWidth="1"/>
    <col min="14356" max="14356" width="4" style="175" customWidth="1"/>
    <col min="14357" max="14357" width="0.42578125" style="175" customWidth="1"/>
    <col min="14358" max="14358" width="4.140625" style="175" customWidth="1"/>
    <col min="14359" max="14359" width="0.42578125" style="175" customWidth="1"/>
    <col min="14360" max="14360" width="8.7109375" style="175" customWidth="1"/>
    <col min="14361" max="14361" width="0.85546875" style="175" customWidth="1"/>
    <col min="14362" max="14362" width="9.140625" style="175"/>
    <col min="14363" max="14363" width="0.42578125" style="175" customWidth="1"/>
    <col min="14364" max="14364" width="0.28515625" style="175" customWidth="1"/>
    <col min="14365" max="14365" width="9.140625" style="175"/>
    <col min="14366" max="14366" width="12" style="175" bestFit="1" customWidth="1"/>
    <col min="14367" max="14368" width="9.140625" style="175"/>
    <col min="14369" max="14369" width="11.5703125" style="175" bestFit="1" customWidth="1"/>
    <col min="14370" max="14370" width="9.85546875" style="175" bestFit="1" customWidth="1"/>
    <col min="14371" max="14371" width="12.85546875" style="175" bestFit="1" customWidth="1"/>
    <col min="14372" max="14372" width="13.28515625" style="175" bestFit="1" customWidth="1"/>
    <col min="14373" max="14373" width="11.5703125" style="175" bestFit="1" customWidth="1"/>
    <col min="14374" max="14374" width="14.140625" style="175" bestFit="1" customWidth="1"/>
    <col min="14375" max="14375" width="10.5703125" style="175" bestFit="1" customWidth="1"/>
    <col min="14376" max="14592" width="9.140625" style="175"/>
    <col min="14593" max="14593" width="0.28515625" style="175" customWidth="1"/>
    <col min="14594" max="14594" width="3.140625" style="175" customWidth="1"/>
    <col min="14595" max="14595" width="3.85546875" style="175" customWidth="1"/>
    <col min="14596" max="14596" width="2.140625" style="175" customWidth="1"/>
    <col min="14597" max="14597" width="0.7109375" style="175" customWidth="1"/>
    <col min="14598" max="14598" width="1.140625" style="175" customWidth="1"/>
    <col min="14599" max="14599" width="9.85546875" style="175" customWidth="1"/>
    <col min="14600" max="14605" width="0" style="175" hidden="1" customWidth="1"/>
    <col min="14606" max="14606" width="0.7109375" style="175" customWidth="1"/>
    <col min="14607" max="14607" width="9.140625" style="175"/>
    <col min="14608" max="14608" width="9.42578125" style="175" customWidth="1"/>
    <col min="14609" max="14609" width="8.28515625" style="175" customWidth="1"/>
    <col min="14610" max="14610" width="0.85546875" style="175" customWidth="1"/>
    <col min="14611" max="14611" width="6.28515625" style="175" customWidth="1"/>
    <col min="14612" max="14612" width="4" style="175" customWidth="1"/>
    <col min="14613" max="14613" width="0.42578125" style="175" customWidth="1"/>
    <col min="14614" max="14614" width="4.140625" style="175" customWidth="1"/>
    <col min="14615" max="14615" width="0.42578125" style="175" customWidth="1"/>
    <col min="14616" max="14616" width="8.7109375" style="175" customWidth="1"/>
    <col min="14617" max="14617" width="0.85546875" style="175" customWidth="1"/>
    <col min="14618" max="14618" width="9.140625" style="175"/>
    <col min="14619" max="14619" width="0.42578125" style="175" customWidth="1"/>
    <col min="14620" max="14620" width="0.28515625" style="175" customWidth="1"/>
    <col min="14621" max="14621" width="9.140625" style="175"/>
    <col min="14622" max="14622" width="12" style="175" bestFit="1" customWidth="1"/>
    <col min="14623" max="14624" width="9.140625" style="175"/>
    <col min="14625" max="14625" width="11.5703125" style="175" bestFit="1" customWidth="1"/>
    <col min="14626" max="14626" width="9.85546875" style="175" bestFit="1" customWidth="1"/>
    <col min="14627" max="14627" width="12.85546875" style="175" bestFit="1" customWidth="1"/>
    <col min="14628" max="14628" width="13.28515625" style="175" bestFit="1" customWidth="1"/>
    <col min="14629" max="14629" width="11.5703125" style="175" bestFit="1" customWidth="1"/>
    <col min="14630" max="14630" width="14.140625" style="175" bestFit="1" customWidth="1"/>
    <col min="14631" max="14631" width="10.5703125" style="175" bestFit="1" customWidth="1"/>
    <col min="14632" max="14848" width="9.140625" style="175"/>
    <col min="14849" max="14849" width="0.28515625" style="175" customWidth="1"/>
    <col min="14850" max="14850" width="3.140625" style="175" customWidth="1"/>
    <col min="14851" max="14851" width="3.85546875" style="175" customWidth="1"/>
    <col min="14852" max="14852" width="2.140625" style="175" customWidth="1"/>
    <col min="14853" max="14853" width="0.7109375" style="175" customWidth="1"/>
    <col min="14854" max="14854" width="1.140625" style="175" customWidth="1"/>
    <col min="14855" max="14855" width="9.85546875" style="175" customWidth="1"/>
    <col min="14856" max="14861" width="0" style="175" hidden="1" customWidth="1"/>
    <col min="14862" max="14862" width="0.7109375" style="175" customWidth="1"/>
    <col min="14863" max="14863" width="9.140625" style="175"/>
    <col min="14864" max="14864" width="9.42578125" style="175" customWidth="1"/>
    <col min="14865" max="14865" width="8.28515625" style="175" customWidth="1"/>
    <col min="14866" max="14866" width="0.85546875" style="175" customWidth="1"/>
    <col min="14867" max="14867" width="6.28515625" style="175" customWidth="1"/>
    <col min="14868" max="14868" width="4" style="175" customWidth="1"/>
    <col min="14869" max="14869" width="0.42578125" style="175" customWidth="1"/>
    <col min="14870" max="14870" width="4.140625" style="175" customWidth="1"/>
    <col min="14871" max="14871" width="0.42578125" style="175" customWidth="1"/>
    <col min="14872" max="14872" width="8.7109375" style="175" customWidth="1"/>
    <col min="14873" max="14873" width="0.85546875" style="175" customWidth="1"/>
    <col min="14874" max="14874" width="9.140625" style="175"/>
    <col min="14875" max="14875" width="0.42578125" style="175" customWidth="1"/>
    <col min="14876" max="14876" width="0.28515625" style="175" customWidth="1"/>
    <col min="14877" max="14877" width="9.140625" style="175"/>
    <col min="14878" max="14878" width="12" style="175" bestFit="1" customWidth="1"/>
    <col min="14879" max="14880" width="9.140625" style="175"/>
    <col min="14881" max="14881" width="11.5703125" style="175" bestFit="1" customWidth="1"/>
    <col min="14882" max="14882" width="9.85546875" style="175" bestFit="1" customWidth="1"/>
    <col min="14883" max="14883" width="12.85546875" style="175" bestFit="1" customWidth="1"/>
    <col min="14884" max="14884" width="13.28515625" style="175" bestFit="1" customWidth="1"/>
    <col min="14885" max="14885" width="11.5703125" style="175" bestFit="1" customWidth="1"/>
    <col min="14886" max="14886" width="14.140625" style="175" bestFit="1" customWidth="1"/>
    <col min="14887" max="14887" width="10.5703125" style="175" bestFit="1" customWidth="1"/>
    <col min="14888" max="15104" width="9.140625" style="175"/>
    <col min="15105" max="15105" width="0.28515625" style="175" customWidth="1"/>
    <col min="15106" max="15106" width="3.140625" style="175" customWidth="1"/>
    <col min="15107" max="15107" width="3.85546875" style="175" customWidth="1"/>
    <col min="15108" max="15108" width="2.140625" style="175" customWidth="1"/>
    <col min="15109" max="15109" width="0.7109375" style="175" customWidth="1"/>
    <col min="15110" max="15110" width="1.140625" style="175" customWidth="1"/>
    <col min="15111" max="15111" width="9.85546875" style="175" customWidth="1"/>
    <col min="15112" max="15117" width="0" style="175" hidden="1" customWidth="1"/>
    <col min="15118" max="15118" width="0.7109375" style="175" customWidth="1"/>
    <col min="15119" max="15119" width="9.140625" style="175"/>
    <col min="15120" max="15120" width="9.42578125" style="175" customWidth="1"/>
    <col min="15121" max="15121" width="8.28515625" style="175" customWidth="1"/>
    <col min="15122" max="15122" width="0.85546875" style="175" customWidth="1"/>
    <col min="15123" max="15123" width="6.28515625" style="175" customWidth="1"/>
    <col min="15124" max="15124" width="4" style="175" customWidth="1"/>
    <col min="15125" max="15125" width="0.42578125" style="175" customWidth="1"/>
    <col min="15126" max="15126" width="4.140625" style="175" customWidth="1"/>
    <col min="15127" max="15127" width="0.42578125" style="175" customWidth="1"/>
    <col min="15128" max="15128" width="8.7109375" style="175" customWidth="1"/>
    <col min="15129" max="15129" width="0.85546875" style="175" customWidth="1"/>
    <col min="15130" max="15130" width="9.140625" style="175"/>
    <col min="15131" max="15131" width="0.42578125" style="175" customWidth="1"/>
    <col min="15132" max="15132" width="0.28515625" style="175" customWidth="1"/>
    <col min="15133" max="15133" width="9.140625" style="175"/>
    <col min="15134" max="15134" width="12" style="175" bestFit="1" customWidth="1"/>
    <col min="15135" max="15136" width="9.140625" style="175"/>
    <col min="15137" max="15137" width="11.5703125" style="175" bestFit="1" customWidth="1"/>
    <col min="15138" max="15138" width="9.85546875" style="175" bestFit="1" customWidth="1"/>
    <col min="15139" max="15139" width="12.85546875" style="175" bestFit="1" customWidth="1"/>
    <col min="15140" max="15140" width="13.28515625" style="175" bestFit="1" customWidth="1"/>
    <col min="15141" max="15141" width="11.5703125" style="175" bestFit="1" customWidth="1"/>
    <col min="15142" max="15142" width="14.140625" style="175" bestFit="1" customWidth="1"/>
    <col min="15143" max="15143" width="10.5703125" style="175" bestFit="1" customWidth="1"/>
    <col min="15144" max="15360" width="9.140625" style="175"/>
    <col min="15361" max="15361" width="0.28515625" style="175" customWidth="1"/>
    <col min="15362" max="15362" width="3.140625" style="175" customWidth="1"/>
    <col min="15363" max="15363" width="3.85546875" style="175" customWidth="1"/>
    <col min="15364" max="15364" width="2.140625" style="175" customWidth="1"/>
    <col min="15365" max="15365" width="0.7109375" style="175" customWidth="1"/>
    <col min="15366" max="15366" width="1.140625" style="175" customWidth="1"/>
    <col min="15367" max="15367" width="9.85546875" style="175" customWidth="1"/>
    <col min="15368" max="15373" width="0" style="175" hidden="1" customWidth="1"/>
    <col min="15374" max="15374" width="0.7109375" style="175" customWidth="1"/>
    <col min="15375" max="15375" width="9.140625" style="175"/>
    <col min="15376" max="15376" width="9.42578125" style="175" customWidth="1"/>
    <col min="15377" max="15377" width="8.28515625" style="175" customWidth="1"/>
    <col min="15378" max="15378" width="0.85546875" style="175" customWidth="1"/>
    <col min="15379" max="15379" width="6.28515625" style="175" customWidth="1"/>
    <col min="15380" max="15380" width="4" style="175" customWidth="1"/>
    <col min="15381" max="15381" width="0.42578125" style="175" customWidth="1"/>
    <col min="15382" max="15382" width="4.140625" style="175" customWidth="1"/>
    <col min="15383" max="15383" width="0.42578125" style="175" customWidth="1"/>
    <col min="15384" max="15384" width="8.7109375" style="175" customWidth="1"/>
    <col min="15385" max="15385" width="0.85546875" style="175" customWidth="1"/>
    <col min="15386" max="15386" width="9.140625" style="175"/>
    <col min="15387" max="15387" width="0.42578125" style="175" customWidth="1"/>
    <col min="15388" max="15388" width="0.28515625" style="175" customWidth="1"/>
    <col min="15389" max="15389" width="9.140625" style="175"/>
    <col min="15390" max="15390" width="12" style="175" bestFit="1" customWidth="1"/>
    <col min="15391" max="15392" width="9.140625" style="175"/>
    <col min="15393" max="15393" width="11.5703125" style="175" bestFit="1" customWidth="1"/>
    <col min="15394" max="15394" width="9.85546875" style="175" bestFit="1" customWidth="1"/>
    <col min="15395" max="15395" width="12.85546875" style="175" bestFit="1" customWidth="1"/>
    <col min="15396" max="15396" width="13.28515625" style="175" bestFit="1" customWidth="1"/>
    <col min="15397" max="15397" width="11.5703125" style="175" bestFit="1" customWidth="1"/>
    <col min="15398" max="15398" width="14.140625" style="175" bestFit="1" customWidth="1"/>
    <col min="15399" max="15399" width="10.5703125" style="175" bestFit="1" customWidth="1"/>
    <col min="15400" max="15616" width="9.140625" style="175"/>
    <col min="15617" max="15617" width="0.28515625" style="175" customWidth="1"/>
    <col min="15618" max="15618" width="3.140625" style="175" customWidth="1"/>
    <col min="15619" max="15619" width="3.85546875" style="175" customWidth="1"/>
    <col min="15620" max="15620" width="2.140625" style="175" customWidth="1"/>
    <col min="15621" max="15621" width="0.7109375" style="175" customWidth="1"/>
    <col min="15622" max="15622" width="1.140625" style="175" customWidth="1"/>
    <col min="15623" max="15623" width="9.85546875" style="175" customWidth="1"/>
    <col min="15624" max="15629" width="0" style="175" hidden="1" customWidth="1"/>
    <col min="15630" max="15630" width="0.7109375" style="175" customWidth="1"/>
    <col min="15631" max="15631" width="9.140625" style="175"/>
    <col min="15632" max="15632" width="9.42578125" style="175" customWidth="1"/>
    <col min="15633" max="15633" width="8.28515625" style="175" customWidth="1"/>
    <col min="15634" max="15634" width="0.85546875" style="175" customWidth="1"/>
    <col min="15635" max="15635" width="6.28515625" style="175" customWidth="1"/>
    <col min="15636" max="15636" width="4" style="175" customWidth="1"/>
    <col min="15637" max="15637" width="0.42578125" style="175" customWidth="1"/>
    <col min="15638" max="15638" width="4.140625" style="175" customWidth="1"/>
    <col min="15639" max="15639" width="0.42578125" style="175" customWidth="1"/>
    <col min="15640" max="15640" width="8.7109375" style="175" customWidth="1"/>
    <col min="15641" max="15641" width="0.85546875" style="175" customWidth="1"/>
    <col min="15642" max="15642" width="9.140625" style="175"/>
    <col min="15643" max="15643" width="0.42578125" style="175" customWidth="1"/>
    <col min="15644" max="15644" width="0.28515625" style="175" customWidth="1"/>
    <col min="15645" max="15645" width="9.140625" style="175"/>
    <col min="15646" max="15646" width="12" style="175" bestFit="1" customWidth="1"/>
    <col min="15647" max="15648" width="9.140625" style="175"/>
    <col min="15649" max="15649" width="11.5703125" style="175" bestFit="1" customWidth="1"/>
    <col min="15650" max="15650" width="9.85546875" style="175" bestFit="1" customWidth="1"/>
    <col min="15651" max="15651" width="12.85546875" style="175" bestFit="1" customWidth="1"/>
    <col min="15652" max="15652" width="13.28515625" style="175" bestFit="1" customWidth="1"/>
    <col min="15653" max="15653" width="11.5703125" style="175" bestFit="1" customWidth="1"/>
    <col min="15654" max="15654" width="14.140625" style="175" bestFit="1" customWidth="1"/>
    <col min="15655" max="15655" width="10.5703125" style="175" bestFit="1" customWidth="1"/>
    <col min="15656" max="15872" width="9.140625" style="175"/>
    <col min="15873" max="15873" width="0.28515625" style="175" customWidth="1"/>
    <col min="15874" max="15874" width="3.140625" style="175" customWidth="1"/>
    <col min="15875" max="15875" width="3.85546875" style="175" customWidth="1"/>
    <col min="15876" max="15876" width="2.140625" style="175" customWidth="1"/>
    <col min="15877" max="15877" width="0.7109375" style="175" customWidth="1"/>
    <col min="15878" max="15878" width="1.140625" style="175" customWidth="1"/>
    <col min="15879" max="15879" width="9.85546875" style="175" customWidth="1"/>
    <col min="15880" max="15885" width="0" style="175" hidden="1" customWidth="1"/>
    <col min="15886" max="15886" width="0.7109375" style="175" customWidth="1"/>
    <col min="15887" max="15887" width="9.140625" style="175"/>
    <col min="15888" max="15888" width="9.42578125" style="175" customWidth="1"/>
    <col min="15889" max="15889" width="8.28515625" style="175" customWidth="1"/>
    <col min="15890" max="15890" width="0.85546875" style="175" customWidth="1"/>
    <col min="15891" max="15891" width="6.28515625" style="175" customWidth="1"/>
    <col min="15892" max="15892" width="4" style="175" customWidth="1"/>
    <col min="15893" max="15893" width="0.42578125" style="175" customWidth="1"/>
    <col min="15894" max="15894" width="4.140625" style="175" customWidth="1"/>
    <col min="15895" max="15895" width="0.42578125" style="175" customWidth="1"/>
    <col min="15896" max="15896" width="8.7109375" style="175" customWidth="1"/>
    <col min="15897" max="15897" width="0.85546875" style="175" customWidth="1"/>
    <col min="15898" max="15898" width="9.140625" style="175"/>
    <col min="15899" max="15899" width="0.42578125" style="175" customWidth="1"/>
    <col min="15900" max="15900" width="0.28515625" style="175" customWidth="1"/>
    <col min="15901" max="15901" width="9.140625" style="175"/>
    <col min="15902" max="15902" width="12" style="175" bestFit="1" customWidth="1"/>
    <col min="15903" max="15904" width="9.140625" style="175"/>
    <col min="15905" max="15905" width="11.5703125" style="175" bestFit="1" customWidth="1"/>
    <col min="15906" max="15906" width="9.85546875" style="175" bestFit="1" customWidth="1"/>
    <col min="15907" max="15907" width="12.85546875" style="175" bestFit="1" customWidth="1"/>
    <col min="15908" max="15908" width="13.28515625" style="175" bestFit="1" customWidth="1"/>
    <col min="15909" max="15909" width="11.5703125" style="175" bestFit="1" customWidth="1"/>
    <col min="15910" max="15910" width="14.140625" style="175" bestFit="1" customWidth="1"/>
    <col min="15911" max="15911" width="10.5703125" style="175" bestFit="1" customWidth="1"/>
    <col min="15912" max="16128" width="9.140625" style="175"/>
    <col min="16129" max="16129" width="0.28515625" style="175" customWidth="1"/>
    <col min="16130" max="16130" width="3.140625" style="175" customWidth="1"/>
    <col min="16131" max="16131" width="3.85546875" style="175" customWidth="1"/>
    <col min="16132" max="16132" width="2.140625" style="175" customWidth="1"/>
    <col min="16133" max="16133" width="0.7109375" style="175" customWidth="1"/>
    <col min="16134" max="16134" width="1.140625" style="175" customWidth="1"/>
    <col min="16135" max="16135" width="9.85546875" style="175" customWidth="1"/>
    <col min="16136" max="16141" width="0" style="175" hidden="1" customWidth="1"/>
    <col min="16142" max="16142" width="0.7109375" style="175" customWidth="1"/>
    <col min="16143" max="16143" width="9.140625" style="175"/>
    <col min="16144" max="16144" width="9.42578125" style="175" customWidth="1"/>
    <col min="16145" max="16145" width="8.28515625" style="175" customWidth="1"/>
    <col min="16146" max="16146" width="0.85546875" style="175" customWidth="1"/>
    <col min="16147" max="16147" width="6.28515625" style="175" customWidth="1"/>
    <col min="16148" max="16148" width="4" style="175" customWidth="1"/>
    <col min="16149" max="16149" width="0.42578125" style="175" customWidth="1"/>
    <col min="16150" max="16150" width="4.140625" style="175" customWidth="1"/>
    <col min="16151" max="16151" width="0.42578125" style="175" customWidth="1"/>
    <col min="16152" max="16152" width="8.7109375" style="175" customWidth="1"/>
    <col min="16153" max="16153" width="0.85546875" style="175" customWidth="1"/>
    <col min="16154" max="16154" width="9.140625" style="175"/>
    <col min="16155" max="16155" width="0.42578125" style="175" customWidth="1"/>
    <col min="16156" max="16156" width="0.28515625" style="175" customWidth="1"/>
    <col min="16157" max="16157" width="9.140625" style="175"/>
    <col min="16158" max="16158" width="12" style="175" bestFit="1" customWidth="1"/>
    <col min="16159" max="16160" width="9.140625" style="175"/>
    <col min="16161" max="16161" width="11.5703125" style="175" bestFit="1" customWidth="1"/>
    <col min="16162" max="16162" width="9.85546875" style="175" bestFit="1" customWidth="1"/>
    <col min="16163" max="16163" width="12.85546875" style="175" bestFit="1" customWidth="1"/>
    <col min="16164" max="16164" width="13.28515625" style="175" bestFit="1" customWidth="1"/>
    <col min="16165" max="16165" width="11.5703125" style="175" bestFit="1" customWidth="1"/>
    <col min="16166" max="16166" width="14.140625" style="175" bestFit="1" customWidth="1"/>
    <col min="16167" max="16167" width="10.5703125" style="175" bestFit="1" customWidth="1"/>
    <col min="16168" max="16384" width="9.140625" style="175"/>
  </cols>
  <sheetData>
    <row r="1" spans="1:37" ht="19.899999999999999" customHeight="1">
      <c r="I1" s="309" t="s">
        <v>416</v>
      </c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</row>
    <row r="2" spans="1:37" ht="33.6" customHeight="1"/>
    <row r="3" spans="1:37" ht="8.4499999999999993" customHeight="1">
      <c r="V3" s="276"/>
      <c r="W3" s="276"/>
      <c r="X3" s="276"/>
    </row>
    <row r="4" spans="1:37" ht="0.75" customHeight="1">
      <c r="B4" s="277" t="s">
        <v>417</v>
      </c>
      <c r="C4" s="277"/>
      <c r="V4" s="276"/>
      <c r="W4" s="276"/>
      <c r="X4" s="276"/>
    </row>
    <row r="5" spans="1:37" ht="3" customHeight="1">
      <c r="B5" s="277"/>
      <c r="C5" s="277"/>
      <c r="F5" s="278">
        <v>10013</v>
      </c>
      <c r="G5" s="278"/>
      <c r="H5" s="278"/>
      <c r="I5" s="278"/>
      <c r="V5" s="276"/>
      <c r="W5" s="276"/>
      <c r="X5" s="276"/>
    </row>
    <row r="6" spans="1:37" ht="8.4499999999999993" customHeight="1">
      <c r="B6" s="277"/>
      <c r="C6" s="277"/>
      <c r="F6" s="278"/>
      <c r="G6" s="278"/>
      <c r="H6" s="278"/>
      <c r="I6" s="278"/>
    </row>
    <row r="7" spans="1:37" ht="0.75" customHeight="1">
      <c r="F7" s="278"/>
      <c r="G7" s="278"/>
      <c r="H7" s="278"/>
      <c r="I7" s="278"/>
    </row>
    <row r="8" spans="1:37" ht="5.45" customHeight="1">
      <c r="S8" s="279"/>
      <c r="T8" s="279"/>
      <c r="U8" s="279"/>
      <c r="V8" s="279"/>
      <c r="W8" s="279"/>
      <c r="X8" s="279"/>
      <c r="Y8" s="279"/>
      <c r="Z8" s="279"/>
    </row>
    <row r="9" spans="1:37" ht="0.75" customHeight="1">
      <c r="A9" s="277" t="s">
        <v>418</v>
      </c>
      <c r="B9" s="277"/>
      <c r="C9" s="277"/>
      <c r="S9" s="279"/>
      <c r="T9" s="279"/>
      <c r="U9" s="279"/>
      <c r="V9" s="279"/>
      <c r="W9" s="279"/>
      <c r="X9" s="279"/>
      <c r="Y9" s="279"/>
      <c r="Z9" s="279"/>
    </row>
    <row r="10" spans="1:37" ht="7.7" customHeight="1">
      <c r="A10" s="277"/>
      <c r="B10" s="277"/>
      <c r="C10" s="277"/>
      <c r="F10" s="278" t="s">
        <v>42</v>
      </c>
      <c r="G10" s="278"/>
      <c r="H10" s="278"/>
      <c r="I10" s="278"/>
      <c r="J10" s="278"/>
      <c r="K10" s="278"/>
      <c r="L10" s="278"/>
      <c r="M10" s="278"/>
      <c r="N10" s="278"/>
      <c r="S10" s="279"/>
      <c r="T10" s="279"/>
      <c r="U10" s="279"/>
      <c r="V10" s="279"/>
      <c r="W10" s="279"/>
      <c r="X10" s="279"/>
      <c r="Y10" s="279"/>
      <c r="Z10" s="279"/>
    </row>
    <row r="11" spans="1:37" ht="3.75" customHeight="1">
      <c r="A11" s="277"/>
      <c r="B11" s="277"/>
      <c r="C11" s="277"/>
      <c r="F11" s="278"/>
      <c r="G11" s="278"/>
      <c r="H11" s="278"/>
      <c r="I11" s="278"/>
      <c r="J11" s="278"/>
      <c r="K11" s="278"/>
      <c r="L11" s="278"/>
      <c r="M11" s="278"/>
      <c r="N11" s="278"/>
    </row>
    <row r="12" spans="1:37" ht="0.75" customHeight="1">
      <c r="F12" s="278"/>
      <c r="G12" s="278"/>
      <c r="H12" s="278"/>
      <c r="I12" s="278"/>
      <c r="J12" s="278"/>
      <c r="K12" s="278"/>
      <c r="L12" s="278"/>
      <c r="M12" s="278"/>
      <c r="N12" s="278"/>
    </row>
    <row r="13" spans="1:37" ht="9.1999999999999993" customHeight="1"/>
    <row r="14" spans="1:37" ht="18.399999999999999" customHeight="1">
      <c r="A14" s="271" t="s">
        <v>298</v>
      </c>
      <c r="B14" s="272"/>
      <c r="C14" s="272"/>
      <c r="D14" s="272"/>
      <c r="E14" s="272"/>
      <c r="F14" s="272"/>
      <c r="G14" s="273"/>
      <c r="H14" s="271" t="s">
        <v>299</v>
      </c>
      <c r="I14" s="272"/>
      <c r="J14" s="273"/>
      <c r="K14" s="271" t="s">
        <v>300</v>
      </c>
      <c r="L14" s="272"/>
      <c r="M14" s="273"/>
      <c r="N14" s="274" t="s">
        <v>419</v>
      </c>
      <c r="O14" s="275"/>
      <c r="P14" s="135" t="s">
        <v>420</v>
      </c>
      <c r="Q14" s="136" t="s">
        <v>421</v>
      </c>
      <c r="R14" s="271" t="s">
        <v>422</v>
      </c>
      <c r="S14" s="273"/>
      <c r="T14" s="271" t="s">
        <v>413</v>
      </c>
      <c r="U14" s="272"/>
      <c r="V14" s="273"/>
      <c r="W14" s="271" t="s">
        <v>423</v>
      </c>
      <c r="X14" s="272"/>
      <c r="Y14" s="273"/>
      <c r="Z14" s="271" t="s">
        <v>424</v>
      </c>
      <c r="AA14" s="272"/>
      <c r="AB14" s="273"/>
      <c r="AD14" s="203" t="s">
        <v>425</v>
      </c>
      <c r="AE14" s="203" t="s">
        <v>426</v>
      </c>
      <c r="AF14" s="203" t="s">
        <v>427</v>
      </c>
      <c r="AG14" s="203" t="s">
        <v>428</v>
      </c>
      <c r="AH14" s="175" t="s">
        <v>45</v>
      </c>
      <c r="AI14" s="176" t="s">
        <v>301</v>
      </c>
      <c r="AJ14" s="177" t="s">
        <v>12</v>
      </c>
    </row>
    <row r="15" spans="1:37" ht="3" customHeight="1"/>
    <row r="16" spans="1:37" ht="14.45" customHeight="1">
      <c r="A16" s="259">
        <v>46204</v>
      </c>
      <c r="B16" s="260"/>
      <c r="C16" s="260"/>
      <c r="D16" s="260"/>
      <c r="E16" s="260"/>
      <c r="F16" s="260"/>
      <c r="G16" s="261"/>
      <c r="H16" s="266">
        <v>0.32291666666666669</v>
      </c>
      <c r="I16" s="280"/>
      <c r="J16" s="281"/>
      <c r="K16" s="266">
        <v>0.66666666666666663</v>
      </c>
      <c r="L16" s="280"/>
      <c r="M16" s="281"/>
      <c r="N16" s="262">
        <v>0.30138888888888887</v>
      </c>
      <c r="O16" s="257"/>
      <c r="P16" s="200">
        <v>0.68402777777777779</v>
      </c>
      <c r="Q16" s="199"/>
      <c r="R16" s="256"/>
      <c r="S16" s="257"/>
      <c r="T16" s="262">
        <v>1.0416666666666666E-2</v>
      </c>
      <c r="U16" s="258"/>
      <c r="V16" s="257"/>
      <c r="W16" s="262">
        <v>0.35069444444444442</v>
      </c>
      <c r="X16" s="258"/>
      <c r="Y16" s="257"/>
      <c r="Z16" s="262">
        <v>0.38263888888888892</v>
      </c>
      <c r="AA16" s="258"/>
      <c r="AB16" s="257"/>
      <c r="AJ16" s="176"/>
      <c r="AK16" s="179"/>
    </row>
    <row r="17" spans="1:31" ht="14.45" customHeight="1">
      <c r="A17" s="259">
        <v>46205</v>
      </c>
      <c r="B17" s="260"/>
      <c r="C17" s="260"/>
      <c r="D17" s="260"/>
      <c r="E17" s="260"/>
      <c r="F17" s="260"/>
      <c r="G17" s="261"/>
      <c r="H17" s="204"/>
      <c r="I17" s="205"/>
      <c r="J17" s="206"/>
      <c r="K17" s="204"/>
      <c r="L17" s="205"/>
      <c r="M17" s="206"/>
      <c r="N17" s="262">
        <v>0.30416666666666664</v>
      </c>
      <c r="O17" s="257"/>
      <c r="P17" s="200">
        <v>0.68055555555555547</v>
      </c>
      <c r="Q17" s="199"/>
      <c r="R17" s="256"/>
      <c r="S17" s="257"/>
      <c r="T17" s="262">
        <v>6.9444444444444441E-3</v>
      </c>
      <c r="U17" s="258"/>
      <c r="V17" s="257"/>
      <c r="W17" s="262">
        <v>0.35069444444444442</v>
      </c>
      <c r="X17" s="258"/>
      <c r="Y17" s="257"/>
      <c r="Z17" s="262">
        <v>0.3756944444444445</v>
      </c>
      <c r="AA17" s="258"/>
      <c r="AB17" s="257"/>
    </row>
    <row r="18" spans="1:31" ht="14.45" customHeight="1">
      <c r="A18" s="259">
        <v>46206</v>
      </c>
      <c r="B18" s="260"/>
      <c r="C18" s="260"/>
      <c r="D18" s="260"/>
      <c r="E18" s="260"/>
      <c r="F18" s="260"/>
      <c r="G18" s="261"/>
      <c r="H18" s="266">
        <v>0.32291666666666669</v>
      </c>
      <c r="I18" s="280"/>
      <c r="J18" s="281"/>
      <c r="K18" s="266">
        <v>0.625</v>
      </c>
      <c r="L18" s="280"/>
      <c r="M18" s="281"/>
      <c r="N18" s="262">
        <v>0.30277777777777776</v>
      </c>
      <c r="O18" s="257"/>
      <c r="P18" s="200">
        <v>0.76250000000000007</v>
      </c>
      <c r="Q18" s="199"/>
      <c r="R18" s="256"/>
      <c r="S18" s="257"/>
      <c r="T18" s="262">
        <v>8.8888888888888892E-2</v>
      </c>
      <c r="U18" s="258"/>
      <c r="V18" s="257"/>
      <c r="W18" s="262">
        <v>0.35069444444444442</v>
      </c>
      <c r="X18" s="258"/>
      <c r="Y18" s="257"/>
      <c r="Z18" s="262">
        <v>0.4597222222222222</v>
      </c>
      <c r="AA18" s="258"/>
      <c r="AB18" s="257"/>
      <c r="AD18" s="203">
        <v>1</v>
      </c>
      <c r="AE18" s="203">
        <v>1</v>
      </c>
    </row>
    <row r="19" spans="1:31" ht="14.45" customHeight="1">
      <c r="A19" s="259">
        <v>46207</v>
      </c>
      <c r="B19" s="260"/>
      <c r="C19" s="260"/>
      <c r="D19" s="260"/>
      <c r="E19" s="260"/>
      <c r="F19" s="260"/>
      <c r="G19" s="261"/>
      <c r="H19" s="266">
        <v>0.32291666666666669</v>
      </c>
      <c r="I19" s="280"/>
      <c r="J19" s="281"/>
      <c r="K19" s="266">
        <v>0.66666666666666663</v>
      </c>
      <c r="L19" s="280"/>
      <c r="M19" s="281"/>
      <c r="N19" s="262">
        <v>0.2986111111111111</v>
      </c>
      <c r="O19" s="257"/>
      <c r="P19" s="200">
        <v>0.68263888888888891</v>
      </c>
      <c r="Q19" s="199"/>
      <c r="R19" s="256"/>
      <c r="S19" s="257"/>
      <c r="T19" s="262">
        <v>5.0694444444444452E-2</v>
      </c>
      <c r="U19" s="258"/>
      <c r="V19" s="257"/>
      <c r="W19" s="262">
        <v>0.30902777777777779</v>
      </c>
      <c r="X19" s="258"/>
      <c r="Y19" s="257"/>
      <c r="Z19" s="262">
        <v>0.3833333333333333</v>
      </c>
      <c r="AA19" s="258"/>
      <c r="AB19" s="257"/>
      <c r="AD19" s="203">
        <v>1</v>
      </c>
    </row>
    <row r="20" spans="1:31" ht="14.45" customHeight="1">
      <c r="A20" s="263">
        <v>46208</v>
      </c>
      <c r="B20" s="264"/>
      <c r="C20" s="264"/>
      <c r="D20" s="264"/>
      <c r="E20" s="264"/>
      <c r="F20" s="264"/>
      <c r="G20" s="265"/>
      <c r="H20" s="266">
        <v>0.32291666666666669</v>
      </c>
      <c r="I20" s="280"/>
      <c r="J20" s="281"/>
      <c r="K20" s="266">
        <v>0.66666666666666663</v>
      </c>
      <c r="L20" s="280"/>
      <c r="M20" s="281"/>
      <c r="N20" s="256"/>
      <c r="O20" s="257"/>
      <c r="P20" s="199"/>
      <c r="Q20" s="199"/>
      <c r="R20" s="256"/>
      <c r="S20" s="257"/>
      <c r="T20" s="256"/>
      <c r="U20" s="258"/>
      <c r="V20" s="257"/>
      <c r="W20" s="256"/>
      <c r="X20" s="258"/>
      <c r="Y20" s="257"/>
      <c r="Z20" s="256"/>
      <c r="AA20" s="258"/>
      <c r="AB20" s="257"/>
    </row>
    <row r="21" spans="1:31" ht="14.45" customHeight="1">
      <c r="A21" s="259">
        <v>46209</v>
      </c>
      <c r="B21" s="260"/>
      <c r="C21" s="260"/>
      <c r="D21" s="260"/>
      <c r="E21" s="260"/>
      <c r="F21" s="260"/>
      <c r="G21" s="261"/>
      <c r="H21" s="310">
        <v>0.32291666666666669</v>
      </c>
      <c r="I21" s="311"/>
      <c r="J21" s="312"/>
      <c r="K21" s="310">
        <v>0.66666666666666663</v>
      </c>
      <c r="L21" s="311"/>
      <c r="M21" s="312"/>
      <c r="N21" s="262">
        <v>0.30555555555555552</v>
      </c>
      <c r="O21" s="257"/>
      <c r="P21" s="200">
        <v>0.69513888888888886</v>
      </c>
      <c r="Q21" s="199"/>
      <c r="R21" s="256"/>
      <c r="S21" s="257"/>
      <c r="T21" s="262">
        <v>2.1527777777777781E-2</v>
      </c>
      <c r="U21" s="258"/>
      <c r="V21" s="257"/>
      <c r="W21" s="262">
        <v>0.35069444444444442</v>
      </c>
      <c r="X21" s="258"/>
      <c r="Y21" s="257"/>
      <c r="Z21" s="262">
        <v>0.3888888888888889</v>
      </c>
      <c r="AA21" s="258"/>
      <c r="AB21" s="257"/>
    </row>
    <row r="22" spans="1:31" ht="14.45" customHeight="1">
      <c r="A22" s="259">
        <v>46210</v>
      </c>
      <c r="B22" s="260"/>
      <c r="C22" s="260"/>
      <c r="D22" s="260"/>
      <c r="E22" s="260"/>
      <c r="F22" s="260"/>
      <c r="G22" s="261"/>
      <c r="H22" s="305">
        <v>0.32291666666666669</v>
      </c>
      <c r="I22" s="306"/>
      <c r="J22" s="306"/>
      <c r="K22" s="305">
        <v>0.66666666666666663</v>
      </c>
      <c r="L22" s="306"/>
      <c r="M22" s="306"/>
      <c r="N22" s="262">
        <v>0.29722222222222222</v>
      </c>
      <c r="O22" s="257"/>
      <c r="P22" s="200">
        <v>0.68888888888888899</v>
      </c>
      <c r="Q22" s="199"/>
      <c r="R22" s="256"/>
      <c r="S22" s="257"/>
      <c r="T22" s="262">
        <v>1.5277777777777777E-2</v>
      </c>
      <c r="U22" s="258"/>
      <c r="V22" s="257"/>
      <c r="W22" s="262">
        <v>0.35069444444444442</v>
      </c>
      <c r="X22" s="258"/>
      <c r="Y22" s="257"/>
      <c r="Z22" s="262">
        <v>0.39166666666666666</v>
      </c>
      <c r="AA22" s="258"/>
      <c r="AB22" s="257"/>
    </row>
    <row r="23" spans="1:31" ht="14.45" customHeight="1">
      <c r="A23" s="259">
        <v>46211</v>
      </c>
      <c r="B23" s="260"/>
      <c r="C23" s="260"/>
      <c r="D23" s="260"/>
      <c r="E23" s="260"/>
      <c r="F23" s="260"/>
      <c r="G23" s="261"/>
      <c r="H23" s="305">
        <v>0.32291666666666669</v>
      </c>
      <c r="I23" s="306"/>
      <c r="J23" s="306"/>
      <c r="K23" s="305">
        <v>0.66666666666666663</v>
      </c>
      <c r="L23" s="306"/>
      <c r="M23" s="306"/>
      <c r="N23" s="262">
        <v>0.30972222222222223</v>
      </c>
      <c r="O23" s="257"/>
      <c r="P23" s="200">
        <v>0.68402777777777779</v>
      </c>
      <c r="Q23" s="199"/>
      <c r="R23" s="256"/>
      <c r="S23" s="257"/>
      <c r="T23" s="262">
        <v>1.0416666666666666E-2</v>
      </c>
      <c r="U23" s="258"/>
      <c r="V23" s="257"/>
      <c r="W23" s="262">
        <v>0.35069444444444442</v>
      </c>
      <c r="X23" s="258"/>
      <c r="Y23" s="257"/>
      <c r="Z23" s="262">
        <v>0.37361111111111112</v>
      </c>
      <c r="AA23" s="258"/>
      <c r="AB23" s="257"/>
    </row>
    <row r="24" spans="1:31" ht="14.45" customHeight="1">
      <c r="A24" s="259">
        <v>46212</v>
      </c>
      <c r="B24" s="260"/>
      <c r="C24" s="260"/>
      <c r="D24" s="260"/>
      <c r="E24" s="260"/>
      <c r="F24" s="260"/>
      <c r="G24" s="261"/>
      <c r="H24" s="207"/>
      <c r="I24" s="208"/>
      <c r="J24" s="208"/>
      <c r="K24" s="207"/>
      <c r="L24" s="208"/>
      <c r="M24" s="208"/>
      <c r="N24" s="262">
        <v>0.3034722222222222</v>
      </c>
      <c r="O24" s="257"/>
      <c r="P24" s="200">
        <v>0.68333333333333324</v>
      </c>
      <c r="Q24" s="199"/>
      <c r="R24" s="256"/>
      <c r="S24" s="257"/>
      <c r="T24" s="262">
        <v>9.7222222222222224E-3</v>
      </c>
      <c r="U24" s="258"/>
      <c r="V24" s="257"/>
      <c r="W24" s="262">
        <v>0.35069444444444442</v>
      </c>
      <c r="X24" s="258"/>
      <c r="Y24" s="257"/>
      <c r="Z24" s="262">
        <v>0.37986111111111115</v>
      </c>
      <c r="AA24" s="258"/>
      <c r="AB24" s="257"/>
    </row>
    <row r="25" spans="1:31" ht="14.45" customHeight="1">
      <c r="A25" s="259">
        <v>46213</v>
      </c>
      <c r="B25" s="260"/>
      <c r="C25" s="260"/>
      <c r="D25" s="260"/>
      <c r="E25" s="260"/>
      <c r="F25" s="260"/>
      <c r="G25" s="261"/>
      <c r="H25" s="207"/>
      <c r="I25" s="208"/>
      <c r="J25" s="208"/>
      <c r="K25" s="207"/>
      <c r="L25" s="208"/>
      <c r="M25" s="208"/>
      <c r="N25" s="262">
        <v>0.30277777777777776</v>
      </c>
      <c r="O25" s="257"/>
      <c r="P25" s="200">
        <v>0.68888888888888899</v>
      </c>
      <c r="Q25" s="199"/>
      <c r="R25" s="256"/>
      <c r="S25" s="257"/>
      <c r="T25" s="262">
        <v>1.5277777777777777E-2</v>
      </c>
      <c r="U25" s="258"/>
      <c r="V25" s="257"/>
      <c r="W25" s="262">
        <v>0.35069444444444442</v>
      </c>
      <c r="X25" s="258"/>
      <c r="Y25" s="257"/>
      <c r="Z25" s="262">
        <v>0.38611111111111113</v>
      </c>
      <c r="AA25" s="258"/>
      <c r="AB25" s="257"/>
    </row>
    <row r="26" spans="1:31" ht="14.45" customHeight="1">
      <c r="A26" s="259">
        <v>46214</v>
      </c>
      <c r="B26" s="260"/>
      <c r="C26" s="260"/>
      <c r="D26" s="260"/>
      <c r="E26" s="260"/>
      <c r="F26" s="260"/>
      <c r="G26" s="261"/>
      <c r="H26" s="207"/>
      <c r="I26" s="208"/>
      <c r="J26" s="208"/>
      <c r="K26" s="207"/>
      <c r="L26" s="208"/>
      <c r="M26" s="208"/>
      <c r="N26" s="262">
        <v>0.30069444444444443</v>
      </c>
      <c r="O26" s="257"/>
      <c r="P26" s="200">
        <v>0.69166666666666676</v>
      </c>
      <c r="Q26" s="199"/>
      <c r="R26" s="256"/>
      <c r="S26" s="257"/>
      <c r="T26" s="262">
        <v>5.9722222222222225E-2</v>
      </c>
      <c r="U26" s="258"/>
      <c r="V26" s="257"/>
      <c r="W26" s="262">
        <v>0.30902777777777779</v>
      </c>
      <c r="X26" s="258"/>
      <c r="Y26" s="257"/>
      <c r="Z26" s="262">
        <v>0.39027777777777778</v>
      </c>
      <c r="AA26" s="258"/>
      <c r="AB26" s="257"/>
      <c r="AD26" s="203">
        <v>1</v>
      </c>
    </row>
    <row r="27" spans="1:31" ht="14.45" customHeight="1">
      <c r="A27" s="263">
        <v>46215</v>
      </c>
      <c r="B27" s="264"/>
      <c r="C27" s="264"/>
      <c r="D27" s="264"/>
      <c r="E27" s="264"/>
      <c r="F27" s="264"/>
      <c r="G27" s="265"/>
      <c r="H27" s="204"/>
      <c r="I27" s="205"/>
      <c r="J27" s="206"/>
      <c r="K27" s="204"/>
      <c r="L27" s="205"/>
      <c r="M27" s="206"/>
      <c r="N27" s="256"/>
      <c r="O27" s="257"/>
      <c r="P27" s="199"/>
      <c r="Q27" s="199"/>
      <c r="R27" s="256"/>
      <c r="S27" s="257"/>
      <c r="T27" s="256"/>
      <c r="U27" s="258"/>
      <c r="V27" s="257"/>
      <c r="W27" s="256"/>
      <c r="X27" s="258"/>
      <c r="Y27" s="257"/>
      <c r="Z27" s="256"/>
      <c r="AA27" s="258"/>
      <c r="AB27" s="257"/>
    </row>
    <row r="28" spans="1:31" ht="14.45" customHeight="1">
      <c r="A28" s="259">
        <v>46216</v>
      </c>
      <c r="B28" s="260"/>
      <c r="C28" s="260"/>
      <c r="D28" s="260"/>
      <c r="E28" s="260"/>
      <c r="F28" s="260"/>
      <c r="G28" s="261"/>
      <c r="H28" s="266">
        <v>0.32291666666666669</v>
      </c>
      <c r="I28" s="280"/>
      <c r="J28" s="281"/>
      <c r="K28" s="266">
        <v>0.66666666666666663</v>
      </c>
      <c r="L28" s="280"/>
      <c r="M28" s="281"/>
      <c r="N28" s="262">
        <v>0.2951388888888889</v>
      </c>
      <c r="O28" s="257"/>
      <c r="P28" s="200">
        <v>0.78611111111111109</v>
      </c>
      <c r="Q28" s="199"/>
      <c r="R28" s="256"/>
      <c r="S28" s="257"/>
      <c r="T28" s="262">
        <v>0.1125</v>
      </c>
      <c r="U28" s="258"/>
      <c r="V28" s="257"/>
      <c r="W28" s="262">
        <v>0.35069444444444442</v>
      </c>
      <c r="X28" s="258"/>
      <c r="Y28" s="257"/>
      <c r="Z28" s="262">
        <v>0.49027777777777781</v>
      </c>
      <c r="AA28" s="258"/>
      <c r="AB28" s="257"/>
      <c r="AD28" s="203">
        <v>1</v>
      </c>
      <c r="AE28" s="203">
        <v>1</v>
      </c>
    </row>
    <row r="29" spans="1:31" ht="14.45" customHeight="1">
      <c r="A29" s="259">
        <v>46217</v>
      </c>
      <c r="B29" s="260"/>
      <c r="C29" s="260"/>
      <c r="D29" s="260"/>
      <c r="E29" s="260"/>
      <c r="F29" s="260"/>
      <c r="G29" s="261"/>
      <c r="H29" s="266">
        <v>0.32291666666666669</v>
      </c>
      <c r="I29" s="280"/>
      <c r="J29" s="281"/>
      <c r="K29" s="266">
        <v>0.625</v>
      </c>
      <c r="L29" s="280"/>
      <c r="M29" s="281"/>
      <c r="N29" s="262">
        <v>0.3</v>
      </c>
      <c r="O29" s="257"/>
      <c r="P29" s="200">
        <v>0.68402777777777779</v>
      </c>
      <c r="Q29" s="199"/>
      <c r="R29" s="256"/>
      <c r="S29" s="257"/>
      <c r="T29" s="262">
        <v>1.0416666666666666E-2</v>
      </c>
      <c r="U29" s="258"/>
      <c r="V29" s="257"/>
      <c r="W29" s="262">
        <v>0.35069444444444442</v>
      </c>
      <c r="X29" s="258"/>
      <c r="Y29" s="257"/>
      <c r="Z29" s="262">
        <v>0.3840277777777778</v>
      </c>
      <c r="AA29" s="258"/>
      <c r="AB29" s="257"/>
    </row>
    <row r="30" spans="1:31" ht="14.45" customHeight="1">
      <c r="A30" s="259">
        <v>46218</v>
      </c>
      <c r="B30" s="260"/>
      <c r="C30" s="260"/>
      <c r="D30" s="260"/>
      <c r="E30" s="260"/>
      <c r="F30" s="260"/>
      <c r="G30" s="261"/>
      <c r="H30" s="266">
        <v>0.32291666666666669</v>
      </c>
      <c r="I30" s="280"/>
      <c r="J30" s="281"/>
      <c r="K30" s="266">
        <v>0.66666666666666663</v>
      </c>
      <c r="L30" s="280"/>
      <c r="M30" s="281"/>
      <c r="N30" s="262">
        <v>0.30069444444444443</v>
      </c>
      <c r="O30" s="257"/>
      <c r="P30" s="200">
        <v>0.68888888888888899</v>
      </c>
      <c r="Q30" s="199"/>
      <c r="R30" s="256"/>
      <c r="S30" s="257"/>
      <c r="T30" s="262">
        <v>1.5277777777777777E-2</v>
      </c>
      <c r="U30" s="258"/>
      <c r="V30" s="257"/>
      <c r="W30" s="262">
        <v>0.35069444444444442</v>
      </c>
      <c r="X30" s="258"/>
      <c r="Y30" s="257"/>
      <c r="Z30" s="262">
        <v>0.38819444444444445</v>
      </c>
      <c r="AA30" s="258"/>
      <c r="AB30" s="257"/>
    </row>
    <row r="31" spans="1:31" ht="14.45" customHeight="1">
      <c r="A31" s="259">
        <v>46219</v>
      </c>
      <c r="B31" s="260"/>
      <c r="C31" s="260"/>
      <c r="D31" s="260"/>
      <c r="E31" s="260"/>
      <c r="F31" s="260"/>
      <c r="G31" s="261"/>
      <c r="H31" s="266">
        <v>0.32291666666666669</v>
      </c>
      <c r="I31" s="280"/>
      <c r="J31" s="281"/>
      <c r="K31" s="266">
        <v>0.66666666666666663</v>
      </c>
      <c r="L31" s="280"/>
      <c r="M31" s="281"/>
      <c r="N31" s="262">
        <v>0.29722222222222222</v>
      </c>
      <c r="O31" s="257"/>
      <c r="P31" s="200">
        <v>0.68263888888888891</v>
      </c>
      <c r="Q31" s="199"/>
      <c r="R31" s="256"/>
      <c r="S31" s="257"/>
      <c r="T31" s="262">
        <v>9.0277777777777787E-3</v>
      </c>
      <c r="U31" s="258"/>
      <c r="V31" s="257"/>
      <c r="W31" s="262">
        <v>0.35069444444444442</v>
      </c>
      <c r="X31" s="258"/>
      <c r="Y31" s="257"/>
      <c r="Z31" s="262">
        <v>0.38541666666666669</v>
      </c>
      <c r="AA31" s="258"/>
      <c r="AB31" s="257"/>
    </row>
    <row r="32" spans="1:31" ht="14.45" customHeight="1">
      <c r="A32" s="259">
        <v>46220</v>
      </c>
      <c r="B32" s="260"/>
      <c r="C32" s="260"/>
      <c r="D32" s="260"/>
      <c r="E32" s="260"/>
      <c r="F32" s="260"/>
      <c r="G32" s="261"/>
      <c r="H32" s="266">
        <v>0.32291666666666669</v>
      </c>
      <c r="I32" s="280"/>
      <c r="J32" s="281"/>
      <c r="K32" s="266">
        <v>0.66666666666666663</v>
      </c>
      <c r="L32" s="280"/>
      <c r="M32" s="281"/>
      <c r="N32" s="262">
        <v>0.29930555555555555</v>
      </c>
      <c r="O32" s="257"/>
      <c r="P32" s="200">
        <v>0.76180555555555562</v>
      </c>
      <c r="Q32" s="199"/>
      <c r="R32" s="256"/>
      <c r="S32" s="257"/>
      <c r="T32" s="262">
        <v>8.819444444444445E-2</v>
      </c>
      <c r="U32" s="258"/>
      <c r="V32" s="257"/>
      <c r="W32" s="262">
        <v>0.35069444444444442</v>
      </c>
      <c r="X32" s="258"/>
      <c r="Y32" s="257"/>
      <c r="Z32" s="262">
        <v>0.46249999999999997</v>
      </c>
      <c r="AA32" s="258"/>
      <c r="AB32" s="257"/>
      <c r="AD32" s="203">
        <v>1</v>
      </c>
      <c r="AE32" s="203">
        <v>1</v>
      </c>
    </row>
    <row r="33" spans="1:36" ht="14.45" customHeight="1">
      <c r="A33" s="259">
        <v>46221</v>
      </c>
      <c r="B33" s="260"/>
      <c r="C33" s="260"/>
      <c r="D33" s="260"/>
      <c r="E33" s="260"/>
      <c r="F33" s="260"/>
      <c r="G33" s="261"/>
      <c r="H33" s="266">
        <v>0.32291666666666669</v>
      </c>
      <c r="I33" s="280"/>
      <c r="J33" s="281"/>
      <c r="K33" s="266">
        <v>0.66666666666666663</v>
      </c>
      <c r="L33" s="280"/>
      <c r="M33" s="281"/>
      <c r="N33" s="262">
        <v>0.30624999999999997</v>
      </c>
      <c r="O33" s="257"/>
      <c r="P33" s="200">
        <v>0.68402777777777779</v>
      </c>
      <c r="Q33" s="199"/>
      <c r="R33" s="256"/>
      <c r="S33" s="257"/>
      <c r="T33" s="262">
        <v>5.2083333333333336E-2</v>
      </c>
      <c r="U33" s="258"/>
      <c r="V33" s="257"/>
      <c r="W33" s="262">
        <v>0.30902777777777779</v>
      </c>
      <c r="X33" s="258"/>
      <c r="Y33" s="257"/>
      <c r="Z33" s="262">
        <v>0.37708333333333338</v>
      </c>
      <c r="AA33" s="258"/>
      <c r="AB33" s="257"/>
      <c r="AD33" s="203">
        <v>1</v>
      </c>
    </row>
    <row r="34" spans="1:36" ht="14.45" customHeight="1">
      <c r="A34" s="263">
        <v>46222</v>
      </c>
      <c r="B34" s="264"/>
      <c r="C34" s="264"/>
      <c r="D34" s="264"/>
      <c r="E34" s="264"/>
      <c r="F34" s="264"/>
      <c r="G34" s="265"/>
      <c r="H34" s="266">
        <v>0.32291666666666669</v>
      </c>
      <c r="I34" s="280"/>
      <c r="J34" s="281"/>
      <c r="K34" s="266">
        <v>0.66666666666666663</v>
      </c>
      <c r="L34" s="280"/>
      <c r="M34" s="281"/>
      <c r="N34" s="256"/>
      <c r="O34" s="257"/>
      <c r="P34" s="199"/>
      <c r="Q34" s="199"/>
      <c r="R34" s="256"/>
      <c r="S34" s="257"/>
      <c r="T34" s="256"/>
      <c r="U34" s="258"/>
      <c r="V34" s="257"/>
      <c r="W34" s="256"/>
      <c r="X34" s="258"/>
      <c r="Y34" s="257"/>
      <c r="Z34" s="256"/>
      <c r="AA34" s="258"/>
      <c r="AB34" s="257"/>
    </row>
    <row r="35" spans="1:36" ht="14.45" customHeight="1">
      <c r="A35" s="259">
        <v>46223</v>
      </c>
      <c r="B35" s="260"/>
      <c r="C35" s="260"/>
      <c r="D35" s="260"/>
      <c r="E35" s="260"/>
      <c r="F35" s="260"/>
      <c r="G35" s="261"/>
      <c r="H35" s="266">
        <v>0.32291666666666669</v>
      </c>
      <c r="I35" s="280"/>
      <c r="J35" s="281"/>
      <c r="K35" s="266">
        <v>0.66666666666666663</v>
      </c>
      <c r="L35" s="280"/>
      <c r="M35" s="281"/>
      <c r="N35" s="262">
        <v>0.30208333333333331</v>
      </c>
      <c r="O35" s="257"/>
      <c r="P35" s="200">
        <v>0.68333333333333324</v>
      </c>
      <c r="Q35" s="199"/>
      <c r="R35" s="256"/>
      <c r="S35" s="257"/>
      <c r="T35" s="262">
        <v>9.7222222222222224E-3</v>
      </c>
      <c r="U35" s="258"/>
      <c r="V35" s="257"/>
      <c r="W35" s="262">
        <v>0.35069444444444442</v>
      </c>
      <c r="X35" s="258"/>
      <c r="Y35" s="257"/>
      <c r="Z35" s="262">
        <v>0.38055555555555554</v>
      </c>
      <c r="AA35" s="258"/>
      <c r="AB35" s="257"/>
    </row>
    <row r="36" spans="1:36" ht="14.45" customHeight="1">
      <c r="A36" s="259">
        <v>46224</v>
      </c>
      <c r="B36" s="260"/>
      <c r="C36" s="260"/>
      <c r="D36" s="260"/>
      <c r="E36" s="260"/>
      <c r="F36" s="260"/>
      <c r="G36" s="261"/>
      <c r="H36" s="266">
        <v>0.32291666666666669</v>
      </c>
      <c r="I36" s="280"/>
      <c r="J36" s="281"/>
      <c r="K36" s="266">
        <v>0.625</v>
      </c>
      <c r="L36" s="280"/>
      <c r="M36" s="281"/>
      <c r="N36" s="262">
        <v>0.30486111111111108</v>
      </c>
      <c r="O36" s="257"/>
      <c r="P36" s="200">
        <v>0.68819444444444444</v>
      </c>
      <c r="Q36" s="199"/>
      <c r="R36" s="256"/>
      <c r="S36" s="257"/>
      <c r="T36" s="262">
        <v>1.4583333333333332E-2</v>
      </c>
      <c r="U36" s="258"/>
      <c r="V36" s="257"/>
      <c r="W36" s="262">
        <v>0.35069444444444442</v>
      </c>
      <c r="X36" s="258"/>
      <c r="Y36" s="257"/>
      <c r="Z36" s="262">
        <v>0.38263888888888892</v>
      </c>
      <c r="AA36" s="258"/>
      <c r="AB36" s="257"/>
    </row>
    <row r="37" spans="1:36" ht="14.45" customHeight="1">
      <c r="A37" s="259">
        <v>46225</v>
      </c>
      <c r="B37" s="260"/>
      <c r="C37" s="260"/>
      <c r="D37" s="260"/>
      <c r="E37" s="260"/>
      <c r="F37" s="260"/>
      <c r="G37" s="261"/>
      <c r="H37" s="266">
        <v>0.32291666666666669</v>
      </c>
      <c r="I37" s="280"/>
      <c r="J37" s="281"/>
      <c r="K37" s="266">
        <v>0.66666666666666663</v>
      </c>
      <c r="L37" s="280"/>
      <c r="M37" s="281"/>
      <c r="N37" s="262">
        <v>0.3</v>
      </c>
      <c r="O37" s="257"/>
      <c r="P37" s="200">
        <v>0.68194444444444446</v>
      </c>
      <c r="Q37" s="199"/>
      <c r="R37" s="256"/>
      <c r="S37" s="257"/>
      <c r="T37" s="262">
        <v>8.3333333333333332E-3</v>
      </c>
      <c r="U37" s="258"/>
      <c r="V37" s="257"/>
      <c r="W37" s="262">
        <v>0.35069444444444442</v>
      </c>
      <c r="X37" s="258"/>
      <c r="Y37" s="257"/>
      <c r="Z37" s="262">
        <v>0.38194444444444442</v>
      </c>
      <c r="AA37" s="258"/>
      <c r="AB37" s="257"/>
    </row>
    <row r="38" spans="1:36" ht="14.45" customHeight="1">
      <c r="A38" s="259">
        <v>46226</v>
      </c>
      <c r="B38" s="260"/>
      <c r="C38" s="260"/>
      <c r="D38" s="260"/>
      <c r="E38" s="260"/>
      <c r="F38" s="260"/>
      <c r="G38" s="261"/>
      <c r="H38" s="266">
        <v>0.32291666666666669</v>
      </c>
      <c r="I38" s="280"/>
      <c r="J38" s="281"/>
      <c r="K38" s="266">
        <v>0.66666666666666663</v>
      </c>
      <c r="L38" s="280"/>
      <c r="M38" s="281"/>
      <c r="N38" s="262">
        <v>0.30138888888888887</v>
      </c>
      <c r="O38" s="257"/>
      <c r="P38" s="200">
        <v>0.70000000000000007</v>
      </c>
      <c r="Q38" s="199"/>
      <c r="R38" s="256"/>
      <c r="S38" s="257"/>
      <c r="T38" s="262">
        <v>2.6388888888888889E-2</v>
      </c>
      <c r="U38" s="258"/>
      <c r="V38" s="257"/>
      <c r="W38" s="262">
        <v>0.35069444444444442</v>
      </c>
      <c r="X38" s="258"/>
      <c r="Y38" s="257"/>
      <c r="Z38" s="262">
        <v>0.39861111111111108</v>
      </c>
      <c r="AA38" s="258"/>
      <c r="AB38" s="257"/>
    </row>
    <row r="39" spans="1:36" ht="14.45" customHeight="1">
      <c r="A39" s="259">
        <v>46227</v>
      </c>
      <c r="B39" s="260"/>
      <c r="C39" s="260"/>
      <c r="D39" s="260"/>
      <c r="E39" s="260"/>
      <c r="F39" s="260"/>
      <c r="G39" s="261"/>
      <c r="H39" s="266">
        <v>0.32291666666666669</v>
      </c>
      <c r="I39" s="280"/>
      <c r="J39" s="281"/>
      <c r="K39" s="266">
        <v>0.66666666666666663</v>
      </c>
      <c r="L39" s="280"/>
      <c r="M39" s="281"/>
      <c r="N39" s="262">
        <v>0.30069444444444443</v>
      </c>
      <c r="O39" s="257"/>
      <c r="P39" s="200">
        <v>0.70972222222222225</v>
      </c>
      <c r="Q39" s="199"/>
      <c r="R39" s="256"/>
      <c r="S39" s="257"/>
      <c r="T39" s="262">
        <v>3.6111111111111115E-2</v>
      </c>
      <c r="U39" s="258"/>
      <c r="V39" s="257"/>
      <c r="W39" s="262">
        <v>0.35069444444444442</v>
      </c>
      <c r="X39" s="258"/>
      <c r="Y39" s="257"/>
      <c r="Z39" s="262">
        <v>0.40833333333333338</v>
      </c>
      <c r="AA39" s="258"/>
      <c r="AB39" s="257"/>
    </row>
    <row r="40" spans="1:36" ht="14.45" customHeight="1">
      <c r="A40" s="259">
        <v>46228</v>
      </c>
      <c r="B40" s="260"/>
      <c r="C40" s="260"/>
      <c r="D40" s="260"/>
      <c r="E40" s="260"/>
      <c r="F40" s="260"/>
      <c r="G40" s="261"/>
      <c r="H40" s="204"/>
      <c r="I40" s="205"/>
      <c r="J40" s="206"/>
      <c r="K40" s="204"/>
      <c r="L40" s="205"/>
      <c r="M40" s="206"/>
      <c r="N40" s="262">
        <v>0.30277777777777776</v>
      </c>
      <c r="O40" s="257"/>
      <c r="P40" s="200">
        <v>0.6972222222222223</v>
      </c>
      <c r="Q40" s="199"/>
      <c r="R40" s="256"/>
      <c r="S40" s="257"/>
      <c r="T40" s="262">
        <v>6.5277777777777782E-2</v>
      </c>
      <c r="U40" s="258"/>
      <c r="V40" s="257"/>
      <c r="W40" s="262">
        <v>0.30902777777777779</v>
      </c>
      <c r="X40" s="258"/>
      <c r="Y40" s="257"/>
      <c r="Z40" s="262">
        <v>0.39374999999999999</v>
      </c>
      <c r="AA40" s="258"/>
      <c r="AB40" s="257"/>
      <c r="AD40" s="203">
        <v>1</v>
      </c>
    </row>
    <row r="41" spans="1:36" ht="14.45" customHeight="1">
      <c r="A41" s="263">
        <v>46229</v>
      </c>
      <c r="B41" s="264"/>
      <c r="C41" s="264"/>
      <c r="D41" s="264"/>
      <c r="E41" s="264"/>
      <c r="F41" s="264"/>
      <c r="G41" s="265"/>
      <c r="H41" s="204"/>
      <c r="I41" s="205"/>
      <c r="J41" s="206"/>
      <c r="K41" s="204"/>
      <c r="L41" s="205"/>
      <c r="M41" s="206"/>
      <c r="N41" s="256"/>
      <c r="O41" s="257"/>
      <c r="P41" s="199"/>
      <c r="Q41" s="199"/>
      <c r="R41" s="256"/>
      <c r="S41" s="257"/>
      <c r="T41" s="256"/>
      <c r="U41" s="258"/>
      <c r="V41" s="257"/>
      <c r="W41" s="256"/>
      <c r="X41" s="258"/>
      <c r="Y41" s="257"/>
      <c r="Z41" s="256"/>
      <c r="AA41" s="258"/>
      <c r="AB41" s="257"/>
    </row>
    <row r="42" spans="1:36" ht="14.45" customHeight="1">
      <c r="A42" s="259">
        <v>46230</v>
      </c>
      <c r="B42" s="260"/>
      <c r="C42" s="260"/>
      <c r="D42" s="260"/>
      <c r="E42" s="260"/>
      <c r="F42" s="260"/>
      <c r="G42" s="261"/>
      <c r="H42" s="204"/>
      <c r="I42" s="205"/>
      <c r="J42" s="206"/>
      <c r="K42" s="204"/>
      <c r="L42" s="205"/>
      <c r="M42" s="206"/>
      <c r="N42" s="262">
        <v>0.3</v>
      </c>
      <c r="O42" s="257"/>
      <c r="P42" s="200">
        <v>0.70000000000000007</v>
      </c>
      <c r="Q42" s="199"/>
      <c r="R42" s="256"/>
      <c r="S42" s="257"/>
      <c r="T42" s="262">
        <v>2.6388888888888889E-2</v>
      </c>
      <c r="U42" s="258"/>
      <c r="V42" s="257"/>
      <c r="W42" s="262">
        <v>0.35069444444444442</v>
      </c>
      <c r="X42" s="258"/>
      <c r="Y42" s="257"/>
      <c r="Z42" s="262">
        <v>0.39930555555555558</v>
      </c>
      <c r="AA42" s="258"/>
      <c r="AB42" s="257"/>
    </row>
    <row r="43" spans="1:36" ht="14.45" customHeight="1">
      <c r="A43" s="259">
        <v>46231</v>
      </c>
      <c r="B43" s="260"/>
      <c r="C43" s="260"/>
      <c r="D43" s="260"/>
      <c r="E43" s="260"/>
      <c r="F43" s="260"/>
      <c r="G43" s="261"/>
      <c r="H43" s="204"/>
      <c r="I43" s="205"/>
      <c r="J43" s="206"/>
      <c r="K43" s="204"/>
      <c r="L43" s="205"/>
      <c r="M43" s="206"/>
      <c r="N43" s="262">
        <v>0.3034722222222222</v>
      </c>
      <c r="O43" s="257"/>
      <c r="P43" s="199"/>
      <c r="Q43" s="199"/>
      <c r="R43" s="262">
        <v>4.1666666666666664E-2</v>
      </c>
      <c r="S43" s="257"/>
      <c r="T43" s="256"/>
      <c r="U43" s="258"/>
      <c r="V43" s="257"/>
      <c r="W43" s="262">
        <v>0.30902777777777779</v>
      </c>
      <c r="X43" s="258"/>
      <c r="Y43" s="257"/>
      <c r="Z43" s="262">
        <v>0.36944444444444446</v>
      </c>
      <c r="AA43" s="258"/>
      <c r="AB43" s="257"/>
      <c r="AD43" s="203">
        <v>1</v>
      </c>
      <c r="AE43" s="203">
        <v>1</v>
      </c>
    </row>
    <row r="44" spans="1:36" ht="14.45" customHeight="1">
      <c r="A44" s="259">
        <v>46232</v>
      </c>
      <c r="B44" s="260"/>
      <c r="C44" s="260"/>
      <c r="D44" s="260"/>
      <c r="E44" s="260"/>
      <c r="F44" s="260"/>
      <c r="G44" s="261"/>
      <c r="H44" s="204"/>
      <c r="I44" s="205"/>
      <c r="J44" s="206"/>
      <c r="K44" s="204"/>
      <c r="L44" s="205"/>
      <c r="M44" s="206"/>
      <c r="N44" s="262">
        <v>0.2986111111111111</v>
      </c>
      <c r="O44" s="257"/>
      <c r="P44" s="200">
        <v>0.6972222222222223</v>
      </c>
      <c r="Q44" s="199"/>
      <c r="R44" s="256"/>
      <c r="S44" s="257"/>
      <c r="T44" s="262">
        <v>2.361111111111111E-2</v>
      </c>
      <c r="U44" s="258"/>
      <c r="V44" s="257"/>
      <c r="W44" s="262">
        <v>0.35069444444444442</v>
      </c>
      <c r="X44" s="258"/>
      <c r="Y44" s="257"/>
      <c r="Z44" s="262">
        <v>0.39861111111111108</v>
      </c>
      <c r="AA44" s="258"/>
      <c r="AB44" s="257"/>
    </row>
    <row r="45" spans="1:36" ht="14.45" customHeight="1">
      <c r="A45" s="259">
        <v>46233</v>
      </c>
      <c r="B45" s="260"/>
      <c r="C45" s="260"/>
      <c r="D45" s="260"/>
      <c r="E45" s="260"/>
      <c r="F45" s="260"/>
      <c r="G45" s="261"/>
      <c r="H45" s="266"/>
      <c r="I45" s="280"/>
      <c r="J45" s="281"/>
      <c r="K45" s="266"/>
      <c r="L45" s="280"/>
      <c r="M45" s="281"/>
      <c r="N45" s="262">
        <v>0.30624999999999997</v>
      </c>
      <c r="O45" s="257"/>
      <c r="P45" s="200">
        <v>0.69166666666666676</v>
      </c>
      <c r="Q45" s="199"/>
      <c r="R45" s="256"/>
      <c r="S45" s="257"/>
      <c r="T45" s="262">
        <v>1.8055555555555557E-2</v>
      </c>
      <c r="U45" s="258"/>
      <c r="V45" s="257"/>
      <c r="W45" s="262">
        <v>0.35069444444444442</v>
      </c>
      <c r="X45" s="258"/>
      <c r="Y45" s="257"/>
      <c r="Z45" s="262">
        <v>0.38541666666666669</v>
      </c>
      <c r="AA45" s="258"/>
      <c r="AB45" s="257"/>
    </row>
    <row r="46" spans="1:36" ht="14.45" customHeight="1">
      <c r="A46" s="259">
        <v>46234</v>
      </c>
      <c r="B46" s="260"/>
      <c r="C46" s="260"/>
      <c r="D46" s="260"/>
      <c r="E46" s="260"/>
      <c r="F46" s="260"/>
      <c r="G46" s="261"/>
      <c r="H46" s="266"/>
      <c r="I46" s="280"/>
      <c r="J46" s="281"/>
      <c r="K46" s="266"/>
      <c r="L46" s="280"/>
      <c r="M46" s="281"/>
      <c r="N46" s="262">
        <v>0.30208333333333331</v>
      </c>
      <c r="O46" s="257"/>
      <c r="P46" s="200">
        <v>0.68958333333333333</v>
      </c>
      <c r="Q46" s="199"/>
      <c r="R46" s="256"/>
      <c r="S46" s="257"/>
      <c r="T46" s="262">
        <v>1.5972222222222224E-2</v>
      </c>
      <c r="U46" s="258"/>
      <c r="V46" s="257"/>
      <c r="W46" s="262">
        <v>0.35069444444444442</v>
      </c>
      <c r="X46" s="258"/>
      <c r="Y46" s="257"/>
      <c r="Z46" s="262">
        <v>0.38750000000000001</v>
      </c>
      <c r="AA46" s="258"/>
      <c r="AB46" s="257"/>
    </row>
    <row r="47" spans="1:36" ht="14.45" customHeight="1">
      <c r="A47" s="137"/>
      <c r="B47" s="137"/>
      <c r="C47" s="137"/>
      <c r="D47" s="137"/>
      <c r="E47" s="137"/>
      <c r="F47" s="137"/>
      <c r="G47" s="137"/>
      <c r="H47" s="209"/>
      <c r="I47" s="137"/>
      <c r="J47" s="137"/>
      <c r="K47" s="209"/>
      <c r="L47" s="137"/>
      <c r="M47" s="137"/>
      <c r="N47" s="209"/>
      <c r="O47" s="137"/>
      <c r="P47" s="209"/>
      <c r="Q47" s="137"/>
      <c r="R47" s="137"/>
      <c r="S47" s="137"/>
      <c r="T47" s="209"/>
      <c r="U47" s="137"/>
      <c r="V47" s="137"/>
      <c r="W47" s="209"/>
      <c r="X47" s="137"/>
      <c r="Y47" s="137"/>
      <c r="Z47" s="209"/>
      <c r="AA47" s="137"/>
      <c r="AB47" s="137"/>
      <c r="AD47" s="180">
        <f>SUM(AD16:AD46)*1.5</f>
        <v>12</v>
      </c>
      <c r="AE47" s="203">
        <f>SUM(AE16:AE46)*2</f>
        <v>8</v>
      </c>
      <c r="AF47" s="203">
        <f>SUM(AF16:AF46)*3</f>
        <v>0</v>
      </c>
      <c r="AG47" s="203">
        <f>SUM(AG16:AG46)*4</f>
        <v>0</v>
      </c>
      <c r="AH47" s="175">
        <f>SUM(AH16:AH46)</f>
        <v>0</v>
      </c>
      <c r="AI47" s="176">
        <f>AH47/60</f>
        <v>0</v>
      </c>
      <c r="AJ47" s="177">
        <f>SUM(AJ16:AJ46)</f>
        <v>0</v>
      </c>
    </row>
    <row r="48" spans="1:36" ht="21.75" customHeight="1">
      <c r="C48" s="307" t="s">
        <v>429</v>
      </c>
      <c r="D48" s="307"/>
      <c r="G48" s="307" t="s">
        <v>179</v>
      </c>
      <c r="H48" s="307"/>
      <c r="I48" s="307"/>
      <c r="J48" s="307"/>
      <c r="K48" s="307"/>
      <c r="L48" s="307"/>
    </row>
    <row r="49" spans="1:37" ht="1.5" customHeight="1">
      <c r="E49" s="307" t="s">
        <v>430</v>
      </c>
      <c r="F49" s="307"/>
      <c r="G49" s="307"/>
      <c r="H49" s="307"/>
      <c r="I49" s="307"/>
      <c r="J49" s="307"/>
      <c r="K49" s="307"/>
      <c r="U49" s="308"/>
      <c r="V49" s="308"/>
      <c r="W49" s="308"/>
      <c r="X49" s="308"/>
      <c r="Y49" s="308"/>
      <c r="Z49" s="308"/>
      <c r="AA49" s="308"/>
    </row>
    <row r="50" spans="1:37" ht="19.5" customHeight="1">
      <c r="V50" s="276"/>
      <c r="W50" s="276"/>
      <c r="X50" s="276"/>
      <c r="AD50" s="180"/>
    </row>
    <row r="51" spans="1:37" ht="0.75" customHeight="1">
      <c r="B51" s="277" t="s">
        <v>417</v>
      </c>
      <c r="C51" s="277"/>
      <c r="V51" s="276"/>
      <c r="W51" s="276"/>
      <c r="X51" s="276"/>
    </row>
    <row r="52" spans="1:37" ht="3" customHeight="1">
      <c r="B52" s="277"/>
      <c r="C52" s="277"/>
      <c r="F52" s="278">
        <v>10020</v>
      </c>
      <c r="G52" s="278"/>
      <c r="H52" s="278"/>
      <c r="I52" s="278"/>
      <c r="V52" s="276"/>
      <c r="W52" s="276"/>
      <c r="X52" s="276"/>
    </row>
    <row r="53" spans="1:37" ht="8.4499999999999993" customHeight="1">
      <c r="B53" s="277"/>
      <c r="C53" s="277"/>
      <c r="F53" s="278"/>
      <c r="G53" s="278"/>
      <c r="H53" s="278"/>
      <c r="I53" s="278"/>
    </row>
    <row r="54" spans="1:37" ht="0.75" customHeight="1">
      <c r="F54" s="278"/>
      <c r="G54" s="278"/>
      <c r="H54" s="278"/>
      <c r="I54" s="278"/>
    </row>
    <row r="55" spans="1:37" ht="5.45" customHeight="1">
      <c r="S55" s="279"/>
      <c r="T55" s="279"/>
      <c r="U55" s="279"/>
      <c r="V55" s="279"/>
      <c r="W55" s="279"/>
      <c r="X55" s="279"/>
      <c r="Y55" s="279"/>
      <c r="Z55" s="279"/>
    </row>
    <row r="56" spans="1:37" ht="0.75" customHeight="1">
      <c r="A56" s="277" t="s">
        <v>418</v>
      </c>
      <c r="B56" s="277"/>
      <c r="C56" s="277"/>
      <c r="S56" s="279"/>
      <c r="T56" s="279"/>
      <c r="U56" s="279"/>
      <c r="V56" s="279"/>
      <c r="W56" s="279"/>
      <c r="X56" s="279"/>
      <c r="Y56" s="279"/>
      <c r="Z56" s="279"/>
    </row>
    <row r="57" spans="1:37" ht="7.7" customHeight="1">
      <c r="A57" s="277"/>
      <c r="B57" s="277"/>
      <c r="C57" s="277"/>
      <c r="F57" s="278" t="s">
        <v>431</v>
      </c>
      <c r="G57" s="278"/>
      <c r="H57" s="278"/>
      <c r="I57" s="278"/>
      <c r="J57" s="278"/>
      <c r="K57" s="278"/>
      <c r="L57" s="278"/>
      <c r="M57" s="278"/>
      <c r="N57" s="278"/>
      <c r="S57" s="279"/>
      <c r="T57" s="279"/>
      <c r="U57" s="279"/>
      <c r="V57" s="279"/>
      <c r="W57" s="279"/>
      <c r="X57" s="279"/>
      <c r="Y57" s="279"/>
      <c r="Z57" s="279"/>
    </row>
    <row r="58" spans="1:37" ht="3.75" customHeight="1">
      <c r="A58" s="277"/>
      <c r="B58" s="277"/>
      <c r="C58" s="277"/>
      <c r="F58" s="278"/>
      <c r="G58" s="278"/>
      <c r="H58" s="278"/>
      <c r="I58" s="278"/>
      <c r="J58" s="278"/>
      <c r="K58" s="278"/>
      <c r="L58" s="278"/>
      <c r="M58" s="278"/>
      <c r="N58" s="278"/>
    </row>
    <row r="59" spans="1:37" ht="0.75" customHeight="1">
      <c r="F59" s="278"/>
      <c r="G59" s="278"/>
      <c r="H59" s="278"/>
      <c r="I59" s="278"/>
      <c r="J59" s="278"/>
      <c r="K59" s="278"/>
      <c r="L59" s="278"/>
      <c r="M59" s="278"/>
      <c r="N59" s="278"/>
    </row>
    <row r="60" spans="1:37" ht="9.1999999999999993" customHeight="1"/>
    <row r="61" spans="1:37" ht="18.399999999999999" customHeight="1">
      <c r="A61" s="271" t="s">
        <v>298</v>
      </c>
      <c r="B61" s="272"/>
      <c r="C61" s="272"/>
      <c r="D61" s="272"/>
      <c r="E61" s="272"/>
      <c r="F61" s="272"/>
      <c r="G61" s="273"/>
      <c r="H61" s="271" t="s">
        <v>299</v>
      </c>
      <c r="I61" s="272"/>
      <c r="J61" s="273"/>
      <c r="K61" s="271" t="s">
        <v>300</v>
      </c>
      <c r="L61" s="272"/>
      <c r="M61" s="273"/>
      <c r="N61" s="274" t="s">
        <v>419</v>
      </c>
      <c r="O61" s="275"/>
      <c r="P61" s="135" t="s">
        <v>420</v>
      </c>
      <c r="Q61" s="136" t="s">
        <v>421</v>
      </c>
      <c r="R61" s="271" t="s">
        <v>422</v>
      </c>
      <c r="S61" s="273"/>
      <c r="T61" s="271" t="s">
        <v>413</v>
      </c>
      <c r="U61" s="272"/>
      <c r="V61" s="273"/>
      <c r="W61" s="271" t="s">
        <v>423</v>
      </c>
      <c r="X61" s="272"/>
      <c r="Y61" s="273"/>
      <c r="Z61" s="271" t="s">
        <v>424</v>
      </c>
      <c r="AA61" s="272"/>
      <c r="AB61" s="273"/>
      <c r="AD61" s="203" t="s">
        <v>425</v>
      </c>
      <c r="AE61" s="203" t="s">
        <v>426</v>
      </c>
      <c r="AF61" s="203" t="s">
        <v>427</v>
      </c>
      <c r="AG61" s="203" t="s">
        <v>428</v>
      </c>
      <c r="AH61" s="175" t="s">
        <v>45</v>
      </c>
      <c r="AJ61" s="177" t="s">
        <v>12</v>
      </c>
    </row>
    <row r="62" spans="1:37" ht="3" customHeight="1"/>
    <row r="63" spans="1:37" ht="14.45" customHeight="1">
      <c r="A63" s="291">
        <f>A16</f>
        <v>46204</v>
      </c>
      <c r="B63" s="291"/>
      <c r="C63" s="291"/>
      <c r="D63" s="291"/>
      <c r="E63" s="291"/>
      <c r="F63" s="291"/>
      <c r="G63" s="291"/>
      <c r="H63" s="305">
        <v>0.32291666666666669</v>
      </c>
      <c r="I63" s="306"/>
      <c r="J63" s="306"/>
      <c r="K63" s="305">
        <v>0.66666666666666663</v>
      </c>
      <c r="L63" s="306"/>
      <c r="M63" s="306"/>
      <c r="N63" s="292" t="s">
        <v>467</v>
      </c>
      <c r="O63" s="293"/>
      <c r="P63" s="294"/>
      <c r="Q63" s="190"/>
      <c r="R63" s="283"/>
      <c r="S63" s="285"/>
      <c r="T63" s="283"/>
      <c r="U63" s="284"/>
      <c r="V63" s="285"/>
      <c r="W63" s="283"/>
      <c r="X63" s="284"/>
      <c r="Y63" s="285"/>
      <c r="Z63" s="283"/>
      <c r="AA63" s="284"/>
      <c r="AB63" s="285"/>
      <c r="AJ63" s="176"/>
      <c r="AK63" s="179"/>
    </row>
    <row r="64" spans="1:37" ht="14.45" customHeight="1">
      <c r="A64" s="291">
        <f t="shared" ref="A64:A93" si="0">A17</f>
        <v>46205</v>
      </c>
      <c r="B64" s="291"/>
      <c r="C64" s="291"/>
      <c r="D64" s="291"/>
      <c r="E64" s="291"/>
      <c r="F64" s="291"/>
      <c r="G64" s="291"/>
      <c r="H64" s="207"/>
      <c r="I64" s="208"/>
      <c r="J64" s="208"/>
      <c r="K64" s="207"/>
      <c r="L64" s="208"/>
      <c r="M64" s="208"/>
      <c r="N64" s="295"/>
      <c r="O64" s="296"/>
      <c r="P64" s="297"/>
      <c r="Q64" s="190"/>
      <c r="R64" s="283"/>
      <c r="S64" s="285"/>
      <c r="T64" s="290"/>
      <c r="U64" s="284"/>
      <c r="V64" s="285"/>
      <c r="W64" s="290"/>
      <c r="X64" s="284"/>
      <c r="Y64" s="285"/>
      <c r="Z64" s="290"/>
      <c r="AA64" s="284"/>
      <c r="AB64" s="285"/>
    </row>
    <row r="65" spans="1:36" ht="14.45" customHeight="1">
      <c r="A65" s="291">
        <f t="shared" si="0"/>
        <v>46206</v>
      </c>
      <c r="B65" s="291"/>
      <c r="C65" s="291"/>
      <c r="D65" s="291"/>
      <c r="E65" s="291"/>
      <c r="F65" s="291"/>
      <c r="G65" s="291"/>
      <c r="H65" s="207"/>
      <c r="I65" s="208"/>
      <c r="J65" s="208"/>
      <c r="K65" s="207"/>
      <c r="L65" s="208"/>
      <c r="M65" s="208"/>
      <c r="N65" s="302"/>
      <c r="O65" s="303"/>
      <c r="P65" s="304"/>
      <c r="Q65" s="190"/>
      <c r="R65" s="283"/>
      <c r="S65" s="285"/>
      <c r="T65" s="290"/>
      <c r="U65" s="284"/>
      <c r="V65" s="285"/>
      <c r="W65" s="290"/>
      <c r="X65" s="284"/>
      <c r="Y65" s="285"/>
      <c r="Z65" s="290"/>
      <c r="AA65" s="284"/>
      <c r="AB65" s="285"/>
    </row>
    <row r="66" spans="1:36" ht="14.45" customHeight="1">
      <c r="A66" s="291">
        <f t="shared" si="0"/>
        <v>46207</v>
      </c>
      <c r="B66" s="291"/>
      <c r="C66" s="291"/>
      <c r="D66" s="291"/>
      <c r="E66" s="291"/>
      <c r="F66" s="291"/>
      <c r="G66" s="291"/>
      <c r="H66" s="207"/>
      <c r="I66" s="208"/>
      <c r="J66" s="208"/>
      <c r="K66" s="207"/>
      <c r="L66" s="208"/>
      <c r="M66" s="208"/>
      <c r="N66" s="298"/>
      <c r="O66" s="287"/>
      <c r="P66" s="215"/>
      <c r="Q66" s="190"/>
      <c r="R66" s="290"/>
      <c r="S66" s="285"/>
      <c r="T66" s="283"/>
      <c r="U66" s="284"/>
      <c r="V66" s="285"/>
      <c r="W66" s="290"/>
      <c r="X66" s="284"/>
      <c r="Y66" s="285"/>
      <c r="Z66" s="290"/>
      <c r="AA66" s="284"/>
      <c r="AB66" s="285"/>
      <c r="AJ66" s="177">
        <v>1</v>
      </c>
    </row>
    <row r="67" spans="1:36" ht="14.45" customHeight="1">
      <c r="A67" s="301">
        <f t="shared" si="0"/>
        <v>46208</v>
      </c>
      <c r="B67" s="301"/>
      <c r="C67" s="301"/>
      <c r="D67" s="301"/>
      <c r="E67" s="301"/>
      <c r="F67" s="301"/>
      <c r="G67" s="301"/>
      <c r="H67" s="207"/>
      <c r="I67" s="208"/>
      <c r="J67" s="208"/>
      <c r="K67" s="207"/>
      <c r="L67" s="208"/>
      <c r="M67" s="208"/>
      <c r="N67" s="290"/>
      <c r="O67" s="285"/>
      <c r="P67" s="152"/>
      <c r="Q67" s="190"/>
      <c r="R67" s="283"/>
      <c r="S67" s="285"/>
      <c r="T67" s="290"/>
      <c r="U67" s="284"/>
      <c r="V67" s="285"/>
      <c r="W67" s="290"/>
      <c r="X67" s="284"/>
      <c r="Y67" s="285"/>
      <c r="Z67" s="290"/>
      <c r="AA67" s="284"/>
      <c r="AB67" s="285"/>
    </row>
    <row r="68" spans="1:36" ht="14.45" customHeight="1">
      <c r="A68" s="291">
        <f t="shared" si="0"/>
        <v>46209</v>
      </c>
      <c r="B68" s="291"/>
      <c r="C68" s="291"/>
      <c r="D68" s="291"/>
      <c r="E68" s="291"/>
      <c r="F68" s="291"/>
      <c r="G68" s="291"/>
      <c r="H68" s="207"/>
      <c r="I68" s="208"/>
      <c r="J68" s="208"/>
      <c r="K68" s="207"/>
      <c r="L68" s="208"/>
      <c r="M68" s="208"/>
      <c r="N68" s="298"/>
      <c r="O68" s="287"/>
      <c r="P68" s="215"/>
      <c r="Q68" s="190"/>
      <c r="R68" s="283"/>
      <c r="S68" s="285"/>
      <c r="T68" s="290"/>
      <c r="U68" s="284"/>
      <c r="V68" s="285"/>
      <c r="W68" s="290"/>
      <c r="X68" s="284"/>
      <c r="Y68" s="285"/>
      <c r="Z68" s="290"/>
      <c r="AA68" s="284"/>
      <c r="AB68" s="285"/>
      <c r="AJ68" s="177">
        <v>1</v>
      </c>
    </row>
    <row r="69" spans="1:36" ht="14.45" customHeight="1">
      <c r="A69" s="291">
        <f t="shared" si="0"/>
        <v>46210</v>
      </c>
      <c r="B69" s="291"/>
      <c r="C69" s="291"/>
      <c r="D69" s="291"/>
      <c r="E69" s="291"/>
      <c r="F69" s="291"/>
      <c r="G69" s="291"/>
      <c r="H69" s="207"/>
      <c r="I69" s="208"/>
      <c r="J69" s="208"/>
      <c r="K69" s="207"/>
      <c r="L69" s="208"/>
      <c r="M69" s="208"/>
      <c r="N69" s="286" t="s">
        <v>467</v>
      </c>
      <c r="O69" s="299"/>
      <c r="P69" s="300"/>
      <c r="Q69" s="190"/>
      <c r="R69" s="283"/>
      <c r="S69" s="285"/>
      <c r="T69" s="283"/>
      <c r="U69" s="284"/>
      <c r="V69" s="285"/>
      <c r="W69" s="283"/>
      <c r="X69" s="284"/>
      <c r="Y69" s="285"/>
      <c r="Z69" s="283"/>
      <c r="AA69" s="284"/>
      <c r="AB69" s="285"/>
    </row>
    <row r="70" spans="1:36" ht="14.45" customHeight="1">
      <c r="A70" s="291">
        <f t="shared" si="0"/>
        <v>46211</v>
      </c>
      <c r="B70" s="291"/>
      <c r="C70" s="291"/>
      <c r="D70" s="291"/>
      <c r="E70" s="291"/>
      <c r="F70" s="291"/>
      <c r="G70" s="291"/>
      <c r="H70" s="207"/>
      <c r="I70" s="208"/>
      <c r="J70" s="208"/>
      <c r="K70" s="207"/>
      <c r="L70" s="208"/>
      <c r="M70" s="208"/>
      <c r="N70" s="298"/>
      <c r="O70" s="287"/>
      <c r="P70" s="215"/>
      <c r="Q70" s="190"/>
      <c r="R70" s="283"/>
      <c r="S70" s="285"/>
      <c r="T70" s="290"/>
      <c r="U70" s="284"/>
      <c r="V70" s="285"/>
      <c r="W70" s="290"/>
      <c r="X70" s="284"/>
      <c r="Y70" s="285"/>
      <c r="Z70" s="290"/>
      <c r="AA70" s="284"/>
      <c r="AB70" s="285"/>
      <c r="AJ70" s="177">
        <v>1</v>
      </c>
    </row>
    <row r="71" spans="1:36" ht="14.45" customHeight="1">
      <c r="A71" s="291">
        <f t="shared" si="0"/>
        <v>46212</v>
      </c>
      <c r="B71" s="291"/>
      <c r="C71" s="291"/>
      <c r="D71" s="291"/>
      <c r="E71" s="291"/>
      <c r="F71" s="291"/>
      <c r="G71" s="291"/>
      <c r="H71" s="207"/>
      <c r="I71" s="208"/>
      <c r="J71" s="208"/>
      <c r="K71" s="207"/>
      <c r="L71" s="208"/>
      <c r="M71" s="208"/>
      <c r="N71" s="298"/>
      <c r="O71" s="287"/>
      <c r="P71" s="215"/>
      <c r="Q71" s="190"/>
      <c r="R71" s="283"/>
      <c r="S71" s="285"/>
      <c r="T71" s="290"/>
      <c r="U71" s="284"/>
      <c r="V71" s="285"/>
      <c r="W71" s="290"/>
      <c r="X71" s="284"/>
      <c r="Y71" s="285"/>
      <c r="Z71" s="290"/>
      <c r="AA71" s="284"/>
      <c r="AB71" s="285"/>
      <c r="AJ71" s="177">
        <v>1</v>
      </c>
    </row>
    <row r="72" spans="1:36" ht="14.45" customHeight="1">
      <c r="A72" s="291">
        <f t="shared" si="0"/>
        <v>46213</v>
      </c>
      <c r="B72" s="291"/>
      <c r="C72" s="291"/>
      <c r="D72" s="291"/>
      <c r="E72" s="291"/>
      <c r="F72" s="291"/>
      <c r="G72" s="291"/>
      <c r="H72" s="207"/>
      <c r="I72" s="208"/>
      <c r="J72" s="208"/>
      <c r="K72" s="207"/>
      <c r="L72" s="208"/>
      <c r="M72" s="208"/>
      <c r="N72" s="298"/>
      <c r="O72" s="287"/>
      <c r="P72" s="215"/>
      <c r="Q72" s="190"/>
      <c r="R72" s="283"/>
      <c r="S72" s="285"/>
      <c r="T72" s="290"/>
      <c r="U72" s="284"/>
      <c r="V72" s="285"/>
      <c r="W72" s="290"/>
      <c r="X72" s="284"/>
      <c r="Y72" s="285"/>
      <c r="Z72" s="290"/>
      <c r="AA72" s="284"/>
      <c r="AB72" s="285"/>
      <c r="AJ72" s="177">
        <v>1</v>
      </c>
    </row>
    <row r="73" spans="1:36" ht="14.45" customHeight="1">
      <c r="A73" s="259">
        <f t="shared" si="0"/>
        <v>46214</v>
      </c>
      <c r="B73" s="260"/>
      <c r="C73" s="260"/>
      <c r="D73" s="260"/>
      <c r="E73" s="260"/>
      <c r="F73" s="260"/>
      <c r="G73" s="261"/>
      <c r="H73" s="204"/>
      <c r="I73" s="205"/>
      <c r="J73" s="206"/>
      <c r="K73" s="204"/>
      <c r="L73" s="205"/>
      <c r="M73" s="206"/>
      <c r="N73" s="298"/>
      <c r="O73" s="287"/>
      <c r="P73" s="215"/>
      <c r="Q73" s="190"/>
      <c r="R73" s="283"/>
      <c r="S73" s="285"/>
      <c r="T73" s="290"/>
      <c r="U73" s="284"/>
      <c r="V73" s="285"/>
      <c r="W73" s="290"/>
      <c r="X73" s="284"/>
      <c r="Y73" s="285"/>
      <c r="Z73" s="290"/>
      <c r="AA73" s="284"/>
      <c r="AB73" s="285"/>
      <c r="AJ73" s="177">
        <v>1</v>
      </c>
    </row>
    <row r="74" spans="1:36" ht="14.45" customHeight="1">
      <c r="A74" s="263">
        <f t="shared" si="0"/>
        <v>46215</v>
      </c>
      <c r="B74" s="264"/>
      <c r="C74" s="264"/>
      <c r="D74" s="264"/>
      <c r="E74" s="264"/>
      <c r="F74" s="264"/>
      <c r="G74" s="265"/>
      <c r="H74" s="204"/>
      <c r="I74" s="205"/>
      <c r="J74" s="206"/>
      <c r="K74" s="204"/>
      <c r="L74" s="205"/>
      <c r="M74" s="206"/>
      <c r="N74" s="290"/>
      <c r="O74" s="285"/>
      <c r="P74" s="152"/>
      <c r="Q74" s="190"/>
      <c r="R74" s="283"/>
      <c r="S74" s="285"/>
      <c r="T74" s="290"/>
      <c r="U74" s="284"/>
      <c r="V74" s="285"/>
      <c r="W74" s="290"/>
      <c r="X74" s="284"/>
      <c r="Y74" s="285"/>
      <c r="Z74" s="290"/>
      <c r="AA74" s="284"/>
      <c r="AB74" s="285"/>
    </row>
    <row r="75" spans="1:36" ht="14.45" customHeight="1">
      <c r="A75" s="259">
        <f t="shared" si="0"/>
        <v>46216</v>
      </c>
      <c r="B75" s="260"/>
      <c r="C75" s="260"/>
      <c r="D75" s="260"/>
      <c r="E75" s="260"/>
      <c r="F75" s="260"/>
      <c r="G75" s="261"/>
      <c r="H75" s="204"/>
      <c r="I75" s="205"/>
      <c r="J75" s="206"/>
      <c r="K75" s="204"/>
      <c r="L75" s="205"/>
      <c r="M75" s="206"/>
      <c r="N75" s="286"/>
      <c r="O75" s="299"/>
      <c r="P75" s="300"/>
      <c r="Q75" s="190"/>
      <c r="R75" s="283"/>
      <c r="S75" s="285"/>
      <c r="T75" s="283"/>
      <c r="U75" s="284"/>
      <c r="V75" s="285"/>
      <c r="W75" s="283"/>
      <c r="X75" s="284"/>
      <c r="Y75" s="285"/>
      <c r="Z75" s="283"/>
      <c r="AA75" s="284"/>
      <c r="AB75" s="285"/>
      <c r="AJ75" s="177">
        <v>1</v>
      </c>
    </row>
    <row r="76" spans="1:36" ht="14.45" customHeight="1">
      <c r="A76" s="259">
        <f t="shared" si="0"/>
        <v>46217</v>
      </c>
      <c r="B76" s="260"/>
      <c r="C76" s="260"/>
      <c r="D76" s="260"/>
      <c r="E76" s="260"/>
      <c r="F76" s="260"/>
      <c r="G76" s="261"/>
      <c r="H76" s="204"/>
      <c r="I76" s="205"/>
      <c r="J76" s="206"/>
      <c r="K76" s="204"/>
      <c r="L76" s="205"/>
      <c r="M76" s="206"/>
      <c r="N76" s="286"/>
      <c r="O76" s="287"/>
      <c r="P76" s="214"/>
      <c r="Q76" s="190"/>
      <c r="R76" s="283"/>
      <c r="S76" s="285"/>
      <c r="T76" s="283"/>
      <c r="U76" s="284"/>
      <c r="V76" s="285"/>
      <c r="W76" s="283"/>
      <c r="X76" s="284"/>
      <c r="Y76" s="285"/>
      <c r="Z76" s="283"/>
      <c r="AA76" s="284"/>
      <c r="AB76" s="285"/>
      <c r="AJ76" s="177">
        <v>1</v>
      </c>
    </row>
    <row r="77" spans="1:36" ht="14.45" customHeight="1">
      <c r="A77" s="259">
        <f t="shared" si="0"/>
        <v>46218</v>
      </c>
      <c r="B77" s="260"/>
      <c r="C77" s="260"/>
      <c r="D77" s="260"/>
      <c r="E77" s="260"/>
      <c r="F77" s="260"/>
      <c r="G77" s="261"/>
      <c r="H77" s="204"/>
      <c r="I77" s="205"/>
      <c r="J77" s="206"/>
      <c r="K77" s="204"/>
      <c r="L77" s="205"/>
      <c r="M77" s="206"/>
      <c r="N77" s="286"/>
      <c r="O77" s="287"/>
      <c r="P77" s="214"/>
      <c r="Q77" s="190"/>
      <c r="R77" s="283"/>
      <c r="S77" s="285"/>
      <c r="T77" s="283"/>
      <c r="U77" s="284"/>
      <c r="V77" s="285"/>
      <c r="W77" s="283"/>
      <c r="X77" s="284"/>
      <c r="Y77" s="285"/>
      <c r="Z77" s="283"/>
      <c r="AA77" s="284"/>
      <c r="AB77" s="285"/>
      <c r="AJ77" s="177">
        <v>1</v>
      </c>
    </row>
    <row r="78" spans="1:36" ht="14.45" customHeight="1">
      <c r="A78" s="259">
        <f t="shared" si="0"/>
        <v>46219</v>
      </c>
      <c r="B78" s="260"/>
      <c r="C78" s="260"/>
      <c r="D78" s="260"/>
      <c r="E78" s="260"/>
      <c r="F78" s="260"/>
      <c r="G78" s="261"/>
      <c r="H78" s="204"/>
      <c r="I78" s="205"/>
      <c r="J78" s="206"/>
      <c r="K78" s="204"/>
      <c r="L78" s="205"/>
      <c r="M78" s="206"/>
      <c r="N78" s="292" t="s">
        <v>467</v>
      </c>
      <c r="O78" s="293"/>
      <c r="P78" s="294"/>
      <c r="Q78" s="190"/>
      <c r="R78" s="283"/>
      <c r="S78" s="285"/>
      <c r="T78" s="283"/>
      <c r="U78" s="284"/>
      <c r="V78" s="285"/>
      <c r="W78" s="283"/>
      <c r="X78" s="284"/>
      <c r="Y78" s="285"/>
      <c r="Z78" s="283"/>
      <c r="AA78" s="284"/>
      <c r="AB78" s="285"/>
    </row>
    <row r="79" spans="1:36" ht="14.45" customHeight="1">
      <c r="A79" s="259">
        <f t="shared" si="0"/>
        <v>46220</v>
      </c>
      <c r="B79" s="260"/>
      <c r="C79" s="260"/>
      <c r="D79" s="260"/>
      <c r="E79" s="260"/>
      <c r="F79" s="260"/>
      <c r="G79" s="261"/>
      <c r="H79" s="204"/>
      <c r="I79" s="205"/>
      <c r="J79" s="206"/>
      <c r="K79" s="204"/>
      <c r="L79" s="205"/>
      <c r="M79" s="206"/>
      <c r="N79" s="295"/>
      <c r="O79" s="296"/>
      <c r="P79" s="297"/>
      <c r="Q79" s="190"/>
      <c r="R79" s="283"/>
      <c r="S79" s="285"/>
      <c r="T79" s="283"/>
      <c r="U79" s="284"/>
      <c r="V79" s="285"/>
      <c r="W79" s="283"/>
      <c r="X79" s="284"/>
      <c r="Y79" s="285"/>
      <c r="Z79" s="283"/>
      <c r="AA79" s="284"/>
      <c r="AB79" s="285"/>
    </row>
    <row r="80" spans="1:36" ht="14.45" customHeight="1">
      <c r="A80" s="259">
        <f t="shared" si="0"/>
        <v>46221</v>
      </c>
      <c r="B80" s="260"/>
      <c r="C80" s="260"/>
      <c r="D80" s="260"/>
      <c r="E80" s="260"/>
      <c r="F80" s="260"/>
      <c r="G80" s="261"/>
      <c r="H80" s="204"/>
      <c r="I80" s="205"/>
      <c r="J80" s="206"/>
      <c r="K80" s="204"/>
      <c r="L80" s="205"/>
      <c r="M80" s="206"/>
      <c r="N80" s="295"/>
      <c r="O80" s="296"/>
      <c r="P80" s="297"/>
      <c r="Q80" s="190"/>
      <c r="R80" s="283"/>
      <c r="S80" s="285"/>
      <c r="T80" s="283"/>
      <c r="U80" s="284"/>
      <c r="V80" s="285"/>
      <c r="W80" s="283"/>
      <c r="X80" s="284"/>
      <c r="Y80" s="285"/>
      <c r="Z80" s="283"/>
      <c r="AA80" s="284"/>
      <c r="AB80" s="285"/>
    </row>
    <row r="81" spans="1:36" ht="14.45" customHeight="1">
      <c r="A81" s="263">
        <f t="shared" si="0"/>
        <v>46222</v>
      </c>
      <c r="B81" s="264"/>
      <c r="C81" s="264"/>
      <c r="D81" s="264"/>
      <c r="E81" s="264"/>
      <c r="F81" s="264"/>
      <c r="G81" s="265"/>
      <c r="H81" s="204"/>
      <c r="I81" s="205"/>
      <c r="J81" s="206"/>
      <c r="K81" s="204"/>
      <c r="L81" s="205"/>
      <c r="M81" s="206"/>
      <c r="N81" s="216"/>
      <c r="O81" s="217"/>
      <c r="P81" s="218"/>
      <c r="Q81" s="190"/>
      <c r="R81" s="283"/>
      <c r="S81" s="285"/>
      <c r="T81" s="283"/>
      <c r="U81" s="284"/>
      <c r="V81" s="285"/>
      <c r="W81" s="283"/>
      <c r="X81" s="284"/>
      <c r="Y81" s="285"/>
      <c r="Z81" s="283"/>
      <c r="AA81" s="284"/>
      <c r="AB81" s="285"/>
    </row>
    <row r="82" spans="1:36" ht="14.45" customHeight="1">
      <c r="A82" s="259">
        <f t="shared" si="0"/>
        <v>46223</v>
      </c>
      <c r="B82" s="260"/>
      <c r="C82" s="260"/>
      <c r="D82" s="260"/>
      <c r="E82" s="260"/>
      <c r="F82" s="260"/>
      <c r="G82" s="261"/>
      <c r="H82" s="266">
        <v>0.32291666666666669</v>
      </c>
      <c r="I82" s="280"/>
      <c r="J82" s="281"/>
      <c r="K82" s="266">
        <v>0.625</v>
      </c>
      <c r="L82" s="280"/>
      <c r="M82" s="281"/>
      <c r="N82" s="219"/>
      <c r="O82" s="220"/>
      <c r="P82" s="221"/>
      <c r="Q82" s="190"/>
      <c r="R82" s="283"/>
      <c r="S82" s="285"/>
      <c r="T82" s="283"/>
      <c r="U82" s="284"/>
      <c r="V82" s="285"/>
      <c r="W82" s="283"/>
      <c r="X82" s="284"/>
      <c r="Y82" s="285"/>
      <c r="Z82" s="283"/>
      <c r="AA82" s="284"/>
      <c r="AB82" s="285"/>
      <c r="AJ82" s="177">
        <v>1</v>
      </c>
    </row>
    <row r="83" spans="1:36" ht="14.45" customHeight="1">
      <c r="A83" s="259">
        <f t="shared" si="0"/>
        <v>46224</v>
      </c>
      <c r="B83" s="260"/>
      <c r="C83" s="260"/>
      <c r="D83" s="260"/>
      <c r="E83" s="260"/>
      <c r="F83" s="260"/>
      <c r="G83" s="261"/>
      <c r="H83" s="266">
        <v>0.32291666666666669</v>
      </c>
      <c r="I83" s="280"/>
      <c r="J83" s="281"/>
      <c r="K83" s="266">
        <v>0.66666666666666663</v>
      </c>
      <c r="L83" s="280"/>
      <c r="M83" s="281"/>
      <c r="N83" s="286"/>
      <c r="O83" s="287"/>
      <c r="P83" s="214"/>
      <c r="Q83" s="190"/>
      <c r="R83" s="283"/>
      <c r="S83" s="285"/>
      <c r="T83" s="283"/>
      <c r="U83" s="284"/>
      <c r="V83" s="285"/>
      <c r="W83" s="283"/>
      <c r="X83" s="284"/>
      <c r="Y83" s="285"/>
      <c r="Z83" s="283"/>
      <c r="AA83" s="284"/>
      <c r="AB83" s="285"/>
      <c r="AJ83" s="177">
        <v>1</v>
      </c>
    </row>
    <row r="84" spans="1:36" ht="14.45" customHeight="1">
      <c r="A84" s="259">
        <f t="shared" si="0"/>
        <v>46225</v>
      </c>
      <c r="B84" s="260"/>
      <c r="C84" s="260"/>
      <c r="D84" s="260"/>
      <c r="E84" s="260"/>
      <c r="F84" s="260"/>
      <c r="G84" s="261"/>
      <c r="H84" s="266">
        <v>0.32291666666666669</v>
      </c>
      <c r="I84" s="280"/>
      <c r="J84" s="281"/>
      <c r="K84" s="266">
        <v>0.66666666666666663</v>
      </c>
      <c r="L84" s="280"/>
      <c r="M84" s="281"/>
      <c r="N84" s="269" t="s">
        <v>467</v>
      </c>
      <c r="O84" s="288"/>
      <c r="P84" s="289"/>
      <c r="Q84" s="199"/>
      <c r="R84" s="256"/>
      <c r="S84" s="257"/>
      <c r="T84" s="256"/>
      <c r="U84" s="258"/>
      <c r="V84" s="257"/>
      <c r="W84" s="256"/>
      <c r="X84" s="258"/>
      <c r="Y84" s="257"/>
      <c r="Z84" s="256"/>
      <c r="AA84" s="258"/>
      <c r="AB84" s="257"/>
    </row>
    <row r="85" spans="1:36" ht="14.45" customHeight="1">
      <c r="A85" s="259">
        <f t="shared" si="0"/>
        <v>46226</v>
      </c>
      <c r="B85" s="260"/>
      <c r="C85" s="260"/>
      <c r="D85" s="260"/>
      <c r="E85" s="260"/>
      <c r="F85" s="260"/>
      <c r="G85" s="261"/>
      <c r="H85" s="266">
        <v>0.32291666666666669</v>
      </c>
      <c r="I85" s="280"/>
      <c r="J85" s="281"/>
      <c r="K85" s="266">
        <v>0.66666666666666663</v>
      </c>
      <c r="L85" s="280"/>
      <c r="M85" s="281"/>
      <c r="N85" s="269"/>
      <c r="O85" s="270"/>
      <c r="P85" s="201"/>
      <c r="Q85" s="199"/>
      <c r="R85" s="256"/>
      <c r="S85" s="257"/>
      <c r="T85" s="256"/>
      <c r="U85" s="258"/>
      <c r="V85" s="257"/>
      <c r="W85" s="256"/>
      <c r="X85" s="258"/>
      <c r="Y85" s="257"/>
      <c r="Z85" s="256"/>
      <c r="AA85" s="258"/>
      <c r="AB85" s="257"/>
      <c r="AJ85" s="177">
        <v>1</v>
      </c>
    </row>
    <row r="86" spans="1:36" ht="14.45" customHeight="1">
      <c r="A86" s="259">
        <f t="shared" si="0"/>
        <v>46227</v>
      </c>
      <c r="B86" s="260"/>
      <c r="C86" s="260"/>
      <c r="D86" s="260"/>
      <c r="E86" s="260"/>
      <c r="F86" s="260"/>
      <c r="G86" s="261"/>
      <c r="H86" s="266">
        <v>0.32291666666666669</v>
      </c>
      <c r="I86" s="280"/>
      <c r="J86" s="281"/>
      <c r="K86" s="266">
        <v>0.66666666666666663</v>
      </c>
      <c r="L86" s="280"/>
      <c r="M86" s="281"/>
      <c r="N86" s="269"/>
      <c r="O86" s="270"/>
      <c r="P86" s="201"/>
      <c r="Q86" s="199"/>
      <c r="R86" s="256"/>
      <c r="S86" s="257"/>
      <c r="T86" s="256"/>
      <c r="U86" s="258"/>
      <c r="V86" s="257"/>
      <c r="W86" s="256"/>
      <c r="X86" s="258"/>
      <c r="Y86" s="257"/>
      <c r="Z86" s="256"/>
      <c r="AA86" s="258"/>
      <c r="AB86" s="257"/>
      <c r="AJ86" s="177">
        <v>1</v>
      </c>
    </row>
    <row r="87" spans="1:36" ht="14.45" customHeight="1">
      <c r="A87" s="259">
        <f t="shared" si="0"/>
        <v>46228</v>
      </c>
      <c r="B87" s="260"/>
      <c r="C87" s="260"/>
      <c r="D87" s="260"/>
      <c r="E87" s="260"/>
      <c r="F87" s="260"/>
      <c r="G87" s="261"/>
      <c r="H87" s="204"/>
      <c r="I87" s="205"/>
      <c r="J87" s="206"/>
      <c r="K87" s="204"/>
      <c r="L87" s="205"/>
      <c r="M87" s="206"/>
      <c r="N87" s="269"/>
      <c r="O87" s="270"/>
      <c r="P87" s="201"/>
      <c r="Q87" s="199"/>
      <c r="R87" s="256"/>
      <c r="S87" s="257"/>
      <c r="T87" s="256"/>
      <c r="U87" s="258"/>
      <c r="V87" s="257"/>
      <c r="W87" s="256"/>
      <c r="X87" s="258"/>
      <c r="Y87" s="257"/>
      <c r="Z87" s="256"/>
      <c r="AA87" s="258"/>
      <c r="AB87" s="257"/>
      <c r="AJ87" s="177">
        <v>1</v>
      </c>
    </row>
    <row r="88" spans="1:36" ht="14.45" customHeight="1">
      <c r="A88" s="263">
        <f t="shared" si="0"/>
        <v>46229</v>
      </c>
      <c r="B88" s="264"/>
      <c r="C88" s="264"/>
      <c r="D88" s="264"/>
      <c r="E88" s="264"/>
      <c r="F88" s="264"/>
      <c r="G88" s="265"/>
      <c r="H88" s="204"/>
      <c r="I88" s="205"/>
      <c r="J88" s="206"/>
      <c r="K88" s="204"/>
      <c r="L88" s="205"/>
      <c r="M88" s="206"/>
      <c r="N88" s="256"/>
      <c r="O88" s="257"/>
      <c r="P88" s="199"/>
      <c r="Q88" s="199"/>
      <c r="R88" s="256"/>
      <c r="S88" s="257"/>
      <c r="T88" s="256"/>
      <c r="U88" s="258"/>
      <c r="V88" s="257"/>
      <c r="W88" s="256"/>
      <c r="X88" s="258"/>
      <c r="Y88" s="257"/>
      <c r="Z88" s="256"/>
      <c r="AA88" s="258"/>
      <c r="AB88" s="257"/>
    </row>
    <row r="89" spans="1:36" ht="14.45" customHeight="1">
      <c r="A89" s="259">
        <f t="shared" si="0"/>
        <v>46230</v>
      </c>
      <c r="B89" s="260"/>
      <c r="C89" s="260"/>
      <c r="D89" s="260"/>
      <c r="E89" s="260"/>
      <c r="F89" s="260"/>
      <c r="G89" s="261"/>
      <c r="H89" s="204"/>
      <c r="I89" s="205"/>
      <c r="J89" s="206"/>
      <c r="K89" s="204"/>
      <c r="L89" s="205"/>
      <c r="M89" s="206"/>
      <c r="N89" s="262">
        <v>0.30555555555555552</v>
      </c>
      <c r="O89" s="257"/>
      <c r="P89" s="200">
        <v>0.68055555555555547</v>
      </c>
      <c r="Q89" s="199"/>
      <c r="R89" s="256"/>
      <c r="S89" s="257"/>
      <c r="T89" s="262">
        <v>6.9444444444444441E-3</v>
      </c>
      <c r="U89" s="258"/>
      <c r="V89" s="257"/>
      <c r="W89" s="262">
        <v>0.35069444444444442</v>
      </c>
      <c r="X89" s="258"/>
      <c r="Y89" s="257"/>
      <c r="Z89" s="262">
        <v>0.3743055555555555</v>
      </c>
      <c r="AA89" s="258"/>
      <c r="AB89" s="257"/>
    </row>
    <row r="90" spans="1:36" ht="14.45" customHeight="1">
      <c r="A90" s="259">
        <f t="shared" si="0"/>
        <v>46231</v>
      </c>
      <c r="B90" s="260"/>
      <c r="C90" s="260"/>
      <c r="D90" s="260"/>
      <c r="E90" s="260"/>
      <c r="F90" s="260"/>
      <c r="G90" s="261"/>
      <c r="H90" s="204"/>
      <c r="I90" s="205"/>
      <c r="J90" s="206"/>
      <c r="K90" s="204"/>
      <c r="L90" s="205"/>
      <c r="M90" s="206"/>
      <c r="N90" s="262">
        <v>0.29722222222222222</v>
      </c>
      <c r="O90" s="257"/>
      <c r="P90" s="200">
        <v>0.6791666666666667</v>
      </c>
      <c r="Q90" s="199"/>
      <c r="R90" s="256"/>
      <c r="S90" s="257"/>
      <c r="T90" s="262">
        <v>5.5555555555555558E-3</v>
      </c>
      <c r="U90" s="258"/>
      <c r="V90" s="257"/>
      <c r="W90" s="262">
        <v>0.35069444444444442</v>
      </c>
      <c r="X90" s="258"/>
      <c r="Y90" s="257"/>
      <c r="Z90" s="262">
        <v>0.38194444444444442</v>
      </c>
      <c r="AA90" s="258"/>
      <c r="AB90" s="257"/>
    </row>
    <row r="91" spans="1:36" ht="14.45" customHeight="1">
      <c r="A91" s="259">
        <f t="shared" si="0"/>
        <v>46232</v>
      </c>
      <c r="B91" s="260"/>
      <c r="C91" s="260"/>
      <c r="D91" s="260"/>
      <c r="E91" s="260"/>
      <c r="F91" s="260"/>
      <c r="G91" s="261"/>
      <c r="H91" s="204"/>
      <c r="I91" s="205"/>
      <c r="J91" s="206"/>
      <c r="K91" s="204"/>
      <c r="L91" s="205"/>
      <c r="M91" s="206"/>
      <c r="N91" s="262">
        <v>0.31180555555555556</v>
      </c>
      <c r="O91" s="257"/>
      <c r="P91" s="200">
        <v>0.6791666666666667</v>
      </c>
      <c r="Q91" s="199"/>
      <c r="R91" s="256"/>
      <c r="S91" s="257"/>
      <c r="T91" s="262">
        <v>5.5555555555555558E-3</v>
      </c>
      <c r="U91" s="258"/>
      <c r="V91" s="257"/>
      <c r="W91" s="262">
        <v>0.35069444444444442</v>
      </c>
      <c r="X91" s="258"/>
      <c r="Y91" s="257"/>
      <c r="Z91" s="262">
        <v>0.3666666666666667</v>
      </c>
      <c r="AA91" s="258"/>
      <c r="AB91" s="257"/>
    </row>
    <row r="92" spans="1:36" ht="14.45" customHeight="1">
      <c r="A92" s="259">
        <f t="shared" si="0"/>
        <v>46233</v>
      </c>
      <c r="B92" s="260"/>
      <c r="C92" s="260"/>
      <c r="D92" s="260"/>
      <c r="E92" s="260"/>
      <c r="F92" s="260"/>
      <c r="G92" s="261"/>
      <c r="H92" s="207"/>
      <c r="I92" s="208"/>
      <c r="J92" s="208"/>
      <c r="K92" s="207"/>
      <c r="L92" s="208"/>
      <c r="M92" s="208"/>
      <c r="N92" s="262">
        <v>0.30833333333333335</v>
      </c>
      <c r="O92" s="257"/>
      <c r="P92" s="200">
        <v>0.6791666666666667</v>
      </c>
      <c r="Q92" s="199"/>
      <c r="R92" s="256"/>
      <c r="S92" s="257"/>
      <c r="T92" s="262">
        <v>5.5555555555555558E-3</v>
      </c>
      <c r="U92" s="258"/>
      <c r="V92" s="257"/>
      <c r="W92" s="262">
        <v>0.35069444444444442</v>
      </c>
      <c r="X92" s="258"/>
      <c r="Y92" s="257"/>
      <c r="Z92" s="262">
        <v>0.37013888888888885</v>
      </c>
      <c r="AA92" s="258"/>
      <c r="AB92" s="257"/>
    </row>
    <row r="93" spans="1:36" ht="14.45" customHeight="1">
      <c r="A93" s="259">
        <f t="shared" si="0"/>
        <v>46234</v>
      </c>
      <c r="B93" s="260"/>
      <c r="C93" s="260"/>
      <c r="D93" s="260"/>
      <c r="E93" s="260"/>
      <c r="F93" s="260"/>
      <c r="G93" s="261"/>
      <c r="H93" s="207"/>
      <c r="I93" s="208"/>
      <c r="J93" s="208"/>
      <c r="K93" s="207"/>
      <c r="L93" s="208"/>
      <c r="M93" s="208"/>
      <c r="N93" s="262">
        <v>0.31111111111111112</v>
      </c>
      <c r="O93" s="257"/>
      <c r="P93" s="200">
        <v>0.67847222222222225</v>
      </c>
      <c r="Q93" s="199"/>
      <c r="R93" s="256"/>
      <c r="S93" s="257"/>
      <c r="T93" s="262">
        <v>4.8611111111111112E-3</v>
      </c>
      <c r="U93" s="258"/>
      <c r="V93" s="257"/>
      <c r="W93" s="262">
        <v>0.35069444444444442</v>
      </c>
      <c r="X93" s="258"/>
      <c r="Y93" s="257"/>
      <c r="Z93" s="262">
        <v>0.3666666666666667</v>
      </c>
      <c r="AA93" s="258"/>
      <c r="AB93" s="257"/>
    </row>
    <row r="94" spans="1:36" ht="14.25" customHeight="1">
      <c r="AD94" s="180">
        <f>SUM(AD63:AD93)*1.5</f>
        <v>0</v>
      </c>
      <c r="AE94" s="180">
        <f>SUM(AE63:AE93)*2</f>
        <v>0</v>
      </c>
      <c r="AF94" s="180">
        <f>SUM(AF63:AF93)*3</f>
        <v>0</v>
      </c>
      <c r="AG94" s="180">
        <f>SUM(AG63:AG93)*4</f>
        <v>0</v>
      </c>
      <c r="AH94" s="175">
        <f>SUM(AH63:AH93)</f>
        <v>0</v>
      </c>
      <c r="AI94" s="176">
        <f>AH94/60</f>
        <v>0</v>
      </c>
      <c r="AJ94" s="177">
        <f>SUM(AJ63:AJ93)</f>
        <v>14</v>
      </c>
    </row>
    <row r="95" spans="1:36" ht="21.75" customHeight="1">
      <c r="AD95" s="180"/>
    </row>
    <row r="96" spans="1:36" ht="8.4499999999999993" customHeight="1">
      <c r="V96" s="276"/>
      <c r="W96" s="276"/>
      <c r="X96" s="276"/>
    </row>
    <row r="97" spans="1:37" ht="0.75" customHeight="1">
      <c r="B97" s="277" t="s">
        <v>417</v>
      </c>
      <c r="C97" s="277"/>
      <c r="V97" s="276"/>
      <c r="W97" s="276"/>
      <c r="X97" s="276"/>
    </row>
    <row r="98" spans="1:37" ht="3" customHeight="1">
      <c r="B98" s="277"/>
      <c r="C98" s="277"/>
      <c r="F98" s="278">
        <v>10021</v>
      </c>
      <c r="G98" s="278"/>
      <c r="H98" s="278"/>
      <c r="I98" s="278"/>
      <c r="V98" s="276"/>
      <c r="W98" s="276"/>
      <c r="X98" s="276"/>
    </row>
    <row r="99" spans="1:37" ht="8.4499999999999993" customHeight="1">
      <c r="B99" s="277"/>
      <c r="C99" s="277"/>
      <c r="F99" s="278"/>
      <c r="G99" s="278"/>
      <c r="H99" s="278"/>
      <c r="I99" s="278"/>
    </row>
    <row r="100" spans="1:37" ht="0.75" customHeight="1">
      <c r="F100" s="278"/>
      <c r="G100" s="278"/>
      <c r="H100" s="278"/>
      <c r="I100" s="278"/>
    </row>
    <row r="101" spans="1:37" ht="5.45" customHeight="1">
      <c r="S101" s="279"/>
      <c r="T101" s="279"/>
      <c r="U101" s="279"/>
      <c r="V101" s="279"/>
      <c r="W101" s="279"/>
      <c r="X101" s="279"/>
      <c r="Y101" s="279"/>
      <c r="Z101" s="279"/>
    </row>
    <row r="102" spans="1:37" ht="0.75" customHeight="1">
      <c r="A102" s="277" t="s">
        <v>418</v>
      </c>
      <c r="B102" s="277"/>
      <c r="C102" s="277"/>
      <c r="S102" s="279"/>
      <c r="T102" s="279"/>
      <c r="U102" s="279"/>
      <c r="V102" s="279"/>
      <c r="W102" s="279"/>
      <c r="X102" s="279"/>
      <c r="Y102" s="279"/>
      <c r="Z102" s="279"/>
    </row>
    <row r="103" spans="1:37" ht="7.7" customHeight="1">
      <c r="A103" s="277"/>
      <c r="B103" s="277"/>
      <c r="C103" s="277"/>
      <c r="F103" s="282" t="s">
        <v>41</v>
      </c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S103" s="279"/>
      <c r="T103" s="279"/>
      <c r="U103" s="279"/>
      <c r="V103" s="279"/>
      <c r="W103" s="279"/>
      <c r="X103" s="279"/>
      <c r="Y103" s="279"/>
      <c r="Z103" s="279"/>
    </row>
    <row r="104" spans="1:37" ht="3.75" customHeight="1">
      <c r="A104" s="277"/>
      <c r="B104" s="277"/>
      <c r="C104" s="277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</row>
    <row r="105" spans="1:37" ht="0.75" customHeight="1"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</row>
    <row r="106" spans="1:37" ht="9.1999999999999993" customHeight="1"/>
    <row r="107" spans="1:37" ht="18.399999999999999" customHeight="1">
      <c r="A107" s="271" t="s">
        <v>298</v>
      </c>
      <c r="B107" s="272"/>
      <c r="C107" s="272"/>
      <c r="D107" s="272"/>
      <c r="E107" s="272"/>
      <c r="F107" s="272"/>
      <c r="G107" s="273"/>
      <c r="H107" s="271" t="s">
        <v>299</v>
      </c>
      <c r="I107" s="272"/>
      <c r="J107" s="273"/>
      <c r="K107" s="271" t="s">
        <v>300</v>
      </c>
      <c r="L107" s="272"/>
      <c r="M107" s="273"/>
      <c r="N107" s="274" t="s">
        <v>419</v>
      </c>
      <c r="O107" s="275"/>
      <c r="P107" s="135" t="s">
        <v>420</v>
      </c>
      <c r="Q107" s="136" t="s">
        <v>421</v>
      </c>
      <c r="R107" s="271" t="s">
        <v>422</v>
      </c>
      <c r="S107" s="273"/>
      <c r="T107" s="271" t="s">
        <v>413</v>
      </c>
      <c r="U107" s="272"/>
      <c r="V107" s="273"/>
      <c r="W107" s="271" t="s">
        <v>423</v>
      </c>
      <c r="X107" s="272"/>
      <c r="Y107" s="273"/>
      <c r="Z107" s="271" t="s">
        <v>424</v>
      </c>
      <c r="AA107" s="272"/>
      <c r="AB107" s="273"/>
      <c r="AD107" s="203" t="s">
        <v>425</v>
      </c>
      <c r="AE107" s="203" t="s">
        <v>426</v>
      </c>
      <c r="AF107" s="203" t="s">
        <v>427</v>
      </c>
      <c r="AG107" s="203" t="s">
        <v>432</v>
      </c>
      <c r="AH107" s="175" t="s">
        <v>45</v>
      </c>
      <c r="AJ107" s="177" t="s">
        <v>12</v>
      </c>
    </row>
    <row r="108" spans="1:37" ht="3" customHeight="1"/>
    <row r="109" spans="1:37" ht="14.45" customHeight="1">
      <c r="A109" s="259">
        <f>A16</f>
        <v>46204</v>
      </c>
      <c r="B109" s="260"/>
      <c r="C109" s="260"/>
      <c r="D109" s="260"/>
      <c r="E109" s="260"/>
      <c r="F109" s="260"/>
      <c r="G109" s="261"/>
      <c r="H109" s="266">
        <v>0.32291666666666669</v>
      </c>
      <c r="I109" s="280"/>
      <c r="J109" s="281"/>
      <c r="K109" s="266">
        <v>0.66666666666666663</v>
      </c>
      <c r="L109" s="280"/>
      <c r="M109" s="281"/>
      <c r="N109" s="262">
        <v>0.32083333333333336</v>
      </c>
      <c r="O109" s="257"/>
      <c r="P109" s="200">
        <v>0.89166666666666661</v>
      </c>
      <c r="Q109" s="199"/>
      <c r="R109" s="256"/>
      <c r="S109" s="257"/>
      <c r="T109" s="262">
        <v>0.21805555555555556</v>
      </c>
      <c r="U109" s="258"/>
      <c r="V109" s="257"/>
      <c r="W109" s="262">
        <v>0.35069444444444442</v>
      </c>
      <c r="X109" s="258"/>
      <c r="Y109" s="257"/>
      <c r="Z109" s="262">
        <v>0.57013888888888886</v>
      </c>
      <c r="AA109" s="258"/>
      <c r="AB109" s="257"/>
      <c r="AD109" s="203">
        <v>1</v>
      </c>
      <c r="AE109" s="203">
        <v>3</v>
      </c>
      <c r="AJ109" s="176"/>
      <c r="AK109" s="179"/>
    </row>
    <row r="110" spans="1:37" ht="14.45" customHeight="1">
      <c r="A110" s="259">
        <f t="shared" ref="A110:A139" si="1">A17</f>
        <v>46205</v>
      </c>
      <c r="B110" s="260"/>
      <c r="C110" s="260"/>
      <c r="D110" s="260"/>
      <c r="E110" s="260"/>
      <c r="F110" s="260"/>
      <c r="G110" s="261"/>
      <c r="H110" s="204"/>
      <c r="I110" s="205"/>
      <c r="J110" s="206"/>
      <c r="K110" s="204"/>
      <c r="L110" s="205"/>
      <c r="M110" s="206"/>
      <c r="N110" s="262">
        <v>0.30972222222222223</v>
      </c>
      <c r="O110" s="257"/>
      <c r="P110" s="200">
        <v>0.89166666666666661</v>
      </c>
      <c r="Q110" s="199"/>
      <c r="R110" s="256"/>
      <c r="S110" s="257"/>
      <c r="T110" s="262">
        <v>0.21805555555555556</v>
      </c>
      <c r="U110" s="258"/>
      <c r="V110" s="257"/>
      <c r="W110" s="262">
        <v>0.35069444444444442</v>
      </c>
      <c r="X110" s="258"/>
      <c r="Y110" s="257"/>
      <c r="Z110" s="262">
        <v>0.58194444444444449</v>
      </c>
      <c r="AA110" s="258"/>
      <c r="AB110" s="257"/>
      <c r="AD110" s="203">
        <v>1</v>
      </c>
      <c r="AE110" s="203">
        <v>3</v>
      </c>
    </row>
    <row r="111" spans="1:37" ht="14.45" customHeight="1">
      <c r="A111" s="259">
        <f t="shared" si="1"/>
        <v>46206</v>
      </c>
      <c r="B111" s="260"/>
      <c r="C111" s="260"/>
      <c r="D111" s="260"/>
      <c r="E111" s="260"/>
      <c r="F111" s="260"/>
      <c r="G111" s="261"/>
      <c r="H111" s="204"/>
      <c r="I111" s="205"/>
      <c r="J111" s="206"/>
      <c r="K111" s="204"/>
      <c r="L111" s="205"/>
      <c r="M111" s="206"/>
      <c r="N111" s="262">
        <v>0.31736111111111115</v>
      </c>
      <c r="O111" s="257"/>
      <c r="P111" s="200">
        <v>0.76388888888888884</v>
      </c>
      <c r="Q111" s="199"/>
      <c r="R111" s="256"/>
      <c r="S111" s="257"/>
      <c r="T111" s="262">
        <v>9.0277777777777776E-2</v>
      </c>
      <c r="U111" s="258"/>
      <c r="V111" s="257"/>
      <c r="W111" s="262">
        <v>0.35069444444444442</v>
      </c>
      <c r="X111" s="258"/>
      <c r="Y111" s="257"/>
      <c r="Z111" s="262">
        <v>0.4465277777777778</v>
      </c>
      <c r="AA111" s="258"/>
      <c r="AB111" s="257"/>
      <c r="AD111" s="203">
        <v>1</v>
      </c>
      <c r="AE111" s="203">
        <v>1</v>
      </c>
    </row>
    <row r="112" spans="1:37" ht="14.45" customHeight="1">
      <c r="A112" s="259">
        <f t="shared" si="1"/>
        <v>46207</v>
      </c>
      <c r="B112" s="260"/>
      <c r="C112" s="260"/>
      <c r="D112" s="260"/>
      <c r="E112" s="260"/>
      <c r="F112" s="260"/>
      <c r="G112" s="261"/>
      <c r="H112" s="204"/>
      <c r="I112" s="205"/>
      <c r="J112" s="206"/>
      <c r="K112" s="204"/>
      <c r="L112" s="205"/>
      <c r="M112" s="206"/>
      <c r="N112" s="262">
        <v>0.31388888888888888</v>
      </c>
      <c r="O112" s="257"/>
      <c r="P112" s="200">
        <v>0.69861111111111107</v>
      </c>
      <c r="Q112" s="199"/>
      <c r="R112" s="256"/>
      <c r="S112" s="257"/>
      <c r="T112" s="262">
        <v>6.6666666666666666E-2</v>
      </c>
      <c r="U112" s="258"/>
      <c r="V112" s="257"/>
      <c r="W112" s="262">
        <v>0.30902777777777779</v>
      </c>
      <c r="X112" s="258"/>
      <c r="Y112" s="257"/>
      <c r="Z112" s="262">
        <v>0.3840277777777778</v>
      </c>
      <c r="AA112" s="258"/>
      <c r="AB112" s="257"/>
      <c r="AD112" s="203">
        <v>1</v>
      </c>
    </row>
    <row r="113" spans="1:34" ht="14.45" customHeight="1">
      <c r="A113" s="263">
        <f t="shared" si="1"/>
        <v>46208</v>
      </c>
      <c r="B113" s="264"/>
      <c r="C113" s="264"/>
      <c r="D113" s="264"/>
      <c r="E113" s="264"/>
      <c r="F113" s="264"/>
      <c r="G113" s="265"/>
      <c r="H113" s="204"/>
      <c r="I113" s="205"/>
      <c r="J113" s="206"/>
      <c r="K113" s="204"/>
      <c r="L113" s="205"/>
      <c r="M113" s="206"/>
      <c r="N113" s="256"/>
      <c r="O113" s="257"/>
      <c r="P113" s="199"/>
      <c r="Q113" s="199"/>
      <c r="R113" s="256"/>
      <c r="S113" s="257"/>
      <c r="T113" s="256"/>
      <c r="U113" s="258"/>
      <c r="V113" s="257"/>
      <c r="W113" s="256"/>
      <c r="X113" s="258"/>
      <c r="Y113" s="257"/>
      <c r="Z113" s="256"/>
      <c r="AA113" s="258"/>
      <c r="AB113" s="257"/>
    </row>
    <row r="114" spans="1:34" ht="14.45" customHeight="1">
      <c r="A114" s="259">
        <f t="shared" si="1"/>
        <v>46209</v>
      </c>
      <c r="B114" s="260"/>
      <c r="C114" s="260"/>
      <c r="D114" s="260"/>
      <c r="E114" s="260"/>
      <c r="F114" s="260"/>
      <c r="G114" s="261"/>
      <c r="H114" s="204"/>
      <c r="I114" s="205"/>
      <c r="J114" s="206"/>
      <c r="K114" s="204"/>
      <c r="L114" s="205"/>
      <c r="M114" s="206"/>
      <c r="N114" s="262">
        <v>0.32291666666666669</v>
      </c>
      <c r="O114" s="257"/>
      <c r="P114" s="200">
        <v>0.69374999999999998</v>
      </c>
      <c r="Q114" s="199"/>
      <c r="R114" s="256"/>
      <c r="S114" s="257"/>
      <c r="T114" s="262">
        <v>2.013888888888889E-2</v>
      </c>
      <c r="U114" s="258"/>
      <c r="V114" s="257"/>
      <c r="W114" s="262">
        <v>0.35000000000000003</v>
      </c>
      <c r="X114" s="258"/>
      <c r="Y114" s="257"/>
      <c r="Z114" s="262">
        <v>0.37013888888888885</v>
      </c>
      <c r="AA114" s="258"/>
      <c r="AB114" s="257"/>
    </row>
    <row r="115" spans="1:34" ht="14.45" customHeight="1">
      <c r="A115" s="259">
        <f t="shared" si="1"/>
        <v>46210</v>
      </c>
      <c r="B115" s="260"/>
      <c r="C115" s="260"/>
      <c r="D115" s="260"/>
      <c r="E115" s="260"/>
      <c r="F115" s="260"/>
      <c r="G115" s="261"/>
      <c r="H115" s="204"/>
      <c r="I115" s="205"/>
      <c r="J115" s="206"/>
      <c r="K115" s="204"/>
      <c r="L115" s="205"/>
      <c r="M115" s="206"/>
      <c r="N115" s="262">
        <v>0.31111111111111112</v>
      </c>
      <c r="O115" s="257"/>
      <c r="P115" s="200">
        <v>0.72916666666666663</v>
      </c>
      <c r="Q115" s="199"/>
      <c r="R115" s="256"/>
      <c r="S115" s="257"/>
      <c r="T115" s="262">
        <v>5.5555555555555552E-2</v>
      </c>
      <c r="U115" s="258"/>
      <c r="V115" s="257"/>
      <c r="W115" s="262">
        <v>0.35069444444444442</v>
      </c>
      <c r="X115" s="258"/>
      <c r="Y115" s="257"/>
      <c r="Z115" s="262">
        <v>0.41736111111111113</v>
      </c>
      <c r="AA115" s="258"/>
      <c r="AB115" s="257"/>
      <c r="AD115" s="203">
        <v>1</v>
      </c>
    </row>
    <row r="116" spans="1:34" ht="14.45" customHeight="1">
      <c r="A116" s="259">
        <f t="shared" si="1"/>
        <v>46211</v>
      </c>
      <c r="B116" s="260"/>
      <c r="C116" s="260"/>
      <c r="D116" s="260"/>
      <c r="E116" s="260"/>
      <c r="F116" s="260"/>
      <c r="G116" s="261"/>
      <c r="H116" s="204"/>
      <c r="I116" s="205"/>
      <c r="J116" s="206"/>
      <c r="K116" s="204"/>
      <c r="L116" s="205"/>
      <c r="M116" s="206"/>
      <c r="N116" s="262">
        <v>0.30486111111111108</v>
      </c>
      <c r="O116" s="257"/>
      <c r="P116" s="200">
        <v>0.76250000000000007</v>
      </c>
      <c r="Q116" s="199"/>
      <c r="R116" s="256"/>
      <c r="S116" s="257"/>
      <c r="T116" s="262">
        <v>8.8888888888888892E-2</v>
      </c>
      <c r="U116" s="258"/>
      <c r="V116" s="257"/>
      <c r="W116" s="262">
        <v>0.35069444444444442</v>
      </c>
      <c r="X116" s="258"/>
      <c r="Y116" s="257"/>
      <c r="Z116" s="262">
        <v>0.45694444444444443</v>
      </c>
      <c r="AA116" s="258"/>
      <c r="AB116" s="257"/>
      <c r="AD116" s="203">
        <v>1</v>
      </c>
      <c r="AE116" s="203">
        <v>1</v>
      </c>
    </row>
    <row r="117" spans="1:34" ht="14.45" customHeight="1">
      <c r="A117" s="259">
        <f t="shared" si="1"/>
        <v>46212</v>
      </c>
      <c r="B117" s="260"/>
      <c r="C117" s="260"/>
      <c r="D117" s="260"/>
      <c r="E117" s="260"/>
      <c r="F117" s="260"/>
      <c r="G117" s="261"/>
      <c r="H117" s="204"/>
      <c r="I117" s="205"/>
      <c r="J117" s="206"/>
      <c r="K117" s="204"/>
      <c r="L117" s="205"/>
      <c r="M117" s="206"/>
      <c r="N117" s="262">
        <v>0.31111111111111112</v>
      </c>
      <c r="O117" s="257"/>
      <c r="P117" s="200">
        <v>0.74444444444444446</v>
      </c>
      <c r="Q117" s="199"/>
      <c r="R117" s="256"/>
      <c r="S117" s="257"/>
      <c r="T117" s="262">
        <v>7.0833333333333331E-2</v>
      </c>
      <c r="U117" s="258"/>
      <c r="V117" s="257"/>
      <c r="W117" s="262">
        <v>0.35069444444444442</v>
      </c>
      <c r="X117" s="258"/>
      <c r="Y117" s="257"/>
      <c r="Z117" s="262">
        <v>0.43263888888888885</v>
      </c>
      <c r="AA117" s="258"/>
      <c r="AB117" s="257"/>
      <c r="AD117" s="203">
        <v>1</v>
      </c>
    </row>
    <row r="118" spans="1:34" ht="14.45" customHeight="1">
      <c r="A118" s="259">
        <f t="shared" si="1"/>
        <v>46213</v>
      </c>
      <c r="B118" s="260"/>
      <c r="C118" s="260"/>
      <c r="D118" s="260"/>
      <c r="E118" s="260"/>
      <c r="F118" s="260"/>
      <c r="G118" s="261"/>
      <c r="H118" s="204"/>
      <c r="I118" s="205"/>
      <c r="J118" s="206"/>
      <c r="K118" s="204"/>
      <c r="L118" s="205"/>
      <c r="M118" s="206"/>
      <c r="N118" s="262">
        <v>0.31319444444444444</v>
      </c>
      <c r="O118" s="257"/>
      <c r="P118" s="200">
        <v>0.7319444444444444</v>
      </c>
      <c r="Q118" s="199"/>
      <c r="R118" s="256"/>
      <c r="S118" s="257"/>
      <c r="T118" s="262">
        <v>5.8333333333333327E-2</v>
      </c>
      <c r="U118" s="258"/>
      <c r="V118" s="257"/>
      <c r="W118" s="262">
        <v>0.35069444444444442</v>
      </c>
      <c r="X118" s="258"/>
      <c r="Y118" s="257"/>
      <c r="Z118" s="262">
        <v>0.41875000000000001</v>
      </c>
      <c r="AA118" s="258"/>
      <c r="AB118" s="257"/>
      <c r="AD118" s="203">
        <v>1</v>
      </c>
      <c r="AF118" s="181"/>
      <c r="AG118" s="181"/>
      <c r="AH118" s="181"/>
    </row>
    <row r="119" spans="1:34" ht="14.45" customHeight="1">
      <c r="A119" s="259">
        <f t="shared" si="1"/>
        <v>46214</v>
      </c>
      <c r="B119" s="260"/>
      <c r="C119" s="260"/>
      <c r="D119" s="260"/>
      <c r="E119" s="260"/>
      <c r="F119" s="260"/>
      <c r="G119" s="261"/>
      <c r="H119" s="204"/>
      <c r="I119" s="205"/>
      <c r="J119" s="206"/>
      <c r="K119" s="204"/>
      <c r="L119" s="205"/>
      <c r="M119" s="206"/>
      <c r="N119" s="262">
        <v>0.31388888888888888</v>
      </c>
      <c r="O119" s="257"/>
      <c r="P119" s="200">
        <v>0.6875</v>
      </c>
      <c r="Q119" s="199"/>
      <c r="R119" s="256"/>
      <c r="S119" s="257"/>
      <c r="T119" s="262">
        <v>5.5555555555555552E-2</v>
      </c>
      <c r="U119" s="258"/>
      <c r="V119" s="257"/>
      <c r="W119" s="262">
        <v>0.30902777777777779</v>
      </c>
      <c r="X119" s="258"/>
      <c r="Y119" s="257"/>
      <c r="Z119" s="262">
        <v>0.37291666666666662</v>
      </c>
      <c r="AA119" s="258"/>
      <c r="AB119" s="257"/>
      <c r="AD119" s="203">
        <v>1</v>
      </c>
    </row>
    <row r="120" spans="1:34" ht="14.45" customHeight="1">
      <c r="A120" s="263">
        <f t="shared" si="1"/>
        <v>46215</v>
      </c>
      <c r="B120" s="264"/>
      <c r="C120" s="264"/>
      <c r="D120" s="264"/>
      <c r="E120" s="264"/>
      <c r="F120" s="264"/>
      <c r="G120" s="265"/>
      <c r="H120" s="204"/>
      <c r="I120" s="205"/>
      <c r="J120" s="206"/>
      <c r="K120" s="204"/>
      <c r="L120" s="205"/>
      <c r="M120" s="206"/>
      <c r="N120" s="256"/>
      <c r="O120" s="257"/>
      <c r="P120" s="199"/>
      <c r="Q120" s="199"/>
      <c r="R120" s="256"/>
      <c r="S120" s="257"/>
      <c r="T120" s="256"/>
      <c r="U120" s="258"/>
      <c r="V120" s="257"/>
      <c r="W120" s="256"/>
      <c r="X120" s="258"/>
      <c r="Y120" s="257"/>
      <c r="Z120" s="256"/>
      <c r="AA120" s="258"/>
      <c r="AB120" s="257"/>
    </row>
    <row r="121" spans="1:34" ht="14.45" customHeight="1">
      <c r="A121" s="259">
        <f t="shared" si="1"/>
        <v>46216</v>
      </c>
      <c r="B121" s="260"/>
      <c r="C121" s="260"/>
      <c r="D121" s="260"/>
      <c r="E121" s="260"/>
      <c r="F121" s="260"/>
      <c r="G121" s="261"/>
      <c r="H121" s="204"/>
      <c r="I121" s="205"/>
      <c r="J121" s="206"/>
      <c r="K121" s="204"/>
      <c r="L121" s="205"/>
      <c r="M121" s="206"/>
      <c r="N121" s="262">
        <v>0.31875000000000003</v>
      </c>
      <c r="O121" s="257"/>
      <c r="P121" s="200">
        <v>0.76666666666666661</v>
      </c>
      <c r="Q121" s="199"/>
      <c r="R121" s="256"/>
      <c r="S121" s="257"/>
      <c r="T121" s="262">
        <v>9.3055555555555558E-2</v>
      </c>
      <c r="U121" s="258"/>
      <c r="V121" s="257"/>
      <c r="W121" s="262">
        <v>0.35069444444444442</v>
      </c>
      <c r="X121" s="258"/>
      <c r="Y121" s="257"/>
      <c r="Z121" s="262">
        <v>0.44791666666666669</v>
      </c>
      <c r="AA121" s="258"/>
      <c r="AB121" s="257"/>
      <c r="AD121" s="203">
        <v>1</v>
      </c>
      <c r="AE121" s="203">
        <v>1</v>
      </c>
    </row>
    <row r="122" spans="1:34" ht="14.45" customHeight="1">
      <c r="A122" s="259">
        <f t="shared" si="1"/>
        <v>46217</v>
      </c>
      <c r="B122" s="260"/>
      <c r="C122" s="260"/>
      <c r="D122" s="260"/>
      <c r="E122" s="260"/>
      <c r="F122" s="260"/>
      <c r="G122" s="261"/>
      <c r="H122" s="204"/>
      <c r="I122" s="205"/>
      <c r="J122" s="206"/>
      <c r="K122" s="204"/>
      <c r="L122" s="205"/>
      <c r="M122" s="206"/>
      <c r="N122" s="262">
        <v>0.31666666666666665</v>
      </c>
      <c r="O122" s="257"/>
      <c r="P122" s="200">
        <v>0.76597222222222217</v>
      </c>
      <c r="Q122" s="199"/>
      <c r="R122" s="256"/>
      <c r="S122" s="257"/>
      <c r="T122" s="262">
        <v>9.2361111111111116E-2</v>
      </c>
      <c r="U122" s="258"/>
      <c r="V122" s="257"/>
      <c r="W122" s="262">
        <v>0.35069444444444442</v>
      </c>
      <c r="X122" s="258"/>
      <c r="Y122" s="257"/>
      <c r="Z122" s="262">
        <v>0.44930555555555557</v>
      </c>
      <c r="AA122" s="258"/>
      <c r="AB122" s="257"/>
      <c r="AD122" s="203">
        <v>1</v>
      </c>
      <c r="AE122" s="203">
        <v>1</v>
      </c>
    </row>
    <row r="123" spans="1:34" ht="14.45" customHeight="1">
      <c r="A123" s="259">
        <f t="shared" si="1"/>
        <v>46218</v>
      </c>
      <c r="B123" s="260"/>
      <c r="C123" s="260"/>
      <c r="D123" s="260"/>
      <c r="E123" s="260"/>
      <c r="F123" s="260"/>
      <c r="G123" s="261"/>
      <c r="H123" s="204"/>
      <c r="I123" s="205"/>
      <c r="J123" s="206"/>
      <c r="K123" s="204"/>
      <c r="L123" s="205"/>
      <c r="M123" s="206"/>
      <c r="N123" s="262">
        <v>0.31180555555555556</v>
      </c>
      <c r="O123" s="257"/>
      <c r="P123" s="200">
        <v>0.89097222222222217</v>
      </c>
      <c r="Q123" s="199"/>
      <c r="R123" s="256"/>
      <c r="S123" s="257"/>
      <c r="T123" s="262">
        <v>0.21736111111111112</v>
      </c>
      <c r="U123" s="258"/>
      <c r="V123" s="257"/>
      <c r="W123" s="262">
        <v>0.35069444444444442</v>
      </c>
      <c r="X123" s="258"/>
      <c r="Y123" s="257"/>
      <c r="Z123" s="262">
        <v>0.57847222222222217</v>
      </c>
      <c r="AA123" s="258"/>
      <c r="AB123" s="257"/>
      <c r="AD123" s="203">
        <v>1</v>
      </c>
      <c r="AE123" s="203">
        <v>3</v>
      </c>
    </row>
    <row r="124" spans="1:34" ht="14.45" customHeight="1">
      <c r="A124" s="259">
        <f t="shared" si="1"/>
        <v>46219</v>
      </c>
      <c r="B124" s="260"/>
      <c r="C124" s="260"/>
      <c r="D124" s="260"/>
      <c r="E124" s="260"/>
      <c r="F124" s="260"/>
      <c r="G124" s="261"/>
      <c r="H124" s="204"/>
      <c r="I124" s="205"/>
      <c r="J124" s="206"/>
      <c r="K124" s="204"/>
      <c r="L124" s="205"/>
      <c r="M124" s="206"/>
      <c r="N124" s="262">
        <v>0.31805555555555554</v>
      </c>
      <c r="O124" s="257"/>
      <c r="P124" s="200">
        <v>0.89097222222222217</v>
      </c>
      <c r="Q124" s="199"/>
      <c r="R124" s="256"/>
      <c r="S124" s="257"/>
      <c r="T124" s="262">
        <v>0.21736111111111112</v>
      </c>
      <c r="U124" s="258"/>
      <c r="V124" s="257"/>
      <c r="W124" s="262">
        <v>0.35069444444444442</v>
      </c>
      <c r="X124" s="258"/>
      <c r="Y124" s="257"/>
      <c r="Z124" s="262">
        <v>0.57291666666666663</v>
      </c>
      <c r="AA124" s="258"/>
      <c r="AB124" s="257"/>
      <c r="AD124" s="212">
        <v>1</v>
      </c>
      <c r="AE124" s="212">
        <v>3</v>
      </c>
    </row>
    <row r="125" spans="1:34" ht="14.45" customHeight="1">
      <c r="A125" s="259">
        <f t="shared" si="1"/>
        <v>46220</v>
      </c>
      <c r="B125" s="260"/>
      <c r="C125" s="260"/>
      <c r="D125" s="260"/>
      <c r="E125" s="260"/>
      <c r="F125" s="260"/>
      <c r="G125" s="261"/>
      <c r="H125" s="204"/>
      <c r="I125" s="205"/>
      <c r="J125" s="206"/>
      <c r="K125" s="204"/>
      <c r="L125" s="205"/>
      <c r="M125" s="206"/>
      <c r="N125" s="262">
        <v>0.32013888888888892</v>
      </c>
      <c r="O125" s="257"/>
      <c r="P125" s="200">
        <v>0.88888888888888884</v>
      </c>
      <c r="Q125" s="199"/>
      <c r="R125" s="256"/>
      <c r="S125" s="257"/>
      <c r="T125" s="262">
        <v>0.21527777777777779</v>
      </c>
      <c r="U125" s="258"/>
      <c r="V125" s="257"/>
      <c r="W125" s="262">
        <v>0.35069444444444442</v>
      </c>
      <c r="X125" s="258"/>
      <c r="Y125" s="257"/>
      <c r="Z125" s="262">
        <v>0.56874999999999998</v>
      </c>
      <c r="AA125" s="258"/>
      <c r="AB125" s="257"/>
      <c r="AD125" s="212">
        <v>1</v>
      </c>
      <c r="AE125" s="212">
        <v>3</v>
      </c>
    </row>
    <row r="126" spans="1:34" ht="14.45" customHeight="1">
      <c r="A126" s="259">
        <f t="shared" si="1"/>
        <v>46221</v>
      </c>
      <c r="B126" s="260"/>
      <c r="C126" s="260"/>
      <c r="D126" s="260"/>
      <c r="E126" s="260"/>
      <c r="F126" s="260"/>
      <c r="G126" s="261"/>
      <c r="H126" s="204"/>
      <c r="I126" s="205"/>
      <c r="J126" s="206"/>
      <c r="K126" s="204"/>
      <c r="L126" s="205"/>
      <c r="M126" s="206"/>
      <c r="N126" s="262">
        <v>0.31666666666666665</v>
      </c>
      <c r="O126" s="257"/>
      <c r="P126" s="200">
        <v>0.68819444444444444</v>
      </c>
      <c r="Q126" s="199"/>
      <c r="R126" s="256"/>
      <c r="S126" s="257"/>
      <c r="T126" s="262">
        <v>5.6250000000000001E-2</v>
      </c>
      <c r="U126" s="258"/>
      <c r="V126" s="257"/>
      <c r="W126" s="262">
        <v>0.30902777777777779</v>
      </c>
      <c r="X126" s="258"/>
      <c r="Y126" s="257"/>
      <c r="Z126" s="262">
        <v>0.37083333333333335</v>
      </c>
      <c r="AA126" s="258"/>
      <c r="AB126" s="257"/>
      <c r="AD126" s="212">
        <v>1</v>
      </c>
      <c r="AE126" s="212"/>
    </row>
    <row r="127" spans="1:34" ht="14.45" customHeight="1">
      <c r="A127" s="263">
        <f t="shared" si="1"/>
        <v>46222</v>
      </c>
      <c r="B127" s="264"/>
      <c r="C127" s="264"/>
      <c r="D127" s="264"/>
      <c r="E127" s="264"/>
      <c r="F127" s="264"/>
      <c r="G127" s="265"/>
      <c r="H127" s="266">
        <v>0.32291666666666669</v>
      </c>
      <c r="I127" s="280"/>
      <c r="J127" s="281"/>
      <c r="K127" s="266">
        <v>0.625</v>
      </c>
      <c r="L127" s="280"/>
      <c r="M127" s="281"/>
      <c r="N127" s="256"/>
      <c r="O127" s="257"/>
      <c r="P127" s="199"/>
      <c r="Q127" s="199"/>
      <c r="R127" s="256"/>
      <c r="S127" s="257"/>
      <c r="T127" s="256"/>
      <c r="U127" s="258"/>
      <c r="V127" s="257"/>
      <c r="W127" s="256"/>
      <c r="X127" s="258"/>
      <c r="Y127" s="257"/>
      <c r="Z127" s="256"/>
      <c r="AA127" s="258"/>
      <c r="AB127" s="257"/>
      <c r="AD127" s="212"/>
      <c r="AE127" s="212"/>
    </row>
    <row r="128" spans="1:34" ht="14.45" customHeight="1">
      <c r="A128" s="259">
        <f t="shared" si="1"/>
        <v>46223</v>
      </c>
      <c r="B128" s="260"/>
      <c r="C128" s="260"/>
      <c r="D128" s="260"/>
      <c r="E128" s="260"/>
      <c r="F128" s="260"/>
      <c r="G128" s="261"/>
      <c r="H128" s="266">
        <v>0.32291666666666669</v>
      </c>
      <c r="I128" s="280"/>
      <c r="J128" s="281"/>
      <c r="K128" s="266">
        <v>0.66666666666666663</v>
      </c>
      <c r="L128" s="280"/>
      <c r="M128" s="281"/>
      <c r="N128" s="262">
        <v>0.31944444444444448</v>
      </c>
      <c r="O128" s="257"/>
      <c r="P128" s="200">
        <v>0.68958333333333333</v>
      </c>
      <c r="Q128" s="199"/>
      <c r="R128" s="256"/>
      <c r="S128" s="257"/>
      <c r="T128" s="262">
        <v>1.5972222222222224E-2</v>
      </c>
      <c r="U128" s="258"/>
      <c r="V128" s="257"/>
      <c r="W128" s="262">
        <v>0.35069444444444442</v>
      </c>
      <c r="X128" s="258"/>
      <c r="Y128" s="257"/>
      <c r="Z128" s="262">
        <v>0.37013888888888885</v>
      </c>
      <c r="AA128" s="258"/>
      <c r="AB128" s="257"/>
      <c r="AD128" s="212"/>
      <c r="AE128" s="212"/>
    </row>
    <row r="129" spans="1:36" ht="14.45" customHeight="1">
      <c r="A129" s="259">
        <f t="shared" si="1"/>
        <v>46224</v>
      </c>
      <c r="B129" s="260"/>
      <c r="C129" s="260"/>
      <c r="D129" s="260"/>
      <c r="E129" s="260"/>
      <c r="F129" s="260"/>
      <c r="G129" s="261"/>
      <c r="H129" s="266">
        <v>0.32291666666666669</v>
      </c>
      <c r="I129" s="280"/>
      <c r="J129" s="281"/>
      <c r="K129" s="266">
        <v>0.66666666666666663</v>
      </c>
      <c r="L129" s="280"/>
      <c r="M129" s="281"/>
      <c r="N129" s="262">
        <v>0.31527777777777777</v>
      </c>
      <c r="O129" s="257"/>
      <c r="P129" s="200">
        <v>0.76874999999999993</v>
      </c>
      <c r="Q129" s="199"/>
      <c r="R129" s="256"/>
      <c r="S129" s="257"/>
      <c r="T129" s="262">
        <v>9.5138888888888884E-2</v>
      </c>
      <c r="U129" s="258"/>
      <c r="V129" s="257"/>
      <c r="W129" s="262">
        <v>0.35069444444444442</v>
      </c>
      <c r="X129" s="258"/>
      <c r="Y129" s="257"/>
      <c r="Z129" s="262">
        <v>0.45277777777777778</v>
      </c>
      <c r="AA129" s="258"/>
      <c r="AB129" s="257"/>
      <c r="AD129" s="212">
        <v>1</v>
      </c>
      <c r="AE129" s="212">
        <v>1</v>
      </c>
    </row>
    <row r="130" spans="1:36" ht="14.45" customHeight="1">
      <c r="A130" s="259">
        <f t="shared" si="1"/>
        <v>46225</v>
      </c>
      <c r="B130" s="260"/>
      <c r="C130" s="260"/>
      <c r="D130" s="260"/>
      <c r="E130" s="260"/>
      <c r="F130" s="260"/>
      <c r="G130" s="261"/>
      <c r="H130" s="266">
        <v>0.32291666666666669</v>
      </c>
      <c r="I130" s="280"/>
      <c r="J130" s="281"/>
      <c r="K130" s="266">
        <v>0.66666666666666663</v>
      </c>
      <c r="L130" s="280"/>
      <c r="M130" s="281"/>
      <c r="N130" s="262">
        <v>0.31736111111111115</v>
      </c>
      <c r="O130" s="257"/>
      <c r="P130" s="200">
        <v>0.88958333333333339</v>
      </c>
      <c r="Q130" s="199"/>
      <c r="R130" s="256"/>
      <c r="S130" s="257"/>
      <c r="T130" s="262">
        <v>0.21597222222222223</v>
      </c>
      <c r="U130" s="258"/>
      <c r="V130" s="257"/>
      <c r="W130" s="262">
        <v>0.35069444444444442</v>
      </c>
      <c r="X130" s="258"/>
      <c r="Y130" s="257"/>
      <c r="Z130" s="262">
        <v>0.57222222222222219</v>
      </c>
      <c r="AA130" s="258"/>
      <c r="AB130" s="257"/>
      <c r="AD130" s="203">
        <v>1</v>
      </c>
      <c r="AE130" s="203">
        <v>3</v>
      </c>
    </row>
    <row r="131" spans="1:36" ht="14.45" customHeight="1">
      <c r="A131" s="259">
        <f t="shared" si="1"/>
        <v>46226</v>
      </c>
      <c r="B131" s="260"/>
      <c r="C131" s="260"/>
      <c r="D131" s="260"/>
      <c r="E131" s="260"/>
      <c r="F131" s="260"/>
      <c r="G131" s="261"/>
      <c r="H131" s="266">
        <v>0.32291666666666669</v>
      </c>
      <c r="I131" s="280"/>
      <c r="J131" s="281"/>
      <c r="K131" s="266">
        <v>0.66666666666666663</v>
      </c>
      <c r="L131" s="280"/>
      <c r="M131" s="281"/>
      <c r="N131" s="262">
        <v>0.31597222222222221</v>
      </c>
      <c r="O131" s="257"/>
      <c r="P131" s="200">
        <v>0.76458333333333339</v>
      </c>
      <c r="Q131" s="199"/>
      <c r="R131" s="256"/>
      <c r="S131" s="257"/>
      <c r="T131" s="262">
        <v>9.0972222222222218E-2</v>
      </c>
      <c r="U131" s="258"/>
      <c r="V131" s="257"/>
      <c r="W131" s="262">
        <v>0.35069444444444442</v>
      </c>
      <c r="X131" s="258"/>
      <c r="Y131" s="257"/>
      <c r="Z131" s="262">
        <v>0.44791666666666669</v>
      </c>
      <c r="AA131" s="258"/>
      <c r="AB131" s="257"/>
      <c r="AD131" s="203">
        <v>1</v>
      </c>
      <c r="AE131" s="203">
        <v>1</v>
      </c>
    </row>
    <row r="132" spans="1:36" ht="14.45" customHeight="1">
      <c r="A132" s="259">
        <f t="shared" si="1"/>
        <v>46227</v>
      </c>
      <c r="B132" s="260"/>
      <c r="C132" s="260"/>
      <c r="D132" s="260"/>
      <c r="E132" s="260"/>
      <c r="F132" s="260"/>
      <c r="G132" s="261"/>
      <c r="H132" s="266">
        <v>0.32291666666666669</v>
      </c>
      <c r="I132" s="280"/>
      <c r="J132" s="281"/>
      <c r="K132" s="266">
        <v>0.66666666666666663</v>
      </c>
      <c r="L132" s="280"/>
      <c r="M132" s="281"/>
      <c r="N132" s="262">
        <v>0.31458333333333333</v>
      </c>
      <c r="O132" s="257"/>
      <c r="P132" s="200">
        <v>0.77430555555555547</v>
      </c>
      <c r="Q132" s="199"/>
      <c r="R132" s="256"/>
      <c r="S132" s="257"/>
      <c r="T132" s="262">
        <v>0.10069444444444443</v>
      </c>
      <c r="U132" s="258"/>
      <c r="V132" s="257"/>
      <c r="W132" s="262">
        <v>0.35069444444444442</v>
      </c>
      <c r="X132" s="258"/>
      <c r="Y132" s="257"/>
      <c r="Z132" s="262">
        <v>0.4597222222222222</v>
      </c>
      <c r="AA132" s="258"/>
      <c r="AB132" s="257"/>
      <c r="AD132" s="203">
        <v>1</v>
      </c>
      <c r="AE132" s="203">
        <v>1</v>
      </c>
    </row>
    <row r="133" spans="1:36" ht="14.45" customHeight="1">
      <c r="A133" s="259">
        <f t="shared" si="1"/>
        <v>46228</v>
      </c>
      <c r="B133" s="260"/>
      <c r="C133" s="260"/>
      <c r="D133" s="260"/>
      <c r="E133" s="260"/>
      <c r="F133" s="260"/>
      <c r="G133" s="261"/>
      <c r="H133" s="204"/>
      <c r="I133" s="205"/>
      <c r="J133" s="206"/>
      <c r="K133" s="204"/>
      <c r="L133" s="205"/>
      <c r="M133" s="206"/>
      <c r="N133" s="262">
        <v>0.31597222222222221</v>
      </c>
      <c r="O133" s="257"/>
      <c r="P133" s="200">
        <v>0.69444444444444453</v>
      </c>
      <c r="Q133" s="199"/>
      <c r="R133" s="256"/>
      <c r="S133" s="257"/>
      <c r="T133" s="262">
        <v>6.25E-2</v>
      </c>
      <c r="U133" s="258"/>
      <c r="V133" s="257"/>
      <c r="W133" s="262">
        <v>0.30902777777777779</v>
      </c>
      <c r="X133" s="258"/>
      <c r="Y133" s="257"/>
      <c r="Z133" s="262">
        <v>0.37777777777777777</v>
      </c>
      <c r="AA133" s="258"/>
      <c r="AB133" s="257"/>
      <c r="AD133" s="203">
        <v>1</v>
      </c>
    </row>
    <row r="134" spans="1:36" ht="14.45" customHeight="1">
      <c r="A134" s="263">
        <f t="shared" si="1"/>
        <v>46229</v>
      </c>
      <c r="B134" s="264"/>
      <c r="C134" s="264"/>
      <c r="D134" s="264"/>
      <c r="E134" s="264"/>
      <c r="F134" s="264"/>
      <c r="G134" s="265"/>
      <c r="H134" s="204"/>
      <c r="I134" s="205"/>
      <c r="J134" s="206"/>
      <c r="K134" s="204"/>
      <c r="L134" s="205"/>
      <c r="M134" s="206"/>
      <c r="N134" s="256"/>
      <c r="O134" s="257"/>
      <c r="P134" s="199"/>
      <c r="Q134" s="199"/>
      <c r="R134" s="256"/>
      <c r="S134" s="257"/>
      <c r="T134" s="256"/>
      <c r="U134" s="258"/>
      <c r="V134" s="257"/>
      <c r="W134" s="256"/>
      <c r="X134" s="258"/>
      <c r="Y134" s="257"/>
      <c r="Z134" s="256"/>
      <c r="AA134" s="258"/>
      <c r="AB134" s="257"/>
    </row>
    <row r="135" spans="1:36" ht="14.45" customHeight="1">
      <c r="A135" s="259">
        <f t="shared" si="1"/>
        <v>46230</v>
      </c>
      <c r="B135" s="260"/>
      <c r="C135" s="260"/>
      <c r="D135" s="260"/>
      <c r="E135" s="260"/>
      <c r="F135" s="260"/>
      <c r="G135" s="261"/>
      <c r="H135" s="204"/>
      <c r="I135" s="205"/>
      <c r="J135" s="206"/>
      <c r="K135" s="204"/>
      <c r="L135" s="205"/>
      <c r="M135" s="206"/>
      <c r="N135" s="262">
        <v>0.32013888888888892</v>
      </c>
      <c r="O135" s="257"/>
      <c r="P135" s="200">
        <v>0.71597222222222223</v>
      </c>
      <c r="Q135" s="199"/>
      <c r="R135" s="256"/>
      <c r="S135" s="257"/>
      <c r="T135" s="262">
        <v>4.2361111111111106E-2</v>
      </c>
      <c r="U135" s="258"/>
      <c r="V135" s="257"/>
      <c r="W135" s="262">
        <v>0.35069444444444442</v>
      </c>
      <c r="X135" s="258"/>
      <c r="Y135" s="257"/>
      <c r="Z135" s="262">
        <v>0.39513888888888887</v>
      </c>
      <c r="AA135" s="258"/>
      <c r="AB135" s="257"/>
      <c r="AD135" s="203">
        <v>1</v>
      </c>
    </row>
    <row r="136" spans="1:36" ht="14.45" customHeight="1">
      <c r="A136" s="259">
        <f t="shared" si="1"/>
        <v>46231</v>
      </c>
      <c r="B136" s="260"/>
      <c r="C136" s="260"/>
      <c r="D136" s="260"/>
      <c r="E136" s="260"/>
      <c r="F136" s="260"/>
      <c r="G136" s="261"/>
      <c r="H136" s="204"/>
      <c r="I136" s="205"/>
      <c r="J136" s="206"/>
      <c r="K136" s="204"/>
      <c r="L136" s="205"/>
      <c r="M136" s="206"/>
      <c r="N136" s="262">
        <v>0.31319444444444444</v>
      </c>
      <c r="O136" s="257"/>
      <c r="P136" s="200">
        <v>0.70000000000000007</v>
      </c>
      <c r="Q136" s="199"/>
      <c r="R136" s="256"/>
      <c r="S136" s="257"/>
      <c r="T136" s="262">
        <v>2.6388888888888889E-2</v>
      </c>
      <c r="U136" s="258"/>
      <c r="V136" s="257"/>
      <c r="W136" s="262">
        <v>0.35069444444444442</v>
      </c>
      <c r="X136" s="258"/>
      <c r="Y136" s="257"/>
      <c r="Z136" s="262">
        <v>0.38611111111111113</v>
      </c>
      <c r="AA136" s="258"/>
      <c r="AB136" s="257"/>
    </row>
    <row r="137" spans="1:36" ht="14.45" customHeight="1">
      <c r="A137" s="259">
        <f t="shared" si="1"/>
        <v>46232</v>
      </c>
      <c r="B137" s="260"/>
      <c r="C137" s="260"/>
      <c r="D137" s="260"/>
      <c r="E137" s="260"/>
      <c r="F137" s="260"/>
      <c r="G137" s="261"/>
      <c r="H137" s="204"/>
      <c r="I137" s="205"/>
      <c r="J137" s="206"/>
      <c r="K137" s="204"/>
      <c r="L137" s="205"/>
      <c r="M137" s="206"/>
      <c r="N137" s="262">
        <v>0.31666666666666665</v>
      </c>
      <c r="O137" s="257"/>
      <c r="P137" s="200">
        <v>0.89166666666666661</v>
      </c>
      <c r="Q137" s="199"/>
      <c r="R137" s="256"/>
      <c r="S137" s="257"/>
      <c r="T137" s="262">
        <v>0.21805555555555556</v>
      </c>
      <c r="U137" s="258"/>
      <c r="V137" s="257"/>
      <c r="W137" s="262">
        <v>0.35069444444444442</v>
      </c>
      <c r="X137" s="258"/>
      <c r="Y137" s="257"/>
      <c r="Z137" s="262">
        <v>0.57430555555555551</v>
      </c>
      <c r="AA137" s="258"/>
      <c r="AB137" s="257"/>
      <c r="AD137" s="203">
        <v>1</v>
      </c>
      <c r="AE137" s="203">
        <v>3</v>
      </c>
    </row>
    <row r="138" spans="1:36" ht="14.45" customHeight="1">
      <c r="A138" s="259">
        <f t="shared" si="1"/>
        <v>46233</v>
      </c>
      <c r="B138" s="260"/>
      <c r="C138" s="260"/>
      <c r="D138" s="260"/>
      <c r="E138" s="260"/>
      <c r="F138" s="260"/>
      <c r="G138" s="261"/>
      <c r="H138" s="204"/>
      <c r="I138" s="205"/>
      <c r="J138" s="206"/>
      <c r="K138" s="204"/>
      <c r="L138" s="205"/>
      <c r="M138" s="206"/>
      <c r="N138" s="262">
        <v>0.31736111111111115</v>
      </c>
      <c r="O138" s="257"/>
      <c r="P138" s="200">
        <v>0.89097222222222217</v>
      </c>
      <c r="Q138" s="199"/>
      <c r="R138" s="256"/>
      <c r="S138" s="257"/>
      <c r="T138" s="262">
        <v>0.21736111111111112</v>
      </c>
      <c r="U138" s="258"/>
      <c r="V138" s="257"/>
      <c r="W138" s="262">
        <v>0.35069444444444442</v>
      </c>
      <c r="X138" s="258"/>
      <c r="Y138" s="257"/>
      <c r="Z138" s="262">
        <v>0.57361111111111118</v>
      </c>
      <c r="AA138" s="258"/>
      <c r="AB138" s="257"/>
      <c r="AD138" s="203">
        <v>1</v>
      </c>
      <c r="AE138" s="203">
        <v>3</v>
      </c>
    </row>
    <row r="139" spans="1:36" ht="14.45" customHeight="1">
      <c r="A139" s="259">
        <f t="shared" si="1"/>
        <v>46234</v>
      </c>
      <c r="B139" s="260"/>
      <c r="C139" s="260"/>
      <c r="D139" s="260"/>
      <c r="E139" s="260"/>
      <c r="F139" s="260"/>
      <c r="G139" s="261"/>
      <c r="H139" s="204"/>
      <c r="I139" s="205"/>
      <c r="J139" s="206"/>
      <c r="K139" s="204"/>
      <c r="L139" s="205"/>
      <c r="M139" s="206"/>
      <c r="N139" s="262">
        <v>0.32013888888888892</v>
      </c>
      <c r="O139" s="257"/>
      <c r="P139" s="200">
        <v>0.89027777777777783</v>
      </c>
      <c r="Q139" s="199"/>
      <c r="R139" s="256"/>
      <c r="S139" s="257"/>
      <c r="T139" s="262">
        <v>0.21666666666666667</v>
      </c>
      <c r="U139" s="258"/>
      <c r="V139" s="257"/>
      <c r="W139" s="262">
        <v>0.35069444444444442</v>
      </c>
      <c r="X139" s="258"/>
      <c r="Y139" s="257"/>
      <c r="Z139" s="262">
        <v>0.56944444444444442</v>
      </c>
      <c r="AA139" s="258"/>
      <c r="AB139" s="257"/>
      <c r="AD139" s="203">
        <v>1</v>
      </c>
      <c r="AE139" s="203">
        <v>3</v>
      </c>
    </row>
    <row r="140" spans="1:36" ht="33" customHeight="1">
      <c r="AD140" s="180">
        <f>SUM(AD109:AD139)*1.5</f>
        <v>36</v>
      </c>
      <c r="AE140" s="180">
        <f>SUM(AE109:AE139)*2</f>
        <v>68</v>
      </c>
      <c r="AF140" s="203">
        <f>SUM(AF109:AF139)*3</f>
        <v>0</v>
      </c>
      <c r="AG140" s="203">
        <f>SUM(AG109:AG139)*4</f>
        <v>0</v>
      </c>
      <c r="AH140" s="175">
        <f>SUM(AH109:AH139)</f>
        <v>0</v>
      </c>
      <c r="AJ140" s="177">
        <f>SUM(AJ109:AJ139)</f>
        <v>0</v>
      </c>
    </row>
    <row r="141" spans="1:36" ht="0.75" customHeight="1">
      <c r="B141" s="277" t="s">
        <v>417</v>
      </c>
      <c r="C141" s="277"/>
      <c r="V141" s="276"/>
      <c r="W141" s="276"/>
      <c r="X141" s="276"/>
    </row>
    <row r="142" spans="1:36" ht="0.75" customHeight="1">
      <c r="B142" s="277" t="s">
        <v>417</v>
      </c>
      <c r="C142" s="277"/>
      <c r="V142" s="276"/>
      <c r="W142" s="276"/>
      <c r="X142" s="276"/>
    </row>
    <row r="143" spans="1:36" ht="3" customHeight="1">
      <c r="B143" s="277"/>
      <c r="C143" s="277"/>
      <c r="F143" s="278">
        <v>10054</v>
      </c>
      <c r="G143" s="278"/>
      <c r="H143" s="278"/>
      <c r="I143" s="278"/>
      <c r="V143" s="276"/>
      <c r="W143" s="276"/>
      <c r="X143" s="276"/>
    </row>
    <row r="144" spans="1:36" ht="8.4499999999999993" customHeight="1">
      <c r="B144" s="277"/>
      <c r="C144" s="277"/>
      <c r="F144" s="278"/>
      <c r="G144" s="278"/>
      <c r="H144" s="278"/>
      <c r="I144" s="278"/>
    </row>
    <row r="145" spans="1:37" ht="0.75" customHeight="1">
      <c r="F145" s="278"/>
      <c r="G145" s="278"/>
      <c r="H145" s="278"/>
      <c r="I145" s="278"/>
    </row>
    <row r="146" spans="1:37" ht="5.45" customHeight="1">
      <c r="S146" s="279"/>
      <c r="T146" s="279"/>
      <c r="U146" s="279"/>
      <c r="V146" s="279"/>
      <c r="W146" s="279"/>
      <c r="X146" s="279"/>
      <c r="Y146" s="279"/>
      <c r="Z146" s="279"/>
    </row>
    <row r="147" spans="1:37" ht="0.75" customHeight="1">
      <c r="A147" s="277" t="s">
        <v>418</v>
      </c>
      <c r="B147" s="277"/>
      <c r="C147" s="277"/>
      <c r="S147" s="279"/>
      <c r="T147" s="279"/>
      <c r="U147" s="279"/>
      <c r="V147" s="279"/>
      <c r="W147" s="279"/>
      <c r="X147" s="279"/>
      <c r="Y147" s="279"/>
      <c r="Z147" s="279"/>
    </row>
    <row r="148" spans="1:37" ht="7.7" customHeight="1">
      <c r="A148" s="277"/>
      <c r="B148" s="277"/>
      <c r="C148" s="277"/>
      <c r="F148" s="278" t="s">
        <v>433</v>
      </c>
      <c r="G148" s="278"/>
      <c r="H148" s="278"/>
      <c r="I148" s="278"/>
      <c r="J148" s="278"/>
      <c r="K148" s="278"/>
      <c r="L148" s="278"/>
      <c r="M148" s="278"/>
      <c r="N148" s="278"/>
      <c r="S148" s="279"/>
      <c r="T148" s="279"/>
      <c r="U148" s="279"/>
      <c r="V148" s="279"/>
      <c r="W148" s="279"/>
      <c r="X148" s="279"/>
      <c r="Y148" s="279"/>
      <c r="Z148" s="279"/>
    </row>
    <row r="149" spans="1:37" ht="3.75" customHeight="1">
      <c r="A149" s="277"/>
      <c r="B149" s="277"/>
      <c r="C149" s="277"/>
      <c r="F149" s="278"/>
      <c r="G149" s="278"/>
      <c r="H149" s="278"/>
      <c r="I149" s="278"/>
      <c r="J149" s="278"/>
      <c r="K149" s="278"/>
      <c r="L149" s="278"/>
      <c r="M149" s="278"/>
      <c r="N149" s="278"/>
    </row>
    <row r="150" spans="1:37" ht="0.75" customHeight="1">
      <c r="F150" s="278"/>
      <c r="G150" s="278"/>
      <c r="H150" s="278"/>
      <c r="I150" s="278"/>
      <c r="J150" s="278"/>
      <c r="K150" s="278"/>
      <c r="L150" s="278"/>
      <c r="M150" s="278"/>
      <c r="N150" s="278"/>
    </row>
    <row r="151" spans="1:37" ht="9.1999999999999993" customHeight="1"/>
    <row r="152" spans="1:37" ht="18.399999999999999" customHeight="1">
      <c r="A152" s="271" t="s">
        <v>298</v>
      </c>
      <c r="B152" s="272"/>
      <c r="C152" s="272"/>
      <c r="D152" s="272"/>
      <c r="E152" s="272"/>
      <c r="F152" s="272"/>
      <c r="G152" s="273"/>
      <c r="H152" s="271" t="s">
        <v>299</v>
      </c>
      <c r="I152" s="272"/>
      <c r="J152" s="273"/>
      <c r="K152" s="271" t="s">
        <v>300</v>
      </c>
      <c r="L152" s="272"/>
      <c r="M152" s="273"/>
      <c r="N152" s="274" t="s">
        <v>419</v>
      </c>
      <c r="O152" s="275"/>
      <c r="P152" s="135" t="s">
        <v>420</v>
      </c>
      <c r="Q152" s="136" t="s">
        <v>421</v>
      </c>
      <c r="R152" s="271" t="s">
        <v>422</v>
      </c>
      <c r="S152" s="273"/>
      <c r="T152" s="271" t="s">
        <v>413</v>
      </c>
      <c r="U152" s="272"/>
      <c r="V152" s="273"/>
      <c r="W152" s="271" t="s">
        <v>423</v>
      </c>
      <c r="X152" s="272"/>
      <c r="Y152" s="273"/>
      <c r="Z152" s="271" t="s">
        <v>424</v>
      </c>
      <c r="AA152" s="272"/>
      <c r="AB152" s="273"/>
      <c r="AD152" s="203" t="s">
        <v>434</v>
      </c>
      <c r="AE152" s="203" t="s">
        <v>435</v>
      </c>
      <c r="AF152" s="203" t="s">
        <v>427</v>
      </c>
      <c r="AG152" s="203" t="s">
        <v>432</v>
      </c>
      <c r="AH152" s="175" t="s">
        <v>45</v>
      </c>
      <c r="AJ152" s="177" t="s">
        <v>12</v>
      </c>
    </row>
    <row r="153" spans="1:37" ht="3" customHeight="1"/>
    <row r="154" spans="1:37" ht="14.45" customHeight="1">
      <c r="A154" s="259">
        <f>A16</f>
        <v>46204</v>
      </c>
      <c r="B154" s="260"/>
      <c r="C154" s="260"/>
      <c r="D154" s="260"/>
      <c r="E154" s="260"/>
      <c r="F154" s="260"/>
      <c r="G154" s="261"/>
      <c r="H154" s="266">
        <v>0.32291666666666669</v>
      </c>
      <c r="I154" s="280"/>
      <c r="J154" s="281"/>
      <c r="K154" s="266">
        <v>0.66666666666666663</v>
      </c>
      <c r="L154" s="280"/>
      <c r="M154" s="281"/>
      <c r="N154" s="262">
        <v>0.29236111111111113</v>
      </c>
      <c r="O154" s="257"/>
      <c r="P154" s="200">
        <v>0.68055555555555547</v>
      </c>
      <c r="Q154" s="199"/>
      <c r="R154" s="256"/>
      <c r="S154" s="257"/>
      <c r="T154" s="262">
        <v>6.9444444444444441E-3</v>
      </c>
      <c r="U154" s="258"/>
      <c r="V154" s="257"/>
      <c r="W154" s="262">
        <v>0.35069444444444442</v>
      </c>
      <c r="X154" s="258"/>
      <c r="Y154" s="257"/>
      <c r="Z154" s="262">
        <v>0.38750000000000001</v>
      </c>
      <c r="AA154" s="258"/>
      <c r="AB154" s="257"/>
      <c r="AJ154" s="176"/>
      <c r="AK154" s="179"/>
    </row>
    <row r="155" spans="1:37" ht="14.45" customHeight="1">
      <c r="A155" s="259">
        <f t="shared" ref="A155:A184" si="2">A17</f>
        <v>46205</v>
      </c>
      <c r="B155" s="260"/>
      <c r="C155" s="260"/>
      <c r="D155" s="260"/>
      <c r="E155" s="260"/>
      <c r="F155" s="260"/>
      <c r="G155" s="261"/>
      <c r="H155" s="204"/>
      <c r="I155" s="205"/>
      <c r="J155" s="206"/>
      <c r="K155" s="204"/>
      <c r="L155" s="205"/>
      <c r="M155" s="206"/>
      <c r="N155" s="262">
        <v>0.2986111111111111</v>
      </c>
      <c r="O155" s="257"/>
      <c r="P155" s="200">
        <v>0.68263888888888891</v>
      </c>
      <c r="Q155" s="199"/>
      <c r="R155" s="256"/>
      <c r="S155" s="257"/>
      <c r="T155" s="262">
        <v>9.0277777777777787E-3</v>
      </c>
      <c r="U155" s="258"/>
      <c r="V155" s="257"/>
      <c r="W155" s="262">
        <v>0.35069444444444442</v>
      </c>
      <c r="X155" s="258"/>
      <c r="Y155" s="257"/>
      <c r="Z155" s="262">
        <v>0.3840277777777778</v>
      </c>
      <c r="AA155" s="258"/>
      <c r="AB155" s="257"/>
    </row>
    <row r="156" spans="1:37" ht="14.45" customHeight="1">
      <c r="A156" s="259">
        <f t="shared" si="2"/>
        <v>46206</v>
      </c>
      <c r="B156" s="260"/>
      <c r="C156" s="260"/>
      <c r="D156" s="260"/>
      <c r="E156" s="260"/>
      <c r="F156" s="260"/>
      <c r="G156" s="261"/>
      <c r="H156" s="204"/>
      <c r="I156" s="205"/>
      <c r="J156" s="206"/>
      <c r="K156" s="204"/>
      <c r="L156" s="205"/>
      <c r="M156" s="206"/>
      <c r="N156" s="262">
        <v>0.29236111111111113</v>
      </c>
      <c r="O156" s="257"/>
      <c r="P156" s="200">
        <v>0.6791666666666667</v>
      </c>
      <c r="Q156" s="199"/>
      <c r="R156" s="256"/>
      <c r="S156" s="257"/>
      <c r="T156" s="262">
        <v>5.5555555555555558E-3</v>
      </c>
      <c r="U156" s="258"/>
      <c r="V156" s="257"/>
      <c r="W156" s="262">
        <v>0.35069444444444442</v>
      </c>
      <c r="X156" s="258"/>
      <c r="Y156" s="257"/>
      <c r="Z156" s="262">
        <v>0.38680555555555557</v>
      </c>
      <c r="AA156" s="258"/>
      <c r="AB156" s="257"/>
    </row>
    <row r="157" spans="1:37" ht="14.45" customHeight="1">
      <c r="A157" s="259">
        <f t="shared" si="2"/>
        <v>46207</v>
      </c>
      <c r="B157" s="260"/>
      <c r="C157" s="260"/>
      <c r="D157" s="260"/>
      <c r="E157" s="260"/>
      <c r="F157" s="260"/>
      <c r="G157" s="261"/>
      <c r="H157" s="204"/>
      <c r="I157" s="205"/>
      <c r="J157" s="206"/>
      <c r="K157" s="204"/>
      <c r="L157" s="205"/>
      <c r="M157" s="206"/>
      <c r="N157" s="262">
        <v>0.29583333333333334</v>
      </c>
      <c r="O157" s="257"/>
      <c r="P157" s="200">
        <v>0.68333333333333324</v>
      </c>
      <c r="Q157" s="199"/>
      <c r="R157" s="256"/>
      <c r="S157" s="257"/>
      <c r="T157" s="262">
        <v>5.1388888888888894E-2</v>
      </c>
      <c r="U157" s="258"/>
      <c r="V157" s="257"/>
      <c r="W157" s="262">
        <v>0.30902777777777779</v>
      </c>
      <c r="X157" s="258"/>
      <c r="Y157" s="257"/>
      <c r="Z157" s="262">
        <v>0.38680555555555557</v>
      </c>
      <c r="AA157" s="258"/>
      <c r="AB157" s="257"/>
      <c r="AD157" s="203">
        <v>1</v>
      </c>
    </row>
    <row r="158" spans="1:37" ht="14.45" customHeight="1">
      <c r="A158" s="263">
        <f t="shared" si="2"/>
        <v>46208</v>
      </c>
      <c r="B158" s="264"/>
      <c r="C158" s="264"/>
      <c r="D158" s="264"/>
      <c r="E158" s="264"/>
      <c r="F158" s="264"/>
      <c r="G158" s="265"/>
      <c r="H158" s="204"/>
      <c r="I158" s="205"/>
      <c r="J158" s="206"/>
      <c r="K158" s="204"/>
      <c r="L158" s="205"/>
      <c r="M158" s="206"/>
      <c r="N158" s="256"/>
      <c r="O158" s="257"/>
      <c r="P158" s="199"/>
      <c r="Q158" s="199"/>
      <c r="R158" s="256"/>
      <c r="S158" s="257"/>
      <c r="T158" s="256"/>
      <c r="U158" s="258"/>
      <c r="V158" s="257"/>
      <c r="W158" s="256"/>
      <c r="X158" s="258"/>
      <c r="Y158" s="257"/>
      <c r="Z158" s="256"/>
      <c r="AA158" s="258"/>
      <c r="AB158" s="257"/>
    </row>
    <row r="159" spans="1:37" ht="14.45" customHeight="1">
      <c r="A159" s="259">
        <f t="shared" si="2"/>
        <v>46209</v>
      </c>
      <c r="B159" s="260"/>
      <c r="C159" s="260"/>
      <c r="D159" s="260"/>
      <c r="E159" s="260"/>
      <c r="F159" s="260"/>
      <c r="G159" s="261"/>
      <c r="H159" s="204"/>
      <c r="I159" s="205"/>
      <c r="J159" s="206"/>
      <c r="K159" s="204"/>
      <c r="L159" s="205"/>
      <c r="M159" s="206"/>
      <c r="N159" s="262">
        <v>0.29722222222222222</v>
      </c>
      <c r="O159" s="257"/>
      <c r="P159" s="200">
        <v>0.68055555555555547</v>
      </c>
      <c r="Q159" s="199"/>
      <c r="R159" s="256"/>
      <c r="S159" s="257"/>
      <c r="T159" s="262">
        <v>6.9444444444444441E-3</v>
      </c>
      <c r="U159" s="258"/>
      <c r="V159" s="257"/>
      <c r="W159" s="262">
        <v>0.35069444444444442</v>
      </c>
      <c r="X159" s="258"/>
      <c r="Y159" s="257"/>
      <c r="Z159" s="262">
        <v>0.38263888888888892</v>
      </c>
      <c r="AA159" s="258"/>
      <c r="AB159" s="257"/>
    </row>
    <row r="160" spans="1:37" ht="14.45" customHeight="1">
      <c r="A160" s="259">
        <f t="shared" si="2"/>
        <v>46210</v>
      </c>
      <c r="B160" s="260"/>
      <c r="C160" s="260"/>
      <c r="D160" s="260"/>
      <c r="E160" s="260"/>
      <c r="F160" s="260"/>
      <c r="G160" s="261"/>
      <c r="H160" s="204"/>
      <c r="I160" s="205"/>
      <c r="J160" s="206"/>
      <c r="K160" s="204"/>
      <c r="L160" s="205"/>
      <c r="M160" s="206"/>
      <c r="N160" s="262">
        <v>0.29236111111111113</v>
      </c>
      <c r="O160" s="257"/>
      <c r="P160" s="200">
        <v>0.77013888888888893</v>
      </c>
      <c r="Q160" s="199"/>
      <c r="R160" s="256"/>
      <c r="S160" s="257"/>
      <c r="T160" s="262">
        <v>9.6527777777777768E-2</v>
      </c>
      <c r="U160" s="258"/>
      <c r="V160" s="257"/>
      <c r="W160" s="262">
        <v>0.35069444444444442</v>
      </c>
      <c r="X160" s="258"/>
      <c r="Y160" s="257"/>
      <c r="Z160" s="262">
        <v>0.4770833333333333</v>
      </c>
      <c r="AA160" s="258"/>
      <c r="AB160" s="257"/>
      <c r="AD160" s="203">
        <v>1</v>
      </c>
      <c r="AE160" s="203">
        <v>1</v>
      </c>
    </row>
    <row r="161" spans="1:31" ht="14.45" customHeight="1">
      <c r="A161" s="259">
        <f t="shared" si="2"/>
        <v>46211</v>
      </c>
      <c r="B161" s="260"/>
      <c r="C161" s="260"/>
      <c r="D161" s="260"/>
      <c r="E161" s="260"/>
      <c r="F161" s="260"/>
      <c r="G161" s="261"/>
      <c r="H161" s="204"/>
      <c r="I161" s="205"/>
      <c r="J161" s="206"/>
      <c r="K161" s="204"/>
      <c r="L161" s="205"/>
      <c r="M161" s="206"/>
      <c r="N161" s="262">
        <v>0.29930555555555555</v>
      </c>
      <c r="O161" s="257"/>
      <c r="P161" s="200">
        <v>0.76458333333333339</v>
      </c>
      <c r="Q161" s="199"/>
      <c r="R161" s="256"/>
      <c r="S161" s="257"/>
      <c r="T161" s="262">
        <v>9.0972222222222218E-2</v>
      </c>
      <c r="U161" s="258"/>
      <c r="V161" s="257"/>
      <c r="W161" s="262">
        <v>0.35069444444444442</v>
      </c>
      <c r="X161" s="258"/>
      <c r="Y161" s="257"/>
      <c r="Z161" s="262">
        <v>0.46527777777777773</v>
      </c>
      <c r="AA161" s="258"/>
      <c r="AB161" s="257"/>
      <c r="AD161" s="203">
        <v>1</v>
      </c>
      <c r="AE161" s="203">
        <v>1</v>
      </c>
    </row>
    <row r="162" spans="1:31" ht="14.45" customHeight="1">
      <c r="A162" s="259">
        <f t="shared" si="2"/>
        <v>46212</v>
      </c>
      <c r="B162" s="260"/>
      <c r="C162" s="260"/>
      <c r="D162" s="260"/>
      <c r="E162" s="260"/>
      <c r="F162" s="260"/>
      <c r="G162" s="261"/>
      <c r="H162" s="204"/>
      <c r="I162" s="205"/>
      <c r="J162" s="206"/>
      <c r="K162" s="204"/>
      <c r="L162" s="205"/>
      <c r="M162" s="206"/>
      <c r="N162" s="262">
        <v>0.2902777777777778</v>
      </c>
      <c r="O162" s="257"/>
      <c r="P162" s="200">
        <v>0.68125000000000002</v>
      </c>
      <c r="Q162" s="199"/>
      <c r="R162" s="256"/>
      <c r="S162" s="257"/>
      <c r="T162" s="262">
        <v>7.6388888888888886E-3</v>
      </c>
      <c r="U162" s="258"/>
      <c r="V162" s="257"/>
      <c r="W162" s="262">
        <v>0.35069444444444442</v>
      </c>
      <c r="X162" s="258"/>
      <c r="Y162" s="257"/>
      <c r="Z162" s="262">
        <v>0.39097222222222222</v>
      </c>
      <c r="AA162" s="258"/>
      <c r="AB162" s="257"/>
    </row>
    <row r="163" spans="1:31" ht="14.45" customHeight="1">
      <c r="A163" s="259">
        <f t="shared" si="2"/>
        <v>46213</v>
      </c>
      <c r="B163" s="260"/>
      <c r="C163" s="260"/>
      <c r="D163" s="260"/>
      <c r="E163" s="260"/>
      <c r="F163" s="260"/>
      <c r="G163" s="261"/>
      <c r="H163" s="204"/>
      <c r="I163" s="205"/>
      <c r="J163" s="206"/>
      <c r="K163" s="204"/>
      <c r="L163" s="205"/>
      <c r="M163" s="206"/>
      <c r="N163" s="262">
        <v>0.29097222222222224</v>
      </c>
      <c r="O163" s="257"/>
      <c r="P163" s="200">
        <v>0.68194444444444446</v>
      </c>
      <c r="Q163" s="199"/>
      <c r="R163" s="256"/>
      <c r="S163" s="257"/>
      <c r="T163" s="262">
        <v>8.3333333333333332E-3</v>
      </c>
      <c r="U163" s="258"/>
      <c r="V163" s="257"/>
      <c r="W163" s="262">
        <v>0.35069444444444442</v>
      </c>
      <c r="X163" s="258"/>
      <c r="Y163" s="257"/>
      <c r="Z163" s="262">
        <v>0.39027777777777778</v>
      </c>
      <c r="AA163" s="258"/>
      <c r="AB163" s="257"/>
    </row>
    <row r="164" spans="1:31" ht="14.45" customHeight="1">
      <c r="A164" s="259">
        <f t="shared" si="2"/>
        <v>46214</v>
      </c>
      <c r="B164" s="260"/>
      <c r="C164" s="260"/>
      <c r="D164" s="260"/>
      <c r="E164" s="260"/>
      <c r="F164" s="260"/>
      <c r="G164" s="261"/>
      <c r="H164" s="204"/>
      <c r="I164" s="205"/>
      <c r="J164" s="206"/>
      <c r="K164" s="204"/>
      <c r="L164" s="205"/>
      <c r="M164" s="206"/>
      <c r="N164" s="262">
        <v>0.2902777777777778</v>
      </c>
      <c r="O164" s="257"/>
      <c r="P164" s="200">
        <v>0.68194444444444446</v>
      </c>
      <c r="Q164" s="199"/>
      <c r="R164" s="256"/>
      <c r="S164" s="257"/>
      <c r="T164" s="262">
        <v>4.9999999999999996E-2</v>
      </c>
      <c r="U164" s="258"/>
      <c r="V164" s="257"/>
      <c r="W164" s="262">
        <v>0.30902777777777779</v>
      </c>
      <c r="X164" s="258"/>
      <c r="Y164" s="257"/>
      <c r="Z164" s="262">
        <v>0.39097222222222222</v>
      </c>
      <c r="AA164" s="258"/>
      <c r="AB164" s="257"/>
      <c r="AD164" s="203">
        <v>1</v>
      </c>
    </row>
    <row r="165" spans="1:31" ht="14.45" customHeight="1">
      <c r="A165" s="263">
        <f t="shared" si="2"/>
        <v>46215</v>
      </c>
      <c r="B165" s="264"/>
      <c r="C165" s="264"/>
      <c r="D165" s="264"/>
      <c r="E165" s="264"/>
      <c r="F165" s="264"/>
      <c r="G165" s="265"/>
      <c r="H165" s="204"/>
      <c r="I165" s="205"/>
      <c r="J165" s="206"/>
      <c r="K165" s="204"/>
      <c r="L165" s="205"/>
      <c r="M165" s="206"/>
      <c r="N165" s="256"/>
      <c r="O165" s="257"/>
      <c r="P165" s="199"/>
      <c r="Q165" s="199"/>
      <c r="R165" s="256"/>
      <c r="S165" s="257"/>
      <c r="T165" s="256"/>
      <c r="U165" s="258"/>
      <c r="V165" s="257"/>
      <c r="W165" s="256"/>
      <c r="X165" s="258"/>
      <c r="Y165" s="257"/>
      <c r="Z165" s="256"/>
      <c r="AA165" s="258"/>
      <c r="AB165" s="257"/>
    </row>
    <row r="166" spans="1:31" ht="14.45" customHeight="1">
      <c r="A166" s="259">
        <f t="shared" si="2"/>
        <v>46216</v>
      </c>
      <c r="B166" s="260"/>
      <c r="C166" s="260"/>
      <c r="D166" s="260"/>
      <c r="E166" s="260"/>
      <c r="F166" s="260"/>
      <c r="G166" s="261"/>
      <c r="H166" s="204"/>
      <c r="I166" s="205"/>
      <c r="J166" s="206"/>
      <c r="K166" s="204"/>
      <c r="L166" s="205"/>
      <c r="M166" s="206"/>
      <c r="N166" s="262">
        <v>0.2902777777777778</v>
      </c>
      <c r="O166" s="257"/>
      <c r="P166" s="200">
        <v>0.76388888888888884</v>
      </c>
      <c r="Q166" s="199"/>
      <c r="R166" s="256"/>
      <c r="S166" s="257"/>
      <c r="T166" s="262">
        <v>9.0277777777777776E-2</v>
      </c>
      <c r="U166" s="258"/>
      <c r="V166" s="257"/>
      <c r="W166" s="262">
        <v>0.35069444444444442</v>
      </c>
      <c r="X166" s="258"/>
      <c r="Y166" s="257"/>
      <c r="Z166" s="262">
        <v>0.47291666666666665</v>
      </c>
      <c r="AA166" s="258"/>
      <c r="AB166" s="257"/>
      <c r="AD166" s="203">
        <v>1</v>
      </c>
      <c r="AE166" s="203">
        <v>1</v>
      </c>
    </row>
    <row r="167" spans="1:31" ht="14.45" customHeight="1">
      <c r="A167" s="259">
        <f t="shared" si="2"/>
        <v>46217</v>
      </c>
      <c r="B167" s="260"/>
      <c r="C167" s="260"/>
      <c r="D167" s="260"/>
      <c r="E167" s="260"/>
      <c r="F167" s="260"/>
      <c r="G167" s="261"/>
      <c r="H167" s="204"/>
      <c r="I167" s="205"/>
      <c r="J167" s="206"/>
      <c r="K167" s="204"/>
      <c r="L167" s="205"/>
      <c r="M167" s="206"/>
      <c r="N167" s="262">
        <v>0.29097222222222224</v>
      </c>
      <c r="O167" s="257"/>
      <c r="P167" s="200">
        <v>0.76597222222222217</v>
      </c>
      <c r="Q167" s="199"/>
      <c r="R167" s="256"/>
      <c r="S167" s="257"/>
      <c r="T167" s="262">
        <v>9.2361111111111116E-2</v>
      </c>
      <c r="U167" s="258"/>
      <c r="V167" s="257"/>
      <c r="W167" s="262">
        <v>0.35069444444444442</v>
      </c>
      <c r="X167" s="258"/>
      <c r="Y167" s="257"/>
      <c r="Z167" s="262">
        <v>0.47500000000000003</v>
      </c>
      <c r="AA167" s="258"/>
      <c r="AB167" s="257"/>
      <c r="AD167" s="203">
        <v>1</v>
      </c>
      <c r="AE167" s="203">
        <v>1</v>
      </c>
    </row>
    <row r="168" spans="1:31" ht="14.45" customHeight="1">
      <c r="A168" s="259">
        <f t="shared" si="2"/>
        <v>46218</v>
      </c>
      <c r="B168" s="260"/>
      <c r="C168" s="260"/>
      <c r="D168" s="260"/>
      <c r="E168" s="260"/>
      <c r="F168" s="260"/>
      <c r="G168" s="261"/>
      <c r="H168" s="204"/>
      <c r="I168" s="205"/>
      <c r="J168" s="206"/>
      <c r="K168" s="204"/>
      <c r="L168" s="205"/>
      <c r="M168" s="206"/>
      <c r="N168" s="262">
        <v>0.28750000000000003</v>
      </c>
      <c r="O168" s="257"/>
      <c r="P168" s="200">
        <v>0.88888888888888884</v>
      </c>
      <c r="Q168" s="199"/>
      <c r="R168" s="256"/>
      <c r="S168" s="257"/>
      <c r="T168" s="262">
        <v>0.21527777777777779</v>
      </c>
      <c r="U168" s="258"/>
      <c r="V168" s="257"/>
      <c r="W168" s="262">
        <v>0.35069444444444442</v>
      </c>
      <c r="X168" s="258"/>
      <c r="Y168" s="257"/>
      <c r="Z168" s="262">
        <v>0.60069444444444442</v>
      </c>
      <c r="AA168" s="258"/>
      <c r="AB168" s="257"/>
      <c r="AD168" s="203">
        <v>1</v>
      </c>
      <c r="AE168" s="203">
        <v>3</v>
      </c>
    </row>
    <row r="169" spans="1:31" ht="14.45" customHeight="1">
      <c r="A169" s="259">
        <f t="shared" si="2"/>
        <v>46219</v>
      </c>
      <c r="B169" s="260"/>
      <c r="C169" s="260"/>
      <c r="D169" s="260"/>
      <c r="E169" s="260"/>
      <c r="F169" s="260"/>
      <c r="G169" s="261"/>
      <c r="H169" s="204"/>
      <c r="I169" s="205"/>
      <c r="J169" s="206"/>
      <c r="K169" s="204"/>
      <c r="L169" s="205"/>
      <c r="M169" s="206"/>
      <c r="N169" s="262">
        <v>0.29236111111111113</v>
      </c>
      <c r="O169" s="257"/>
      <c r="P169" s="200">
        <v>0.68055555555555547</v>
      </c>
      <c r="Q169" s="199"/>
      <c r="R169" s="256"/>
      <c r="S169" s="257"/>
      <c r="T169" s="262">
        <v>6.9444444444444441E-3</v>
      </c>
      <c r="U169" s="258"/>
      <c r="V169" s="257"/>
      <c r="W169" s="262">
        <v>0.35069444444444442</v>
      </c>
      <c r="X169" s="258"/>
      <c r="Y169" s="257"/>
      <c r="Z169" s="262">
        <v>0.38750000000000001</v>
      </c>
      <c r="AA169" s="258"/>
      <c r="AB169" s="257"/>
    </row>
    <row r="170" spans="1:31" ht="14.45" customHeight="1">
      <c r="A170" s="259">
        <f t="shared" si="2"/>
        <v>46220</v>
      </c>
      <c r="B170" s="260"/>
      <c r="C170" s="260"/>
      <c r="D170" s="260"/>
      <c r="E170" s="260"/>
      <c r="F170" s="260"/>
      <c r="G170" s="261"/>
      <c r="H170" s="204"/>
      <c r="I170" s="205"/>
      <c r="J170" s="206"/>
      <c r="K170" s="204"/>
      <c r="L170" s="205"/>
      <c r="M170" s="206"/>
      <c r="N170" s="262">
        <v>0.29305555555555557</v>
      </c>
      <c r="O170" s="257"/>
      <c r="P170" s="200">
        <v>0.68194444444444446</v>
      </c>
      <c r="Q170" s="199"/>
      <c r="R170" s="256"/>
      <c r="S170" s="257"/>
      <c r="T170" s="262">
        <v>8.3333333333333332E-3</v>
      </c>
      <c r="U170" s="258"/>
      <c r="V170" s="257"/>
      <c r="W170" s="262">
        <v>0.35069444444444442</v>
      </c>
      <c r="X170" s="258"/>
      <c r="Y170" s="257"/>
      <c r="Z170" s="262">
        <v>0.38819444444444445</v>
      </c>
      <c r="AA170" s="258"/>
      <c r="AB170" s="257"/>
    </row>
    <row r="171" spans="1:31" ht="14.45" customHeight="1">
      <c r="A171" s="259">
        <f t="shared" si="2"/>
        <v>46221</v>
      </c>
      <c r="B171" s="260"/>
      <c r="C171" s="260"/>
      <c r="D171" s="260"/>
      <c r="E171" s="260"/>
      <c r="F171" s="260"/>
      <c r="G171" s="261"/>
      <c r="H171" s="204"/>
      <c r="I171" s="205"/>
      <c r="J171" s="206"/>
      <c r="K171" s="204"/>
      <c r="L171" s="205"/>
      <c r="M171" s="206"/>
      <c r="N171" s="262">
        <v>0.28958333333333336</v>
      </c>
      <c r="O171" s="257"/>
      <c r="P171" s="200">
        <v>0.68125000000000002</v>
      </c>
      <c r="Q171" s="199"/>
      <c r="R171" s="256"/>
      <c r="S171" s="257"/>
      <c r="T171" s="262">
        <v>4.9305555555555554E-2</v>
      </c>
      <c r="U171" s="258"/>
      <c r="V171" s="257"/>
      <c r="W171" s="262">
        <v>0.30902777777777779</v>
      </c>
      <c r="X171" s="258"/>
      <c r="Y171" s="257"/>
      <c r="Z171" s="262">
        <v>0.39166666666666666</v>
      </c>
      <c r="AA171" s="258"/>
      <c r="AB171" s="257"/>
      <c r="AD171" s="203">
        <v>1</v>
      </c>
    </row>
    <row r="172" spans="1:31" ht="14.45" customHeight="1">
      <c r="A172" s="263">
        <f t="shared" si="2"/>
        <v>46222</v>
      </c>
      <c r="B172" s="264"/>
      <c r="C172" s="264"/>
      <c r="D172" s="264"/>
      <c r="E172" s="264"/>
      <c r="F172" s="264"/>
      <c r="G172" s="265"/>
      <c r="H172" s="204"/>
      <c r="I172" s="205"/>
      <c r="J172" s="206"/>
      <c r="K172" s="204"/>
      <c r="L172" s="205"/>
      <c r="M172" s="206"/>
      <c r="N172" s="256"/>
      <c r="O172" s="257"/>
      <c r="P172" s="199"/>
      <c r="Q172" s="199"/>
      <c r="R172" s="256"/>
      <c r="S172" s="257"/>
      <c r="T172" s="256"/>
      <c r="U172" s="258"/>
      <c r="V172" s="257"/>
      <c r="W172" s="256"/>
      <c r="X172" s="258"/>
      <c r="Y172" s="257"/>
      <c r="Z172" s="256"/>
      <c r="AA172" s="258"/>
      <c r="AB172" s="257"/>
    </row>
    <row r="173" spans="1:31" ht="14.45" customHeight="1">
      <c r="A173" s="259">
        <f t="shared" si="2"/>
        <v>46223</v>
      </c>
      <c r="B173" s="260"/>
      <c r="C173" s="260"/>
      <c r="D173" s="260"/>
      <c r="E173" s="260"/>
      <c r="F173" s="260"/>
      <c r="G173" s="261"/>
      <c r="H173" s="204"/>
      <c r="I173" s="205"/>
      <c r="J173" s="206"/>
      <c r="K173" s="204"/>
      <c r="L173" s="205"/>
      <c r="M173" s="206"/>
      <c r="N173" s="262">
        <v>0.2986111111111111</v>
      </c>
      <c r="O173" s="257"/>
      <c r="P173" s="200">
        <v>0.67986111111111114</v>
      </c>
      <c r="Q173" s="199"/>
      <c r="R173" s="256"/>
      <c r="S173" s="257"/>
      <c r="T173" s="262">
        <v>6.2499999999999995E-3</v>
      </c>
      <c r="U173" s="258"/>
      <c r="V173" s="257"/>
      <c r="W173" s="262">
        <v>0.35069444444444442</v>
      </c>
      <c r="X173" s="258"/>
      <c r="Y173" s="257"/>
      <c r="Z173" s="262">
        <v>0.38055555555555554</v>
      </c>
      <c r="AA173" s="258"/>
      <c r="AB173" s="257"/>
    </row>
    <row r="174" spans="1:31" ht="14.45" customHeight="1">
      <c r="A174" s="259">
        <f t="shared" si="2"/>
        <v>46224</v>
      </c>
      <c r="B174" s="260"/>
      <c r="C174" s="260"/>
      <c r="D174" s="260"/>
      <c r="E174" s="260"/>
      <c r="F174" s="260"/>
      <c r="G174" s="261"/>
      <c r="H174" s="204"/>
      <c r="I174" s="205"/>
      <c r="J174" s="206"/>
      <c r="K174" s="204"/>
      <c r="L174" s="205"/>
      <c r="M174" s="206"/>
      <c r="N174" s="262">
        <v>0.29444444444444445</v>
      </c>
      <c r="O174" s="257"/>
      <c r="P174" s="200">
        <v>0.7631944444444444</v>
      </c>
      <c r="Q174" s="199"/>
      <c r="R174" s="256"/>
      <c r="S174" s="257"/>
      <c r="T174" s="262">
        <v>8.9583333333333334E-2</v>
      </c>
      <c r="U174" s="258"/>
      <c r="V174" s="257"/>
      <c r="W174" s="262">
        <v>0.35069444444444442</v>
      </c>
      <c r="X174" s="258"/>
      <c r="Y174" s="257"/>
      <c r="Z174" s="262">
        <v>0.4680555555555555</v>
      </c>
      <c r="AA174" s="258"/>
      <c r="AB174" s="257"/>
      <c r="AD174" s="203">
        <v>1</v>
      </c>
      <c r="AE174" s="203">
        <v>1</v>
      </c>
    </row>
    <row r="175" spans="1:31" ht="14.45" customHeight="1">
      <c r="A175" s="259">
        <f t="shared" si="2"/>
        <v>46225</v>
      </c>
      <c r="B175" s="260"/>
      <c r="C175" s="260"/>
      <c r="D175" s="260"/>
      <c r="E175" s="260"/>
      <c r="F175" s="260"/>
      <c r="G175" s="261"/>
      <c r="H175" s="266">
        <v>0.32291666666666669</v>
      </c>
      <c r="I175" s="267"/>
      <c r="J175" s="268"/>
      <c r="K175" s="266">
        <v>0.625</v>
      </c>
      <c r="L175" s="267"/>
      <c r="M175" s="268"/>
      <c r="N175" s="262">
        <v>0.29791666666666666</v>
      </c>
      <c r="O175" s="257"/>
      <c r="P175" s="200">
        <v>0.8881944444444444</v>
      </c>
      <c r="Q175" s="199"/>
      <c r="R175" s="256"/>
      <c r="S175" s="257"/>
      <c r="T175" s="262">
        <v>0.21458333333333335</v>
      </c>
      <c r="U175" s="258"/>
      <c r="V175" s="257"/>
      <c r="W175" s="262">
        <v>0.35069444444444442</v>
      </c>
      <c r="X175" s="258"/>
      <c r="Y175" s="257"/>
      <c r="Z175" s="262">
        <v>0.58958333333333335</v>
      </c>
      <c r="AA175" s="258"/>
      <c r="AB175" s="257"/>
      <c r="AD175" s="203">
        <v>1</v>
      </c>
      <c r="AE175" s="203">
        <v>3</v>
      </c>
    </row>
    <row r="176" spans="1:31" ht="14.45" customHeight="1">
      <c r="A176" s="259">
        <f t="shared" si="2"/>
        <v>46226</v>
      </c>
      <c r="B176" s="260"/>
      <c r="C176" s="260"/>
      <c r="D176" s="260"/>
      <c r="E176" s="260"/>
      <c r="F176" s="260"/>
      <c r="G176" s="261"/>
      <c r="H176" s="266">
        <v>0.32291666666666669</v>
      </c>
      <c r="I176" s="267"/>
      <c r="J176" s="268"/>
      <c r="K176" s="266">
        <v>0.66666666666666663</v>
      </c>
      <c r="L176" s="267"/>
      <c r="M176" s="268"/>
      <c r="N176" s="262">
        <v>0.29791666666666666</v>
      </c>
      <c r="O176" s="257"/>
      <c r="P176" s="200">
        <v>0.8881944444444444</v>
      </c>
      <c r="Q176" s="199"/>
      <c r="R176" s="256"/>
      <c r="S176" s="257"/>
      <c r="T176" s="262">
        <v>0.21458333333333335</v>
      </c>
      <c r="U176" s="258"/>
      <c r="V176" s="257"/>
      <c r="W176" s="262">
        <v>0.35069444444444442</v>
      </c>
      <c r="X176" s="258"/>
      <c r="Y176" s="257"/>
      <c r="Z176" s="262">
        <v>0.59027777777777779</v>
      </c>
      <c r="AA176" s="258"/>
      <c r="AB176" s="257"/>
      <c r="AD176" s="203">
        <v>1</v>
      </c>
      <c r="AE176" s="203">
        <v>3</v>
      </c>
    </row>
    <row r="177" spans="1:36" ht="14.45" customHeight="1">
      <c r="A177" s="259">
        <f t="shared" si="2"/>
        <v>46227</v>
      </c>
      <c r="B177" s="260"/>
      <c r="C177" s="260"/>
      <c r="D177" s="260"/>
      <c r="E177" s="260"/>
      <c r="F177" s="260"/>
      <c r="G177" s="261"/>
      <c r="H177" s="266">
        <v>0.32291666666666669</v>
      </c>
      <c r="I177" s="267"/>
      <c r="J177" s="268"/>
      <c r="K177" s="266">
        <v>0.66666666666666663</v>
      </c>
      <c r="L177" s="267"/>
      <c r="M177" s="268"/>
      <c r="N177" s="262">
        <v>0.30069444444444443</v>
      </c>
      <c r="O177" s="257"/>
      <c r="P177" s="200">
        <v>0.68055555555555547</v>
      </c>
      <c r="Q177" s="199"/>
      <c r="R177" s="256"/>
      <c r="S177" s="257"/>
      <c r="T177" s="262">
        <v>6.9444444444444441E-3</v>
      </c>
      <c r="U177" s="258"/>
      <c r="V177" s="257"/>
      <c r="W177" s="262">
        <v>0.35069444444444442</v>
      </c>
      <c r="X177" s="258"/>
      <c r="Y177" s="257"/>
      <c r="Z177" s="262">
        <v>0.37916666666666665</v>
      </c>
      <c r="AA177" s="258"/>
      <c r="AB177" s="257"/>
    </row>
    <row r="178" spans="1:36" ht="14.45" customHeight="1">
      <c r="A178" s="259">
        <f t="shared" si="2"/>
        <v>46228</v>
      </c>
      <c r="B178" s="260"/>
      <c r="C178" s="260"/>
      <c r="D178" s="260"/>
      <c r="E178" s="260"/>
      <c r="F178" s="260"/>
      <c r="G178" s="261"/>
      <c r="H178" s="204"/>
      <c r="I178" s="205"/>
      <c r="J178" s="206"/>
      <c r="K178" s="204"/>
      <c r="L178" s="205"/>
      <c r="M178" s="206"/>
      <c r="N178" s="262">
        <v>0.29375000000000001</v>
      </c>
      <c r="O178" s="257"/>
      <c r="P178" s="200">
        <v>0.69305555555555554</v>
      </c>
      <c r="Q178" s="199"/>
      <c r="R178" s="256"/>
      <c r="S178" s="257"/>
      <c r="T178" s="262">
        <v>6.1111111111111116E-2</v>
      </c>
      <c r="U178" s="258"/>
      <c r="V178" s="257"/>
      <c r="W178" s="262">
        <v>0.30902777777777779</v>
      </c>
      <c r="X178" s="258"/>
      <c r="Y178" s="257"/>
      <c r="Z178" s="262">
        <v>0.39861111111111108</v>
      </c>
      <c r="AA178" s="258"/>
      <c r="AB178" s="257"/>
      <c r="AD178" s="203">
        <v>1</v>
      </c>
    </row>
    <row r="179" spans="1:36" ht="14.45" customHeight="1">
      <c r="A179" s="263">
        <f t="shared" si="2"/>
        <v>46229</v>
      </c>
      <c r="B179" s="264"/>
      <c r="C179" s="264"/>
      <c r="D179" s="264"/>
      <c r="E179" s="264"/>
      <c r="F179" s="264"/>
      <c r="G179" s="265"/>
      <c r="H179" s="204"/>
      <c r="I179" s="205"/>
      <c r="J179" s="206"/>
      <c r="K179" s="204"/>
      <c r="L179" s="205"/>
      <c r="M179" s="206"/>
      <c r="N179" s="256"/>
      <c r="O179" s="257"/>
      <c r="P179" s="199"/>
      <c r="Q179" s="199"/>
      <c r="R179" s="256"/>
      <c r="S179" s="257"/>
      <c r="T179" s="256"/>
      <c r="U179" s="258"/>
      <c r="V179" s="257"/>
      <c r="W179" s="256"/>
      <c r="X179" s="258"/>
      <c r="Y179" s="257"/>
      <c r="Z179" s="256"/>
      <c r="AA179" s="258"/>
      <c r="AB179" s="257"/>
    </row>
    <row r="180" spans="1:36" ht="14.45" customHeight="1">
      <c r="A180" s="259">
        <f t="shared" si="2"/>
        <v>46230</v>
      </c>
      <c r="B180" s="260"/>
      <c r="C180" s="260"/>
      <c r="D180" s="260"/>
      <c r="E180" s="260"/>
      <c r="F180" s="260"/>
      <c r="G180" s="261"/>
      <c r="H180" s="204"/>
      <c r="I180" s="205"/>
      <c r="J180" s="206"/>
      <c r="K180" s="204"/>
      <c r="L180" s="205"/>
      <c r="M180" s="206"/>
      <c r="N180" s="262">
        <v>0.30069444444444443</v>
      </c>
      <c r="O180" s="257"/>
      <c r="P180" s="200">
        <v>0.68263888888888891</v>
      </c>
      <c r="Q180" s="199"/>
      <c r="R180" s="256"/>
      <c r="S180" s="257"/>
      <c r="T180" s="262">
        <v>9.0277777777777787E-3</v>
      </c>
      <c r="U180" s="258"/>
      <c r="V180" s="257"/>
      <c r="W180" s="262">
        <v>0.35069444444444442</v>
      </c>
      <c r="X180" s="258"/>
      <c r="Y180" s="257"/>
      <c r="Z180" s="262">
        <v>0.38125000000000003</v>
      </c>
      <c r="AA180" s="258"/>
      <c r="AB180" s="257"/>
    </row>
    <row r="181" spans="1:36" ht="14.45" customHeight="1">
      <c r="A181" s="259">
        <f t="shared" si="2"/>
        <v>46231</v>
      </c>
      <c r="B181" s="260"/>
      <c r="C181" s="260"/>
      <c r="D181" s="260"/>
      <c r="E181" s="260"/>
      <c r="F181" s="260"/>
      <c r="G181" s="261"/>
      <c r="H181" s="204"/>
      <c r="I181" s="205"/>
      <c r="J181" s="206"/>
      <c r="K181" s="204"/>
      <c r="L181" s="205"/>
      <c r="M181" s="206"/>
      <c r="N181" s="262">
        <v>0.29583333333333334</v>
      </c>
      <c r="O181" s="257"/>
      <c r="P181" s="200">
        <v>0.68333333333333324</v>
      </c>
      <c r="Q181" s="199"/>
      <c r="R181" s="256"/>
      <c r="S181" s="257"/>
      <c r="T181" s="262">
        <v>9.7222222222222224E-3</v>
      </c>
      <c r="U181" s="258"/>
      <c r="V181" s="257"/>
      <c r="W181" s="262">
        <v>0.35069444444444442</v>
      </c>
      <c r="X181" s="258"/>
      <c r="Y181" s="257"/>
      <c r="Z181" s="262">
        <v>0.38680555555555557</v>
      </c>
      <c r="AA181" s="258"/>
      <c r="AB181" s="257"/>
    </row>
    <row r="182" spans="1:36" ht="14.45" customHeight="1">
      <c r="A182" s="259">
        <f t="shared" si="2"/>
        <v>46232</v>
      </c>
      <c r="B182" s="260"/>
      <c r="C182" s="260"/>
      <c r="D182" s="260"/>
      <c r="E182" s="260"/>
      <c r="F182" s="260"/>
      <c r="G182" s="261"/>
      <c r="H182" s="204"/>
      <c r="I182" s="205"/>
      <c r="J182" s="206"/>
      <c r="K182" s="204"/>
      <c r="L182" s="205"/>
      <c r="M182" s="206"/>
      <c r="N182" s="262">
        <v>0.29722222222222222</v>
      </c>
      <c r="O182" s="257"/>
      <c r="P182" s="200">
        <v>0.68194444444444446</v>
      </c>
      <c r="Q182" s="199"/>
      <c r="R182" s="256"/>
      <c r="S182" s="257"/>
      <c r="T182" s="262">
        <v>8.3333333333333332E-3</v>
      </c>
      <c r="U182" s="258"/>
      <c r="V182" s="257"/>
      <c r="W182" s="262">
        <v>0.35069444444444442</v>
      </c>
      <c r="X182" s="258"/>
      <c r="Y182" s="257"/>
      <c r="Z182" s="262">
        <v>0.3840277777777778</v>
      </c>
      <c r="AA182" s="258"/>
      <c r="AB182" s="257"/>
    </row>
    <row r="183" spans="1:36" ht="14.45" customHeight="1">
      <c r="A183" s="259">
        <f t="shared" si="2"/>
        <v>46233</v>
      </c>
      <c r="B183" s="260"/>
      <c r="C183" s="260"/>
      <c r="D183" s="260"/>
      <c r="E183" s="260"/>
      <c r="F183" s="260"/>
      <c r="G183" s="261"/>
      <c r="H183" s="204"/>
      <c r="I183" s="205"/>
      <c r="J183" s="206"/>
      <c r="K183" s="204"/>
      <c r="L183" s="205"/>
      <c r="M183" s="206"/>
      <c r="N183" s="262">
        <v>0.2951388888888889</v>
      </c>
      <c r="O183" s="257"/>
      <c r="P183" s="200">
        <v>0.68055555555555547</v>
      </c>
      <c r="Q183" s="199"/>
      <c r="R183" s="256"/>
      <c r="S183" s="257"/>
      <c r="T183" s="262">
        <v>6.9444444444444441E-3</v>
      </c>
      <c r="U183" s="258"/>
      <c r="V183" s="257"/>
      <c r="W183" s="262">
        <v>0.35069444444444442</v>
      </c>
      <c r="X183" s="258"/>
      <c r="Y183" s="257"/>
      <c r="Z183" s="262">
        <v>0.38472222222222219</v>
      </c>
      <c r="AA183" s="258"/>
      <c r="AB183" s="257"/>
    </row>
    <row r="184" spans="1:36" ht="14.45" customHeight="1">
      <c r="A184" s="259">
        <f t="shared" si="2"/>
        <v>46234</v>
      </c>
      <c r="B184" s="260"/>
      <c r="C184" s="260"/>
      <c r="D184" s="260"/>
      <c r="E184" s="260"/>
      <c r="F184" s="260"/>
      <c r="G184" s="261"/>
      <c r="H184" s="204"/>
      <c r="I184" s="205"/>
      <c r="J184" s="206"/>
      <c r="K184" s="204"/>
      <c r="L184" s="205"/>
      <c r="M184" s="206"/>
      <c r="N184" s="262">
        <v>0.29652777777777778</v>
      </c>
      <c r="O184" s="257"/>
      <c r="P184" s="200">
        <v>0.6791666666666667</v>
      </c>
      <c r="Q184" s="199"/>
      <c r="R184" s="256"/>
      <c r="S184" s="257"/>
      <c r="T184" s="262">
        <v>5.5555555555555558E-3</v>
      </c>
      <c r="U184" s="258"/>
      <c r="V184" s="257"/>
      <c r="W184" s="262">
        <v>0.35069444444444442</v>
      </c>
      <c r="X184" s="258"/>
      <c r="Y184" s="257"/>
      <c r="Z184" s="262">
        <v>0.38263888888888892</v>
      </c>
      <c r="AA184" s="258"/>
      <c r="AB184" s="257"/>
    </row>
    <row r="185" spans="1:36" ht="33" customHeight="1">
      <c r="AD185" s="180">
        <f>SUM(AD154:AD184)*1.5</f>
        <v>18</v>
      </c>
      <c r="AE185" s="180">
        <f>SUM(AE154:AE184)*2</f>
        <v>28</v>
      </c>
      <c r="AF185" s="203">
        <f>SUM(AF154:AF184)*3</f>
        <v>0</v>
      </c>
      <c r="AG185" s="203">
        <f>SUM(AG154:AG184)*4</f>
        <v>0</v>
      </c>
      <c r="AH185" s="175">
        <f>SUM(AH154:AH184)</f>
        <v>0</v>
      </c>
      <c r="AI185" s="176">
        <f>AH185/60</f>
        <v>0</v>
      </c>
      <c r="AJ185" s="177">
        <f>SUM(AJ154:AJ184)</f>
        <v>0</v>
      </c>
    </row>
    <row r="186" spans="1:36" ht="0.75" customHeight="1">
      <c r="B186" s="277" t="s">
        <v>417</v>
      </c>
      <c r="C186" s="277"/>
      <c r="V186" s="276"/>
      <c r="W186" s="276"/>
      <c r="X186" s="276"/>
    </row>
    <row r="187" spans="1:36" ht="15.75" customHeight="1">
      <c r="B187" s="277"/>
      <c r="C187" s="277"/>
      <c r="F187" s="278">
        <v>10100</v>
      </c>
      <c r="G187" s="278"/>
      <c r="H187" s="278"/>
      <c r="I187" s="278"/>
      <c r="V187" s="276"/>
      <c r="W187" s="276"/>
      <c r="X187" s="276"/>
    </row>
    <row r="188" spans="1:36" ht="8.4499999999999993" customHeight="1">
      <c r="B188" s="277"/>
      <c r="C188" s="277"/>
      <c r="F188" s="278"/>
      <c r="G188" s="278"/>
      <c r="H188" s="278"/>
      <c r="I188" s="278"/>
    </row>
    <row r="189" spans="1:36" ht="0.75" customHeight="1">
      <c r="F189" s="278"/>
      <c r="G189" s="278"/>
      <c r="H189" s="278"/>
      <c r="I189" s="278"/>
    </row>
    <row r="190" spans="1:36" ht="5.45" customHeight="1">
      <c r="S190" s="279"/>
      <c r="T190" s="279"/>
      <c r="U190" s="279"/>
      <c r="V190" s="279"/>
      <c r="W190" s="279"/>
      <c r="X190" s="279"/>
      <c r="Y190" s="279"/>
      <c r="Z190" s="279"/>
    </row>
    <row r="191" spans="1:36" ht="0.75" customHeight="1">
      <c r="A191" s="277" t="s">
        <v>418</v>
      </c>
      <c r="B191" s="277"/>
      <c r="C191" s="277"/>
      <c r="S191" s="279"/>
      <c r="T191" s="279"/>
      <c r="U191" s="279"/>
      <c r="V191" s="279"/>
      <c r="W191" s="279"/>
      <c r="X191" s="279"/>
      <c r="Y191" s="279"/>
      <c r="Z191" s="279"/>
    </row>
    <row r="192" spans="1:36" ht="7.7" customHeight="1">
      <c r="A192" s="277"/>
      <c r="B192" s="277"/>
      <c r="C192" s="277"/>
      <c r="F192" s="278" t="s">
        <v>196</v>
      </c>
      <c r="G192" s="278"/>
      <c r="H192" s="278"/>
      <c r="I192" s="278"/>
      <c r="J192" s="278"/>
      <c r="K192" s="278"/>
      <c r="L192" s="278"/>
      <c r="M192" s="278"/>
      <c r="N192" s="278"/>
      <c r="S192" s="279"/>
      <c r="T192" s="279"/>
      <c r="U192" s="279"/>
      <c r="V192" s="279"/>
      <c r="W192" s="279"/>
      <c r="X192" s="279"/>
      <c r="Y192" s="279"/>
      <c r="Z192" s="279"/>
    </row>
    <row r="193" spans="1:37" ht="3.75" customHeight="1">
      <c r="A193" s="277"/>
      <c r="B193" s="277"/>
      <c r="C193" s="277"/>
      <c r="F193" s="278"/>
      <c r="G193" s="278"/>
      <c r="H193" s="278"/>
      <c r="I193" s="278"/>
      <c r="J193" s="278"/>
      <c r="K193" s="278"/>
      <c r="L193" s="278"/>
      <c r="M193" s="278"/>
      <c r="N193" s="278"/>
    </row>
    <row r="194" spans="1:37" ht="0.75" customHeight="1">
      <c r="F194" s="278"/>
      <c r="G194" s="278"/>
      <c r="H194" s="278"/>
      <c r="I194" s="278"/>
      <c r="J194" s="278"/>
      <c r="K194" s="278"/>
      <c r="L194" s="278"/>
      <c r="M194" s="278"/>
      <c r="N194" s="278"/>
    </row>
    <row r="195" spans="1:37" ht="9.1999999999999993" customHeight="1"/>
    <row r="196" spans="1:37" ht="18.399999999999999" customHeight="1">
      <c r="A196" s="271" t="s">
        <v>298</v>
      </c>
      <c r="B196" s="272"/>
      <c r="C196" s="272"/>
      <c r="D196" s="272"/>
      <c r="E196" s="272"/>
      <c r="F196" s="272"/>
      <c r="G196" s="273"/>
      <c r="H196" s="271" t="s">
        <v>299</v>
      </c>
      <c r="I196" s="272"/>
      <c r="J196" s="273"/>
      <c r="K196" s="271" t="s">
        <v>300</v>
      </c>
      <c r="L196" s="272"/>
      <c r="M196" s="273"/>
      <c r="N196" s="274" t="s">
        <v>419</v>
      </c>
      <c r="O196" s="275"/>
      <c r="P196" s="135" t="s">
        <v>420</v>
      </c>
      <c r="Q196" s="136" t="s">
        <v>421</v>
      </c>
      <c r="R196" s="271" t="s">
        <v>422</v>
      </c>
      <c r="S196" s="273"/>
      <c r="T196" s="271" t="s">
        <v>413</v>
      </c>
      <c r="U196" s="272"/>
      <c r="V196" s="273"/>
      <c r="W196" s="271" t="s">
        <v>423</v>
      </c>
      <c r="X196" s="272"/>
      <c r="Y196" s="273"/>
      <c r="Z196" s="271" t="s">
        <v>424</v>
      </c>
      <c r="AA196" s="272"/>
      <c r="AB196" s="273"/>
      <c r="AD196" s="203" t="s">
        <v>425</v>
      </c>
      <c r="AE196" s="203" t="s">
        <v>426</v>
      </c>
      <c r="AF196" s="203" t="s">
        <v>427</v>
      </c>
      <c r="AG196" s="203" t="s">
        <v>428</v>
      </c>
      <c r="AH196" s="175" t="s">
        <v>45</v>
      </c>
      <c r="AJ196" s="177" t="s">
        <v>12</v>
      </c>
    </row>
    <row r="197" spans="1:37" ht="3" customHeight="1"/>
    <row r="198" spans="1:37" ht="14.45" customHeight="1">
      <c r="A198" s="259">
        <f>A16</f>
        <v>46204</v>
      </c>
      <c r="B198" s="260"/>
      <c r="C198" s="260"/>
      <c r="D198" s="260"/>
      <c r="E198" s="260"/>
      <c r="F198" s="260"/>
      <c r="G198" s="261"/>
      <c r="H198" s="266">
        <v>0.32291666666666669</v>
      </c>
      <c r="I198" s="267"/>
      <c r="J198" s="268"/>
      <c r="K198" s="266">
        <v>0.66666666666666663</v>
      </c>
      <c r="L198" s="267"/>
      <c r="M198" s="268"/>
      <c r="N198" s="262">
        <v>0.32222222222222224</v>
      </c>
      <c r="O198" s="257"/>
      <c r="P198" s="200">
        <v>0.68055555555555547</v>
      </c>
      <c r="Q198" s="199"/>
      <c r="R198" s="256"/>
      <c r="S198" s="257"/>
      <c r="T198" s="262">
        <v>6.9444444444444441E-3</v>
      </c>
      <c r="U198" s="258"/>
      <c r="V198" s="257"/>
      <c r="W198" s="262">
        <v>0.35069444444444442</v>
      </c>
      <c r="X198" s="258"/>
      <c r="Y198" s="257"/>
      <c r="Z198" s="262">
        <v>0.35833333333333334</v>
      </c>
      <c r="AA198" s="258"/>
      <c r="AB198" s="257"/>
      <c r="AJ198" s="176"/>
      <c r="AK198" s="179"/>
    </row>
    <row r="199" spans="1:37" ht="14.45" customHeight="1">
      <c r="A199" s="259">
        <f t="shared" ref="A199:A228" si="3">A17</f>
        <v>46205</v>
      </c>
      <c r="B199" s="260"/>
      <c r="C199" s="260"/>
      <c r="D199" s="260"/>
      <c r="E199" s="260"/>
      <c r="F199" s="260"/>
      <c r="G199" s="261"/>
      <c r="H199" s="204"/>
      <c r="I199" s="205"/>
      <c r="J199" s="206"/>
      <c r="K199" s="204"/>
      <c r="L199" s="205"/>
      <c r="M199" s="206"/>
      <c r="N199" s="262">
        <v>0.31805555555555554</v>
      </c>
      <c r="O199" s="257"/>
      <c r="P199" s="200">
        <v>0.68680555555555556</v>
      </c>
      <c r="Q199" s="199"/>
      <c r="R199" s="256"/>
      <c r="S199" s="257"/>
      <c r="T199" s="262">
        <v>1.3194444444444444E-2</v>
      </c>
      <c r="U199" s="258"/>
      <c r="V199" s="257"/>
      <c r="W199" s="262">
        <v>0.35069444444444442</v>
      </c>
      <c r="X199" s="258"/>
      <c r="Y199" s="257"/>
      <c r="Z199" s="262">
        <v>0.36874999999999997</v>
      </c>
      <c r="AA199" s="258"/>
      <c r="AB199" s="257"/>
    </row>
    <row r="200" spans="1:37" ht="14.45" customHeight="1">
      <c r="A200" s="259">
        <f t="shared" si="3"/>
        <v>46206</v>
      </c>
      <c r="B200" s="260"/>
      <c r="C200" s="260"/>
      <c r="D200" s="260"/>
      <c r="E200" s="260"/>
      <c r="F200" s="260"/>
      <c r="G200" s="261"/>
      <c r="H200" s="204"/>
      <c r="I200" s="205"/>
      <c r="J200" s="206"/>
      <c r="K200" s="204"/>
      <c r="L200" s="205"/>
      <c r="M200" s="206"/>
      <c r="N200" s="262">
        <v>0.31875000000000003</v>
      </c>
      <c r="O200" s="257"/>
      <c r="P200" s="200">
        <v>0.76388888888888884</v>
      </c>
      <c r="Q200" s="199"/>
      <c r="R200" s="256"/>
      <c r="S200" s="257"/>
      <c r="T200" s="262">
        <v>9.0277777777777776E-2</v>
      </c>
      <c r="U200" s="258"/>
      <c r="V200" s="257"/>
      <c r="W200" s="262">
        <v>0.35069444444444442</v>
      </c>
      <c r="X200" s="258"/>
      <c r="Y200" s="257"/>
      <c r="Z200" s="262">
        <v>0.44444444444444442</v>
      </c>
      <c r="AA200" s="258"/>
      <c r="AB200" s="257"/>
      <c r="AD200" s="203">
        <v>1</v>
      </c>
      <c r="AE200" s="203">
        <v>1</v>
      </c>
    </row>
    <row r="201" spans="1:37" ht="14.45" customHeight="1">
      <c r="A201" s="259">
        <f t="shared" si="3"/>
        <v>46207</v>
      </c>
      <c r="B201" s="260"/>
      <c r="C201" s="260"/>
      <c r="D201" s="260"/>
      <c r="E201" s="260"/>
      <c r="F201" s="260"/>
      <c r="G201" s="261"/>
      <c r="H201" s="204"/>
      <c r="I201" s="205"/>
      <c r="J201" s="206"/>
      <c r="K201" s="204"/>
      <c r="L201" s="205"/>
      <c r="M201" s="206"/>
      <c r="N201" s="262">
        <v>0.31666666666666665</v>
      </c>
      <c r="O201" s="257"/>
      <c r="P201" s="200">
        <v>0.68194444444444446</v>
      </c>
      <c r="Q201" s="199"/>
      <c r="R201" s="256"/>
      <c r="S201" s="257"/>
      <c r="T201" s="262">
        <v>4.9999999999999996E-2</v>
      </c>
      <c r="U201" s="258"/>
      <c r="V201" s="257"/>
      <c r="W201" s="262">
        <v>0.30902777777777779</v>
      </c>
      <c r="X201" s="258"/>
      <c r="Y201" s="257"/>
      <c r="Z201" s="262">
        <v>0.36458333333333331</v>
      </c>
      <c r="AA201" s="258"/>
      <c r="AB201" s="257"/>
      <c r="AD201" s="203">
        <v>1</v>
      </c>
    </row>
    <row r="202" spans="1:37" ht="14.45" customHeight="1">
      <c r="A202" s="263">
        <f t="shared" si="3"/>
        <v>46208</v>
      </c>
      <c r="B202" s="264"/>
      <c r="C202" s="264"/>
      <c r="D202" s="264"/>
      <c r="E202" s="264"/>
      <c r="F202" s="264"/>
      <c r="G202" s="265"/>
      <c r="H202" s="204"/>
      <c r="I202" s="205"/>
      <c r="J202" s="206"/>
      <c r="K202" s="204"/>
      <c r="L202" s="205"/>
      <c r="M202" s="206"/>
      <c r="N202" s="262">
        <v>0.32222222222222224</v>
      </c>
      <c r="O202" s="257"/>
      <c r="P202" s="200">
        <v>0.68125000000000002</v>
      </c>
      <c r="Q202" s="199"/>
      <c r="R202" s="256"/>
      <c r="S202" s="257"/>
      <c r="T202" s="262">
        <v>7.6388888888888886E-3</v>
      </c>
      <c r="U202" s="258"/>
      <c r="V202" s="257"/>
      <c r="W202" s="262">
        <v>0.35069444444444442</v>
      </c>
      <c r="X202" s="258"/>
      <c r="Y202" s="257"/>
      <c r="Z202" s="262">
        <v>0.35902777777777778</v>
      </c>
      <c r="AA202" s="258"/>
      <c r="AB202" s="257"/>
      <c r="AE202" s="203">
        <v>7</v>
      </c>
    </row>
    <row r="203" spans="1:37" ht="14.45" customHeight="1">
      <c r="A203" s="259">
        <f t="shared" si="3"/>
        <v>46209</v>
      </c>
      <c r="B203" s="260"/>
      <c r="C203" s="260"/>
      <c r="D203" s="260"/>
      <c r="E203" s="260"/>
      <c r="F203" s="260"/>
      <c r="G203" s="261"/>
      <c r="H203" s="204"/>
      <c r="I203" s="205"/>
      <c r="J203" s="206"/>
      <c r="K203" s="204"/>
      <c r="L203" s="205"/>
      <c r="M203" s="206"/>
      <c r="N203" s="262">
        <v>0.31805555555555554</v>
      </c>
      <c r="O203" s="257"/>
      <c r="P203" s="200">
        <v>0.76180555555555562</v>
      </c>
      <c r="Q203" s="199"/>
      <c r="R203" s="256"/>
      <c r="S203" s="257"/>
      <c r="T203" s="262">
        <v>8.819444444444445E-2</v>
      </c>
      <c r="U203" s="258"/>
      <c r="V203" s="257"/>
      <c r="W203" s="262">
        <v>0.35069444444444442</v>
      </c>
      <c r="X203" s="258"/>
      <c r="Y203" s="257"/>
      <c r="Z203" s="262">
        <v>0.44375000000000003</v>
      </c>
      <c r="AA203" s="258"/>
      <c r="AB203" s="257"/>
      <c r="AD203" s="203">
        <v>1</v>
      </c>
      <c r="AE203" s="203">
        <v>1</v>
      </c>
    </row>
    <row r="204" spans="1:37" ht="14.45" customHeight="1">
      <c r="A204" s="259">
        <f t="shared" si="3"/>
        <v>46210</v>
      </c>
      <c r="B204" s="260"/>
      <c r="C204" s="260"/>
      <c r="D204" s="260"/>
      <c r="E204" s="260"/>
      <c r="F204" s="260"/>
      <c r="G204" s="261"/>
      <c r="H204" s="204"/>
      <c r="I204" s="205"/>
      <c r="J204" s="206"/>
      <c r="K204" s="204"/>
      <c r="L204" s="205"/>
      <c r="M204" s="206"/>
      <c r="N204" s="262">
        <v>0.31597222222222221</v>
      </c>
      <c r="O204" s="257"/>
      <c r="P204" s="200">
        <v>0.88750000000000007</v>
      </c>
      <c r="Q204" s="199"/>
      <c r="R204" s="256"/>
      <c r="S204" s="257"/>
      <c r="T204" s="262">
        <v>0.21388888888888891</v>
      </c>
      <c r="U204" s="258"/>
      <c r="V204" s="257"/>
      <c r="W204" s="262">
        <v>0.35069444444444442</v>
      </c>
      <c r="X204" s="258"/>
      <c r="Y204" s="257"/>
      <c r="Z204" s="262">
        <v>0.5708333333333333</v>
      </c>
      <c r="AA204" s="258"/>
      <c r="AB204" s="257"/>
      <c r="AD204" s="203">
        <v>1</v>
      </c>
      <c r="AE204" s="203">
        <v>3</v>
      </c>
    </row>
    <row r="205" spans="1:37" ht="14.45" customHeight="1">
      <c r="A205" s="259">
        <f t="shared" si="3"/>
        <v>46211</v>
      </c>
      <c r="B205" s="260"/>
      <c r="C205" s="260"/>
      <c r="D205" s="260"/>
      <c r="E205" s="260"/>
      <c r="F205" s="260"/>
      <c r="G205" s="261"/>
      <c r="H205" s="204"/>
      <c r="I205" s="205"/>
      <c r="J205" s="206"/>
      <c r="K205" s="204"/>
      <c r="L205" s="205"/>
      <c r="M205" s="206"/>
      <c r="N205" s="262">
        <v>0.31388888888888888</v>
      </c>
      <c r="O205" s="257"/>
      <c r="P205" s="200">
        <v>0.8881944444444444</v>
      </c>
      <c r="Q205" s="199"/>
      <c r="R205" s="256"/>
      <c r="S205" s="257"/>
      <c r="T205" s="262">
        <v>0.21458333333333335</v>
      </c>
      <c r="U205" s="258"/>
      <c r="V205" s="257"/>
      <c r="W205" s="262">
        <v>0.35069444444444442</v>
      </c>
      <c r="X205" s="258"/>
      <c r="Y205" s="257"/>
      <c r="Z205" s="262">
        <v>0.57361111111111118</v>
      </c>
      <c r="AA205" s="258"/>
      <c r="AB205" s="257"/>
      <c r="AD205" s="203">
        <v>1</v>
      </c>
      <c r="AE205" s="203">
        <v>3</v>
      </c>
    </row>
    <row r="206" spans="1:37" ht="14.45" customHeight="1">
      <c r="A206" s="259">
        <f t="shared" si="3"/>
        <v>46212</v>
      </c>
      <c r="B206" s="260"/>
      <c r="C206" s="260"/>
      <c r="D206" s="260"/>
      <c r="E206" s="260"/>
      <c r="F206" s="260"/>
      <c r="G206" s="261"/>
      <c r="H206" s="204"/>
      <c r="I206" s="205"/>
      <c r="J206" s="206"/>
      <c r="K206" s="204"/>
      <c r="L206" s="205"/>
      <c r="M206" s="206"/>
      <c r="N206" s="262">
        <v>0.31805555555555554</v>
      </c>
      <c r="O206" s="257"/>
      <c r="P206" s="200">
        <v>0.71527777777777779</v>
      </c>
      <c r="Q206" s="199"/>
      <c r="R206" s="256"/>
      <c r="S206" s="257"/>
      <c r="T206" s="262">
        <v>4.1666666666666664E-2</v>
      </c>
      <c r="U206" s="258"/>
      <c r="V206" s="257"/>
      <c r="W206" s="262">
        <v>0.35069444444444442</v>
      </c>
      <c r="X206" s="258"/>
      <c r="Y206" s="257"/>
      <c r="Z206" s="262">
        <v>0.3972222222222222</v>
      </c>
      <c r="AA206" s="258"/>
      <c r="AB206" s="257"/>
      <c r="AD206" s="203">
        <v>1</v>
      </c>
    </row>
    <row r="207" spans="1:37" ht="14.45" customHeight="1">
      <c r="A207" s="259">
        <f t="shared" si="3"/>
        <v>46213</v>
      </c>
      <c r="B207" s="260"/>
      <c r="C207" s="260"/>
      <c r="D207" s="260"/>
      <c r="E207" s="260"/>
      <c r="F207" s="260"/>
      <c r="G207" s="261"/>
      <c r="H207" s="204"/>
      <c r="I207" s="205"/>
      <c r="J207" s="206"/>
      <c r="K207" s="204"/>
      <c r="L207" s="205"/>
      <c r="M207" s="206"/>
      <c r="N207" s="262">
        <v>0.32083333333333336</v>
      </c>
      <c r="O207" s="257"/>
      <c r="P207" s="200">
        <v>0.88680555555555562</v>
      </c>
      <c r="Q207" s="199"/>
      <c r="R207" s="256"/>
      <c r="S207" s="257"/>
      <c r="T207" s="262">
        <v>0.21319444444444444</v>
      </c>
      <c r="U207" s="258"/>
      <c r="V207" s="257"/>
      <c r="W207" s="262">
        <v>0.35069444444444442</v>
      </c>
      <c r="X207" s="258"/>
      <c r="Y207" s="257"/>
      <c r="Z207" s="262">
        <v>0.56597222222222221</v>
      </c>
      <c r="AA207" s="258"/>
      <c r="AB207" s="257"/>
      <c r="AD207" s="203">
        <v>1</v>
      </c>
      <c r="AE207" s="203">
        <v>3</v>
      </c>
    </row>
    <row r="208" spans="1:37" ht="14.45" customHeight="1">
      <c r="A208" s="259">
        <f t="shared" si="3"/>
        <v>46214</v>
      </c>
      <c r="B208" s="260"/>
      <c r="C208" s="260"/>
      <c r="D208" s="260"/>
      <c r="E208" s="260"/>
      <c r="F208" s="260"/>
      <c r="G208" s="261"/>
      <c r="H208" s="204"/>
      <c r="I208" s="205"/>
      <c r="J208" s="206"/>
      <c r="K208" s="204"/>
      <c r="L208" s="205"/>
      <c r="M208" s="206"/>
      <c r="N208" s="262">
        <v>0.32291666666666669</v>
      </c>
      <c r="O208" s="257"/>
      <c r="P208" s="200">
        <v>0.68263888888888891</v>
      </c>
      <c r="Q208" s="199"/>
      <c r="R208" s="256"/>
      <c r="S208" s="257"/>
      <c r="T208" s="262">
        <v>5.0694444444444452E-2</v>
      </c>
      <c r="U208" s="258"/>
      <c r="V208" s="257"/>
      <c r="W208" s="262">
        <v>0.30833333333333335</v>
      </c>
      <c r="X208" s="258"/>
      <c r="Y208" s="257"/>
      <c r="Z208" s="262">
        <v>0.35902777777777778</v>
      </c>
      <c r="AA208" s="258"/>
      <c r="AB208" s="257"/>
      <c r="AD208" s="203">
        <v>1</v>
      </c>
    </row>
    <row r="209" spans="1:35" ht="14.45" customHeight="1">
      <c r="A209" s="263">
        <f t="shared" si="3"/>
        <v>46215</v>
      </c>
      <c r="B209" s="264"/>
      <c r="C209" s="264"/>
      <c r="D209" s="264"/>
      <c r="E209" s="264"/>
      <c r="F209" s="264"/>
      <c r="G209" s="265"/>
      <c r="H209" s="204"/>
      <c r="I209" s="205"/>
      <c r="J209" s="206"/>
      <c r="K209" s="204"/>
      <c r="L209" s="205"/>
      <c r="M209" s="206"/>
      <c r="N209" s="262">
        <v>0.32083333333333336</v>
      </c>
      <c r="O209" s="257"/>
      <c r="P209" s="200">
        <v>0.67847222222222225</v>
      </c>
      <c r="Q209" s="199"/>
      <c r="R209" s="256"/>
      <c r="S209" s="257"/>
      <c r="T209" s="262">
        <v>4.8611111111111112E-3</v>
      </c>
      <c r="U209" s="258"/>
      <c r="V209" s="257"/>
      <c r="W209" s="262">
        <v>0.35069444444444442</v>
      </c>
      <c r="X209" s="258"/>
      <c r="Y209" s="257"/>
      <c r="Z209" s="262">
        <v>0.3576388888888889</v>
      </c>
      <c r="AA209" s="258"/>
      <c r="AB209" s="257"/>
      <c r="AE209" s="203">
        <v>7</v>
      </c>
    </row>
    <row r="210" spans="1:35" ht="14.45" customHeight="1">
      <c r="A210" s="259">
        <f t="shared" si="3"/>
        <v>46216</v>
      </c>
      <c r="B210" s="260"/>
      <c r="C210" s="260"/>
      <c r="D210" s="260"/>
      <c r="E210" s="260"/>
      <c r="F210" s="260"/>
      <c r="G210" s="261"/>
      <c r="H210" s="204"/>
      <c r="I210" s="205"/>
      <c r="J210" s="206"/>
      <c r="K210" s="204"/>
      <c r="L210" s="205"/>
      <c r="M210" s="206"/>
      <c r="N210" s="262">
        <v>0.32222222222222224</v>
      </c>
      <c r="O210" s="257"/>
      <c r="P210" s="200">
        <v>0.8881944444444444</v>
      </c>
      <c r="Q210" s="199"/>
      <c r="R210" s="256"/>
      <c r="S210" s="257"/>
      <c r="T210" s="262">
        <v>0.21458333333333335</v>
      </c>
      <c r="U210" s="258"/>
      <c r="V210" s="257"/>
      <c r="W210" s="262">
        <v>0.35069444444444442</v>
      </c>
      <c r="X210" s="258"/>
      <c r="Y210" s="257"/>
      <c r="Z210" s="262">
        <v>0.56597222222222221</v>
      </c>
      <c r="AA210" s="258"/>
      <c r="AB210" s="257"/>
      <c r="AD210" s="203">
        <v>1</v>
      </c>
      <c r="AE210" s="203">
        <v>3</v>
      </c>
    </row>
    <row r="211" spans="1:35" ht="14.45" customHeight="1">
      <c r="A211" s="259">
        <f t="shared" si="3"/>
        <v>46217</v>
      </c>
      <c r="B211" s="260"/>
      <c r="C211" s="260"/>
      <c r="D211" s="260"/>
      <c r="E211" s="260"/>
      <c r="F211" s="260"/>
      <c r="G211" s="261"/>
      <c r="H211" s="204"/>
      <c r="I211" s="205"/>
      <c r="J211" s="206"/>
      <c r="K211" s="204"/>
      <c r="L211" s="205"/>
      <c r="M211" s="206"/>
      <c r="N211" s="262">
        <v>0.31805555555555554</v>
      </c>
      <c r="O211" s="257"/>
      <c r="P211" s="200">
        <v>0.68541666666666667</v>
      </c>
      <c r="Q211" s="199"/>
      <c r="R211" s="256"/>
      <c r="S211" s="257"/>
      <c r="T211" s="262">
        <v>1.1805555555555555E-2</v>
      </c>
      <c r="U211" s="258"/>
      <c r="V211" s="257"/>
      <c r="W211" s="262">
        <v>0.35069444444444442</v>
      </c>
      <c r="X211" s="258"/>
      <c r="Y211" s="257"/>
      <c r="Z211" s="262">
        <v>0.36736111111111108</v>
      </c>
      <c r="AA211" s="258"/>
      <c r="AB211" s="257"/>
    </row>
    <row r="212" spans="1:35" ht="14.45" customHeight="1">
      <c r="A212" s="259">
        <f t="shared" si="3"/>
        <v>46218</v>
      </c>
      <c r="B212" s="260"/>
      <c r="C212" s="260"/>
      <c r="D212" s="260"/>
      <c r="E212" s="260"/>
      <c r="F212" s="260"/>
      <c r="G212" s="261"/>
      <c r="H212" s="204"/>
      <c r="I212" s="205"/>
      <c r="J212" s="206"/>
      <c r="K212" s="204"/>
      <c r="L212" s="205"/>
      <c r="M212" s="206"/>
      <c r="N212" s="262">
        <v>0.31875000000000003</v>
      </c>
      <c r="O212" s="257"/>
      <c r="P212" s="200">
        <v>0.76250000000000007</v>
      </c>
      <c r="Q212" s="199"/>
      <c r="R212" s="256"/>
      <c r="S212" s="257"/>
      <c r="T212" s="262">
        <v>8.8888888888888892E-2</v>
      </c>
      <c r="U212" s="258"/>
      <c r="V212" s="257"/>
      <c r="W212" s="262">
        <v>0.35069444444444442</v>
      </c>
      <c r="X212" s="258"/>
      <c r="Y212" s="257"/>
      <c r="Z212" s="262">
        <v>0.44375000000000003</v>
      </c>
      <c r="AA212" s="258"/>
      <c r="AB212" s="257"/>
      <c r="AD212" s="203">
        <v>1</v>
      </c>
      <c r="AE212" s="203">
        <v>1</v>
      </c>
    </row>
    <row r="213" spans="1:35" ht="14.45" customHeight="1">
      <c r="A213" s="259">
        <f t="shared" si="3"/>
        <v>46219</v>
      </c>
      <c r="B213" s="260"/>
      <c r="C213" s="260"/>
      <c r="D213" s="260"/>
      <c r="E213" s="260"/>
      <c r="F213" s="260"/>
      <c r="G213" s="261"/>
      <c r="H213" s="204"/>
      <c r="I213" s="205"/>
      <c r="J213" s="206"/>
      <c r="K213" s="204"/>
      <c r="L213" s="205"/>
      <c r="M213" s="206"/>
      <c r="N213" s="262">
        <v>0.31875000000000003</v>
      </c>
      <c r="O213" s="257"/>
      <c r="P213" s="200">
        <v>0.76250000000000007</v>
      </c>
      <c r="Q213" s="199"/>
      <c r="R213" s="256"/>
      <c r="S213" s="257"/>
      <c r="T213" s="262">
        <v>8.8888888888888892E-2</v>
      </c>
      <c r="U213" s="258"/>
      <c r="V213" s="257"/>
      <c r="W213" s="262">
        <v>0.35069444444444442</v>
      </c>
      <c r="X213" s="258"/>
      <c r="Y213" s="257"/>
      <c r="Z213" s="262">
        <v>0.44375000000000003</v>
      </c>
      <c r="AA213" s="258"/>
      <c r="AB213" s="257"/>
      <c r="AD213" s="212">
        <v>1</v>
      </c>
      <c r="AE213" s="212">
        <v>1</v>
      </c>
    </row>
    <row r="214" spans="1:35" ht="14.45" customHeight="1">
      <c r="A214" s="259">
        <f t="shared" si="3"/>
        <v>46220</v>
      </c>
      <c r="B214" s="260"/>
      <c r="C214" s="260"/>
      <c r="D214" s="260"/>
      <c r="E214" s="260"/>
      <c r="F214" s="260"/>
      <c r="G214" s="261"/>
      <c r="H214" s="204"/>
      <c r="I214" s="205"/>
      <c r="J214" s="206"/>
      <c r="K214" s="204"/>
      <c r="L214" s="205"/>
      <c r="M214" s="206"/>
      <c r="N214" s="262">
        <v>0.32013888888888892</v>
      </c>
      <c r="O214" s="257"/>
      <c r="P214" s="200">
        <v>0.76250000000000007</v>
      </c>
      <c r="Q214" s="199"/>
      <c r="R214" s="256"/>
      <c r="S214" s="257"/>
      <c r="T214" s="262">
        <v>8.8888888888888892E-2</v>
      </c>
      <c r="U214" s="258"/>
      <c r="V214" s="257"/>
      <c r="W214" s="262">
        <v>0.35069444444444442</v>
      </c>
      <c r="X214" s="258"/>
      <c r="Y214" s="257"/>
      <c r="Z214" s="262">
        <v>0.44236111111111115</v>
      </c>
      <c r="AA214" s="258"/>
      <c r="AB214" s="257"/>
      <c r="AD214" s="212">
        <v>1</v>
      </c>
      <c r="AE214" s="212">
        <v>1</v>
      </c>
    </row>
    <row r="215" spans="1:35" ht="14.45" customHeight="1">
      <c r="A215" s="259">
        <f t="shared" si="3"/>
        <v>46221</v>
      </c>
      <c r="B215" s="260"/>
      <c r="C215" s="260"/>
      <c r="D215" s="260"/>
      <c r="E215" s="260"/>
      <c r="F215" s="260"/>
      <c r="G215" s="261"/>
      <c r="H215" s="204"/>
      <c r="I215" s="205"/>
      <c r="J215" s="206"/>
      <c r="K215" s="204"/>
      <c r="L215" s="205"/>
      <c r="M215" s="206"/>
      <c r="N215" s="262">
        <v>0.31944444444444448</v>
      </c>
      <c r="O215" s="257"/>
      <c r="P215" s="200">
        <v>0.68402777777777779</v>
      </c>
      <c r="Q215" s="199"/>
      <c r="R215" s="256"/>
      <c r="S215" s="257"/>
      <c r="T215" s="262">
        <v>5.2083333333333336E-2</v>
      </c>
      <c r="U215" s="258"/>
      <c r="V215" s="257"/>
      <c r="W215" s="262">
        <v>0.30902777777777779</v>
      </c>
      <c r="X215" s="258"/>
      <c r="Y215" s="257"/>
      <c r="Z215" s="262">
        <v>0.36388888888888887</v>
      </c>
      <c r="AA215" s="258"/>
      <c r="AB215" s="257"/>
      <c r="AD215" s="212">
        <v>1</v>
      </c>
      <c r="AE215" s="212"/>
    </row>
    <row r="216" spans="1:35" ht="14.45" customHeight="1">
      <c r="A216" s="263">
        <f t="shared" si="3"/>
        <v>46222</v>
      </c>
      <c r="B216" s="264"/>
      <c r="C216" s="264"/>
      <c r="D216" s="264"/>
      <c r="E216" s="264"/>
      <c r="F216" s="264"/>
      <c r="G216" s="265"/>
      <c r="H216" s="204"/>
      <c r="I216" s="205"/>
      <c r="J216" s="206"/>
      <c r="K216" s="204"/>
      <c r="L216" s="205"/>
      <c r="M216" s="206"/>
      <c r="N216" s="256"/>
      <c r="O216" s="257"/>
      <c r="P216" s="199"/>
      <c r="Q216" s="199"/>
      <c r="R216" s="256"/>
      <c r="S216" s="257"/>
      <c r="T216" s="256"/>
      <c r="U216" s="258"/>
      <c r="V216" s="257"/>
      <c r="W216" s="256"/>
      <c r="X216" s="258"/>
      <c r="Y216" s="257"/>
      <c r="Z216" s="256"/>
      <c r="AA216" s="258"/>
      <c r="AB216" s="257"/>
    </row>
    <row r="217" spans="1:35" ht="14.45" customHeight="1">
      <c r="A217" s="259">
        <f t="shared" si="3"/>
        <v>46223</v>
      </c>
      <c r="B217" s="260"/>
      <c r="C217" s="260"/>
      <c r="D217" s="260"/>
      <c r="E217" s="260"/>
      <c r="F217" s="260"/>
      <c r="G217" s="261"/>
      <c r="H217" s="204"/>
      <c r="I217" s="205"/>
      <c r="J217" s="206"/>
      <c r="K217" s="204"/>
      <c r="L217" s="205"/>
      <c r="M217" s="206"/>
      <c r="N217" s="262">
        <v>0.31736111111111115</v>
      </c>
      <c r="O217" s="257"/>
      <c r="P217" s="200">
        <v>0.69097222222222221</v>
      </c>
      <c r="Q217" s="199"/>
      <c r="R217" s="256"/>
      <c r="S217" s="257"/>
      <c r="T217" s="262">
        <v>1.7361111111111112E-2</v>
      </c>
      <c r="U217" s="258"/>
      <c r="V217" s="257"/>
      <c r="W217" s="262">
        <v>0.35069444444444442</v>
      </c>
      <c r="X217" s="258"/>
      <c r="Y217" s="257"/>
      <c r="Z217" s="262">
        <v>0.37361111111111112</v>
      </c>
      <c r="AA217" s="258"/>
      <c r="AB217" s="257"/>
    </row>
    <row r="218" spans="1:35" ht="14.45" customHeight="1">
      <c r="A218" s="259">
        <f t="shared" si="3"/>
        <v>46224</v>
      </c>
      <c r="B218" s="260"/>
      <c r="C218" s="260"/>
      <c r="D218" s="260"/>
      <c r="E218" s="260"/>
      <c r="F218" s="260"/>
      <c r="G218" s="261"/>
      <c r="H218" s="204"/>
      <c r="I218" s="205"/>
      <c r="J218" s="206"/>
      <c r="K218" s="204"/>
      <c r="L218" s="205"/>
      <c r="M218" s="206"/>
      <c r="N218" s="262">
        <v>0.32013888888888892</v>
      </c>
      <c r="O218" s="257"/>
      <c r="P218" s="200">
        <v>0.68819444444444444</v>
      </c>
      <c r="Q218" s="199"/>
      <c r="R218" s="256"/>
      <c r="S218" s="257"/>
      <c r="T218" s="262">
        <v>1.4583333333333332E-2</v>
      </c>
      <c r="U218" s="258"/>
      <c r="V218" s="257"/>
      <c r="W218" s="262">
        <v>0.35069444444444442</v>
      </c>
      <c r="X218" s="258"/>
      <c r="Y218" s="257"/>
      <c r="Z218" s="262">
        <v>0.36736111111111108</v>
      </c>
      <c r="AA218" s="258"/>
      <c r="AB218" s="257"/>
    </row>
    <row r="219" spans="1:35" ht="14.45" customHeight="1">
      <c r="A219" s="259">
        <f t="shared" si="3"/>
        <v>46225</v>
      </c>
      <c r="B219" s="260"/>
      <c r="C219" s="260"/>
      <c r="D219" s="260"/>
      <c r="E219" s="260"/>
      <c r="F219" s="260"/>
      <c r="G219" s="261"/>
      <c r="H219" s="204"/>
      <c r="I219" s="205"/>
      <c r="J219" s="206"/>
      <c r="K219" s="204"/>
      <c r="L219" s="205"/>
      <c r="M219" s="206"/>
      <c r="N219" s="262">
        <v>0.3354166666666667</v>
      </c>
      <c r="O219" s="257"/>
      <c r="P219" s="199"/>
      <c r="Q219" s="200">
        <v>1.2499999999999999E-2</v>
      </c>
      <c r="R219" s="262">
        <v>4.1666666666666664E-2</v>
      </c>
      <c r="S219" s="257"/>
      <c r="T219" s="256"/>
      <c r="U219" s="258"/>
      <c r="V219" s="257"/>
      <c r="W219" s="262">
        <v>0.29583333333333334</v>
      </c>
      <c r="X219" s="258"/>
      <c r="Y219" s="257"/>
      <c r="Z219" s="262">
        <v>0.32500000000000001</v>
      </c>
      <c r="AA219" s="258"/>
      <c r="AB219" s="257"/>
      <c r="AD219" s="203">
        <v>1</v>
      </c>
      <c r="AE219" s="203">
        <v>1</v>
      </c>
      <c r="AH219" s="175">
        <v>18</v>
      </c>
    </row>
    <row r="220" spans="1:35" ht="14.45" customHeight="1">
      <c r="A220" s="259">
        <f t="shared" si="3"/>
        <v>46226</v>
      </c>
      <c r="B220" s="260"/>
      <c r="C220" s="260"/>
      <c r="D220" s="260"/>
      <c r="E220" s="260"/>
      <c r="F220" s="260"/>
      <c r="G220" s="261"/>
      <c r="H220" s="204"/>
      <c r="I220" s="205"/>
      <c r="J220" s="206"/>
      <c r="K220" s="204"/>
      <c r="L220" s="205"/>
      <c r="M220" s="206"/>
      <c r="N220" s="262">
        <v>0.31666666666666665</v>
      </c>
      <c r="O220" s="257"/>
      <c r="P220" s="200">
        <v>0.88750000000000007</v>
      </c>
      <c r="Q220" s="199"/>
      <c r="R220" s="256"/>
      <c r="S220" s="257"/>
      <c r="T220" s="262">
        <v>0.21388888888888891</v>
      </c>
      <c r="U220" s="258"/>
      <c r="V220" s="257"/>
      <c r="W220" s="262">
        <v>0.35069444444444442</v>
      </c>
      <c r="X220" s="258"/>
      <c r="Y220" s="257"/>
      <c r="Z220" s="262">
        <v>0.5708333333333333</v>
      </c>
      <c r="AA220" s="258"/>
      <c r="AB220" s="257"/>
      <c r="AD220" s="203">
        <v>1</v>
      </c>
      <c r="AE220" s="203">
        <v>3</v>
      </c>
    </row>
    <row r="221" spans="1:35" ht="14.45" customHeight="1">
      <c r="A221" s="259">
        <f t="shared" si="3"/>
        <v>46227</v>
      </c>
      <c r="B221" s="260"/>
      <c r="C221" s="260"/>
      <c r="D221" s="260"/>
      <c r="E221" s="260"/>
      <c r="F221" s="260"/>
      <c r="G221" s="261"/>
      <c r="H221" s="266">
        <v>0.32291666666666669</v>
      </c>
      <c r="I221" s="267"/>
      <c r="J221" s="268"/>
      <c r="K221" s="266">
        <v>0.625</v>
      </c>
      <c r="L221" s="267"/>
      <c r="M221" s="268"/>
      <c r="N221" s="262">
        <v>0.31805555555555554</v>
      </c>
      <c r="O221" s="257"/>
      <c r="P221" s="200">
        <v>0.88958333333333339</v>
      </c>
      <c r="Q221" s="199"/>
      <c r="R221" s="256"/>
      <c r="S221" s="257"/>
      <c r="T221" s="262">
        <v>0.21597222222222223</v>
      </c>
      <c r="U221" s="258"/>
      <c r="V221" s="257"/>
      <c r="W221" s="262">
        <v>0.35069444444444442</v>
      </c>
      <c r="X221" s="258"/>
      <c r="Y221" s="257"/>
      <c r="Z221" s="262">
        <v>0.5708333333333333</v>
      </c>
      <c r="AA221" s="258"/>
      <c r="AB221" s="257"/>
      <c r="AD221" s="203">
        <v>1</v>
      </c>
      <c r="AE221" s="203">
        <v>3</v>
      </c>
      <c r="AI221" s="175"/>
    </row>
    <row r="222" spans="1:35" ht="14.45" customHeight="1">
      <c r="A222" s="259">
        <f t="shared" si="3"/>
        <v>46228</v>
      </c>
      <c r="B222" s="260"/>
      <c r="C222" s="260"/>
      <c r="D222" s="260"/>
      <c r="E222" s="260"/>
      <c r="F222" s="260"/>
      <c r="G222" s="261"/>
      <c r="H222" s="204"/>
      <c r="I222" s="205"/>
      <c r="J222" s="206"/>
      <c r="K222" s="204"/>
      <c r="L222" s="205"/>
      <c r="M222" s="206"/>
      <c r="N222" s="269"/>
      <c r="O222" s="270"/>
      <c r="P222" s="200">
        <v>0.6972222222222223</v>
      </c>
      <c r="Q222" s="200">
        <v>4.1666666666666664E-2</v>
      </c>
      <c r="R222" s="256"/>
      <c r="S222" s="257"/>
      <c r="T222" s="262">
        <v>6.5277777777777782E-2</v>
      </c>
      <c r="U222" s="258"/>
      <c r="V222" s="257"/>
      <c r="W222" s="262">
        <v>0.2673611111111111</v>
      </c>
      <c r="X222" s="258"/>
      <c r="Y222" s="257"/>
      <c r="Z222" s="262">
        <v>0.3743055555555555</v>
      </c>
      <c r="AA222" s="258"/>
      <c r="AB222" s="257"/>
      <c r="AD222" s="203">
        <v>1</v>
      </c>
      <c r="AI222" s="180"/>
    </row>
    <row r="223" spans="1:35" ht="14.45" customHeight="1">
      <c r="A223" s="263">
        <f t="shared" si="3"/>
        <v>46229</v>
      </c>
      <c r="B223" s="264"/>
      <c r="C223" s="264"/>
      <c r="D223" s="264"/>
      <c r="E223" s="264"/>
      <c r="F223" s="264"/>
      <c r="G223" s="265"/>
      <c r="H223" s="204"/>
      <c r="I223" s="205"/>
      <c r="J223" s="206"/>
      <c r="K223" s="204"/>
      <c r="L223" s="205"/>
      <c r="M223" s="206"/>
      <c r="N223" s="256"/>
      <c r="O223" s="257"/>
      <c r="P223" s="199"/>
      <c r="Q223" s="199"/>
      <c r="R223" s="256"/>
      <c r="S223" s="257"/>
      <c r="T223" s="256"/>
      <c r="U223" s="258"/>
      <c r="V223" s="257"/>
      <c r="W223" s="256"/>
      <c r="X223" s="258"/>
      <c r="Y223" s="257"/>
      <c r="Z223" s="256"/>
      <c r="AA223" s="258"/>
      <c r="AB223" s="257"/>
      <c r="AI223" s="180"/>
    </row>
    <row r="224" spans="1:35" ht="14.45" customHeight="1">
      <c r="A224" s="259">
        <f t="shared" si="3"/>
        <v>46230</v>
      </c>
      <c r="B224" s="260"/>
      <c r="C224" s="260"/>
      <c r="D224" s="260"/>
      <c r="E224" s="260"/>
      <c r="F224" s="260"/>
      <c r="G224" s="261"/>
      <c r="H224" s="204"/>
      <c r="I224" s="205"/>
      <c r="J224" s="206"/>
      <c r="K224" s="204"/>
      <c r="L224" s="205"/>
      <c r="M224" s="206"/>
      <c r="N224" s="262">
        <v>0.3215277777777778</v>
      </c>
      <c r="O224" s="257"/>
      <c r="P224" s="200">
        <v>0.76180555555555562</v>
      </c>
      <c r="Q224" s="199"/>
      <c r="R224" s="256"/>
      <c r="S224" s="257"/>
      <c r="T224" s="262">
        <v>8.819444444444445E-2</v>
      </c>
      <c r="U224" s="258"/>
      <c r="V224" s="257"/>
      <c r="W224" s="262">
        <v>0.35069444444444442</v>
      </c>
      <c r="X224" s="258"/>
      <c r="Y224" s="257"/>
      <c r="Z224" s="262">
        <v>0.43958333333333338</v>
      </c>
      <c r="AA224" s="258"/>
      <c r="AB224" s="257"/>
      <c r="AD224" s="203">
        <v>1</v>
      </c>
      <c r="AE224" s="203">
        <v>1</v>
      </c>
      <c r="AI224" s="180"/>
    </row>
    <row r="225" spans="1:36" ht="14.45" customHeight="1">
      <c r="A225" s="259">
        <f t="shared" si="3"/>
        <v>46231</v>
      </c>
      <c r="B225" s="260"/>
      <c r="C225" s="260"/>
      <c r="D225" s="260"/>
      <c r="E225" s="260"/>
      <c r="F225" s="260"/>
      <c r="G225" s="261"/>
      <c r="H225" s="204"/>
      <c r="I225" s="205"/>
      <c r="J225" s="206"/>
      <c r="K225" s="204"/>
      <c r="L225" s="205"/>
      <c r="M225" s="206"/>
      <c r="N225" s="262">
        <v>0.31805555555555554</v>
      </c>
      <c r="O225" s="257"/>
      <c r="P225" s="200">
        <v>0.69097222222222221</v>
      </c>
      <c r="Q225" s="199"/>
      <c r="R225" s="256"/>
      <c r="S225" s="257"/>
      <c r="T225" s="262">
        <v>1.7361111111111112E-2</v>
      </c>
      <c r="U225" s="258"/>
      <c r="V225" s="257"/>
      <c r="W225" s="262">
        <v>0.35069444444444442</v>
      </c>
      <c r="X225" s="258"/>
      <c r="Y225" s="257"/>
      <c r="Z225" s="262">
        <v>0.37291666666666662</v>
      </c>
      <c r="AA225" s="258"/>
      <c r="AB225" s="257"/>
      <c r="AI225" s="180"/>
    </row>
    <row r="226" spans="1:36" ht="14.45" customHeight="1">
      <c r="A226" s="259">
        <f t="shared" si="3"/>
        <v>46232</v>
      </c>
      <c r="B226" s="260"/>
      <c r="C226" s="260"/>
      <c r="D226" s="260"/>
      <c r="E226" s="260"/>
      <c r="F226" s="260"/>
      <c r="G226" s="261"/>
      <c r="H226" s="204"/>
      <c r="I226" s="205"/>
      <c r="J226" s="206"/>
      <c r="K226" s="204"/>
      <c r="L226" s="205"/>
      <c r="M226" s="206"/>
      <c r="N226" s="262">
        <v>0.31736111111111115</v>
      </c>
      <c r="O226" s="257"/>
      <c r="P226" s="200">
        <v>0.68819444444444444</v>
      </c>
      <c r="Q226" s="199"/>
      <c r="R226" s="256"/>
      <c r="S226" s="257"/>
      <c r="T226" s="262">
        <v>1.4583333333333332E-2</v>
      </c>
      <c r="U226" s="258"/>
      <c r="V226" s="257"/>
      <c r="W226" s="262">
        <v>0.35069444444444442</v>
      </c>
      <c r="X226" s="258"/>
      <c r="Y226" s="257"/>
      <c r="Z226" s="262">
        <v>0.37083333333333335</v>
      </c>
      <c r="AA226" s="258"/>
      <c r="AB226" s="257"/>
      <c r="AI226" s="180"/>
    </row>
    <row r="227" spans="1:36" ht="14.45" customHeight="1">
      <c r="A227" s="259">
        <f t="shared" si="3"/>
        <v>46233</v>
      </c>
      <c r="B227" s="260"/>
      <c r="C227" s="260"/>
      <c r="D227" s="260"/>
      <c r="E227" s="260"/>
      <c r="F227" s="260"/>
      <c r="G227" s="261"/>
      <c r="H227" s="204"/>
      <c r="I227" s="205"/>
      <c r="J227" s="206"/>
      <c r="K227" s="204"/>
      <c r="L227" s="205"/>
      <c r="M227" s="206"/>
      <c r="N227" s="262">
        <v>0.31666666666666665</v>
      </c>
      <c r="O227" s="257"/>
      <c r="P227" s="200">
        <v>0.68125000000000002</v>
      </c>
      <c r="Q227" s="199"/>
      <c r="R227" s="256"/>
      <c r="S227" s="257"/>
      <c r="T227" s="262">
        <v>7.6388888888888886E-3</v>
      </c>
      <c r="U227" s="258"/>
      <c r="V227" s="257"/>
      <c r="W227" s="262">
        <v>0.35069444444444442</v>
      </c>
      <c r="X227" s="258"/>
      <c r="Y227" s="257"/>
      <c r="Z227" s="262">
        <v>0.36388888888888887</v>
      </c>
      <c r="AA227" s="258"/>
      <c r="AB227" s="257"/>
      <c r="AI227" s="180"/>
    </row>
    <row r="228" spans="1:36" ht="14.45" customHeight="1">
      <c r="A228" s="259">
        <f t="shared" si="3"/>
        <v>46234</v>
      </c>
      <c r="B228" s="260"/>
      <c r="C228" s="260"/>
      <c r="D228" s="260"/>
      <c r="E228" s="260"/>
      <c r="F228" s="260"/>
      <c r="G228" s="261"/>
      <c r="H228" s="204"/>
      <c r="I228" s="205"/>
      <c r="J228" s="206"/>
      <c r="K228" s="204"/>
      <c r="L228" s="205"/>
      <c r="M228" s="206"/>
      <c r="N228" s="262">
        <v>0.31875000000000003</v>
      </c>
      <c r="O228" s="257"/>
      <c r="P228" s="200">
        <v>0.68333333333333324</v>
      </c>
      <c r="Q228" s="199"/>
      <c r="R228" s="256"/>
      <c r="S228" s="257"/>
      <c r="T228" s="262">
        <v>9.7222222222222224E-3</v>
      </c>
      <c r="U228" s="258"/>
      <c r="V228" s="257"/>
      <c r="W228" s="262">
        <v>0.35069444444444442</v>
      </c>
      <c r="X228" s="258"/>
      <c r="Y228" s="257"/>
      <c r="Z228" s="262">
        <v>0.36458333333333331</v>
      </c>
      <c r="AA228" s="258"/>
      <c r="AB228" s="257"/>
      <c r="AI228" s="180"/>
    </row>
    <row r="229" spans="1:36" ht="33" customHeight="1">
      <c r="AD229" s="180">
        <f>SUM(AD198:AD228)*1.5</f>
        <v>27</v>
      </c>
      <c r="AE229" s="180">
        <f>SUM(AE198:AE228)*2</f>
        <v>78</v>
      </c>
      <c r="AF229" s="203">
        <f>SUM(AF198:AF228)*3</f>
        <v>0</v>
      </c>
      <c r="AG229" s="203">
        <f>SUM(AG198:AG228)*4</f>
        <v>0</v>
      </c>
      <c r="AH229" s="175">
        <f>SUM(AH198:AH228)</f>
        <v>18</v>
      </c>
      <c r="AI229" s="176">
        <f>AH229/60</f>
        <v>0.3</v>
      </c>
      <c r="AJ229" s="177">
        <f>SUM(AJ198:AJ228)</f>
        <v>0</v>
      </c>
    </row>
  </sheetData>
  <mergeCells count="1081">
    <mergeCell ref="A42:G42"/>
    <mergeCell ref="A41:G41"/>
    <mergeCell ref="R41:S41"/>
    <mergeCell ref="T41:V41"/>
    <mergeCell ref="W41:Y41"/>
    <mergeCell ref="N46:O46"/>
    <mergeCell ref="R46:S46"/>
    <mergeCell ref="T46:V46"/>
    <mergeCell ref="W46:Y46"/>
    <mergeCell ref="Z46:AB46"/>
    <mergeCell ref="N228:O228"/>
    <mergeCell ref="R228:S228"/>
    <mergeCell ref="T228:V228"/>
    <mergeCell ref="W228:Y228"/>
    <mergeCell ref="Z228:AB228"/>
    <mergeCell ref="T43:V43"/>
    <mergeCell ref="W43:Y43"/>
    <mergeCell ref="Z43:AB43"/>
    <mergeCell ref="A64:G64"/>
    <mergeCell ref="R64:S64"/>
    <mergeCell ref="T64:V64"/>
    <mergeCell ref="W64:Y64"/>
    <mergeCell ref="Z64:AB64"/>
    <mergeCell ref="Z61:AB61"/>
    <mergeCell ref="A44:G44"/>
    <mergeCell ref="N44:O44"/>
    <mergeCell ref="R44:S44"/>
    <mergeCell ref="T44:V44"/>
    <mergeCell ref="W44:Y44"/>
    <mergeCell ref="Z44:AB44"/>
    <mergeCell ref="A43:G43"/>
    <mergeCell ref="A37:G37"/>
    <mergeCell ref="H37:J37"/>
    <mergeCell ref="K37:M37"/>
    <mergeCell ref="R37:S37"/>
    <mergeCell ref="T37:V37"/>
    <mergeCell ref="W37:Y37"/>
    <mergeCell ref="Z37:AB37"/>
    <mergeCell ref="A36:G36"/>
    <mergeCell ref="H36:J36"/>
    <mergeCell ref="K36:M36"/>
    <mergeCell ref="R36:S36"/>
    <mergeCell ref="T36:V36"/>
    <mergeCell ref="W34:Y34"/>
    <mergeCell ref="Z34:AB34"/>
    <mergeCell ref="A35:G35"/>
    <mergeCell ref="H35:J35"/>
    <mergeCell ref="K35:M35"/>
    <mergeCell ref="R35:S35"/>
    <mergeCell ref="T35:V35"/>
    <mergeCell ref="W35:Y35"/>
    <mergeCell ref="Z35:AB35"/>
    <mergeCell ref="A34:G34"/>
    <mergeCell ref="H34:J34"/>
    <mergeCell ref="K34:M34"/>
    <mergeCell ref="N37:O37"/>
    <mergeCell ref="A17:G17"/>
    <mergeCell ref="R17:S17"/>
    <mergeCell ref="T17:V17"/>
    <mergeCell ref="W17:Y17"/>
    <mergeCell ref="Z17:AB17"/>
    <mergeCell ref="W14:Y14"/>
    <mergeCell ref="Z14:AB14"/>
    <mergeCell ref="A16:G16"/>
    <mergeCell ref="H16:J16"/>
    <mergeCell ref="K16:M16"/>
    <mergeCell ref="A26:G26"/>
    <mergeCell ref="N26:O26"/>
    <mergeCell ref="R26:S26"/>
    <mergeCell ref="T26:V26"/>
    <mergeCell ref="W26:Y26"/>
    <mergeCell ref="Z26:AB26"/>
    <mergeCell ref="W36:Y36"/>
    <mergeCell ref="Z36:AB36"/>
    <mergeCell ref="Z21:AB21"/>
    <mergeCell ref="A20:G20"/>
    <mergeCell ref="H20:J20"/>
    <mergeCell ref="K20:M20"/>
    <mergeCell ref="N20:O20"/>
    <mergeCell ref="R20:S20"/>
    <mergeCell ref="T20:V20"/>
    <mergeCell ref="W18:Y18"/>
    <mergeCell ref="Z18:AB18"/>
    <mergeCell ref="A19:G19"/>
    <mergeCell ref="H19:J19"/>
    <mergeCell ref="K19:M19"/>
    <mergeCell ref="R19:S19"/>
    <mergeCell ref="T19:V19"/>
    <mergeCell ref="W19:Y19"/>
    <mergeCell ref="Z19:AB19"/>
    <mergeCell ref="A18:G18"/>
    <mergeCell ref="H18:J18"/>
    <mergeCell ref="K18:M18"/>
    <mergeCell ref="N18:O18"/>
    <mergeCell ref="R18:S18"/>
    <mergeCell ref="T18:V18"/>
    <mergeCell ref="W22:Y22"/>
    <mergeCell ref="Z22:AB22"/>
    <mergeCell ref="A23:G23"/>
    <mergeCell ref="H23:J23"/>
    <mergeCell ref="K23:M23"/>
    <mergeCell ref="N23:O23"/>
    <mergeCell ref="R23:S23"/>
    <mergeCell ref="T23:V23"/>
    <mergeCell ref="W23:Y23"/>
    <mergeCell ref="Z23:AB23"/>
    <mergeCell ref="A22:G22"/>
    <mergeCell ref="H22:J22"/>
    <mergeCell ref="K22:M22"/>
    <mergeCell ref="N22:O22"/>
    <mergeCell ref="R22:S22"/>
    <mergeCell ref="T22:V22"/>
    <mergeCell ref="I1:W1"/>
    <mergeCell ref="V3:X5"/>
    <mergeCell ref="B4:C6"/>
    <mergeCell ref="F5:I7"/>
    <mergeCell ref="S8:Z10"/>
    <mergeCell ref="A9:C11"/>
    <mergeCell ref="F10:N12"/>
    <mergeCell ref="W20:Y20"/>
    <mergeCell ref="Z20:AB20"/>
    <mergeCell ref="A21:G21"/>
    <mergeCell ref="H21:J21"/>
    <mergeCell ref="K21:M21"/>
    <mergeCell ref="N21:O21"/>
    <mergeCell ref="R21:S21"/>
    <mergeCell ref="T21:V21"/>
    <mergeCell ref="W21:Y21"/>
    <mergeCell ref="A27:G27"/>
    <mergeCell ref="N27:O27"/>
    <mergeCell ref="R27:S27"/>
    <mergeCell ref="T27:V27"/>
    <mergeCell ref="W27:Y27"/>
    <mergeCell ref="Z27:AB27"/>
    <mergeCell ref="A25:G25"/>
    <mergeCell ref="N25:O25"/>
    <mergeCell ref="R25:S25"/>
    <mergeCell ref="T25:V25"/>
    <mergeCell ref="W25:Y25"/>
    <mergeCell ref="Z25:AB25"/>
    <mergeCell ref="A24:G24"/>
    <mergeCell ref="N24:O24"/>
    <mergeCell ref="R24:S24"/>
    <mergeCell ref="T24:V24"/>
    <mergeCell ref="A30:G30"/>
    <mergeCell ref="H30:J30"/>
    <mergeCell ref="K30:M30"/>
    <mergeCell ref="N30:O30"/>
    <mergeCell ref="R30:S30"/>
    <mergeCell ref="T30:V30"/>
    <mergeCell ref="W28:Y28"/>
    <mergeCell ref="Z28:AB28"/>
    <mergeCell ref="A29:G29"/>
    <mergeCell ref="H29:J29"/>
    <mergeCell ref="K29:M29"/>
    <mergeCell ref="N29:O29"/>
    <mergeCell ref="R29:S29"/>
    <mergeCell ref="T29:V29"/>
    <mergeCell ref="W29:Y29"/>
    <mergeCell ref="Z29:AB29"/>
    <mergeCell ref="A28:G28"/>
    <mergeCell ref="H28:J28"/>
    <mergeCell ref="K28:M28"/>
    <mergeCell ref="N28:O28"/>
    <mergeCell ref="R28:S28"/>
    <mergeCell ref="T28:V28"/>
    <mergeCell ref="N42:O42"/>
    <mergeCell ref="R42:S42"/>
    <mergeCell ref="T42:V42"/>
    <mergeCell ref="W42:Y42"/>
    <mergeCell ref="Z42:AB42"/>
    <mergeCell ref="N43:O43"/>
    <mergeCell ref="R43:S43"/>
    <mergeCell ref="R16:S16"/>
    <mergeCell ref="T16:V16"/>
    <mergeCell ref="W16:Y16"/>
    <mergeCell ref="Z16:AB16"/>
    <mergeCell ref="A14:G14"/>
    <mergeCell ref="H14:J14"/>
    <mergeCell ref="K14:M14"/>
    <mergeCell ref="N14:O14"/>
    <mergeCell ref="R14:S14"/>
    <mergeCell ref="T14:V14"/>
    <mergeCell ref="N16:O16"/>
    <mergeCell ref="N17:O17"/>
    <mergeCell ref="N19:O19"/>
    <mergeCell ref="W30:Y30"/>
    <mergeCell ref="Z30:AB30"/>
    <mergeCell ref="A31:G31"/>
    <mergeCell ref="H31:J31"/>
    <mergeCell ref="K31:M31"/>
    <mergeCell ref="N31:O31"/>
    <mergeCell ref="R31:S31"/>
    <mergeCell ref="T31:V31"/>
    <mergeCell ref="W24:Y24"/>
    <mergeCell ref="Z24:AB24"/>
    <mergeCell ref="W31:Y31"/>
    <mergeCell ref="Z31:AB31"/>
    <mergeCell ref="Z41:AB41"/>
    <mergeCell ref="A40:G40"/>
    <mergeCell ref="R40:S40"/>
    <mergeCell ref="T40:V40"/>
    <mergeCell ref="W40:Y40"/>
    <mergeCell ref="Z40:AB40"/>
    <mergeCell ref="W38:Y38"/>
    <mergeCell ref="Z38:AB38"/>
    <mergeCell ref="A39:G39"/>
    <mergeCell ref="H39:J39"/>
    <mergeCell ref="K39:M39"/>
    <mergeCell ref="R39:S39"/>
    <mergeCell ref="T39:V39"/>
    <mergeCell ref="W39:Y39"/>
    <mergeCell ref="Z39:AB39"/>
    <mergeCell ref="A38:G38"/>
    <mergeCell ref="H38:J38"/>
    <mergeCell ref="K38:M38"/>
    <mergeCell ref="R38:S38"/>
    <mergeCell ref="T38:V38"/>
    <mergeCell ref="N38:O38"/>
    <mergeCell ref="N40:O40"/>
    <mergeCell ref="N41:O41"/>
    <mergeCell ref="N39:O39"/>
    <mergeCell ref="W45:Y45"/>
    <mergeCell ref="Z45:AB45"/>
    <mergeCell ref="A46:G46"/>
    <mergeCell ref="H46:J46"/>
    <mergeCell ref="K46:M46"/>
    <mergeCell ref="A45:G45"/>
    <mergeCell ref="H45:J45"/>
    <mergeCell ref="K45:M45"/>
    <mergeCell ref="R45:S45"/>
    <mergeCell ref="T45:V45"/>
    <mergeCell ref="N45:O45"/>
    <mergeCell ref="N34:O34"/>
    <mergeCell ref="R34:S34"/>
    <mergeCell ref="T34:V34"/>
    <mergeCell ref="W32:Y32"/>
    <mergeCell ref="Z32:AB32"/>
    <mergeCell ref="A33:G33"/>
    <mergeCell ref="H33:J33"/>
    <mergeCell ref="K33:M33"/>
    <mergeCell ref="R33:S33"/>
    <mergeCell ref="T33:V33"/>
    <mergeCell ref="W33:Y33"/>
    <mergeCell ref="Z33:AB33"/>
    <mergeCell ref="A32:G32"/>
    <mergeCell ref="H32:J32"/>
    <mergeCell ref="K32:M32"/>
    <mergeCell ref="R32:S32"/>
    <mergeCell ref="T32:V32"/>
    <mergeCell ref="N32:O32"/>
    <mergeCell ref="N33:O33"/>
    <mergeCell ref="N35:O35"/>
    <mergeCell ref="N36:O36"/>
    <mergeCell ref="S55:Z57"/>
    <mergeCell ref="A56:C58"/>
    <mergeCell ref="F57:N59"/>
    <mergeCell ref="A61:G61"/>
    <mergeCell ref="H61:J61"/>
    <mergeCell ref="K61:M61"/>
    <mergeCell ref="N61:O61"/>
    <mergeCell ref="R61:S61"/>
    <mergeCell ref="T61:V61"/>
    <mergeCell ref="W61:Y61"/>
    <mergeCell ref="C48:D48"/>
    <mergeCell ref="G48:L48"/>
    <mergeCell ref="E49:K49"/>
    <mergeCell ref="U49:AA49"/>
    <mergeCell ref="V50:X52"/>
    <mergeCell ref="B51:C53"/>
    <mergeCell ref="F52:I54"/>
    <mergeCell ref="A68:G68"/>
    <mergeCell ref="R68:S68"/>
    <mergeCell ref="T68:V68"/>
    <mergeCell ref="W68:Y68"/>
    <mergeCell ref="Z68:AB68"/>
    <mergeCell ref="A67:G67"/>
    <mergeCell ref="R67:S67"/>
    <mergeCell ref="T67:V67"/>
    <mergeCell ref="W67:Y67"/>
    <mergeCell ref="Z67:AB67"/>
    <mergeCell ref="A66:G66"/>
    <mergeCell ref="N66:O66"/>
    <mergeCell ref="R66:S66"/>
    <mergeCell ref="T66:V66"/>
    <mergeCell ref="W66:Y66"/>
    <mergeCell ref="Z66:AB66"/>
    <mergeCell ref="A65:G65"/>
    <mergeCell ref="R65:S65"/>
    <mergeCell ref="T65:V65"/>
    <mergeCell ref="W65:Y65"/>
    <mergeCell ref="Z65:AB65"/>
    <mergeCell ref="N68:O68"/>
    <mergeCell ref="N67:O67"/>
    <mergeCell ref="N63:P65"/>
    <mergeCell ref="A63:G63"/>
    <mergeCell ref="H63:J63"/>
    <mergeCell ref="K63:M63"/>
    <mergeCell ref="R63:S63"/>
    <mergeCell ref="T63:V63"/>
    <mergeCell ref="W63:Y63"/>
    <mergeCell ref="Z63:AB63"/>
    <mergeCell ref="A71:G71"/>
    <mergeCell ref="R71:S71"/>
    <mergeCell ref="T71:V71"/>
    <mergeCell ref="W71:Y71"/>
    <mergeCell ref="Z71:AB71"/>
    <mergeCell ref="N71:O71"/>
    <mergeCell ref="N72:O72"/>
    <mergeCell ref="N73:O73"/>
    <mergeCell ref="N75:P75"/>
    <mergeCell ref="A70:G70"/>
    <mergeCell ref="R70:S70"/>
    <mergeCell ref="T70:V70"/>
    <mergeCell ref="W70:Y70"/>
    <mergeCell ref="Z70:AB70"/>
    <mergeCell ref="N74:O74"/>
    <mergeCell ref="A69:G69"/>
    <mergeCell ref="R69:S69"/>
    <mergeCell ref="T69:V69"/>
    <mergeCell ref="W69:Y69"/>
    <mergeCell ref="Z69:AB69"/>
    <mergeCell ref="N70:O70"/>
    <mergeCell ref="N69:P69"/>
    <mergeCell ref="A75:G75"/>
    <mergeCell ref="R75:S75"/>
    <mergeCell ref="T75:V75"/>
    <mergeCell ref="W75:Y75"/>
    <mergeCell ref="Z75:AB75"/>
    <mergeCell ref="A74:G74"/>
    <mergeCell ref="R74:S74"/>
    <mergeCell ref="T74:V74"/>
    <mergeCell ref="W74:Y74"/>
    <mergeCell ref="Z74:AB74"/>
    <mergeCell ref="A73:G73"/>
    <mergeCell ref="R73:S73"/>
    <mergeCell ref="T73:V73"/>
    <mergeCell ref="W73:Y73"/>
    <mergeCell ref="Z73:AB73"/>
    <mergeCell ref="A72:G72"/>
    <mergeCell ref="R72:S72"/>
    <mergeCell ref="T72:V72"/>
    <mergeCell ref="W72:Y72"/>
    <mergeCell ref="Z72:AB72"/>
    <mergeCell ref="A79:G79"/>
    <mergeCell ref="R79:S79"/>
    <mergeCell ref="T79:V79"/>
    <mergeCell ref="W79:Y79"/>
    <mergeCell ref="Z79:AB79"/>
    <mergeCell ref="A78:G78"/>
    <mergeCell ref="R78:S78"/>
    <mergeCell ref="T78:V78"/>
    <mergeCell ref="W78:Y78"/>
    <mergeCell ref="Z78:AB78"/>
    <mergeCell ref="A77:G77"/>
    <mergeCell ref="R77:S77"/>
    <mergeCell ref="T77:V77"/>
    <mergeCell ref="W77:Y77"/>
    <mergeCell ref="Z77:AB77"/>
    <mergeCell ref="N78:P80"/>
    <mergeCell ref="A76:G76"/>
    <mergeCell ref="R76:S76"/>
    <mergeCell ref="T76:V76"/>
    <mergeCell ref="W76:Y76"/>
    <mergeCell ref="Z76:AB76"/>
    <mergeCell ref="N76:O76"/>
    <mergeCell ref="N77:O77"/>
    <mergeCell ref="Z81:AB81"/>
    <mergeCell ref="A82:G82"/>
    <mergeCell ref="H82:J82"/>
    <mergeCell ref="K82:M82"/>
    <mergeCell ref="R82:S82"/>
    <mergeCell ref="T82:V82"/>
    <mergeCell ref="W82:Y82"/>
    <mergeCell ref="Z82:AB82"/>
    <mergeCell ref="A80:G80"/>
    <mergeCell ref="R80:S80"/>
    <mergeCell ref="T80:V80"/>
    <mergeCell ref="W80:Y80"/>
    <mergeCell ref="Z80:AB80"/>
    <mergeCell ref="A81:G81"/>
    <mergeCell ref="R81:S81"/>
    <mergeCell ref="T81:V81"/>
    <mergeCell ref="W81:Y81"/>
    <mergeCell ref="A86:G86"/>
    <mergeCell ref="H86:J86"/>
    <mergeCell ref="K86:M86"/>
    <mergeCell ref="R86:S86"/>
    <mergeCell ref="T86:V86"/>
    <mergeCell ref="W86:Y86"/>
    <mergeCell ref="Z86:AB86"/>
    <mergeCell ref="A85:G85"/>
    <mergeCell ref="H85:J85"/>
    <mergeCell ref="K85:M85"/>
    <mergeCell ref="W83:Y83"/>
    <mergeCell ref="Z83:AB83"/>
    <mergeCell ref="A84:G84"/>
    <mergeCell ref="H84:J84"/>
    <mergeCell ref="K84:M84"/>
    <mergeCell ref="R84:S84"/>
    <mergeCell ref="T84:V84"/>
    <mergeCell ref="W84:Y84"/>
    <mergeCell ref="Z84:AB84"/>
    <mergeCell ref="A83:G83"/>
    <mergeCell ref="H83:J83"/>
    <mergeCell ref="K83:M83"/>
    <mergeCell ref="N83:O83"/>
    <mergeCell ref="R83:S83"/>
    <mergeCell ref="T83:V83"/>
    <mergeCell ref="N85:O85"/>
    <mergeCell ref="R85:S85"/>
    <mergeCell ref="T85:V85"/>
    <mergeCell ref="W85:Y85"/>
    <mergeCell ref="Z85:AB85"/>
    <mergeCell ref="N86:O86"/>
    <mergeCell ref="N84:P84"/>
    <mergeCell ref="A89:G89"/>
    <mergeCell ref="R89:S89"/>
    <mergeCell ref="T89:V89"/>
    <mergeCell ref="W89:Y89"/>
    <mergeCell ref="Z89:AB89"/>
    <mergeCell ref="N89:O89"/>
    <mergeCell ref="N91:O91"/>
    <mergeCell ref="N92:O92"/>
    <mergeCell ref="A88:G88"/>
    <mergeCell ref="R88:S88"/>
    <mergeCell ref="T88:V88"/>
    <mergeCell ref="W88:Y88"/>
    <mergeCell ref="Z88:AB88"/>
    <mergeCell ref="A87:G87"/>
    <mergeCell ref="R87:S87"/>
    <mergeCell ref="T87:V87"/>
    <mergeCell ref="W87:Y87"/>
    <mergeCell ref="Z87:AB87"/>
    <mergeCell ref="N87:O87"/>
    <mergeCell ref="N88:O88"/>
    <mergeCell ref="A93:G93"/>
    <mergeCell ref="N93:O93"/>
    <mergeCell ref="R93:S93"/>
    <mergeCell ref="T93:V93"/>
    <mergeCell ref="W93:Y93"/>
    <mergeCell ref="Z93:AB93"/>
    <mergeCell ref="A92:G92"/>
    <mergeCell ref="R92:S92"/>
    <mergeCell ref="T92:V92"/>
    <mergeCell ref="W92:Y92"/>
    <mergeCell ref="Z92:AB92"/>
    <mergeCell ref="A91:G91"/>
    <mergeCell ref="R91:S91"/>
    <mergeCell ref="T91:V91"/>
    <mergeCell ref="W91:Y91"/>
    <mergeCell ref="Z91:AB91"/>
    <mergeCell ref="A90:G90"/>
    <mergeCell ref="N90:O90"/>
    <mergeCell ref="R90:S90"/>
    <mergeCell ref="T90:V90"/>
    <mergeCell ref="W90:Y90"/>
    <mergeCell ref="Z90:AB90"/>
    <mergeCell ref="W107:Y107"/>
    <mergeCell ref="Z107:AB107"/>
    <mergeCell ref="A109:G109"/>
    <mergeCell ref="H109:J109"/>
    <mergeCell ref="K109:M109"/>
    <mergeCell ref="N109:O109"/>
    <mergeCell ref="R109:S109"/>
    <mergeCell ref="T109:V109"/>
    <mergeCell ref="W109:Y109"/>
    <mergeCell ref="Z109:AB109"/>
    <mergeCell ref="A107:G107"/>
    <mergeCell ref="H107:J107"/>
    <mergeCell ref="K107:M107"/>
    <mergeCell ref="N107:O107"/>
    <mergeCell ref="R107:S107"/>
    <mergeCell ref="T107:V107"/>
    <mergeCell ref="V96:X98"/>
    <mergeCell ref="B97:C99"/>
    <mergeCell ref="F98:I100"/>
    <mergeCell ref="S101:Z103"/>
    <mergeCell ref="A102:C104"/>
    <mergeCell ref="F103:P105"/>
    <mergeCell ref="A112:G112"/>
    <mergeCell ref="N112:O112"/>
    <mergeCell ref="R112:S112"/>
    <mergeCell ref="T112:V112"/>
    <mergeCell ref="W112:Y112"/>
    <mergeCell ref="Z112:AB112"/>
    <mergeCell ref="A111:G111"/>
    <mergeCell ref="N111:O111"/>
    <mergeCell ref="R111:S111"/>
    <mergeCell ref="T111:V111"/>
    <mergeCell ref="W111:Y111"/>
    <mergeCell ref="Z111:AB111"/>
    <mergeCell ref="A110:G110"/>
    <mergeCell ref="N110:O110"/>
    <mergeCell ref="R110:S110"/>
    <mergeCell ref="T110:V110"/>
    <mergeCell ref="W110:Y110"/>
    <mergeCell ref="Z110:AB110"/>
    <mergeCell ref="A113:G113"/>
    <mergeCell ref="N113:O113"/>
    <mergeCell ref="R113:S113"/>
    <mergeCell ref="T113:V113"/>
    <mergeCell ref="W113:Y113"/>
    <mergeCell ref="Z113:AB113"/>
    <mergeCell ref="A120:G120"/>
    <mergeCell ref="N120:O120"/>
    <mergeCell ref="R120:S120"/>
    <mergeCell ref="T120:V120"/>
    <mergeCell ref="W120:Y120"/>
    <mergeCell ref="Z120:AB120"/>
    <mergeCell ref="A119:G119"/>
    <mergeCell ref="N119:O119"/>
    <mergeCell ref="R119:S119"/>
    <mergeCell ref="T119:V119"/>
    <mergeCell ref="W119:Y119"/>
    <mergeCell ref="Z119:AB119"/>
    <mergeCell ref="A118:G118"/>
    <mergeCell ref="N118:O118"/>
    <mergeCell ref="R118:S118"/>
    <mergeCell ref="T118:V118"/>
    <mergeCell ref="W118:Y118"/>
    <mergeCell ref="Z118:AB118"/>
    <mergeCell ref="A117:G117"/>
    <mergeCell ref="N117:O117"/>
    <mergeCell ref="R117:S117"/>
    <mergeCell ref="T117:V117"/>
    <mergeCell ref="W117:Y117"/>
    <mergeCell ref="Z117:AB117"/>
    <mergeCell ref="A116:G116"/>
    <mergeCell ref="N116:O116"/>
    <mergeCell ref="W123:Y123"/>
    <mergeCell ref="Z123:AB123"/>
    <mergeCell ref="N123:O123"/>
    <mergeCell ref="N124:O124"/>
    <mergeCell ref="N125:O125"/>
    <mergeCell ref="A122:G122"/>
    <mergeCell ref="N122:O122"/>
    <mergeCell ref="R122:S122"/>
    <mergeCell ref="T122:V122"/>
    <mergeCell ref="W122:Y122"/>
    <mergeCell ref="Z122:AB122"/>
    <mergeCell ref="A114:G114"/>
    <mergeCell ref="N114:O114"/>
    <mergeCell ref="R114:S114"/>
    <mergeCell ref="T114:V114"/>
    <mergeCell ref="W114:Y114"/>
    <mergeCell ref="Z114:AB114"/>
    <mergeCell ref="R116:S116"/>
    <mergeCell ref="T116:V116"/>
    <mergeCell ref="A115:G115"/>
    <mergeCell ref="N115:O115"/>
    <mergeCell ref="R115:S115"/>
    <mergeCell ref="T115:V115"/>
    <mergeCell ref="W115:Y115"/>
    <mergeCell ref="Z115:AB115"/>
    <mergeCell ref="W116:Y116"/>
    <mergeCell ref="Z116:AB116"/>
    <mergeCell ref="W132:Y132"/>
    <mergeCell ref="Z132:AB132"/>
    <mergeCell ref="A131:G131"/>
    <mergeCell ref="H131:J131"/>
    <mergeCell ref="K131:M131"/>
    <mergeCell ref="R131:S131"/>
    <mergeCell ref="A138:G138"/>
    <mergeCell ref="N138:O138"/>
    <mergeCell ref="R138:S138"/>
    <mergeCell ref="T138:V138"/>
    <mergeCell ref="W138:Y138"/>
    <mergeCell ref="Z138:AB138"/>
    <mergeCell ref="R139:S139"/>
    <mergeCell ref="T139:V139"/>
    <mergeCell ref="W139:Y139"/>
    <mergeCell ref="A125:G125"/>
    <mergeCell ref="R125:S125"/>
    <mergeCell ref="T125:V125"/>
    <mergeCell ref="W125:Y125"/>
    <mergeCell ref="Z125:AB125"/>
    <mergeCell ref="T131:V131"/>
    <mergeCell ref="N126:O126"/>
    <mergeCell ref="N127:O127"/>
    <mergeCell ref="N129:O129"/>
    <mergeCell ref="N131:O131"/>
    <mergeCell ref="N132:O132"/>
    <mergeCell ref="N133:O133"/>
    <mergeCell ref="T126:V126"/>
    <mergeCell ref="W126:Y126"/>
    <mergeCell ref="N128:O128"/>
    <mergeCell ref="A128:G128"/>
    <mergeCell ref="H128:J128"/>
    <mergeCell ref="A121:G121"/>
    <mergeCell ref="N121:O121"/>
    <mergeCell ref="R121:S121"/>
    <mergeCell ref="T121:V121"/>
    <mergeCell ref="W121:Y121"/>
    <mergeCell ref="Z121:AB121"/>
    <mergeCell ref="N130:O130"/>
    <mergeCell ref="W129:Y129"/>
    <mergeCell ref="Z129:AB129"/>
    <mergeCell ref="A130:G130"/>
    <mergeCell ref="H130:J130"/>
    <mergeCell ref="K130:M130"/>
    <mergeCell ref="R130:S130"/>
    <mergeCell ref="T130:V130"/>
    <mergeCell ref="W130:Y130"/>
    <mergeCell ref="Z130:AB130"/>
    <mergeCell ref="A129:G129"/>
    <mergeCell ref="H129:J129"/>
    <mergeCell ref="K129:M129"/>
    <mergeCell ref="R129:S129"/>
    <mergeCell ref="T129:V129"/>
    <mergeCell ref="W127:Y127"/>
    <mergeCell ref="Z127:AB127"/>
    <mergeCell ref="A124:G124"/>
    <mergeCell ref="R124:S124"/>
    <mergeCell ref="T124:V124"/>
    <mergeCell ref="W124:Y124"/>
    <mergeCell ref="Z124:AB124"/>
    <mergeCell ref="K128:M128"/>
    <mergeCell ref="A123:G123"/>
    <mergeCell ref="R123:S123"/>
    <mergeCell ref="T123:V123"/>
    <mergeCell ref="R128:S128"/>
    <mergeCell ref="T128:V128"/>
    <mergeCell ref="W128:Y128"/>
    <mergeCell ref="Z128:AB128"/>
    <mergeCell ref="A127:G127"/>
    <mergeCell ref="H127:J127"/>
    <mergeCell ref="K127:M127"/>
    <mergeCell ref="R127:S127"/>
    <mergeCell ref="T127:V127"/>
    <mergeCell ref="A126:G126"/>
    <mergeCell ref="R126:S126"/>
    <mergeCell ref="Z126:AB126"/>
    <mergeCell ref="A137:G137"/>
    <mergeCell ref="N137:O137"/>
    <mergeCell ref="R137:S137"/>
    <mergeCell ref="T137:V137"/>
    <mergeCell ref="W137:Y137"/>
    <mergeCell ref="Z137:AB137"/>
    <mergeCell ref="A136:G136"/>
    <mergeCell ref="N136:O136"/>
    <mergeCell ref="R136:S136"/>
    <mergeCell ref="T136:V136"/>
    <mergeCell ref="W136:Y136"/>
    <mergeCell ref="Z136:AB136"/>
    <mergeCell ref="A135:G135"/>
    <mergeCell ref="N135:O135"/>
    <mergeCell ref="R135:S135"/>
    <mergeCell ref="T135:V135"/>
    <mergeCell ref="W135:Y135"/>
    <mergeCell ref="Z135:AB135"/>
    <mergeCell ref="A134:G134"/>
    <mergeCell ref="A133:G133"/>
    <mergeCell ref="R133:S133"/>
    <mergeCell ref="T133:V133"/>
    <mergeCell ref="W133:Y133"/>
    <mergeCell ref="Z133:AB133"/>
    <mergeCell ref="W131:Y131"/>
    <mergeCell ref="Z131:AB131"/>
    <mergeCell ref="A132:G132"/>
    <mergeCell ref="H132:J132"/>
    <mergeCell ref="K132:M132"/>
    <mergeCell ref="R132:S132"/>
    <mergeCell ref="T132:V132"/>
    <mergeCell ref="Z152:AB152"/>
    <mergeCell ref="A154:G154"/>
    <mergeCell ref="H154:J154"/>
    <mergeCell ref="K154:M154"/>
    <mergeCell ref="N154:O154"/>
    <mergeCell ref="R154:S154"/>
    <mergeCell ref="T154:V154"/>
    <mergeCell ref="W154:Y154"/>
    <mergeCell ref="Z154:AB154"/>
    <mergeCell ref="A152:G152"/>
    <mergeCell ref="H152:J152"/>
    <mergeCell ref="K152:M152"/>
    <mergeCell ref="N152:O152"/>
    <mergeCell ref="R152:S152"/>
    <mergeCell ref="T152:V152"/>
    <mergeCell ref="W152:Y152"/>
    <mergeCell ref="Z139:AB139"/>
    <mergeCell ref="A139:G139"/>
    <mergeCell ref="N139:O139"/>
    <mergeCell ref="V141:X141"/>
    <mergeCell ref="B141:C141"/>
    <mergeCell ref="B142:C144"/>
    <mergeCell ref="V142:X143"/>
    <mergeCell ref="F143:I145"/>
    <mergeCell ref="A157:G157"/>
    <mergeCell ref="N157:O157"/>
    <mergeCell ref="R157:S157"/>
    <mergeCell ref="T157:V157"/>
    <mergeCell ref="W157:Y157"/>
    <mergeCell ref="Z157:AB157"/>
    <mergeCell ref="A156:G156"/>
    <mergeCell ref="N156:O156"/>
    <mergeCell ref="R156:S156"/>
    <mergeCell ref="T156:V156"/>
    <mergeCell ref="W156:Y156"/>
    <mergeCell ref="Z156:AB156"/>
    <mergeCell ref="A155:G155"/>
    <mergeCell ref="N155:O155"/>
    <mergeCell ref="R155:S155"/>
    <mergeCell ref="T155:V155"/>
    <mergeCell ref="W155:Y155"/>
    <mergeCell ref="Z155:AB155"/>
    <mergeCell ref="S146:Z148"/>
    <mergeCell ref="A147:C149"/>
    <mergeCell ref="F148:N150"/>
    <mergeCell ref="A160:G160"/>
    <mergeCell ref="N160:O160"/>
    <mergeCell ref="R160:S160"/>
    <mergeCell ref="T160:V160"/>
    <mergeCell ref="W160:Y160"/>
    <mergeCell ref="Z160:AB160"/>
    <mergeCell ref="A159:G159"/>
    <mergeCell ref="N159:O159"/>
    <mergeCell ref="R159:S159"/>
    <mergeCell ref="T159:V159"/>
    <mergeCell ref="W159:Y159"/>
    <mergeCell ref="Z159:AB159"/>
    <mergeCell ref="A158:G158"/>
    <mergeCell ref="N158:O158"/>
    <mergeCell ref="R158:S158"/>
    <mergeCell ref="T158:V158"/>
    <mergeCell ref="W158:Y158"/>
    <mergeCell ref="Z158:AB158"/>
    <mergeCell ref="A163:G163"/>
    <mergeCell ref="N163:O163"/>
    <mergeCell ref="R163:S163"/>
    <mergeCell ref="T163:V163"/>
    <mergeCell ref="W163:Y163"/>
    <mergeCell ref="Z163:AB163"/>
    <mergeCell ref="A162:G162"/>
    <mergeCell ref="N162:O162"/>
    <mergeCell ref="R162:S162"/>
    <mergeCell ref="T162:V162"/>
    <mergeCell ref="W162:Y162"/>
    <mergeCell ref="Z162:AB162"/>
    <mergeCell ref="A161:G161"/>
    <mergeCell ref="N161:O161"/>
    <mergeCell ref="R161:S161"/>
    <mergeCell ref="T161:V161"/>
    <mergeCell ref="W161:Y161"/>
    <mergeCell ref="Z161:AB161"/>
    <mergeCell ref="A166:G166"/>
    <mergeCell ref="R166:S166"/>
    <mergeCell ref="T166:V166"/>
    <mergeCell ref="W166:Y166"/>
    <mergeCell ref="Z166:AB166"/>
    <mergeCell ref="N166:O166"/>
    <mergeCell ref="A165:G165"/>
    <mergeCell ref="N165:O165"/>
    <mergeCell ref="R165:S165"/>
    <mergeCell ref="T165:V165"/>
    <mergeCell ref="W165:Y165"/>
    <mergeCell ref="Z165:AB165"/>
    <mergeCell ref="A164:G164"/>
    <mergeCell ref="N164:O164"/>
    <mergeCell ref="R164:S164"/>
    <mergeCell ref="T164:V164"/>
    <mergeCell ref="W164:Y164"/>
    <mergeCell ref="Z164:AB164"/>
    <mergeCell ref="A169:G169"/>
    <mergeCell ref="N169:O169"/>
    <mergeCell ref="R169:S169"/>
    <mergeCell ref="T169:V169"/>
    <mergeCell ref="W169:Y169"/>
    <mergeCell ref="Z169:AB169"/>
    <mergeCell ref="A168:G168"/>
    <mergeCell ref="N168:O168"/>
    <mergeCell ref="R168:S168"/>
    <mergeCell ref="T168:V168"/>
    <mergeCell ref="W168:Y168"/>
    <mergeCell ref="Z168:AB168"/>
    <mergeCell ref="A167:G167"/>
    <mergeCell ref="N167:O167"/>
    <mergeCell ref="R167:S167"/>
    <mergeCell ref="T167:V167"/>
    <mergeCell ref="W167:Y167"/>
    <mergeCell ref="Z167:AB167"/>
    <mergeCell ref="A172:G172"/>
    <mergeCell ref="N172:O172"/>
    <mergeCell ref="R172:S172"/>
    <mergeCell ref="T172:V172"/>
    <mergeCell ref="W172:Y172"/>
    <mergeCell ref="Z172:AB172"/>
    <mergeCell ref="A171:G171"/>
    <mergeCell ref="N171:O171"/>
    <mergeCell ref="R171:S171"/>
    <mergeCell ref="T171:V171"/>
    <mergeCell ref="W171:Y171"/>
    <mergeCell ref="Z171:AB171"/>
    <mergeCell ref="A170:G170"/>
    <mergeCell ref="N170:O170"/>
    <mergeCell ref="R170:S170"/>
    <mergeCell ref="T170:V170"/>
    <mergeCell ref="W170:Y170"/>
    <mergeCell ref="Z170:AB170"/>
    <mergeCell ref="N173:O173"/>
    <mergeCell ref="W175:Y175"/>
    <mergeCell ref="Z175:AB175"/>
    <mergeCell ref="A176:G176"/>
    <mergeCell ref="H176:J176"/>
    <mergeCell ref="K176:M176"/>
    <mergeCell ref="N176:O176"/>
    <mergeCell ref="R176:S176"/>
    <mergeCell ref="T176:V176"/>
    <mergeCell ref="W176:Y176"/>
    <mergeCell ref="Z176:AB176"/>
    <mergeCell ref="A175:G175"/>
    <mergeCell ref="H175:J175"/>
    <mergeCell ref="K175:M175"/>
    <mergeCell ref="N175:O175"/>
    <mergeCell ref="R175:S175"/>
    <mergeCell ref="T175:V175"/>
    <mergeCell ref="A174:G174"/>
    <mergeCell ref="N174:O174"/>
    <mergeCell ref="R174:S174"/>
    <mergeCell ref="T174:V174"/>
    <mergeCell ref="W174:Y174"/>
    <mergeCell ref="Z174:AB174"/>
    <mergeCell ref="A173:G173"/>
    <mergeCell ref="R173:S173"/>
    <mergeCell ref="T173:V173"/>
    <mergeCell ref="W173:Y173"/>
    <mergeCell ref="Z173:AB173"/>
    <mergeCell ref="A179:G179"/>
    <mergeCell ref="N179:O179"/>
    <mergeCell ref="R179:S179"/>
    <mergeCell ref="T179:V179"/>
    <mergeCell ref="W179:Y179"/>
    <mergeCell ref="Z179:AB179"/>
    <mergeCell ref="W177:Y177"/>
    <mergeCell ref="Z177:AB177"/>
    <mergeCell ref="A178:G178"/>
    <mergeCell ref="N178:O178"/>
    <mergeCell ref="R178:S178"/>
    <mergeCell ref="T178:V178"/>
    <mergeCell ref="W178:Y178"/>
    <mergeCell ref="Z178:AB178"/>
    <mergeCell ref="A177:G177"/>
    <mergeCell ref="H177:J177"/>
    <mergeCell ref="K177:M177"/>
    <mergeCell ref="N177:O177"/>
    <mergeCell ref="R177:S177"/>
    <mergeCell ref="T177:V177"/>
    <mergeCell ref="A182:G182"/>
    <mergeCell ref="N182:O182"/>
    <mergeCell ref="R182:S182"/>
    <mergeCell ref="T182:V182"/>
    <mergeCell ref="W182:Y182"/>
    <mergeCell ref="Z182:AB182"/>
    <mergeCell ref="A181:G181"/>
    <mergeCell ref="N181:O181"/>
    <mergeCell ref="R181:S181"/>
    <mergeCell ref="T181:V181"/>
    <mergeCell ref="W181:Y181"/>
    <mergeCell ref="Z181:AB181"/>
    <mergeCell ref="A180:G180"/>
    <mergeCell ref="N180:O180"/>
    <mergeCell ref="R180:S180"/>
    <mergeCell ref="T180:V180"/>
    <mergeCell ref="W180:Y180"/>
    <mergeCell ref="Z180:AB180"/>
    <mergeCell ref="V186:X187"/>
    <mergeCell ref="B186:C188"/>
    <mergeCell ref="F187:I189"/>
    <mergeCell ref="S190:Z192"/>
    <mergeCell ref="A191:C193"/>
    <mergeCell ref="F192:N194"/>
    <mergeCell ref="A184:G184"/>
    <mergeCell ref="N184:O184"/>
    <mergeCell ref="R184:S184"/>
    <mergeCell ref="T184:V184"/>
    <mergeCell ref="W184:Y184"/>
    <mergeCell ref="Z184:AB184"/>
    <mergeCell ref="A183:G183"/>
    <mergeCell ref="N183:O183"/>
    <mergeCell ref="R183:S183"/>
    <mergeCell ref="T183:V183"/>
    <mergeCell ref="W183:Y183"/>
    <mergeCell ref="Z183:AB183"/>
    <mergeCell ref="A199:G199"/>
    <mergeCell ref="R199:S199"/>
    <mergeCell ref="T199:V199"/>
    <mergeCell ref="W199:Y199"/>
    <mergeCell ref="Z199:AB199"/>
    <mergeCell ref="N199:O199"/>
    <mergeCell ref="N201:O201"/>
    <mergeCell ref="N200:O200"/>
    <mergeCell ref="W196:Y196"/>
    <mergeCell ref="Z196:AB196"/>
    <mergeCell ref="A198:G198"/>
    <mergeCell ref="H198:J198"/>
    <mergeCell ref="K198:M198"/>
    <mergeCell ref="R198:S198"/>
    <mergeCell ref="T198:V198"/>
    <mergeCell ref="W198:Y198"/>
    <mergeCell ref="Z198:AB198"/>
    <mergeCell ref="A196:G196"/>
    <mergeCell ref="H196:J196"/>
    <mergeCell ref="K196:M196"/>
    <mergeCell ref="N196:O196"/>
    <mergeCell ref="R196:S196"/>
    <mergeCell ref="T196:V196"/>
    <mergeCell ref="N198:O198"/>
    <mergeCell ref="A202:G202"/>
    <mergeCell ref="R202:S202"/>
    <mergeCell ref="T202:V202"/>
    <mergeCell ref="W202:Y202"/>
    <mergeCell ref="Z202:AB202"/>
    <mergeCell ref="A201:G201"/>
    <mergeCell ref="R201:S201"/>
    <mergeCell ref="T201:V201"/>
    <mergeCell ref="W201:Y201"/>
    <mergeCell ref="Z201:AB201"/>
    <mergeCell ref="N202:O202"/>
    <mergeCell ref="N206:O206"/>
    <mergeCell ref="A200:G200"/>
    <mergeCell ref="R200:S200"/>
    <mergeCell ref="T200:V200"/>
    <mergeCell ref="W200:Y200"/>
    <mergeCell ref="Z200:AB200"/>
    <mergeCell ref="A205:G205"/>
    <mergeCell ref="N205:O205"/>
    <mergeCell ref="R205:S205"/>
    <mergeCell ref="T205:V205"/>
    <mergeCell ref="W205:Y205"/>
    <mergeCell ref="Z205:AB205"/>
    <mergeCell ref="A204:G204"/>
    <mergeCell ref="N204:O204"/>
    <mergeCell ref="R204:S204"/>
    <mergeCell ref="T204:V204"/>
    <mergeCell ref="W204:Y204"/>
    <mergeCell ref="Z204:AB204"/>
    <mergeCell ref="A203:G203"/>
    <mergeCell ref="N203:O203"/>
    <mergeCell ref="R203:S203"/>
    <mergeCell ref="T203:V203"/>
    <mergeCell ref="W203:Y203"/>
    <mergeCell ref="Z203:AB203"/>
    <mergeCell ref="A208:G208"/>
    <mergeCell ref="N208:O208"/>
    <mergeCell ref="R208:S208"/>
    <mergeCell ref="T208:V208"/>
    <mergeCell ref="W208:Y208"/>
    <mergeCell ref="Z208:AB208"/>
    <mergeCell ref="A207:G207"/>
    <mergeCell ref="R207:S207"/>
    <mergeCell ref="T207:V207"/>
    <mergeCell ref="W207:Y207"/>
    <mergeCell ref="Z207:AB207"/>
    <mergeCell ref="N212:O212"/>
    <mergeCell ref="N207:O207"/>
    <mergeCell ref="A206:G206"/>
    <mergeCell ref="R206:S206"/>
    <mergeCell ref="T206:V206"/>
    <mergeCell ref="W206:Y206"/>
    <mergeCell ref="Z206:AB206"/>
    <mergeCell ref="A211:G211"/>
    <mergeCell ref="N211:O211"/>
    <mergeCell ref="R211:S211"/>
    <mergeCell ref="T211:V211"/>
    <mergeCell ref="W211:Y211"/>
    <mergeCell ref="Z211:AB211"/>
    <mergeCell ref="A210:G210"/>
    <mergeCell ref="N210:O210"/>
    <mergeCell ref="R210:S210"/>
    <mergeCell ref="T210:V210"/>
    <mergeCell ref="W210:Y210"/>
    <mergeCell ref="Z210:AB210"/>
    <mergeCell ref="A209:G209"/>
    <mergeCell ref="N209:O209"/>
    <mergeCell ref="R209:S209"/>
    <mergeCell ref="T209:V209"/>
    <mergeCell ref="W209:Y209"/>
    <mergeCell ref="Z209:AB209"/>
    <mergeCell ref="A214:G214"/>
    <mergeCell ref="N214:O214"/>
    <mergeCell ref="R214:S214"/>
    <mergeCell ref="T214:V214"/>
    <mergeCell ref="W214:Y214"/>
    <mergeCell ref="Z214:AB214"/>
    <mergeCell ref="A213:G213"/>
    <mergeCell ref="N213:O213"/>
    <mergeCell ref="R213:S213"/>
    <mergeCell ref="T213:V213"/>
    <mergeCell ref="W213:Y213"/>
    <mergeCell ref="Z213:AB213"/>
    <mergeCell ref="A212:G212"/>
    <mergeCell ref="R212:S212"/>
    <mergeCell ref="T212:V212"/>
    <mergeCell ref="W212:Y212"/>
    <mergeCell ref="Z212:AB212"/>
    <mergeCell ref="W218:Y218"/>
    <mergeCell ref="Z218:AB218"/>
    <mergeCell ref="A217:G217"/>
    <mergeCell ref="R217:S217"/>
    <mergeCell ref="T217:V217"/>
    <mergeCell ref="W217:Y217"/>
    <mergeCell ref="Z217:AB217"/>
    <mergeCell ref="N220:O220"/>
    <mergeCell ref="N221:O221"/>
    <mergeCell ref="N222:O222"/>
    <mergeCell ref="A216:G216"/>
    <mergeCell ref="N216:O216"/>
    <mergeCell ref="R216:S216"/>
    <mergeCell ref="T216:V216"/>
    <mergeCell ref="W216:Y216"/>
    <mergeCell ref="Z216:AB216"/>
    <mergeCell ref="A215:G215"/>
    <mergeCell ref="N215:O215"/>
    <mergeCell ref="R215:S215"/>
    <mergeCell ref="T215:V215"/>
    <mergeCell ref="W215:Y215"/>
    <mergeCell ref="Z215:AB215"/>
    <mergeCell ref="N225:O225"/>
    <mergeCell ref="R225:S225"/>
    <mergeCell ref="T225:V225"/>
    <mergeCell ref="W225:Y225"/>
    <mergeCell ref="Z225:AB225"/>
    <mergeCell ref="N227:O227"/>
    <mergeCell ref="N217:O217"/>
    <mergeCell ref="A222:G222"/>
    <mergeCell ref="R222:S222"/>
    <mergeCell ref="T222:V222"/>
    <mergeCell ref="W222:Y222"/>
    <mergeCell ref="Z222:AB222"/>
    <mergeCell ref="A221:G221"/>
    <mergeCell ref="H221:J221"/>
    <mergeCell ref="K221:M221"/>
    <mergeCell ref="R221:S221"/>
    <mergeCell ref="T221:V221"/>
    <mergeCell ref="A220:G220"/>
    <mergeCell ref="R220:S220"/>
    <mergeCell ref="T220:V220"/>
    <mergeCell ref="W220:Y220"/>
    <mergeCell ref="Z220:AB220"/>
    <mergeCell ref="A219:G219"/>
    <mergeCell ref="N219:O219"/>
    <mergeCell ref="R219:S219"/>
    <mergeCell ref="T219:V219"/>
    <mergeCell ref="W219:Y219"/>
    <mergeCell ref="Z219:AB219"/>
    <mergeCell ref="A218:G218"/>
    <mergeCell ref="N218:O218"/>
    <mergeCell ref="R218:S218"/>
    <mergeCell ref="T218:V218"/>
    <mergeCell ref="N134:O134"/>
    <mergeCell ref="R134:S134"/>
    <mergeCell ref="T134:V134"/>
    <mergeCell ref="W134:Y134"/>
    <mergeCell ref="Z134:AB134"/>
    <mergeCell ref="A228:G228"/>
    <mergeCell ref="A227:G227"/>
    <mergeCell ref="R227:S227"/>
    <mergeCell ref="T227:V227"/>
    <mergeCell ref="W227:Y227"/>
    <mergeCell ref="Z227:AB227"/>
    <mergeCell ref="A226:G226"/>
    <mergeCell ref="N226:O226"/>
    <mergeCell ref="R226:S226"/>
    <mergeCell ref="T226:V226"/>
    <mergeCell ref="W226:Y226"/>
    <mergeCell ref="Z226:AB226"/>
    <mergeCell ref="A225:G225"/>
    <mergeCell ref="A224:G224"/>
    <mergeCell ref="A223:G223"/>
    <mergeCell ref="R223:S223"/>
    <mergeCell ref="T223:V223"/>
    <mergeCell ref="W223:Y223"/>
    <mergeCell ref="Z223:AB223"/>
    <mergeCell ref="W221:Y221"/>
    <mergeCell ref="Z221:AB221"/>
    <mergeCell ref="N223:O223"/>
    <mergeCell ref="N224:O224"/>
    <mergeCell ref="R224:S224"/>
    <mergeCell ref="T224:V224"/>
    <mergeCell ref="W224:Y224"/>
    <mergeCell ref="Z224:AB22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Daftar Gaji</vt:lpstr>
      <vt:lpstr>wawan</vt:lpstr>
      <vt:lpstr>harjono</vt:lpstr>
      <vt:lpstr>rahmat</vt:lpstr>
      <vt:lpstr>TER</vt:lpstr>
      <vt:lpstr>Inword</vt:lpstr>
      <vt:lpstr>PRD</vt:lpstr>
      <vt:lpstr>'Daftar Gaji'!Print_Area</vt:lpstr>
      <vt:lpstr>wawan!Print_Area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DV2-1123</dc:creator>
  <cp:lastModifiedBy>Herliana</cp:lastModifiedBy>
  <cp:lastPrinted>2026-04-02T08:14:00Z</cp:lastPrinted>
  <dcterms:created xsi:type="dcterms:W3CDTF">2010-08-11T04:28:14Z</dcterms:created>
  <dcterms:modified xsi:type="dcterms:W3CDTF">2026-08-26T03:52:29Z</dcterms:modified>
</cp:coreProperties>
</file>